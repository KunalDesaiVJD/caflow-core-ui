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K:\SOFTWARE\AUDIT\AUDIT REPORT\COMPARISION\PVT LTD\"/>
    </mc:Choice>
  </mc:AlternateContent>
  <xr:revisionPtr revIDLastSave="0" documentId="13_ncr:1_{2FF78A39-CC61-404A-9FB5-016886F3C5AE}" xr6:coauthVersionLast="47" xr6:coauthVersionMax="47" xr10:uidLastSave="{00000000-0000-0000-0000-000000000000}"/>
  <bookViews>
    <workbookView xWindow="-120" yWindow="-120" windowWidth="20730" windowHeight="11160" tabRatio="816" activeTab="8" xr2:uid="{00000000-000D-0000-FFFF-FFFF00000000}"/>
  </bookViews>
  <sheets>
    <sheet name="00_Cover" sheetId="1" r:id="rId1"/>
    <sheet name="01_Control" sheetId="2" r:id="rId2"/>
    <sheet name="02_Index" sheetId="3" r:id="rId3"/>
    <sheet name="BS" sheetId="4" r:id="rId4"/>
    <sheet name="PL" sheetId="5" r:id="rId5"/>
    <sheet name="CFS" sheetId="6" r:id="rId6"/>
    <sheet name="Note BS-Liab" sheetId="7" r:id="rId7"/>
    <sheet name="FA" sheetId="8" r:id="rId8"/>
    <sheet name="Note BS-Asset" sheetId="9" r:id="rId9"/>
    <sheet name="Note PL" sheetId="10" r:id="rId10"/>
    <sheet name="Notes other" sheetId="11" r:id="rId11"/>
    <sheet name="Notes other2" sheetId="12" r:id="rId12"/>
    <sheet name="Sheet2" sheetId="38" state="hidden" r:id="rId13"/>
    <sheet name="FA - IT Act" sheetId="13" r:id="rId14"/>
    <sheet name="DT" sheetId="14" r:id="rId15"/>
    <sheet name="Sheet1" sheetId="15" state="hidden" r:id="rId16"/>
    <sheet name="03_Independent_Auditors_Report" sheetId="16" state="hidden" r:id="rId17"/>
    <sheet name="04_Annexure_A_CARO_2020" sheetId="17" state="hidden" r:id="rId18"/>
    <sheet name="05_Annexure_B_IFC" sheetId="18" state="hidden" r:id="rId19"/>
    <sheet name="06_Form_3CA" sheetId="19" state="hidden" r:id="rId20"/>
    <sheet name="07_Form_3CD_Part_A" sheetId="20" state="hidden" r:id="rId21"/>
    <sheet name="08_Form_3CD_09_to_20" sheetId="21" state="hidden" r:id="rId22"/>
    <sheet name="09_Form_3CD_21_to_30C" sheetId="22" state="hidden" r:id="rId23"/>
    <sheet name="10_Form_3CD_31_to_44" sheetId="23" state="hidden" r:id="rId24"/>
    <sheet name="11_3CD_Annx_Partners_9" sheetId="24" state="hidden" r:id="rId25"/>
    <sheet name="12_3CD_Annx_Depn_18" sheetId="25" state="hidden" r:id="rId26"/>
    <sheet name="13_3CD_Annx_Disallow_21_26" sheetId="26" state="hidden" r:id="rId27"/>
    <sheet name="14_3CD_Annx_MSME_22_23" sheetId="27" state="hidden" r:id="rId28"/>
    <sheet name="15_3CD_Annx_43B_26" sheetId="28" state="hidden" r:id="rId29"/>
    <sheet name="16_3CD_Annx_Loans_31" sheetId="29" state="hidden" r:id="rId30"/>
    <sheet name="17_3CD_Annx_BF_Loss_32" sheetId="30" state="hidden" r:id="rId31"/>
    <sheet name="18_3CD_Annx_Deduction_19_33" sheetId="31" state="hidden" r:id="rId32"/>
    <sheet name="19_3CD_Annx_TDS_34" sheetId="32" state="hidden" r:id="rId33"/>
    <sheet name="20_3CD_Annx_Quant_35" sheetId="33" state="hidden" r:id="rId34"/>
    <sheet name="21_3CD_Annx_GP_40" sheetId="34" state="hidden" r:id="rId35"/>
    <sheet name="22_3CD_Annx_GST_44" sheetId="35" state="hidden" r:id="rId36"/>
    <sheet name="19_Sample_Narrative_Notes" sheetId="36" state="hidden" r:id="rId37"/>
    <sheet name="99_Legal_Sources" sheetId="37"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s>
  <definedNames>
    <definedName name="\c" localSheetId="7">#REF!</definedName>
    <definedName name="\c" localSheetId="8">#REF!</definedName>
    <definedName name="\c" localSheetId="6">#REF!</definedName>
    <definedName name="\c" localSheetId="9">#REF!</definedName>
    <definedName name="\c" localSheetId="10">#REF!</definedName>
    <definedName name="\c" localSheetId="11">#REF!</definedName>
    <definedName name="\c">#REF!</definedName>
    <definedName name="\s" localSheetId="7">#REF!</definedName>
    <definedName name="\s" localSheetId="8">#REF!</definedName>
    <definedName name="\s" localSheetId="6">#REF!</definedName>
    <definedName name="\s" localSheetId="9">#REF!</definedName>
    <definedName name="\s" localSheetId="10">#REF!</definedName>
    <definedName name="\s" localSheetId="11">#REF!</definedName>
    <definedName name="\s">#REF!</definedName>
    <definedName name="_________f3" localSheetId="7" hidden="1">{#N/A,#N/A,FALSE,"Aging Summary";#N/A,#N/A,FALSE,"Ratio Analysis";#N/A,#N/A,FALSE,"Test 120 Day Accts";#N/A,#N/A,FALSE,"Tickmarks"}</definedName>
    <definedName name="_________f3" localSheetId="8" hidden="1">{#N/A,#N/A,FALSE,"Aging Summary";#N/A,#N/A,FALSE,"Ratio Analysis";#N/A,#N/A,FALSE,"Test 120 Day Accts";#N/A,#N/A,FALSE,"Tickmarks"}</definedName>
    <definedName name="_________f3" localSheetId="6" hidden="1">{#N/A,#N/A,FALSE,"Aging Summary";#N/A,#N/A,FALSE,"Ratio Analysis";#N/A,#N/A,FALSE,"Test 120 Day Accts";#N/A,#N/A,FALSE,"Tickmarks"}</definedName>
    <definedName name="_________f3" localSheetId="9" hidden="1">{#N/A,#N/A,FALSE,"Aging Summary";#N/A,#N/A,FALSE,"Ratio Analysis";#N/A,#N/A,FALSE,"Test 120 Day Accts";#N/A,#N/A,FALSE,"Tickmarks"}</definedName>
    <definedName name="_________f3" localSheetId="10" hidden="1">{#N/A,#N/A,FALSE,"Aging Summary";#N/A,#N/A,FALSE,"Ratio Analysis";#N/A,#N/A,FALSE,"Test 120 Day Accts";#N/A,#N/A,FALSE,"Tickmarks"}</definedName>
    <definedName name="_________f3" localSheetId="11" hidden="1">{#N/A,#N/A,FALSE,"Aging Summary";#N/A,#N/A,FALSE,"Ratio Analysis";#N/A,#N/A,FALSE,"Test 120 Day Accts";#N/A,#N/A,FALSE,"Tickmarks"}</definedName>
    <definedName name="_________f3" hidden="1">{#N/A,#N/A,FALSE,"Aging Summary";#N/A,#N/A,FALSE,"Ratio Analysis";#N/A,#N/A,FALSE,"Test 120 Day Accts";#N/A,#N/A,FALSE,"Tickmarks"}</definedName>
    <definedName name="_________f4" localSheetId="7" hidden="1">{#N/A,#N/A,FALSE,"Aging Summary";#N/A,#N/A,FALSE,"Ratio Analysis";#N/A,#N/A,FALSE,"Test 120 Day Accts";#N/A,#N/A,FALSE,"Tickmarks"}</definedName>
    <definedName name="_________f4" localSheetId="8" hidden="1">{#N/A,#N/A,FALSE,"Aging Summary";#N/A,#N/A,FALSE,"Ratio Analysis";#N/A,#N/A,FALSE,"Test 120 Day Accts";#N/A,#N/A,FALSE,"Tickmarks"}</definedName>
    <definedName name="_________f4" localSheetId="6" hidden="1">{#N/A,#N/A,FALSE,"Aging Summary";#N/A,#N/A,FALSE,"Ratio Analysis";#N/A,#N/A,FALSE,"Test 120 Day Accts";#N/A,#N/A,FALSE,"Tickmarks"}</definedName>
    <definedName name="_________f4" localSheetId="9" hidden="1">{#N/A,#N/A,FALSE,"Aging Summary";#N/A,#N/A,FALSE,"Ratio Analysis";#N/A,#N/A,FALSE,"Test 120 Day Accts";#N/A,#N/A,FALSE,"Tickmarks"}</definedName>
    <definedName name="_________f4" localSheetId="10" hidden="1">{#N/A,#N/A,FALSE,"Aging Summary";#N/A,#N/A,FALSE,"Ratio Analysis";#N/A,#N/A,FALSE,"Test 120 Day Accts";#N/A,#N/A,FALSE,"Tickmarks"}</definedName>
    <definedName name="_________f4" localSheetId="11" hidden="1">{#N/A,#N/A,FALSE,"Aging Summary";#N/A,#N/A,FALSE,"Ratio Analysis";#N/A,#N/A,FALSE,"Test 120 Day Accts";#N/A,#N/A,FALSE,"Tickmarks"}</definedName>
    <definedName name="_________f4" hidden="1">{#N/A,#N/A,FALSE,"Aging Summary";#N/A,#N/A,FALSE,"Ratio Analysis";#N/A,#N/A,FALSE,"Test 120 Day Accts";#N/A,#N/A,FALSE,"Tickmarks"}</definedName>
    <definedName name="________f3" localSheetId="7" hidden="1">{#N/A,#N/A,FALSE,"Aging Summary";#N/A,#N/A,FALSE,"Ratio Analysis";#N/A,#N/A,FALSE,"Test 120 Day Accts";#N/A,#N/A,FALSE,"Tickmarks"}</definedName>
    <definedName name="________f3" localSheetId="8" hidden="1">{#N/A,#N/A,FALSE,"Aging Summary";#N/A,#N/A,FALSE,"Ratio Analysis";#N/A,#N/A,FALSE,"Test 120 Day Accts";#N/A,#N/A,FALSE,"Tickmarks"}</definedName>
    <definedName name="________f3" localSheetId="6" hidden="1">{#N/A,#N/A,FALSE,"Aging Summary";#N/A,#N/A,FALSE,"Ratio Analysis";#N/A,#N/A,FALSE,"Test 120 Day Accts";#N/A,#N/A,FALSE,"Tickmarks"}</definedName>
    <definedName name="________f3" localSheetId="9" hidden="1">{#N/A,#N/A,FALSE,"Aging Summary";#N/A,#N/A,FALSE,"Ratio Analysis";#N/A,#N/A,FALSE,"Test 120 Day Accts";#N/A,#N/A,FALSE,"Tickmarks"}</definedName>
    <definedName name="________f3" localSheetId="10" hidden="1">{#N/A,#N/A,FALSE,"Aging Summary";#N/A,#N/A,FALSE,"Ratio Analysis";#N/A,#N/A,FALSE,"Test 120 Day Accts";#N/A,#N/A,FALSE,"Tickmarks"}</definedName>
    <definedName name="________f3" localSheetId="11" hidden="1">{#N/A,#N/A,FALSE,"Aging Summary";#N/A,#N/A,FALSE,"Ratio Analysis";#N/A,#N/A,FALSE,"Test 120 Day Accts";#N/A,#N/A,FALSE,"Tickmarks"}</definedName>
    <definedName name="________f3" hidden="1">{#N/A,#N/A,FALSE,"Aging Summary";#N/A,#N/A,FALSE,"Ratio Analysis";#N/A,#N/A,FALSE,"Test 120 Day Accts";#N/A,#N/A,FALSE,"Tickmarks"}</definedName>
    <definedName name="________f4" localSheetId="7" hidden="1">{#N/A,#N/A,FALSE,"Aging Summary";#N/A,#N/A,FALSE,"Ratio Analysis";#N/A,#N/A,FALSE,"Test 120 Day Accts";#N/A,#N/A,FALSE,"Tickmarks"}</definedName>
    <definedName name="________f4" localSheetId="8" hidden="1">{#N/A,#N/A,FALSE,"Aging Summary";#N/A,#N/A,FALSE,"Ratio Analysis";#N/A,#N/A,FALSE,"Test 120 Day Accts";#N/A,#N/A,FALSE,"Tickmarks"}</definedName>
    <definedName name="________f4" localSheetId="6" hidden="1">{#N/A,#N/A,FALSE,"Aging Summary";#N/A,#N/A,FALSE,"Ratio Analysis";#N/A,#N/A,FALSE,"Test 120 Day Accts";#N/A,#N/A,FALSE,"Tickmarks"}</definedName>
    <definedName name="________f4" localSheetId="9" hidden="1">{#N/A,#N/A,FALSE,"Aging Summary";#N/A,#N/A,FALSE,"Ratio Analysis";#N/A,#N/A,FALSE,"Test 120 Day Accts";#N/A,#N/A,FALSE,"Tickmarks"}</definedName>
    <definedName name="________f4" localSheetId="10" hidden="1">{#N/A,#N/A,FALSE,"Aging Summary";#N/A,#N/A,FALSE,"Ratio Analysis";#N/A,#N/A,FALSE,"Test 120 Day Accts";#N/A,#N/A,FALSE,"Tickmarks"}</definedName>
    <definedName name="________f4" localSheetId="11" hidden="1">{#N/A,#N/A,FALSE,"Aging Summary";#N/A,#N/A,FALSE,"Ratio Analysis";#N/A,#N/A,FALSE,"Test 120 Day Accts";#N/A,#N/A,FALSE,"Tickmarks"}</definedName>
    <definedName name="________f4" hidden="1">{#N/A,#N/A,FALSE,"Aging Summary";#N/A,#N/A,FALSE,"Ratio Analysis";#N/A,#N/A,FALSE,"Test 120 Day Accts";#N/A,#N/A,FALSE,"Tickmarks"}</definedName>
    <definedName name="_______f3" localSheetId="7" hidden="1">{#N/A,#N/A,FALSE,"Aging Summary";#N/A,#N/A,FALSE,"Ratio Analysis";#N/A,#N/A,FALSE,"Test 120 Day Accts";#N/A,#N/A,FALSE,"Tickmarks"}</definedName>
    <definedName name="_______f3" localSheetId="8" hidden="1">{#N/A,#N/A,FALSE,"Aging Summary";#N/A,#N/A,FALSE,"Ratio Analysis";#N/A,#N/A,FALSE,"Test 120 Day Accts";#N/A,#N/A,FALSE,"Tickmarks"}</definedName>
    <definedName name="_______f3" localSheetId="6" hidden="1">{#N/A,#N/A,FALSE,"Aging Summary";#N/A,#N/A,FALSE,"Ratio Analysis";#N/A,#N/A,FALSE,"Test 120 Day Accts";#N/A,#N/A,FALSE,"Tickmarks"}</definedName>
    <definedName name="_______f3" localSheetId="9" hidden="1">{#N/A,#N/A,FALSE,"Aging Summary";#N/A,#N/A,FALSE,"Ratio Analysis";#N/A,#N/A,FALSE,"Test 120 Day Accts";#N/A,#N/A,FALSE,"Tickmarks"}</definedName>
    <definedName name="_______f3" localSheetId="10" hidden="1">{#N/A,#N/A,FALSE,"Aging Summary";#N/A,#N/A,FALSE,"Ratio Analysis";#N/A,#N/A,FALSE,"Test 120 Day Accts";#N/A,#N/A,FALSE,"Tickmarks"}</definedName>
    <definedName name="_______f3" localSheetId="11" hidden="1">{#N/A,#N/A,FALSE,"Aging Summary";#N/A,#N/A,FALSE,"Ratio Analysis";#N/A,#N/A,FALSE,"Test 120 Day Accts";#N/A,#N/A,FALSE,"Tickmarks"}</definedName>
    <definedName name="_______f3" hidden="1">{#N/A,#N/A,FALSE,"Aging Summary";#N/A,#N/A,FALSE,"Ratio Analysis";#N/A,#N/A,FALSE,"Test 120 Day Accts";#N/A,#N/A,FALSE,"Tickmarks"}</definedName>
    <definedName name="_______f4" localSheetId="7" hidden="1">{#N/A,#N/A,FALSE,"Aging Summary";#N/A,#N/A,FALSE,"Ratio Analysis";#N/A,#N/A,FALSE,"Test 120 Day Accts";#N/A,#N/A,FALSE,"Tickmarks"}</definedName>
    <definedName name="_______f4" localSheetId="8" hidden="1">{#N/A,#N/A,FALSE,"Aging Summary";#N/A,#N/A,FALSE,"Ratio Analysis";#N/A,#N/A,FALSE,"Test 120 Day Accts";#N/A,#N/A,FALSE,"Tickmarks"}</definedName>
    <definedName name="_______f4" localSheetId="6" hidden="1">{#N/A,#N/A,FALSE,"Aging Summary";#N/A,#N/A,FALSE,"Ratio Analysis";#N/A,#N/A,FALSE,"Test 120 Day Accts";#N/A,#N/A,FALSE,"Tickmarks"}</definedName>
    <definedName name="_______f4" localSheetId="9" hidden="1">{#N/A,#N/A,FALSE,"Aging Summary";#N/A,#N/A,FALSE,"Ratio Analysis";#N/A,#N/A,FALSE,"Test 120 Day Accts";#N/A,#N/A,FALSE,"Tickmarks"}</definedName>
    <definedName name="_______f4" localSheetId="10" hidden="1">{#N/A,#N/A,FALSE,"Aging Summary";#N/A,#N/A,FALSE,"Ratio Analysis";#N/A,#N/A,FALSE,"Test 120 Day Accts";#N/A,#N/A,FALSE,"Tickmarks"}</definedName>
    <definedName name="_______f4" localSheetId="11" hidden="1">{#N/A,#N/A,FALSE,"Aging Summary";#N/A,#N/A,FALSE,"Ratio Analysis";#N/A,#N/A,FALSE,"Test 120 Day Accts";#N/A,#N/A,FALSE,"Tickmarks"}</definedName>
    <definedName name="_______f4" hidden="1">{#N/A,#N/A,FALSE,"Aging Summary";#N/A,#N/A,FALSE,"Ratio Analysis";#N/A,#N/A,FALSE,"Test 120 Day Accts";#N/A,#N/A,FALSE,"Tickmarks"}</definedName>
    <definedName name="______f3" localSheetId="7" hidden="1">{#N/A,#N/A,FALSE,"Aging Summary";#N/A,#N/A,FALSE,"Ratio Analysis";#N/A,#N/A,FALSE,"Test 120 Day Accts";#N/A,#N/A,FALSE,"Tickmarks"}</definedName>
    <definedName name="______f3" localSheetId="8" hidden="1">{#N/A,#N/A,FALSE,"Aging Summary";#N/A,#N/A,FALSE,"Ratio Analysis";#N/A,#N/A,FALSE,"Test 120 Day Accts";#N/A,#N/A,FALSE,"Tickmarks"}</definedName>
    <definedName name="______f3" localSheetId="6" hidden="1">{#N/A,#N/A,FALSE,"Aging Summary";#N/A,#N/A,FALSE,"Ratio Analysis";#N/A,#N/A,FALSE,"Test 120 Day Accts";#N/A,#N/A,FALSE,"Tickmarks"}</definedName>
    <definedName name="______f3" localSheetId="9" hidden="1">{#N/A,#N/A,FALSE,"Aging Summary";#N/A,#N/A,FALSE,"Ratio Analysis";#N/A,#N/A,FALSE,"Test 120 Day Accts";#N/A,#N/A,FALSE,"Tickmarks"}</definedName>
    <definedName name="______f3" localSheetId="10" hidden="1">{#N/A,#N/A,FALSE,"Aging Summary";#N/A,#N/A,FALSE,"Ratio Analysis";#N/A,#N/A,FALSE,"Test 120 Day Accts";#N/A,#N/A,FALSE,"Tickmarks"}</definedName>
    <definedName name="______f3" localSheetId="11" hidden="1">{#N/A,#N/A,FALSE,"Aging Summary";#N/A,#N/A,FALSE,"Ratio Analysis";#N/A,#N/A,FALSE,"Test 120 Day Accts";#N/A,#N/A,FALSE,"Tickmarks"}</definedName>
    <definedName name="______f3" hidden="1">{#N/A,#N/A,FALSE,"Aging Summary";#N/A,#N/A,FALSE,"Ratio Analysis";#N/A,#N/A,FALSE,"Test 120 Day Accts";#N/A,#N/A,FALSE,"Tickmarks"}</definedName>
    <definedName name="______f4" localSheetId="7" hidden="1">{#N/A,#N/A,FALSE,"Aging Summary";#N/A,#N/A,FALSE,"Ratio Analysis";#N/A,#N/A,FALSE,"Test 120 Day Accts";#N/A,#N/A,FALSE,"Tickmarks"}</definedName>
    <definedName name="______f4" localSheetId="8" hidden="1">{#N/A,#N/A,FALSE,"Aging Summary";#N/A,#N/A,FALSE,"Ratio Analysis";#N/A,#N/A,FALSE,"Test 120 Day Accts";#N/A,#N/A,FALSE,"Tickmarks"}</definedName>
    <definedName name="______f4" localSheetId="6" hidden="1">{#N/A,#N/A,FALSE,"Aging Summary";#N/A,#N/A,FALSE,"Ratio Analysis";#N/A,#N/A,FALSE,"Test 120 Day Accts";#N/A,#N/A,FALSE,"Tickmarks"}</definedName>
    <definedName name="______f4" localSheetId="9" hidden="1">{#N/A,#N/A,FALSE,"Aging Summary";#N/A,#N/A,FALSE,"Ratio Analysis";#N/A,#N/A,FALSE,"Test 120 Day Accts";#N/A,#N/A,FALSE,"Tickmarks"}</definedName>
    <definedName name="______f4" localSheetId="10" hidden="1">{#N/A,#N/A,FALSE,"Aging Summary";#N/A,#N/A,FALSE,"Ratio Analysis";#N/A,#N/A,FALSE,"Test 120 Day Accts";#N/A,#N/A,FALSE,"Tickmarks"}</definedName>
    <definedName name="______f4" localSheetId="11" hidden="1">{#N/A,#N/A,FALSE,"Aging Summary";#N/A,#N/A,FALSE,"Ratio Analysis";#N/A,#N/A,FALSE,"Test 120 Day Accts";#N/A,#N/A,FALSE,"Tickmarks"}</definedName>
    <definedName name="______f4" hidden="1">{#N/A,#N/A,FALSE,"Aging Summary";#N/A,#N/A,FALSE,"Ratio Analysis";#N/A,#N/A,FALSE,"Test 120 Day Accts";#N/A,#N/A,FALSE,"Tickmarks"}</definedName>
    <definedName name="_____f3" localSheetId="7" hidden="1">{#N/A,#N/A,FALSE,"Aging Summary";#N/A,#N/A,FALSE,"Ratio Analysis";#N/A,#N/A,FALSE,"Test 120 Day Accts";#N/A,#N/A,FALSE,"Tickmarks"}</definedName>
    <definedName name="_____f3" localSheetId="8" hidden="1">{#N/A,#N/A,FALSE,"Aging Summary";#N/A,#N/A,FALSE,"Ratio Analysis";#N/A,#N/A,FALSE,"Test 120 Day Accts";#N/A,#N/A,FALSE,"Tickmarks"}</definedName>
    <definedName name="_____f3" localSheetId="6" hidden="1">{#N/A,#N/A,FALSE,"Aging Summary";#N/A,#N/A,FALSE,"Ratio Analysis";#N/A,#N/A,FALSE,"Test 120 Day Accts";#N/A,#N/A,FALSE,"Tickmarks"}</definedName>
    <definedName name="_____f3" localSheetId="9" hidden="1">{#N/A,#N/A,FALSE,"Aging Summary";#N/A,#N/A,FALSE,"Ratio Analysis";#N/A,#N/A,FALSE,"Test 120 Day Accts";#N/A,#N/A,FALSE,"Tickmarks"}</definedName>
    <definedName name="_____f3" localSheetId="10" hidden="1">{#N/A,#N/A,FALSE,"Aging Summary";#N/A,#N/A,FALSE,"Ratio Analysis";#N/A,#N/A,FALSE,"Test 120 Day Accts";#N/A,#N/A,FALSE,"Tickmarks"}</definedName>
    <definedName name="_____f3" localSheetId="11" hidden="1">{#N/A,#N/A,FALSE,"Aging Summary";#N/A,#N/A,FALSE,"Ratio Analysis";#N/A,#N/A,FALSE,"Test 120 Day Accts";#N/A,#N/A,FALSE,"Tickmarks"}</definedName>
    <definedName name="_____f3" hidden="1">{#N/A,#N/A,FALSE,"Aging Summary";#N/A,#N/A,FALSE,"Ratio Analysis";#N/A,#N/A,FALSE,"Test 120 Day Accts";#N/A,#N/A,FALSE,"Tickmarks"}</definedName>
    <definedName name="_____f4" localSheetId="7" hidden="1">{#N/A,#N/A,FALSE,"Aging Summary";#N/A,#N/A,FALSE,"Ratio Analysis";#N/A,#N/A,FALSE,"Test 120 Day Accts";#N/A,#N/A,FALSE,"Tickmarks"}</definedName>
    <definedName name="_____f4" localSheetId="8" hidden="1">{#N/A,#N/A,FALSE,"Aging Summary";#N/A,#N/A,FALSE,"Ratio Analysis";#N/A,#N/A,FALSE,"Test 120 Day Accts";#N/A,#N/A,FALSE,"Tickmarks"}</definedName>
    <definedName name="_____f4" localSheetId="6" hidden="1">{#N/A,#N/A,FALSE,"Aging Summary";#N/A,#N/A,FALSE,"Ratio Analysis";#N/A,#N/A,FALSE,"Test 120 Day Accts";#N/A,#N/A,FALSE,"Tickmarks"}</definedName>
    <definedName name="_____f4" localSheetId="9" hidden="1">{#N/A,#N/A,FALSE,"Aging Summary";#N/A,#N/A,FALSE,"Ratio Analysis";#N/A,#N/A,FALSE,"Test 120 Day Accts";#N/A,#N/A,FALSE,"Tickmarks"}</definedName>
    <definedName name="_____f4" localSheetId="10" hidden="1">{#N/A,#N/A,FALSE,"Aging Summary";#N/A,#N/A,FALSE,"Ratio Analysis";#N/A,#N/A,FALSE,"Test 120 Day Accts";#N/A,#N/A,FALSE,"Tickmarks"}</definedName>
    <definedName name="_____f4" localSheetId="11" hidden="1">{#N/A,#N/A,FALSE,"Aging Summary";#N/A,#N/A,FALSE,"Ratio Analysis";#N/A,#N/A,FALSE,"Test 120 Day Accts";#N/A,#N/A,FALSE,"Tickmarks"}</definedName>
    <definedName name="_____f4" hidden="1">{#N/A,#N/A,FALSE,"Aging Summary";#N/A,#N/A,FALSE,"Ratio Analysis";#N/A,#N/A,FALSE,"Test 120 Day Accts";#N/A,#N/A,FALSE,"Tickmarks"}</definedName>
    <definedName name="____f3" localSheetId="7" hidden="1">{#N/A,#N/A,FALSE,"Aging Summary";#N/A,#N/A,FALSE,"Ratio Analysis";#N/A,#N/A,FALSE,"Test 120 Day Accts";#N/A,#N/A,FALSE,"Tickmarks"}</definedName>
    <definedName name="____f3" localSheetId="8" hidden="1">{#N/A,#N/A,FALSE,"Aging Summary";#N/A,#N/A,FALSE,"Ratio Analysis";#N/A,#N/A,FALSE,"Test 120 Day Accts";#N/A,#N/A,FALSE,"Tickmarks"}</definedName>
    <definedName name="____f3" localSheetId="6" hidden="1">{#N/A,#N/A,FALSE,"Aging Summary";#N/A,#N/A,FALSE,"Ratio Analysis";#N/A,#N/A,FALSE,"Test 120 Day Accts";#N/A,#N/A,FALSE,"Tickmarks"}</definedName>
    <definedName name="____f3" localSheetId="9" hidden="1">{#N/A,#N/A,FALSE,"Aging Summary";#N/A,#N/A,FALSE,"Ratio Analysis";#N/A,#N/A,FALSE,"Test 120 Day Accts";#N/A,#N/A,FALSE,"Tickmarks"}</definedName>
    <definedName name="____f3" localSheetId="10" hidden="1">{#N/A,#N/A,FALSE,"Aging Summary";#N/A,#N/A,FALSE,"Ratio Analysis";#N/A,#N/A,FALSE,"Test 120 Day Accts";#N/A,#N/A,FALSE,"Tickmarks"}</definedName>
    <definedName name="____f3" localSheetId="11" hidden="1">{#N/A,#N/A,FALSE,"Aging Summary";#N/A,#N/A,FALSE,"Ratio Analysis";#N/A,#N/A,FALSE,"Test 120 Day Accts";#N/A,#N/A,FALSE,"Tickmarks"}</definedName>
    <definedName name="____f3" hidden="1">{#N/A,#N/A,FALSE,"Aging Summary";#N/A,#N/A,FALSE,"Ratio Analysis";#N/A,#N/A,FALSE,"Test 120 Day Accts";#N/A,#N/A,FALSE,"Tickmarks"}</definedName>
    <definedName name="____f4" localSheetId="7" hidden="1">{#N/A,#N/A,FALSE,"Aging Summary";#N/A,#N/A,FALSE,"Ratio Analysis";#N/A,#N/A,FALSE,"Test 120 Day Accts";#N/A,#N/A,FALSE,"Tickmarks"}</definedName>
    <definedName name="____f4" localSheetId="8" hidden="1">{#N/A,#N/A,FALSE,"Aging Summary";#N/A,#N/A,FALSE,"Ratio Analysis";#N/A,#N/A,FALSE,"Test 120 Day Accts";#N/A,#N/A,FALSE,"Tickmarks"}</definedName>
    <definedName name="____f4" localSheetId="6" hidden="1">{#N/A,#N/A,FALSE,"Aging Summary";#N/A,#N/A,FALSE,"Ratio Analysis";#N/A,#N/A,FALSE,"Test 120 Day Accts";#N/A,#N/A,FALSE,"Tickmarks"}</definedName>
    <definedName name="____f4" localSheetId="9" hidden="1">{#N/A,#N/A,FALSE,"Aging Summary";#N/A,#N/A,FALSE,"Ratio Analysis";#N/A,#N/A,FALSE,"Test 120 Day Accts";#N/A,#N/A,FALSE,"Tickmarks"}</definedName>
    <definedName name="____f4" localSheetId="10" hidden="1">{#N/A,#N/A,FALSE,"Aging Summary";#N/A,#N/A,FALSE,"Ratio Analysis";#N/A,#N/A,FALSE,"Test 120 Day Accts";#N/A,#N/A,FALSE,"Tickmarks"}</definedName>
    <definedName name="____f4" localSheetId="11" hidden="1">{#N/A,#N/A,FALSE,"Aging Summary";#N/A,#N/A,FALSE,"Ratio Analysis";#N/A,#N/A,FALSE,"Test 120 Day Accts";#N/A,#N/A,FALSE,"Tickmarks"}</definedName>
    <definedName name="____f4" hidden="1">{#N/A,#N/A,FALSE,"Aging Summary";#N/A,#N/A,FALSE,"Ratio Analysis";#N/A,#N/A,FALSE,"Test 120 Day Accts";#N/A,#N/A,FALSE,"Tickmarks"}</definedName>
    <definedName name="___f3" localSheetId="7" hidden="1">{#N/A,#N/A,FALSE,"Aging Summary";#N/A,#N/A,FALSE,"Ratio Analysis";#N/A,#N/A,FALSE,"Test 120 Day Accts";#N/A,#N/A,FALSE,"Tickmarks"}</definedName>
    <definedName name="___f3" localSheetId="8" hidden="1">{#N/A,#N/A,FALSE,"Aging Summary";#N/A,#N/A,FALSE,"Ratio Analysis";#N/A,#N/A,FALSE,"Test 120 Day Accts";#N/A,#N/A,FALSE,"Tickmarks"}</definedName>
    <definedName name="___f3" localSheetId="6" hidden="1">{#N/A,#N/A,FALSE,"Aging Summary";#N/A,#N/A,FALSE,"Ratio Analysis";#N/A,#N/A,FALSE,"Test 120 Day Accts";#N/A,#N/A,FALSE,"Tickmarks"}</definedName>
    <definedName name="___f3" localSheetId="9" hidden="1">{#N/A,#N/A,FALSE,"Aging Summary";#N/A,#N/A,FALSE,"Ratio Analysis";#N/A,#N/A,FALSE,"Test 120 Day Accts";#N/A,#N/A,FALSE,"Tickmarks"}</definedName>
    <definedName name="___f3" localSheetId="10" hidden="1">{#N/A,#N/A,FALSE,"Aging Summary";#N/A,#N/A,FALSE,"Ratio Analysis";#N/A,#N/A,FALSE,"Test 120 Day Accts";#N/A,#N/A,FALSE,"Tickmarks"}</definedName>
    <definedName name="___f3" localSheetId="11" hidden="1">{#N/A,#N/A,FALSE,"Aging Summary";#N/A,#N/A,FALSE,"Ratio Analysis";#N/A,#N/A,FALSE,"Test 120 Day Accts";#N/A,#N/A,FALSE,"Tickmarks"}</definedName>
    <definedName name="___f3" hidden="1">{#N/A,#N/A,FALSE,"Aging Summary";#N/A,#N/A,FALSE,"Ratio Analysis";#N/A,#N/A,FALSE,"Test 120 Day Accts";#N/A,#N/A,FALSE,"Tickmarks"}</definedName>
    <definedName name="___f4" localSheetId="7" hidden="1">{#N/A,#N/A,FALSE,"Aging Summary";#N/A,#N/A,FALSE,"Ratio Analysis";#N/A,#N/A,FALSE,"Test 120 Day Accts";#N/A,#N/A,FALSE,"Tickmarks"}</definedName>
    <definedName name="___f4" localSheetId="8" hidden="1">{#N/A,#N/A,FALSE,"Aging Summary";#N/A,#N/A,FALSE,"Ratio Analysis";#N/A,#N/A,FALSE,"Test 120 Day Accts";#N/A,#N/A,FALSE,"Tickmarks"}</definedName>
    <definedName name="___f4" localSheetId="6" hidden="1">{#N/A,#N/A,FALSE,"Aging Summary";#N/A,#N/A,FALSE,"Ratio Analysis";#N/A,#N/A,FALSE,"Test 120 Day Accts";#N/A,#N/A,FALSE,"Tickmarks"}</definedName>
    <definedName name="___f4" localSheetId="9" hidden="1">{#N/A,#N/A,FALSE,"Aging Summary";#N/A,#N/A,FALSE,"Ratio Analysis";#N/A,#N/A,FALSE,"Test 120 Day Accts";#N/A,#N/A,FALSE,"Tickmarks"}</definedName>
    <definedName name="___f4" localSheetId="10" hidden="1">{#N/A,#N/A,FALSE,"Aging Summary";#N/A,#N/A,FALSE,"Ratio Analysis";#N/A,#N/A,FALSE,"Test 120 Day Accts";#N/A,#N/A,FALSE,"Tickmarks"}</definedName>
    <definedName name="___f4" localSheetId="11" hidden="1">{#N/A,#N/A,FALSE,"Aging Summary";#N/A,#N/A,FALSE,"Ratio Analysis";#N/A,#N/A,FALSE,"Test 120 Day Accts";#N/A,#N/A,FALSE,"Tickmarks"}</definedName>
    <definedName name="___f4" hidden="1">{#N/A,#N/A,FALSE,"Aging Summary";#N/A,#N/A,FALSE,"Ratio Analysis";#N/A,#N/A,FALSE,"Test 120 Day Accts";#N/A,#N/A,FALSE,"Tickmarks"}</definedName>
    <definedName name="___INDEX_SHEET___ASAP_Utilities" localSheetId="7">#REF!</definedName>
    <definedName name="___INDEX_SHEET___ASAP_Utilities" localSheetId="8">#REF!</definedName>
    <definedName name="___INDEX_SHEET___ASAP_Utilities" localSheetId="6">#REF!</definedName>
    <definedName name="___INDEX_SHEET___ASAP_Utilities" localSheetId="9">#REF!</definedName>
    <definedName name="___INDEX_SHEET___ASAP_Utilities" localSheetId="10">#REF!</definedName>
    <definedName name="___INDEX_SHEET___ASAP_Utilities" localSheetId="11">#REF!</definedName>
    <definedName name="___INDEX_SHEET___ASAP_Utilities">#REF!</definedName>
    <definedName name="___SCH1" localSheetId="7" hidden="1">{#N/A,#N/A,FALSE,"Aging Summary";#N/A,#N/A,FALSE,"Ratio Analysis";#N/A,#N/A,FALSE,"Test 120 Day Accts";#N/A,#N/A,FALSE,"Tickmarks"}</definedName>
    <definedName name="___SCH1" localSheetId="8" hidden="1">{#N/A,#N/A,FALSE,"Aging Summary";#N/A,#N/A,FALSE,"Ratio Analysis";#N/A,#N/A,FALSE,"Test 120 Day Accts";#N/A,#N/A,FALSE,"Tickmarks"}</definedName>
    <definedName name="___SCH1" localSheetId="6" hidden="1">{#N/A,#N/A,FALSE,"Aging Summary";#N/A,#N/A,FALSE,"Ratio Analysis";#N/A,#N/A,FALSE,"Test 120 Day Accts";#N/A,#N/A,FALSE,"Tickmarks"}</definedName>
    <definedName name="___SCH1" localSheetId="9" hidden="1">{#N/A,#N/A,FALSE,"Aging Summary";#N/A,#N/A,FALSE,"Ratio Analysis";#N/A,#N/A,FALSE,"Test 120 Day Accts";#N/A,#N/A,FALSE,"Tickmarks"}</definedName>
    <definedName name="___SCH1" localSheetId="10" hidden="1">{#N/A,#N/A,FALSE,"Aging Summary";#N/A,#N/A,FALSE,"Ratio Analysis";#N/A,#N/A,FALSE,"Test 120 Day Accts";#N/A,#N/A,FALSE,"Tickmarks"}</definedName>
    <definedName name="___SCH1" localSheetId="11" hidden="1">{#N/A,#N/A,FALSE,"Aging Summary";#N/A,#N/A,FALSE,"Ratio Analysis";#N/A,#N/A,FALSE,"Test 120 Day Accts";#N/A,#N/A,FALSE,"Tickmarks"}</definedName>
    <definedName name="___SCH1" hidden="1">{#N/A,#N/A,FALSE,"Aging Summary";#N/A,#N/A,FALSE,"Ratio Analysis";#N/A,#N/A,FALSE,"Test 120 Day Accts";#N/A,#N/A,FALSE,"Tickmarks"}</definedName>
    <definedName name="___SCH2" localSheetId="7" hidden="1">{#N/A,#N/A,FALSE,"Aging Summary";#N/A,#N/A,FALSE,"Ratio Analysis";#N/A,#N/A,FALSE,"Test 120 Day Accts";#N/A,#N/A,FALSE,"Tickmarks"}</definedName>
    <definedName name="___SCH2" localSheetId="8" hidden="1">{#N/A,#N/A,FALSE,"Aging Summary";#N/A,#N/A,FALSE,"Ratio Analysis";#N/A,#N/A,FALSE,"Test 120 Day Accts";#N/A,#N/A,FALSE,"Tickmarks"}</definedName>
    <definedName name="___SCH2" localSheetId="6" hidden="1">{#N/A,#N/A,FALSE,"Aging Summary";#N/A,#N/A,FALSE,"Ratio Analysis";#N/A,#N/A,FALSE,"Test 120 Day Accts";#N/A,#N/A,FALSE,"Tickmarks"}</definedName>
    <definedName name="___SCH2" localSheetId="9" hidden="1">{#N/A,#N/A,FALSE,"Aging Summary";#N/A,#N/A,FALSE,"Ratio Analysis";#N/A,#N/A,FALSE,"Test 120 Day Accts";#N/A,#N/A,FALSE,"Tickmarks"}</definedName>
    <definedName name="___SCH2" localSheetId="10" hidden="1">{#N/A,#N/A,FALSE,"Aging Summary";#N/A,#N/A,FALSE,"Ratio Analysis";#N/A,#N/A,FALSE,"Test 120 Day Accts";#N/A,#N/A,FALSE,"Tickmarks"}</definedName>
    <definedName name="___SCH2" localSheetId="11" hidden="1">{#N/A,#N/A,FALSE,"Aging Summary";#N/A,#N/A,FALSE,"Ratio Analysis";#N/A,#N/A,FALSE,"Test 120 Day Accts";#N/A,#N/A,FALSE,"Tickmarks"}</definedName>
    <definedName name="___SCH2" hidden="1">{#N/A,#N/A,FALSE,"Aging Summary";#N/A,#N/A,FALSE,"Ratio Analysis";#N/A,#N/A,FALSE,"Test 120 Day Accts";#N/A,#N/A,FALSE,"Tickmarks"}</definedName>
    <definedName name="___TB1" localSheetId="7">'[1]Other notes'!#REF!</definedName>
    <definedName name="___TB1" localSheetId="8">'[1]Other notes'!#REF!</definedName>
    <definedName name="___TB1" localSheetId="6">'[1]Other notes'!#REF!</definedName>
    <definedName name="___TB1" localSheetId="9">'[1]Other notes'!#REF!</definedName>
    <definedName name="___TB1" localSheetId="10">'[1]Other notes'!#REF!</definedName>
    <definedName name="___TB1" localSheetId="11">'[1]Other notes'!#REF!</definedName>
    <definedName name="___TB1">'[1]Other notes'!#REF!</definedName>
    <definedName name="___TB2" localSheetId="7">'[1]Other notes'!#REF!</definedName>
    <definedName name="___TB2" localSheetId="8">'[1]Other notes'!#REF!</definedName>
    <definedName name="___TB2" localSheetId="6">'[1]Other notes'!#REF!</definedName>
    <definedName name="___TB2" localSheetId="9">'[1]Other notes'!#REF!</definedName>
    <definedName name="___TB2" localSheetId="10">'[1]Other notes'!#REF!</definedName>
    <definedName name="___TB2" localSheetId="11">'[1]Other notes'!#REF!</definedName>
    <definedName name="___TB2">'[1]Other notes'!#REF!</definedName>
    <definedName name="___TB3" localSheetId="7">'[1]Other notes'!#REF!</definedName>
    <definedName name="___TB3" localSheetId="8">'[1]Other notes'!#REF!</definedName>
    <definedName name="___TB3" localSheetId="6">'[1]Other notes'!#REF!</definedName>
    <definedName name="___TB3" localSheetId="9">'[1]Other notes'!#REF!</definedName>
    <definedName name="___TB3" localSheetId="10">'[1]Other notes'!#REF!</definedName>
    <definedName name="___TB3" localSheetId="11">'[1]Other notes'!#REF!</definedName>
    <definedName name="___TB3">'[1]Other notes'!#REF!</definedName>
    <definedName name="___TB4" localSheetId="7">'[1]Other notes'!#REF!</definedName>
    <definedName name="___TB4" localSheetId="8">'[1]Other notes'!#REF!</definedName>
    <definedName name="___TB4" localSheetId="6">'[1]Other notes'!#REF!</definedName>
    <definedName name="___TB4" localSheetId="9">'[1]Other notes'!#REF!</definedName>
    <definedName name="___TB4" localSheetId="10">'[1]Other notes'!#REF!</definedName>
    <definedName name="___TB4" localSheetId="11">'[1]Other notes'!#REF!</definedName>
    <definedName name="___TB4">'[1]Other notes'!#REF!</definedName>
    <definedName name="___TB5" localSheetId="7">'[1]Other notes'!#REF!</definedName>
    <definedName name="___TB5" localSheetId="8">'[1]Other notes'!#REF!</definedName>
    <definedName name="___TB5" localSheetId="6">'[1]Other notes'!#REF!</definedName>
    <definedName name="___TB5" localSheetId="9">'[1]Other notes'!#REF!</definedName>
    <definedName name="___TB5" localSheetId="10">'[1]Other notes'!#REF!</definedName>
    <definedName name="___TB5" localSheetId="11">'[1]Other notes'!#REF!</definedName>
    <definedName name="___TB5">'[1]Other notes'!#REF!</definedName>
    <definedName name="___TB6" localSheetId="7">'[1]Other notes'!#REF!</definedName>
    <definedName name="___TB6" localSheetId="8">'[1]Other notes'!#REF!</definedName>
    <definedName name="___TB6" localSheetId="6">'[1]Other notes'!#REF!</definedName>
    <definedName name="___TB6" localSheetId="9">'[1]Other notes'!#REF!</definedName>
    <definedName name="___TB6" localSheetId="10">'[1]Other notes'!#REF!</definedName>
    <definedName name="___TB6" localSheetId="11">'[1]Other notes'!#REF!</definedName>
    <definedName name="___TB6">'[1]Other notes'!#REF!</definedName>
    <definedName name="___TB7" localSheetId="7">'[1]Other notes'!#REF!</definedName>
    <definedName name="___TB7" localSheetId="8">'[1]Other notes'!#REF!</definedName>
    <definedName name="___TB7" localSheetId="6">'[1]Other notes'!#REF!</definedName>
    <definedName name="___TB7" localSheetId="9">'[1]Other notes'!#REF!</definedName>
    <definedName name="___TB7" localSheetId="10">'[1]Other notes'!#REF!</definedName>
    <definedName name="___TB7" localSheetId="11">'[1]Other notes'!#REF!</definedName>
    <definedName name="___TB7">'[1]Other notes'!#REF!</definedName>
    <definedName name="__f3" localSheetId="7" hidden="1">{#N/A,#N/A,FALSE,"Aging Summary";#N/A,#N/A,FALSE,"Ratio Analysis";#N/A,#N/A,FALSE,"Test 120 Day Accts";#N/A,#N/A,FALSE,"Tickmarks"}</definedName>
    <definedName name="__f3" localSheetId="8" hidden="1">{#N/A,#N/A,FALSE,"Aging Summary";#N/A,#N/A,FALSE,"Ratio Analysis";#N/A,#N/A,FALSE,"Test 120 Day Accts";#N/A,#N/A,FALSE,"Tickmarks"}</definedName>
    <definedName name="__f3" localSheetId="6" hidden="1">{#N/A,#N/A,FALSE,"Aging Summary";#N/A,#N/A,FALSE,"Ratio Analysis";#N/A,#N/A,FALSE,"Test 120 Day Accts";#N/A,#N/A,FALSE,"Tickmarks"}</definedName>
    <definedName name="__f3" localSheetId="9" hidden="1">{#N/A,#N/A,FALSE,"Aging Summary";#N/A,#N/A,FALSE,"Ratio Analysis";#N/A,#N/A,FALSE,"Test 120 Day Accts";#N/A,#N/A,FALSE,"Tickmarks"}</definedName>
    <definedName name="__f3" localSheetId="10" hidden="1">{#N/A,#N/A,FALSE,"Aging Summary";#N/A,#N/A,FALSE,"Ratio Analysis";#N/A,#N/A,FALSE,"Test 120 Day Accts";#N/A,#N/A,FALSE,"Tickmarks"}</definedName>
    <definedName name="__f3" localSheetId="11" hidden="1">{#N/A,#N/A,FALSE,"Aging Summary";#N/A,#N/A,FALSE,"Ratio Analysis";#N/A,#N/A,FALSE,"Test 120 Day Accts";#N/A,#N/A,FALSE,"Tickmarks"}</definedName>
    <definedName name="__f3" hidden="1">{#N/A,#N/A,FALSE,"Aging Summary";#N/A,#N/A,FALSE,"Ratio Analysis";#N/A,#N/A,FALSE,"Test 120 Day Accts";#N/A,#N/A,FALSE,"Tickmarks"}</definedName>
    <definedName name="__f4" localSheetId="7" hidden="1">{#N/A,#N/A,FALSE,"Aging Summary";#N/A,#N/A,FALSE,"Ratio Analysis";#N/A,#N/A,FALSE,"Test 120 Day Accts";#N/A,#N/A,FALSE,"Tickmarks"}</definedName>
    <definedName name="__f4" localSheetId="8" hidden="1">{#N/A,#N/A,FALSE,"Aging Summary";#N/A,#N/A,FALSE,"Ratio Analysis";#N/A,#N/A,FALSE,"Test 120 Day Accts";#N/A,#N/A,FALSE,"Tickmarks"}</definedName>
    <definedName name="__f4" localSheetId="6" hidden="1">{#N/A,#N/A,FALSE,"Aging Summary";#N/A,#N/A,FALSE,"Ratio Analysis";#N/A,#N/A,FALSE,"Test 120 Day Accts";#N/A,#N/A,FALSE,"Tickmarks"}</definedName>
    <definedName name="__f4" localSheetId="9" hidden="1">{#N/A,#N/A,FALSE,"Aging Summary";#N/A,#N/A,FALSE,"Ratio Analysis";#N/A,#N/A,FALSE,"Test 120 Day Accts";#N/A,#N/A,FALSE,"Tickmarks"}</definedName>
    <definedName name="__f4" localSheetId="10" hidden="1">{#N/A,#N/A,FALSE,"Aging Summary";#N/A,#N/A,FALSE,"Ratio Analysis";#N/A,#N/A,FALSE,"Test 120 Day Accts";#N/A,#N/A,FALSE,"Tickmarks"}</definedName>
    <definedName name="__f4" localSheetId="11" hidden="1">{#N/A,#N/A,FALSE,"Aging Summary";#N/A,#N/A,FALSE,"Ratio Analysis";#N/A,#N/A,FALSE,"Test 120 Day Accts";#N/A,#N/A,FALSE,"Tickmarks"}</definedName>
    <definedName name="__f4" hidden="1">{#N/A,#N/A,FALSE,"Aging Summary";#N/A,#N/A,FALSE,"Ratio Analysis";#N/A,#N/A,FALSE,"Test 120 Day Accts";#N/A,#N/A,FALSE,"Tickmarks"}</definedName>
    <definedName name="__SCH1" localSheetId="7" hidden="1">{#N/A,#N/A,FALSE,"Aging Summary";#N/A,#N/A,FALSE,"Ratio Analysis";#N/A,#N/A,FALSE,"Test 120 Day Accts";#N/A,#N/A,FALSE,"Tickmarks"}</definedName>
    <definedName name="__SCH1" localSheetId="8" hidden="1">{#N/A,#N/A,FALSE,"Aging Summary";#N/A,#N/A,FALSE,"Ratio Analysis";#N/A,#N/A,FALSE,"Test 120 Day Accts";#N/A,#N/A,FALSE,"Tickmarks"}</definedName>
    <definedName name="__SCH1" localSheetId="6" hidden="1">{#N/A,#N/A,FALSE,"Aging Summary";#N/A,#N/A,FALSE,"Ratio Analysis";#N/A,#N/A,FALSE,"Test 120 Day Accts";#N/A,#N/A,FALSE,"Tickmarks"}</definedName>
    <definedName name="__SCH1" localSheetId="9" hidden="1">{#N/A,#N/A,FALSE,"Aging Summary";#N/A,#N/A,FALSE,"Ratio Analysis";#N/A,#N/A,FALSE,"Test 120 Day Accts";#N/A,#N/A,FALSE,"Tickmarks"}</definedName>
    <definedName name="__SCH1" localSheetId="10" hidden="1">{#N/A,#N/A,FALSE,"Aging Summary";#N/A,#N/A,FALSE,"Ratio Analysis";#N/A,#N/A,FALSE,"Test 120 Day Accts";#N/A,#N/A,FALSE,"Tickmarks"}</definedName>
    <definedName name="__SCH1" localSheetId="11" hidden="1">{#N/A,#N/A,FALSE,"Aging Summary";#N/A,#N/A,FALSE,"Ratio Analysis";#N/A,#N/A,FALSE,"Test 120 Day Accts";#N/A,#N/A,FALSE,"Tickmarks"}</definedName>
    <definedName name="__SCH1" hidden="1">{#N/A,#N/A,FALSE,"Aging Summary";#N/A,#N/A,FALSE,"Ratio Analysis";#N/A,#N/A,FALSE,"Test 120 Day Accts";#N/A,#N/A,FALSE,"Tickmarks"}</definedName>
    <definedName name="__SCH2" localSheetId="7" hidden="1">{#N/A,#N/A,FALSE,"Aging Summary";#N/A,#N/A,FALSE,"Ratio Analysis";#N/A,#N/A,FALSE,"Test 120 Day Accts";#N/A,#N/A,FALSE,"Tickmarks"}</definedName>
    <definedName name="__SCH2" localSheetId="8" hidden="1">{#N/A,#N/A,FALSE,"Aging Summary";#N/A,#N/A,FALSE,"Ratio Analysis";#N/A,#N/A,FALSE,"Test 120 Day Accts";#N/A,#N/A,FALSE,"Tickmarks"}</definedName>
    <definedName name="__SCH2" localSheetId="6" hidden="1">{#N/A,#N/A,FALSE,"Aging Summary";#N/A,#N/A,FALSE,"Ratio Analysis";#N/A,#N/A,FALSE,"Test 120 Day Accts";#N/A,#N/A,FALSE,"Tickmarks"}</definedName>
    <definedName name="__SCH2" localSheetId="9" hidden="1">{#N/A,#N/A,FALSE,"Aging Summary";#N/A,#N/A,FALSE,"Ratio Analysis";#N/A,#N/A,FALSE,"Test 120 Day Accts";#N/A,#N/A,FALSE,"Tickmarks"}</definedName>
    <definedName name="__SCH2" localSheetId="10" hidden="1">{#N/A,#N/A,FALSE,"Aging Summary";#N/A,#N/A,FALSE,"Ratio Analysis";#N/A,#N/A,FALSE,"Test 120 Day Accts";#N/A,#N/A,FALSE,"Tickmarks"}</definedName>
    <definedName name="__SCH2" localSheetId="11" hidden="1">{#N/A,#N/A,FALSE,"Aging Summary";#N/A,#N/A,FALSE,"Ratio Analysis";#N/A,#N/A,FALSE,"Test 120 Day Accts";#N/A,#N/A,FALSE,"Tickmarks"}</definedName>
    <definedName name="__SCH2" hidden="1">{#N/A,#N/A,FALSE,"Aging Summary";#N/A,#N/A,FALSE,"Ratio Analysis";#N/A,#N/A,FALSE,"Test 120 Day Accts";#N/A,#N/A,FALSE,"Tickmarks"}</definedName>
    <definedName name="__TB1" localSheetId="7">'[2]Other notes'!#REF!</definedName>
    <definedName name="__TB1" localSheetId="8">'[2]Other notes'!#REF!</definedName>
    <definedName name="__TB1" localSheetId="6">'[2]Other notes'!#REF!</definedName>
    <definedName name="__TB1" localSheetId="9">'[2]Other notes'!#REF!</definedName>
    <definedName name="__TB1" localSheetId="10">'[2]Other notes'!#REF!</definedName>
    <definedName name="__TB1" localSheetId="11">'[2]Other notes'!#REF!</definedName>
    <definedName name="__TB1">'[2]Other notes'!#REF!</definedName>
    <definedName name="__TB2" localSheetId="7">'[2]Other notes'!#REF!</definedName>
    <definedName name="__TB2" localSheetId="8">'[2]Other notes'!#REF!</definedName>
    <definedName name="__TB2" localSheetId="6">'[2]Other notes'!#REF!</definedName>
    <definedName name="__TB2" localSheetId="9">'[2]Other notes'!#REF!</definedName>
    <definedName name="__TB2" localSheetId="10">'[2]Other notes'!#REF!</definedName>
    <definedName name="__TB2" localSheetId="11">'[2]Other notes'!#REF!</definedName>
    <definedName name="__TB2">'[2]Other notes'!#REF!</definedName>
    <definedName name="__TB3" localSheetId="7">'[2]Other notes'!#REF!</definedName>
    <definedName name="__TB3" localSheetId="8">'[2]Other notes'!#REF!</definedName>
    <definedName name="__TB3" localSheetId="6">'[2]Other notes'!#REF!</definedName>
    <definedName name="__TB3" localSheetId="9">'[2]Other notes'!#REF!</definedName>
    <definedName name="__TB3" localSheetId="10">'[2]Other notes'!#REF!</definedName>
    <definedName name="__TB3" localSheetId="11">'[2]Other notes'!#REF!</definedName>
    <definedName name="__TB3">'[2]Other notes'!#REF!</definedName>
    <definedName name="__TB4" localSheetId="7">'[2]Other notes'!#REF!</definedName>
    <definedName name="__TB4" localSheetId="8">'[2]Other notes'!#REF!</definedName>
    <definedName name="__TB4" localSheetId="6">'[2]Other notes'!#REF!</definedName>
    <definedName name="__TB4" localSheetId="9">'[2]Other notes'!#REF!</definedName>
    <definedName name="__TB4" localSheetId="10">'[2]Other notes'!#REF!</definedName>
    <definedName name="__TB4" localSheetId="11">'[2]Other notes'!#REF!</definedName>
    <definedName name="__TB4">'[2]Other notes'!#REF!</definedName>
    <definedName name="__TB5" localSheetId="7">'[2]Other notes'!#REF!</definedName>
    <definedName name="__TB5" localSheetId="8">'[2]Other notes'!#REF!</definedName>
    <definedName name="__TB5" localSheetId="6">'[2]Other notes'!#REF!</definedName>
    <definedName name="__TB5" localSheetId="9">'[2]Other notes'!#REF!</definedName>
    <definedName name="__TB5" localSheetId="10">'[2]Other notes'!#REF!</definedName>
    <definedName name="__TB5" localSheetId="11">'[2]Other notes'!#REF!</definedName>
    <definedName name="__TB5">'[2]Other notes'!#REF!</definedName>
    <definedName name="__TB6" localSheetId="7">'[2]Other notes'!#REF!</definedName>
    <definedName name="__TB6" localSheetId="8">'[2]Other notes'!#REF!</definedName>
    <definedName name="__TB6" localSheetId="6">'[2]Other notes'!#REF!</definedName>
    <definedName name="__TB6" localSheetId="9">'[2]Other notes'!#REF!</definedName>
    <definedName name="__TB6" localSheetId="10">'[2]Other notes'!#REF!</definedName>
    <definedName name="__TB6" localSheetId="11">'[2]Other notes'!#REF!</definedName>
    <definedName name="__TB6">'[2]Other notes'!#REF!</definedName>
    <definedName name="__TB7" localSheetId="7">'[2]Other notes'!#REF!</definedName>
    <definedName name="__TB7" localSheetId="8">'[2]Other notes'!#REF!</definedName>
    <definedName name="__TB7" localSheetId="6">'[2]Other notes'!#REF!</definedName>
    <definedName name="__TB7" localSheetId="9">'[2]Other notes'!#REF!</definedName>
    <definedName name="__TB7" localSheetId="10">'[2]Other notes'!#REF!</definedName>
    <definedName name="__TB7" localSheetId="11">'[2]Other notes'!#REF!</definedName>
    <definedName name="__TB7">'[2]Other notes'!#REF!</definedName>
    <definedName name="__TDS2">[3]Pre_XML!$E$10</definedName>
    <definedName name="_f3" localSheetId="7" hidden="1">{#N/A,#N/A,FALSE,"Aging Summary";#N/A,#N/A,FALSE,"Ratio Analysis";#N/A,#N/A,FALSE,"Test 120 Day Accts";#N/A,#N/A,FALSE,"Tickmarks"}</definedName>
    <definedName name="_f3" localSheetId="8" hidden="1">{#N/A,#N/A,FALSE,"Aging Summary";#N/A,#N/A,FALSE,"Ratio Analysis";#N/A,#N/A,FALSE,"Test 120 Day Accts";#N/A,#N/A,FALSE,"Tickmarks"}</definedName>
    <definedName name="_f3" localSheetId="6" hidden="1">{#N/A,#N/A,FALSE,"Aging Summary";#N/A,#N/A,FALSE,"Ratio Analysis";#N/A,#N/A,FALSE,"Test 120 Day Accts";#N/A,#N/A,FALSE,"Tickmarks"}</definedName>
    <definedName name="_f3" localSheetId="9" hidden="1">{#N/A,#N/A,FALSE,"Aging Summary";#N/A,#N/A,FALSE,"Ratio Analysis";#N/A,#N/A,FALSE,"Test 120 Day Accts";#N/A,#N/A,FALSE,"Tickmarks"}</definedName>
    <definedName name="_f3" localSheetId="10" hidden="1">{#N/A,#N/A,FALSE,"Aging Summary";#N/A,#N/A,FALSE,"Ratio Analysis";#N/A,#N/A,FALSE,"Test 120 Day Accts";#N/A,#N/A,FALSE,"Tickmarks"}</definedName>
    <definedName name="_f3" localSheetId="11" hidden="1">{#N/A,#N/A,FALSE,"Aging Summary";#N/A,#N/A,FALSE,"Ratio Analysis";#N/A,#N/A,FALSE,"Test 120 Day Accts";#N/A,#N/A,FALSE,"Tickmarks"}</definedName>
    <definedName name="_f3" hidden="1">{#N/A,#N/A,FALSE,"Aging Summary";#N/A,#N/A,FALSE,"Ratio Analysis";#N/A,#N/A,FALSE,"Test 120 Day Accts";#N/A,#N/A,FALSE,"Tickmarks"}</definedName>
    <definedName name="_f4" localSheetId="7" hidden="1">{#N/A,#N/A,FALSE,"Aging Summary";#N/A,#N/A,FALSE,"Ratio Analysis";#N/A,#N/A,FALSE,"Test 120 Day Accts";#N/A,#N/A,FALSE,"Tickmarks"}</definedName>
    <definedName name="_f4" localSheetId="8" hidden="1">{#N/A,#N/A,FALSE,"Aging Summary";#N/A,#N/A,FALSE,"Ratio Analysis";#N/A,#N/A,FALSE,"Test 120 Day Accts";#N/A,#N/A,FALSE,"Tickmarks"}</definedName>
    <definedName name="_f4" localSheetId="6" hidden="1">{#N/A,#N/A,FALSE,"Aging Summary";#N/A,#N/A,FALSE,"Ratio Analysis";#N/A,#N/A,FALSE,"Test 120 Day Accts";#N/A,#N/A,FALSE,"Tickmarks"}</definedName>
    <definedName name="_f4" localSheetId="9" hidden="1">{#N/A,#N/A,FALSE,"Aging Summary";#N/A,#N/A,FALSE,"Ratio Analysis";#N/A,#N/A,FALSE,"Test 120 Day Accts";#N/A,#N/A,FALSE,"Tickmarks"}</definedName>
    <definedName name="_f4" localSheetId="10" hidden="1">{#N/A,#N/A,FALSE,"Aging Summary";#N/A,#N/A,FALSE,"Ratio Analysis";#N/A,#N/A,FALSE,"Test 120 Day Accts";#N/A,#N/A,FALSE,"Tickmarks"}</definedName>
    <definedName name="_f4" localSheetId="11" hidden="1">{#N/A,#N/A,FALSE,"Aging Summary";#N/A,#N/A,FALSE,"Ratio Analysis";#N/A,#N/A,FALSE,"Test 120 Day Accts";#N/A,#N/A,FALSE,"Tickmarks"}</definedName>
    <definedName name="_f4" hidden="1">{#N/A,#N/A,FALSE,"Aging Summary";#N/A,#N/A,FALSE,"Ratio Analysis";#N/A,#N/A,FALSE,"Test 120 Day Accts";#N/A,#N/A,FALSE,"Tickmarks"}</definedName>
    <definedName name="_Fill" localSheetId="7" hidden="1">#REF!</definedName>
    <definedName name="_Fill" localSheetId="8" hidden="1">#REF!</definedName>
    <definedName name="_Fill" localSheetId="6" hidden="1">#REF!</definedName>
    <definedName name="_Fill" localSheetId="9" hidden="1">#REF!</definedName>
    <definedName name="_Fill" localSheetId="10" hidden="1">#REF!</definedName>
    <definedName name="_Fill" localSheetId="11" hidden="1">#REF!</definedName>
    <definedName name="_Fill" hidden="1">#REF!</definedName>
    <definedName name="_xlnm._FilterDatabase" localSheetId="9" hidden="1">'Note PL'!$I$74:$I$134</definedName>
    <definedName name="_iw2" localSheetId="7">'[4]Input-inf'!#REF!</definedName>
    <definedName name="_iw2" localSheetId="8">'[4]Input-inf'!#REF!</definedName>
    <definedName name="_iw2" localSheetId="6">'[4]Input-inf'!#REF!</definedName>
    <definedName name="_iw2" localSheetId="9">'[4]Input-inf'!#REF!</definedName>
    <definedName name="_iw2" localSheetId="10">'[4]Input-inf'!#REF!</definedName>
    <definedName name="_iw2" localSheetId="11">'[4]Input-inf'!#REF!</definedName>
    <definedName name="_iw2">'[4]Input-inf'!#REF!</definedName>
    <definedName name="_jm1" localSheetId="7">#REF!</definedName>
    <definedName name="_jm1" localSheetId="8">#REF!</definedName>
    <definedName name="_jm1" localSheetId="6">#REF!</definedName>
    <definedName name="_jm1" localSheetId="9">#REF!</definedName>
    <definedName name="_jm1" localSheetId="10">#REF!</definedName>
    <definedName name="_jm1" localSheetId="11">#REF!</definedName>
    <definedName name="_jm1">#REF!</definedName>
    <definedName name="_Key1" localSheetId="7" hidden="1">#REF!</definedName>
    <definedName name="_Key1" localSheetId="8" hidden="1">#REF!</definedName>
    <definedName name="_Key1" localSheetId="6" hidden="1">#REF!</definedName>
    <definedName name="_Key1" localSheetId="9" hidden="1">#REF!</definedName>
    <definedName name="_Key1" localSheetId="10" hidden="1">#REF!</definedName>
    <definedName name="_Key1" localSheetId="11" hidden="1">#REF!</definedName>
    <definedName name="_Key1" hidden="1">#REF!</definedName>
    <definedName name="_mn2" localSheetId="7">#REF!</definedName>
    <definedName name="_mn2" localSheetId="8">#REF!</definedName>
    <definedName name="_mn2" localSheetId="6">#REF!</definedName>
    <definedName name="_mn2" localSheetId="9">#REF!</definedName>
    <definedName name="_mn2" localSheetId="10">#REF!</definedName>
    <definedName name="_mn2" localSheetId="11">#REF!</definedName>
    <definedName name="_mn2">#REF!</definedName>
    <definedName name="_nm2" localSheetId="7">#REF!</definedName>
    <definedName name="_nm2" localSheetId="8">#REF!</definedName>
    <definedName name="_nm2" localSheetId="6">#REF!</definedName>
    <definedName name="_nm2" localSheetId="9">#REF!</definedName>
    <definedName name="_nm2" localSheetId="10">#REF!</definedName>
    <definedName name="_nm2" localSheetId="11">#REF!</definedName>
    <definedName name="_nm2">#REF!</definedName>
    <definedName name="_Order1" hidden="1">255</definedName>
    <definedName name="_Order2" hidden="1">255</definedName>
    <definedName name="_SCH1" localSheetId="7" hidden="1">{#N/A,#N/A,FALSE,"Aging Summary";#N/A,#N/A,FALSE,"Ratio Analysis";#N/A,#N/A,FALSE,"Test 120 Day Accts";#N/A,#N/A,FALSE,"Tickmarks"}</definedName>
    <definedName name="_SCH1" localSheetId="8" hidden="1">{#N/A,#N/A,FALSE,"Aging Summary";#N/A,#N/A,FALSE,"Ratio Analysis";#N/A,#N/A,FALSE,"Test 120 Day Accts";#N/A,#N/A,FALSE,"Tickmarks"}</definedName>
    <definedName name="_SCH1" localSheetId="6" hidden="1">{#N/A,#N/A,FALSE,"Aging Summary";#N/A,#N/A,FALSE,"Ratio Analysis";#N/A,#N/A,FALSE,"Test 120 Day Accts";#N/A,#N/A,FALSE,"Tickmarks"}</definedName>
    <definedName name="_SCH1" localSheetId="9" hidden="1">{#N/A,#N/A,FALSE,"Aging Summary";#N/A,#N/A,FALSE,"Ratio Analysis";#N/A,#N/A,FALSE,"Test 120 Day Accts";#N/A,#N/A,FALSE,"Tickmarks"}</definedName>
    <definedName name="_SCH1" localSheetId="10" hidden="1">{#N/A,#N/A,FALSE,"Aging Summary";#N/A,#N/A,FALSE,"Ratio Analysis";#N/A,#N/A,FALSE,"Test 120 Day Accts";#N/A,#N/A,FALSE,"Tickmarks"}</definedName>
    <definedName name="_SCH1" localSheetId="11" hidden="1">{#N/A,#N/A,FALSE,"Aging Summary";#N/A,#N/A,FALSE,"Ratio Analysis";#N/A,#N/A,FALSE,"Test 120 Day Accts";#N/A,#N/A,FALSE,"Tickmarks"}</definedName>
    <definedName name="_SCH1" hidden="1">{#N/A,#N/A,FALSE,"Aging Summary";#N/A,#N/A,FALSE,"Ratio Analysis";#N/A,#N/A,FALSE,"Test 120 Day Accts";#N/A,#N/A,FALSE,"Tickmarks"}</definedName>
    <definedName name="_SCH2" localSheetId="7" hidden="1">{#N/A,#N/A,FALSE,"Aging Summary";#N/A,#N/A,FALSE,"Ratio Analysis";#N/A,#N/A,FALSE,"Test 120 Day Accts";#N/A,#N/A,FALSE,"Tickmarks"}</definedName>
    <definedName name="_SCH2" localSheetId="8" hidden="1">{#N/A,#N/A,FALSE,"Aging Summary";#N/A,#N/A,FALSE,"Ratio Analysis";#N/A,#N/A,FALSE,"Test 120 Day Accts";#N/A,#N/A,FALSE,"Tickmarks"}</definedName>
    <definedName name="_SCH2" localSheetId="6" hidden="1">{#N/A,#N/A,FALSE,"Aging Summary";#N/A,#N/A,FALSE,"Ratio Analysis";#N/A,#N/A,FALSE,"Test 120 Day Accts";#N/A,#N/A,FALSE,"Tickmarks"}</definedName>
    <definedName name="_SCH2" localSheetId="9" hidden="1">{#N/A,#N/A,FALSE,"Aging Summary";#N/A,#N/A,FALSE,"Ratio Analysis";#N/A,#N/A,FALSE,"Test 120 Day Accts";#N/A,#N/A,FALSE,"Tickmarks"}</definedName>
    <definedName name="_SCH2" localSheetId="10" hidden="1">{#N/A,#N/A,FALSE,"Aging Summary";#N/A,#N/A,FALSE,"Ratio Analysis";#N/A,#N/A,FALSE,"Test 120 Day Accts";#N/A,#N/A,FALSE,"Tickmarks"}</definedName>
    <definedName name="_SCH2" localSheetId="11" hidden="1">{#N/A,#N/A,FALSE,"Aging Summary";#N/A,#N/A,FALSE,"Ratio Analysis";#N/A,#N/A,FALSE,"Test 120 Day Accts";#N/A,#N/A,FALSE,"Tickmarks"}</definedName>
    <definedName name="_SCH2" hidden="1">{#N/A,#N/A,FALSE,"Aging Summary";#N/A,#N/A,FALSE,"Ratio Analysis";#N/A,#N/A,FALSE,"Test 120 Day Accts";#N/A,#N/A,FALSE,"Tickmarks"}</definedName>
    <definedName name="_TB1" localSheetId="7">'[1]Other notes'!#REF!</definedName>
    <definedName name="_TB1" localSheetId="8">'[1]Other notes'!#REF!</definedName>
    <definedName name="_TB1" localSheetId="6">'[1]Other notes'!#REF!</definedName>
    <definedName name="_TB1" localSheetId="9">'[1]Other notes'!#REF!</definedName>
    <definedName name="_TB1" localSheetId="10">'[1]Other notes'!#REF!</definedName>
    <definedName name="_TB1" localSheetId="11">'[1]Other notes'!#REF!</definedName>
    <definedName name="_TB1">'[1]Other notes'!#REF!</definedName>
    <definedName name="_TB2" localSheetId="7">'[1]Other notes'!#REF!</definedName>
    <definedName name="_TB2" localSheetId="8">'[1]Other notes'!#REF!</definedName>
    <definedName name="_TB2" localSheetId="6">'[1]Other notes'!#REF!</definedName>
    <definedName name="_TB2" localSheetId="9">'[1]Other notes'!#REF!</definedName>
    <definedName name="_TB2" localSheetId="10">'[1]Other notes'!#REF!</definedName>
    <definedName name="_TB2" localSheetId="11">'[1]Other notes'!#REF!</definedName>
    <definedName name="_TB2">'[1]Other notes'!#REF!</definedName>
    <definedName name="_TB3" localSheetId="7">'[1]Other notes'!#REF!</definedName>
    <definedName name="_TB3" localSheetId="8">'[1]Other notes'!#REF!</definedName>
    <definedName name="_TB3" localSheetId="6">'[1]Other notes'!#REF!</definedName>
    <definedName name="_TB3" localSheetId="9">'[1]Other notes'!#REF!</definedName>
    <definedName name="_TB3" localSheetId="10">'[1]Other notes'!#REF!</definedName>
    <definedName name="_TB3" localSheetId="11">'[1]Other notes'!#REF!</definedName>
    <definedName name="_TB3">'[1]Other notes'!#REF!</definedName>
    <definedName name="_TB4" localSheetId="7">'[1]Other notes'!#REF!</definedName>
    <definedName name="_TB4" localSheetId="8">'[1]Other notes'!#REF!</definedName>
    <definedName name="_TB4" localSheetId="6">'[1]Other notes'!#REF!</definedName>
    <definedName name="_TB4" localSheetId="9">'[1]Other notes'!#REF!</definedName>
    <definedName name="_TB4" localSheetId="10">'[1]Other notes'!#REF!</definedName>
    <definedName name="_TB4" localSheetId="11">'[1]Other notes'!#REF!</definedName>
    <definedName name="_TB4">'[1]Other notes'!#REF!</definedName>
    <definedName name="_TB5" localSheetId="7">'[1]Other notes'!#REF!</definedName>
    <definedName name="_TB5" localSheetId="8">'[1]Other notes'!#REF!</definedName>
    <definedName name="_TB5" localSheetId="6">'[1]Other notes'!#REF!</definedName>
    <definedName name="_TB5" localSheetId="9">'[1]Other notes'!#REF!</definedName>
    <definedName name="_TB5" localSheetId="10">'[1]Other notes'!#REF!</definedName>
    <definedName name="_TB5" localSheetId="11">'[1]Other notes'!#REF!</definedName>
    <definedName name="_TB5">'[1]Other notes'!#REF!</definedName>
    <definedName name="_TB6" localSheetId="7">'[1]Other notes'!#REF!</definedName>
    <definedName name="_TB6" localSheetId="8">'[1]Other notes'!#REF!</definedName>
    <definedName name="_TB6" localSheetId="6">'[1]Other notes'!#REF!</definedName>
    <definedName name="_TB6" localSheetId="9">'[1]Other notes'!#REF!</definedName>
    <definedName name="_TB6" localSheetId="10">'[1]Other notes'!#REF!</definedName>
    <definedName name="_TB6" localSheetId="11">'[1]Other notes'!#REF!</definedName>
    <definedName name="_TB6">'[1]Other notes'!#REF!</definedName>
    <definedName name="_TB7" localSheetId="7">'[1]Other notes'!#REF!</definedName>
    <definedName name="_TB7" localSheetId="8">'[1]Other notes'!#REF!</definedName>
    <definedName name="_TB7" localSheetId="6">'[1]Other notes'!#REF!</definedName>
    <definedName name="_TB7" localSheetId="9">'[1]Other notes'!#REF!</definedName>
    <definedName name="_TB7" localSheetId="10">'[1]Other notes'!#REF!</definedName>
    <definedName name="_TB7" localSheetId="11">'[1]Other notes'!#REF!</definedName>
    <definedName name="_TB7">'[1]Other notes'!#REF!</definedName>
    <definedName name="_TDS2">[3]Pre_XML!$E$10</definedName>
    <definedName name="a" localSheetId="7" hidden="1">{#N/A,#N/A,FALSE,"Aging Summary";#N/A,#N/A,FALSE,"Ratio Analysis";#N/A,#N/A,FALSE,"Test 120 Day Accts";#N/A,#N/A,FALSE,"Tickmarks"}</definedName>
    <definedName name="a" localSheetId="8" hidden="1">{#N/A,#N/A,FALSE,"Aging Summary";#N/A,#N/A,FALSE,"Ratio Analysis";#N/A,#N/A,FALSE,"Test 120 Day Accts";#N/A,#N/A,FALSE,"Tickmarks"}</definedName>
    <definedName name="a" localSheetId="6" hidden="1">{#N/A,#N/A,FALSE,"Aging Summary";#N/A,#N/A,FALSE,"Ratio Analysis";#N/A,#N/A,FALSE,"Test 120 Day Accts";#N/A,#N/A,FALSE,"Tickmarks"}</definedName>
    <definedName name="a" localSheetId="9" hidden="1">{#N/A,#N/A,FALSE,"Aging Summary";#N/A,#N/A,FALSE,"Ratio Analysis";#N/A,#N/A,FALSE,"Test 120 Day Accts";#N/A,#N/A,FALSE,"Tickmarks"}</definedName>
    <definedName name="a" localSheetId="10" hidden="1">{#N/A,#N/A,FALSE,"Aging Summary";#N/A,#N/A,FALSE,"Ratio Analysis";#N/A,#N/A,FALSE,"Test 120 Day Accts";#N/A,#N/A,FALSE,"Tickmarks"}</definedName>
    <definedName name="a" localSheetId="11" hidden="1">{#N/A,#N/A,FALSE,"Aging Summary";#N/A,#N/A,FALSE,"Ratio Analysis";#N/A,#N/A,FALSE,"Test 120 Day Accts";#N/A,#N/A,FALSE,"Tickmarks"}</definedName>
    <definedName name="a" hidden="1">{#N/A,#N/A,FALSE,"Aging Summary";#N/A,#N/A,FALSE,"Ratio Analysis";#N/A,#N/A,FALSE,"Test 120 Day Accts";#N/A,#N/A,FALSE,"Tickmarks"}</definedName>
    <definedName name="A_C_NO">[5]Account_NO_Co_code!$A$2:$A$245</definedName>
    <definedName name="A_GEN1.AONo">[3]GENERAL!$AR$24</definedName>
    <definedName name="A_GEN1.AOType">[3]GENERAL!$AI$24</definedName>
    <definedName name="A_GEN1.AreaCode">[3]GENERAL!$AD$24</definedName>
    <definedName name="A_GEN1.AsseseeRepFlg">[3]GENERAL!$AN$31</definedName>
    <definedName name="A_GEN1.CityOrTownOrDistrict">[3]GENERAL!$C$18</definedName>
    <definedName name="A_GEN1.DateOFFormOrIncorp">[3]GENERAL!$AL$11</definedName>
    <definedName name="A_GEN1.DesigOfficerWardorCircle">[3]GENERAL!$C$24</definedName>
    <definedName name="A_GEN1.DomesticCompFlg">[3]GENERAL!$AQ$15</definedName>
    <definedName name="A_GEN1.EmailAddress">[3]GENERAL!$C$22</definedName>
    <definedName name="A_GEN1.FBTSec">[3]GENERAL!$AK$22</definedName>
    <definedName name="A_GEN1.IncomeTaxSec">[3]GENERAL!$AK$19</definedName>
    <definedName name="A_GEN1.LocalityOrArea">[3]GENERAL!$U$14</definedName>
    <definedName name="A_GEN1.NRI_PE">[3]GENERAL!$AR$30</definedName>
    <definedName name="A_GEN1.OrgOldName">[3]GENERAL!$U$6</definedName>
    <definedName name="A_GEN1.OrigRetFiledDate">[3]GENERAL!$AM$28</definedName>
    <definedName name="A_GEN1.PAN">[3]GENERAL!$AL$7</definedName>
    <definedName name="A_GEN1.PhoneNo">[3]GENERAL!$AD$22</definedName>
    <definedName name="A_GEN1.PinCode">[3]GENERAL!$AD$19</definedName>
    <definedName name="A_GEN1.RangeCode">[3]GENERAL!$AM$24</definedName>
    <definedName name="A_GEN1.ReceiptNo">[3]GENERAL!$U$28</definedName>
    <definedName name="A_GEN1.RepAddress">[3]GENERAL!$AC$34</definedName>
    <definedName name="A_GEN1.RepName">[3]GENERAL!$AC$33</definedName>
    <definedName name="A_GEN1.RepPAN">[3]GENERAL!$AC$35</definedName>
    <definedName name="A_GEN1.ResidenceName">[3]GENERAL!$U$10</definedName>
    <definedName name="A_GEN1.ResidenceNo">[3]GENERAL!$C$10</definedName>
    <definedName name="A_GEN1.ResidentialStatus">[3]GENERAL!$U$30</definedName>
    <definedName name="A_GEN1.ReturnType">[3]GENERAL!$V$26</definedName>
    <definedName name="A_GEN1.RoadOrStreet">[3]GENERAL!$C$14</definedName>
    <definedName name="A_GEN1.StateCode">[3]GENERAL!$U$18</definedName>
    <definedName name="A_GEN1.StatusOrCompanyType">[3]GENERAL!$AL$15</definedName>
    <definedName name="A_GEN1.STDcode">[3]GENERAL!$Y$22</definedName>
    <definedName name="A_GEN1.SurNameOrOrgName">[3]GENERAL!$C$6</definedName>
    <definedName name="A_GEN2.AudFrmName">[3]GENERAL!$W$40</definedName>
    <definedName name="A_GEN2.AudFrmPAN">[3]GENERAL!$AF$41</definedName>
    <definedName name="A_GEN2.AuditDate">[3]GENERAL!$N$42</definedName>
    <definedName name="A_GEN2.AuditorMemNo">[3]GENERAL!$R$39</definedName>
    <definedName name="A_GEN2.AuditorName">[3]GENERAL!$Y$38</definedName>
    <definedName name="A_GEN2.LiableSec44AAflg">[3]GENERAL!$AE$36</definedName>
    <definedName name="A_GEN2.LiableSec44ABflg">[3]GENERAL!$AO$37</definedName>
    <definedName name="aa" localSheetId="7" hidden="1">{#N/A,#N/A,FALSE,"Aging Summary";#N/A,#N/A,FALSE,"Ratio Analysis";#N/A,#N/A,FALSE,"Test 120 Day Accts";#N/A,#N/A,FALSE,"Tickmarks"}</definedName>
    <definedName name="aa" localSheetId="8" hidden="1">{#N/A,#N/A,FALSE,"Aging Summary";#N/A,#N/A,FALSE,"Ratio Analysis";#N/A,#N/A,FALSE,"Test 120 Day Accts";#N/A,#N/A,FALSE,"Tickmarks"}</definedName>
    <definedName name="aa" localSheetId="6" hidden="1">{#N/A,#N/A,FALSE,"Aging Summary";#N/A,#N/A,FALSE,"Ratio Analysis";#N/A,#N/A,FALSE,"Test 120 Day Accts";#N/A,#N/A,FALSE,"Tickmarks"}</definedName>
    <definedName name="aa" localSheetId="9" hidden="1">{#N/A,#N/A,FALSE,"Aging Summary";#N/A,#N/A,FALSE,"Ratio Analysis";#N/A,#N/A,FALSE,"Test 120 Day Accts";#N/A,#N/A,FALSE,"Tickmarks"}</definedName>
    <definedName name="aa" localSheetId="10" hidden="1">{#N/A,#N/A,FALSE,"Aging Summary";#N/A,#N/A,FALSE,"Ratio Analysis";#N/A,#N/A,FALSE,"Test 120 Day Accts";#N/A,#N/A,FALSE,"Tickmarks"}</definedName>
    <definedName name="aa" localSheetId="11" hidden="1">{#N/A,#N/A,FALSE,"Aging Summary";#N/A,#N/A,FALSE,"Ratio Analysis";#N/A,#N/A,FALSE,"Test 120 Day Accts";#N/A,#N/A,FALSE,"Tickmarks"}</definedName>
    <definedName name="aa" hidden="1">{#N/A,#N/A,FALSE,"Aging Summary";#N/A,#N/A,FALSE,"Ratio Analysis";#N/A,#N/A,FALSE,"Test 120 Day Accts";#N/A,#N/A,FALSE,"Tickmarks"}</definedName>
    <definedName name="AA10.DedFromUndertaking">'[3]10A'!$F$26</definedName>
    <definedName name="AA10.TotalDedUs10Sub">'[3]10A'!$H$27</definedName>
    <definedName name="AA10AA">[3]Pre_XML!$E$2</definedName>
    <definedName name="AAAA">[6]IO!$A$3:$A$657</definedName>
    <definedName name="Account_Balance" localSheetId="7">#REF!</definedName>
    <definedName name="Account_Balance" localSheetId="8">#REF!</definedName>
    <definedName name="Account_Balance" localSheetId="6">#REF!</definedName>
    <definedName name="Account_Balance" localSheetId="9">#REF!</definedName>
    <definedName name="Account_Balance" localSheetId="10">#REF!</definedName>
    <definedName name="Account_Balance" localSheetId="11">#REF!</definedName>
    <definedName name="Account_Balance">#REF!</definedName>
    <definedName name="adjtotloss.BusLossOthThanSpecLossCF9">[3]CFL!$F$12</definedName>
    <definedName name="adjtotloss.HPLossCF9">[3]CFL!$E$12</definedName>
    <definedName name="adjtotloss.LossFrmSpecBusCF9">[3]CFL!$G$12</definedName>
    <definedName name="adjtotloss.LTCGLossCF9">[3]CFL!$I$12</definedName>
    <definedName name="adjtotloss.OthSrcLossNotRaceHorseCF9">[3]CFL!$J$12</definedName>
    <definedName name="adjtotloss.OthSrcLossRaceHorseCF9">[3]CFL!$K$12</definedName>
    <definedName name="adjtotloss.STCGLossCF9">[3]CFL!$H$12</definedName>
    <definedName name="ag" localSheetId="7" hidden="1">{#N/A,#N/A,FALSE,"Aging Summary";#N/A,#N/A,FALSE,"Ratio Analysis";#N/A,#N/A,FALSE,"Test 120 Day Accts";#N/A,#N/A,FALSE,"Tickmarks"}</definedName>
    <definedName name="ag" localSheetId="8" hidden="1">{#N/A,#N/A,FALSE,"Aging Summary";#N/A,#N/A,FALSE,"Ratio Analysis";#N/A,#N/A,FALSE,"Test 120 Day Accts";#N/A,#N/A,FALSE,"Tickmarks"}</definedName>
    <definedName name="ag" localSheetId="6" hidden="1">{#N/A,#N/A,FALSE,"Aging Summary";#N/A,#N/A,FALSE,"Ratio Analysis";#N/A,#N/A,FALSE,"Test 120 Day Accts";#N/A,#N/A,FALSE,"Tickmarks"}</definedName>
    <definedName name="ag" localSheetId="9" hidden="1">{#N/A,#N/A,FALSE,"Aging Summary";#N/A,#N/A,FALSE,"Ratio Analysis";#N/A,#N/A,FALSE,"Test 120 Day Accts";#N/A,#N/A,FALSE,"Tickmarks"}</definedName>
    <definedName name="ag" localSheetId="10" hidden="1">{#N/A,#N/A,FALSE,"Aging Summary";#N/A,#N/A,FALSE,"Ratio Analysis";#N/A,#N/A,FALSE,"Test 120 Day Accts";#N/A,#N/A,FALSE,"Tickmarks"}</definedName>
    <definedName name="ag" localSheetId="11" hidden="1">{#N/A,#N/A,FALSE,"Aging Summary";#N/A,#N/A,FALSE,"Ratio Analysis";#N/A,#N/A,FALSE,"Test 120 Day Accts";#N/A,#N/A,FALSE,"Tickmarks"}</definedName>
    <definedName name="ag" hidden="1">{#N/A,#N/A,FALSE,"Aging Summary";#N/A,#N/A,FALSE,"Ratio Analysis";#N/A,#N/A,FALSE,"Test 120 Day Accts";#N/A,#N/A,FALSE,"Tickmarks"}</definedName>
    <definedName name="ah" localSheetId="7">#REF!</definedName>
    <definedName name="ah" localSheetId="8">#REF!</definedName>
    <definedName name="ah" localSheetId="6">#REF!</definedName>
    <definedName name="ah" localSheetId="9">#REF!</definedName>
    <definedName name="ah" localSheetId="10">#REF!</definedName>
    <definedName name="ah" localSheetId="11">#REF!</definedName>
    <definedName name="ah">#REF!</definedName>
    <definedName name="ANNEX1_TOTAL">[7]ANNEX1!$C$3:$C$23</definedName>
    <definedName name="ANNEX2_TOTAL">[7]ANNEX2!$C$3:$C$23</definedName>
    <definedName name="ANNEX3_TOTAL">[7]ANNEX3!$C$3:$C$23</definedName>
    <definedName name="ANNEX4_TOTAL">[7]ANNEX4!$C$3:$C$23</definedName>
    <definedName name="ANNEX5_TOTAL">[7]ANNEX5!$C$3:$C$23</definedName>
    <definedName name="ANNEX6_READONLY">'[7]PART-6'!$R$5:$R$7,'[7]PART-6'!$O$7,'[7]PART-6'!$L$7,'[7]PART-6'!$I$7,'[7]PART-6'!$F$7,'[7]PART-6'!$C$7,'[7]PART-6'!$C$15,'[7]PART-6'!$F$15,'[7]PART-6'!$I$15,'[7]PART-6'!$L$13:$L$15</definedName>
    <definedName name="as" localSheetId="7">#REF!</definedName>
    <definedName name="as" localSheetId="8">#REF!</definedName>
    <definedName name="as" localSheetId="6">#REF!</definedName>
    <definedName name="as" localSheetId="9">#REF!</definedName>
    <definedName name="as" localSheetId="10">#REF!</definedName>
    <definedName name="as" localSheetId="11">#REF!</definedName>
    <definedName name="as">#REF!</definedName>
    <definedName name="AS2DocOpenMode" hidden="1">"AS2DocumentEdit"</definedName>
    <definedName name="AS2NamedRange" hidden="1">5</definedName>
    <definedName name="AS2ReportLS" hidden="1">1</definedName>
    <definedName name="AS2SyncStepLS" hidden="1">0</definedName>
    <definedName name="AS2VersionLS" hidden="1">300</definedName>
    <definedName name="asas" localSheetId="7" hidden="1">{#N/A,#N/A,FALSE,"Aging Summary";#N/A,#N/A,FALSE,"Ratio Analysis";#N/A,#N/A,FALSE,"Test 120 Day Accts";#N/A,#N/A,FALSE,"Tickmarks"}</definedName>
    <definedName name="asas" localSheetId="8" hidden="1">{#N/A,#N/A,FALSE,"Aging Summary";#N/A,#N/A,FALSE,"Ratio Analysis";#N/A,#N/A,FALSE,"Test 120 Day Accts";#N/A,#N/A,FALSE,"Tickmarks"}</definedName>
    <definedName name="asas" localSheetId="6" hidden="1">{#N/A,#N/A,FALSE,"Aging Summary";#N/A,#N/A,FALSE,"Ratio Analysis";#N/A,#N/A,FALSE,"Test 120 Day Accts";#N/A,#N/A,FALSE,"Tickmarks"}</definedName>
    <definedName name="asas" localSheetId="9" hidden="1">{#N/A,#N/A,FALSE,"Aging Summary";#N/A,#N/A,FALSE,"Ratio Analysis";#N/A,#N/A,FALSE,"Test 120 Day Accts";#N/A,#N/A,FALSE,"Tickmarks"}</definedName>
    <definedName name="asas" localSheetId="10" hidden="1">{#N/A,#N/A,FALSE,"Aging Summary";#N/A,#N/A,FALSE,"Ratio Analysis";#N/A,#N/A,FALSE,"Test 120 Day Accts";#N/A,#N/A,FALSE,"Tickmarks"}</definedName>
    <definedName name="asas" localSheetId="11" hidden="1">{#N/A,#N/A,FALSE,"Aging Summary";#N/A,#N/A,FALSE,"Ratio Analysis";#N/A,#N/A,FALSE,"Test 120 Day Accts";#N/A,#N/A,FALSE,"Tickmarks"}</definedName>
    <definedName name="asas" hidden="1">{#N/A,#N/A,FALSE,"Aging Summary";#N/A,#N/A,FALSE,"Ratio Analysis";#N/A,#N/A,FALSE,"Test 120 Day Accts";#N/A,#N/A,FALSE,"Tickmarks"}</definedName>
    <definedName name="asd">[8]Index!$C$5</definedName>
    <definedName name="asda">[9]TB!$D:$I</definedName>
    <definedName name="asdf" localSheetId="7" hidden="1">{#N/A,#N/A,FALSE,"Aging Summary";#N/A,#N/A,FALSE,"Ratio Analysis";#N/A,#N/A,FALSE,"Test 120 Day Accts";#N/A,#N/A,FALSE,"Tickmarks"}</definedName>
    <definedName name="asdf" localSheetId="8" hidden="1">{#N/A,#N/A,FALSE,"Aging Summary";#N/A,#N/A,FALSE,"Ratio Analysis";#N/A,#N/A,FALSE,"Test 120 Day Accts";#N/A,#N/A,FALSE,"Tickmarks"}</definedName>
    <definedName name="asdf" localSheetId="6" hidden="1">{#N/A,#N/A,FALSE,"Aging Summary";#N/A,#N/A,FALSE,"Ratio Analysis";#N/A,#N/A,FALSE,"Test 120 Day Accts";#N/A,#N/A,FALSE,"Tickmarks"}</definedName>
    <definedName name="asdf" localSheetId="9" hidden="1">{#N/A,#N/A,FALSE,"Aging Summary";#N/A,#N/A,FALSE,"Ratio Analysis";#N/A,#N/A,FALSE,"Test 120 Day Accts";#N/A,#N/A,FALSE,"Tickmarks"}</definedName>
    <definedName name="asdf" localSheetId="10" hidden="1">{#N/A,#N/A,FALSE,"Aging Summary";#N/A,#N/A,FALSE,"Ratio Analysis";#N/A,#N/A,FALSE,"Test 120 Day Accts";#N/A,#N/A,FALSE,"Tickmarks"}</definedName>
    <definedName name="asdf" localSheetId="11" hidden="1">{#N/A,#N/A,FALSE,"Aging Summary";#N/A,#N/A,FALSE,"Ratio Analysis";#N/A,#N/A,FALSE,"Test 120 Day Accts";#N/A,#N/A,FALSE,"Tickmarks"}</definedName>
    <definedName name="asdf" hidden="1">{#N/A,#N/A,FALSE,"Aging Summary";#N/A,#N/A,FALSE,"Ratio Analysis";#N/A,#N/A,FALSE,"Test 120 Day Accts";#N/A,#N/A,FALSE,"Tickmarks"}</definedName>
    <definedName name="asdfadsf" localSheetId="7" hidden="1">{#N/A,#N/A,FALSE,"Aging Summary";#N/A,#N/A,FALSE,"Ratio Analysis";#N/A,#N/A,FALSE,"Test 120 Day Accts";#N/A,#N/A,FALSE,"Tickmarks"}</definedName>
    <definedName name="asdfadsf" localSheetId="8" hidden="1">{#N/A,#N/A,FALSE,"Aging Summary";#N/A,#N/A,FALSE,"Ratio Analysis";#N/A,#N/A,FALSE,"Test 120 Day Accts";#N/A,#N/A,FALSE,"Tickmarks"}</definedName>
    <definedName name="asdfadsf" localSheetId="6" hidden="1">{#N/A,#N/A,FALSE,"Aging Summary";#N/A,#N/A,FALSE,"Ratio Analysis";#N/A,#N/A,FALSE,"Test 120 Day Accts";#N/A,#N/A,FALSE,"Tickmarks"}</definedName>
    <definedName name="asdfadsf" localSheetId="9" hidden="1">{#N/A,#N/A,FALSE,"Aging Summary";#N/A,#N/A,FALSE,"Ratio Analysis";#N/A,#N/A,FALSE,"Test 120 Day Accts";#N/A,#N/A,FALSE,"Tickmarks"}</definedName>
    <definedName name="asdfadsf" localSheetId="10" hidden="1">{#N/A,#N/A,FALSE,"Aging Summary";#N/A,#N/A,FALSE,"Ratio Analysis";#N/A,#N/A,FALSE,"Test 120 Day Accts";#N/A,#N/A,FALSE,"Tickmarks"}</definedName>
    <definedName name="asdfadsf" localSheetId="11" hidden="1">{#N/A,#N/A,FALSE,"Aging Summary";#N/A,#N/A,FALSE,"Ratio Analysis";#N/A,#N/A,FALSE,"Test 120 Day Accts";#N/A,#N/A,FALSE,"Tickmarks"}</definedName>
    <definedName name="asdfadsf" hidden="1">{#N/A,#N/A,FALSE,"Aging Summary";#N/A,#N/A,FALSE,"Ratio Analysis";#N/A,#N/A,FALSE,"Test 120 Day Accts";#N/A,#N/A,FALSE,"Tickmarks"}</definedName>
    <definedName name="asdfasdf" localSheetId="7" hidden="1">{#N/A,#N/A,FALSE,"Aging Summary";#N/A,#N/A,FALSE,"Ratio Analysis";#N/A,#N/A,FALSE,"Test 120 Day Accts";#N/A,#N/A,FALSE,"Tickmarks"}</definedName>
    <definedName name="asdfasdf" localSheetId="8" hidden="1">{#N/A,#N/A,FALSE,"Aging Summary";#N/A,#N/A,FALSE,"Ratio Analysis";#N/A,#N/A,FALSE,"Test 120 Day Accts";#N/A,#N/A,FALSE,"Tickmarks"}</definedName>
    <definedName name="asdfasdf" localSheetId="6" hidden="1">{#N/A,#N/A,FALSE,"Aging Summary";#N/A,#N/A,FALSE,"Ratio Analysis";#N/A,#N/A,FALSE,"Test 120 Day Accts";#N/A,#N/A,FALSE,"Tickmarks"}</definedName>
    <definedName name="asdfasdf" localSheetId="9" hidden="1">{#N/A,#N/A,FALSE,"Aging Summary";#N/A,#N/A,FALSE,"Ratio Analysis";#N/A,#N/A,FALSE,"Test 120 Day Accts";#N/A,#N/A,FALSE,"Tickmarks"}</definedName>
    <definedName name="asdfasdf" localSheetId="10" hidden="1">{#N/A,#N/A,FALSE,"Aging Summary";#N/A,#N/A,FALSE,"Ratio Analysis";#N/A,#N/A,FALSE,"Test 120 Day Accts";#N/A,#N/A,FALSE,"Tickmarks"}</definedName>
    <definedName name="asdfasdf" localSheetId="11" hidden="1">{#N/A,#N/A,FALSE,"Aging Summary";#N/A,#N/A,FALSE,"Ratio Analysis";#N/A,#N/A,FALSE,"Test 120 Day Accts";#N/A,#N/A,FALSE,"Tickmarks"}</definedName>
    <definedName name="asdfasdf" hidden="1">{#N/A,#N/A,FALSE,"Aging Summary";#N/A,#N/A,FALSE,"Ratio Analysis";#N/A,#N/A,FALSE,"Test 120 Day Accts";#N/A,#N/A,FALSE,"Tickmarks"}</definedName>
    <definedName name="asdfgasdf" localSheetId="7" hidden="1">{#N/A,#N/A,FALSE,"Aging Summary";#N/A,#N/A,FALSE,"Ratio Analysis";#N/A,#N/A,FALSE,"Test 120 Day Accts";#N/A,#N/A,FALSE,"Tickmarks"}</definedName>
    <definedName name="asdfgasdf" localSheetId="8" hidden="1">{#N/A,#N/A,FALSE,"Aging Summary";#N/A,#N/A,FALSE,"Ratio Analysis";#N/A,#N/A,FALSE,"Test 120 Day Accts";#N/A,#N/A,FALSE,"Tickmarks"}</definedName>
    <definedName name="asdfgasdf" localSheetId="6" hidden="1">{#N/A,#N/A,FALSE,"Aging Summary";#N/A,#N/A,FALSE,"Ratio Analysis";#N/A,#N/A,FALSE,"Test 120 Day Accts";#N/A,#N/A,FALSE,"Tickmarks"}</definedName>
    <definedName name="asdfgasdf" localSheetId="9" hidden="1">{#N/A,#N/A,FALSE,"Aging Summary";#N/A,#N/A,FALSE,"Ratio Analysis";#N/A,#N/A,FALSE,"Test 120 Day Accts";#N/A,#N/A,FALSE,"Tickmarks"}</definedName>
    <definedName name="asdfgasdf" localSheetId="10" hidden="1">{#N/A,#N/A,FALSE,"Aging Summary";#N/A,#N/A,FALSE,"Ratio Analysis";#N/A,#N/A,FALSE,"Test 120 Day Accts";#N/A,#N/A,FALSE,"Tickmarks"}</definedName>
    <definedName name="asdfgasdf" localSheetId="11" hidden="1">{#N/A,#N/A,FALSE,"Aging Summary";#N/A,#N/A,FALSE,"Ratio Analysis";#N/A,#N/A,FALSE,"Test 120 Day Accts";#N/A,#N/A,FALSE,"Tickmarks"}</definedName>
    <definedName name="asdfgasdf" hidden="1">{#N/A,#N/A,FALSE,"Aging Summary";#N/A,#N/A,FALSE,"Ratio Analysis";#N/A,#N/A,FALSE,"Test 120 Day Accts";#N/A,#N/A,FALSE,"Tickmarks"}</definedName>
    <definedName name="asdsf" localSheetId="7" hidden="1">{#N/A,#N/A,FALSE,"Aging Summary";#N/A,#N/A,FALSE,"Ratio Analysis";#N/A,#N/A,FALSE,"Test 120 Day Accts";#N/A,#N/A,FALSE,"Tickmarks"}</definedName>
    <definedName name="asdsf" localSheetId="8" hidden="1">{#N/A,#N/A,FALSE,"Aging Summary";#N/A,#N/A,FALSE,"Ratio Analysis";#N/A,#N/A,FALSE,"Test 120 Day Accts";#N/A,#N/A,FALSE,"Tickmarks"}</definedName>
    <definedName name="asdsf" localSheetId="6" hidden="1">{#N/A,#N/A,FALSE,"Aging Summary";#N/A,#N/A,FALSE,"Ratio Analysis";#N/A,#N/A,FALSE,"Test 120 Day Accts";#N/A,#N/A,FALSE,"Tickmarks"}</definedName>
    <definedName name="asdsf" localSheetId="9" hidden="1">{#N/A,#N/A,FALSE,"Aging Summary";#N/A,#N/A,FALSE,"Ratio Analysis";#N/A,#N/A,FALSE,"Test 120 Day Accts";#N/A,#N/A,FALSE,"Tickmarks"}</definedName>
    <definedName name="asdsf" localSheetId="10" hidden="1">{#N/A,#N/A,FALSE,"Aging Summary";#N/A,#N/A,FALSE,"Ratio Analysis";#N/A,#N/A,FALSE,"Test 120 Day Accts";#N/A,#N/A,FALSE,"Tickmarks"}</definedName>
    <definedName name="asdsf" localSheetId="11" hidden="1">{#N/A,#N/A,FALSE,"Aging Summary";#N/A,#N/A,FALSE,"Ratio Analysis";#N/A,#N/A,FALSE,"Test 120 Day Accts";#N/A,#N/A,FALSE,"Tickmarks"}</definedName>
    <definedName name="asdsf" hidden="1">{#N/A,#N/A,FALSE,"Aging Summary";#N/A,#N/A,FALSE,"Ratio Analysis";#N/A,#N/A,FALSE,"Test 120 Day Accts";#N/A,#N/A,FALSE,"Tickmarks"}</definedName>
    <definedName name="ASSL">[10]Index!$C$4</definedName>
    <definedName name="Audit_Cert">'[9]Note-P'!$F$123</definedName>
    <definedName name="Audit_Fees">'[9]Note-P'!$F$122</definedName>
    <definedName name="Audit_Firm">[11]Index!$C$22</definedName>
    <definedName name="Audit_Out_of_Pocket">'[9]Note-P'!$F$124</definedName>
    <definedName name="Audit_Partner">[12]Index!$C$20</definedName>
    <definedName name="Auditors">[12]Index!$C$19</definedName>
    <definedName name="av" localSheetId="7">[13]Sch!#REF!</definedName>
    <definedName name="av" localSheetId="8">[13]Sch!#REF!</definedName>
    <definedName name="av" localSheetId="6">[13]Sch!#REF!</definedName>
    <definedName name="av" localSheetId="9">[13]Sch!#REF!</definedName>
    <definedName name="av" localSheetId="10">[13]Sch!#REF!</definedName>
    <definedName name="av" localSheetId="11">[13]Sch!#REF!</definedName>
    <definedName name="av">[13]Sch!#REF!</definedName>
    <definedName name="b" localSheetId="7" hidden="1">{#N/A,#N/A,FALSE,"Aging Summary";#N/A,#N/A,FALSE,"Ratio Analysis";#N/A,#N/A,FALSE,"Test 120 Day Accts";#N/A,#N/A,FALSE,"Tickmarks"}</definedName>
    <definedName name="b" localSheetId="8" hidden="1">{#N/A,#N/A,FALSE,"Aging Summary";#N/A,#N/A,FALSE,"Ratio Analysis";#N/A,#N/A,FALSE,"Test 120 Day Accts";#N/A,#N/A,FALSE,"Tickmarks"}</definedName>
    <definedName name="b" localSheetId="6" hidden="1">{#N/A,#N/A,FALSE,"Aging Summary";#N/A,#N/A,FALSE,"Ratio Analysis";#N/A,#N/A,FALSE,"Test 120 Day Accts";#N/A,#N/A,FALSE,"Tickmarks"}</definedName>
    <definedName name="b" localSheetId="9" hidden="1">{#N/A,#N/A,FALSE,"Aging Summary";#N/A,#N/A,FALSE,"Ratio Analysis";#N/A,#N/A,FALSE,"Test 120 Day Accts";#N/A,#N/A,FALSE,"Tickmarks"}</definedName>
    <definedName name="b" localSheetId="10" hidden="1">{#N/A,#N/A,FALSE,"Aging Summary";#N/A,#N/A,FALSE,"Ratio Analysis";#N/A,#N/A,FALSE,"Test 120 Day Accts";#N/A,#N/A,FALSE,"Tickmarks"}</definedName>
    <definedName name="b" localSheetId="11" hidden="1">{#N/A,#N/A,FALSE,"Aging Summary";#N/A,#N/A,FALSE,"Ratio Analysis";#N/A,#N/A,FALSE,"Test 120 Day Accts";#N/A,#N/A,FALSE,"Tickmarks"}</definedName>
    <definedName name="b" hidden="1">{#N/A,#N/A,FALSE,"Aging Summary";#N/A,#N/A,FALSE,"Ratio Analysis";#N/A,#N/A,FALSE,"Test 120 Day Accts";#N/A,#N/A,FALSE,"Tickmarks"}</definedName>
    <definedName name="B10.DedFromUndertaking">'[3]10A'!$F$31</definedName>
    <definedName name="B10.TotalDedUs10Sub">'[3]10A'!$H$32</definedName>
    <definedName name="B10B">[3]Pre_XML!$E$3</definedName>
    <definedName name="BA10.DedFromUndertaking">'[3]10A'!$F$36</definedName>
    <definedName name="BA10.TotalDedUs10Sub">'[3]10A'!$H$37</definedName>
    <definedName name="BA10BA">[3]Pre_XML!$E$4</definedName>
    <definedName name="Bad_Debt_Recov">'[9]Note-P'!$F$51</definedName>
    <definedName name="Bal_Wback">'[9]Note-P'!$F$49</definedName>
    <definedName name="Bank_OD_Intt">'[9]Note-P'!$F$97</definedName>
    <definedName name="bb" localSheetId="7" hidden="1">{#N/A,#N/A,FALSE,"Aging Summary";#N/A,#N/A,FALSE,"Ratio Analysis";#N/A,#N/A,FALSE,"Test 120 Day Accts";#N/A,#N/A,FALSE,"Tickmarks"}</definedName>
    <definedName name="bb" localSheetId="8" hidden="1">{#N/A,#N/A,FALSE,"Aging Summary";#N/A,#N/A,FALSE,"Ratio Analysis";#N/A,#N/A,FALSE,"Test 120 Day Accts";#N/A,#N/A,FALSE,"Tickmarks"}</definedName>
    <definedName name="bb" localSheetId="6" hidden="1">{#N/A,#N/A,FALSE,"Aging Summary";#N/A,#N/A,FALSE,"Ratio Analysis";#N/A,#N/A,FALSE,"Test 120 Day Accts";#N/A,#N/A,FALSE,"Tickmarks"}</definedName>
    <definedName name="bb" localSheetId="9" hidden="1">{#N/A,#N/A,FALSE,"Aging Summary";#N/A,#N/A,FALSE,"Ratio Analysis";#N/A,#N/A,FALSE,"Test 120 Day Accts";#N/A,#N/A,FALSE,"Tickmarks"}</definedName>
    <definedName name="bb" localSheetId="10" hidden="1">{#N/A,#N/A,FALSE,"Aging Summary";#N/A,#N/A,FALSE,"Ratio Analysis";#N/A,#N/A,FALSE,"Test 120 Day Accts";#N/A,#N/A,FALSE,"Tickmarks"}</definedName>
    <definedName name="bb" localSheetId="11" hidden="1">{#N/A,#N/A,FALSE,"Aging Summary";#N/A,#N/A,FALSE,"Ratio Analysis";#N/A,#N/A,FALSE,"Test 120 Day Accts";#N/A,#N/A,FALSE,"Tickmarks"}</definedName>
    <definedName name="bb" hidden="1">{#N/A,#N/A,FALSE,"Aging Summary";#N/A,#N/A,FALSE,"Ratio Analysis";#N/A,#N/A,FALSE,"Test 120 Day Accts";#N/A,#N/A,FALSE,"Tickmarks"}</definedName>
    <definedName name="bdhgd" localSheetId="7" hidden="1">{#N/A,#N/A,FALSE,"Aging Summary";#N/A,#N/A,FALSE,"Ratio Analysis";#N/A,#N/A,FALSE,"Test 120 Day Accts";#N/A,#N/A,FALSE,"Tickmarks"}</definedName>
    <definedName name="bdhgd" localSheetId="8" hidden="1">{#N/A,#N/A,FALSE,"Aging Summary";#N/A,#N/A,FALSE,"Ratio Analysis";#N/A,#N/A,FALSE,"Test 120 Day Accts";#N/A,#N/A,FALSE,"Tickmarks"}</definedName>
    <definedName name="bdhgd" localSheetId="6" hidden="1">{#N/A,#N/A,FALSE,"Aging Summary";#N/A,#N/A,FALSE,"Ratio Analysis";#N/A,#N/A,FALSE,"Test 120 Day Accts";#N/A,#N/A,FALSE,"Tickmarks"}</definedName>
    <definedName name="bdhgd" localSheetId="9" hidden="1">{#N/A,#N/A,FALSE,"Aging Summary";#N/A,#N/A,FALSE,"Ratio Analysis";#N/A,#N/A,FALSE,"Test 120 Day Accts";#N/A,#N/A,FALSE,"Tickmarks"}</definedName>
    <definedName name="bdhgd" localSheetId="10" hidden="1">{#N/A,#N/A,FALSE,"Aging Summary";#N/A,#N/A,FALSE,"Ratio Analysis";#N/A,#N/A,FALSE,"Test 120 Day Accts";#N/A,#N/A,FALSE,"Tickmarks"}</definedName>
    <definedName name="bdhgd" localSheetId="11" hidden="1">{#N/A,#N/A,FALSE,"Aging Summary";#N/A,#N/A,FALSE,"Ratio Analysis";#N/A,#N/A,FALSE,"Test 120 Day Accts";#N/A,#N/A,FALSE,"Tickmarks"}</definedName>
    <definedName name="bdhgd" hidden="1">{#N/A,#N/A,FALSE,"Aging Summary";#N/A,#N/A,FALSE,"Ratio Analysis";#N/A,#N/A,FALSE,"Test 120 Day Accts";#N/A,#N/A,FALSE,"Tickmarks"}</definedName>
    <definedName name="BG_Del" hidden="1">15</definedName>
    <definedName name="BG_Ins" hidden="1">4</definedName>
    <definedName name="BG_Mod" hidden="1">6</definedName>
    <definedName name="BS.AccrIntNotDue">[3]BALANCE_SHEET!$H$91</definedName>
    <definedName name="BS.AccrIntonLeasedAsset">[3]BALANCE_SHEET!$H$90</definedName>
    <definedName name="BS.AccumultedLosses">[3]BALANCE_SHEET!$H$106</definedName>
    <definedName name="BS.AdvRecoverable">[3]BALANCE_SHEET!$H$78</definedName>
    <definedName name="BS.Authorised">[3]BALANCE_SHEET!$H$4</definedName>
    <definedName name="BS.BalWithRevAuth">[3]BALANCE_SHEET!$H$80</definedName>
    <definedName name="BS.BankBal">[3]BALANCE_SHEET!$H$72</definedName>
    <definedName name="BS.CapRedempResr">[3]BALANCE_SHEET!$H$11</definedName>
    <definedName name="BS.CapResr">[3]BALANCE_SHEET!$H$10</definedName>
    <definedName name="BS.CapWrkProg">[3]BALANCE_SHEET!$H$45</definedName>
    <definedName name="BS.CashBalAmt">[3]BALANCE_SHEET!$J$113</definedName>
    <definedName name="BS.CashinHand">[3]BALANCE_SHEET!$H$71</definedName>
    <definedName name="BS.Debenture">[3]BALANCE_SHEET!$H$55</definedName>
    <definedName name="BS.Debentures">[3]BALANCE_SHEET!$H$21</definedName>
    <definedName name="BS.DebunRedResr">[3]BALANCE_SHEET!$H$13</definedName>
    <definedName name="BS.DeferredTax">[3]BALANCE_SHEET!$J$39</definedName>
    <definedName name="BS.DefTaxAsset">[3]BALANCE_SHEET!$H$105</definedName>
    <definedName name="BS.Deposits">[3]BALANCE_SHEET!$H$79</definedName>
    <definedName name="BS.Depreciation">[3]BALANCE_SHEET!$H$43</definedName>
    <definedName name="BS.ELSuperAnnGratProvision">[3]BALANCE_SHEET!$H$97</definedName>
    <definedName name="BS.EquityShares">[3]BALANCE_SHEET!$H$53</definedName>
    <definedName name="BS.FBTProvision">[3]BALANCE_SHEET!$H$95</definedName>
    <definedName name="BS.FinOrTradGood">[3]BALANCE_SHEET!$H$64</definedName>
    <definedName name="BS.ForeignCurrLoan">[3]BALANCE_SHEET!$H$22</definedName>
    <definedName name="BS.FrmBank">[3]BALANCE_SHEET!$H$34</definedName>
    <definedName name="BS.FrmOthrs">[3]BALANCE_SHEET!$H$35</definedName>
    <definedName name="BS.GenResr">[3]BALANCE_SHEET!$H$15</definedName>
    <definedName name="BS.GovOthSecUnQoted">[3]BALANCE_SHEET!$H$50</definedName>
    <definedName name="BS.GovtOthSecQuoted">[3]BALANCE_SHEET!$H$49</definedName>
    <definedName name="BS.GrossBlock">[3]BALANCE_SHEET!$H$42</definedName>
    <definedName name="BS.IssuedSubsPaidUp">[3]BALANCE_SHEET!$H$5</definedName>
    <definedName name="BS.ITProvision">[3]BALANCE_SHEET!$H$94</definedName>
    <definedName name="BS.LiabForLeasedAsset">[3]BALANCE_SHEET!$H$86</definedName>
    <definedName name="BS.LoanToSubsComp">[3]BALANCE_SHEET!$H$77</definedName>
    <definedName name="BS.MiscExpndr">[3]BALANCE_SHEET!$H$104</definedName>
    <definedName name="BS.NetBlock">[3]BALANCE_SHEET!$H$44</definedName>
    <definedName name="BS.NetCurrAsset">[3]BALANCE_SHEET!$J$103</definedName>
    <definedName name="BS.OthCurrAsset">[3]BALANCE_SHEET!$J$74</definedName>
    <definedName name="BS.OthProvision">[3]BALANCE_SHEET!$H$98</definedName>
    <definedName name="BS.OthResr">[3]BALANCE_SHEET!$H$16</definedName>
    <definedName name="BS.OthSD">[3]BALANCE_SHEET!$H$68</definedName>
    <definedName name="BS.OverSixMonthSD">[3]BALANCE_SHEET!$H$67</definedName>
    <definedName name="BS.PartnerOrMemberCap">[3]BALANCE_SHEET!$J$3</definedName>
    <definedName name="BS.PreferShares">[3]BALANCE_SHEET!$H$54</definedName>
    <definedName name="BS.ProposedDividend">[3]BALANCE_SHEET!$H$99</definedName>
    <definedName name="BS.RawMatl">[3]BALANCE_SHEET!$H$62</definedName>
    <definedName name="BS.RevResr">[3]BALANCE_SHEET!$H$9</definedName>
    <definedName name="BS.SecurPremResr">[3]BALANCE_SHEET!$H$12</definedName>
    <definedName name="BS.ShareAppMoney">[3]BALANCE_SHEET!$H$6</definedName>
    <definedName name="BS.StatResr">[3]BALANCE_SHEET!$H$14</definedName>
    <definedName name="BS.StkInProcess">[3]BALANCE_SHEET!$H$63</definedName>
    <definedName name="BS.StoresConsumables">[3]BALANCE_SHEET!$H$61</definedName>
    <definedName name="BS.SundryCred">[3]BALANCE_SHEET!$H$85</definedName>
    <definedName name="BS.SundryDebtors">[3]BALANCE_SHEET!$J$66</definedName>
    <definedName name="BS.TaxOnDividend">[3]BALANCE_SHEET!$H$100</definedName>
    <definedName name="BS.TotCashOrBankBal">[3]BALANCE_SHEET!$J$73</definedName>
    <definedName name="BS.TotCurrAsset">[3]BALANCE_SHEET!$J$75</definedName>
    <definedName name="BS.TotCurrAssetLoanAdv">[3]BALANCE_SHEET!$J$82</definedName>
    <definedName name="BS.TotCurrLiabilities">[3]BALANCE_SHEET!$J$92</definedName>
    <definedName name="BS.TotCurrLiabilitiesProvision">[3]BALANCE_SHEET!$J$102</definedName>
    <definedName name="BS.TotFixedAsset">[3]BALANCE_SHEET!$J$46</definedName>
    <definedName name="BS.TotFundApply">[3]BALANCE_SHEET!$J$108</definedName>
    <definedName name="BS.TotFundSrc">[3]BALANCE_SHEET!$J$40</definedName>
    <definedName name="BS.TotInventries">[3]BALANCE_SHEET!$J$65</definedName>
    <definedName name="BS.TotInvestments">[3]BALANCE_SHEET!$J$57</definedName>
    <definedName name="BS.TotLoanAdv">[3]BALANCE_SHEET!$J$81</definedName>
    <definedName name="BS.TotLoanFund">[3]BALANCE_SHEET!$J$38</definedName>
    <definedName name="BS.TotLongTermInv">[3]BALANCE_SHEET!$J$51</definedName>
    <definedName name="BS.TotLongTermLoan">[3]BALANCE_SHEET!$J$32</definedName>
    <definedName name="BS.TotMiscAdjust">[3]BALANCE_SHEET!$J$107</definedName>
    <definedName name="BS.TotPartnerOrMemberFund">[3]BALANCE_SHEET!$J$18</definedName>
    <definedName name="BS.TotProvisions">[3]BALANCE_SHEET!$J$101</definedName>
    <definedName name="BS.TotResrNSurp">[3]BALANCE_SHEET!$J$17</definedName>
    <definedName name="BS.TotRupeeLoan">[3]BALANCE_SHEET!$H$26</definedName>
    <definedName name="BS.TotSecrLoan">[3]BALANCE_SHEET!$J$27</definedName>
    <definedName name="BS.TotShareCapital">[3]BALANCE_SHEET!$J$7</definedName>
    <definedName name="BS.TotShortTermLoan">[3]BALANCE_SHEET!$J$36</definedName>
    <definedName name="BS.TotStkInTradAmt">[3]BALANCE_SHEET!$J$112</definedName>
    <definedName name="BS.TotSundryCrdAmt">[3]BALANCE_SHEET!$J$111</definedName>
    <definedName name="BS.TotSundryDbtAmt">[3]BALANCE_SHEET!$J$110</definedName>
    <definedName name="BS.TotSundryDebtors">[3]BALANCE_SHEET!$J$69</definedName>
    <definedName name="BS.TotTradeInv">[3]BALANCE_SHEET!$J$56</definedName>
    <definedName name="BS.TotUnSecrLoan">[3]BALANCE_SHEET!$J$37</definedName>
    <definedName name="BS.UnpaidCallMoney">[3]BALANCE_SHEET!$H$89</definedName>
    <definedName name="BS.UnpaidDividend">[3]BALANCE_SHEET!$H$87</definedName>
    <definedName name="BS.UnpaidMatureDebenture">[3]BALANCE_SHEET!$H$88</definedName>
    <definedName name="BS.WTProvision">[3]BALANCE_SHEET!$H$96</definedName>
    <definedName name="BS_Date" localSheetId="14">[11]Index!$C$11</definedName>
    <definedName name="BS_Date" localSheetId="13">[11]Index!$C$11</definedName>
    <definedName name="BS_Date">[14]Index!$C$11</definedName>
    <definedName name="BS_Date_text">[10]Index!$C$9</definedName>
    <definedName name="BS_DT">[15]Index!$C$11</definedName>
    <definedName name="BS_DT_TEXT" localSheetId="14">[11]Index!$C$12</definedName>
    <definedName name="BS_DT_TEXT" localSheetId="13">[11]Index!$C$12</definedName>
    <definedName name="BS_DT_TEXT">[16]Index!$C$12</definedName>
    <definedName name="BSSec.FrmBank">[3]BALANCE_SHEET!$H$24</definedName>
    <definedName name="BSSec.FrmOthrs">[3]BALANCE_SHEET!$H$25</definedName>
    <definedName name="BSUnSec.FrmBank">[3]BALANCE_SHEET!$H$30</definedName>
    <definedName name="BSUnSec.FrmOthrs">[3]BALANCE_SHEET!$H$31</definedName>
    <definedName name="Business_Prom">'[9]Note-P'!$F$120</definedName>
    <definedName name="busipofincl.BFAllUs35Cl4Setoff2">'[3]CYLA BFLA'!$G$18</definedName>
    <definedName name="busipofincl.BFlossPrevYrUndSameHeadSetoff2">'[3]CYLA BFLA'!$E$18</definedName>
    <definedName name="busipofincl.BFUnabsorbedDeprSetoff2">'[3]CYLA BFLA'!$F$18</definedName>
    <definedName name="busipofincl.IncOfCurYrAfterSetOffBFLosses2">'[3]CYLA BFLA'!$H$18</definedName>
    <definedName name="busipofincl.IncOfCurYrUndHeadFromCYLA2">'[3]CYLA BFLA'!$D$18</definedName>
    <definedName name="busprof.BusLossSetoff">'[3]CYLA BFLA'!$F$7</definedName>
    <definedName name="busprof.HPlossCurYrSetoff">'[3]CYLA BFLA'!$E$7</definedName>
    <definedName name="busprof.IncOfCurYrAfterSetOff">'[3]CYLA BFLA'!$H$7</definedName>
    <definedName name="busprof.IncOfCurYrUnderThatHead">'[3]CYLA BFLA'!$D$7</definedName>
    <definedName name="busprof.OthSrcLossNoRaceHorseSetoff">'[3]CYLA BFLA'!$G$7</definedName>
    <definedName name="CAP_ADV_NET">'[9]Note-B'!$G$305</definedName>
    <definedName name="CBB">[9]BS!$H$55</definedName>
    <definedName name="cf" localSheetId="7" hidden="1">{#N/A,#N/A,FALSE,"Aging Summary";#N/A,#N/A,FALSE,"Ratio Analysis";#N/A,#N/A,FALSE,"Test 120 Day Accts";#N/A,#N/A,FALSE,"Tickmarks"}</definedName>
    <definedName name="cf" localSheetId="8" hidden="1">{#N/A,#N/A,FALSE,"Aging Summary";#N/A,#N/A,FALSE,"Ratio Analysis";#N/A,#N/A,FALSE,"Test 120 Day Accts";#N/A,#N/A,FALSE,"Tickmarks"}</definedName>
    <definedName name="cf" localSheetId="6" hidden="1">{#N/A,#N/A,FALSE,"Aging Summary";#N/A,#N/A,FALSE,"Ratio Analysis";#N/A,#N/A,FALSE,"Test 120 Day Accts";#N/A,#N/A,FALSE,"Tickmarks"}</definedName>
    <definedName name="cf" localSheetId="9" hidden="1">{#N/A,#N/A,FALSE,"Aging Summary";#N/A,#N/A,FALSE,"Ratio Analysis";#N/A,#N/A,FALSE,"Test 120 Day Accts";#N/A,#N/A,FALSE,"Tickmarks"}</definedName>
    <definedName name="cf" localSheetId="10" hidden="1">{#N/A,#N/A,FALSE,"Aging Summary";#N/A,#N/A,FALSE,"Ratio Analysis";#N/A,#N/A,FALSE,"Test 120 Day Accts";#N/A,#N/A,FALSE,"Tickmarks"}</definedName>
    <definedName name="cf" localSheetId="11" hidden="1">{#N/A,#N/A,FALSE,"Aging Summary";#N/A,#N/A,FALSE,"Ratio Analysis";#N/A,#N/A,FALSE,"Test 120 Day Accts";#N/A,#N/A,FALSE,"Tickmarks"}</definedName>
    <definedName name="cf" hidden="1">{#N/A,#N/A,FALSE,"Aging Summary";#N/A,#N/A,FALSE,"Ratio Analysis";#N/A,#N/A,FALSE,"Test 120 Day Accts";#N/A,#N/A,FALSE,"Tickmarks"}</definedName>
    <definedName name="cg.AmtDeemedCGSec54">[3]CG_OS!$J$54</definedName>
    <definedName name="cg.IncCharegeableHeadCapGains">[3]CG_OS!$J$56</definedName>
    <definedName name="cg.TotalLTCG">[3]CG_OS!$J$55</definedName>
    <definedName name="cglng.AquisitCostIndexed1">[3]CG_OS!$H$37</definedName>
    <definedName name="cglng.BalanceCG1">[3]CG_OS!$H$41</definedName>
    <definedName name="cglng.BalLTCGNo1121">[3]CG_OS!$J$43</definedName>
    <definedName name="cglng.CGSlumpSale2">[3]CG_OS!$H$30</definedName>
    <definedName name="cglng.DednUs54s2">[3]CG_OS!$H$31</definedName>
    <definedName name="cglng.ExemptionOrDednUs54s1">[3]CG_OS!$H$42</definedName>
    <definedName name="cglng.ExpOnTrans1">[3]CG_OS!$H$39</definedName>
    <definedName name="cglng.FullConsideration01">[3]CG_OS!$H$35</definedName>
    <definedName name="cglng.FullConsideration3">[3]CG_OS!$H$28</definedName>
    <definedName name="cglng.ImproveCostIndexed1">[3]CG_OS!$H$38</definedName>
    <definedName name="cglng.NetCGSlumpSale2">[3]CG_OS!$J$32</definedName>
    <definedName name="cglng.NetWorthOfUTDivn2">[3]CG_OS!$H$29</definedName>
    <definedName name="cglng.NRIAssetSec482">[3]CG_OS!$J$33</definedName>
    <definedName name="cglng.TotalDedn1">[3]CG_OS!$H$40</definedName>
    <definedName name="cglng.Up16Of12To15Of32">[3]CG_OS!$J$62</definedName>
    <definedName name="cglng.Up16Of3To31Of32">[3]CG_OS!$J$63</definedName>
    <definedName name="cglng.Up16Of9To15Of122">[3]CG_OS!$J$61</definedName>
    <definedName name="cglng.Upto15Of62">[3]CG_OS!$J$59</definedName>
    <definedName name="cglng.Upto15Of92">[3]CG_OS!$J$60</definedName>
    <definedName name="cgoth.AquisitCostIndexed2">[3]CG_OS!$H$47</definedName>
    <definedName name="cgoth.BalanceCG2">[3]CG_OS!$H$51</definedName>
    <definedName name="cgoth.BalLTCGNo1122">[3]CG_OS!$J$53</definedName>
    <definedName name="cgoth.ExemptionOrDednUs54s2">[3]CG_OS!$H$52</definedName>
    <definedName name="cgoth.ExpOnTrans2">[3]CG_OS!$H$49</definedName>
    <definedName name="cgoth.FullConsideration02">[3]CG_OS!$H$45</definedName>
    <definedName name="cgoth.ImproveCostIndexed2">[3]CG_OS!$H$48</definedName>
    <definedName name="cgoth.TotalDedn2">[3]CG_OS!$H$50</definedName>
    <definedName name="cgshrt.AmtDeemedCGSec54">[3]CG_OS!$J$22</definedName>
    <definedName name="cgshrt.AquisitCost">[3]CG_OS!$H$13</definedName>
    <definedName name="cgshrt.BalanceCG">[3]CG_OS!$H$17</definedName>
    <definedName name="cgshrt.BalCG">[3]CG_OS!$J$20</definedName>
    <definedName name="cgshrt.CGSlumpSale1">[3]CG_OS!$H$6</definedName>
    <definedName name="cgshrt.DednUs54s1">[3]CG_OS!$H$7</definedName>
    <definedName name="cgshrt.DeemedSTCGDeprAsset">[3]CG_OS!$J$21</definedName>
    <definedName name="cgshrt.ExemptionOrDednUs54s">[3]CG_OS!$H$19</definedName>
    <definedName name="cgshrt.ExpOnTrans">[3]CG_OS!$H$15</definedName>
    <definedName name="cgshrt.FullConsideration1">[3]CG_OS!$H$4</definedName>
    <definedName name="cgshrt.FullConsideration2">[3]CG_OS!$H$11</definedName>
    <definedName name="cgshrt.ImproveCost">[3]CG_OS!$H$14</definedName>
    <definedName name="cgshrt.LossSec94of7Or94of8">[3]CG_OS!$H$18</definedName>
    <definedName name="cgshrt.NetCGSlumpSale1">[3]CG_OS!$J$8</definedName>
    <definedName name="cgshrt.NetWorthOfUTDivn1">[3]CG_OS!$H$5</definedName>
    <definedName name="cgshrt.NRIAssetSec481">[3]CG_OS!$J$9</definedName>
    <definedName name="cgshrt.STCGNotSec111A">[3]CG_OS!$J$25</definedName>
    <definedName name="cgshrt.STCGSec111A">[3]CG_OS!$J$24</definedName>
    <definedName name="cgshrt.TotalDedn">[3]CG_OS!$H$16</definedName>
    <definedName name="cgshrt.TotalSTCG">[3]CG_OS!$J$23</definedName>
    <definedName name="cgshrt.Up16Of12To15Of31">[3]CG_OS!$H$62</definedName>
    <definedName name="cgshrt.Up16Of3To31Of31">[3]CG_OS!$H$63</definedName>
    <definedName name="cgshrt.Up16Of9To15Of121">[3]CG_OS!$H$61</definedName>
    <definedName name="cgshrt.Upto15Of61">[3]CG_OS!$H$59</definedName>
    <definedName name="cgshrt.Upto15Of91">[3]CG_OS!$H$60</definedName>
    <definedName name="check">[17]Sheet3!$A$1:$B$62</definedName>
    <definedName name="CI">[9]BS!$H$52</definedName>
    <definedName name="cmb_A_GEN1.AsseseeRepFlg">[3]GENERAL!$DH$54:$DH$55</definedName>
    <definedName name="cmb_A_GEN1.FBTSec">[3]GENERAL!$BJ$54:$BJ$58</definedName>
    <definedName name="cmb_A_GEN1.IncomeTaxSec">[3]GENERAL!$AJ$54:$AJ$58</definedName>
    <definedName name="cmb_A_GEN1.NRI_PE">[3]GENERAL!$DA$54:$DA$55</definedName>
    <definedName name="cmb_A_GEN1.ResidentialStatus">[3]GENERAL!$EM$54:$EM$56</definedName>
    <definedName name="cmb_A_GEN1.ReturnType">[3]GENERAL!$EB$54:$EB$55</definedName>
    <definedName name="cmb_A_GEN1.StateCode">[3]GENERAL!$B$54:$B$89</definedName>
    <definedName name="cmb_A_GEN1.StatusOrCompanyType">[3]GENERAL!$U$54:$U$55</definedName>
    <definedName name="cmb_A_GEN2.LiableSec44AAflg">[3]GENERAL!$DP$54:$DP$55</definedName>
    <definedName name="cmb_A_GEN2.LiableSec44ABflg">[3]GENERAL!$DS$54:$DS$55</definedName>
    <definedName name="cmb_DDT.RateDividPrevYrType">[18]DDT_TDS_TCS!$Z$3:$Z$4</definedName>
    <definedName name="cmb_FBI.EmployeesInOutIndiaFlg">[3]FRINGE_BENEFIT_INFO!$P$2:$P$3</definedName>
    <definedName name="cmb_FBI.SeparateAcntMaintainForIndiaForeignFlg">[3]FRINGE_BENEFIT_INFO!$Q$2:$Q$3</definedName>
    <definedName name="cmb_HP.ifLetOut1">[3]HOUSE_PROPERTY!$F$61:$F$62</definedName>
    <definedName name="cmb_HP.StateCode1">[3]HOUSE_PROPERTY!$D$61:$D$96</definedName>
    <definedName name="cmb_NOB.Code">[3]NATUREOFBUSINESS!$C$31:$C$104</definedName>
    <definedName name="cmb_OI.ChangeInAcctMethFlg">[3]OTHER_INFORMATION!$P$4:$P$5</definedName>
    <definedName name="cmb_OI.MethodOfAcct">[3]OTHER_INFORMATION!$O$4:$O$5</definedName>
    <definedName name="cmb_OIMethodofValClgStk.ChngStockValMetFlg">[3]OTHER_INFORMATION!$S$4:$S$5</definedName>
    <definedName name="cmb_OIMethodofValClgStk.ValFinishedGoods">[3]OTHER_INFORMATION!$R$4:$R$6</definedName>
    <definedName name="cmb_OIMethodofValClgStk.ValRawMaterial">[3]OTHER_INFORMATION!$Q$4:$Q$6</definedName>
    <definedName name="cmb_PAGBU2.BusOrgType">[3]GENERAL2!$D$51:$D$54</definedName>
    <definedName name="cmb_PAGH2.NatOfCompFlg">[3]GENERAL2!$C$51:$C$54</definedName>
    <definedName name="cmb_PAGH2.StateCode">[3]GENERAL2!$E$51:$E$86</definedName>
    <definedName name="cmb_PAGNA2.PubSectCompUs2_36AFlg">[3]GENERAL2!$G$51:$G$52</definedName>
    <definedName name="cmb_PAGS2.StateCode">'[3]SUBSIDIARY DETAILS'!$C$15:$C$50</definedName>
    <definedName name="cmb_Per10080G.StateCode">'[3]80G'!$F$50:$F$85</definedName>
    <definedName name="cmb_Per5080G.StateCode">'[3]80G'!$J$50:$J$85</definedName>
    <definedName name="cmb_PerNO5080G.StateCode">'[3]80G'!$H$50:$H$85</definedName>
    <definedName name="cmb_PMChange.PrevYrMemPartChange">[3]NATUREOFBUSINESS!$E$31:$E$32</definedName>
    <definedName name="cmb_PMInfo.StateCode">[3]NATUREOFBUSINESS!$I$31:$I$63</definedName>
    <definedName name="cmb_QDFinishrByProd.UnitOfMeasure">[3]QUANTITATIVE_DETAILS!$C$77:$C$99</definedName>
    <definedName name="cmb_QDRawMaterial.UnitOfMeasure">[3]QUANTITATIVE_DETAILS!$B$77:$B$99</definedName>
    <definedName name="cmb_QDTradingConcern.UnitOfMeasure">[3]QUANTITATIVE_DETAILS!$A$77:$A$99</definedName>
    <definedName name="cmb_SI.SecCode">[3]SI!$C$21:$C$41</definedName>
    <definedName name="cmb_SI.SplRatePercent">[3]SI!$D$21:$D$26</definedName>
    <definedName name="cmb_TCS.StateCode">[3]IT_FBT_DDTP!$J$70:$J$105</definedName>
    <definedName name="cmb_TDS2.StateCode">[19]IT_FBT_DDTP!$H$65:$H$100</definedName>
    <definedName name="cmbyn" localSheetId="7">#REF!</definedName>
    <definedName name="cmbyn" localSheetId="8">#REF!</definedName>
    <definedName name="cmbyn" localSheetId="6">#REF!</definedName>
    <definedName name="cmbyn" localSheetId="9">#REF!</definedName>
    <definedName name="cmbyn" localSheetId="10">#REF!</definedName>
    <definedName name="cmbyn" localSheetId="11">#REF!</definedName>
    <definedName name="cmbyn">#REF!</definedName>
    <definedName name="cntr.hprptfrm">[3]HOUSE_PROPERTY!$L$2</definedName>
    <definedName name="CODE" localSheetId="7">#REF!</definedName>
    <definedName name="CODE" localSheetId="8">#REF!</definedName>
    <definedName name="CODE" localSheetId="6">#REF!</definedName>
    <definedName name="CODE" localSheetId="9">#REF!</definedName>
    <definedName name="CODE" localSheetId="10">#REF!</definedName>
    <definedName name="CODE" localSheetId="11">#REF!</definedName>
    <definedName name="CODE">#REF!</definedName>
    <definedName name="Commission">'[9]Note-P'!$F$65</definedName>
    <definedName name="Communications">'[9]Note-P'!$F$114</definedName>
    <definedName name="Company" localSheetId="14">[11]Index!$C$4</definedName>
    <definedName name="Company" localSheetId="13">[11]Index!$C$4</definedName>
    <definedName name="Company">[12]Index!$C$4</definedName>
    <definedName name="Content">'[9]Note-P'!$F$72</definedName>
    <definedName name="contlac" localSheetId="7">'[1]Other notes'!#REF!</definedName>
    <definedName name="contlac" localSheetId="8">'[1]Other notes'!#REF!</definedName>
    <definedName name="contlac" localSheetId="6">'[1]Other notes'!#REF!</definedName>
    <definedName name="contlac" localSheetId="9">'[1]Other notes'!#REF!</definedName>
    <definedName name="contlac" localSheetId="10">'[1]Other notes'!#REF!</definedName>
    <definedName name="contlac" localSheetId="11">'[1]Other notes'!#REF!</definedName>
    <definedName name="contlac">'[1]Other notes'!#REF!</definedName>
    <definedName name="Contribution_to_PF">'[9]Note-P'!$F$82</definedName>
    <definedName name="cpsummary" localSheetId="7" hidden="1">{#N/A,#N/A,FALSE,"Aging Summary";#N/A,#N/A,FALSE,"Ratio Analysis";#N/A,#N/A,FALSE,"Test 120 Day Accts";#N/A,#N/A,FALSE,"Tickmarks"}</definedName>
    <definedName name="cpsummary" localSheetId="8" hidden="1">{#N/A,#N/A,FALSE,"Aging Summary";#N/A,#N/A,FALSE,"Ratio Analysis";#N/A,#N/A,FALSE,"Test 120 Day Accts";#N/A,#N/A,FALSE,"Tickmarks"}</definedName>
    <definedName name="cpsummary" localSheetId="6" hidden="1">{#N/A,#N/A,FALSE,"Aging Summary";#N/A,#N/A,FALSE,"Ratio Analysis";#N/A,#N/A,FALSE,"Test 120 Day Accts";#N/A,#N/A,FALSE,"Tickmarks"}</definedName>
    <definedName name="cpsummary" localSheetId="9" hidden="1">{#N/A,#N/A,FALSE,"Aging Summary";#N/A,#N/A,FALSE,"Ratio Analysis";#N/A,#N/A,FALSE,"Test 120 Day Accts";#N/A,#N/A,FALSE,"Tickmarks"}</definedName>
    <definedName name="cpsummary" localSheetId="10" hidden="1">{#N/A,#N/A,FALSE,"Aging Summary";#N/A,#N/A,FALSE,"Ratio Analysis";#N/A,#N/A,FALSE,"Test 120 Day Accts";#N/A,#N/A,FALSE,"Tickmarks"}</definedName>
    <definedName name="cpsummary" localSheetId="11" hidden="1">{#N/A,#N/A,FALSE,"Aging Summary";#N/A,#N/A,FALSE,"Ratio Analysis";#N/A,#N/A,FALSE,"Test 120 Day Accts";#N/A,#N/A,FALSE,"Tickmarks"}</definedName>
    <definedName name="cpsummary" hidden="1">{#N/A,#N/A,FALSE,"Aging Summary";#N/A,#N/A,FALSE,"Ratio Analysis";#N/A,#N/A,FALSE,"Test 120 Day Accts";#N/A,#N/A,FALSE,"Tickmarks"}</definedName>
    <definedName name="CS">[11]Index!$C$18</definedName>
    <definedName name="CS_PAN">[11]Index!$C$19</definedName>
    <definedName name="csheet" localSheetId="7">#REF!</definedName>
    <definedName name="csheet" localSheetId="8">#REF!</definedName>
    <definedName name="csheet" localSheetId="6">#REF!</definedName>
    <definedName name="csheet" localSheetId="9">#REF!</definedName>
    <definedName name="csheet" localSheetId="10">#REF!</definedName>
    <definedName name="csheet" localSheetId="11">#REF!</definedName>
    <definedName name="csheet">#REF!</definedName>
    <definedName name="cyla.TotBusLoss">'[3]CYLA BFLA'!$F$4</definedName>
    <definedName name="cyla.TotHPlossCurYr">'[3]CYLA BFLA'!$E$4</definedName>
    <definedName name="cyla.TotOthSrcLossNoRaceHorse">'[3]CYLA BFLA'!$G$4</definedName>
    <definedName name="d" localSheetId="7" hidden="1">{#N/A,#N/A,FALSE,"Aging Summary";#N/A,#N/A,FALSE,"Ratio Analysis";#N/A,#N/A,FALSE,"Test 120 Day Accts";#N/A,#N/A,FALSE,"Tickmarks"}</definedName>
    <definedName name="d" localSheetId="8" hidden="1">{#N/A,#N/A,FALSE,"Aging Summary";#N/A,#N/A,FALSE,"Ratio Analysis";#N/A,#N/A,FALSE,"Test 120 Day Accts";#N/A,#N/A,FALSE,"Tickmarks"}</definedName>
    <definedName name="d" localSheetId="6" hidden="1">{#N/A,#N/A,FALSE,"Aging Summary";#N/A,#N/A,FALSE,"Ratio Analysis";#N/A,#N/A,FALSE,"Test 120 Day Accts";#N/A,#N/A,FALSE,"Tickmarks"}</definedName>
    <definedName name="d" localSheetId="9" hidden="1">{#N/A,#N/A,FALSE,"Aging Summary";#N/A,#N/A,FALSE,"Ratio Analysis";#N/A,#N/A,FALSE,"Test 120 Day Accts";#N/A,#N/A,FALSE,"Tickmarks"}</definedName>
    <definedName name="d" localSheetId="10" hidden="1">{#N/A,#N/A,FALSE,"Aging Summary";#N/A,#N/A,FALSE,"Ratio Analysis";#N/A,#N/A,FALSE,"Test 120 Day Accts";#N/A,#N/A,FALSE,"Tickmarks"}</definedName>
    <definedName name="d" localSheetId="11" hidden="1">{#N/A,#N/A,FALSE,"Aging Summary";#N/A,#N/A,FALSE,"Ratio Analysis";#N/A,#N/A,FALSE,"Test 120 Day Accts";#N/A,#N/A,FALSE,"Tickmarks"}</definedName>
    <definedName name="d" hidden="1">{#N/A,#N/A,FALSE,"Aging Summary";#N/A,#N/A,FALSE,"Ratio Analysis";#N/A,#N/A,FALSE,"Test 120 Day Accts";#N/A,#N/A,FALSE,"Tickmarks"}</definedName>
    <definedName name="DAOB10.AdditionsGrThan180Days">[3]DPM_DOA!$E$27</definedName>
    <definedName name="DAOB10.AdditionsLessThan180Days">[3]DPM_DOA!$E$30</definedName>
    <definedName name="DAOB10.AddlnDeprDuringYearAdditions">[3]DPM_DOA!$E$36</definedName>
    <definedName name="DAOB10.AddlnDeprOnGT180DayAdditions">[3]DPM_DOA!$E$35</definedName>
    <definedName name="DAOB10.CapGainUs50">[3]DPM_DOA!$E$39</definedName>
    <definedName name="DAOB10.DepreciationAtFullRate">[3]DPM_DOA!$E$33</definedName>
    <definedName name="DAOB10.DepreciationAtHalfRate">[3]DPM_DOA!$E$34</definedName>
    <definedName name="DAOB10.ExpdrOnTrforSaleAsset">[3]DPM_DOA!$E$38</definedName>
    <definedName name="DAOB10.FullRateDeprAmt">[3]DPM_DOA!$E$29</definedName>
    <definedName name="DAOB10.HalfRateDeprAmt">[3]DPM_DOA!$E$32</definedName>
    <definedName name="DAOB10.RealizationPeriodDuringYear">[3]DPM_DOA!$E$31</definedName>
    <definedName name="DAOB10.RealizationTotalPeriod">[3]DPM_DOA!$E$28</definedName>
    <definedName name="DAOB10.TotalDepreciation">[3]DPM_DOA!$E$37</definedName>
    <definedName name="DAOB10.WDVFirstDay">[3]DPM_DOA!$E$26</definedName>
    <definedName name="DAOB10.WDVLastDay">[3]DPM_DOA!$E$40</definedName>
    <definedName name="DAOB100.AdditionsGrThan180Days">[3]DPM_DOA!$F$27</definedName>
    <definedName name="DAOB100.AdditionsLessThan180Days">[3]DPM_DOA!$F$30</definedName>
    <definedName name="DAOB100.AddlnDeprDuringYearAdditions">[3]DPM_DOA!$F$36</definedName>
    <definedName name="DAOB100.AddlnDeprOnGT180DayAdditions">[3]DPM_DOA!$F$35</definedName>
    <definedName name="DAOB100.CapGainUs50">[3]DPM_DOA!$F$39</definedName>
    <definedName name="DAOB100.DepreciationAtFullRate">[3]DPM_DOA!$F$33</definedName>
    <definedName name="DAOB100.DepreciationAtHalfRate">[3]DPM_DOA!$F$34</definedName>
    <definedName name="DAOB100.ExpdrOnTrforSaleAsset">[3]DPM_DOA!$F$38</definedName>
    <definedName name="DAOB100.FullRateDeprAmt">[3]DPM_DOA!$F$29</definedName>
    <definedName name="DAOB100.HalfRateDeprAmt">[3]DPM_DOA!$F$32</definedName>
    <definedName name="DAOB100.RealizationPeriodDuringYear">[3]DPM_DOA!$F$31</definedName>
    <definedName name="DAOB100.RealizationTotalPeriod">[3]DPM_DOA!$F$28</definedName>
    <definedName name="DAOB100.TotalDepreciation">[3]DPM_DOA!$F$37</definedName>
    <definedName name="DAOB100.WDVFirstDay">[3]DPM_DOA!$F$26</definedName>
    <definedName name="DAOB100.WDVLastDay">[3]DPM_DOA!$F$40</definedName>
    <definedName name="DAOB5.AdditionsGrThan180Days">[3]DPM_DOA!$D$27</definedName>
    <definedName name="DAOB5.AdditionsLessThan180Days">[3]DPM_DOA!$D$30</definedName>
    <definedName name="DAOB5.AddlnDeprDuringYearAdditions">[3]DPM_DOA!$D$36</definedName>
    <definedName name="DAOB5.AddlnDeprOnGT180DayAdditions">[3]DPM_DOA!$D$35</definedName>
    <definedName name="DAOB5.CapGainUs50">[3]DPM_DOA!$D$39</definedName>
    <definedName name="DAOB5.DepreciationAtFullRate">[3]DPM_DOA!$D$33</definedName>
    <definedName name="DAOB5.DepreciationAtHalfRate">[3]DPM_DOA!$D$34</definedName>
    <definedName name="DAOB5.ExpdrOnTrforSaleAsset">[3]DPM_DOA!$D$38</definedName>
    <definedName name="DAOB5.FullRateDeprAmt">[3]DPM_DOA!$D$29</definedName>
    <definedName name="DAOB5.HalfRateDeprAmt">[3]DPM_DOA!$D$32</definedName>
    <definedName name="DAOB5.RealizationPeriodDuringYear">[3]DPM_DOA!$D$31</definedName>
    <definedName name="DAOB5.RealizationTotalPeriod">[3]DPM_DOA!$D$28</definedName>
    <definedName name="DAOB5.TotalDepreciation">[3]DPM_DOA!$D$37</definedName>
    <definedName name="DAOB5.WDVFirstDay">[3]DPM_DOA!$D$26</definedName>
    <definedName name="DAOB5.WDVLastDay">[3]DPM_DOA!$D$40</definedName>
    <definedName name="DAOF10.AdditionsGrThan180Days">[3]DPM_DOA!$G$27</definedName>
    <definedName name="DAOF10.AdditionsLessThan180Days">[3]DPM_DOA!$G$30</definedName>
    <definedName name="DAOF10.AddlnDeprDuringYearAdditions">[3]DPM_DOA!$G$36</definedName>
    <definedName name="DAOF10.AddlnDeprOnGT180DayAdditions">[3]DPM_DOA!$G$35</definedName>
    <definedName name="DAOF10.CapGainUs50">[3]DPM_DOA!$G$39</definedName>
    <definedName name="DAOF10.DepreciationAtFullRate">[3]DPM_DOA!$G$33</definedName>
    <definedName name="DAOF10.DepreciationAtHalfRate">[3]DPM_DOA!$G$34</definedName>
    <definedName name="DAOF10.ExpdrOnTrforSaleAsset">[3]DPM_DOA!$G$38</definedName>
    <definedName name="DAOF10.FullRateDeprAmt">[3]DPM_DOA!$G$29</definedName>
    <definedName name="DAOF10.HalfRateDeprAmt">[3]DPM_DOA!$G$32</definedName>
    <definedName name="DAOF10.RealizationPeriodDuringYear">[3]DPM_DOA!$G$31</definedName>
    <definedName name="DAOF10.RealizationTotalPeriod">[3]DPM_DOA!$G$28</definedName>
    <definedName name="DAOF10.TotalDepreciation">[3]DPM_DOA!$G$37</definedName>
    <definedName name="DAOF10.WDVFirstDay">[3]DPM_DOA!$G$26</definedName>
    <definedName name="DAOF10.WDVLastDay">[3]DPM_DOA!$G$40</definedName>
    <definedName name="DAOI25.AdditionsGrThan180Days">[3]DPM_DOA!$H$27</definedName>
    <definedName name="DAOI25.AdditionsLessThan180Days">[3]DPM_DOA!$H$30</definedName>
    <definedName name="DAOI25.AddlnDeprDuringYearAdditions">[3]DPM_DOA!$H$36</definedName>
    <definedName name="DAOI25.AddlnDeprOnGT180DayAdditions">[3]DPM_DOA!$H$35</definedName>
    <definedName name="DAOI25.CapGainUs50">[3]DPM_DOA!$H$39</definedName>
    <definedName name="DAOI25.DepreciationAtFullRate">[3]DPM_DOA!$H$33</definedName>
    <definedName name="DAOI25.DepreciationAtHalfRate">[3]DPM_DOA!$H$34</definedName>
    <definedName name="DAOI25.ExpdrOnTrforSaleAsset">[3]DPM_DOA!$H$38</definedName>
    <definedName name="DAOI25.FullRateDeprAmt">[3]DPM_DOA!$H$29</definedName>
    <definedName name="DAOI25.HalfRateDeprAmt">[3]DPM_DOA!$H$32</definedName>
    <definedName name="DAOI25.RealizationPeriodDuringYear">[3]DPM_DOA!$H$31</definedName>
    <definedName name="DAOI25.RealizationTotalPeriod">[3]DPM_DOA!$H$28</definedName>
    <definedName name="DAOI25.TotalDepreciation">[3]DPM_DOA!$H$37</definedName>
    <definedName name="DAOI25.WDVFirstDay">[3]DPM_DOA!$H$26</definedName>
    <definedName name="DAOI25.WDVLastDay">[3]DPM_DOA!$H$40</definedName>
    <definedName name="DAOS20.AdditionsGrThan180Days">[3]DPM_DOA!$I$27</definedName>
    <definedName name="DAOS20.AdditionsLessThan180Days">[3]DPM_DOA!$I$30</definedName>
    <definedName name="DAOS20.AddlnDeprDuringYearAdditions">[3]DPM_DOA!$I$36</definedName>
    <definedName name="DAOS20.AddlnDeprOnGT180DayAdditions">[3]DPM_DOA!$I$35</definedName>
    <definedName name="DAOS20.CapGainUs50">[3]DPM_DOA!$I$39</definedName>
    <definedName name="DAOS20.DepreciationAtFullRate">[3]DPM_DOA!$I$33</definedName>
    <definedName name="DAOS20.DepreciationAtHalfRate">[3]DPM_DOA!$I$34</definedName>
    <definedName name="DAOS20.ExpdrOnTrforSaleAsset">[3]DPM_DOA!$I$38</definedName>
    <definedName name="DAOS20.FullRateDeprAmt">[3]DPM_DOA!$I$29</definedName>
    <definedName name="DAOS20.HalfRateDeprAmt">[3]DPM_DOA!$I$32</definedName>
    <definedName name="DAOS20.RealizationPeriodDuringYear">[3]DPM_DOA!$I$31</definedName>
    <definedName name="DAOS20.RealizationTotalPeriod">[3]DPM_DOA!$I$28</definedName>
    <definedName name="DAOS20.TotalDepreciation">[3]DPM_DOA!$I$37</definedName>
    <definedName name="DAOS20.WDVFirstDay">[3]DPM_DOA!$I$26</definedName>
    <definedName name="DAOS20.WDVLastDay">[3]DPM_DOA!$I$40</definedName>
    <definedName name="DATA1" localSheetId="7">[20]Trialsap!#REF!</definedName>
    <definedName name="DATA1" localSheetId="8">[20]Trialsap!#REF!</definedName>
    <definedName name="DATA1" localSheetId="6">[20]Trialsap!#REF!</definedName>
    <definedName name="DATA1" localSheetId="9">[20]Trialsap!#REF!</definedName>
    <definedName name="DATA1" localSheetId="10">[20]Trialsap!#REF!</definedName>
    <definedName name="DATA1" localSheetId="11">[20]Trialsap!#REF!</definedName>
    <definedName name="DATA1">[20]Trialsap!#REF!</definedName>
    <definedName name="DATA10" localSheetId="7">#REF!</definedName>
    <definedName name="DATA10" localSheetId="8">#REF!</definedName>
    <definedName name="DATA10" localSheetId="6">#REF!</definedName>
    <definedName name="DATA10" localSheetId="9">#REF!</definedName>
    <definedName name="DATA10" localSheetId="10">#REF!</definedName>
    <definedName name="DATA10" localSheetId="11">#REF!</definedName>
    <definedName name="DATA10">#REF!</definedName>
    <definedName name="DATA11" localSheetId="7">#REF!</definedName>
    <definedName name="DATA11" localSheetId="8">#REF!</definedName>
    <definedName name="DATA11" localSheetId="6">#REF!</definedName>
    <definedName name="DATA11" localSheetId="9">#REF!</definedName>
    <definedName name="DATA11" localSheetId="10">#REF!</definedName>
    <definedName name="DATA11" localSheetId="11">#REF!</definedName>
    <definedName name="DATA11">#REF!</definedName>
    <definedName name="DATA13" localSheetId="7">#REF!</definedName>
    <definedName name="DATA13" localSheetId="8">#REF!</definedName>
    <definedName name="DATA13" localSheetId="6">#REF!</definedName>
    <definedName name="DATA13" localSheetId="9">#REF!</definedName>
    <definedName name="DATA13" localSheetId="10">#REF!</definedName>
    <definedName name="DATA13" localSheetId="11">#REF!</definedName>
    <definedName name="DATA13">#REF!</definedName>
    <definedName name="DATA2" localSheetId="7">#REF!</definedName>
    <definedName name="DATA2" localSheetId="8">#REF!</definedName>
    <definedName name="DATA2" localSheetId="6">#REF!</definedName>
    <definedName name="DATA2" localSheetId="9">#REF!</definedName>
    <definedName name="DATA2" localSheetId="10">#REF!</definedName>
    <definedName name="DATA2" localSheetId="11">#REF!</definedName>
    <definedName name="DATA2">#REF!</definedName>
    <definedName name="DATA3" localSheetId="7">#REF!</definedName>
    <definedName name="DATA3" localSheetId="8">#REF!</definedName>
    <definedName name="DATA3" localSheetId="6">#REF!</definedName>
    <definedName name="DATA3" localSheetId="9">#REF!</definedName>
    <definedName name="DATA3" localSheetId="10">#REF!</definedName>
    <definedName name="DATA3" localSheetId="11">#REF!</definedName>
    <definedName name="DATA3">#REF!</definedName>
    <definedName name="DATA4" localSheetId="7">#REF!</definedName>
    <definedName name="DATA4" localSheetId="8">#REF!</definedName>
    <definedName name="DATA4" localSheetId="6">#REF!</definedName>
    <definedName name="DATA4" localSheetId="9">#REF!</definedName>
    <definedName name="DATA4" localSheetId="10">#REF!</definedName>
    <definedName name="DATA4" localSheetId="11">#REF!</definedName>
    <definedName name="DATA4">#REF!</definedName>
    <definedName name="DATA5" localSheetId="7">#REF!</definedName>
    <definedName name="DATA5" localSheetId="8">#REF!</definedName>
    <definedName name="DATA5" localSheetId="6">#REF!</definedName>
    <definedName name="DATA5" localSheetId="9">#REF!</definedName>
    <definedName name="DATA5" localSheetId="10">#REF!</definedName>
    <definedName name="DATA5" localSheetId="11">#REF!</definedName>
    <definedName name="DATA5">#REF!</definedName>
    <definedName name="DATA6" localSheetId="7">#REF!</definedName>
    <definedName name="DATA6" localSheetId="8">#REF!</definedName>
    <definedName name="DATA6" localSheetId="6">#REF!</definedName>
    <definedName name="DATA6" localSheetId="9">#REF!</definedName>
    <definedName name="DATA6" localSheetId="10">#REF!</definedName>
    <definedName name="DATA6" localSheetId="11">#REF!</definedName>
    <definedName name="DATA6">#REF!</definedName>
    <definedName name="DATA7" localSheetId="7">[21]Trailsap!#REF!</definedName>
    <definedName name="DATA7" localSheetId="8">[21]Trailsap!#REF!</definedName>
    <definedName name="DATA7" localSheetId="6">[21]Trailsap!#REF!</definedName>
    <definedName name="DATA7" localSheetId="9">[21]Trailsap!#REF!</definedName>
    <definedName name="DATA7" localSheetId="10">[21]Trailsap!#REF!</definedName>
    <definedName name="DATA7" localSheetId="11">[21]Trailsap!#REF!</definedName>
    <definedName name="DATA7">[21]Trailsap!#REF!</definedName>
    <definedName name="DATA8" localSheetId="7">[21]Trailsap!#REF!</definedName>
    <definedName name="DATA8" localSheetId="8">[21]Trailsap!#REF!</definedName>
    <definedName name="DATA8" localSheetId="6">[21]Trailsap!#REF!</definedName>
    <definedName name="DATA8" localSheetId="9">[21]Trailsap!#REF!</definedName>
    <definedName name="DATA8" localSheetId="10">[21]Trailsap!#REF!</definedName>
    <definedName name="DATA8" localSheetId="11">[21]Trailsap!#REF!</definedName>
    <definedName name="DATA8">[21]Trailsap!#REF!</definedName>
    <definedName name="DATA9" localSheetId="7">#REF!</definedName>
    <definedName name="DATA9" localSheetId="8">#REF!</definedName>
    <definedName name="DATA9" localSheetId="6">#REF!</definedName>
    <definedName name="DATA9" localSheetId="9">#REF!</definedName>
    <definedName name="DATA9" localSheetId="10">#REF!</definedName>
    <definedName name="DATA9" localSheetId="11">#REF!</definedName>
    <definedName name="DATA9">#REF!</definedName>
    <definedName name="DATE" localSheetId="7">#REF!</definedName>
    <definedName name="DATE" localSheetId="8">#REF!</definedName>
    <definedName name="DATE" localSheetId="6">#REF!</definedName>
    <definedName name="DATE" localSheetId="9">#REF!</definedName>
    <definedName name="DATE" localSheetId="10">#REF!</definedName>
    <definedName name="DATE" localSheetId="11">#REF!</definedName>
    <definedName name="DATE">#REF!</definedName>
    <definedName name="DCG.FurnitureSummary">[3]DEP_DCG!$H$36</definedName>
    <definedName name="DCG.IntangibleAssetSummary">[3]DEP_DCG!$H$37</definedName>
    <definedName name="DCG.ShipsSummary">[3]DEP_DCG!$H$38</definedName>
    <definedName name="DCG.TotalDepreciation">[3]DEP_DCG!$H$39</definedName>
    <definedName name="DCGB.DeprBlockTot100Percent">[3]DEP_DCG!$F$34</definedName>
    <definedName name="DCGB.DeprBlockTot10Percent">[3]DEP_DCG!$F$33</definedName>
    <definedName name="DCGB.DeprBlockTot5Percent">[3]DEP_DCG!$F$32</definedName>
    <definedName name="DCGB.TotBuildng">[3]DEP_DCG!$H$35</definedName>
    <definedName name="DCGP.DeprBlockTot100Percent">[3]DEP_DCG!$F$29</definedName>
    <definedName name="DCGP.DeprBlockTot15Percent">[3]DEP_DCG!$F$23</definedName>
    <definedName name="DCGP.DeprBlockTot30Percent">[3]DEP_DCG!$F$24</definedName>
    <definedName name="DCGP.DeprBlockTot40Percent">[3]DEP_DCG!$F$25</definedName>
    <definedName name="DCGP.DeprBlockTot50Percent">[3]DEP_DCG!$F$26</definedName>
    <definedName name="DCGP.DeprBlockTot60Percent">[3]DEP_DCG!$F$27</definedName>
    <definedName name="DCGP.DeprBlockTot80Percent">[3]DEP_DCG!$F$28</definedName>
    <definedName name="DCGP.TotPlntMach">[3]DEP_DCG!$H$30</definedName>
    <definedName name="DDT">[3]Pre_XML!$E$14</definedName>
    <definedName name="DDTP">[3]Pre_XML!$E$13</definedName>
    <definedName name="DDTP.Amt">[3]IT_FBT_DDTP!$H$49:$H$54</definedName>
    <definedName name="DDTP.BSRCode">[3]IT_FBT_DDTP!$E$49:$E$54</definedName>
    <definedName name="DDTP.DateDep">[3]IT_FBT_DDTP!$F$49:$F$54</definedName>
    <definedName name="DDTP.NameOfBank">[3]IT_FBT_DDTP!$C$49:$C$54</definedName>
    <definedName name="DDTP.NameOfBranch">[3]IT_FBT_DDTP!$D$49:$D$54</definedName>
    <definedName name="DDTP.SrlNoOfChaln">[3]IT_FBT_DDTP!$G$49:$G$54</definedName>
    <definedName name="Deffered" localSheetId="7">#REF!</definedName>
    <definedName name="Deffered" localSheetId="8">#REF!</definedName>
    <definedName name="Deffered" localSheetId="6">#REF!</definedName>
    <definedName name="Deffered" localSheetId="9">#REF!</definedName>
    <definedName name="Deffered" localSheetId="10">#REF!</definedName>
    <definedName name="Deffered" localSheetId="11">#REF!</definedName>
    <definedName name="Deffered">#REF!</definedName>
    <definedName name="Demat">'[9]Note-P'!$F$63</definedName>
    <definedName name="den">[11]Index!$G$7</definedName>
    <definedName name="dep" localSheetId="7" hidden="1">{#N/A,#N/A,FALSE,"Aging Summary";#N/A,#N/A,FALSE,"Ratio Analysis";#N/A,#N/A,FALSE,"Test 120 Day Accts";#N/A,#N/A,FALSE,"Tickmarks"}</definedName>
    <definedName name="dep" localSheetId="8" hidden="1">{#N/A,#N/A,FALSE,"Aging Summary";#N/A,#N/A,FALSE,"Ratio Analysis";#N/A,#N/A,FALSE,"Test 120 Day Accts";#N/A,#N/A,FALSE,"Tickmarks"}</definedName>
    <definedName name="dep" localSheetId="6" hidden="1">{#N/A,#N/A,FALSE,"Aging Summary";#N/A,#N/A,FALSE,"Ratio Analysis";#N/A,#N/A,FALSE,"Test 120 Day Accts";#N/A,#N/A,FALSE,"Tickmarks"}</definedName>
    <definedName name="dep" localSheetId="9" hidden="1">{#N/A,#N/A,FALSE,"Aging Summary";#N/A,#N/A,FALSE,"Ratio Analysis";#N/A,#N/A,FALSE,"Test 120 Day Accts";#N/A,#N/A,FALSE,"Tickmarks"}</definedName>
    <definedName name="dep" localSheetId="10" hidden="1">{#N/A,#N/A,FALSE,"Aging Summary";#N/A,#N/A,FALSE,"Ratio Analysis";#N/A,#N/A,FALSE,"Test 120 Day Accts";#N/A,#N/A,FALSE,"Tickmarks"}</definedName>
    <definedName name="dep" localSheetId="11" hidden="1">{#N/A,#N/A,FALSE,"Aging Summary";#N/A,#N/A,FALSE,"Ratio Analysis";#N/A,#N/A,FALSE,"Test 120 Day Accts";#N/A,#N/A,FALSE,"Tickmarks"}</definedName>
    <definedName name="dep" hidden="1">{#N/A,#N/A,FALSE,"Aging Summary";#N/A,#N/A,FALSE,"Ratio Analysis";#N/A,#N/A,FALSE,"Test 120 Day Accts";#N/A,#N/A,FALSE,"Tickmarks"}</definedName>
    <definedName name="DEP.FurnitureSummary">[3]DEP_DCG!$H$16</definedName>
    <definedName name="DEP.IntangibleAssetSummary">[3]DEP_DCG!$H$17</definedName>
    <definedName name="DEP.ShipsSummary">[3]DEP_DCG!$H$18</definedName>
    <definedName name="DEP.TotalDepreciation">[3]DEP_DCG!$H$19</definedName>
    <definedName name="DEPB.DeprBlockTot100Percent">[3]DEP_DCG!$F$14</definedName>
    <definedName name="DEPB.DeprBlockTot10Percent">[3]DEP_DCG!$F$13</definedName>
    <definedName name="DEPB.DeprBlockTot5Percent">[3]DEP_DCG!$F$12</definedName>
    <definedName name="DEPB.TotBuildng">[3]DEP_DCG!$H$15</definedName>
    <definedName name="DEPP.DeprBlockTot100Percent">[3]DEP_DCG!$F$9</definedName>
    <definedName name="DEPP.DeprBlockTot15Percent">[3]DEP_DCG!$F$3</definedName>
    <definedName name="DEPP.DeprBlockTot30Percent">[3]DEP_DCG!$F$4</definedName>
    <definedName name="DEPP.DeprBlockTot40Percent">[3]DEP_DCG!$F$5</definedName>
    <definedName name="DEPP.DeprBlockTot50Percent">[3]DEP_DCG!$F$6</definedName>
    <definedName name="DEPP.DeprBlockTot60Percent">[3]DEP_DCG!$F$7</definedName>
    <definedName name="DEPP.DeprBlockTot80Percent">[3]DEP_DCG!$F$8</definedName>
    <definedName name="DEPP.TotPlntMach">[3]DEP_DCG!$H$10</definedName>
    <definedName name="Depreciation">[9]PL!$G$17</definedName>
    <definedName name="dff" localSheetId="7">#REF!</definedName>
    <definedName name="dff" localSheetId="8">#REF!</definedName>
    <definedName name="dff" localSheetId="6">#REF!</definedName>
    <definedName name="dff" localSheetId="9">#REF!</definedName>
    <definedName name="dff" localSheetId="10">#REF!</definedName>
    <definedName name="dff" localSheetId="11">#REF!</definedName>
    <definedName name="dff">#REF!</definedName>
    <definedName name="diff" localSheetId="7">#REF!</definedName>
    <definedName name="diff" localSheetId="8">#REF!</definedName>
    <definedName name="diff" localSheetId="6">#REF!</definedName>
    <definedName name="diff" localSheetId="9">#REF!</definedName>
    <definedName name="diff" localSheetId="10">#REF!</definedName>
    <definedName name="diff" localSheetId="11">#REF!</definedName>
    <definedName name="diff">#REF!</definedName>
    <definedName name="Difference" localSheetId="7">#REF!</definedName>
    <definedName name="Difference" localSheetId="8">#REF!</definedName>
    <definedName name="Difference" localSheetId="6">#REF!</definedName>
    <definedName name="Difference" localSheetId="9">#REF!</definedName>
    <definedName name="Difference" localSheetId="10">#REF!</definedName>
    <definedName name="Difference" localSheetId="11">#REF!</definedName>
    <definedName name="Difference">#REF!</definedName>
    <definedName name="DIN_1">[11]Index!$C$14</definedName>
    <definedName name="DIN_2">[11]Index!$C$16</definedName>
    <definedName name="Director_1">[10]Index!$C$11</definedName>
    <definedName name="Director_2">[10]Index!$C$12</definedName>
    <definedName name="Director1" localSheetId="14">[11]Index!$C$13</definedName>
    <definedName name="Director1" localSheetId="13">[11]Index!$C$13</definedName>
    <definedName name="Director1">[16]Index!$C$13</definedName>
    <definedName name="Director2" localSheetId="14">[11]Index!$C$15</definedName>
    <definedName name="Director2" localSheetId="13">[11]Index!$C$15</definedName>
    <definedName name="Director2">[16]Index!$C$14</definedName>
    <definedName name="Disaggregations" localSheetId="7">#REF!</definedName>
    <definedName name="Disaggregations" localSheetId="8">#REF!</definedName>
    <definedName name="Disaggregations" localSheetId="6">#REF!</definedName>
    <definedName name="Disaggregations" localSheetId="9">#REF!</definedName>
    <definedName name="Disaggregations" localSheetId="10">#REF!</definedName>
    <definedName name="Disaggregations" localSheetId="11">#REF!</definedName>
    <definedName name="Disaggregations">#REF!</definedName>
    <definedName name="DPM100.AdditionsGrThan180Days">[3]DPM_DOA!$J$6</definedName>
    <definedName name="DPM100.AdditionsLessThan180Days">[3]DPM_DOA!$J$9</definedName>
    <definedName name="DPM100.AddlnDeprDuringYearAdditions">[3]DPM_DOA!$J$15</definedName>
    <definedName name="DPM100.AddlnDeprOnGT180DayAdditions">[3]DPM_DOA!$J$14</definedName>
    <definedName name="DPM100.CapGainUs50">[3]DPM_DOA!$J$18</definedName>
    <definedName name="DPM100.DepreciationAtFullRate">[3]DPM_DOA!$J$12</definedName>
    <definedName name="DPM100.DepreciationAtHalfRate">[3]DPM_DOA!$J$13</definedName>
    <definedName name="DPM100.ExpdrOnTrforSaleAsset">[3]DPM_DOA!$J$17</definedName>
    <definedName name="DPM100.FullRateDeprAmt">[3]DPM_DOA!$J$8</definedName>
    <definedName name="DPM100.HalfRateDeprAmt">[3]DPM_DOA!$J$11</definedName>
    <definedName name="DPM100.RealizationPeriodDuringYear">[3]DPM_DOA!$J$10</definedName>
    <definedName name="DPM100.RealizationTotalPeriod">[3]DPM_DOA!$J$7</definedName>
    <definedName name="DPM100.TotalDepreciation">[3]DPM_DOA!$J$16</definedName>
    <definedName name="DPM100.WDVFirstDay">[3]DPM_DOA!$J$5</definedName>
    <definedName name="DPM100.WDVLastDay">[3]DPM_DOA!$J$19</definedName>
    <definedName name="DPM15.AdditionsGrThan180Days">[3]DPM_DOA!$D$6</definedName>
    <definedName name="DPM15.AdditionsLessThan180Days">[3]DPM_DOA!$D$9</definedName>
    <definedName name="DPM15.AddlnDeprDuringYearAdditions">[3]DPM_DOA!$D$15</definedName>
    <definedName name="DPM15.AddlnDeprOnGT180DayAdditions">[3]DPM_DOA!$D$14</definedName>
    <definedName name="DPM15.CapGainUs50">[3]DPM_DOA!$D$18</definedName>
    <definedName name="DPM15.DepreciationAtFullRate">[3]DPM_DOA!$D$12</definedName>
    <definedName name="DPM15.DepreciationAtHalfRate">[3]DPM_DOA!$D$13</definedName>
    <definedName name="DPM15.ExpdrOnTrforSaleAsset">[3]DPM_DOA!$D$17</definedName>
    <definedName name="DPM15.FullRateDeprAmt">[3]DPM_DOA!$D$8</definedName>
    <definedName name="DPM15.HalfRateDeprAmt">[3]DPM_DOA!$D$11</definedName>
    <definedName name="DPM15.RealizationPeriodDuringYear">[3]DPM_DOA!$D$10</definedName>
    <definedName name="DPM15.RealizationTotalPeriod">[3]DPM_DOA!$D$7</definedName>
    <definedName name="DPM15.TotalDepreciation">[3]DPM_DOA!$D$16</definedName>
    <definedName name="DPM15.WDVFirstDay">[3]DPM_DOA!$D$5</definedName>
    <definedName name="DPM15.WDVLastDay">[3]DPM_DOA!$D$19</definedName>
    <definedName name="DPM30.AdditionsGrThan180Days">[3]DPM_DOA!$E$6</definedName>
    <definedName name="DPM30.AdditionsLessThan180Days">[3]DPM_DOA!$E$9</definedName>
    <definedName name="DPM30.AddlnDeprDuringYearAdditions">[3]DPM_DOA!$E$15</definedName>
    <definedName name="DPM30.AddlnDeprOnGT180DayAdditions">[3]DPM_DOA!$E$14</definedName>
    <definedName name="DPM30.CapGainUs50">[3]DPM_DOA!$E$18</definedName>
    <definedName name="DPM30.DepreciationAtFullRate">[3]DPM_DOA!$E$12</definedName>
    <definedName name="DPM30.DepreciationAtHalfRate">[3]DPM_DOA!$E$13</definedName>
    <definedName name="DPM30.ExpdrOnTrforSaleAsset">[3]DPM_DOA!$E$17</definedName>
    <definedName name="DPM30.FullRateDeprAmt">[3]DPM_DOA!$E$8</definedName>
    <definedName name="DPM30.HalfRateDeprAmt">[3]DPM_DOA!$E$11</definedName>
    <definedName name="DPM30.RealizationPeriodDuringYear">[3]DPM_DOA!$E$10</definedName>
    <definedName name="DPM30.RealizationTotalPeriod">[3]DPM_DOA!$E$7</definedName>
    <definedName name="DPM30.TotalDepreciation">[3]DPM_DOA!$E$16</definedName>
    <definedName name="DPM30.WDVFirstDay">[3]DPM_DOA!$E$5</definedName>
    <definedName name="DPM30.WDVLastDay">[3]DPM_DOA!$E$19</definedName>
    <definedName name="DPM40.AdditionsGrThan180Days">[3]DPM_DOA!$F$6</definedName>
    <definedName name="DPM40.AdditionsLessThan180Days">[3]DPM_DOA!$F$9</definedName>
    <definedName name="DPM40.AddlnDeprDuringYearAdditions">[3]DPM_DOA!$F$15</definedName>
    <definedName name="DPM40.AddlnDeprOnGT180DayAdditions">[3]DPM_DOA!$F$14</definedName>
    <definedName name="DPM40.CapGainUs50">[3]DPM_DOA!$F$18</definedName>
    <definedName name="DPM40.DepreciationAtFullRate">[3]DPM_DOA!$F$12</definedName>
    <definedName name="DPM40.DepreciationAtHalfRate">[3]DPM_DOA!$F$13</definedName>
    <definedName name="DPM40.ExpdrOnTrforSaleAsset">[3]DPM_DOA!$F$17</definedName>
    <definedName name="DPM40.FullRateDeprAmt">[3]DPM_DOA!$F$8</definedName>
    <definedName name="DPM40.HalfRateDeprAmt">[3]DPM_DOA!$F$11</definedName>
    <definedName name="DPM40.RealizationPeriodDuringYear">[3]DPM_DOA!$F$10</definedName>
    <definedName name="DPM40.RealizationTotalPeriod">[3]DPM_DOA!$F$7</definedName>
    <definedName name="DPM40.TotalDepreciation">[3]DPM_DOA!$F$16</definedName>
    <definedName name="DPM40.WDVFirstDay">[3]DPM_DOA!$F$5</definedName>
    <definedName name="DPM40.WDVLastDay">[3]DPM_DOA!$F$19</definedName>
    <definedName name="DPM50.AdditionsGrThan180Days">[3]DPM_DOA!$G$6</definedName>
    <definedName name="DPM50.AdditionsLessThan180Days">[3]DPM_DOA!$G$9</definedName>
    <definedName name="DPM50.AddlnDeprDuringYearAdditions">[3]DPM_DOA!$G$15</definedName>
    <definedName name="DPM50.AddlnDeprOnGT180DayAdditions">[3]DPM_DOA!$G$14</definedName>
    <definedName name="DPM50.CapGainUs50">[3]DPM_DOA!$G$18</definedName>
    <definedName name="DPM50.DepreciationAtFullRate">[3]DPM_DOA!$G$12</definedName>
    <definedName name="DPM50.DepreciationAtHalfRate">[3]DPM_DOA!$G$13</definedName>
    <definedName name="DPM50.ExpdrOnTrforSaleAsset">[3]DPM_DOA!$G$17</definedName>
    <definedName name="DPM50.FullRateDeprAmt">[3]DPM_DOA!$G$8</definedName>
    <definedName name="DPM50.HalfRateDeprAmt">[3]DPM_DOA!$G$11</definedName>
    <definedName name="DPM50.RealizationPeriodDuringYear">[3]DPM_DOA!$G$10</definedName>
    <definedName name="DPM50.RealizationTotalPeriod">[3]DPM_DOA!$G$7</definedName>
    <definedName name="DPM50.TotalDepreciation">[3]DPM_DOA!$G$16</definedName>
    <definedName name="DPM50.WDVFirstDay">[3]DPM_DOA!$G$5</definedName>
    <definedName name="DPM50.WDVLastDay">[3]DPM_DOA!$G$19</definedName>
    <definedName name="DPM60.AdditionsGrThan180Days">[3]DPM_DOA!$H$6</definedName>
    <definedName name="DPM60.AdditionsLessThan180Days">[3]DPM_DOA!$H$9</definedName>
    <definedName name="DPM60.AddlnDeprDuringYearAdditions">[3]DPM_DOA!$H$15</definedName>
    <definedName name="DPM60.AddlnDeprOnGT180DayAdditions">[3]DPM_DOA!$H$14</definedName>
    <definedName name="DPM60.CapGainUs50">[3]DPM_DOA!$H$18</definedName>
    <definedName name="DPM60.DepreciationAtFullRate">[3]DPM_DOA!$H$12</definedName>
    <definedName name="DPM60.DepreciationAtHalfRate">[3]DPM_DOA!$H$13</definedName>
    <definedName name="DPM60.ExpdrOnTrforSaleAsset">[3]DPM_DOA!$H$17</definedName>
    <definedName name="DPM60.FullRateDeprAmt">[3]DPM_DOA!$H$8</definedName>
    <definedName name="DPM60.HalfRateDeprAmt">[3]DPM_DOA!$H$11</definedName>
    <definedName name="DPM60.RealizationPeriodDuringYear">[3]DPM_DOA!$H$10</definedName>
    <definedName name="DPM60.RealizationTotalPeriod">[3]DPM_DOA!$H$7</definedName>
    <definedName name="DPM60.TotalDepreciation">[3]DPM_DOA!$H$16</definedName>
    <definedName name="DPM60.WDVFirstDay">[3]DPM_DOA!$H$5</definedName>
    <definedName name="DPM60.WDVLastDay">[3]DPM_DOA!$H$19</definedName>
    <definedName name="DPM80.AdditionsGrThan180Days">[3]DPM_DOA!$I$6</definedName>
    <definedName name="DPM80.AdditionsLessThan180Days">[3]DPM_DOA!$I$9</definedName>
    <definedName name="DPM80.AddlnDeprDuringYearAdditions">[3]DPM_DOA!$I$15</definedName>
    <definedName name="DPM80.AddlnDeprOnGT180DayAdditions">[3]DPM_DOA!$I$14</definedName>
    <definedName name="DPM80.CapGainUs50">[3]DPM_DOA!$I$18</definedName>
    <definedName name="DPM80.DepreciationAtFullRate">[3]DPM_DOA!$I$12</definedName>
    <definedName name="DPM80.DepreciationAtHalfRate">[3]DPM_DOA!$I$13</definedName>
    <definedName name="DPM80.ExpdrOnTrforSaleAsset">[3]DPM_DOA!$I$17</definedName>
    <definedName name="DPM80.FullRateDeprAmt">[3]DPM_DOA!$I$8</definedName>
    <definedName name="DPM80.HalfRateDeprAmt">[3]DPM_DOA!$I$11</definedName>
    <definedName name="DPM80.RealizationPeriodDuringYear">[3]DPM_DOA!$I$10</definedName>
    <definedName name="DPM80.RealizationTotalPeriod">[3]DPM_DOA!$I$7</definedName>
    <definedName name="DPM80.TotalDepreciation">[3]DPM_DOA!$I$16</definedName>
    <definedName name="DPM80.WDVFirstDay">[3]DPM_DOA!$I$5</definedName>
    <definedName name="DPM80.WDVLastDay">[3]DPM_DOA!$I$19</definedName>
    <definedName name="dr" localSheetId="7">#REF!</definedName>
    <definedName name="dr" localSheetId="8">#REF!</definedName>
    <definedName name="dr" localSheetId="6">#REF!</definedName>
    <definedName name="dr" localSheetId="9">#REF!</definedName>
    <definedName name="dr" localSheetId="10">#REF!</definedName>
    <definedName name="dr" localSheetId="11">#REF!</definedName>
    <definedName name="dr">#REF!</definedName>
    <definedName name="dt" localSheetId="7">#REF!</definedName>
    <definedName name="dt" localSheetId="8">#REF!</definedName>
    <definedName name="dt" localSheetId="6">#REF!</definedName>
    <definedName name="dt" localSheetId="9">#REF!</definedName>
    <definedName name="dt" localSheetId="10">#REF!</definedName>
    <definedName name="dt" localSheetId="11">#REF!</definedName>
    <definedName name="dt">#REF!</definedName>
    <definedName name="DTA">[9]BS!$H$46</definedName>
    <definedName name="dtax" localSheetId="7">#REF!</definedName>
    <definedName name="dtax" localSheetId="8">#REF!</definedName>
    <definedName name="dtax" localSheetId="6">#REF!</definedName>
    <definedName name="dtax" localSheetId="9">#REF!</definedName>
    <definedName name="dtax" localSheetId="10">#REF!</definedName>
    <definedName name="dtax" localSheetId="11">#REF!</definedName>
    <definedName name="dtax">#REF!</definedName>
    <definedName name="e" localSheetId="7" hidden="1">{#N/A,#N/A,FALSE,"Aging Summary";#N/A,#N/A,FALSE,"Ratio Analysis";#N/A,#N/A,FALSE,"Test 120 Day Accts";#N/A,#N/A,FALSE,"Tickmarks"}</definedName>
    <definedName name="e" localSheetId="8" hidden="1">{#N/A,#N/A,FALSE,"Aging Summary";#N/A,#N/A,FALSE,"Ratio Analysis";#N/A,#N/A,FALSE,"Test 120 Day Accts";#N/A,#N/A,FALSE,"Tickmarks"}</definedName>
    <definedName name="e" localSheetId="6" hidden="1">{#N/A,#N/A,FALSE,"Aging Summary";#N/A,#N/A,FALSE,"Ratio Analysis";#N/A,#N/A,FALSE,"Test 120 Day Accts";#N/A,#N/A,FALSE,"Tickmarks"}</definedName>
    <definedName name="e" localSheetId="9" hidden="1">{#N/A,#N/A,FALSE,"Aging Summary";#N/A,#N/A,FALSE,"Ratio Analysis";#N/A,#N/A,FALSE,"Test 120 Day Accts";#N/A,#N/A,FALSE,"Tickmarks"}</definedName>
    <definedName name="e" localSheetId="10" hidden="1">{#N/A,#N/A,FALSE,"Aging Summary";#N/A,#N/A,FALSE,"Ratio Analysis";#N/A,#N/A,FALSE,"Test 120 Day Accts";#N/A,#N/A,FALSE,"Tickmarks"}</definedName>
    <definedName name="e" localSheetId="11" hidden="1">{#N/A,#N/A,FALSE,"Aging Summary";#N/A,#N/A,FALSE,"Ratio Analysis";#N/A,#N/A,FALSE,"Test 120 Day Accts";#N/A,#N/A,FALSE,"Tickmarks"}</definedName>
    <definedName name="e" hidden="1">{#N/A,#N/A,FALSE,"Aging Summary";#N/A,#N/A,FALSE,"Ratio Analysis";#N/A,#N/A,FALSE,"Test 120 Day Accts";#N/A,#N/A,FALSE,"Tickmarks"}</definedName>
    <definedName name="EAFX">'[9]Note-P'!$F$133</definedName>
    <definedName name="ec" localSheetId="7" hidden="1">{#N/A,#N/A,FALSE,"Aging Summary";#N/A,#N/A,FALSE,"Ratio Analysis";#N/A,#N/A,FALSE,"Test 120 Day Accts";#N/A,#N/A,FALSE,"Tickmarks"}</definedName>
    <definedName name="ec" localSheetId="8" hidden="1">{#N/A,#N/A,FALSE,"Aging Summary";#N/A,#N/A,FALSE,"Ratio Analysis";#N/A,#N/A,FALSE,"Test 120 Day Accts";#N/A,#N/A,FALSE,"Tickmarks"}</definedName>
    <definedName name="ec" localSheetId="6" hidden="1">{#N/A,#N/A,FALSE,"Aging Summary";#N/A,#N/A,FALSE,"Ratio Analysis";#N/A,#N/A,FALSE,"Test 120 Day Accts";#N/A,#N/A,FALSE,"Tickmarks"}</definedName>
    <definedName name="ec" localSheetId="9" hidden="1">{#N/A,#N/A,FALSE,"Aging Summary";#N/A,#N/A,FALSE,"Ratio Analysis";#N/A,#N/A,FALSE,"Test 120 Day Accts";#N/A,#N/A,FALSE,"Tickmarks"}</definedName>
    <definedName name="ec" localSheetId="10" hidden="1">{#N/A,#N/A,FALSE,"Aging Summary";#N/A,#N/A,FALSE,"Ratio Analysis";#N/A,#N/A,FALSE,"Test 120 Day Accts";#N/A,#N/A,FALSE,"Tickmarks"}</definedName>
    <definedName name="ec" localSheetId="11" hidden="1">{#N/A,#N/A,FALSE,"Aging Summary";#N/A,#N/A,FALSE,"Ratio Analysis";#N/A,#N/A,FALSE,"Test 120 Day Accts";#N/A,#N/A,FALSE,"Tickmarks"}</definedName>
    <definedName name="ec" hidden="1">{#N/A,#N/A,FALSE,"Aging Summary";#N/A,#N/A,FALSE,"Ratio Analysis";#N/A,#N/A,FALSE,"Test 120 Day Accts";#N/A,#N/A,FALSE,"Tickmarks"}</definedName>
    <definedName name="efr" localSheetId="7" hidden="1">{#N/A,#N/A,FALSE,"Aging Summary";#N/A,#N/A,FALSE,"Ratio Analysis";#N/A,#N/A,FALSE,"Test 120 Day Accts";#N/A,#N/A,FALSE,"Tickmarks"}</definedName>
    <definedName name="efr" localSheetId="8" hidden="1">{#N/A,#N/A,FALSE,"Aging Summary";#N/A,#N/A,FALSE,"Ratio Analysis";#N/A,#N/A,FALSE,"Test 120 Day Accts";#N/A,#N/A,FALSE,"Tickmarks"}</definedName>
    <definedName name="efr" localSheetId="6" hidden="1">{#N/A,#N/A,FALSE,"Aging Summary";#N/A,#N/A,FALSE,"Ratio Analysis";#N/A,#N/A,FALSE,"Test 120 Day Accts";#N/A,#N/A,FALSE,"Tickmarks"}</definedName>
    <definedName name="efr" localSheetId="9" hidden="1">{#N/A,#N/A,FALSE,"Aging Summary";#N/A,#N/A,FALSE,"Ratio Analysis";#N/A,#N/A,FALSE,"Test 120 Day Accts";#N/A,#N/A,FALSE,"Tickmarks"}</definedName>
    <definedName name="efr" localSheetId="10" hidden="1">{#N/A,#N/A,FALSE,"Aging Summary";#N/A,#N/A,FALSE,"Ratio Analysis";#N/A,#N/A,FALSE,"Test 120 Day Accts";#N/A,#N/A,FALSE,"Tickmarks"}</definedName>
    <definedName name="efr" localSheetId="11" hidden="1">{#N/A,#N/A,FALSE,"Aging Summary";#N/A,#N/A,FALSE,"Ratio Analysis";#N/A,#N/A,FALSE,"Test 120 Day Accts";#N/A,#N/A,FALSE,"Tickmarks"}</definedName>
    <definedName name="efr" hidden="1">{#N/A,#N/A,FALSE,"Aging Summary";#N/A,#N/A,FALSE,"Ratio Analysis";#N/A,#N/A,FALSE,"Test 120 Day Accts";#N/A,#N/A,FALSE,"Tickmarks"}</definedName>
    <definedName name="EHTPA10">[3]Pre_XML!$B$11</definedName>
    <definedName name="EHTPA10.DedFromUndertaking">'[3]10A'!$F$7:$F$7</definedName>
    <definedName name="EHTPA10.TotalDedUs10Sub">'[3]10A'!$H$8</definedName>
    <definedName name="eilink">[3]EI!$A$1</definedName>
    <definedName name="Elec">'[9]Note-P'!$F$112</definedName>
    <definedName name="ell">'[22]Note-P'!$E$119</definedName>
    <definedName name="END" localSheetId="7">#REF!</definedName>
    <definedName name="END" localSheetId="8">#REF!</definedName>
    <definedName name="END" localSheetId="6">#REF!</definedName>
    <definedName name="END" localSheetId="9">#REF!</definedName>
    <definedName name="END" localSheetId="10">#REF!</definedName>
    <definedName name="END" localSheetId="11">#REF!</definedName>
    <definedName name="END">#REF!</definedName>
    <definedName name="EPZA10">[3]Pre_XML!$B$13</definedName>
    <definedName name="EPZA10.DedFromUndertaking">'[3]10A'!$F$15</definedName>
    <definedName name="EPZA10.TotalDedUs10Sub">'[3]10A'!$H$16</definedName>
    <definedName name="Erroneous_Loss">'[9]Note-P'!$F$125</definedName>
    <definedName name="ESR1i.AmtDebPL">[3]ESR!$C$3</definedName>
    <definedName name="ESR1i.AmtUs35Allowable">[3]ESR!$D$3</definedName>
    <definedName name="ESR1i.ExcessAmtOverDebPL">[3]ESR!$E$3</definedName>
    <definedName name="ESR1ii.AmtDebPL">[3]ESR!$C$4</definedName>
    <definedName name="ESR1ii.AmtUs35Allowable">[3]ESR!$D$4</definedName>
    <definedName name="ESR1ii.ExcessAmtOverDebPL">[3]ESR!$E$4</definedName>
    <definedName name="ESR1iii.AmtDebPL">[3]ESR!$C$5</definedName>
    <definedName name="ESR1iii.AmtUs35Allowable">[3]ESR!$D$5</definedName>
    <definedName name="ESR1iii.ExcessAmtOverDebPL">[3]ESR!$E$5</definedName>
    <definedName name="ESR1iv.AmtDebPL">[3]ESR!$C$6</definedName>
    <definedName name="ESR1iv.AmtUs35Allowable">[3]ESR!$D$6</definedName>
    <definedName name="ESR1iv.ExcessAmtOverDebPL">[3]ESR!$E$6</definedName>
    <definedName name="ESR2AA.AmtDebPL">[3]ESR!$C$7</definedName>
    <definedName name="ESR2AA.AmtUs35Allowable">[3]ESR!$D$7</definedName>
    <definedName name="ESR2AA.ExcessAmtOverDebPL">[3]ESR!$E$7</definedName>
    <definedName name="ESR2AB.AmtDebPL">[3]ESR!$C$8</definedName>
    <definedName name="ESR2AB.AmtUs35Allowable">[3]ESR!$D$8</definedName>
    <definedName name="ESR2AB.ExcessAmtOverDebPL">[3]ESR!$E$8</definedName>
    <definedName name="ESRTOT.AmtDebPL">[3]ESR!$C$9</definedName>
    <definedName name="ESRTOT.AmtUs35Allowable">[3]ESR!$D$9</definedName>
    <definedName name="ESRTOT.ExcessAmtOverDebPL">[3]ESR!$E$9</definedName>
    <definedName name="excel">[3]Instructions!$B$1</definedName>
    <definedName name="Expected_balance" localSheetId="7">#REF!</definedName>
    <definedName name="Expected_balance" localSheetId="8">#REF!</definedName>
    <definedName name="Expected_balance" localSheetId="6">#REF!</definedName>
    <definedName name="Expected_balance" localSheetId="9">#REF!</definedName>
    <definedName name="Expected_balance" localSheetId="10">#REF!</definedName>
    <definedName name="Expected_balance" localSheetId="11">#REF!</definedName>
    <definedName name="Expected_balance">#REF!</definedName>
    <definedName name="F.A." localSheetId="7" hidden="1">{#N/A,#N/A,FALSE,"Aging Summary";#N/A,#N/A,FALSE,"Ratio Analysis";#N/A,#N/A,FALSE,"Test 120 Day Accts";#N/A,#N/A,FALSE,"Tickmarks"}</definedName>
    <definedName name="F.A." localSheetId="8" hidden="1">{#N/A,#N/A,FALSE,"Aging Summary";#N/A,#N/A,FALSE,"Ratio Analysis";#N/A,#N/A,FALSE,"Test 120 Day Accts";#N/A,#N/A,FALSE,"Tickmarks"}</definedName>
    <definedName name="F.A." localSheetId="6" hidden="1">{#N/A,#N/A,FALSE,"Aging Summary";#N/A,#N/A,FALSE,"Ratio Analysis";#N/A,#N/A,FALSE,"Test 120 Day Accts";#N/A,#N/A,FALSE,"Tickmarks"}</definedName>
    <definedName name="F.A." localSheetId="9" hidden="1">{#N/A,#N/A,FALSE,"Aging Summary";#N/A,#N/A,FALSE,"Ratio Analysis";#N/A,#N/A,FALSE,"Test 120 Day Accts";#N/A,#N/A,FALSE,"Tickmarks"}</definedName>
    <definedName name="F.A." localSheetId="10" hidden="1">{#N/A,#N/A,FALSE,"Aging Summary";#N/A,#N/A,FALSE,"Ratio Analysis";#N/A,#N/A,FALSE,"Test 120 Day Accts";#N/A,#N/A,FALSE,"Tickmarks"}</definedName>
    <definedName name="F.A." localSheetId="11" hidden="1">{#N/A,#N/A,FALSE,"Aging Summary";#N/A,#N/A,FALSE,"Ratio Analysis";#N/A,#N/A,FALSE,"Test 120 Day Accts";#N/A,#N/A,FALSE,"Tickmarks"}</definedName>
    <definedName name="F.A." hidden="1">{#N/A,#N/A,FALSE,"Aging Summary";#N/A,#N/A,FALSE,"Ratio Analysis";#N/A,#N/A,FALSE,"Test 120 Day Accts";#N/A,#N/A,FALSE,"Tickmarks"}</definedName>
    <definedName name="FA">[9]BS!$H$43</definedName>
    <definedName name="FA_Diff" localSheetId="7">#REF!</definedName>
    <definedName name="FA_Diff" localSheetId="8">#REF!</definedName>
    <definedName name="FA_Diff" localSheetId="6">#REF!</definedName>
    <definedName name="FA_Diff" localSheetId="9">#REF!</definedName>
    <definedName name="FA_Diff" localSheetId="10">#REF!</definedName>
    <definedName name="FA_Diff" localSheetId="11">#REF!</definedName>
    <definedName name="FA_Diff">#REF!</definedName>
    <definedName name="FBBusOfAircraft.AmtOrValueOfExpenditure">[3]FRINGE_BENEFIT_INFO!$F$17</definedName>
    <definedName name="FBBusOfAircraft.ValueOfFB">[3]FRINGE_BENEFIT_INFO!$J$17</definedName>
    <definedName name="FBBusOfHotel.AmtOrValueOfExpenditure">[3]FRINGE_BENEFIT_INFO!$F$16</definedName>
    <definedName name="FBBusOfHotel.ValueOfFB">[3]FRINGE_BENEFIT_INFO!$J$16</definedName>
    <definedName name="FBBusOfShip.AmtOrValueOfExpenditure">[3]FRINGE_BENEFIT_INFO!$F$18</definedName>
    <definedName name="FBBusOfShip.ValueOfFB">[3]FRINGE_BENEFIT_INFO!$J$18</definedName>
    <definedName name="FBBusOthThan4bcd.AmtOrValueOfExpenditure">[3]FRINGE_BENEFIT_INFO!$F$15</definedName>
    <definedName name="FBBusOthThan4bcd.ValueOfFB">[3]FRINGE_BENEFIT_INFO!$J$15</definedName>
    <definedName name="FBCnvyBus.AmtOrValueOfExpenditure">[3]FRINGE_BENEFIT_INFO!$F$22</definedName>
    <definedName name="FBCnvyBus.ValueOfFB">[3]FRINGE_BENEFIT_INFO!$J$22</definedName>
    <definedName name="FBCnvyConst.AmtOrValueOfExpenditure">[3]FRINGE_BENEFIT_INFO!$F$23</definedName>
    <definedName name="FBCnvyConst.ValueOfFB">[3]FRINGE_BENEFIT_INFO!$J$23</definedName>
    <definedName name="FBCnvyManPhrama.AmtOrValueOfExpenditure">[3]FRINGE_BENEFIT_INFO!$F$24</definedName>
    <definedName name="FBCnvyManPhrama.ValueOfFB">[3]FRINGE_BENEFIT_INFO!$J$24</definedName>
    <definedName name="FBCnvyMANProd.AmtOrValueOfExpenditure">[3]FRINGE_BENEFIT_INFO!$F$25</definedName>
    <definedName name="FBCnvyMANProd.ValueOfFB">[3]FRINGE_BENEFIT_INFO!$J$25</definedName>
    <definedName name="FBConf.AmtOrValueOfExpenditure">[3]FRINGE_BENEFIT_INFO!$F$19</definedName>
    <definedName name="FBConf.ValueOfFB">[3]FRINGE_BENEFIT_INFO!$J$19</definedName>
    <definedName name="FBEmplSper.AmtOrValueOfExpenditure">[3]FRINGE_BENEFIT_INFO!$F$13</definedName>
    <definedName name="FBEmplSper.ValueOfFB">[3]FRINGE_BENEFIT_INFO!$J$13</definedName>
    <definedName name="FBEMPWel.AmtOrValueOfExpenditure">[3]FRINGE_BENEFIT_INFO!$F$21</definedName>
    <definedName name="FBEMPWel.ValueOfFB">[3]FRINGE_BENEFIT_INFO!$J$21</definedName>
    <definedName name="FBEnter.AmtOrValueOfExpenditure">[3]FRINGE_BENEFIT_INFO!$F$14</definedName>
    <definedName name="FBEnter.ValueOfFB">[3]FRINGE_BENEFIT_INFO!$J$14</definedName>
    <definedName name="FBFesti.AmtOrValueOfExpenditure">[3]FRINGE_BENEFIT_INFO!$F$36</definedName>
    <definedName name="FBFesti.ValueOfFB">[3]FRINGE_BENEFIT_INFO!$J$36</definedName>
    <definedName name="FBFree.AmtOrValueOfExpenditure">[3]FRINGE_BENEFIT_INFO!$F$12</definedName>
    <definedName name="FBFree.ValueOfFB">[3]FRINGE_BENEFIT_INFO!$J$12</definedName>
    <definedName name="FBGift.AmtOrValueOfExpenditure">[3]FRINGE_BENEFIT_INFO!$F$39</definedName>
    <definedName name="FBGift.ValueOfFB">[3]FRINGE_BENEFIT_INFO!$J$39</definedName>
    <definedName name="FBHealth.AmtOrValueOfExpenditure">[3]FRINGE_BENEFIT_INFO!$F$37</definedName>
    <definedName name="FBHealth.ValueOfFB">[3]FRINGE_BENEFIT_INFO!$J$37</definedName>
    <definedName name="FBHotelBRdAir.AmtOrValueOfExpenditure">[3]FRINGE_BENEFIT_INFO!$F$29</definedName>
    <definedName name="FBHotelBRdAir.ValueOfFB">[3]FRINGE_BENEFIT_INFO!$J$29</definedName>
    <definedName name="FBHotelBRdBus.AmtOrValueOfExpenditure">[3]FRINGE_BENEFIT_INFO!$F$26</definedName>
    <definedName name="FBHotelBRdBus.ValueOfFB">[3]FRINGE_BENEFIT_INFO!$J$26</definedName>
    <definedName name="FBHotelBRdMANPhrama.AmtOrValueOfExpenditure">[3]FRINGE_BENEFIT_INFO!$F$27</definedName>
    <definedName name="FBHotelBRdMANPhrama.ValueOfFB">[3]FRINGE_BENEFIT_INFO!$J$27</definedName>
    <definedName name="FBHotelBRdMANProd.AmtOrValueOfExpenditure">[3]FRINGE_BENEFIT_INFO!$F$28</definedName>
    <definedName name="FBHotelBRdMANProd.ValueOfFB">[3]FRINGE_BENEFIT_INFO!$J$28</definedName>
    <definedName name="FBHotelBRdShip.AmtOrValueOfExpenditure">[3]FRINGE_BENEFIT_INFO!$F$30</definedName>
    <definedName name="FBHotelBRdShip.ValueOfFB">[3]FRINGE_BENEFIT_INFO!$J$30</definedName>
    <definedName name="FBI.EmployeesInOutIndiaFlg">[3]FRINGE_BENEFIT_INFO!$F$2</definedName>
    <definedName name="FBI.NoOfIndianEmps">[3]FRINGE_BENEFIT_INFO!$F$5</definedName>
    <definedName name="FBI.NoOfOutsideIndiaEmps">[3]FRINGE_BENEFIT_INFO!$F$6</definedName>
    <definedName name="FBI.SeparateAcntMaintainForIndiaForeignFlg">[3]FRINGE_BENEFIT_INFO!$F$3</definedName>
    <definedName name="FBI.TotNoOfEmps">[3]FRINGE_BENEFIT_INFO!$F$7</definedName>
    <definedName name="FBMainAcc.AmtOrValueOfExpenditure">[3]FRINGE_BENEFIT_INFO!$F$35</definedName>
    <definedName name="FBMainAcc.ValueOfFB">[3]FRINGE_BENEFIT_INFO!$J$35</definedName>
    <definedName name="FBMainAir.AmtOrValueOfExpenditure">[3]FRINGE_BENEFIT_INFO!$F$33</definedName>
    <definedName name="FBMainAir.ValueOfFB">[3]FRINGE_BENEFIT_INFO!$J$33</definedName>
    <definedName name="FBOthr.AmtOrValueOfExpenditure">[3]FRINGE_BENEFIT_INFO!$F$38</definedName>
    <definedName name="FBOthr.ValueOfFB">[3]FRINGE_BENEFIT_INFO!$J$38</definedName>
    <definedName name="FBReprDep.AmtOrValueOfExpenditure">[3]FRINGE_BENEFIT_INFO!$F$31</definedName>
    <definedName name="FBReprDep.ValueOfFB">[3]FRINGE_BENEFIT_INFO!$J$31</definedName>
    <definedName name="FBReprDEPCry.AmtOrValueOfExpenditure">[3]FRINGE_BENEFIT_INFO!$F$32</definedName>
    <definedName name="FBReprDEPCry.ValueOfFB">[3]FRINGE_BENEFIT_INFO!$J$32</definedName>
    <definedName name="FBSales.AmtOrValueOfExpenditure">[3]FRINGE_BENEFIT_INFO!$F$20</definedName>
    <definedName name="FBSales.ValueOfFB">[3]FRINGE_BENEFIT_INFO!$J$20</definedName>
    <definedName name="FBSchlr.AmtOrValueOfExpenditure">[3]FRINGE_BENEFIT_INFO!$F$40</definedName>
    <definedName name="FBSchlr.ValueOfFB">[3]FRINGE_BENEFIT_INFO!$J$40</definedName>
    <definedName name="FBT">[3]Pre_XML!$E$12</definedName>
    <definedName name="FBT.Amt">[3]IT_FBT_DDTP!$H$30:$H$40</definedName>
    <definedName name="FBT.BSRCode">[3]IT_FBT_DDTP!$E$30:$E$40</definedName>
    <definedName name="FBT.DateDep">[3]IT_FBT_DDTP!$F$30:$F$40</definedName>
    <definedName name="FBT.FormulaOfS">[3]IT_FBT_DDTP!$R$30:$R$40</definedName>
    <definedName name="FBT.NameOfBank">[3]IT_FBT_DDTP!$C$30:$C$40</definedName>
    <definedName name="FBT.NameOfBranch">[3]IT_FBT_DDTP!$D$30:$D$40</definedName>
    <definedName name="FBT.SrlNoOfChaln">[3]IT_FBT_DDTP!$G$30:$G$40</definedName>
    <definedName name="FBTele.AmtOrValueOfExpenditure">[3]FRINGE_BENEFIT_INFO!$F$34</definedName>
    <definedName name="FBTele.ValueOfFB">[3]FRINGE_BENEFIT_INFO!$J$34</definedName>
    <definedName name="FBTot.TotValueOfFB">[3]FRINGE_BENEFIT_INFO!$J$46</definedName>
    <definedName name="FBTour.AmtOrValueOfExpenditure">[3]FRINGE_BENEFIT_INFO!$F$41</definedName>
    <definedName name="FBTour.ValueOfFB">[3]FRINGE_BENEFIT_INFO!$J$41</definedName>
    <definedName name="FBValBIF1.ValueOfFBIf1OfSchFBIisNo">[3]FRINGE_BENEFIT_INFO!$J$43</definedName>
    <definedName name="FBValBIF2N.ValueOfFBIf2OfSchFBIisNo">[3]FRINGE_BENEFIT_INFO!$J$45</definedName>
    <definedName name="FBValBIF2Y.ValueOfFBIf2OfSchFBIisYes">[3]FRINGE_BENEFIT_INFO!$J$44</definedName>
    <definedName name="FBValFrgBen.ValueOfFringeBenefit">[3]FRINGE_BENEFIT_INFO!$J$42</definedName>
    <definedName name="FFFF">[6]IO!$I$3:$I$657</definedName>
    <definedName name="focus_bal">'[9]TB - Focus'!$F:$F</definedName>
    <definedName name="focus_code">'[23]TB - Focus'!$A:$A</definedName>
    <definedName name="focus_trial">'[9]TB - Focus'!$A:$F</definedName>
    <definedName name="Forex_Gain">'[9]Note-P'!$F$50</definedName>
    <definedName name="fsdfsf" localSheetId="7" hidden="1">{#N/A,#N/A,FALSE,"Aging Summary";#N/A,#N/A,FALSE,"Ratio Analysis";#N/A,#N/A,FALSE,"Test 120 Day Accts";#N/A,#N/A,FALSE,"Tickmarks"}</definedName>
    <definedName name="fsdfsf" localSheetId="8" hidden="1">{#N/A,#N/A,FALSE,"Aging Summary";#N/A,#N/A,FALSE,"Ratio Analysis";#N/A,#N/A,FALSE,"Test 120 Day Accts";#N/A,#N/A,FALSE,"Tickmarks"}</definedName>
    <definedName name="fsdfsf" localSheetId="6" hidden="1">{#N/A,#N/A,FALSE,"Aging Summary";#N/A,#N/A,FALSE,"Ratio Analysis";#N/A,#N/A,FALSE,"Test 120 Day Accts";#N/A,#N/A,FALSE,"Tickmarks"}</definedName>
    <definedName name="fsdfsf" localSheetId="9" hidden="1">{#N/A,#N/A,FALSE,"Aging Summary";#N/A,#N/A,FALSE,"Ratio Analysis";#N/A,#N/A,FALSE,"Test 120 Day Accts";#N/A,#N/A,FALSE,"Tickmarks"}</definedName>
    <definedName name="fsdfsf" localSheetId="10" hidden="1">{#N/A,#N/A,FALSE,"Aging Summary";#N/A,#N/A,FALSE,"Ratio Analysis";#N/A,#N/A,FALSE,"Test 120 Day Accts";#N/A,#N/A,FALSE,"Tickmarks"}</definedName>
    <definedName name="fsdfsf" localSheetId="11" hidden="1">{#N/A,#N/A,FALSE,"Aging Summary";#N/A,#N/A,FALSE,"Ratio Analysis";#N/A,#N/A,FALSE,"Test 120 Day Accts";#N/A,#N/A,FALSE,"Tickmarks"}</definedName>
    <definedName name="fsdfsf" hidden="1">{#N/A,#N/A,FALSE,"Aging Summary";#N/A,#N/A,FALSE,"Ratio Analysis";#N/A,#N/A,FALSE,"Test 120 Day Accts";#N/A,#N/A,FALSE,"Tickmarks"}</definedName>
    <definedName name="ftpe" localSheetId="14">[11]Index!$C$29</definedName>
    <definedName name="ftpe" localSheetId="13">[11]Index!$C$29</definedName>
    <definedName name="ftpe">[23]Index!$C$26</definedName>
    <definedName name="ftye" localSheetId="14">[11]Index!$D$29</definedName>
    <definedName name="ftye" localSheetId="13">[11]Index!$D$29</definedName>
    <definedName name="ftye">[23]Index!$D$26</definedName>
    <definedName name="FTZA10">[3]Pre_XML!$B$12</definedName>
    <definedName name="FTZA10.DedFromUndertaking">'[3]10A'!$F$11:$F$11</definedName>
    <definedName name="FTZA10.TotalDedUs10Sub">'[3]10A'!$H$12</definedName>
    <definedName name="fund" localSheetId="7" hidden="1">{#N/A,#N/A,FALSE,"Aging Summary";#N/A,#N/A,FALSE,"Ratio Analysis";#N/A,#N/A,FALSE,"Test 120 Day Accts";#N/A,#N/A,FALSE,"Tickmarks"}</definedName>
    <definedName name="fund" localSheetId="8" hidden="1">{#N/A,#N/A,FALSE,"Aging Summary";#N/A,#N/A,FALSE,"Ratio Analysis";#N/A,#N/A,FALSE,"Test 120 Day Accts";#N/A,#N/A,FALSE,"Tickmarks"}</definedName>
    <definedName name="fund" localSheetId="6" hidden="1">{#N/A,#N/A,FALSE,"Aging Summary";#N/A,#N/A,FALSE,"Ratio Analysis";#N/A,#N/A,FALSE,"Test 120 Day Accts";#N/A,#N/A,FALSE,"Tickmarks"}</definedName>
    <definedName name="fund" localSheetId="9" hidden="1">{#N/A,#N/A,FALSE,"Aging Summary";#N/A,#N/A,FALSE,"Ratio Analysis";#N/A,#N/A,FALSE,"Test 120 Day Accts";#N/A,#N/A,FALSE,"Tickmarks"}</definedName>
    <definedName name="fund" localSheetId="10" hidden="1">{#N/A,#N/A,FALSE,"Aging Summary";#N/A,#N/A,FALSE,"Ratio Analysis";#N/A,#N/A,FALSE,"Test 120 Day Accts";#N/A,#N/A,FALSE,"Tickmarks"}</definedName>
    <definedName name="fund" localSheetId="11" hidden="1">{#N/A,#N/A,FALSE,"Aging Summary";#N/A,#N/A,FALSE,"Ratio Analysis";#N/A,#N/A,FALSE,"Test 120 Day Accts";#N/A,#N/A,FALSE,"Tickmarks"}</definedName>
    <definedName name="fund" hidden="1">{#N/A,#N/A,FALSE,"Aging Summary";#N/A,#N/A,FALSE,"Ratio Analysis";#N/A,#N/A,FALSE,"Test 120 Day Accts";#N/A,#N/A,FALSE,"Tickmarks"}</definedName>
    <definedName name="g" localSheetId="7" hidden="1">{#N/A,#N/A,FALSE,"Aging Summary";#N/A,#N/A,FALSE,"Ratio Analysis";#N/A,#N/A,FALSE,"Test 120 Day Accts";#N/A,#N/A,FALSE,"Tickmarks"}</definedName>
    <definedName name="g" localSheetId="8" hidden="1">{#N/A,#N/A,FALSE,"Aging Summary";#N/A,#N/A,FALSE,"Ratio Analysis";#N/A,#N/A,FALSE,"Test 120 Day Accts";#N/A,#N/A,FALSE,"Tickmarks"}</definedName>
    <definedName name="g" localSheetId="6" hidden="1">{#N/A,#N/A,FALSE,"Aging Summary";#N/A,#N/A,FALSE,"Ratio Analysis";#N/A,#N/A,FALSE,"Test 120 Day Accts";#N/A,#N/A,FALSE,"Tickmarks"}</definedName>
    <definedName name="g" localSheetId="9" hidden="1">{#N/A,#N/A,FALSE,"Aging Summary";#N/A,#N/A,FALSE,"Ratio Analysis";#N/A,#N/A,FALSE,"Test 120 Day Accts";#N/A,#N/A,FALSE,"Tickmarks"}</definedName>
    <definedName name="g" localSheetId="10" hidden="1">{#N/A,#N/A,FALSE,"Aging Summary";#N/A,#N/A,FALSE,"Ratio Analysis";#N/A,#N/A,FALSE,"Test 120 Day Accts";#N/A,#N/A,FALSE,"Tickmarks"}</definedName>
    <definedName name="g" localSheetId="11" hidden="1">{#N/A,#N/A,FALSE,"Aging Summary";#N/A,#N/A,FALSE,"Ratio Analysis";#N/A,#N/A,FALSE,"Test 120 Day Accts";#N/A,#N/A,FALSE,"Tickmarks"}</definedName>
    <definedName name="g" hidden="1">{#N/A,#N/A,FALSE,"Aging Summary";#N/A,#N/A,FALSE,"Ratio Analysis";#N/A,#N/A,FALSE,"Test 120 Day Accts";#N/A,#N/A,FALSE,"Tickmarks"}</definedName>
    <definedName name="GENERAL_VALID">[7]General!$B$3,[7]General!$B$6:$B$7</definedName>
    <definedName name="gg" localSheetId="7" hidden="1">{#N/A,#N/A,FALSE,"Aging Summary";#N/A,#N/A,FALSE,"Ratio Analysis";#N/A,#N/A,FALSE,"Test 120 Day Accts";#N/A,#N/A,FALSE,"Tickmarks"}</definedName>
    <definedName name="gg" localSheetId="8" hidden="1">{#N/A,#N/A,FALSE,"Aging Summary";#N/A,#N/A,FALSE,"Ratio Analysis";#N/A,#N/A,FALSE,"Test 120 Day Accts";#N/A,#N/A,FALSE,"Tickmarks"}</definedName>
    <definedName name="gg" localSheetId="6" hidden="1">{#N/A,#N/A,FALSE,"Aging Summary";#N/A,#N/A,FALSE,"Ratio Analysis";#N/A,#N/A,FALSE,"Test 120 Day Accts";#N/A,#N/A,FALSE,"Tickmarks"}</definedName>
    <definedName name="gg" localSheetId="9" hidden="1">{#N/A,#N/A,FALSE,"Aging Summary";#N/A,#N/A,FALSE,"Ratio Analysis";#N/A,#N/A,FALSE,"Test 120 Day Accts";#N/A,#N/A,FALSE,"Tickmarks"}</definedName>
    <definedName name="gg" localSheetId="10" hidden="1">{#N/A,#N/A,FALSE,"Aging Summary";#N/A,#N/A,FALSE,"Ratio Analysis";#N/A,#N/A,FALSE,"Test 120 Day Accts";#N/A,#N/A,FALSE,"Tickmarks"}</definedName>
    <definedName name="gg" localSheetId="11" hidden="1">{#N/A,#N/A,FALSE,"Aging Summary";#N/A,#N/A,FALSE,"Ratio Analysis";#N/A,#N/A,FALSE,"Test 120 Day Accts";#N/A,#N/A,FALSE,"Tickmarks"}</definedName>
    <definedName name="gg" hidden="1">{#N/A,#N/A,FALSE,"Aging Summary";#N/A,#N/A,FALSE,"Ratio Analysis";#N/A,#N/A,FALSE,"Test 120 Day Accts";#N/A,#N/A,FALSE,"Tickmarks"}</definedName>
    <definedName name="GH" localSheetId="7">#REF!</definedName>
    <definedName name="GH" localSheetId="8">#REF!</definedName>
    <definedName name="GH" localSheetId="6">#REF!</definedName>
    <definedName name="GH" localSheetId="9">#REF!</definedName>
    <definedName name="GH" localSheetId="10">#REF!</definedName>
    <definedName name="GH" localSheetId="11">#REF!</definedName>
    <definedName name="GH">#REF!</definedName>
    <definedName name="GLCODE">[9]TB!$D:$D</definedName>
    <definedName name="Grat_Leave_Encash_Exp.">'[9]Note-P'!$F$84</definedName>
    <definedName name="Group_Code" localSheetId="7">#REF!</definedName>
    <definedName name="Group_Code" localSheetId="8">#REF!</definedName>
    <definedName name="Group_Code" localSheetId="6">#REF!</definedName>
    <definedName name="Group_Code" localSheetId="9">#REF!</definedName>
    <definedName name="Group_Code" localSheetId="10">#REF!</definedName>
    <definedName name="Group_Code" localSheetId="11">#REF!</definedName>
    <definedName name="Group_Code">#REF!</definedName>
    <definedName name="h" localSheetId="7" hidden="1">{#N/A,#N/A,FALSE,"Aging Summary";#N/A,#N/A,FALSE,"Ratio Analysis";#N/A,#N/A,FALSE,"Test 120 Day Accts";#N/A,#N/A,FALSE,"Tickmarks"}</definedName>
    <definedName name="h" localSheetId="8" hidden="1">{#N/A,#N/A,FALSE,"Aging Summary";#N/A,#N/A,FALSE,"Ratio Analysis";#N/A,#N/A,FALSE,"Test 120 Day Accts";#N/A,#N/A,FALSE,"Tickmarks"}</definedName>
    <definedName name="h" localSheetId="6" hidden="1">{#N/A,#N/A,FALSE,"Aging Summary";#N/A,#N/A,FALSE,"Ratio Analysis";#N/A,#N/A,FALSE,"Test 120 Day Accts";#N/A,#N/A,FALSE,"Tickmarks"}</definedName>
    <definedName name="h" localSheetId="9" hidden="1">{#N/A,#N/A,FALSE,"Aging Summary";#N/A,#N/A,FALSE,"Ratio Analysis";#N/A,#N/A,FALSE,"Test 120 Day Accts";#N/A,#N/A,FALSE,"Tickmarks"}</definedName>
    <definedName name="h" localSheetId="10" hidden="1">{#N/A,#N/A,FALSE,"Aging Summary";#N/A,#N/A,FALSE,"Ratio Analysis";#N/A,#N/A,FALSE,"Test 120 Day Accts";#N/A,#N/A,FALSE,"Tickmarks"}</definedName>
    <definedName name="h" localSheetId="11" hidden="1">{#N/A,#N/A,FALSE,"Aging Summary";#N/A,#N/A,FALSE,"Ratio Analysis";#N/A,#N/A,FALSE,"Test 120 Day Accts";#N/A,#N/A,FALSE,"Tickmarks"}</definedName>
    <definedName name="h" hidden="1">{#N/A,#N/A,FALSE,"Aging Summary";#N/A,#N/A,FALSE,"Ratio Analysis";#N/A,#N/A,FALSE,"Test 120 Day Accts";#N/A,#N/A,FALSE,"Tickmarks"}</definedName>
    <definedName name="HDFC_A_C_NO">[24]VALIDATION_LIST!$A$2:$A$249</definedName>
    <definedName name="himanshu" localSheetId="7">#REF!</definedName>
    <definedName name="himanshu" localSheetId="8">#REF!</definedName>
    <definedName name="himanshu" localSheetId="6">#REF!</definedName>
    <definedName name="himanshu" localSheetId="9">#REF!</definedName>
    <definedName name="himanshu" localSheetId="10">#REF!</definedName>
    <definedName name="himanshu" localSheetId="11">#REF!</definedName>
    <definedName name="himanshu">#REF!</definedName>
    <definedName name="Hitech1" localSheetId="7" hidden="1">{#N/A,#N/A,FALSE,"Aging Summary";#N/A,#N/A,FALSE,"Ratio Analysis";#N/A,#N/A,FALSE,"Test 120 Day Accts";#N/A,#N/A,FALSE,"Tickmarks"}</definedName>
    <definedName name="Hitech1" localSheetId="8" hidden="1">{#N/A,#N/A,FALSE,"Aging Summary";#N/A,#N/A,FALSE,"Ratio Analysis";#N/A,#N/A,FALSE,"Test 120 Day Accts";#N/A,#N/A,FALSE,"Tickmarks"}</definedName>
    <definedName name="Hitech1" localSheetId="6" hidden="1">{#N/A,#N/A,FALSE,"Aging Summary";#N/A,#N/A,FALSE,"Ratio Analysis";#N/A,#N/A,FALSE,"Test 120 Day Accts";#N/A,#N/A,FALSE,"Tickmarks"}</definedName>
    <definedName name="Hitech1" localSheetId="9" hidden="1">{#N/A,#N/A,FALSE,"Aging Summary";#N/A,#N/A,FALSE,"Ratio Analysis";#N/A,#N/A,FALSE,"Test 120 Day Accts";#N/A,#N/A,FALSE,"Tickmarks"}</definedName>
    <definedName name="Hitech1" localSheetId="10" hidden="1">{#N/A,#N/A,FALSE,"Aging Summary";#N/A,#N/A,FALSE,"Ratio Analysis";#N/A,#N/A,FALSE,"Test 120 Day Accts";#N/A,#N/A,FALSE,"Tickmarks"}</definedName>
    <definedName name="Hitech1" localSheetId="11" hidden="1">{#N/A,#N/A,FALSE,"Aging Summary";#N/A,#N/A,FALSE,"Ratio Analysis";#N/A,#N/A,FALSE,"Test 120 Day Accts";#N/A,#N/A,FALSE,"Tickmarks"}</definedName>
    <definedName name="Hitech1" hidden="1">{#N/A,#N/A,FALSE,"Aging Summary";#N/A,#N/A,FALSE,"Ratio Analysis";#N/A,#N/A,FALSE,"Test 120 Day Accts";#N/A,#N/A,FALSE,"Tickmarks"}</definedName>
    <definedName name="HP.AddrDetail1">[3]HOUSE_PROPERTY!$D$3</definedName>
    <definedName name="HP.AddrDetail2">[3]HOUSE_PROPERTY!$D$16</definedName>
    <definedName name="HP.AddrDetail3">[3]HOUSE_PROPERTY!$D$29</definedName>
    <definedName name="HP.AnnualLetableValue1">[3]HOUSE_PROPERTY!$J$6</definedName>
    <definedName name="HP.AnnualLetableValue2">[3]HOUSE_PROPERTY!$J$19</definedName>
    <definedName name="HP.AnnualLetableValue3">[3]HOUSE_PROPERTY!$J$32</definedName>
    <definedName name="HP.BalanceALV1">[3]HOUSE_PROPERTY!$J$10</definedName>
    <definedName name="HP.BalanceALV2">[3]HOUSE_PROPERTY!$J$23</definedName>
    <definedName name="HP.BalanceALV3">[3]HOUSE_PROPERTY!$J$36</definedName>
    <definedName name="hp.BFAllUs35Cl4Setoff1">'[3]CYLA BFLA'!$G$17</definedName>
    <definedName name="hp.BFlossPrevYrUndSameHeadSetoff1">'[3]CYLA BFLA'!$E$17</definedName>
    <definedName name="hp.BFUnabsorbedDeprSetoff1">'[3]CYLA BFLA'!$F$17</definedName>
    <definedName name="hp.BusLossSetoff2">'[3]CYLA BFLA'!$F$6</definedName>
    <definedName name="HP.CityOrTownOrDistrict1">[3]HOUSE_PROPERTY!$E$3</definedName>
    <definedName name="HP.CityOrTownOrDistrict2">[3]HOUSE_PROPERTY!$E$16</definedName>
    <definedName name="HP.CityOrTownOrDistrict3">[3]HOUSE_PROPERTY!$E$29</definedName>
    <definedName name="hp.HPlossCurYrSetoff2">'[3]CYLA BFLA'!$E$6</definedName>
    <definedName name="HP.ifLetOut1">[3]HOUSE_PROPERTY!$D$5</definedName>
    <definedName name="HP.ifLetOut2">[3]HOUSE_PROPERTY!$D$18</definedName>
    <definedName name="HP.ifLetOut3">[3]HOUSE_PROPERTY!$D$31</definedName>
    <definedName name="hp.IncOfCurYrAfterSetOff2">'[3]CYLA BFLA'!$H$6</definedName>
    <definedName name="hp.IncOfCurYrAfterSetOffBFLosses1">'[3]CYLA BFLA'!$H$17</definedName>
    <definedName name="hp.IncOfCurYrUnderThatHead2">'[3]CYLA BFLA'!$D$6</definedName>
    <definedName name="hp.IncOfCurYrUndHeadFromCYLA1">'[3]CYLA BFLA'!$D$17</definedName>
    <definedName name="HP.IncomeOfHP1">[3]HOUSE_PROPERTY!$J$14</definedName>
    <definedName name="HP.IncomeOfHP2">[3]HOUSE_PROPERTY!$J$27</definedName>
    <definedName name="HP.IncomeOfHP3">[3]HOUSE_PROPERTY!$J$40</definedName>
    <definedName name="HP.IntOnBorwCap1">[3]HOUSE_PROPERTY!$H$12</definedName>
    <definedName name="HP.IntOnBorwCap2">[3]HOUSE_PROPERTY!$H$25</definedName>
    <definedName name="HP.IntOnBorwCap3">[3]HOUSE_PROPERTY!$H$38</definedName>
    <definedName name="HP.LocalTaxes1">[3]HOUSE_PROPERTY!$H$8</definedName>
    <definedName name="HP.LocalTaxes2">[3]HOUSE_PROPERTY!$H$21</definedName>
    <definedName name="HP.LocalTaxes3">[3]HOUSE_PROPERTY!$H$34</definedName>
    <definedName name="HP.NameofTenant1">[3]HOUSE_PROPERTY!$E$5</definedName>
    <definedName name="HP.NameofTenant2">[3]HOUSE_PROPERTY!$E$18</definedName>
    <definedName name="HP.NameofTenant3">[3]HOUSE_PROPERTY!$E$31</definedName>
    <definedName name="hp.OthSrcLossNoRaceHorseSetoff2">'[3]CYLA BFLA'!$G$6</definedName>
    <definedName name="HP.PANofTenant1">[3]HOUSE_PROPERTY!$H$5</definedName>
    <definedName name="HP.PANofTenant2">[3]HOUSE_PROPERTY!$H$18</definedName>
    <definedName name="HP.PANofTenant3">[3]HOUSE_PROPERTY!$H$31</definedName>
    <definedName name="HP.PinCode1">[3]HOUSE_PROPERTY!$H$3</definedName>
    <definedName name="HP.PinCode2">[3]HOUSE_PROPERTY!$H$16</definedName>
    <definedName name="HP.PinCode3">[3]HOUSE_PROPERTY!$H$29</definedName>
    <definedName name="HP.RentArearsSec25BAfter30pcDeduct">[3]HOUSE_PROPERTY!$J$43</definedName>
    <definedName name="HP.RentNotRealized1">[3]HOUSE_PROPERTY!$H$7</definedName>
    <definedName name="HP.RentNotRealized2">[3]HOUSE_PROPERTY!$H$20</definedName>
    <definedName name="HP.RentNotRealized3">[3]HOUSE_PROPERTY!$H$33</definedName>
    <definedName name="HP.RentOfEarlierYrSec25AandAA">[3]HOUSE_PROPERTY!$J$42</definedName>
    <definedName name="HP.StateCode1">[3]HOUSE_PROPERTY!$F$3</definedName>
    <definedName name="HP.StateCode2">[3]HOUSE_PROPERTY!$F$16</definedName>
    <definedName name="HP.StateCode3">[3]HOUSE_PROPERTY!$F$29</definedName>
    <definedName name="HP.ThirtyPercentOfBalance1">[3]HOUSE_PROPERTY!$H$11</definedName>
    <definedName name="HP.ThirtyPercentOfBalance2">[3]HOUSE_PROPERTY!$H$24</definedName>
    <definedName name="HP.ThirtyPercentOfBalance3">[3]HOUSE_PROPERTY!$H$37</definedName>
    <definedName name="HP.TotalDeduct1">[3]HOUSE_PROPERTY!$J$13</definedName>
    <definedName name="HP.TotalDeduct2">[3]HOUSE_PROPERTY!$J$26</definedName>
    <definedName name="HP.TotalDeduct3">[3]HOUSE_PROPERTY!$J$39</definedName>
    <definedName name="HP.TotalIncomeChargeableUnHP">[3]HOUSE_PROPERTY!$J$44</definedName>
    <definedName name="HP.TotalUnrealizedAndTax1">[3]HOUSE_PROPERTY!$H$9</definedName>
    <definedName name="HP.TotalUnrealizedAndTax2">[3]HOUSE_PROPERTY!$H$22</definedName>
    <definedName name="HP.TotalUnrealizedAndTax3">[3]HOUSE_PROPERTY!$H$35</definedName>
    <definedName name="hprptfrm">[3]Pre_XML!$B$9</definedName>
    <definedName name="hprptfrm.size">[3]HOUSE_PROPERTY!$L$3</definedName>
    <definedName name="hprptfrm1">[3]HOUSE_PROPERTY!$A$2:$J$14</definedName>
    <definedName name="hprptfrm2">[3]HOUSE_PROPERTY!$A$15:$J$27</definedName>
    <definedName name="hprptfrm3">[3]HOUSE_PROPERTY!$A$28:$J$40</definedName>
    <definedName name="i_10a">[3]Instructions!$B$373</definedName>
    <definedName name="i_80">[3]Instructions!$B$411</definedName>
    <definedName name="i_80g">[3]Instructions!$B$393</definedName>
    <definedName name="i_bp">[3]Instructions!$B$260</definedName>
    <definedName name="i_bs">[3]Instructions!$B$148</definedName>
    <definedName name="i_cfl">[3]Instructions!$B$363</definedName>
    <definedName name="i_cgos">[3]Instructions!$B$296</definedName>
    <definedName name="i_cyla">[3]Instructions!$B$342</definedName>
    <definedName name="i_ddt">[3]Instructions!$B$545</definedName>
    <definedName name="i_dep">[3]Instructions!$B$281</definedName>
    <definedName name="i_dpm">[3]Instructions!$B$274</definedName>
    <definedName name="i_ei">[3]Instructions!$B$473</definedName>
    <definedName name="i_esr">[3]Instructions!$B$289</definedName>
    <definedName name="i_fb">[3]Instructions!$B$492</definedName>
    <definedName name="i_fbt">[3]Instructions!$B$485</definedName>
    <definedName name="i_general">[3]Instructions!$B$120</definedName>
    <definedName name="i_general2">[3]Instructions!$B$136</definedName>
    <definedName name="i_hp">[3]Instructions!$B$243</definedName>
    <definedName name="i_it">[3]Instructions!$B$526</definedName>
    <definedName name="i_nob">[3]Instructions!$B$143</definedName>
    <definedName name="i_oi">[3]Instructions!$B$167</definedName>
    <definedName name="i_overall">[3]Instructions!$B$554</definedName>
    <definedName name="i_overall2">[3]Instructions!$B$575</definedName>
    <definedName name="i_partb">[3]Instructions!$B$187</definedName>
    <definedName name="i_partc">[3]Instructions!$B$212</definedName>
    <definedName name="i_pl">[3]Instructions!$B$157</definedName>
    <definedName name="i_qd">[3]Instructions!$B$179</definedName>
    <definedName name="i_si">[3]Instructions!$B$444</definedName>
    <definedName name="i_subdetail">[3]Instructions!$B$139</definedName>
    <definedName name="IA">[9]BS!$H$40</definedName>
    <definedName name="IA80.DeductProfUs80_IA_4_i">'[3]80_'!$G$3</definedName>
    <definedName name="IA80.DeductProfUs80_IA_4_ii">'[3]80_'!$G$4</definedName>
    <definedName name="IA80.DeductProfUs80_IA_4_iii">'[3]80_'!$G$5</definedName>
    <definedName name="IA80.DeductProfUs80_IA_4_iv">'[3]80_'!$G$6</definedName>
    <definedName name="IA80.DeductProfUs80_IA_4_v">'[3]80_'!$G$7</definedName>
    <definedName name="IA80.TotSchedule80_IA">'[3]80_'!$I$8</definedName>
    <definedName name="IB80.DeductBackDisttUs80_IB_5">'[3]80_'!$G$14</definedName>
    <definedName name="IB80.DeductBackStatesUs80_IB_4">'[3]80_'!$G$13</definedName>
    <definedName name="IB80.DeductColdChainUs80_IB_11">'[3]80_'!$G$20</definedName>
    <definedName name="IB80.DeductConvCentUs80_IB_7B">'[3]80_'!$G$16</definedName>
    <definedName name="IB80.DeductFoodGrainUs80_IB_11A">'[3]80_'!$G$22</definedName>
    <definedName name="IB80.DeductFruitVegUs80_IB_11A">'[3]80_'!$G$21</definedName>
    <definedName name="IB80.DeductHousUs80_IB_10">'[3]80_'!$G$19</definedName>
    <definedName name="IB80.DeductJKLocUs80_IB_4">'[3]80_'!$G$12</definedName>
    <definedName name="IB80.DeductMinOilUs80_IB_9">'[3]80_'!$G$18</definedName>
    <definedName name="IB80.DeductMultiplexUs80_IB_7A">'[3]80_'!$G$15</definedName>
    <definedName name="IB80.DeductRurHospUs80_IB_11B">'[3]80_'!$G$23</definedName>
    <definedName name="IB80.DeductScientificResUs80_IB_8A">'[3]80_'!$G$17</definedName>
    <definedName name="IB80.DeductSSIUs80_IB_3">'[3]80_'!$G$11</definedName>
    <definedName name="IB80.TotSchedule80_IB">'[3]80_'!$I$24</definedName>
    <definedName name="IC80.ArunachalPradesh">'[3]80_'!$G$32</definedName>
    <definedName name="IC80.Assam">'[3]80_'!$G$31</definedName>
    <definedName name="IC80.DeductInHimachalP">'[3]80_'!$I$28</definedName>
    <definedName name="IC80.DeductInSikkim">'[3]80_'!$I$27</definedName>
    <definedName name="IC80.DeductInUttaranchal">'[3]80_'!$I$29</definedName>
    <definedName name="IC80.Manipur">'[3]80_'!$G$33</definedName>
    <definedName name="IC80.Meghalaya">'[3]80_'!$G$35</definedName>
    <definedName name="IC80.Mizoram">'[3]80_'!$G$34</definedName>
    <definedName name="IC80.Nagaland">'[3]80_'!$G$36</definedName>
    <definedName name="IC80.TotDeductInNorthEast">'[3]80_'!$I$38</definedName>
    <definedName name="IC80.TotSchedule80_IC">'[3]80_'!$I$39</definedName>
    <definedName name="IC80.Tripura">'[3]80_'!$G$37</definedName>
    <definedName name="ICD_Int_Income">'[9]Note-P'!$F$36</definedName>
    <definedName name="ICD_Interest_Exp">'[9]Note-P'!$F$96</definedName>
    <definedName name="ilhl" localSheetId="7">#REF!</definedName>
    <definedName name="ilhl" localSheetId="8">#REF!</definedName>
    <definedName name="ilhl" localSheetId="6">#REF!</definedName>
    <definedName name="ilhl" localSheetId="9">#REF!</definedName>
    <definedName name="ilhl" localSheetId="10">#REF!</definedName>
    <definedName name="ilhl" localSheetId="11">#REF!</definedName>
    <definedName name="ilhl">#REF!</definedName>
    <definedName name="im" localSheetId="7">#REF!</definedName>
    <definedName name="im" localSheetId="8">#REF!</definedName>
    <definedName name="im" localSheetId="6">#REF!</definedName>
    <definedName name="im" localSheetId="9">#REF!</definedName>
    <definedName name="im" localSheetId="10">#REF!</definedName>
    <definedName name="im" localSheetId="11">#REF!</definedName>
    <definedName name="im">#REF!</definedName>
    <definedName name="in">[11]Index!$F$8</definedName>
    <definedName name="Insurance">'[9]Note-P'!$F$113</definedName>
    <definedName name="Int_IT_Refund">'[9]Note-P'!$F$37</definedName>
    <definedName name="inter" localSheetId="7">#REF!</definedName>
    <definedName name="inter" localSheetId="8">#REF!</definedName>
    <definedName name="inter" localSheetId="6">#REF!</definedName>
    <definedName name="inter" localSheetId="9">#REF!</definedName>
    <definedName name="inter" localSheetId="10">#REF!</definedName>
    <definedName name="inter" localSheetId="11">#REF!</definedName>
    <definedName name="inter">#REF!</definedName>
    <definedName name="Interest" localSheetId="7">#REF!</definedName>
    <definedName name="Interest" localSheetId="8">#REF!</definedName>
    <definedName name="Interest" localSheetId="6">#REF!</definedName>
    <definedName name="Interest" localSheetId="9">#REF!</definedName>
    <definedName name="Interest" localSheetId="10">#REF!</definedName>
    <definedName name="Interest" localSheetId="11">#REF!</definedName>
    <definedName name="Interest">#REF!</definedName>
    <definedName name="Interest_Others">'[9]Note-P'!$F$102</definedName>
    <definedName name="Intt_on_Taxes">'[9]Note-P'!$F$101</definedName>
    <definedName name="ISL" localSheetId="7">#REF!</definedName>
    <definedName name="ISL" localSheetId="8">#REF!</definedName>
    <definedName name="ISL" localSheetId="6">#REF!</definedName>
    <definedName name="ISL" localSheetId="9">#REF!</definedName>
    <definedName name="ISL" localSheetId="10">#REF!</definedName>
    <definedName name="ISL" localSheetId="11">#REF!</definedName>
    <definedName name="ISL">#REF!</definedName>
    <definedName name="ISL_TRIAL">'[25]ISL Trial'!$C$1:$K$65536</definedName>
    <definedName name="IT">[3]Pre_XML!$E$9</definedName>
    <definedName name="IT.Amt">[3]IT_FBT_DDTP!$H$4:$H$9</definedName>
    <definedName name="IT.BSRCode">[3]IT_FBT_DDTP!$E$4:$E$9</definedName>
    <definedName name="IT.DateDep">[3]IT_FBT_DDTP!$F$4:$F$9</definedName>
    <definedName name="IT.FormulaOFS">[3]IT_FBT_DDTP!$S$4:$S$9</definedName>
    <definedName name="IT.NameOfBank">[3]IT_FBT_DDTP!$C$4:$C$9</definedName>
    <definedName name="IT.NameOfBranch">[3]IT_FBT_DDTP!$D$4:$D$9</definedName>
    <definedName name="IT.SrlNoOfChaln">[3]IT_FBT_DDTP!$G$4:$G$9</definedName>
    <definedName name="jm" localSheetId="7">#REF!</definedName>
    <definedName name="jm" localSheetId="8">#REF!</definedName>
    <definedName name="jm" localSheetId="6">#REF!</definedName>
    <definedName name="jm" localSheetId="9">#REF!</definedName>
    <definedName name="jm" localSheetId="10">#REF!</definedName>
    <definedName name="jm" localSheetId="11">#REF!</definedName>
    <definedName name="jm">#REF!</definedName>
    <definedName name="kk" localSheetId="7" hidden="1">{#N/A,#N/A,FALSE,"Aging Summary";#N/A,#N/A,FALSE,"Ratio Analysis";#N/A,#N/A,FALSE,"Test 120 Day Accts";#N/A,#N/A,FALSE,"Tickmarks"}</definedName>
    <definedName name="kk" localSheetId="8" hidden="1">{#N/A,#N/A,FALSE,"Aging Summary";#N/A,#N/A,FALSE,"Ratio Analysis";#N/A,#N/A,FALSE,"Test 120 Day Accts";#N/A,#N/A,FALSE,"Tickmarks"}</definedName>
    <definedName name="kk" localSheetId="6" hidden="1">{#N/A,#N/A,FALSE,"Aging Summary";#N/A,#N/A,FALSE,"Ratio Analysis";#N/A,#N/A,FALSE,"Test 120 Day Accts";#N/A,#N/A,FALSE,"Tickmarks"}</definedName>
    <definedName name="kk" localSheetId="9" hidden="1">{#N/A,#N/A,FALSE,"Aging Summary";#N/A,#N/A,FALSE,"Ratio Analysis";#N/A,#N/A,FALSE,"Test 120 Day Accts";#N/A,#N/A,FALSE,"Tickmarks"}</definedName>
    <definedName name="kk" localSheetId="10" hidden="1">{#N/A,#N/A,FALSE,"Aging Summary";#N/A,#N/A,FALSE,"Ratio Analysis";#N/A,#N/A,FALSE,"Test 120 Day Accts";#N/A,#N/A,FALSE,"Tickmarks"}</definedName>
    <definedName name="kk" localSheetId="11" hidden="1">{#N/A,#N/A,FALSE,"Aging Summary";#N/A,#N/A,FALSE,"Ratio Analysis";#N/A,#N/A,FALSE,"Test 120 Day Accts";#N/A,#N/A,FALSE,"Tickmarks"}</definedName>
    <definedName name="kk" hidden="1">{#N/A,#N/A,FALSE,"Aging Summary";#N/A,#N/A,FALSE,"Ratio Analysis";#N/A,#N/A,FALSE,"Test 120 Day Accts";#N/A,#N/A,FALSE,"Tickmarks"}</definedName>
    <definedName name="l" localSheetId="7" hidden="1">{#N/A,#N/A,FALSE,"Aging Summary";#N/A,#N/A,FALSE,"Ratio Analysis";#N/A,#N/A,FALSE,"Test 120 Day Accts";#N/A,#N/A,FALSE,"Tickmarks"}</definedName>
    <definedName name="l" localSheetId="8" hidden="1">{#N/A,#N/A,FALSE,"Aging Summary";#N/A,#N/A,FALSE,"Ratio Analysis";#N/A,#N/A,FALSE,"Test 120 Day Accts";#N/A,#N/A,FALSE,"Tickmarks"}</definedName>
    <definedName name="l" localSheetId="6" hidden="1">{#N/A,#N/A,FALSE,"Aging Summary";#N/A,#N/A,FALSE,"Ratio Analysis";#N/A,#N/A,FALSE,"Test 120 Day Accts";#N/A,#N/A,FALSE,"Tickmarks"}</definedName>
    <definedName name="l" localSheetId="9" hidden="1">{#N/A,#N/A,FALSE,"Aging Summary";#N/A,#N/A,FALSE,"Ratio Analysis";#N/A,#N/A,FALSE,"Test 120 Day Accts";#N/A,#N/A,FALSE,"Tickmarks"}</definedName>
    <definedName name="l" localSheetId="10" hidden="1">{#N/A,#N/A,FALSE,"Aging Summary";#N/A,#N/A,FALSE,"Ratio Analysis";#N/A,#N/A,FALSE,"Test 120 Day Accts";#N/A,#N/A,FALSE,"Tickmarks"}</definedName>
    <definedName name="l" localSheetId="11" hidden="1">{#N/A,#N/A,FALSE,"Aging Summary";#N/A,#N/A,FALSE,"Ratio Analysis";#N/A,#N/A,FALSE,"Test 120 Day Accts";#N/A,#N/A,FALSE,"Tickmarks"}</definedName>
    <definedName name="l" hidden="1">{#N/A,#N/A,FALSE,"Aging Summary";#N/A,#N/A,FALSE,"Ratio Analysis";#N/A,#N/A,FALSE,"Test 120 Day Accts";#N/A,#N/A,FALSE,"Tickmarks"}</definedName>
    <definedName name="Last_BS_Date" localSheetId="14">[11]Index!$D$11</definedName>
    <definedName name="Last_BS_Date" localSheetId="13">[11]Index!$D$11</definedName>
    <definedName name="Last_BS_Date">[14]Index!$D$11</definedName>
    <definedName name="Last_BS_Date_text">[10]Index!$D$9</definedName>
    <definedName name="Last_BS_DT">[23]Index!$D$11</definedName>
    <definedName name="Last_BS_DT_Text" localSheetId="14">[11]Index!$D$12</definedName>
    <definedName name="Last_BS_DT_Text" localSheetId="13">[11]Index!$D$12</definedName>
    <definedName name="Last_BS_DT_TEXT">[16]Index!$D$12</definedName>
    <definedName name="lkfjdl" localSheetId="7" hidden="1">{#N/A,#N/A,FALSE,"Aging Summary";#N/A,#N/A,FALSE,"Ratio Analysis";#N/A,#N/A,FALSE,"Test 120 Day Accts";#N/A,#N/A,FALSE,"Tickmarks"}</definedName>
    <definedName name="lkfjdl" localSheetId="8" hidden="1">{#N/A,#N/A,FALSE,"Aging Summary";#N/A,#N/A,FALSE,"Ratio Analysis";#N/A,#N/A,FALSE,"Test 120 Day Accts";#N/A,#N/A,FALSE,"Tickmarks"}</definedName>
    <definedName name="lkfjdl" localSheetId="6" hidden="1">{#N/A,#N/A,FALSE,"Aging Summary";#N/A,#N/A,FALSE,"Ratio Analysis";#N/A,#N/A,FALSE,"Test 120 Day Accts";#N/A,#N/A,FALSE,"Tickmarks"}</definedName>
    <definedName name="lkfjdl" localSheetId="9" hidden="1">{#N/A,#N/A,FALSE,"Aging Summary";#N/A,#N/A,FALSE,"Ratio Analysis";#N/A,#N/A,FALSE,"Test 120 Day Accts";#N/A,#N/A,FALSE,"Tickmarks"}</definedName>
    <definedName name="lkfjdl" localSheetId="10" hidden="1">{#N/A,#N/A,FALSE,"Aging Summary";#N/A,#N/A,FALSE,"Ratio Analysis";#N/A,#N/A,FALSE,"Test 120 Day Accts";#N/A,#N/A,FALSE,"Tickmarks"}</definedName>
    <definedName name="lkfjdl" localSheetId="11" hidden="1">{#N/A,#N/A,FALSE,"Aging Summary";#N/A,#N/A,FALSE,"Ratio Analysis";#N/A,#N/A,FALSE,"Test 120 Day Accts";#N/A,#N/A,FALSE,"Tickmarks"}</definedName>
    <definedName name="lkfjdl" hidden="1">{#N/A,#N/A,FALSE,"Aging Summary";#N/A,#N/A,FALSE,"Ratio Analysis";#N/A,#N/A,FALSE,"Test 120 Day Accts";#N/A,#N/A,FALSE,"Tickmarks"}</definedName>
    <definedName name="lnkschbs" localSheetId="7">'[1]Other notes'!#REF!</definedName>
    <definedName name="lnkschbs" localSheetId="8">'[1]Other notes'!#REF!</definedName>
    <definedName name="lnkschbs" localSheetId="6">'[1]Other notes'!#REF!</definedName>
    <definedName name="lnkschbs" localSheetId="9">'[1]Other notes'!#REF!</definedName>
    <definedName name="lnkschbs" localSheetId="10">'[1]Other notes'!#REF!</definedName>
    <definedName name="lnkschbs" localSheetId="11">'[1]Other notes'!#REF!</definedName>
    <definedName name="lnkschbs">'[1]Other notes'!#REF!</definedName>
    <definedName name="LNKSCHPL" localSheetId="7">'[1]Other notes'!#REF!</definedName>
    <definedName name="LNKSCHPL" localSheetId="8">'[1]Other notes'!#REF!</definedName>
    <definedName name="LNKSCHPL" localSheetId="6">'[1]Other notes'!#REF!</definedName>
    <definedName name="LNKSCHPL" localSheetId="9">'[1]Other notes'!#REF!</definedName>
    <definedName name="LNKSCHPL" localSheetId="10">'[1]Other notes'!#REF!</definedName>
    <definedName name="LNKSCHPL" localSheetId="11">'[1]Other notes'!#REF!</definedName>
    <definedName name="LNKSCHPL">'[1]Other notes'!#REF!</definedName>
    <definedName name="lp">'[2]Other notes'!$A$1</definedName>
    <definedName name="LR">[11]Index!$F$11</definedName>
    <definedName name="LTB">[9]BS!$H$20</definedName>
    <definedName name="ltcg.BFAllUs35Cl4Setoff4">'[3]CYLA BFLA'!$G$20</definedName>
    <definedName name="ltcg.BFlossPrevYrUndSameHeadSetoff4">'[3]CYLA BFLA'!$E$20</definedName>
    <definedName name="ltcg.BFUnabsorbedDeprSetoff4">'[3]CYLA BFLA'!$F$20</definedName>
    <definedName name="ltcg.BusLossSetoff2">'[3]CYLA BFLA'!$F$9</definedName>
    <definedName name="ltcg.HPlossCurYrSetoff2">'[3]CYLA BFLA'!$E$9</definedName>
    <definedName name="ltcg.IncOfCurYrAfterSetOff2">'[3]CYLA BFLA'!$H$9</definedName>
    <definedName name="ltcg.IncOfCurYrAfterSetOffBFLosses4">'[3]CYLA BFLA'!$H$20</definedName>
    <definedName name="ltcg.IncOfCurYrUnderThatHead2">'[3]CYLA BFLA'!$D$9</definedName>
    <definedName name="ltcg.IncOfCurYrUndHeadFromCYLA4">'[3]CYLA BFLA'!$D$20</definedName>
    <definedName name="ltcg.OthSrcLossNoRaceHorseSetoff2">'[3]CYLA BFLA'!$G$9</definedName>
    <definedName name="LTLA">[9]BS!$H$47</definedName>
    <definedName name="LTP">[9]BS!$H$23</definedName>
    <definedName name="Membership" localSheetId="14">[11]Index!$C$24</definedName>
    <definedName name="Membership" localSheetId="13">[11]Index!$C$24</definedName>
    <definedName name="Membership">'[9]Note-P'!$F$68</definedName>
    <definedName name="Misc_Exp">'[9]Note-P'!$F$134</definedName>
    <definedName name="Monetary_Precision" localSheetId="7">#REF!</definedName>
    <definedName name="Monetary_Precision" localSheetId="8">#REF!</definedName>
    <definedName name="Monetary_Precision" localSheetId="6">#REF!</definedName>
    <definedName name="Monetary_Precision" localSheetId="9">#REF!</definedName>
    <definedName name="Monetary_Precision" localSheetId="10">#REF!</definedName>
    <definedName name="Monetary_Precision" localSheetId="11">#REF!</definedName>
    <definedName name="Monetary_Precision">#REF!</definedName>
    <definedName name="Month_Days">[25]Provisions!$B$2</definedName>
    <definedName name="mutual" localSheetId="7">#REF!</definedName>
    <definedName name="mutual" localSheetId="8">#REF!</definedName>
    <definedName name="mutual" localSheetId="6">#REF!</definedName>
    <definedName name="mutual" localSheetId="9">#REF!</definedName>
    <definedName name="mutual" localSheetId="10">#REF!</definedName>
    <definedName name="mutual" localSheetId="11">#REF!</definedName>
    <definedName name="mutual">#REF!</definedName>
    <definedName name="mydata" localSheetId="7">[26]F1ACS!#REF!</definedName>
    <definedName name="mydata" localSheetId="8">[26]F1ACS!#REF!</definedName>
    <definedName name="mydata" localSheetId="6">[26]F1ACS!#REF!</definedName>
    <definedName name="mydata" localSheetId="9">[26]F1ACS!#REF!</definedName>
    <definedName name="mydata" localSheetId="10">[26]F1ACS!#REF!</definedName>
    <definedName name="mydata" localSheetId="11">[26]F1ACS!#REF!</definedName>
    <definedName name="mydata">[26]F1ACS!#REF!</definedName>
    <definedName name="NCI">[9]BS!$H$45</definedName>
    <definedName name="NOB.Code">[3]NATUREOFBUSINESS!$C$19:$C$21</definedName>
    <definedName name="NOB.TradeNameOrDescription">[3]NATUREOFBUSINESS!$D$19:$D$21</definedName>
    <definedName name="NOB.TradeNameOrDescription2">[3]NATUREOFBUSINESS!$E$19:$E$21</definedName>
    <definedName name="NOB.TradeNameOrDescription3">[3]NATUREOFBUSINESS!$F$19:$F$21</definedName>
    <definedName name="OCA">[9]BS!$H$57</definedName>
    <definedName name="OCL">[9]BS!$H$29</definedName>
    <definedName name="Office_Maint">'[9]Note-P'!$F$118</definedName>
    <definedName name="OI.ChangeInAcctMethFlg">[3]OTHER_INFORMATION!$J$3</definedName>
    <definedName name="OI.DeemedProfUs33ABs">[3]OTHER_INFORMATION!$J$83</definedName>
    <definedName name="OI.MethodOfAcct">[3]OTHER_INFORMATION!$J$2</definedName>
    <definedName name="OI.PriorAmtIncCrDrPL">[3]OTHER_INFORMATION!$J$85</definedName>
    <definedName name="OI.ProfDeviatDueAcctMeth">[3]OTHER_INFORMATION!$J$4</definedName>
    <definedName name="OI.ProfTaxAmtUs41">[3]OTHER_INFORMATION!$J$84</definedName>
    <definedName name="OIAmtDisall43B.ContToEmpPFSFGF">[3]OTHER_INFORMATION!$H$71</definedName>
    <definedName name="OIAmtDisall43B.EmpBonusComm">[3]OTHER_INFORMATION!$H$72</definedName>
    <definedName name="OIAmtDisall43B.IntPayaleToFI">[3]OTHER_INFORMATION!$H$73</definedName>
    <definedName name="OIAmtDisall43B.IntPayaleToFISchBank">[3]OTHER_INFORMATION!$H$74</definedName>
    <definedName name="OIAmtDisall43B.LeaveEncashPayable">[3]OTHER_INFORMATION!$H$75</definedName>
    <definedName name="OIAmtDisall43B.TaxDutyCesAmt">[3]OTHER_INFORMATION!$H$70</definedName>
    <definedName name="OIAmtDisall43B.TotAmtUs43b">[3]OTHER_INFORMATION!$J$76</definedName>
    <definedName name="OIAmtDisallIs40A.AmtGT20kCash">[3]OTHER_INFORMATION!$H$56</definedName>
    <definedName name="OIAmtDisallIs40A.AmtPaidUs40A2b">[3]OTHER_INFORMATION!$H$55</definedName>
    <definedName name="OIAmtDisallIs40A.AnyOthDisallowance">[3]OTHER_INFORMATION!$H$59</definedName>
    <definedName name="OIAmtDisallIs40A.ContToSetupTrust">[3]OTHER_INFORMATION!$H$58</definedName>
    <definedName name="OIAmtDisallIs40A.ProvPmtGrat">[3]OTHER_INFORMATION!$H$57</definedName>
    <definedName name="OIAmtDisallIs40A.TotAmtDisallUs40A">[3]OTHER_INFORMATION!$J$60</definedName>
    <definedName name="OIAmtDisallUs36.AnyOthDisallowance">[3]OTHER_INFORMATION!$H$32</definedName>
    <definedName name="OIAmtDisallUs36.AppGratFundAmt">[3]OTHER_INFORMATION!$H$25</definedName>
    <definedName name="OIAmtDisallUs36.AppSuperAnnFundAmt">[3]OTHER_INFORMATION!$H$24</definedName>
    <definedName name="OIAmtDisallUs36.BadDebtDoubtAmt">[3]OTHER_INFORMATION!$H$27</definedName>
    <definedName name="OIAmtDisallUs36.BadDebtDoubtProvn">[3]OTHER_INFORMATION!$H$28</definedName>
    <definedName name="OIAmtDisallUs36.EmpBonusCommSum">[3]OTHER_INFORMATION!$H$20</definedName>
    <definedName name="OIAmtDisallUs36.EmpContributionCredits">[3]OTHER_INFORMATION!$H$31</definedName>
    <definedName name="OIAmtDisallUs36.EmpHealthInsurPrem">[3]OTHER_INFORMATION!$H$19</definedName>
    <definedName name="OIAmtDisallUs36.FamPlanPromoExp">[3]OTHER_INFORMATION!$H$30</definedName>
    <definedName name="OIAmtDisallUs36.IntOnBorrCap">[3]OTHER_INFORMATION!$H$21</definedName>
    <definedName name="OIAmtDisallUs36.OthFundAmt">[3]OTHER_INFORMATION!$H$26</definedName>
    <definedName name="OIAmtDisallUs36.RecogPFContribAmt">[3]OTHER_INFORMATION!$H$23</definedName>
    <definedName name="OIAmtDisallUs36.SpecResrvTranfr">[3]OTHER_INFORMATION!$H$29</definedName>
    <definedName name="OIAmtDisallUs36.StkInsurPrem">[3]OTHER_INFORMATION!$H$18</definedName>
    <definedName name="OIAmtDisallUs36.TotAmtDisallUs36">[3]OTHER_INFORMATION!$J$33</definedName>
    <definedName name="OIAmtDisallUs36.ZeroCoupBondDisc">[3]OTHER_INFORMATION!$H$22</definedName>
    <definedName name="OIAmtDisallUs37.AmtNotPartTotInc">[3]OTHER_INFORMATION!$H$41</definedName>
    <definedName name="OIAmtDisallUs37.ContigentLiability">[3]OTHER_INFORMATION!$H$40</definedName>
    <definedName name="OIAmtDisallUs37.LawVoilatPenalExp">[3]OTHER_INFORMATION!$H$37</definedName>
    <definedName name="OIAmtDisallUs37.OffenceExp">[3]OTHER_INFORMATION!$H$39</definedName>
    <definedName name="OIAmtDisallUs37.OthAmtNotAllowUs37">[3]OTHER_INFORMATION!$H$42</definedName>
    <definedName name="OIAmtDisallUs37.OthPenalFineExp">[3]OTHER_INFORMATION!$H$38</definedName>
    <definedName name="OIAmtDisallUs37.PersonalExp">[3]OTHER_INFORMATION!$H$35</definedName>
    <definedName name="OIAmtDisallUs37.PoliticPartyExp">[3]OTHER_INFORMATION!$H$36</definedName>
    <definedName name="OIAmtDisallUs37.TotAmtDisallUs37">[3]OTHER_INFORMATION!$J$43</definedName>
    <definedName name="OIAmtDisallUs40.AnyAmtOfSec40AllowPrevYr">[3]OTHER_INFORMATION!$J$53</definedName>
    <definedName name="OIAmtDisallUs40.AnyOthDisallowance">[3]OTHER_INFORMATION!$H$51</definedName>
    <definedName name="OIAmtDisallUs40.FBTAmt">[3]OTHER_INFORMATION!$H$47</definedName>
    <definedName name="OIAmtDisallUs40.IntSalBonPartner">[3]OTHER_INFORMATION!$H$50</definedName>
    <definedName name="OIAmtDisallUs40.NonCompChapXVIIBAmt">[3]OTHER_INFORMATION!$H$45</definedName>
    <definedName name="OIAmtDisallUs40.STTAmt">[3]OTHER_INFORMATION!$H$46</definedName>
    <definedName name="OIAmtDisallUs40.TaxAmtOnProfits">[3]OTHER_INFORMATION!$H$48</definedName>
    <definedName name="OIAmtDisallUs40.TotAmtDisallUs40">[3]OTHER_INFORMATION!$J$52</definedName>
    <definedName name="OIAmtDisallUs40.WTAmt">[3]OTHER_INFORMATION!$H$49</definedName>
    <definedName name="OIAmtDisallUs43BPyNowAll.ContToEmpPFSFGF">[3]OTHER_INFORMATION!$H$63</definedName>
    <definedName name="OIAmtDisallUs43BPyNowAll.EmpBonusComm">[3]OTHER_INFORMATION!$H$64</definedName>
    <definedName name="OIAmtDisallUs43BPyNowAll.IntPayaleToFI">[3]OTHER_INFORMATION!$H$65</definedName>
    <definedName name="OIAmtDisallUs43BPyNowAll.IntPayaleToFISchBank">[3]OTHER_INFORMATION!$H$66</definedName>
    <definedName name="OIAmtDisallUs43BPyNowAll.LeaveEncashPayable">[3]OTHER_INFORMATION!$H$67</definedName>
    <definedName name="OIAmtDisallUs43BPyNowAll.TaxDutyCesAmt">[3]OTHER_INFORMATION!$H$62</definedName>
    <definedName name="OIAmtDisallUs43BPyNowAll.TotAmtUs43b">[3]OTHER_INFORMATION!$J$68</definedName>
    <definedName name="OIAmtExciseCustomsVATOutstanding.OthDutyTaxCess">[3]OTHER_INFORMATION!$H$81</definedName>
    <definedName name="OIAmtExciseCustomsVATOutstanding.ServiceTax">[3]OTHER_INFORMATION!$H$79</definedName>
    <definedName name="OIAmtExciseCustomsVATOutstanding.TotExciseCustomsVAT">[3]OTHER_INFORMATION!$J$82</definedName>
    <definedName name="OIAmtExciseCustomsVATOutstanding.UnionExciseDuty">[3]OTHER_INFORMATION!$H$78</definedName>
    <definedName name="OIAmtExciseCustomsVATOutstanding.VATorSaleTax">[3]OTHER_INFORMATION!$H$80</definedName>
    <definedName name="OIMethodofValClgStk.ChngStockValMetFlg">[3]OTHER_INFORMATION!$J$8</definedName>
    <definedName name="OIMethodofValClgStk.EffectOnPL">[3]OTHER_INFORMATION!$J$9</definedName>
    <definedName name="OIMethodofValClgStk.ValFinishedGoods">[3]OTHER_INFORMATION!$J$7</definedName>
    <definedName name="OIMethodofValClgStk.ValRawMaterial">[3]OTHER_INFORMATION!$J$6</definedName>
    <definedName name="OINoCredToPLAmt.CapReceipt">[3]OTHER_INFORMATION!$H$15</definedName>
    <definedName name="OINoCredToPLAmt.OthItemInc">[3]OTHER_INFORMATION!$H$14</definedName>
    <definedName name="OINoCredToPLAmt.PrevYrEscalClaim">[3]OTHER_INFORMATION!$H$13</definedName>
    <definedName name="OINoCredToPLAmt.ProformaCreditsDue">[3]OTHER_INFORMATION!$H$12</definedName>
    <definedName name="OINoCredToPLAmt.Section28Items">[3]OTHER_INFORMATION!$H$11</definedName>
    <definedName name="OINoCredToPLAmt.TotNoCredToPLAmt">[3]OTHER_INFORMATION!$J$16</definedName>
    <definedName name="Old_company">[23]Index!$D$4</definedName>
    <definedName name="OLTL">[9]BS!$H$22</definedName>
    <definedName name="ONCA">[9]BS!$H$48</definedName>
    <definedName name="os.BalanceNoRaceHorse">[3]CG_OS!$J$75</definedName>
    <definedName name="os.BalanceOwnRaceHorse">[3]CG_OS!$J$81</definedName>
    <definedName name="os.DeductSec57">[3]CG_OS!$H$80</definedName>
    <definedName name="os.Depreciation">[3]CG_OS!$H$73</definedName>
    <definedName name="os.DividendGross">[3]CG_OS!$H$66</definedName>
    <definedName name="os.Expenses">[3]CG_OS!$H$72</definedName>
    <definedName name="os.IncChargeable">[3]CG_OS!$J$82</definedName>
    <definedName name="os.InterestGross">[3]CG_OS!$H$67</definedName>
    <definedName name="os.OthersGross">[3]CG_OS!$H$69</definedName>
    <definedName name="os.Receipts">[3]CG_OS!$H$79</definedName>
    <definedName name="os.RentFromMachPlantBldgs">[3]CG_OS!$H$68</definedName>
    <definedName name="os.TotalOSGross">[3]CG_OS!$J$70</definedName>
    <definedName name="os.TotDeductions">[3]CG_OS!$H$74</definedName>
    <definedName name="os.TotOthSrcNoRaceHorse">[3]CG_OS!$J$77</definedName>
    <definedName name="os.WinLottRacePuzz">[3]CG_OS!$J$76</definedName>
    <definedName name="othSecinclnlhrs.BusLossSetoff3">'[3]CYLA BFLA'!$F$10</definedName>
    <definedName name="othSecinclnlhrs.HPlossCurYrSetoff3">'[3]CYLA BFLA'!$E$10</definedName>
    <definedName name="othSecinclnlhrs.IncOfCurYrAfterSetOff3">'[3]CYLA BFLA'!$H$10</definedName>
    <definedName name="othSecinclnlhrs.IncOfCurYrUnderThatHead3">'[3]CYLA BFLA'!$D$10</definedName>
    <definedName name="othSecinclnlhrs.OthSrcLossNoRaceHorseSetoff3">'[3]CYLA BFLA'!$G$10</definedName>
    <definedName name="othsrcincl.BFAllUs35Cl4Setoff5">'[3]CYLA BFLA'!$G$21</definedName>
    <definedName name="othsrcincl.BFlossPrevYrUndSameHeadSetoff5">'[3]CYLA BFLA'!$E$21</definedName>
    <definedName name="othsrcincl.BFUnabsorbedDeprSetoff5">'[3]CYLA BFLA'!$F$21</definedName>
    <definedName name="othsrcincl.IncOfCurYrAfterSetOffBFLosses5">'[3]CYLA BFLA'!$H$21</definedName>
    <definedName name="othsrcincl.IncOfCurYrUndHeadFromCYLA5">'[3]CYLA BFLA'!$D$21</definedName>
    <definedName name="PAGBU2">[3]Pre_XML!$B$2</definedName>
    <definedName name="PAGBU2.BusOrgType">[3]GENERAL2!$C$10:$C$15</definedName>
    <definedName name="PAGBU2.CompName">[3]GENERAL2!$D$10:$D$15</definedName>
    <definedName name="PAGH2.AddrDetail">[3]GENERAL2!$D$6</definedName>
    <definedName name="PAGH2.CityOrTownOrDistrict">[3]GENERAL2!$E$6</definedName>
    <definedName name="PAGH2.CompName">[3]GENERAL2!$C$6</definedName>
    <definedName name="PAGH2.CompPAN">[3]GENERAL2!$H$6</definedName>
    <definedName name="PAGH2.NatOfCompFlg">[3]GENERAL2!$E$1</definedName>
    <definedName name="PAGH2.PinCode">[3]GENERAL2!$G$6</definedName>
    <definedName name="PAGH2.StateCode">[3]GENERAL2!$F$6</definedName>
    <definedName name="PAGKE2">[3]Pre_XML!$B$3</definedName>
    <definedName name="PAGKE2.AddrDetail">[3]GENERAL2!$E$21:$E$29</definedName>
    <definedName name="PAGKE2.CityOrTownOrDistrict">[3]GENERAL2!$F$21:$F$29</definedName>
    <definedName name="PAGKE2.Designation">[3]GENERAL2!$D$21:$D$29</definedName>
    <definedName name="PAGKE2.KeyPerPAN">[3]GENERAL2!$I$21:$I$29</definedName>
    <definedName name="PAGKE2.PersonName">[3]GENERAL2!$C$21:$C$29</definedName>
    <definedName name="PAGKE2.PinCode">[3]GENERAL2!$H$21:$H$29</definedName>
    <definedName name="PAGKE2.StateCode">[3]GENERAL2!$G$21:$G$29</definedName>
    <definedName name="PAGNA2.BankCompUs5Flg">[3]GENERAL2!$G$45</definedName>
    <definedName name="PAGNA2.CompLes40PercSharGovRBIFlg">[3]GENERAL2!$G$44</definedName>
    <definedName name="PAGNA2.CompWithIRDARegisterFlg">[3]GENERAL2!$G$47</definedName>
    <definedName name="PAGNA2.NonBankFIICompFlg">[3]GENERAL2!$G$48</definedName>
    <definedName name="PAGNA2.PubSectCompUs2_36AFlg">[3]GENERAL2!$G$42</definedName>
    <definedName name="PAGNA2.RBICompFlg">[3]GENERAL2!$G$43</definedName>
    <definedName name="PAGNA2.SchedBankOfRBIActFlg">[3]GENERAL2!$G$46</definedName>
    <definedName name="PAGS2">[3]Pre_XML!$B$5</definedName>
    <definedName name="PAGS2.AddrDetail">'[3]SUBSIDIARY DETAILS'!$D$2:$D$11</definedName>
    <definedName name="PAGS2.CityOrTownOrDistrict">'[3]SUBSIDIARY DETAILS'!$E$2:$E$11</definedName>
    <definedName name="PAGS2.CompName">'[3]SUBSIDIARY DETAILS'!$C$2:$C$11</definedName>
    <definedName name="PAGS2.CompPAN">'[3]SUBSIDIARY DETAILS'!$B$2:$B$11</definedName>
    <definedName name="PAGS2.PinCode">'[3]SUBSIDIARY DETAILS'!$G$2:$G$11</definedName>
    <definedName name="PAGS2.StateCode">'[3]SUBSIDIARY DETAILS'!$F$2:$F$11</definedName>
    <definedName name="PAGSH2">[3]Pre_XML!$B$4</definedName>
    <definedName name="PAGSH2.AddrDetail">[3]GENERAL2!$D$35:$D$39</definedName>
    <definedName name="PAGSH2.CityOrTownOrDistrict">[3]GENERAL2!$E$35:$E$39</definedName>
    <definedName name="PAGSH2.PercentageOfShare">[3]GENERAL2!$H$35:$H$39</definedName>
    <definedName name="PAGSH2.PinCode">[3]GENERAL2!$G$35:$G$39</definedName>
    <definedName name="PAGSH2.ShareHolderInfoName">[3]GENERAL2!$C$35:$C$39</definedName>
    <definedName name="PAGSH2.ShareHolderPAN">[3]GENERAL2!$I$35:$I$39</definedName>
    <definedName name="PAGSH2.StateCode">[3]GENERAL2!$F$35:$F$39</definedName>
    <definedName name="PART1_110">'[7]PART-1'!$B$11:$B$21</definedName>
    <definedName name="PART1_111">'[7]PART-1'!$B$6,'[7]PART-1'!$B$8,'[7]PART-1'!$B$9</definedName>
    <definedName name="PART1_120">'[7]PART-1'!$B$24,'[7]PART-1'!$B$29,'[7]PART-1'!$B$30,'[7]PART-1'!$B$35,'[7]PART-1'!$B$36,'[7]PART-1'!$B$37,'[7]PART-1'!$B$38,'[7]PART-1'!$B$39,'[7]PART-1'!$B$40,'[7]PART-1'!$B$41</definedName>
    <definedName name="PART1_121">'[7]PART-1'!$B$25:$B$28</definedName>
    <definedName name="PART1_123">'[7]PART-1'!$B$31:$B$34</definedName>
    <definedName name="PART1_130">'[7]PART-1'!$B$44,'[7]PART-1'!$B$45,'[7]PART-1'!$B$46,'[7]PART-1'!$B$51,'[7]PART-1'!$B$52,'[7]PART-1'!$B$57,'[7]PART-1'!$B$62,'[7]PART-1'!$B$63,'[7]PART-1'!$B$64,'[7]PART-1'!$B$65,'[7]PART-1'!$B$66,'[7]PART-1'!$B$67,'[7]PART-1'!$B$68,'[7]PART-1'!$B$69,'[7]PART-1'!$B$70</definedName>
    <definedName name="PART1_133">'[7]PART-1'!$B$47:$B$50</definedName>
    <definedName name="PART1_135">'[7]PART-1'!$B$53:$B$56</definedName>
    <definedName name="PART1_136">'[7]PART-1'!$B$58:$B$61</definedName>
    <definedName name="PART1_140">'[7]PART-1'!$B$73:$B$77</definedName>
    <definedName name="PART1_150">'[7]PART-1'!$B$5,'[7]PART-1'!$B$22,'[7]PART-1'!$B$42,'[7]PART-1'!$B$78,'[7]PART-1'!$B$71,'[7]PART-1'!$B$88</definedName>
    <definedName name="PART1_154">'[7]PART-1'!$B$83</definedName>
    <definedName name="PART1_156B">'[7]PART-1'!$B$87</definedName>
    <definedName name="PART1_157">'[7]PART-1'!$B$80:$B$87</definedName>
    <definedName name="PART1_CANBENEGATIVE">'[7]PART-1'!$B$18:$B$19,'[7]PART-1'!$B$21,'[7]PART-1'!$B$86</definedName>
    <definedName name="PART1_GREATERTHANEQUALTO0">'[7]PART-1'!$B$6:$B$9,'[7]PART-1'!$B$11:$B$17,'[7]PART-1'!$B$20,'[7]PART-1'!$B$25:$B$29,'[7]PART-1'!$B$31:$B$41,'[7]PART-1'!$B$44:$B$45,'[7]PART-1'!$B$47:$B$51,'[7]PART-1'!$B$53:$B$56,'[7]PART-1'!$B$58:$B$70,'[7]PART-1'!$B$73:$B$77,'[7]PART-1'!$B$80:$B$85,'[7]PART-1'!$B$87</definedName>
    <definedName name="PART1_READONLYNEGATIVE">'[7]PART-1'!$B$88:$B$89,'[7]PART-1'!$B$22</definedName>
    <definedName name="PART1_READONLYPOSITIVE">'[7]PART-1'!$B$5,'[7]PART-1'!$B$24,'[7]PART-1'!$B$30,'[7]PART-1'!$B$42,'[7]PART-1'!$B$46,'[7]PART-1'!$B$52,'[7]PART-1'!$B$57,'[7]PART-1'!$B$71,'[7]PART-1'!$B$78</definedName>
    <definedName name="PART10_ANNEX1" localSheetId="7">#REF!</definedName>
    <definedName name="PART10_ANNEX1" localSheetId="8">#REF!</definedName>
    <definedName name="PART10_ANNEX1" localSheetId="6">#REF!</definedName>
    <definedName name="PART10_ANNEX1" localSheetId="9">#REF!</definedName>
    <definedName name="PART10_ANNEX1" localSheetId="10">#REF!</definedName>
    <definedName name="PART10_ANNEX1" localSheetId="11">#REF!</definedName>
    <definedName name="PART10_ANNEX1">#REF!</definedName>
    <definedName name="PART10_ANNEX2" localSheetId="7">#REF!</definedName>
    <definedName name="PART10_ANNEX2" localSheetId="8">#REF!</definedName>
    <definedName name="PART10_ANNEX2" localSheetId="6">#REF!</definedName>
    <definedName name="PART10_ANNEX2" localSheetId="9">#REF!</definedName>
    <definedName name="PART10_ANNEX2" localSheetId="10">#REF!</definedName>
    <definedName name="PART10_ANNEX2" localSheetId="11">#REF!</definedName>
    <definedName name="PART10_ANNEX2">#REF!</definedName>
    <definedName name="PART10_B210" localSheetId="7">#REF!</definedName>
    <definedName name="PART10_B210" localSheetId="8">#REF!</definedName>
    <definedName name="PART10_B210" localSheetId="6">#REF!</definedName>
    <definedName name="PART10_B210" localSheetId="9">#REF!</definedName>
    <definedName name="PART10_B210" localSheetId="10">#REF!</definedName>
    <definedName name="PART10_B210" localSheetId="11">#REF!</definedName>
    <definedName name="PART10_B210">#REF!</definedName>
    <definedName name="PART10_GREATERTHANEQUALTO0" localSheetId="7">#REF!,#REF!,#REF!</definedName>
    <definedName name="PART10_GREATERTHANEQUALTO0" localSheetId="8">#REF!,#REF!,#REF!</definedName>
    <definedName name="PART10_GREATERTHANEQUALTO0" localSheetId="6">#REF!,#REF!,#REF!</definedName>
    <definedName name="PART10_GREATERTHANEQUALTO0" localSheetId="9">#REF!,#REF!,#REF!</definedName>
    <definedName name="PART10_GREATERTHANEQUALTO0" localSheetId="10">#REF!,#REF!,#REF!</definedName>
    <definedName name="PART10_GREATERTHANEQUALTO0" localSheetId="11">#REF!,#REF!,#REF!</definedName>
    <definedName name="PART10_GREATERTHANEQUALTO0">#REF!,#REF!,#REF!</definedName>
    <definedName name="PART10_NOTBLANK" localSheetId="7">#REF!,#REF!,#REF!</definedName>
    <definedName name="PART10_NOTBLANK" localSheetId="8">#REF!,#REF!,#REF!</definedName>
    <definedName name="PART10_NOTBLANK" localSheetId="6">#REF!,#REF!,#REF!</definedName>
    <definedName name="PART10_NOTBLANK" localSheetId="9">#REF!,#REF!,#REF!</definedName>
    <definedName name="PART10_NOTBLANK" localSheetId="10">#REF!,#REF!,#REF!</definedName>
    <definedName name="PART10_NOTBLANK" localSheetId="11">#REF!,#REF!,#REF!</definedName>
    <definedName name="PART10_NOTBLANK">#REF!,#REF!,#REF!</definedName>
    <definedName name="PART10_READONLY" localSheetId="7">#REF!,#REF!,#REF!</definedName>
    <definedName name="PART10_READONLY" localSheetId="8">#REF!,#REF!,#REF!</definedName>
    <definedName name="PART10_READONLY" localSheetId="6">#REF!,#REF!,#REF!</definedName>
    <definedName name="PART10_READONLY" localSheetId="9">#REF!,#REF!,#REF!</definedName>
    <definedName name="PART10_READONLY" localSheetId="10">#REF!,#REF!,#REF!</definedName>
    <definedName name="PART10_READONLY" localSheetId="11">#REF!,#REF!,#REF!</definedName>
    <definedName name="PART10_READONLY">#REF!,#REF!,#REF!</definedName>
    <definedName name="PART11_READONLY">'[7]PART-11'!$C$5:$C$14,'[7]PART-11'!$E$5:$E$14,'[7]PART-11'!$G$5:$G$14,'[7]PART-11'!$I$5:$I$14,'[7]PART-11'!$K$5:$K$14,'[7]PART-11'!$M$5:$M$14,'[7]PART-11'!$O$5:$O$14,'[7]PART-11'!$A$16:$M$16,'[7]PART-11'!$O$16:$Z$16</definedName>
    <definedName name="PART2_200">'[7]PART-2'!$B$12,'[7]PART-2'!$B$14,'[7]PART-2'!$B$15,'[7]PART-2'!$B$33,'[7]PART-2'!$B$48,'[7]PART-2'!$B$50,'[7]PART-2'!$B$51,'[7]PART-2'!$B$52,'[7]PART-2'!$B$53</definedName>
    <definedName name="PART2_210">'[7]PART-2'!$B$8:$B$11</definedName>
    <definedName name="PART2_210A">'[7]PART-2'!$B$4:$B$5</definedName>
    <definedName name="PART2_211">'[7]PART-2'!$B$14</definedName>
    <definedName name="PART2_221">'[7]PART-2'!$B$23,'[7]PART-2'!$B$32</definedName>
    <definedName name="PART2_230">'[7]PART-2'!$B$17:$B$22</definedName>
    <definedName name="PART2_240">'[7]PART-2'!$B$25:$B$31</definedName>
    <definedName name="PART2_251">'[7]PART-2'!$B$34,'[7]PART-2'!$B$35</definedName>
    <definedName name="PART2_252">'[7]PART-2'!$B$37:$B$47</definedName>
    <definedName name="PART2_GREATERTHANOREQUALTO0">'[7]PART-2'!$B$50:$B$52,'[7]PART-2'!$B$55,'[7]PART-2'!$B$37:$B$47,'[7]PART-2'!$B$34:$B$35,'[7]PART-2'!$B$25:$B$31,'[7]PART-2'!$B$17:$B$22,'[7]PART-2'!$B$14,'[7]PART-2'!$B$8:$B$11,'[7]PART-2'!$B$4:$B$5</definedName>
    <definedName name="PART2_READONLYPOSITIVE">'[7]PART-2'!$B$6,'[7]PART-2'!$B$12,'[7]PART-2'!$B$15,'[7]PART-2'!$B$23,'[7]PART-2'!$B$32,'[7]PART-2'!$B$33,'[7]PART-2'!$B$48</definedName>
    <definedName name="PART3_GREATEREQUALTO00">'[7]PART-3'!$E$51,'[7]PART-3'!$E$50,'[7]PART-3'!$E$44,'[7]PART-3'!$E$17</definedName>
    <definedName name="PART4_B450">'[7]PART-4'!$B$8:$B$10</definedName>
    <definedName name="PART4_B460">'[7]PART-4'!$B$6,'[7]PART-4'!$B$11</definedName>
    <definedName name="PART4_GREATERTHANEQUALTO0">'[7]PART-4'!$B$6,'[7]PART-4'!$B$8:$B$10,'[7]PART-4'!$E$6,'[7]PART-4'!$E$8:$E$10,'[7]PART-4'!$H$8:$H$10</definedName>
    <definedName name="PART4_H450">'[7]PART-4'!$H$8:$H$10</definedName>
    <definedName name="PART4_R450">'[7]PART-4'!$E$8:$E$10</definedName>
    <definedName name="PART4A_READONLY">'[7]PART-4'!$H$6,'[7]PART-4'!$H$11,'[7]PART-4'!$E$11,'[7]PART-4'!$B$11,'[7]PART-4'!$B$12</definedName>
    <definedName name="PART5_BILLS">'[7]PART-5'!$I$15:$I$16</definedName>
    <definedName name="PART5_COMMERCIALPAPERS">'[7]PART-5'!$L$6:$L$7</definedName>
    <definedName name="PART5_CONTRACTS">'[7]PART-5'!$L$15:$L$16</definedName>
    <definedName name="PART5_CREDIT">'[7]PART-5'!$C$15:$C$16</definedName>
    <definedName name="PART5_DEBENTURES">'[7]PART-5'!$I$6:$I$7</definedName>
    <definedName name="PART5_EXCHANGE">'[7]PART-5'!$O$15:$O$16</definedName>
    <definedName name="PART5_FINANCIAL">'[7]PART-5'!$F$15:$F$16</definedName>
    <definedName name="PART5_GREATERTHANOREQUALTO0">'[7]PART-5'!$C$6:$C$6,'[7]PART-5'!$F$6:$F$6,'[7]PART-5'!$I$6:$I$6,'[7]PART-5'!$L$6:$L$6,'[7]PART-5'!$O$6:$O$6,'[7]PART-5'!$C$15:$C$15,'[7]PART-5'!$F$15:$F$15,'[7]PART-5'!$I$15:$I$15,'[7]PART-5'!$L$15:$L$15,'[7]PART-5'!$O$15:$O$15,'[7]PART-5'!$R$15:$R$15,'[7]PART-5'!$U$15:$U$15</definedName>
    <definedName name="PART5_INTEREST">'[7]PART-5'!$R$15:$R$16</definedName>
    <definedName name="PART5_LIABILITIES">'[7]PART-5'!$U$15:$U$16</definedName>
    <definedName name="PART5_NOTBLANK">'[7]PART-5'!$F$6,'[7]PART-5'!$I$6,'[7]PART-5'!$L$6,'[7]PART-5'!$O$6,'[7]PART-5'!$F$15,'[7]PART-5'!$I$15,'[7]PART-5'!$L$15,'[7]PART-5'!$O$15,'[7]PART-5'!$R$15</definedName>
    <definedName name="PART5_OTHERS">'[7]PART-5'!$O$6:$O$7</definedName>
    <definedName name="PART5_READONLY">'[7]PART-5'!$R$6:$R$8,'[7]PART-5'!$O$8,'[7]PART-5'!$L$8,'[7]PART-5'!$I$8,'[7]PART-5'!$F$8,'[7]PART-5'!$C$8,'[7]PART-5'!$C$17,'[7]PART-5'!$F$17,'[7]PART-5'!$I$17,'[7]PART-5'!$L$17,'[7]PART-5'!$O$17,'[7]PART-5'!$R$17,'[7]PART-5'!$U$17</definedName>
    <definedName name="PART5_TERMLOAN">'[7]PART-5'!$C$6:$C$7</definedName>
    <definedName name="PART5_WORKINGCAPITAL">'[7]PART-5'!$F$6:$F$7</definedName>
    <definedName name="PART6_DEBENTURES">'[7]PART-6'!$L$5:$L$6</definedName>
    <definedName name="PART6_EQUITY">'[7]PART-6'!$F$5:$F$6</definedName>
    <definedName name="PART6_GURANTEES">'[7]PART-6'!$F$13:$F$14</definedName>
    <definedName name="PART6_ICDS">'[7]PART-6'!$O$5:$O$6</definedName>
    <definedName name="PART6_LCS">'[7]PART-6'!$C$13:$C$14</definedName>
    <definedName name="PART6_LOANS">'[7]PART-6'!$C$5:$C$6</definedName>
    <definedName name="PART6_OTHERS">'[7]PART-6'!$I$13:$I$14</definedName>
    <definedName name="PART6_PREFERENCE">'[7]PART-6'!$I$5:$I$6</definedName>
    <definedName name="PART6_RAEDONLY">'[7]PART-6'!$R$5:$R$7,'[7]PART-6'!$O$7,'[7]PART-6'!$L$7,'[7]PART-6'!$I$7,'[7]PART-6'!$F$7,'[7]PART-6'!$C$7,'[7]PART-6'!$C$15,'[7]PART-6'!$F$15,'[7]PART-6'!$I$15,'[7]PART-6'!$L$13:$L$15</definedName>
    <definedName name="PART7_GREATERTHANEQUALTO0">'[7]PART-7'!$B$6:$B$9,'[7]PART-7'!$B$11,'[7]PART-7'!$B$13,'[7]PART-7'!$B$17,'[7]PART-7'!$B$18,'[7]PART-7'!$B$22,'[7]PART-7'!$B$23,'[7]PART-7'!$B$24,'[7]PART-7'!$B$25,'[7]PART-7'!$B$33,'[7]PART-7'!$B$34,'[7]PART-7'!$B$36,'[7]PART-7'!$B$37,'[7]PART-7'!$B$38,'[7]PART-7'!$B$40,'[7]PART-7'!$B$41,'[7]PART-7'!$B$44,'[7]PART-7'!$B$45,'[7]PART-7'!$B$46,'[7]PART-7'!$B$47,'[7]PART-7'!$B$48,'[7]PART-7'!$B$50,'[7]PART-7'!$B$51,'[7]PART-7'!$B$55,'[7]PART-7'!$B$56,'[7]PART-7'!$B$57,'[7]PART-7'!$B$58</definedName>
    <definedName name="PART7_READONLY">'[7]PART-7'!$B$12,'[7]PART-7'!$B$19,'[7]PART-7'!$B$26,'[7]PART-7'!$B$27,'[7]PART-7'!$B$30,'[7]PART-7'!$B$31,'[7]PART-7'!$B$32,'[7]PART-7'!$B$35,'[7]PART-7'!$B$39,'[7]PART-7'!$B$42,'[7]PART-7'!$B$43,'[7]PART-7'!$B$49,'[7]PART-7'!$B$52,'[7]PART-7'!$B$53,'[7]PART-7'!$B$54</definedName>
    <definedName name="PART8_901">'[7]PART-8'!$B$4:$B$5</definedName>
    <definedName name="PART8_905">'[7]PART-8'!$B$3,'[7]PART-8'!$B$6,'[7]PART-8'!$B$7,'[7]PART-8'!$B$8</definedName>
    <definedName name="PART8_READONLY">'[7]PART-8'!$B$3,'[7]PART-8'!$B$9</definedName>
    <definedName name="PART9_GREATERTHANEQUALTO0">'[7]PART-9'!$B$7:$B$9,'[7]PART-9'!$B$11:$B$12,'[7]PART-9'!$B$14,'[7]PART-9'!$B$16:$B$17,'[7]PART-9'!$B$23:$B$24,'[7]PART-9'!$B$26:$B$27</definedName>
    <definedName name="partc.AdvanceFBT">[3]PART_C!$H$19</definedName>
    <definedName name="partc.AggreFBTLiability">[3]PART_C!$J$17</definedName>
    <definedName name="partc.BalFBTLiability">[3]PART_C!$J$22</definedName>
    <definedName name="partc.DefaultFileUs115WK">[3]PART_C!$H$15</definedName>
    <definedName name="partc.DefaultPayUs115WJ3">[3]PART_C!$H$14</definedName>
    <definedName name="partc.EducationCess">[3]PART_C!$J$11</definedName>
    <definedName name="partc.FBTPayable">[3]PART_C!$J$9</definedName>
    <definedName name="partc.FirstQuarter">[3]PART_C!$H$4</definedName>
    <definedName name="partc.FourthQuarter">[3]PART_C!$H$7</definedName>
    <definedName name="partc.RefundFBT">[3]PART_C!$J$23</definedName>
    <definedName name="partc.SecondQuarter">[3]PART_C!$H$5</definedName>
    <definedName name="partc.SelfAssessmentFBT">[3]PART_C!$H$20</definedName>
    <definedName name="partc.SurchargeOnFBT">[3]PART_C!$J$10</definedName>
    <definedName name="partc.ThirdQuarter">[3]PART_C!$H$6</definedName>
    <definedName name="partc.TotalTaxesPaid">[3]PART_C!$J$21</definedName>
    <definedName name="partc.TotFBTInterestPayable">[3]PART_C!$J$16</definedName>
    <definedName name="partc.TotFBTLiability">[3]PART_C!$J$12</definedName>
    <definedName name="partc.TotValueOfFBT">[3]PART_C!$J$8</definedName>
    <definedName name="PARTE_OS1080" localSheetId="7">'[7]PART-7'!#REF!</definedName>
    <definedName name="PARTE_OS1080" localSheetId="8">'[7]PART-7'!#REF!</definedName>
    <definedName name="PARTE_OS1080" localSheetId="6">'[7]PART-7'!#REF!</definedName>
    <definedName name="PARTE_OS1080" localSheetId="9">'[7]PART-7'!#REF!</definedName>
    <definedName name="PARTE_OS1080" localSheetId="10">'[7]PART-7'!#REF!</definedName>
    <definedName name="PARTE_OS1080" localSheetId="11">'[7]PART-7'!#REF!</definedName>
    <definedName name="PARTE_OS1080">'[7]PART-7'!#REF!</definedName>
    <definedName name="Partner">[11]Index!$C$23</definedName>
    <definedName name="past">[14]Index!$C$30</definedName>
    <definedName name="Per10080G">[3]Pre_XML!$E$5</definedName>
    <definedName name="Per10080G.AddrDetail">'[3]80G'!$E$4:$E$7</definedName>
    <definedName name="Per10080G.CityOrTownOrDistrict">'[3]80G'!$F$4:$F$7</definedName>
    <definedName name="Per10080G.DonationAmt">'[3]80G'!$J$4:$J$7</definedName>
    <definedName name="Per10080G.DoneeName">'[3]80G'!$D$4:$D$7</definedName>
    <definedName name="Per10080G.PinCode">'[3]80G'!$H$4:$H$7</definedName>
    <definedName name="Per10080G.StateCode">'[3]80G'!$G$4:$G$7</definedName>
    <definedName name="Per10080G.TotDon100Percent">'[3]80G'!$J$9</definedName>
    <definedName name="Per5080G">[3]Pre_XML!$E$7</definedName>
    <definedName name="Per5080G.AddrDetail">'[3]80G'!$F$19</definedName>
    <definedName name="Per5080G.CityOrTownOrDistrict">'[3]80G'!$G$19</definedName>
    <definedName name="Per5080G.DonationAmt">'[3]80G'!$K$19</definedName>
    <definedName name="Per5080G.DoneePAN">'[3]80G'!$E$19</definedName>
    <definedName name="Per5080G.DoneeWithPanName">'[3]80G'!$D$19</definedName>
    <definedName name="Per5080G.PinCode">'[3]80G'!$I$19</definedName>
    <definedName name="Per5080G.StateCode">'[3]80G'!$H$19</definedName>
    <definedName name="Per5080G.TotalDonationsUs80G">'[3]80G'!$K$23</definedName>
    <definedName name="Per5080G.TotDon50PercentApprReqd">'[3]80G'!$K$21</definedName>
    <definedName name="PerNO5080G">[3]Pre_XML!$E$6</definedName>
    <definedName name="PerNO5080G.AddrDetail">'[3]80G'!$E$13</definedName>
    <definedName name="PerNO5080G.CityOrTownOrDistrict">'[3]80G'!$F$13</definedName>
    <definedName name="PerNO5080G.DonationAmt">'[3]80G'!$J$13</definedName>
    <definedName name="PerNO5080G.DoneeName">'[3]80G'!$D$13</definedName>
    <definedName name="PerNO5080G.PinCode">'[3]80G'!$H$13</definedName>
    <definedName name="PerNO5080G.StateCode">'[3]80G'!$G$13</definedName>
    <definedName name="PerNO5080G.TotDon50PercentNoApprReqd">'[3]80G'!$J$15</definedName>
    <definedName name="PFSPL" localSheetId="7">#REF!</definedName>
    <definedName name="PFSPL" localSheetId="8">#REF!</definedName>
    <definedName name="PFSPL" localSheetId="6">#REF!</definedName>
    <definedName name="PFSPL" localSheetId="9">#REF!</definedName>
    <definedName name="PFSPL" localSheetId="10">#REF!</definedName>
    <definedName name="PFSPL" localSheetId="11">#REF!</definedName>
    <definedName name="PFSPL">#REF!</definedName>
    <definedName name="PL.Advertisement">[3]PROFIT_LOSS!$J$64</definedName>
    <definedName name="PL.AmtAvlAppr">[3]PROFIT_LOSS!$J$97</definedName>
    <definedName name="PL.AuditFee">[3]PROFIT_LOSS!$J$83</definedName>
    <definedName name="PL.BadDebt">[3]PROFIT_LOSS!$J$85</definedName>
    <definedName name="PL.BalBFPrevYr">[3]PROFIT_LOSS!$J$96</definedName>
    <definedName name="PL.Bonus">[3]PROFIT_LOSS!$H$42</definedName>
    <definedName name="PL.BusinessReceipts">[3]PROFIT_LOSS!$J$2</definedName>
    <definedName name="PL.ClosingStock">[3]PROFIT_LOSS!$J$21</definedName>
    <definedName name="PL.ClubExp">[3]PROFIT_LOSS!$J$71</definedName>
    <definedName name="PL.Comissions">[3]PROFIT_LOSS!$H$11</definedName>
    <definedName name="PL.CommissionExpdr">[3]PROFIT_LOSS!$J$65</definedName>
    <definedName name="PL.Conference">[3]PROFIT_LOSS!$J$62</definedName>
    <definedName name="PL.ConsumptionOfStores">[3]PROFIT_LOSS!$J$35</definedName>
    <definedName name="PL.ContToGratFund">[3]PROFIT_LOSS!$H$48</definedName>
    <definedName name="PL.ContToOthFund">[3]PROFIT_LOSS!$H$49</definedName>
    <definedName name="PL.ContToPF">[3]PROFIT_LOSS!$H$47</definedName>
    <definedName name="PL.ContToSuperAnnFund">[3]PROFIT_LOSS!$H$46</definedName>
    <definedName name="PL.ConveyanceExp">[3]PROFIT_LOSS!$J$68</definedName>
    <definedName name="PL.DepreciationAmort">[3]PROFIT_LOSS!$J$90</definedName>
    <definedName name="PL.Dividends">[3]PROFIT_LOSS!$H$12</definedName>
    <definedName name="PL.Donation">[3]PROFIT_LOSS!$J$75</definedName>
    <definedName name="PL.Entertainment">[3]PROFIT_LOSS!$J$60</definedName>
    <definedName name="PL.Expenses">[3]PROFIT_LOSS!$J$108</definedName>
    <definedName name="PL.FBTPay">[3]PROFIT_LOSS!$H$51</definedName>
    <definedName name="PL.FestivalCelebExp">[3]PROFIT_LOSS!$J$72</definedName>
    <definedName name="PL.Freight">[3]PROFIT_LOSS!$J$34</definedName>
    <definedName name="PL.Gift">[3]PROFIT_LOSS!$J$74</definedName>
    <definedName name="PL.GrossProfit">[3]PROFIT_LOSS!$J$107</definedName>
    <definedName name="PL.GrossReceipt">[3]PROFIT_LOSS!$J$106</definedName>
    <definedName name="PL.GuestHouseExp">[3]PROFIT_LOSS!$J$70</definedName>
    <definedName name="PL.Hospitality">[3]PROFIT_LOSS!$J$61</definedName>
    <definedName name="PL.HotelBoardLodge">[3]PROFIT_LOSS!$J$66</definedName>
    <definedName name="PL.InterestExpdr">[3]PROFIT_LOSS!$J$89</definedName>
    <definedName name="PL.InterestInc">[3]PROFIT_LOSS!$H$13</definedName>
    <definedName name="PL.KeyManInsur">[3]PROFIT_LOSS!$H$56</definedName>
    <definedName name="PL.LeaveEncash">[3]PROFIT_LOSS!$H$44</definedName>
    <definedName name="PL.LeaveTravelBenft">[3]PROFIT_LOSS!$H$45</definedName>
    <definedName name="PL.LifeInsur">[3]PROFIT_LOSS!$H$55</definedName>
    <definedName name="PL.MedExpReimb">[3]PROFIT_LOSS!$H$43</definedName>
    <definedName name="PL.MedInsur">[3]PROFIT_LOSS!$H$54</definedName>
    <definedName name="PL.MiscOthIncome">[3]PROFIT_LOSS!$H$19</definedName>
    <definedName name="PL.NetProfit">[3]PROFIT_LOSS!$J$109</definedName>
    <definedName name="PL.OpeningStock">[3]PROFIT_LOSS!$J$23</definedName>
    <definedName name="PL.OthEmpBenftExpdr">[3]PROFIT_LOSS!$H$50</definedName>
    <definedName name="PL.OtherExpenses">[3]PROFIT_LOSS!$J$84</definedName>
    <definedName name="PL.OthInsur">[3]PROFIT_LOSS!$H$57</definedName>
    <definedName name="PL.OthProvisionsExpdr">[3]PROFIT_LOSS!$J$87</definedName>
    <definedName name="PL.PartnerAccBalTrf">[3]PROFIT_LOSS!$J$104</definedName>
    <definedName name="PL.PBIDTA">[3]PROFIT_LOSS!$J$88</definedName>
    <definedName name="PL.PBT">[3]PROFIT_LOSS!$J$91</definedName>
    <definedName name="PL.PowerFuel">[3]PROFIT_LOSS!$J$36</definedName>
    <definedName name="PL.ProfitAfterTax">[3]PROFIT_LOSS!$J$95</definedName>
    <definedName name="PL.ProfitOnAgriIncome">[3]PROFIT_LOSS!$H$18</definedName>
    <definedName name="PL.ProfitOnCurrFluct">[3]PROFIT_LOSS!$H$17</definedName>
    <definedName name="PL.ProfitOnInvChrSTT">[3]PROFIT_LOSS!$H$15</definedName>
    <definedName name="PL.ProfitOnOthInv">[3]PROFIT_LOSS!$H$16</definedName>
    <definedName name="PL.ProfitOnSaleFixedAsset">[3]PROFIT_LOSS!$H$14</definedName>
    <definedName name="PL.ProposedDividend">[3]PROFIT_LOSS!$H$100</definedName>
    <definedName name="PL.ProvDefTax">[3]PROFIT_LOSS!$J$94</definedName>
    <definedName name="PL.ProvFBT">[3]PROFIT_LOSS!$J$93</definedName>
    <definedName name="PL.ProvForBadDoubtDebt">[3]PROFIT_LOSS!$J$86</definedName>
    <definedName name="PL.ProvForCurrTax">[3]PROFIT_LOSS!$J$92</definedName>
    <definedName name="PL.Purchases">[3]PROFIT_LOSS!$J$24</definedName>
    <definedName name="PL.RentExpdr">[3]PROFIT_LOSS!$J$37</definedName>
    <definedName name="PL.RentInc">[3]PROFIT_LOSS!$H$10</definedName>
    <definedName name="PL.RepairMach">[3]PROFIT_LOSS!$J$39</definedName>
    <definedName name="PL.RepairsBldg">[3]PROFIT_LOSS!$J$38</definedName>
    <definedName name="PL.SalePromoExp">[3]PROFIT_LOSS!$J$63</definedName>
    <definedName name="PL.SalsWages">[3]PROFIT_LOSS!$H$41</definedName>
    <definedName name="PL.Scholarship">[3]PROFIT_LOSS!$J$73</definedName>
    <definedName name="PL.StaffWelfareExp">[3]PROFIT_LOSS!$J$59</definedName>
    <definedName name="PL.TaxOnDividend">[3]PROFIT_LOSS!$H$101</definedName>
    <definedName name="PL.TaxOnDividendForEarYr">[3]PROFIT_LOSS!$H$102</definedName>
    <definedName name="PL.TelephoneExp">[3]PROFIT_LOSS!$J$69</definedName>
    <definedName name="PL.TotAppropriations">[3]PROFIT_LOSS!$J$103</definedName>
    <definedName name="PL.TotCreditsToPL">[3]PROFIT_LOSS!$J$22</definedName>
    <definedName name="PL.TotEmployeeComp">[3]PROFIT_LOSS!$J$52</definedName>
    <definedName name="PL.TotInsurances">[3]PROFIT_LOSS!$J$58</definedName>
    <definedName name="PL.TotOthIncome">[3]PROFIT_LOSS!$J$20</definedName>
    <definedName name="PL.TravelExp">[3]PROFIT_LOSS!$J$67</definedName>
    <definedName name="PL.TrfToReserves">[3]PROFIT_LOSS!$H$99</definedName>
    <definedName name="place" localSheetId="14">[11]Index!$C$25</definedName>
    <definedName name="place" localSheetId="13">[11]Index!$C$25</definedName>
    <definedName name="Place">[16]Index!$C$21</definedName>
    <definedName name="PLCrEx.OthDutyTaxCess">[3]PROFIT_LOSS!$H$7</definedName>
    <definedName name="PLCrEx.ServiceTax">[3]PROFIT_LOSS!$H$5</definedName>
    <definedName name="PLCrEx.TotExciseCustomsVAT">[3]PROFIT_LOSS!$J$8</definedName>
    <definedName name="PLCrEx.UnionExciseDuty">[3]PROFIT_LOSS!$H$4</definedName>
    <definedName name="PLCrEx.VATorSaleTax">[3]PROFIT_LOSS!$H$6</definedName>
    <definedName name="PLDutiEx.CounterVailDuty">[3]PROFIT_LOSS!$H$27</definedName>
    <definedName name="PLDutiEx.CustomDuty">[3]PROFIT_LOSS!$H$26</definedName>
    <definedName name="PLDutiEx.OthDutyTaxCess">[3]PROFIT_LOSS!$H$32</definedName>
    <definedName name="PLDutiEx.ServiceTax">[3]PROFIT_LOSS!$H$30</definedName>
    <definedName name="PLDutiEx.SplAddDuty">[3]PROFIT_LOSS!$H$28</definedName>
    <definedName name="PLDutiEx.TotExciseCustomsVAT">[3]PROFIT_LOSS!$J$33</definedName>
    <definedName name="PLDutiEx.UnionExciseDuty">[3]PROFIT_LOSS!$H$29</definedName>
    <definedName name="PLDutiEx.VATorSaleTax">[3]PROFIT_LOSS!$H$31</definedName>
    <definedName name="PLRateEx.Cess">[3]PROFIT_LOSS!$H$80</definedName>
    <definedName name="PLRateEx.OthDutyTaxCess">[3]PROFIT_LOSS!$H$81</definedName>
    <definedName name="PLRateEx.ServiceTax">[3]PROFIT_LOSS!$H$78</definedName>
    <definedName name="PLRateEx.TotExciseCustomsVAT">[3]PROFIT_LOSS!$J$82</definedName>
    <definedName name="PLRateEx.UnionExciseDuty">[3]PROFIT_LOSS!$H$77</definedName>
    <definedName name="PLRateEx.VATorSaleTax">[3]PROFIT_LOSS!$H$79</definedName>
    <definedName name="PMChange.PrevYrMemPartChange">[3]NATUREOFBUSINESS!$I$1</definedName>
    <definedName name="PMInfo.AddrDetail">[3]NATUREOFBUSINESS!$D$6:$D$15</definedName>
    <definedName name="PMInfo.CityOrTownOrDistrict">[3]NATUREOFBUSINESS!$E$6:$E$15</definedName>
    <definedName name="PMInfo.PAN">[3]NATUREOFBUSINESS!$I$6:$I$15</definedName>
    <definedName name="PMInfo.PartnerOrMemberName">[3]NATUREOFBUSINESS!$C$6:$C$15</definedName>
    <definedName name="PMInfo.PinCode">[3]NATUREOFBUSINESS!$G$6:$G$15</definedName>
    <definedName name="PMInfo.SharePercentage">[3]NATUREOFBUSINESS!$H$6:$H$15</definedName>
    <definedName name="PMInfo.StateCode">[3]NATUREOFBUSINESS!$F$6:$F$15</definedName>
    <definedName name="PPY">[11]Index!$G$11</definedName>
    <definedName name="prepaid" localSheetId="7" hidden="1">{#N/A,#N/A,FALSE,"Aging Summary";#N/A,#N/A,FALSE,"Ratio Analysis";#N/A,#N/A,FALSE,"Test 120 Day Accts";#N/A,#N/A,FALSE,"Tickmarks"}</definedName>
    <definedName name="prepaid" localSheetId="8" hidden="1">{#N/A,#N/A,FALSE,"Aging Summary";#N/A,#N/A,FALSE,"Ratio Analysis";#N/A,#N/A,FALSE,"Test 120 Day Accts";#N/A,#N/A,FALSE,"Tickmarks"}</definedName>
    <definedName name="prepaid" localSheetId="6" hidden="1">{#N/A,#N/A,FALSE,"Aging Summary";#N/A,#N/A,FALSE,"Ratio Analysis";#N/A,#N/A,FALSE,"Test 120 Day Accts";#N/A,#N/A,FALSE,"Tickmarks"}</definedName>
    <definedName name="prepaid" localSheetId="9" hidden="1">{#N/A,#N/A,FALSE,"Aging Summary";#N/A,#N/A,FALSE,"Ratio Analysis";#N/A,#N/A,FALSE,"Test 120 Day Accts";#N/A,#N/A,FALSE,"Tickmarks"}</definedName>
    <definedName name="prepaid" localSheetId="10" hidden="1">{#N/A,#N/A,FALSE,"Aging Summary";#N/A,#N/A,FALSE,"Ratio Analysis";#N/A,#N/A,FALSE,"Test 120 Day Accts";#N/A,#N/A,FALSE,"Tickmarks"}</definedName>
    <definedName name="prepaid" localSheetId="11" hidden="1">{#N/A,#N/A,FALSE,"Aging Summary";#N/A,#N/A,FALSE,"Ratio Analysis";#N/A,#N/A,FALSE,"Test 120 Day Accts";#N/A,#N/A,FALSE,"Tickmarks"}</definedName>
    <definedName name="prepaid" hidden="1">{#N/A,#N/A,FALSE,"Aging Summary";#N/A,#N/A,FALSE,"Ratio Analysis";#N/A,#N/A,FALSE,"Test 120 Day Accts";#N/A,#N/A,FALSE,"Tickmarks"}</definedName>
    <definedName name="prepaidcpinterest" localSheetId="7" hidden="1">{#N/A,#N/A,FALSE,"Aging Summary";#N/A,#N/A,FALSE,"Ratio Analysis";#N/A,#N/A,FALSE,"Test 120 Day Accts";#N/A,#N/A,FALSE,"Tickmarks"}</definedName>
    <definedName name="prepaidcpinterest" localSheetId="8" hidden="1">{#N/A,#N/A,FALSE,"Aging Summary";#N/A,#N/A,FALSE,"Ratio Analysis";#N/A,#N/A,FALSE,"Test 120 Day Accts";#N/A,#N/A,FALSE,"Tickmarks"}</definedName>
    <definedName name="prepaidcpinterest" localSheetId="6" hidden="1">{#N/A,#N/A,FALSE,"Aging Summary";#N/A,#N/A,FALSE,"Ratio Analysis";#N/A,#N/A,FALSE,"Test 120 Day Accts";#N/A,#N/A,FALSE,"Tickmarks"}</definedName>
    <definedName name="prepaidcpinterest" localSheetId="9" hidden="1">{#N/A,#N/A,FALSE,"Aging Summary";#N/A,#N/A,FALSE,"Ratio Analysis";#N/A,#N/A,FALSE,"Test 120 Day Accts";#N/A,#N/A,FALSE,"Tickmarks"}</definedName>
    <definedName name="prepaidcpinterest" localSheetId="10" hidden="1">{#N/A,#N/A,FALSE,"Aging Summary";#N/A,#N/A,FALSE,"Ratio Analysis";#N/A,#N/A,FALSE,"Test 120 Day Accts";#N/A,#N/A,FALSE,"Tickmarks"}</definedName>
    <definedName name="prepaidcpinterest" localSheetId="11" hidden="1">{#N/A,#N/A,FALSE,"Aging Summary";#N/A,#N/A,FALSE,"Ratio Analysis";#N/A,#N/A,FALSE,"Test 120 Day Accts";#N/A,#N/A,FALSE,"Tickmarks"}</definedName>
    <definedName name="prepaidcpinterest" hidden="1">{#N/A,#N/A,FALSE,"Aging Summary";#N/A,#N/A,FALSE,"Ratio Analysis";#N/A,#N/A,FALSE,"Test 120 Day Accts";#N/A,#N/A,FALSE,"Tickmarks"}</definedName>
    <definedName name="prexmlchecks">[3]Instructions!$A$774</definedName>
    <definedName name="_xlnm.Print_Area" localSheetId="0">'00_Cover'!$A$1:$H$31</definedName>
    <definedName name="_xlnm.Print_Area" localSheetId="1">'01_Control'!$A$1:$G$20</definedName>
    <definedName name="_xlnm.Print_Area" localSheetId="2">'02_Index'!$A$1:$E$43</definedName>
    <definedName name="_xlnm.Print_Area" localSheetId="16">'03_Independent_Auditors_Report'!$A$1:$H$30</definedName>
    <definedName name="_xlnm.Print_Area" localSheetId="17">'04_Annexure_A_CARO_2020'!$A$1:$E$26</definedName>
    <definedName name="_xlnm.Print_Area" localSheetId="18">'05_Annexure_B_IFC'!$A$1:$H$27</definedName>
    <definedName name="_xlnm.Print_Area" localSheetId="19">'06_Form_3CA'!$A$1:$H$14</definedName>
    <definedName name="_xlnm.Print_Area" localSheetId="20">'07_Form_3CD_Part_A'!$A$1:$D$15</definedName>
    <definedName name="_xlnm.Print_Area" localSheetId="21">'08_Form_3CD_09_to_20'!$A$1:$D$29</definedName>
    <definedName name="_xlnm.Print_Area" localSheetId="22">'09_Form_3CD_21_to_30C'!$A$1:$D$28</definedName>
    <definedName name="_xlnm.Print_Area" localSheetId="23">'10_Form_3CD_31_to_44'!$A$1:$D$36</definedName>
    <definedName name="_xlnm.Print_Area" localSheetId="24">'11_3CD_Annx_Partners_9'!$A$1:$F$15</definedName>
    <definedName name="_xlnm.Print_Area" localSheetId="25">'12_3CD_Annx_Depn_18'!$A$1:$I$20</definedName>
    <definedName name="_xlnm.Print_Area" localSheetId="26">'13_3CD_Annx_Disallow_21_26'!$A$1:$H$20</definedName>
    <definedName name="_xlnm.Print_Area" localSheetId="27">'14_3CD_Annx_MSME_22_23'!$A$1:$H$18</definedName>
    <definedName name="_xlnm.Print_Area" localSheetId="28">'15_3CD_Annx_43B_26'!$A$1:$H$18</definedName>
    <definedName name="_xlnm.Print_Area" localSheetId="29">'16_3CD_Annx_Loans_31'!$A$1:$J$20</definedName>
    <definedName name="_xlnm.Print_Area" localSheetId="30">'17_3CD_Annx_BF_Loss_32'!$A$1:$H$18</definedName>
    <definedName name="_xlnm.Print_Area" localSheetId="31">'18_3CD_Annx_Deduction_19_33'!$A$1:$F$20</definedName>
    <definedName name="_xlnm.Print_Area" localSheetId="32">'19_3CD_Annx_TDS_34'!$A$1:$J$20</definedName>
    <definedName name="_xlnm.Print_Area" localSheetId="36">'19_Sample_Narrative_Notes'!$A$1:$D$26</definedName>
    <definedName name="_xlnm.Print_Area" localSheetId="33">'20_3CD_Annx_Quant_35'!$A$1:$H$19</definedName>
    <definedName name="_xlnm.Print_Area" localSheetId="34">'21_3CD_Annx_GP_40'!$A$1:$E$15</definedName>
    <definedName name="_xlnm.Print_Area" localSheetId="35">'22_3CD_Annx_GST_44'!$A$1:$G$16</definedName>
    <definedName name="_xlnm.Print_Area" localSheetId="37">'99_Legal_Sources'!$A$1:$C$12</definedName>
    <definedName name="_xlnm.Print_Area" localSheetId="3">BS!$A$2:$F$70</definedName>
    <definedName name="_xlnm.Print_Area" localSheetId="5">CFS!$A$1:$J$60</definedName>
    <definedName name="_xlnm.Print_Area" localSheetId="14">DT!$A$1:$E$19</definedName>
    <definedName name="_xlnm.Print_Area" localSheetId="7">FA!$A$1:$M$35</definedName>
    <definedName name="_xlnm.Print_Area" localSheetId="13">'FA - IT Act'!$A$1:$H$15</definedName>
    <definedName name="_xlnm.Print_Area" localSheetId="8">'Note BS-Asset'!$A$1:$H$117</definedName>
    <definedName name="_xlnm.Print_Area" localSheetId="6">'Note BS-Liab'!$A$1:$H$163</definedName>
    <definedName name="_xlnm.Print_Area" localSheetId="9">'Note PL'!$A$1:$G$130</definedName>
    <definedName name="_xlnm.Print_Area" localSheetId="10">'Notes other'!$A$1:$H$55</definedName>
    <definedName name="_xlnm.Print_Area" localSheetId="11">'Notes other2'!$A$1:$I$52</definedName>
    <definedName name="_xlnm.Print_Area" localSheetId="4">PL!$A$1:$H$58</definedName>
    <definedName name="PRINT_AREA_MI" localSheetId="7">#REF!</definedName>
    <definedName name="PRINT_AREA_MI" localSheetId="8">#REF!</definedName>
    <definedName name="PRINT_AREA_MI" localSheetId="6">#REF!</definedName>
    <definedName name="PRINT_AREA_MI" localSheetId="9">#REF!</definedName>
    <definedName name="PRINT_AREA_MI" localSheetId="10">#REF!</definedName>
    <definedName name="PRINT_AREA_MI" localSheetId="11">#REF!</definedName>
    <definedName name="PRINT_AREA_MI">#REF!</definedName>
    <definedName name="Print_n_Stationery">'[9]Note-P'!$F$117</definedName>
    <definedName name="_xlnm.Print_Titles" localSheetId="2">'02_Index'!$4:$4</definedName>
    <definedName name="_xlnm.Print_Titles" localSheetId="17">'04_Annexure_A_CARO_2020'!$4:$4</definedName>
    <definedName name="_xlnm.Print_Titles" localSheetId="20">'07_Form_3CD_Part_A'!$4:$4</definedName>
    <definedName name="_xlnm.Print_Titles" localSheetId="21">'08_Form_3CD_09_to_20'!$4:$4</definedName>
    <definedName name="_xlnm.Print_Titles" localSheetId="22">'09_Form_3CD_21_to_30C'!$4:$4</definedName>
    <definedName name="_xlnm.Print_Titles" localSheetId="23">'10_Form_3CD_31_to_44'!$4:$4</definedName>
    <definedName name="_xlnm.Print_Titles" localSheetId="24">'11_3CD_Annx_Partners_9'!$4:$4</definedName>
    <definedName name="_xlnm.Print_Titles" localSheetId="25">'12_3CD_Annx_Depn_18'!$4:$4</definedName>
    <definedName name="_xlnm.Print_Titles" localSheetId="26">'13_3CD_Annx_Disallow_21_26'!$4:$4</definedName>
    <definedName name="_xlnm.Print_Titles" localSheetId="27">'14_3CD_Annx_MSME_22_23'!$4:$4</definedName>
    <definedName name="_xlnm.Print_Titles" localSheetId="28">'15_3CD_Annx_43B_26'!$4:$4</definedName>
    <definedName name="_xlnm.Print_Titles" localSheetId="29">'16_3CD_Annx_Loans_31'!$4:$5</definedName>
    <definedName name="_xlnm.Print_Titles" localSheetId="30">'17_3CD_Annx_BF_Loss_32'!$4:$4</definedName>
    <definedName name="_xlnm.Print_Titles" localSheetId="31">'18_3CD_Annx_Deduction_19_33'!$4:$4</definedName>
    <definedName name="_xlnm.Print_Titles" localSheetId="32">'19_3CD_Annx_TDS_34'!$4:$4</definedName>
    <definedName name="_xlnm.Print_Titles" localSheetId="36">'19_Sample_Narrative_Notes'!$4:$4</definedName>
    <definedName name="_xlnm.Print_Titles" localSheetId="33">'20_3CD_Annx_Quant_35'!$4:$4</definedName>
    <definedName name="_xlnm.Print_Titles" localSheetId="34">'21_3CD_Annx_GP_40'!$4:$4</definedName>
    <definedName name="_xlnm.Print_Titles" localSheetId="35">'22_3CD_Annx_GST_44'!$4:$4</definedName>
    <definedName name="_xlnm.Print_Titles" localSheetId="37">'99_Legal_Sources'!$4:$4</definedName>
    <definedName name="_xlnm.Print_Titles" localSheetId="10">'Notes other'!$1:$4</definedName>
    <definedName name="_xlnm.Print_Titles" localSheetId="11">'Notes other2'!$1:$3</definedName>
    <definedName name="PRINT_TITLES_MI" localSheetId="7">#REF!</definedName>
    <definedName name="PRINT_TITLES_MI" localSheetId="8">#REF!</definedName>
    <definedName name="PRINT_TITLES_MI" localSheetId="6">#REF!</definedName>
    <definedName name="PRINT_TITLES_MI" localSheetId="9">#REF!</definedName>
    <definedName name="PRINT_TITLES_MI" localSheetId="10">#REF!</definedName>
    <definedName name="PRINT_TITLES_MI" localSheetId="11">#REF!</definedName>
    <definedName name="PRINT_TITLES_MI">#REF!</definedName>
    <definedName name="PrintMacro">'[1]Other notes'!$A$1</definedName>
    <definedName name="products">[27]Sheet3!$A$1:$B$5</definedName>
    <definedName name="Professional">'[9]Note-P'!$F$115</definedName>
    <definedName name="Prov_for_DDebt_Exp">'[9]Note-P'!$F$129</definedName>
    <definedName name="Prov_Wback">'[9]Note-P'!$F$47</definedName>
    <definedName name="Publish" localSheetId="7" hidden="1">{#N/A,#N/A,FALSE,"Aging Summary";#N/A,#N/A,FALSE,"Ratio Analysis";#N/A,#N/A,FALSE,"Test 120 Day Accts";#N/A,#N/A,FALSE,"Tickmarks"}</definedName>
    <definedName name="Publish" localSheetId="8" hidden="1">{#N/A,#N/A,FALSE,"Aging Summary";#N/A,#N/A,FALSE,"Ratio Analysis";#N/A,#N/A,FALSE,"Test 120 Day Accts";#N/A,#N/A,FALSE,"Tickmarks"}</definedName>
    <definedName name="Publish" localSheetId="6" hidden="1">{#N/A,#N/A,FALSE,"Aging Summary";#N/A,#N/A,FALSE,"Ratio Analysis";#N/A,#N/A,FALSE,"Test 120 Day Accts";#N/A,#N/A,FALSE,"Tickmarks"}</definedName>
    <definedName name="Publish" localSheetId="9" hidden="1">{#N/A,#N/A,FALSE,"Aging Summary";#N/A,#N/A,FALSE,"Ratio Analysis";#N/A,#N/A,FALSE,"Test 120 Day Accts";#N/A,#N/A,FALSE,"Tickmarks"}</definedName>
    <definedName name="Publish" localSheetId="10" hidden="1">{#N/A,#N/A,FALSE,"Aging Summary";#N/A,#N/A,FALSE,"Ratio Analysis";#N/A,#N/A,FALSE,"Test 120 Day Accts";#N/A,#N/A,FALSE,"Tickmarks"}</definedName>
    <definedName name="Publish" localSheetId="11" hidden="1">{#N/A,#N/A,FALSE,"Aging Summary";#N/A,#N/A,FALSE,"Ratio Analysis";#N/A,#N/A,FALSE,"Test 120 Day Accts";#N/A,#N/A,FALSE,"Tickmarks"}</definedName>
    <definedName name="Publish" hidden="1">{#N/A,#N/A,FALSE,"Aging Summary";#N/A,#N/A,FALSE,"Ratio Analysis";#N/A,#N/A,FALSE,"Test 120 Day Accts";#N/A,#N/A,FALSE,"Tickmarks"}</definedName>
    <definedName name="q">[28]BS!$H$13</definedName>
    <definedName name="QDFinishrByProd">[3]Pre_XML!$B$8</definedName>
    <definedName name="QDFinishrByProd.AnyShortExces">[3]QUANTITATIVE_DETAILS!$H$54:$H$73</definedName>
    <definedName name="QDFinishrByProd.ClgStock">[3]QUANTITATIVE_DETAILS!$G$54:$G$73</definedName>
    <definedName name="QDFinishrByProd.ItemName">[3]QUANTITATIVE_DETAILS!$A$54:$A$73</definedName>
    <definedName name="QDFinishrByProd.OpeningStock">[3]QUANTITATIVE_DETAILS!$C$54:$C$73</definedName>
    <definedName name="QDFinishrByProd.PrevYrConsum">[3]QUANTITATIVE_DETAILS!$E$54:$E$73</definedName>
    <definedName name="QDFinishrByProd.PurchaseQty">[3]QUANTITATIVE_DETAILS!$D$54:$D$73</definedName>
    <definedName name="QDFinishrByProd.SaleQty">[3]QUANTITATIVE_DETAILS!$F$54:$F$73</definedName>
    <definedName name="QDFinishrByProd.UnitOfMeasure">[3]QUANTITATIVE_DETAILS!$B$54:$B$73</definedName>
    <definedName name="QDRawMaterial">[3]Pre_XML!$B$7</definedName>
    <definedName name="QDRawMaterial.AnyShortExces">[3]QUANTITATIVE_DETAILS!$J$29:$J$48</definedName>
    <definedName name="QDRawMaterial.ClgStock">[3]QUANTITATIVE_DETAILS!$G$29:$G$48</definedName>
    <definedName name="QDRawMaterial.ItemName">[3]QUANTITATIVE_DETAILS!$A$29:$A$48</definedName>
    <definedName name="QDRawMaterial.OpeningStock">[3]QUANTITATIVE_DETAILS!$C$29:$C$48</definedName>
    <definedName name="QDRawMaterial.PercentYld">[3]QUANTITATIVE_DETAILS!$I$29:$I$48</definedName>
    <definedName name="QDRawMaterial.PrevYrConsum">[3]QUANTITATIVE_DETAILS!$E$29:$E$48</definedName>
    <definedName name="QDRawMaterial.PurchaseQty">[3]QUANTITATIVE_DETAILS!$D$29:$D$48</definedName>
    <definedName name="QDRawMaterial.SaleQty">[3]QUANTITATIVE_DETAILS!$F$29:$F$48</definedName>
    <definedName name="QDRawMaterial.UnitOfMeasure">[3]QUANTITATIVE_DETAILS!$B$29:$B$48</definedName>
    <definedName name="QDRawMaterial.yldFinisProd">[3]QUANTITATIVE_DETAILS!$H$29:$H$48</definedName>
    <definedName name="QDTradingConcern">[3]Pre_XML!$B$6</definedName>
    <definedName name="QDTradingConcern.AnyShortExces">[3]QUANTITATIVE_DETAILS!$G$5:$G$23</definedName>
    <definedName name="QDTradingConcern.ClgStock">[3]QUANTITATIVE_DETAILS!$F$5:$F$23</definedName>
    <definedName name="QDTradingConcern.ItemName">[3]QUANTITATIVE_DETAILS!$A$5:$A$23</definedName>
    <definedName name="QDTradingConcern.OpeningStock">[3]QUANTITATIVE_DETAILS!$C$5:$C$23</definedName>
    <definedName name="QDTradingConcern.PurchaseQty">[3]QUANTITATIVE_DETAILS!$D$5:$D$23</definedName>
    <definedName name="QDTradingConcern.SaleQty">[3]QUANTITATIVE_DETAILS!$E$5:$E$23</definedName>
    <definedName name="QDTradingConcern.UnitOfMeasure">[3]QUANTITATIVE_DETAILS!$B$5:$B$23</definedName>
    <definedName name="QUOTEHOME" localSheetId="7">#REF!</definedName>
    <definedName name="QUOTEHOME" localSheetId="8">#REF!</definedName>
    <definedName name="QUOTEHOME" localSheetId="6">#REF!</definedName>
    <definedName name="QUOTEHOME" localSheetId="9">#REF!</definedName>
    <definedName name="QUOTEHOME" localSheetId="10">#REF!</definedName>
    <definedName name="QUOTEHOME" localSheetId="11">#REF!</definedName>
    <definedName name="QUOTEHOME">#REF!</definedName>
    <definedName name="R_Factor" localSheetId="7">#REF!</definedName>
    <definedName name="R_Factor" localSheetId="8">#REF!</definedName>
    <definedName name="R_Factor" localSheetId="6">#REF!</definedName>
    <definedName name="R_Factor" localSheetId="9">#REF!</definedName>
    <definedName name="R_Factor" localSheetId="10">#REF!</definedName>
    <definedName name="R_Factor" localSheetId="11">#REF!</definedName>
    <definedName name="R_Factor">#REF!</definedName>
    <definedName name="Rates_n_Taxes">'[9]Note-P'!$F$111</definedName>
    <definedName name="Record1">'[1]Other notes'!$A$1</definedName>
    <definedName name="rel" localSheetId="7">#REF!</definedName>
    <definedName name="rel" localSheetId="8">#REF!</definedName>
    <definedName name="rel" localSheetId="6">#REF!</definedName>
    <definedName name="rel" localSheetId="9">#REF!</definedName>
    <definedName name="rel" localSheetId="10">#REF!</definedName>
    <definedName name="rel" localSheetId="11">#REF!</definedName>
    <definedName name="rel">#REF!</definedName>
    <definedName name="remain">[14]Index!$C$31</definedName>
    <definedName name="Rent" localSheetId="7">#REF!</definedName>
    <definedName name="Rent" localSheetId="8">#REF!</definedName>
    <definedName name="Rent" localSheetId="6">#REF!</definedName>
    <definedName name="Rent" localSheetId="9">#REF!</definedName>
    <definedName name="Rent" localSheetId="10">#REF!</definedName>
    <definedName name="Rent" localSheetId="11">#REF!</definedName>
    <definedName name="Rent">#REF!</definedName>
    <definedName name="Repair_n_Maint">'[9]Note-P'!$F$119</definedName>
    <definedName name="report_date" localSheetId="14">[11]Index!$C$26</definedName>
    <definedName name="report_date" localSheetId="13">[11]Index!$C$26</definedName>
    <definedName name="Report_Date">[16]Index!$C$22</definedName>
    <definedName name="Residual_difference" localSheetId="7">#REF!</definedName>
    <definedName name="Residual_difference" localSheetId="8">#REF!</definedName>
    <definedName name="Residual_difference" localSheetId="6">#REF!</definedName>
    <definedName name="Residual_difference" localSheetId="9">#REF!</definedName>
    <definedName name="Residual_difference" localSheetId="10">#REF!</definedName>
    <definedName name="Residual_difference" localSheetId="11">#REF!</definedName>
    <definedName name="Residual_difference">#REF!</definedName>
    <definedName name="rr" localSheetId="7" hidden="1">{#N/A,#N/A,FALSE,"Aging Summary";#N/A,#N/A,FALSE,"Ratio Analysis";#N/A,#N/A,FALSE,"Test 120 Day Accts";#N/A,#N/A,FALSE,"Tickmarks"}</definedName>
    <definedName name="rr" localSheetId="8" hidden="1">{#N/A,#N/A,FALSE,"Aging Summary";#N/A,#N/A,FALSE,"Ratio Analysis";#N/A,#N/A,FALSE,"Test 120 Day Accts";#N/A,#N/A,FALSE,"Tickmarks"}</definedName>
    <definedName name="rr" localSheetId="6" hidden="1">{#N/A,#N/A,FALSE,"Aging Summary";#N/A,#N/A,FALSE,"Ratio Analysis";#N/A,#N/A,FALSE,"Test 120 Day Accts";#N/A,#N/A,FALSE,"Tickmarks"}</definedName>
    <definedName name="rr" localSheetId="9" hidden="1">{#N/A,#N/A,FALSE,"Aging Summary";#N/A,#N/A,FALSE,"Ratio Analysis";#N/A,#N/A,FALSE,"Test 120 Day Accts";#N/A,#N/A,FALSE,"Tickmarks"}</definedName>
    <definedName name="rr" localSheetId="10" hidden="1">{#N/A,#N/A,FALSE,"Aging Summary";#N/A,#N/A,FALSE,"Ratio Analysis";#N/A,#N/A,FALSE,"Test 120 Day Accts";#N/A,#N/A,FALSE,"Tickmarks"}</definedName>
    <definedName name="rr" localSheetId="11" hidden="1">{#N/A,#N/A,FALSE,"Aging Summary";#N/A,#N/A,FALSE,"Ratio Analysis";#N/A,#N/A,FALSE,"Test 120 Day Accts";#N/A,#N/A,FALSE,"Tickmarks"}</definedName>
    <definedName name="rr" hidden="1">{#N/A,#N/A,FALSE,"Aging Summary";#N/A,#N/A,FALSE,"Ratio Analysis";#N/A,#N/A,FALSE,"Test 120 Day Accts";#N/A,#N/A,FALSE,"Tickmarks"}</definedName>
    <definedName name="rrr">[29]Index!$C$23</definedName>
    <definedName name="rrrrrr">[29]Index!$C$22</definedName>
    <definedName name="RS">[9]BS!$H$13</definedName>
    <definedName name="s" localSheetId="7" hidden="1">{#N/A,#N/A,FALSE,"Aging Summary";#N/A,#N/A,FALSE,"Ratio Analysis";#N/A,#N/A,FALSE,"Test 120 Day Accts";#N/A,#N/A,FALSE,"Tickmarks"}</definedName>
    <definedName name="s" localSheetId="8" hidden="1">{#N/A,#N/A,FALSE,"Aging Summary";#N/A,#N/A,FALSE,"Ratio Analysis";#N/A,#N/A,FALSE,"Test 120 Day Accts";#N/A,#N/A,FALSE,"Tickmarks"}</definedName>
    <definedName name="s" localSheetId="6" hidden="1">{#N/A,#N/A,FALSE,"Aging Summary";#N/A,#N/A,FALSE,"Ratio Analysis";#N/A,#N/A,FALSE,"Test 120 Day Accts";#N/A,#N/A,FALSE,"Tickmarks"}</definedName>
    <definedName name="s" localSheetId="9" hidden="1">{#N/A,#N/A,FALSE,"Aging Summary";#N/A,#N/A,FALSE,"Ratio Analysis";#N/A,#N/A,FALSE,"Test 120 Day Accts";#N/A,#N/A,FALSE,"Tickmarks"}</definedName>
    <definedName name="s" localSheetId="10" hidden="1">{#N/A,#N/A,FALSE,"Aging Summary";#N/A,#N/A,FALSE,"Ratio Analysis";#N/A,#N/A,FALSE,"Test 120 Day Accts";#N/A,#N/A,FALSE,"Tickmarks"}</definedName>
    <definedName name="s" localSheetId="11" hidden="1">{#N/A,#N/A,FALSE,"Aging Summary";#N/A,#N/A,FALSE,"Ratio Analysis";#N/A,#N/A,FALSE,"Test 120 Day Accts";#N/A,#N/A,FALSE,"Tickmarks"}</definedName>
    <definedName name="s" hidden="1">{#N/A,#N/A,FALSE,"Aging Summary";#N/A,#N/A,FALSE,"Ratio Analysis";#N/A,#N/A,FALSE,"Test 120 Day Accts";#N/A,#N/A,FALSE,"Tickmarks"}</definedName>
    <definedName name="s_10a">'[3]10A'!$A$1</definedName>
    <definedName name="s_10aa">'[3]10A'!$A$24</definedName>
    <definedName name="s_10b">'[3]10A'!$A$29</definedName>
    <definedName name="s_10ba">'[3]10A'!$A$34</definedName>
    <definedName name="s_80g">'[3]80G'!$B$1</definedName>
    <definedName name="s_80ia">'[3]80_'!$A$2</definedName>
    <definedName name="s_80ib">'[3]80_'!$A$10</definedName>
    <definedName name="s_80ic">'[3]80_'!$A$26</definedName>
    <definedName name="s_ba">[3]PART_C!$A$36</definedName>
    <definedName name="s_bfla">'[3]CYLA BFLA'!$A$14</definedName>
    <definedName name="s_bp">[3]BP!$A$1</definedName>
    <definedName name="s_bs">[3]BALANCE_SHEET!$A$1</definedName>
    <definedName name="s_cfl">[3]CFL!$A$1</definedName>
    <definedName name="s_cg">[3]CG_OS!$A$1</definedName>
    <definedName name="s_cyla">'[3]CYLA BFLA'!$A$1</definedName>
    <definedName name="s_dcg">[3]DEP_DCG!$A$21</definedName>
    <definedName name="s_ddtp">[3]IT_FBT_DDTP!$C$47</definedName>
    <definedName name="s_dep">[3]DEP_DCG!$A$1</definedName>
    <definedName name="s_doa">[3]DPM_DOA!$A$21</definedName>
    <definedName name="s_dpm">[3]DPM_DOA!$A$1</definedName>
    <definedName name="s_esr">[3]ESR!$A$1</definedName>
    <definedName name="s_fb">[3]FRINGE_BENEFIT_INFO!$A$9</definedName>
    <definedName name="s_fbi">[3]FRINGE_BENEFIT_INFO!$A$1</definedName>
    <definedName name="s_fbt">[3]IT_FBT_DDTP!$A$28</definedName>
    <definedName name="s_general">[3]GENERAL!$C$5</definedName>
    <definedName name="s_general2">[3]GENERAL2!$B$1</definedName>
    <definedName name="s_hp">[3]HOUSE_PROPERTY!$A$1</definedName>
    <definedName name="s_it">[3]IT_FBT_DDTP!$A$1</definedName>
    <definedName name="s_mat">[3]EI!$A$14</definedName>
    <definedName name="s_matc">[3]EI!$A$39</definedName>
    <definedName name="s_nob">[3]NATUREOFBUSINESS!$A$17</definedName>
    <definedName name="s_oi">[3]OTHER_INFORMATION!$A$1</definedName>
    <definedName name="s_os">[3]CG_OS!$A$64</definedName>
    <definedName name="s_partbti">[3]PART_B!$A$1</definedName>
    <definedName name="s_partbtti">[3]PART_B!$A$30</definedName>
    <definedName name="s_partc">[3]PART_C!$A$2</definedName>
    <definedName name="s_pl">[3]PROFIT_LOSS!$A$1</definedName>
    <definedName name="s_qd">[3]QUANTITATIVE_DETAILS!$A$1</definedName>
    <definedName name="s_qd2">[3]QUANTITATIVE_DETAILS!$A$26</definedName>
    <definedName name="s_qd3">[3]QUANTITATIVE_DETAILS!$A$51</definedName>
    <definedName name="s_si">[3]SI!$B$1</definedName>
    <definedName name="s_sttc">'[3]80_'!$A$56</definedName>
    <definedName name="s_subdetail">'[3]SUBSIDIARY DETAILS'!$A$1</definedName>
    <definedName name="s_verification">[3]PART_C!$A$27</definedName>
    <definedName name="s_via">'[3]80_'!$A$41</definedName>
    <definedName name="sad" localSheetId="7" hidden="1">{#N/A,#N/A,FALSE,"Aging Summary";#N/A,#N/A,FALSE,"Ratio Analysis";#N/A,#N/A,FALSE,"Test 120 Day Accts";#N/A,#N/A,FALSE,"Tickmarks"}</definedName>
    <definedName name="sad" localSheetId="8" hidden="1">{#N/A,#N/A,FALSE,"Aging Summary";#N/A,#N/A,FALSE,"Ratio Analysis";#N/A,#N/A,FALSE,"Test 120 Day Accts";#N/A,#N/A,FALSE,"Tickmarks"}</definedName>
    <definedName name="sad" localSheetId="6" hidden="1">{#N/A,#N/A,FALSE,"Aging Summary";#N/A,#N/A,FALSE,"Ratio Analysis";#N/A,#N/A,FALSE,"Test 120 Day Accts";#N/A,#N/A,FALSE,"Tickmarks"}</definedName>
    <definedName name="sad" localSheetId="9" hidden="1">{#N/A,#N/A,FALSE,"Aging Summary";#N/A,#N/A,FALSE,"Ratio Analysis";#N/A,#N/A,FALSE,"Test 120 Day Accts";#N/A,#N/A,FALSE,"Tickmarks"}</definedName>
    <definedName name="sad" localSheetId="10" hidden="1">{#N/A,#N/A,FALSE,"Aging Summary";#N/A,#N/A,FALSE,"Ratio Analysis";#N/A,#N/A,FALSE,"Test 120 Day Accts";#N/A,#N/A,FALSE,"Tickmarks"}</definedName>
    <definedName name="sad" localSheetId="11" hidden="1">{#N/A,#N/A,FALSE,"Aging Summary";#N/A,#N/A,FALSE,"Ratio Analysis";#N/A,#N/A,FALSE,"Test 120 Day Accts";#N/A,#N/A,FALSE,"Tickmarks"}</definedName>
    <definedName name="sad" hidden="1">{#N/A,#N/A,FALSE,"Aging Summary";#N/A,#N/A,FALSE,"Ratio Analysis";#N/A,#N/A,FALSE,"Test 120 Day Accts";#N/A,#N/A,FALSE,"Tickmarks"}</definedName>
    <definedName name="Salaries">'[9]Note-P'!$F$81</definedName>
    <definedName name="Sale_of_FA_Loss">'[9]Note-P'!$F$128</definedName>
    <definedName name="Sale_of_Invest_Loss">'[9]Note-P'!$F$127</definedName>
    <definedName name="sap_bal">[9]TB!$I:$I</definedName>
    <definedName name="sap_trial" localSheetId="7">#REF!</definedName>
    <definedName name="sap_trial" localSheetId="8">#REF!</definedName>
    <definedName name="sap_trial" localSheetId="6">#REF!</definedName>
    <definedName name="sap_trial" localSheetId="9">#REF!</definedName>
    <definedName name="sap_trial" localSheetId="10">#REF!</definedName>
    <definedName name="sap_trial" localSheetId="11">#REF!</definedName>
    <definedName name="sap_trial">#REF!</definedName>
    <definedName name="SAPBEXdnldView" hidden="1">"EL1RNBIW6SAPHO69EV4N13PHH"</definedName>
    <definedName name="SAPBEXsysID" hidden="1">"LBC"</definedName>
    <definedName name="saptbl">[9]TB!$D:$I</definedName>
    <definedName name="SC">[9]BS!$H$12</definedName>
    <definedName name="Sch" localSheetId="7">'[30]Results PL'!#REF!</definedName>
    <definedName name="Sch" localSheetId="8">'[30]Results PL'!#REF!</definedName>
    <definedName name="Sch" localSheetId="6">'[30]Results PL'!#REF!</definedName>
    <definedName name="Sch" localSheetId="9">'[30]Results PL'!#REF!</definedName>
    <definedName name="Sch" localSheetId="10">'[30]Results PL'!#REF!</definedName>
    <definedName name="Sch" localSheetId="11">'[30]Results PL'!#REF!</definedName>
    <definedName name="Sch">'[30]Results PL'!#REF!</definedName>
    <definedName name="Schedule_12" localSheetId="7">[31]PL!#REF!</definedName>
    <definedName name="Schedule_12" localSheetId="8">[31]PL!#REF!</definedName>
    <definedName name="Schedule_12" localSheetId="6">[31]PL!#REF!</definedName>
    <definedName name="Schedule_12" localSheetId="9">[31]PL!#REF!</definedName>
    <definedName name="Schedule_12" localSheetId="10">[31]PL!#REF!</definedName>
    <definedName name="Schedule_12" localSheetId="11">[31]PL!#REF!</definedName>
    <definedName name="Schedule_12">[31]PL!#REF!</definedName>
    <definedName name="sd" localSheetId="7" hidden="1">{#N/A,#N/A,FALSE,"Aging Summary";#N/A,#N/A,FALSE,"Ratio Analysis";#N/A,#N/A,FALSE,"Test 120 Day Accts";#N/A,#N/A,FALSE,"Tickmarks"}</definedName>
    <definedName name="sd" localSheetId="8" hidden="1">{#N/A,#N/A,FALSE,"Aging Summary";#N/A,#N/A,FALSE,"Ratio Analysis";#N/A,#N/A,FALSE,"Test 120 Day Accts";#N/A,#N/A,FALSE,"Tickmarks"}</definedName>
    <definedName name="sd" localSheetId="6" hidden="1">{#N/A,#N/A,FALSE,"Aging Summary";#N/A,#N/A,FALSE,"Ratio Analysis";#N/A,#N/A,FALSE,"Test 120 Day Accts";#N/A,#N/A,FALSE,"Tickmarks"}</definedName>
    <definedName name="sd" localSheetId="9" hidden="1">{#N/A,#N/A,FALSE,"Aging Summary";#N/A,#N/A,FALSE,"Ratio Analysis";#N/A,#N/A,FALSE,"Test 120 Day Accts";#N/A,#N/A,FALSE,"Tickmarks"}</definedName>
    <definedName name="sd" localSheetId="10" hidden="1">{#N/A,#N/A,FALSE,"Aging Summary";#N/A,#N/A,FALSE,"Ratio Analysis";#N/A,#N/A,FALSE,"Test 120 Day Accts";#N/A,#N/A,FALSE,"Tickmarks"}</definedName>
    <definedName name="sd" localSheetId="11" hidden="1">{#N/A,#N/A,FALSE,"Aging Summary";#N/A,#N/A,FALSE,"Ratio Analysis";#N/A,#N/A,FALSE,"Test 120 Day Accts";#N/A,#N/A,FALSE,"Tickmarks"}</definedName>
    <definedName name="sd" hidden="1">{#N/A,#N/A,FALSE,"Aging Summary";#N/A,#N/A,FALSE,"Ratio Analysis";#N/A,#N/A,FALSE,"Test 120 Day Accts";#N/A,#N/A,FALSE,"Tickmarks"}</definedName>
    <definedName name="sda" localSheetId="7" hidden="1">{#N/A,#N/A,FALSE,"Aging Summary";#N/A,#N/A,FALSE,"Ratio Analysis";#N/A,#N/A,FALSE,"Test 120 Day Accts";#N/A,#N/A,FALSE,"Tickmarks"}</definedName>
    <definedName name="sda" localSheetId="8" hidden="1">{#N/A,#N/A,FALSE,"Aging Summary";#N/A,#N/A,FALSE,"Ratio Analysis";#N/A,#N/A,FALSE,"Test 120 Day Accts";#N/A,#N/A,FALSE,"Tickmarks"}</definedName>
    <definedName name="sda" localSheetId="6" hidden="1">{#N/A,#N/A,FALSE,"Aging Summary";#N/A,#N/A,FALSE,"Ratio Analysis";#N/A,#N/A,FALSE,"Test 120 Day Accts";#N/A,#N/A,FALSE,"Tickmarks"}</definedName>
    <definedName name="sda" localSheetId="9" hidden="1">{#N/A,#N/A,FALSE,"Aging Summary";#N/A,#N/A,FALSE,"Ratio Analysis";#N/A,#N/A,FALSE,"Test 120 Day Accts";#N/A,#N/A,FALSE,"Tickmarks"}</definedName>
    <definedName name="sda" localSheetId="10" hidden="1">{#N/A,#N/A,FALSE,"Aging Summary";#N/A,#N/A,FALSE,"Ratio Analysis";#N/A,#N/A,FALSE,"Test 120 Day Accts";#N/A,#N/A,FALSE,"Tickmarks"}</definedName>
    <definedName name="sda" localSheetId="11" hidden="1">{#N/A,#N/A,FALSE,"Aging Summary";#N/A,#N/A,FALSE,"Ratio Analysis";#N/A,#N/A,FALSE,"Test 120 Day Accts";#N/A,#N/A,FALSE,"Tickmarks"}</definedName>
    <definedName name="sda" hidden="1">{#N/A,#N/A,FALSE,"Aging Summary";#N/A,#N/A,FALSE,"Ratio Analysis";#N/A,#N/A,FALSE,"Test 120 Day Accts";#N/A,#N/A,FALSE,"Tickmarks"}</definedName>
    <definedName name="se" localSheetId="7" hidden="1">{#N/A,#N/A,FALSE,"Aging Summary";#N/A,#N/A,FALSE,"Ratio Analysis";#N/A,#N/A,FALSE,"Test 120 Day Accts";#N/A,#N/A,FALSE,"Tickmarks"}</definedName>
    <definedName name="se" localSheetId="8" hidden="1">{#N/A,#N/A,FALSE,"Aging Summary";#N/A,#N/A,FALSE,"Ratio Analysis";#N/A,#N/A,FALSE,"Test 120 Day Accts";#N/A,#N/A,FALSE,"Tickmarks"}</definedName>
    <definedName name="se" localSheetId="6" hidden="1">{#N/A,#N/A,FALSE,"Aging Summary";#N/A,#N/A,FALSE,"Ratio Analysis";#N/A,#N/A,FALSE,"Test 120 Day Accts";#N/A,#N/A,FALSE,"Tickmarks"}</definedName>
    <definedName name="se" localSheetId="9" hidden="1">{#N/A,#N/A,FALSE,"Aging Summary";#N/A,#N/A,FALSE,"Ratio Analysis";#N/A,#N/A,FALSE,"Test 120 Day Accts";#N/A,#N/A,FALSE,"Tickmarks"}</definedName>
    <definedName name="se" localSheetId="10" hidden="1">{#N/A,#N/A,FALSE,"Aging Summary";#N/A,#N/A,FALSE,"Ratio Analysis";#N/A,#N/A,FALSE,"Test 120 Day Accts";#N/A,#N/A,FALSE,"Tickmarks"}</definedName>
    <definedName name="se" localSheetId="11" hidden="1">{#N/A,#N/A,FALSE,"Aging Summary";#N/A,#N/A,FALSE,"Ratio Analysis";#N/A,#N/A,FALSE,"Test 120 Day Accts";#N/A,#N/A,FALSE,"Tickmarks"}</definedName>
    <definedName name="se" hidden="1">{#N/A,#N/A,FALSE,"Aging Summary";#N/A,#N/A,FALSE,"Ratio Analysis";#N/A,#N/A,FALSE,"Test 120 Day Accts";#N/A,#N/A,FALSE,"Tickmarks"}</definedName>
    <definedName name="Sebi">'[9]Note-P'!$F$64</definedName>
    <definedName name="section.DCG">[3]DEP_DCG!$A$21:$H$39</definedName>
    <definedName name="section.DEP">[3]DEP_DCG!$A$1:$H$19</definedName>
    <definedName name="section.DOA">[3]DPM_DOA!$A$21:$I$40</definedName>
    <definedName name="section.DPM">[3]DPM_DOA!$A$1:$J$19</definedName>
    <definedName name="section.ESR">[3]ESR!$A$1:$E$9</definedName>
    <definedName name="section.NatOfBus">[3]NATUREOFBUSINESS!$A$17:$D$21</definedName>
    <definedName name="section.SheduleBFT">[3]IT_FBT_DDTP!$A$30:$K$43</definedName>
    <definedName name="section.SheduleFB">[3]FRINGE_BENEFIT_INFO!$A$9:$J$47</definedName>
    <definedName name="section.SheduleFBI">[3]FRINGE_BENEFIT_INFO!$A$1:$F$7</definedName>
    <definedName name="section.SheduleIT">[3]IT_FBT_DDTP!$A$1:$H$11</definedName>
    <definedName name="section.SheduleTCS">[3]IT_FBT_DDTP!$A$27:$L$28</definedName>
    <definedName name="section.SI">[3]SI!$A$1:$F$15</definedName>
    <definedName name="section.STTC">'[3]80_'!$A$56:$I$63</definedName>
    <definedName name="Segment" localSheetId="7" hidden="1">{#N/A,#N/A,FALSE,"Aging Summary";#N/A,#N/A,FALSE,"Ratio Analysis";#N/A,#N/A,FALSE,"Test 120 Day Accts";#N/A,#N/A,FALSE,"Tickmarks"}</definedName>
    <definedName name="Segment" localSheetId="8" hidden="1">{#N/A,#N/A,FALSE,"Aging Summary";#N/A,#N/A,FALSE,"Ratio Analysis";#N/A,#N/A,FALSE,"Test 120 Day Accts";#N/A,#N/A,FALSE,"Tickmarks"}</definedName>
    <definedName name="Segment" localSheetId="6" hidden="1">{#N/A,#N/A,FALSE,"Aging Summary";#N/A,#N/A,FALSE,"Ratio Analysis";#N/A,#N/A,FALSE,"Test 120 Day Accts";#N/A,#N/A,FALSE,"Tickmarks"}</definedName>
    <definedName name="Segment" localSheetId="9" hidden="1">{#N/A,#N/A,FALSE,"Aging Summary";#N/A,#N/A,FALSE,"Ratio Analysis";#N/A,#N/A,FALSE,"Test 120 Day Accts";#N/A,#N/A,FALSE,"Tickmarks"}</definedName>
    <definedName name="Segment" localSheetId="10" hidden="1">{#N/A,#N/A,FALSE,"Aging Summary";#N/A,#N/A,FALSE,"Ratio Analysis";#N/A,#N/A,FALSE,"Test 120 Day Accts";#N/A,#N/A,FALSE,"Tickmarks"}</definedName>
    <definedName name="Segment" localSheetId="11" hidden="1">{#N/A,#N/A,FALSE,"Aging Summary";#N/A,#N/A,FALSE,"Ratio Analysis";#N/A,#N/A,FALSE,"Test 120 Day Accts";#N/A,#N/A,FALSE,"Tickmarks"}</definedName>
    <definedName name="Segment" hidden="1">{#N/A,#N/A,FALSE,"Aging Summary";#N/A,#N/A,FALSE,"Ratio Analysis";#N/A,#N/A,FALSE,"Test 120 Day Accts";#N/A,#N/A,FALSE,"Tickmarks"}</definedName>
    <definedName name="send" localSheetId="7">#REF!</definedName>
    <definedName name="send" localSheetId="8">#REF!</definedName>
    <definedName name="send" localSheetId="6">#REF!</definedName>
    <definedName name="send" localSheetId="9">#REF!</definedName>
    <definedName name="send" localSheetId="10">#REF!</definedName>
    <definedName name="send" localSheetId="11">#REF!</definedName>
    <definedName name="send">#REF!</definedName>
    <definedName name="SEZA10">[3]Pre_XML!$B$14</definedName>
    <definedName name="SEZA10.DedFromUndertaking">'[3]10A'!$F$19</definedName>
    <definedName name="SEZA10.TotalDedUs10A">'[3]10A'!$H$22</definedName>
    <definedName name="SEZA10.TotalDedUs10Sub">'[3]10A'!$H$20</definedName>
    <definedName name="sf" localSheetId="7" hidden="1">{#N/A,#N/A,FALSE,"Aging Summary";#N/A,#N/A,FALSE,"Ratio Analysis";#N/A,#N/A,FALSE,"Test 120 Day Accts";#N/A,#N/A,FALSE,"Tickmarks"}</definedName>
    <definedName name="sf" localSheetId="8" hidden="1">{#N/A,#N/A,FALSE,"Aging Summary";#N/A,#N/A,FALSE,"Ratio Analysis";#N/A,#N/A,FALSE,"Test 120 Day Accts";#N/A,#N/A,FALSE,"Tickmarks"}</definedName>
    <definedName name="sf" localSheetId="6" hidden="1">{#N/A,#N/A,FALSE,"Aging Summary";#N/A,#N/A,FALSE,"Ratio Analysis";#N/A,#N/A,FALSE,"Test 120 Day Accts";#N/A,#N/A,FALSE,"Tickmarks"}</definedName>
    <definedName name="sf" localSheetId="9" hidden="1">{#N/A,#N/A,FALSE,"Aging Summary";#N/A,#N/A,FALSE,"Ratio Analysis";#N/A,#N/A,FALSE,"Test 120 Day Accts";#N/A,#N/A,FALSE,"Tickmarks"}</definedName>
    <definedName name="sf" localSheetId="10" hidden="1">{#N/A,#N/A,FALSE,"Aging Summary";#N/A,#N/A,FALSE,"Ratio Analysis";#N/A,#N/A,FALSE,"Test 120 Day Accts";#N/A,#N/A,FALSE,"Tickmarks"}</definedName>
    <definedName name="sf" localSheetId="11" hidden="1">{#N/A,#N/A,FALSE,"Aging Summary";#N/A,#N/A,FALSE,"Ratio Analysis";#N/A,#N/A,FALSE,"Test 120 Day Accts";#N/A,#N/A,FALSE,"Tickmarks"}</definedName>
    <definedName name="sf" hidden="1">{#N/A,#N/A,FALSE,"Aging Summary";#N/A,#N/A,FALSE,"Ratio Analysis";#N/A,#N/A,FALSE,"Test 120 Day Accts";#N/A,#N/A,FALSE,"Tickmarks"}</definedName>
    <definedName name="sheet1.swversionno">[3]GENERAL!$AJ$60</definedName>
    <definedName name="sheet10.IncRecCredPLOthHeads">[3]BP!$H$5</definedName>
    <definedName name="sheet10.NetPLFromSpecBus">[3]BP!$H$4</definedName>
    <definedName name="sheet10.PLUs44sChapXIIG">[3]BP!$H$6</definedName>
    <definedName name="sheet10.ProfBfrTaxPL">[3]BP!$J$3</definedName>
    <definedName name="sheet11.AdjustedPLOthThanSpecBus">[3]BP!$J$16</definedName>
    <definedName name="sheet11.AdjustPLAfterDeprOthSpecInc">[3]BP!$J$22</definedName>
    <definedName name="sheet11.AmtAllowUs35ACt">[3]BP!$H$40</definedName>
    <definedName name="sheet11.AmtDebPLDisallowUs36">[3]BP!$H$23</definedName>
    <definedName name="sheet11.AmtDebPLDisallowUs37">[3]BP!$H$24</definedName>
    <definedName name="sheet11.AmtDebPLDisallowUs40">[3]BP!$H$25</definedName>
    <definedName name="sheet11.AmtDebPLDisallowUs40A">[3]BP!$H$26</definedName>
    <definedName name="sheet11.AmtDebPLDisallowUs43B">[3]BP!$H$27</definedName>
    <definedName name="sheet11.AmtDisallUs40NowAllow">[3]BP!$H$36</definedName>
    <definedName name="sheet11.AmtDisallUs43BNowAllow">[3]BP!$H$37</definedName>
    <definedName name="sheet11.AnyOthAmtAllDeduct">[3]BP!$H$42</definedName>
    <definedName name="sheet11.AnyOthIncNotInclInExpDisallowPL">[3]BP!$H$32</definedName>
    <definedName name="sheet11.AOPBOISharInc">[3]BP!$H$9</definedName>
    <definedName name="sheet11.BalancePLOthThanSpecBus">[3]BP!$J$12</definedName>
    <definedName name="sheet11.DebPL35ACAmt">[3]BP!$H$39</definedName>
    <definedName name="sheet11.DebPLUs35ExcessAmt">[3]BP!$H$35</definedName>
    <definedName name="sheet11.DeductUs32_1_iii">[3]BP!$H$34</definedName>
    <definedName name="sheet11.DeemIncUs3380HHD80IA">[3]BP!$H$30</definedName>
    <definedName name="sheet11.DeemIncUs41">[3]BP!$H$29</definedName>
    <definedName name="sheet11.DepreciationAllowUs32_1_i">[3]BP!$H$20</definedName>
    <definedName name="sheet11.DepreciationAllowUs32_1_ii">[3]BP!$H$19</definedName>
    <definedName name="sheet11.DepreciationDebPLCosAct">[3]BP!$J$17</definedName>
    <definedName name="sheet11.ExcessAmtDeduct35AC">[3]BP!$H$41</definedName>
    <definedName name="sheet11.ExpDebToPLExemptInc">[3]BP!$H$14</definedName>
    <definedName name="sheet11.ExpDebToPLOthHeads">[3]BP!$H$13</definedName>
    <definedName name="sheet11.FirmShareInc">[3]BP!$H$8</definedName>
    <definedName name="sheet11.InterestDisAllowUs23SMEAct">[3]BP!$H$28</definedName>
    <definedName name="sheet11.OthExempInc">[3]BP!$H$10</definedName>
    <definedName name="sheet11.OthItemDisallowUs28To44DA">[3]BP!$H$31</definedName>
    <definedName name="sheet11.PLAftAdjDedBusOthThanSpec">[3]BP!$J$44</definedName>
    <definedName name="sheet11.Section44AD">[3]BP!$H$46</definedName>
    <definedName name="sheet11.Section44AE">[3]BP!$H$47</definedName>
    <definedName name="sheet11.Section44AF">[3]BP!$H$48</definedName>
    <definedName name="sheet11.Section44B">[3]BP!$H$49</definedName>
    <definedName name="sheet11.Section44BB">[3]BP!$H$50</definedName>
    <definedName name="sheet11.Section44BBA">[3]BP!$H$51</definedName>
    <definedName name="sheet11.TotAfterAddToPLDeprOthSpecInc">[3]BP!$J$33</definedName>
    <definedName name="sheet11.TotDeductionAmts">[3]BP!$J$43</definedName>
    <definedName name="sheet11.TotDeprAllowITAct">[3]BP!$J$21</definedName>
    <definedName name="sheet11.TotExempIncPL">[3]BP!$H$11</definedName>
    <definedName name="sheet11.TotExpDebPL">[3]BP!$H$15</definedName>
    <definedName name="sheet12.AdditionUs28to44DA">[3]BP!$J$69</definedName>
    <definedName name="sheet12.AdjustedPLFrmSpecuBus">[3]BP!$J$71</definedName>
    <definedName name="sheet12.ChapterXIIG">[3]BP!$H$55</definedName>
    <definedName name="sheet12.DeductUs28to44DA">[3]BP!$J$70</definedName>
    <definedName name="sheet12.FirstSchTAct">[3]BP!$H$56</definedName>
    <definedName name="sheet12.IncChrgUnHdProftGain">[3]BP!$J$72</definedName>
    <definedName name="sheet12.NetPLAftAdjBusOthThanSpec">[3]BP!$J$65</definedName>
    <definedName name="sheet12.NetPLBusOthThanSpec7A7B7C">[3]BP!$J$66</definedName>
    <definedName name="sheet12.NetPLFrmSpecBus">[3]BP!$J$68</definedName>
    <definedName name="sheet12.ProfitLossBfrDeductUs10s">[3]BP!$J$58</definedName>
    <definedName name="sheet12.Section10A">[3]BP!$H$60</definedName>
    <definedName name="sheet12.Section10AA">[3]BP!$H$61</definedName>
    <definedName name="sheet12.Section10B">[3]BP!$H$62</definedName>
    <definedName name="sheet12.Section10BA">[3]BP!$H$63</definedName>
    <definedName name="sheet12.Section44BBB">[3]BP!$H$52</definedName>
    <definedName name="sheet12.Section44D">[3]BP!$H$53</definedName>
    <definedName name="sheet12.Section44DA">[3]BP!$H$54</definedName>
    <definedName name="sheet12.TotDeductionUs10s">[3]BP!$J$64</definedName>
    <definedName name="sheet12.TotDeemedProfitBusUs">[3]BP!$J$57</definedName>
    <definedName name="sheet16.BalBusLossAftSetoff">'[3]CYLA BFLA'!$F$12</definedName>
    <definedName name="sheet16.BalHPlossCurYrAftSetoff">'[3]CYLA BFLA'!$E$12</definedName>
    <definedName name="sheet16.BalOthSrcLossNoRaceHorseAftSetoff">'[3]CYLA BFLA'!$G$12</definedName>
    <definedName name="sheet16.IncomeOfCurrYrAftCYLABFLA">'[3]CYLA BFLA'!$H$23</definedName>
    <definedName name="sheet16.TotAllUs35cl4Setoff">'[3]CYLA BFLA'!$G$22</definedName>
    <definedName name="sheet16.TotBFLossSetoff">'[3]CYLA BFLA'!$E$22</definedName>
    <definedName name="sheet16.TotBusLossSetoff">'[3]CYLA BFLA'!$F$11</definedName>
    <definedName name="sheet16.TotHPlossCurYrSetoff">'[3]CYLA BFLA'!$E$11</definedName>
    <definedName name="sheet16.TotOthSrcLossNoRaceHorseSetoff">'[3]CYLA BFLA'!$G$11</definedName>
    <definedName name="sheet16.TotUnabsorbedDeprSetoff">'[3]CYLA BFLA'!$F$22</definedName>
    <definedName name="Sheet20.scei.DividendInc">[3]EI!$F$3</definedName>
    <definedName name="Sheet20.scei.InterestInc">[3]EI!$F$2</definedName>
    <definedName name="Sheet20.scei.LTCGWhereSTTPaid">[3]EI!$F$4</definedName>
    <definedName name="Sheet20.scei.NetAgriIncOrOthrIncRule7">[3]EI!$F$5</definedName>
    <definedName name="Sheet20.scei.Others">[3]EI!$F$7</definedName>
    <definedName name="Sheet20.scei.ShareOfProfitFirmAOP">[3]EI!$F$6</definedName>
    <definedName name="Sheet20.scei.TotalExemptInc">[3]EI!$F$8</definedName>
    <definedName name="sheet22.AccountType">'[32]PART C'!$J$46:$J$47</definedName>
    <definedName name="sheet22.YesNo">[3]PART_C!$IV$9:$IV$10</definedName>
    <definedName name="sheet8b.AggregateIncome">[3]PART_B!$J$26</definedName>
    <definedName name="sheet8b.BalanceAfterSetoffLosses">[3]PART_B!$J$20</definedName>
    <definedName name="sheet8b.BroughtFwdLossesSetoff">[3]PART_B!$J$21</definedName>
    <definedName name="sheet8b.CurrentYearLoss">[3]PART_B!$J$19</definedName>
    <definedName name="sheet8b.DeductionsUnderScheduleVIA">[3]PART_B!$J$23</definedName>
    <definedName name="sheet8b.FromOwnRaceHorse">[3]PART_B!$H$16</definedName>
    <definedName name="sheet8b.GrossTotalIncome">[3]PART_B!$J$22</definedName>
    <definedName name="sheet8b.IncomeFromHP">[3]PART_B!$J$2</definedName>
    <definedName name="sheet8b.LongTerm">[3]PART_B!$H$12</definedName>
    <definedName name="sheet8b.LossesOfCurrentYearCarriedFwd">[3]PART_B!$J$27</definedName>
    <definedName name="sheet8b.NetAgricultureIncomeOrOtherIncomeForRate">[3]PART_B!$J$25</definedName>
    <definedName name="sheet8b.OtherSrcThanOwnRaceHorse">[3]PART_B!$H$15</definedName>
    <definedName name="sheet8b.ProfGainNoSpecBus">[3]PART_B!$H$4</definedName>
    <definedName name="sheet8b.ProfGainSpecBus">[3]PART_B!$H$5</definedName>
    <definedName name="sheet8b.ShortTermOther">[3]PART_B!$H$10</definedName>
    <definedName name="sheet8b.ShortTermUs111A">[3]PART_B!$H$9</definedName>
    <definedName name="sheet8b.TotalCapGains">[3]PART_B!$J$13</definedName>
    <definedName name="sheet8b.TotalIncome">[3]PART_B!$J$24</definedName>
    <definedName name="sheet8b.TotalShortTerm">[3]PART_B!$H$11</definedName>
    <definedName name="sheet8b.TotalTI">[3]PART_B!$J$18</definedName>
    <definedName name="sheet8b.TotIncFromOS">[3]PART_B!$J$17</definedName>
    <definedName name="sheet8b.TotProfBusGain">[3]PART_B!$J$6</definedName>
    <definedName name="sheet9.AdvanceTax">[3]PART_B!$H$56</definedName>
    <definedName name="sheet9.AggregateTaxInterestLiability">[3]PART_B!$J$54</definedName>
    <definedName name="sheet9.AssesseeVerName">[3]PART_C!$F$28</definedName>
    <definedName name="sheet9.BalTaxPayable">[3]PART_B!$J$40</definedName>
    <definedName name="sheet9.BalTaxPayable1">[3]PART_B!$J$61</definedName>
    <definedName name="sheet9.BankAccountNumber">[3]PART_C!$J$37</definedName>
    <definedName name="sheet9.BankAccountType1">[3]PART_C!$J$40</definedName>
    <definedName name="sheet9.Capacity">[3]PART_C!$F$33</definedName>
    <definedName name="sheet9.Date">[3]PART_C!$F$35</definedName>
    <definedName name="sheet9.EcsRequired">[3]PART_C!$J$38</definedName>
    <definedName name="sheet9.EducationCess">[3]PART_B!$J$42</definedName>
    <definedName name="sheet9.FatherName">[3]PART_C!$F$29</definedName>
    <definedName name="sheet9.GrossTaxLiability">[3]PART_B!$J$43</definedName>
    <definedName name="sheet9.IntrstPayUs234A">[3]PART_B!$H$50</definedName>
    <definedName name="sheet9.IntrstPayUs234B">[3]PART_B!$H$51</definedName>
    <definedName name="sheet9.IntrstPayUs234C">[3]PART_B!$H$52</definedName>
    <definedName name="sheet9.MICRCode">[3]PART_C!$J$39</definedName>
    <definedName name="sheet9.NetTaxLiability">[3]PART_B!$J$48</definedName>
    <definedName name="sheet9.Place">[3]PART_C!$F$34</definedName>
    <definedName name="sheet9.RebateUs88E">[3]PART_B!$J$39</definedName>
    <definedName name="sheet9.RefundDue">[3]PART_B!$J$62</definedName>
    <definedName name="sheet9.Section90">[3]PART_B!$H$45</definedName>
    <definedName name="sheet9.Section91">[3]PART_B!$H$46</definedName>
    <definedName name="sheet9.SelfAssessmentTax">[3]PART_B!$H$59</definedName>
    <definedName name="sheet9.SurchargeOnTaxPayable">[3]PART_B!$J$41</definedName>
    <definedName name="sheet9.TaxAtNormalRatesOnAggrInc">[3]PART_B!$H$33</definedName>
    <definedName name="sheet9.TaxAtSpecialRates">[3]PART_B!$H$34</definedName>
    <definedName name="sheet9.TaxPayableOnTotInc">[3]PART_B!$J$35</definedName>
    <definedName name="sheet9.TCS">[3]PART_B!$H$58</definedName>
    <definedName name="sheet9.TDS">[3]PART_B!$H$57</definedName>
    <definedName name="sheet9.TotalIntrstPay">[3]PART_B!$J$53</definedName>
    <definedName name="sheet9.TotalTaxesPaid">[3]PART_B!$J$60</definedName>
    <definedName name="sheet9.TotTaxRelief">[3]PART_B!$J$47</definedName>
    <definedName name="SHHET4" localSheetId="7">#REF!</definedName>
    <definedName name="SHHET4" localSheetId="8">#REF!</definedName>
    <definedName name="SHHET4" localSheetId="6">#REF!</definedName>
    <definedName name="SHHET4" localSheetId="9">#REF!</definedName>
    <definedName name="SHHET4" localSheetId="10">#REF!</definedName>
    <definedName name="SHHET4" localSheetId="11">#REF!</definedName>
    <definedName name="SHHET4">#REF!</definedName>
    <definedName name="SI">[3]Pre_XML!$E$8</definedName>
    <definedName name="SI.SecCode">[3]SI!$C$3:$C$12</definedName>
    <definedName name="SI.SplRateInc">[3]SI!$E$3:$E$12</definedName>
    <definedName name="SI.SplRateIncTax">[3]SI!$F$3:$F$12</definedName>
    <definedName name="SI.SplRatePercent">[3]SI!$D$3:$D$12</definedName>
    <definedName name="SI.TotSplRateIncTax">[3]SI!$F$13</definedName>
    <definedName name="Software">'[9]Note-P'!$F$73</definedName>
    <definedName name="Staff_Welfare">'[9]Note-P'!$F$83</definedName>
    <definedName name="Stamp">'[9]Note-P'!$F$62</definedName>
    <definedName name="states">'[33]Part A General'!$F$3:$F$38</definedName>
    <definedName name="STB">[9]BS!$H$27</definedName>
    <definedName name="stcg.BFAllUs35Cl4Setoff3">'[3]CYLA BFLA'!$G$19</definedName>
    <definedName name="stcg.BFlossPrevYrUndSameHeadSetoff3">'[3]CYLA BFLA'!$E$19</definedName>
    <definedName name="stcg.BFUnabsorbedDeprSetoff3">'[3]CYLA BFLA'!$F$19</definedName>
    <definedName name="stcg.BusLossSetoff1">'[3]CYLA BFLA'!$F$8</definedName>
    <definedName name="stcg.HPlossCurYrSetoff1">'[3]CYLA BFLA'!$E$8</definedName>
    <definedName name="stcg.IncOfCurYrAfterSetOff1">'[3]CYLA BFLA'!$H$8</definedName>
    <definedName name="stcg.IncOfCurYrAfterSetOffBFLosses3">'[3]CYLA BFLA'!$H$19</definedName>
    <definedName name="stcg.IncOfCurYrUnderThatHead1">'[3]CYLA BFLA'!$D$8</definedName>
    <definedName name="stcg.IncOfCurYrUndHeadFromCYLA3">'[3]CYLA BFLA'!$D$19</definedName>
    <definedName name="stcg.OthSrcLossNoRaceHorseSetoff1">'[3]CYLA BFLA'!$G$8</definedName>
    <definedName name="STL">[9]BS!$H$56</definedName>
    <definedName name="STP">[9]BS!$H$30</definedName>
    <definedName name="STPA10">[3]Pre_XML!$B$10</definedName>
    <definedName name="STPA10.DedFromUndertaking">'[3]10A'!$F$3</definedName>
    <definedName name="STPA10.TotalDedUs10Sub">'[3]10A'!$H$4</definedName>
    <definedName name="STTC.RebateUs88E">'[3]80_'!$I$63</definedName>
    <definedName name="STTC.STTNonSpecBusUsA34">'[3]80_'!$G$58</definedName>
    <definedName name="STTC.STTPaid">'[3]80_'!$G$62</definedName>
    <definedName name="STTC.STTSpecBusUsB38">'[3]80_'!$G$59</definedName>
    <definedName name="STTC.TaxPaySTTAvgRate">'[3]80_'!$G$61</definedName>
    <definedName name="STTC.TotChrgAmtSTT">'[3]80_'!$I$60</definedName>
    <definedName name="t_ben">[3]GENERAL2!$B$31</definedName>
    <definedName name="t_bo">[3]GENERAL2!$B$8</definedName>
    <definedName name="t_md">[3]GENERAL2!$B$17</definedName>
    <definedName name="TA">[9]BS!$H$39</definedName>
    <definedName name="Tax_CY">[14]Index!$G$5</definedName>
    <definedName name="Tax_NY">[14]Index!$G$6</definedName>
    <definedName name="Tax_Prov_c.g" localSheetId="7" hidden="1">{#N/A,#N/A,FALSE,"Aging Summary";#N/A,#N/A,FALSE,"Ratio Analysis";#N/A,#N/A,FALSE,"Test 120 Day Accts";#N/A,#N/A,FALSE,"Tickmarks"}</definedName>
    <definedName name="Tax_Prov_c.g" localSheetId="8" hidden="1">{#N/A,#N/A,FALSE,"Aging Summary";#N/A,#N/A,FALSE,"Ratio Analysis";#N/A,#N/A,FALSE,"Test 120 Day Accts";#N/A,#N/A,FALSE,"Tickmarks"}</definedName>
    <definedName name="Tax_Prov_c.g" localSheetId="6" hidden="1">{#N/A,#N/A,FALSE,"Aging Summary";#N/A,#N/A,FALSE,"Ratio Analysis";#N/A,#N/A,FALSE,"Test 120 Day Accts";#N/A,#N/A,FALSE,"Tickmarks"}</definedName>
    <definedName name="Tax_Prov_c.g" localSheetId="9" hidden="1">{#N/A,#N/A,FALSE,"Aging Summary";#N/A,#N/A,FALSE,"Ratio Analysis";#N/A,#N/A,FALSE,"Test 120 Day Accts";#N/A,#N/A,FALSE,"Tickmarks"}</definedName>
    <definedName name="Tax_Prov_c.g" localSheetId="10" hidden="1">{#N/A,#N/A,FALSE,"Aging Summary";#N/A,#N/A,FALSE,"Ratio Analysis";#N/A,#N/A,FALSE,"Test 120 Day Accts";#N/A,#N/A,FALSE,"Tickmarks"}</definedName>
    <definedName name="Tax_Prov_c.g" localSheetId="11" hidden="1">{#N/A,#N/A,FALSE,"Aging Summary";#N/A,#N/A,FALSE,"Ratio Analysis";#N/A,#N/A,FALSE,"Test 120 Day Accts";#N/A,#N/A,FALSE,"Tickmarks"}</definedName>
    <definedName name="Tax_Prov_c.g" hidden="1">{#N/A,#N/A,FALSE,"Aging Summary";#N/A,#N/A,FALSE,"Ratio Analysis";#N/A,#N/A,FALSE,"Test 120 Day Accts";#N/A,#N/A,FALSE,"Tickmarks"}</definedName>
    <definedName name="TB_Date">[34]Trial!$A$1</definedName>
    <definedName name="tcs" localSheetId="7">'[2]Other notes'!#REF!</definedName>
    <definedName name="tcs" localSheetId="8">'[2]Other notes'!#REF!</definedName>
    <definedName name="tcs" localSheetId="6">'[2]Other notes'!#REF!</definedName>
    <definedName name="tcs" localSheetId="9">'[2]Other notes'!#REF!</definedName>
    <definedName name="tcs" localSheetId="10">'[2]Other notes'!#REF!</definedName>
    <definedName name="tcs" localSheetId="11">'[2]Other notes'!#REF!</definedName>
    <definedName name="tcs">'[2]Other notes'!#REF!</definedName>
    <definedName name="TEST0" localSheetId="7">#REF!</definedName>
    <definedName name="TEST0" localSheetId="8">#REF!</definedName>
    <definedName name="TEST0" localSheetId="6">#REF!</definedName>
    <definedName name="TEST0" localSheetId="9">#REF!</definedName>
    <definedName name="TEST0" localSheetId="10">#REF!</definedName>
    <definedName name="TEST0" localSheetId="11">#REF!</definedName>
    <definedName name="TEST0">#REF!</definedName>
    <definedName name="TEST1" localSheetId="7">#REF!</definedName>
    <definedName name="TEST1" localSheetId="8">#REF!</definedName>
    <definedName name="TEST1" localSheetId="6">#REF!</definedName>
    <definedName name="TEST1" localSheetId="9">#REF!</definedName>
    <definedName name="TEST1" localSheetId="10">#REF!</definedName>
    <definedName name="TEST1" localSheetId="11">#REF!</definedName>
    <definedName name="TEST1">#REF!</definedName>
    <definedName name="TEST2" localSheetId="7">#REF!</definedName>
    <definedName name="TEST2" localSheetId="8">#REF!</definedName>
    <definedName name="TEST2" localSheetId="6">#REF!</definedName>
    <definedName name="TEST2" localSheetId="9">#REF!</definedName>
    <definedName name="TEST2" localSheetId="10">#REF!</definedName>
    <definedName name="TEST2" localSheetId="11">#REF!</definedName>
    <definedName name="TEST2">#REF!</definedName>
    <definedName name="TEST3" localSheetId="7">#REF!</definedName>
    <definedName name="TEST3" localSheetId="8">#REF!</definedName>
    <definedName name="TEST3" localSheetId="6">#REF!</definedName>
    <definedName name="TEST3" localSheetId="9">#REF!</definedName>
    <definedName name="TEST3" localSheetId="10">#REF!</definedName>
    <definedName name="TEST3" localSheetId="11">#REF!</definedName>
    <definedName name="TEST3">#REF!</definedName>
    <definedName name="TESTHKEY" localSheetId="7">#REF!</definedName>
    <definedName name="TESTHKEY" localSheetId="8">#REF!</definedName>
    <definedName name="TESTHKEY" localSheetId="6">#REF!</definedName>
    <definedName name="TESTHKEY" localSheetId="9">#REF!</definedName>
    <definedName name="TESTHKEY" localSheetId="10">#REF!</definedName>
    <definedName name="TESTHKEY" localSheetId="11">#REF!</definedName>
    <definedName name="TESTHKEY">#REF!</definedName>
    <definedName name="TESTKEYS" localSheetId="7">#REF!</definedName>
    <definedName name="TESTKEYS" localSheetId="8">#REF!</definedName>
    <definedName name="TESTKEYS" localSheetId="6">#REF!</definedName>
    <definedName name="TESTKEYS" localSheetId="9">#REF!</definedName>
    <definedName name="TESTKEYS" localSheetId="10">#REF!</definedName>
    <definedName name="TESTKEYS" localSheetId="11">#REF!</definedName>
    <definedName name="TESTKEYS">#REF!</definedName>
    <definedName name="TESTVKEY" localSheetId="7">#REF!</definedName>
    <definedName name="TESTVKEY" localSheetId="8">#REF!</definedName>
    <definedName name="TESTVKEY" localSheetId="6">#REF!</definedName>
    <definedName name="TESTVKEY" localSheetId="9">#REF!</definedName>
    <definedName name="TESTVKEY" localSheetId="10">#REF!</definedName>
    <definedName name="TESTVKEY" localSheetId="11">#REF!</definedName>
    <definedName name="TESTVKEY">#REF!</definedName>
    <definedName name="TextRefCopyRangeCount" hidden="1">1</definedName>
    <definedName name="Threshold" localSheetId="7">#REF!</definedName>
    <definedName name="Threshold" localSheetId="8">#REF!</definedName>
    <definedName name="Threshold" localSheetId="6">#REF!</definedName>
    <definedName name="Threshold" localSheetId="9">#REF!</definedName>
    <definedName name="Threshold" localSheetId="10">#REF!</definedName>
    <definedName name="Threshold" localSheetId="11">#REF!</definedName>
    <definedName name="Threshold">#REF!</definedName>
    <definedName name="TL">[9]BS!$H$60</definedName>
    <definedName name="Today">[25]Provisions!$C$1</definedName>
    <definedName name="totcfloss.BusLossOthThanSpecLossCF11">[3]CFL!$F$14</definedName>
    <definedName name="totcfloss.HPLossCF11">[3]CFL!$E$14</definedName>
    <definedName name="totcfloss.LossFrmSpecBusCF11">[3]CFL!$G$14</definedName>
    <definedName name="totcfloss.LTCGLossCF11">[3]CFL!$I$14</definedName>
    <definedName name="totcfloss.OthSrcLossNotRaceHorseCF11">[3]CFL!$J$14</definedName>
    <definedName name="totcfloss.OthSrcLossRaceHorseCF11">[3]CFL!$K$14</definedName>
    <definedName name="totcfloss.STCGLossCF11">[3]CFL!$H$14</definedName>
    <definedName name="totofbfloss.BusLossOthThanSpecLossCF8">[3]CFL!$F$11</definedName>
    <definedName name="totofbfloss.HPLossCF8">[3]CFL!$E$11</definedName>
    <definedName name="totofbfloss.LossFrmSpecBusCF8">[3]CFL!$G$11</definedName>
    <definedName name="totofbfloss.LTCGLossCF8">[3]CFL!$I$11</definedName>
    <definedName name="totofbfloss.OthSrcLossNotRaceHorseCF8">[3]CFL!$J$11</definedName>
    <definedName name="totofbfloss.OthSrcLossRaceHorseCF8">[3]CFL!$K$11</definedName>
    <definedName name="totofbfloss.STCGLossCF8">[3]CFL!$H$11</definedName>
    <definedName name="TP">[9]BS!$H$28</definedName>
    <definedName name="TR">[9]BS!$H$54</definedName>
    <definedName name="Trans_BS_DT">[11]Index!$E$11</definedName>
    <definedName name="Travelling">'[9]Note-P'!$F$116</definedName>
    <definedName name="Trial">[25]Trial!$A$1:$B$65536</definedName>
    <definedName name="TYPE">[24]VALIDATION_LIST!$A$252:$A$256</definedName>
    <definedName name="VIA.Section80G">'[3]80_'!$G$42</definedName>
    <definedName name="VIA.Section80GGA">'[3]80_'!$G$43</definedName>
    <definedName name="VIA.Section80GGC">'[3]80_'!$G$45</definedName>
    <definedName name="VIA.Section80IA">'[3]80_'!$G$46</definedName>
    <definedName name="VIA.Section80IAB">'[3]80_'!$G$47</definedName>
    <definedName name="VIA.Section80IB">'[3]80_'!$G$48</definedName>
    <definedName name="VIA.Section80IC">'[3]80_'!$G$49</definedName>
    <definedName name="VIA.Section80JJA">'[3]80_'!$G$50</definedName>
    <definedName name="VIA.Section80JJAA">'[3]80_'!$G$51</definedName>
    <definedName name="VIA.Section80LA">'[3]80_'!$G$53</definedName>
    <definedName name="VIA.Section80P">'[3]80_'!$G$52</definedName>
    <definedName name="VIA.SectionGGB">'[3]80_'!$G$44</definedName>
    <definedName name="VIA.TotalChapVIADeductions">'[3]80_'!$I$54</definedName>
    <definedName name="VL_Intt">'[9]Note-P'!$F$99</definedName>
    <definedName name="w">[29]BS!$H$13</definedName>
    <definedName name="WCL_Intt">'[9]Note-P'!$F$98</definedName>
    <definedName name="we" localSheetId="7" hidden="1">{#N/A,#N/A,FALSE,"Aging Summary";#N/A,#N/A,FALSE,"Ratio Analysis";#N/A,#N/A,FALSE,"Test 120 Day Accts";#N/A,#N/A,FALSE,"Tickmarks"}</definedName>
    <definedName name="we" localSheetId="8" hidden="1">{#N/A,#N/A,FALSE,"Aging Summary";#N/A,#N/A,FALSE,"Ratio Analysis";#N/A,#N/A,FALSE,"Test 120 Day Accts";#N/A,#N/A,FALSE,"Tickmarks"}</definedName>
    <definedName name="we" localSheetId="6" hidden="1">{#N/A,#N/A,FALSE,"Aging Summary";#N/A,#N/A,FALSE,"Ratio Analysis";#N/A,#N/A,FALSE,"Test 120 Day Accts";#N/A,#N/A,FALSE,"Tickmarks"}</definedName>
    <definedName name="we" localSheetId="9" hidden="1">{#N/A,#N/A,FALSE,"Aging Summary";#N/A,#N/A,FALSE,"Ratio Analysis";#N/A,#N/A,FALSE,"Test 120 Day Accts";#N/A,#N/A,FALSE,"Tickmarks"}</definedName>
    <definedName name="we" localSheetId="10" hidden="1">{#N/A,#N/A,FALSE,"Aging Summary";#N/A,#N/A,FALSE,"Ratio Analysis";#N/A,#N/A,FALSE,"Test 120 Day Accts";#N/A,#N/A,FALSE,"Tickmarks"}</definedName>
    <definedName name="we" localSheetId="11" hidden="1">{#N/A,#N/A,FALSE,"Aging Summary";#N/A,#N/A,FALSE,"Ratio Analysis";#N/A,#N/A,FALSE,"Test 120 Day Accts";#N/A,#N/A,FALSE,"Tickmarks"}</definedName>
    <definedName name="we" hidden="1">{#N/A,#N/A,FALSE,"Aging Summary";#N/A,#N/A,FALSE,"Ratio Analysis";#N/A,#N/A,FALSE,"Test 120 Day Accts";#N/A,#N/A,FALSE,"Tickmarks"}</definedName>
    <definedName name="wrn.Aging._.and._.Trend._.Analysis." localSheetId="7" hidden="1">{#N/A,#N/A,FALSE,"Aging Summary";#N/A,#N/A,FALSE,"Ratio Analysis";#N/A,#N/A,FALSE,"Test 120 Day Accts";#N/A,#N/A,FALSE,"Tickmarks"}</definedName>
    <definedName name="wrn.Aging._.and._.Trend._.Analysis." localSheetId="8"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localSheetId="9" hidden="1">{#N/A,#N/A,FALSE,"Aging Summary";#N/A,#N/A,FALSE,"Ratio Analysis";#N/A,#N/A,FALSE,"Test 120 Day Accts";#N/A,#N/A,FALSE,"Tickmarks"}</definedName>
    <definedName name="wrn.Aging._.and._.Trend._.Analysis." localSheetId="10" hidden="1">{#N/A,#N/A,FALSE,"Aging Summary";#N/A,#N/A,FALSE,"Ratio Analysis";#N/A,#N/A,FALSE,"Test 120 Day Accts";#N/A,#N/A,FALSE,"Tickmarks"}</definedName>
    <definedName name="wrn.Aging._.and._.Trend._.Analysis." localSheetId="1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T">[9]BS!$H$14</definedName>
    <definedName name="wwww">[29]BS!$H$13</definedName>
    <definedName name="x_color">[3]Instructions!$B$34</definedName>
    <definedName name="x_dataentry" localSheetId="7">[35]Instructions!#REF!</definedName>
    <definedName name="x_dataentry" localSheetId="8">[35]Instructions!#REF!</definedName>
    <definedName name="x_dataentry" localSheetId="6">[35]Instructions!#REF!</definedName>
    <definedName name="x_dataentry" localSheetId="9">[35]Instructions!#REF!</definedName>
    <definedName name="x_dataentry" localSheetId="10">[35]Instructions!#REF!</definedName>
    <definedName name="x_dataentry" localSheetId="11">[35]Instructions!#REF!</definedName>
    <definedName name="x_dataentry">[35]Instructions!#REF!</definedName>
    <definedName name="x_formulae">[3]Instructions!$B$31</definedName>
    <definedName name="x_navigation">[3]Instructions!$B$25</definedName>
    <definedName name="x_rows">[3]Instructions!$B$40</definedName>
    <definedName name="X255QTY">[36]xSeries255!$D$13:$D$42,[36]xSeries255!$D$45:$D$448</definedName>
    <definedName name="xd" localSheetId="7" hidden="1">{#N/A,#N/A,FALSE,"Aging Summary";#N/A,#N/A,FALSE,"Ratio Analysis";#N/A,#N/A,FALSE,"Test 120 Day Accts";#N/A,#N/A,FALSE,"Tickmarks"}</definedName>
    <definedName name="xd" localSheetId="8" hidden="1">{#N/A,#N/A,FALSE,"Aging Summary";#N/A,#N/A,FALSE,"Ratio Analysis";#N/A,#N/A,FALSE,"Test 120 Day Accts";#N/A,#N/A,FALSE,"Tickmarks"}</definedName>
    <definedName name="xd" localSheetId="6" hidden="1">{#N/A,#N/A,FALSE,"Aging Summary";#N/A,#N/A,FALSE,"Ratio Analysis";#N/A,#N/A,FALSE,"Test 120 Day Accts";#N/A,#N/A,FALSE,"Tickmarks"}</definedName>
    <definedName name="xd" localSheetId="9" hidden="1">{#N/A,#N/A,FALSE,"Aging Summary";#N/A,#N/A,FALSE,"Ratio Analysis";#N/A,#N/A,FALSE,"Test 120 Day Accts";#N/A,#N/A,FALSE,"Tickmarks"}</definedName>
    <definedName name="xd" localSheetId="10" hidden="1">{#N/A,#N/A,FALSE,"Aging Summary";#N/A,#N/A,FALSE,"Ratio Analysis";#N/A,#N/A,FALSE,"Test 120 Day Accts";#N/A,#N/A,FALSE,"Tickmarks"}</definedName>
    <definedName name="xd" localSheetId="11" hidden="1">{#N/A,#N/A,FALSE,"Aging Summary";#N/A,#N/A,FALSE,"Ratio Analysis";#N/A,#N/A,FALSE,"Test 120 Day Accts";#N/A,#N/A,FALSE,"Tickmarks"}</definedName>
    <definedName name="xd" hidden="1">{#N/A,#N/A,FALSE,"Aging Summary";#N/A,#N/A,FALSE,"Ratio Analysis";#N/A,#N/A,FALSE,"Test 120 Day Accts";#N/A,#N/A,FALSE,"Tickmarks"}</definedName>
    <definedName name="xls_1">[3]Instructions!$C$13</definedName>
    <definedName name="xls_2">[3]Instructions!$B$28</definedName>
    <definedName name="xls_3">[3]Instructions!$B$41</definedName>
    <definedName name="xls_4">[3]Instructions!$B$47</definedName>
    <definedName name="xls_5">[3]Instructions!$B$54</definedName>
    <definedName name="xls_6">[3]Instructions!$B$74</definedName>
    <definedName name="xls_7">[3]Instructions!$B$77</definedName>
    <definedName name="xls_8">[3]Instructions!$B$82</definedName>
    <definedName name="xls_9">[3]Instructions!$B$86</definedName>
    <definedName name="XSER255">[36]xSeries255!$A$13:$M$42,[36]xSeries255!$A$45:$M$448</definedName>
    <definedName name="yr1999.BusLossOthThanSpecLossCF">[3]CFL!$F$3</definedName>
    <definedName name="yr1999.DateOfFiling">[3]CFL!$D$3</definedName>
    <definedName name="yr1999.HPLossCF">[3]CFL!$E$3</definedName>
    <definedName name="yr1999.LossFrmSpecBusCF">[3]CFL!$G$3</definedName>
    <definedName name="yr1999.LTCGLossCF">[3]CFL!$I$3</definedName>
    <definedName name="yr1999.OthSrcLossNotRaceHorseCF">[3]CFL!$J$3</definedName>
    <definedName name="yr1999.OthSrcLossRaceHorseCF">[3]CFL!$K$3</definedName>
    <definedName name="yr1999.STCGLossCF">[3]CFL!$H$3</definedName>
    <definedName name="yr2000.BusLossOthThanSpecLossCF1">[3]CFL!$F$4</definedName>
    <definedName name="yr2000.DateOfFiling1">[3]CFL!$D$4</definedName>
    <definedName name="yr2000.HPLossCF1">[3]CFL!$E$4</definedName>
    <definedName name="yr2000.LossFrmSpecBusCF1">[3]CFL!$G$4</definedName>
    <definedName name="yr2000.LTCGLossCF1">[3]CFL!$I$4</definedName>
    <definedName name="yr2000.OthSrcLossNotRaceHorseCF1">[3]CFL!$J$4</definedName>
    <definedName name="yr2000.OthSrcLossRaceHorseCF1">[3]CFL!$K$4</definedName>
    <definedName name="yr2000.STCGLossCF1">[3]CFL!$H$4</definedName>
    <definedName name="yr2001.BusLossOthThanSpecLossCF2">[3]CFL!$F$5</definedName>
    <definedName name="yr2001.DateOfFiling2">[3]CFL!$D$5</definedName>
    <definedName name="yr2001.HPLossCF2">[3]CFL!$E$5</definedName>
    <definedName name="yr2001.LossFrmSpecBusCF2">[3]CFL!$G$5</definedName>
    <definedName name="yr2001.LTCGLossCF2">[3]CFL!$I$5</definedName>
    <definedName name="yr2001.OthSrcLossNotRaceHorseCF2">[3]CFL!$J$5</definedName>
    <definedName name="yr2001.OthSrcLossRaceHorseCF2">[3]CFL!$K$5</definedName>
    <definedName name="yr2001.STCGLossCF2">[3]CFL!$H$5</definedName>
    <definedName name="yr2002.BusLossOthThanSpecLossCF3">[3]CFL!$F$6</definedName>
    <definedName name="yr2002.DateOfFiling3">[3]CFL!$D$6</definedName>
    <definedName name="yr2002.HPLossCF3">[3]CFL!$E$6</definedName>
    <definedName name="yr2002.LossFrmSpecBusCF3">[3]CFL!$G$6</definedName>
    <definedName name="yr2002.LTCGLossCF3">[3]CFL!$I$6</definedName>
    <definedName name="yr2002.OthSrcLossNotRaceHorseCF3">[3]CFL!$J$6</definedName>
    <definedName name="yr2002.OthSrcLossRaceHorseCF3">[3]CFL!$K$6</definedName>
    <definedName name="yr2002.STCGLossCF3">[3]CFL!$H$6</definedName>
    <definedName name="yr2003.BusLossOthThanSpecLossCF4">[3]CFL!$F$7</definedName>
    <definedName name="yr2003.DateOfFiling4">[3]CFL!$D$7</definedName>
    <definedName name="yr2003.HPLossCF4">[3]CFL!$E$7</definedName>
    <definedName name="yr2003.LossFrmSpecBusCF4">[3]CFL!$G$7</definedName>
    <definedName name="yr2003.LTCGLossCF4">[3]CFL!$I$7</definedName>
    <definedName name="yr2003.OthSrcLossNotRaceHorseCF4">[3]CFL!$J$7</definedName>
    <definedName name="yr2003.OthSrcLossRaceHorseCF4">[3]CFL!$K$7</definedName>
    <definedName name="yr2003.STCGLossCF4">[3]CFL!$H$7</definedName>
    <definedName name="yr2004.BusLossOthThanSpecLossCF5">[3]CFL!$F$8</definedName>
    <definedName name="yr2004.DateOfFiling5">[3]CFL!$D$8</definedName>
    <definedName name="yr2004.HPLossCF5">[3]CFL!$E$8</definedName>
    <definedName name="yr2004.LossFrmSpecBusCF5">[3]CFL!$G$8</definedName>
    <definedName name="yr2004.LTCGLossCF5">[3]CFL!$I$8</definedName>
    <definedName name="yr2004.OthSrcLossNotRaceHorseCF5">[3]CFL!$J$8</definedName>
    <definedName name="yr2004.OthSrcLossRaceHorseCF5">[3]CFL!$K$8</definedName>
    <definedName name="yr2004.STCGLossCF5">[3]CFL!$H$8</definedName>
    <definedName name="yr2005.BusLossOthThanSpecLossCF6">[3]CFL!$F$9</definedName>
    <definedName name="yr2005.DateOfFiling6">[3]CFL!$D$9</definedName>
    <definedName name="yr2005.HPLossCF6">[3]CFL!$E$9</definedName>
    <definedName name="yr2005.LossFrmSpecBusCF6">[3]CFL!$G$9</definedName>
    <definedName name="yr2005.LTCGLossCF6">[3]CFL!$I$9</definedName>
    <definedName name="yr2005.OthSrcLossNotRaceHorseCF6">[3]CFL!$J$9</definedName>
    <definedName name="yr2005.OthSrcLossRaceHorseCF6">[3]CFL!$K$9</definedName>
    <definedName name="yr2005.STCGLossCF6">[3]CFL!$H$9</definedName>
    <definedName name="yr2006.BusLossOthThanSpecLossCF7">[3]CFL!$F$10</definedName>
    <definedName name="yr2006.DateOfFiling7">[3]CFL!$D$10</definedName>
    <definedName name="yr2006.HPLossCF7">[3]CFL!$E$10</definedName>
    <definedName name="yr2006.LossFrmSpecBusCF7">[3]CFL!$G$10</definedName>
    <definedName name="yr2006.LTCGLossCF7">[3]CFL!$I$10</definedName>
    <definedName name="yr2006.OthSrcLossNotRaceHorseCF7">[3]CFL!$J$10</definedName>
    <definedName name="yr2006.OthSrcLossRaceHorseCF7">[3]CFL!$K$10</definedName>
    <definedName name="yr2006.STCGLossCF7">[3]CFL!$H$10</definedName>
    <definedName name="yr2007.BusLossOthThanSpecLossCF10">[3]CFL!$F$13</definedName>
    <definedName name="yr2007.HPLossCF10">[3]CFL!$E$13</definedName>
    <definedName name="yr2007.LossFrmSpecBusCF10">[3]CFL!$G$13</definedName>
    <definedName name="yr2007.LTCGLossCF10">[3]CFL!$I$13</definedName>
    <definedName name="yr2007.OthSrcLossNotRaceHorseCF10">[3]CFL!$J$13</definedName>
    <definedName name="yr2007.OthSrcLossRaceHorseCF10">[3]CFL!$K$13</definedName>
    <definedName name="yr2007.STCGLossCF10">[3]CFL!$H$13</definedName>
    <definedName name="z" localSheetId="7" hidden="1">{#N/A,#N/A,FALSE,"Aging Summary";#N/A,#N/A,FALSE,"Ratio Analysis";#N/A,#N/A,FALSE,"Test 120 Day Accts";#N/A,#N/A,FALSE,"Tickmarks"}</definedName>
    <definedName name="z" localSheetId="8" hidden="1">{#N/A,#N/A,FALSE,"Aging Summary";#N/A,#N/A,FALSE,"Ratio Analysis";#N/A,#N/A,FALSE,"Test 120 Day Accts";#N/A,#N/A,FALSE,"Tickmarks"}</definedName>
    <definedName name="z" localSheetId="6" hidden="1">{#N/A,#N/A,FALSE,"Aging Summary";#N/A,#N/A,FALSE,"Ratio Analysis";#N/A,#N/A,FALSE,"Test 120 Day Accts";#N/A,#N/A,FALSE,"Tickmarks"}</definedName>
    <definedName name="z" localSheetId="9" hidden="1">{#N/A,#N/A,FALSE,"Aging Summary";#N/A,#N/A,FALSE,"Ratio Analysis";#N/A,#N/A,FALSE,"Test 120 Day Accts";#N/A,#N/A,FALSE,"Tickmarks"}</definedName>
    <definedName name="z" localSheetId="10" hidden="1">{#N/A,#N/A,FALSE,"Aging Summary";#N/A,#N/A,FALSE,"Ratio Analysis";#N/A,#N/A,FALSE,"Test 120 Day Accts";#N/A,#N/A,FALSE,"Tickmarks"}</definedName>
    <definedName name="z" localSheetId="11" hidden="1">{#N/A,#N/A,FALSE,"Aging Summary";#N/A,#N/A,FALSE,"Ratio Analysis";#N/A,#N/A,FALSE,"Test 120 Day Accts";#N/A,#N/A,FALSE,"Tickmarks"}</definedName>
    <definedName name="z" hidden="1">{#N/A,#N/A,FALSE,"Aging Summary";#N/A,#N/A,FALSE,"Ratio Analysis";#N/A,#N/A,FALSE,"Test 120 Day Accts";#N/A,#N/A,FALSE,"Tickmarks"}</definedName>
    <definedName name="zz">'[37]TB - SAP'!$A:$E</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c r="F42" i="12"/>
  <c r="H42" i="12" s="1"/>
  <c r="F38" i="12"/>
  <c r="H38" i="12" s="1"/>
  <c r="F35" i="12"/>
  <c r="H35" i="12" s="1"/>
  <c r="F19" i="12"/>
  <c r="H19" i="12" s="1"/>
  <c r="F12" i="12"/>
  <c r="H12" i="12" s="1"/>
  <c r="F9" i="12"/>
  <c r="H9" i="12" s="1"/>
  <c r="A57" i="7"/>
  <c r="B1" i="12"/>
  <c r="N49" i="12"/>
  <c r="K26" i="12"/>
  <c r="K24" i="12"/>
  <c r="C15" i="12"/>
  <c r="E11" i="11"/>
  <c r="F46" i="12" l="1"/>
  <c r="H46" i="12" s="1"/>
  <c r="F27" i="12" l="1"/>
  <c r="H27" i="12" s="1"/>
  <c r="F23" i="12" l="1"/>
  <c r="H23" i="12" s="1"/>
  <c r="F31" i="12"/>
  <c r="H31" i="12" s="1"/>
  <c r="F15" i="12" l="1"/>
  <c r="H15" i="12" s="1"/>
  <c r="F8" i="13" l="1"/>
  <c r="G8" i="13"/>
  <c r="F9" i="13"/>
  <c r="G9" i="13"/>
  <c r="F10" i="13"/>
  <c r="F11" i="13"/>
  <c r="F12" i="13"/>
  <c r="F7" i="13"/>
  <c r="F6" i="13"/>
  <c r="H9" i="13" l="1"/>
  <c r="H8" i="13"/>
  <c r="A4" i="8"/>
  <c r="G112" i="10"/>
  <c r="F112" i="10"/>
  <c r="G28" i="10"/>
  <c r="F28" i="10"/>
  <c r="H97" i="9"/>
  <c r="G97" i="9"/>
  <c r="H147" i="7"/>
  <c r="G147" i="7"/>
  <c r="A55" i="9"/>
  <c r="A102" i="9" s="1"/>
  <c r="H7" i="9"/>
  <c r="H39" i="9" s="1"/>
  <c r="G7" i="9"/>
  <c r="G39" i="9" s="1"/>
  <c r="G56" i="10"/>
  <c r="F56" i="10"/>
  <c r="A21" i="10"/>
  <c r="H106" i="9" l="1"/>
  <c r="G106" i="9"/>
  <c r="A61" i="10" l="1"/>
  <c r="M20" i="8" l="1"/>
  <c r="K20" i="8"/>
  <c r="G20" i="8"/>
  <c r="G12" i="13"/>
  <c r="H3" i="13"/>
  <c r="F14" i="10"/>
  <c r="G14" i="10"/>
  <c r="A1" i="10"/>
  <c r="A59" i="10" s="1"/>
  <c r="F22" i="8"/>
  <c r="I22" i="8"/>
  <c r="J22" i="8"/>
  <c r="M12" i="8"/>
  <c r="M13" i="8"/>
  <c r="M11" i="8"/>
  <c r="K13" i="8"/>
  <c r="K12" i="8"/>
  <c r="K11" i="8"/>
  <c r="G12" i="8"/>
  <c r="G13" i="8"/>
  <c r="G11" i="8"/>
  <c r="G31" i="10" l="1"/>
  <c r="G37" i="10" s="1"/>
  <c r="G50" i="10" s="1"/>
  <c r="G64" i="10" s="1"/>
  <c r="G73" i="10" s="1"/>
  <c r="G115" i="10" s="1"/>
  <c r="G22" i="10"/>
  <c r="F31" i="10"/>
  <c r="F37" i="10" s="1"/>
  <c r="F50" i="10" s="1"/>
  <c r="F64" i="10" s="1"/>
  <c r="F73" i="10" s="1"/>
  <c r="F115" i="10" s="1"/>
  <c r="F22" i="10"/>
  <c r="L20" i="8"/>
  <c r="H12" i="13"/>
  <c r="G7" i="13"/>
  <c r="H7" i="13" s="1"/>
  <c r="L13" i="8"/>
  <c r="L12" i="8"/>
  <c r="L11" i="8"/>
  <c r="A59" i="7" l="1"/>
  <c r="G38" i="7"/>
  <c r="F38" i="7"/>
  <c r="E38" i="7"/>
  <c r="D38" i="7"/>
  <c r="H45" i="7"/>
  <c r="G45" i="7"/>
  <c r="G7" i="8" l="1"/>
  <c r="K7" i="8" s="1"/>
  <c r="L7" i="8" s="1"/>
  <c r="A5" i="7"/>
  <c r="H130" i="7"/>
  <c r="H129" i="7"/>
  <c r="G15" i="9" l="1"/>
  <c r="G22" i="9" s="1"/>
  <c r="G31" i="9" s="1"/>
  <c r="G47" i="9" s="1"/>
  <c r="G58" i="9" s="1"/>
  <c r="G84" i="9" s="1"/>
  <c r="G92" i="9" s="1"/>
  <c r="H15" i="9"/>
  <c r="H22" i="9" s="1"/>
  <c r="H31" i="9" s="1"/>
  <c r="H47" i="9" s="1"/>
  <c r="H58" i="9" s="1"/>
  <c r="H84" i="9" s="1"/>
  <c r="H92" i="9" s="1"/>
  <c r="H16" i="7"/>
  <c r="G24" i="7" s="1"/>
  <c r="G16" i="7"/>
  <c r="G41" i="7" s="1"/>
  <c r="G61" i="7" s="1"/>
  <c r="G73" i="7" s="1"/>
  <c r="G82" i="7" s="1"/>
  <c r="G90" i="7" s="1"/>
  <c r="G103" i="7" s="1"/>
  <c r="G138" i="7" s="1"/>
  <c r="G150" i="7" s="1"/>
  <c r="E5" i="14"/>
  <c r="G5" i="10"/>
  <c r="G63" i="10" s="1"/>
  <c r="H5" i="9"/>
  <c r="M5" i="8"/>
  <c r="H5" i="7"/>
  <c r="H40" i="7" s="1"/>
  <c r="G19" i="10"/>
  <c r="F19" i="10"/>
  <c r="G11" i="10"/>
  <c r="F11" i="10"/>
  <c r="G113" i="9"/>
  <c r="H41" i="7" l="1"/>
  <c r="H61" i="7" s="1"/>
  <c r="H73" i="7" s="1"/>
  <c r="H82" i="7" s="1"/>
  <c r="H90" i="7" s="1"/>
  <c r="H103" i="7" s="1"/>
  <c r="H138" i="7" s="1"/>
  <c r="H150" i="7" s="1"/>
  <c r="E24" i="7"/>
  <c r="A113" i="7"/>
  <c r="F13" i="35" l="1"/>
  <c r="E13" i="35"/>
  <c r="D13" i="35"/>
  <c r="C13" i="35"/>
  <c r="B13" i="35"/>
  <c r="A13" i="35"/>
  <c r="I17" i="32"/>
  <c r="H17" i="32"/>
  <c r="G17" i="32"/>
  <c r="F17" i="32"/>
  <c r="E17" i="32"/>
  <c r="D17" i="32"/>
  <c r="C17" i="31"/>
  <c r="B17" i="31"/>
  <c r="F15" i="30"/>
  <c r="E15" i="30"/>
  <c r="D15" i="30"/>
  <c r="C15" i="30"/>
  <c r="G15" i="28"/>
  <c r="F15" i="28"/>
  <c r="E15" i="28"/>
  <c r="D15" i="28"/>
  <c r="C15" i="28"/>
  <c r="B15" i="28"/>
  <c r="G15" i="27"/>
  <c r="F15" i="27"/>
  <c r="D15" i="27"/>
  <c r="G17" i="26"/>
  <c r="F17" i="26"/>
  <c r="E17" i="26"/>
  <c r="I17" i="25"/>
  <c r="H17" i="25"/>
  <c r="G17" i="25"/>
  <c r="F17" i="25"/>
  <c r="E17" i="25"/>
  <c r="D17" i="25"/>
  <c r="C17" i="25"/>
  <c r="A1" i="14"/>
  <c r="D14" i="13"/>
  <c r="E14" i="13"/>
  <c r="A1" i="13"/>
  <c r="E7" i="11"/>
  <c r="B1" i="11"/>
  <c r="H20" i="5"/>
  <c r="G45" i="10"/>
  <c r="J39" i="10"/>
  <c r="H48" i="9"/>
  <c r="F41" i="10"/>
  <c r="G34" i="10"/>
  <c r="F34" i="10"/>
  <c r="H10" i="5"/>
  <c r="G10" i="5"/>
  <c r="H9" i="5"/>
  <c r="G9" i="5"/>
  <c r="J2" i="10" s="1"/>
  <c r="E51" i="4"/>
  <c r="H113" i="9"/>
  <c r="C75" i="9"/>
  <c r="H75" i="9" s="1"/>
  <c r="G62" i="9"/>
  <c r="G35" i="9"/>
  <c r="E43" i="4" s="1"/>
  <c r="H19" i="9"/>
  <c r="F41" i="4" s="1"/>
  <c r="G19" i="9"/>
  <c r="E41" i="4" s="1"/>
  <c r="G19" i="5"/>
  <c r="H11" i="6" s="1"/>
  <c r="K17" i="8"/>
  <c r="K16" i="8"/>
  <c r="K15" i="8"/>
  <c r="A2" i="8"/>
  <c r="H121" i="7"/>
  <c r="H120" i="7"/>
  <c r="D127" i="7"/>
  <c r="H127" i="7" s="1"/>
  <c r="H35" i="7"/>
  <c r="H38" i="7" s="1"/>
  <c r="H21" i="7"/>
  <c r="H12" i="7"/>
  <c r="F12" i="4" s="1"/>
  <c r="G12" i="7"/>
  <c r="E12" i="4" s="1"/>
  <c r="C60" i="6"/>
  <c r="I59" i="6"/>
  <c r="G59" i="6"/>
  <c r="C59" i="6"/>
  <c r="I58" i="6"/>
  <c r="G58" i="6"/>
  <c r="C58" i="6"/>
  <c r="I56" i="6"/>
  <c r="G56" i="6"/>
  <c r="C56" i="6"/>
  <c r="C53" i="6"/>
  <c r="C51" i="6"/>
  <c r="I38" i="6"/>
  <c r="H38" i="6"/>
  <c r="I31" i="6"/>
  <c r="C58" i="5"/>
  <c r="H57" i="5"/>
  <c r="F57" i="5"/>
  <c r="C57" i="5"/>
  <c r="H56" i="5"/>
  <c r="F56" i="5"/>
  <c r="C56" i="5"/>
  <c r="H54" i="5"/>
  <c r="F54" i="5"/>
  <c r="C54" i="5"/>
  <c r="C50" i="5"/>
  <c r="F49" i="5"/>
  <c r="C48" i="5"/>
  <c r="I11" i="6"/>
  <c r="R17" i="5"/>
  <c r="P4" i="5"/>
  <c r="D70" i="4"/>
  <c r="D60" i="4"/>
  <c r="E18" i="14"/>
  <c r="H22" i="8" l="1"/>
  <c r="E22" i="8"/>
  <c r="H29" i="6" s="1"/>
  <c r="H31" i="6" s="1"/>
  <c r="D22" i="8"/>
  <c r="F26" i="4"/>
  <c r="D128" i="7"/>
  <c r="H128" i="7" s="1"/>
  <c r="G20" i="5"/>
  <c r="S20" i="5" s="1"/>
  <c r="G70" i="10"/>
  <c r="H18" i="5" s="1"/>
  <c r="F70" i="10"/>
  <c r="G18" i="5" s="1"/>
  <c r="G15" i="5"/>
  <c r="H15" i="5"/>
  <c r="E50" i="4"/>
  <c r="G89" i="9"/>
  <c r="E49" i="4" s="1"/>
  <c r="H89" i="9"/>
  <c r="F49" i="4" s="1"/>
  <c r="H44" i="9"/>
  <c r="F46" i="4" s="1"/>
  <c r="H62" i="9"/>
  <c r="F48" i="4" s="1"/>
  <c r="H50" i="9"/>
  <c r="F47" i="4" s="1"/>
  <c r="G44" i="9"/>
  <c r="E46" i="4" s="1"/>
  <c r="H35" i="9"/>
  <c r="F43" i="4" s="1"/>
  <c r="G87" i="7"/>
  <c r="E21" i="4" s="1"/>
  <c r="H87" i="7"/>
  <c r="F21" i="4" s="1"/>
  <c r="A111" i="7"/>
  <c r="G79" i="7"/>
  <c r="E20" i="4" s="1"/>
  <c r="G100" i="7"/>
  <c r="E24" i="4" s="1"/>
  <c r="G159" i="7"/>
  <c r="E29" i="4" s="1"/>
  <c r="G12" i="9"/>
  <c r="E40" i="4" s="1"/>
  <c r="G27" i="9"/>
  <c r="E42" i="4" s="1"/>
  <c r="G48" i="9"/>
  <c r="H17" i="5"/>
  <c r="H19" i="6"/>
  <c r="H12" i="9"/>
  <c r="F40" i="4" s="1"/>
  <c r="H27" i="9"/>
  <c r="F42" i="4" s="1"/>
  <c r="H18" i="6"/>
  <c r="T29" i="5"/>
  <c r="H70" i="7"/>
  <c r="F18" i="4" s="1"/>
  <c r="F28" i="4"/>
  <c r="P5" i="5"/>
  <c r="P6" i="5" s="1"/>
  <c r="H79" i="7"/>
  <c r="F20" i="4" s="1"/>
  <c r="H159" i="7"/>
  <c r="F29" i="4" s="1"/>
  <c r="H100" i="7"/>
  <c r="F24" i="4" s="1"/>
  <c r="G70" i="7"/>
  <c r="E18" i="4" s="1"/>
  <c r="E28" i="4"/>
  <c r="G17" i="5"/>
  <c r="S17" i="5" s="1"/>
  <c r="G11" i="5"/>
  <c r="G60" i="6"/>
  <c r="F58" i="5"/>
  <c r="G52" i="6"/>
  <c r="A60" i="7"/>
  <c r="A40" i="7"/>
  <c r="G11" i="13"/>
  <c r="G10" i="13"/>
  <c r="C14" i="13"/>
  <c r="G6" i="13"/>
  <c r="G41" i="10"/>
  <c r="G47" i="10" s="1"/>
  <c r="H16" i="5" s="1"/>
  <c r="F43" i="10"/>
  <c r="F45" i="10" s="1"/>
  <c r="F47" i="10" s="1"/>
  <c r="G16" i="5" s="1"/>
  <c r="F51" i="4"/>
  <c r="C67" i="9"/>
  <c r="H67" i="9" s="1"/>
  <c r="E48" i="4"/>
  <c r="G17" i="8"/>
  <c r="L17" i="8" s="1"/>
  <c r="M17" i="8"/>
  <c r="M16" i="8"/>
  <c r="G16" i="8"/>
  <c r="L16" i="8" s="1"/>
  <c r="M15" i="8"/>
  <c r="G15" i="8"/>
  <c r="L15" i="8" s="1"/>
  <c r="K14" i="8"/>
  <c r="K22" i="8" s="1"/>
  <c r="M14" i="8"/>
  <c r="G14" i="8"/>
  <c r="E26" i="4"/>
  <c r="D119" i="7"/>
  <c r="H119" i="7" s="1"/>
  <c r="F27" i="4"/>
  <c r="H108" i="7"/>
  <c r="E27" i="4"/>
  <c r="D118" i="7"/>
  <c r="H118" i="7" s="1"/>
  <c r="G108" i="7"/>
  <c r="G21" i="7"/>
  <c r="K2" i="10"/>
  <c r="P15" i="5"/>
  <c r="H11" i="5"/>
  <c r="P9" i="5"/>
  <c r="F70" i="4"/>
  <c r="A53" i="9" l="1"/>
  <c r="A100" i="9" s="1"/>
  <c r="M22" i="8"/>
  <c r="F37" i="4" s="1"/>
  <c r="G22" i="8"/>
  <c r="S5" i="5"/>
  <c r="G50" i="9"/>
  <c r="E47" i="4" s="1"/>
  <c r="H23" i="6"/>
  <c r="A72" i="7"/>
  <c r="F50" i="4"/>
  <c r="H21" i="5"/>
  <c r="H23" i="5" s="1"/>
  <c r="I9" i="6" s="1"/>
  <c r="Y17" i="5"/>
  <c r="P19" i="5"/>
  <c r="U20" i="5"/>
  <c r="U22" i="5" s="1"/>
  <c r="H6" i="13"/>
  <c r="F14" i="13"/>
  <c r="H21" i="6"/>
  <c r="L14" i="8"/>
  <c r="L22" i="8" s="1"/>
  <c r="H58" i="5"/>
  <c r="I60" i="6"/>
  <c r="G14" i="13"/>
  <c r="H10" i="13"/>
  <c r="H11" i="13"/>
  <c r="G21" i="5"/>
  <c r="F53" i="4" l="1"/>
  <c r="H20" i="6"/>
  <c r="E37" i="4"/>
  <c r="E53" i="4" s="1"/>
  <c r="E9" i="14"/>
  <c r="I16" i="6"/>
  <c r="I24" i="6" s="1"/>
  <c r="I26" i="6" s="1"/>
  <c r="H28" i="5"/>
  <c r="H38" i="5" s="1"/>
  <c r="H41" i="5" s="1"/>
  <c r="P23" i="5"/>
  <c r="G23" i="5"/>
  <c r="R28" i="5"/>
  <c r="H14" i="13"/>
  <c r="E10" i="14" s="1"/>
  <c r="I40" i="6" l="1"/>
  <c r="I42" i="6" s="1"/>
  <c r="H41" i="6" s="1"/>
  <c r="E11" i="14"/>
  <c r="E14" i="14" s="1"/>
  <c r="E15" i="14" s="1"/>
  <c r="E16" i="14" s="1"/>
  <c r="E19" i="14" s="1"/>
  <c r="A81" i="7"/>
  <c r="A89" i="7"/>
  <c r="H49" i="7"/>
  <c r="G117" i="10"/>
  <c r="G121" i="10" s="1"/>
  <c r="S21" i="5"/>
  <c r="H9" i="6"/>
  <c r="H16" i="6" s="1"/>
  <c r="H24" i="6" s="1"/>
  <c r="H26" i="6" s="1"/>
  <c r="H40" i="6" s="1"/>
  <c r="P30" i="5"/>
  <c r="P31" i="5" s="1"/>
  <c r="G28" i="5"/>
  <c r="G38" i="5" s="1"/>
  <c r="G41" i="5" s="1"/>
  <c r="H52" i="7" l="1"/>
  <c r="A102" i="7"/>
  <c r="S23" i="5"/>
  <c r="S32" i="5"/>
  <c r="P41" i="5"/>
  <c r="G49" i="7"/>
  <c r="F117" i="10"/>
  <c r="F121" i="10" s="1"/>
  <c r="H42" i="6"/>
  <c r="H54" i="7" l="1"/>
  <c r="G48" i="7" s="1"/>
  <c r="G52" i="7" s="1"/>
  <c r="A137" i="7"/>
  <c r="F13" i="4" l="1"/>
  <c r="F31" i="4" s="1"/>
  <c r="G54" i="7"/>
  <c r="E13" i="4" s="1"/>
  <c r="E31" i="4" s="1"/>
  <c r="A149" i="7"/>
  <c r="A5" i="9" l="1"/>
  <c r="A14" i="9" l="1"/>
  <c r="A21" i="9" l="1"/>
  <c r="A30" i="9" l="1"/>
  <c r="A37" i="9" l="1"/>
  <c r="A46" i="9" l="1"/>
  <c r="A57" i="9" l="1"/>
  <c r="A83" i="9" l="1"/>
  <c r="A91" i="9" l="1"/>
  <c r="A104" i="9" l="1"/>
  <c r="A5" i="10" l="1"/>
  <c r="A13" i="10" l="1"/>
  <c r="A30" i="10" l="1"/>
  <c r="A36" i="10" l="1"/>
  <c r="A49" i="10" l="1"/>
  <c r="A63" i="10" l="1"/>
  <c r="A114" i="10" l="1"/>
  <c r="A72" i="10"/>
</calcChain>
</file>

<file path=xl/sharedStrings.xml><?xml version="1.0" encoding="utf-8"?>
<sst xmlns="http://schemas.openxmlformats.org/spreadsheetml/2006/main" count="1689" uniqueCount="1130">
  <si>
    <t>Print-ready master format | A.Y. 2026-27 | Editable template</t>
  </si>
  <si>
    <t>Pack Contents</t>
  </si>
  <si>
    <t>Primary Use</t>
  </si>
  <si>
    <t>• Independent auditor's report format</t>
  </si>
  <si>
    <t>Statutory audit report master wording and signature block</t>
  </si>
  <si>
    <t>• Form 3CA + Form 3CD</t>
  </si>
  <si>
    <t>Tax audit report cover form in print-ready layout</t>
  </si>
  <si>
    <t>• Form 3CD clause-wise report</t>
  </si>
  <si>
    <t>Current official clause structure with editable response fields</t>
  </si>
  <si>
    <t>• 3CD annexures</t>
  </si>
  <si>
    <t>Clause-wise support tables for depreciation, disallowances, TDS, GST, loans, quantitative details and more</t>
  </si>
  <si>
    <t>• Financial statements</t>
  </si>
  <si>
    <t>Balance Sheet, Statement of Profit &amp; Loss / Income &amp; Expenditure, Cash Flow (where applicable)</t>
  </si>
  <si>
    <t>• Notes to accounts &amp; annexures</t>
  </si>
  <si>
    <t>Editable note schedules and a separate narrative note bank</t>
  </si>
  <si>
    <t>• Legal sources sheet</t>
  </si>
  <si>
    <t>Official URLs used for current form alignment</t>
  </si>
  <si>
    <t>Key editable metadata</t>
  </si>
  <si>
    <t>Entity name</t>
  </si>
  <si>
    <t>Financial year</t>
  </si>
  <si>
    <t>Assessment year</t>
  </si>
  <si>
    <t>Report date</t>
  </si>
  <si>
    <t>[ENTER REPORT DATE]</t>
  </si>
  <si>
    <t>Signatory / Partner</t>
  </si>
  <si>
    <t>[ENTER SIGNATORY NAME]</t>
  </si>
  <si>
    <t>Firm name</t>
  </si>
  <si>
    <t>[ENTER FIRM NAME]</t>
  </si>
  <si>
    <t>[ENTER DETAILS]</t>
  </si>
  <si>
    <t>Control Sheet</t>
  </si>
  <si>
    <t>Entity Details</t>
  </si>
  <si>
    <t>Entity type</t>
  </si>
  <si>
    <t>Registered office / address</t>
  </si>
  <si>
    <t>PAN</t>
  </si>
  <si>
    <t>Nature of business</t>
  </si>
  <si>
    <t>[ENTER BUSINESS]</t>
  </si>
  <si>
    <t>Rounding off / units</t>
  </si>
  <si>
    <t>Previous year</t>
  </si>
  <si>
    <t>Balance sheet date</t>
  </si>
  <si>
    <t>Comparative year-end</t>
  </si>
  <si>
    <t>Audit Report Sign-off</t>
  </si>
  <si>
    <t>Audit firm name</t>
  </si>
  <si>
    <t>Firm registration no.</t>
  </si>
  <si>
    <t>[ENTER FRN]</t>
  </si>
  <si>
    <t>Signing partner / proprietor</t>
  </si>
  <si>
    <t>Membership no.</t>
  </si>
  <si>
    <t>[ENTER MEMBERSHIP NO.]</t>
  </si>
  <si>
    <t>UDIN</t>
  </si>
  <si>
    <t>[ENTER UDIN]</t>
  </si>
  <si>
    <t>Place</t>
  </si>
  <si>
    <t>[ENTER PLACE]</t>
  </si>
  <si>
    <t>[ENTER DATE]</t>
  </si>
  <si>
    <t>Board / partner signatories</t>
  </si>
  <si>
    <t>Workflow Notes for Lovable / Automation</t>
  </si>
  <si>
    <t>1. Keep styles, margins and print areas unchanged; replace only figures and editable narrative blocks.</t>
  </si>
  <si>
    <t>2. Populate note schedules first; linked primary statements can then be refreshed / reviewed.</t>
  </si>
  <si>
    <t>3. Review signatory names, UDIN, report date, comparative dates and law-specific paragraphs before issue.</t>
  </si>
  <si>
    <t>4. Form 3CD sheets are arranged clause-wise with annexure references for fast review and population.</t>
  </si>
  <si>
    <t>Workbook Index</t>
  </si>
  <si>
    <t>Navigation map and recommended print sequence</t>
  </si>
  <si>
    <t>Seq.</t>
  </si>
  <si>
    <t>Sheet</t>
  </si>
  <si>
    <t>Category</t>
  </si>
  <si>
    <t>Purpose</t>
  </si>
  <si>
    <t>Go</t>
  </si>
  <si>
    <t>00_Cover</t>
  </si>
  <si>
    <t>Admin / Navigation</t>
  </si>
  <si>
    <t>Editable working / presentation sheet</t>
  </si>
  <si>
    <t>Open</t>
  </si>
  <si>
    <t>01_Control</t>
  </si>
  <si>
    <t>BS</t>
  </si>
  <si>
    <t>Financial Statements</t>
  </si>
  <si>
    <t>PL</t>
  </si>
  <si>
    <t>CFS</t>
  </si>
  <si>
    <t>Note BS-Liab</t>
  </si>
  <si>
    <t>FA</t>
  </si>
  <si>
    <t>Note BS-Asset</t>
  </si>
  <si>
    <t>Note PL</t>
  </si>
  <si>
    <t>31-36</t>
  </si>
  <si>
    <t>37-47</t>
  </si>
  <si>
    <t>FA - IT Act</t>
  </si>
  <si>
    <t>DT</t>
  </si>
  <si>
    <t>Sheet1</t>
  </si>
  <si>
    <t>03_Independent_Auditors_Report</t>
  </si>
  <si>
    <t>Statutory Audit</t>
  </si>
  <si>
    <t>04_Annexure_A_CARO_2020</t>
  </si>
  <si>
    <t>05_Annexure_B_IFC</t>
  </si>
  <si>
    <t>06_Form_3CA</t>
  </si>
  <si>
    <t>Tax Audit / Annexures</t>
  </si>
  <si>
    <t>07_Form_3CD_Part_A</t>
  </si>
  <si>
    <t>08_Form_3CD_09_to_20</t>
  </si>
  <si>
    <t>09_Form_3CD_21_to_30C</t>
  </si>
  <si>
    <t>10_Form_3CD_31_to_44</t>
  </si>
  <si>
    <t>11_3CD_Annx_Partners_9</t>
  </si>
  <si>
    <t>12_3CD_Annx_Depn_18</t>
  </si>
  <si>
    <t>13_3CD_Annx_Disallow_21_26</t>
  </si>
  <si>
    <t>14_3CD_Annx_MSME_22_23</t>
  </si>
  <si>
    <t>15_3CD_Annx_43B_26</t>
  </si>
  <si>
    <t>16_3CD_Annx_Loans_31</t>
  </si>
  <si>
    <t>17_3CD_Annx_BF_Loss_32</t>
  </si>
  <si>
    <t>18_3CD_Annx_Deduction_19_33</t>
  </si>
  <si>
    <t>19_3CD_Annx_TDS_34</t>
  </si>
  <si>
    <t>20_3CD_Annx_Quant_35</t>
  </si>
  <si>
    <t>21_3CD_Annx_GP_40</t>
  </si>
  <si>
    <t>22_3CD_Annx_GST_44</t>
  </si>
  <si>
    <t>19_Sample_Narrative_Notes</t>
  </si>
  <si>
    <t>99_Legal_Sources</t>
  </si>
  <si>
    <t>Reference</t>
  </si>
  <si>
    <t>Recommended print sequence: Cover → Statutory report → Tax audit report → Form 3CD → 3CD annexures → Financial statements → Notes to accounts.</t>
  </si>
  <si>
    <t>[NAME OF THE COMPANY]</t>
  </si>
  <si>
    <t>(Amount in ` hundreds)</t>
  </si>
  <si>
    <t>Particulars</t>
  </si>
  <si>
    <t>Note No.</t>
  </si>
  <si>
    <t>(1) Shareholders' funds</t>
  </si>
  <si>
    <t>(a) Share capital</t>
  </si>
  <si>
    <t>(b) Reserves and surplus</t>
  </si>
  <si>
    <t>(2) Share application money pending allotment</t>
  </si>
  <si>
    <t>(3) Non-Current liabilities</t>
  </si>
  <si>
    <t>(a) Long-term borrowings</t>
  </si>
  <si>
    <t>(b) Deferred tax liabilities (Net)</t>
  </si>
  <si>
    <t>(d) Long-term provisions</t>
  </si>
  <si>
    <t>(4) Current liabilities</t>
  </si>
  <si>
    <t>(a) Short-term borrowings</t>
  </si>
  <si>
    <t>(b) Trade payables</t>
  </si>
  <si>
    <t>(c) Other current liabilities</t>
  </si>
  <si>
    <t>(d) Short-term provisions</t>
  </si>
  <si>
    <t>(1) Non-Current Assets</t>
  </si>
  <si>
    <t>(a) Property, Plant &amp; Equipment and Intangible Assets</t>
  </si>
  <si>
    <t>(i)Property, plant and equipment and Intangible Assets</t>
  </si>
  <si>
    <t>(ii) Intangible assets</t>
  </si>
  <si>
    <t>(iii) Capital work-in-Progress</t>
  </si>
  <si>
    <t>(b) Non-current investments</t>
  </si>
  <si>
    <t>(c) Deferred tax assets (Net)</t>
  </si>
  <si>
    <t>(d) Long-term loans and advances</t>
  </si>
  <si>
    <t>(e) Other non-current Assets</t>
  </si>
  <si>
    <t>(2) Current assets</t>
  </si>
  <si>
    <t>(a) Current investments</t>
  </si>
  <si>
    <t>(b) Inventories</t>
  </si>
  <si>
    <t>(c) Trade receivables</t>
  </si>
  <si>
    <t>(e) Short-term loans and advances</t>
  </si>
  <si>
    <t>(f) Other current assets</t>
  </si>
  <si>
    <t>The accompanying notes form an integral part of the financial statements.</t>
  </si>
  <si>
    <t xml:space="preserve">As per our Audit Report of even date </t>
  </si>
  <si>
    <t xml:space="preserve">For and on behalf of the Board of Directors of </t>
  </si>
  <si>
    <t>Chartered Accountants</t>
  </si>
  <si>
    <t>Firm's Registration No.: [FRN]</t>
  </si>
  <si>
    <t>[SIGNING PARTNER / PROPRIETOR]</t>
  </si>
  <si>
    <t>[DIRECTOR NAME]</t>
  </si>
  <si>
    <t>Partner</t>
  </si>
  <si>
    <t>Director</t>
  </si>
  <si>
    <t>Membership No.: 602XXX</t>
  </si>
  <si>
    <t>DIN:</t>
  </si>
  <si>
    <t>Place: [PLACE]</t>
  </si>
  <si>
    <t>Date:</t>
  </si>
  <si>
    <t>I.</t>
  </si>
  <si>
    <t>Revenue from operations</t>
  </si>
  <si>
    <t>II.</t>
  </si>
  <si>
    <t>Other income</t>
  </si>
  <si>
    <t>III.</t>
  </si>
  <si>
    <t>Total Income (I+II)</t>
  </si>
  <si>
    <t>IV.</t>
  </si>
  <si>
    <t>Expenses</t>
  </si>
  <si>
    <t>Cost of materials consumed</t>
  </si>
  <si>
    <t>Purchases of Stock-in-Trade</t>
  </si>
  <si>
    <t>Cost of good sold</t>
  </si>
  <si>
    <t>Opex in V1</t>
  </si>
  <si>
    <t>Employee benefits expense</t>
  </si>
  <si>
    <t>Change in Opex</t>
  </si>
  <si>
    <t>Finance Costs</t>
  </si>
  <si>
    <t xml:space="preserve">Depreciation &amp; Amortisation Expenses </t>
  </si>
  <si>
    <t>Tfrd to Employee com</t>
  </si>
  <si>
    <t>Other expenses</t>
  </si>
  <si>
    <t>Remaining change</t>
  </si>
  <si>
    <t>Prepaid ins</t>
  </si>
  <si>
    <t>Remaining change in Ins</t>
  </si>
  <si>
    <t>V.</t>
  </si>
  <si>
    <t>Profit before exceptional and extraordinary items and tax</t>
  </si>
  <si>
    <t>PM</t>
  </si>
  <si>
    <t>(III-IV)</t>
  </si>
  <si>
    <t>VI.</t>
  </si>
  <si>
    <t>Exceptional items</t>
  </si>
  <si>
    <t>VII.</t>
  </si>
  <si>
    <t>Profit before extraordinary items and tax (V-VI)</t>
  </si>
  <si>
    <t>VIII.</t>
  </si>
  <si>
    <t>Extraordinary items</t>
  </si>
  <si>
    <t>IX.</t>
  </si>
  <si>
    <t>Profit before tax (VII-VIII)</t>
  </si>
  <si>
    <t>X.</t>
  </si>
  <si>
    <t>Tax expense:</t>
  </si>
  <si>
    <t xml:space="preserve">   (1) Current tax</t>
  </si>
  <si>
    <t xml:space="preserve">   (2) Deferred tax</t>
  </si>
  <si>
    <t>XI.</t>
  </si>
  <si>
    <t>XII.</t>
  </si>
  <si>
    <t>Profit (loss) for period from discontinuing operations</t>
  </si>
  <si>
    <t>XIII.</t>
  </si>
  <si>
    <t>Tax expense of discontinuing operations</t>
  </si>
  <si>
    <t>XIV.</t>
  </si>
  <si>
    <t>Profit (loss) from discontinuing operations (after tax)</t>
  </si>
  <si>
    <t>(XII-XIII)</t>
  </si>
  <si>
    <t>XV.</t>
  </si>
  <si>
    <t>Profit / (Loss) for the period (XI+XIV)</t>
  </si>
  <si>
    <t>(1) Basic</t>
  </si>
  <si>
    <t>(2) Diluted</t>
  </si>
  <si>
    <t>Cash Flow Statement for the year ended [31 March 20XX]</t>
  </si>
  <si>
    <t>A.</t>
  </si>
  <si>
    <t>Cash flows from operating activities</t>
  </si>
  <si>
    <t>Net profit before tax</t>
  </si>
  <si>
    <t>Adjustments for:</t>
  </si>
  <si>
    <t>Depreciation expense</t>
  </si>
  <si>
    <t>Operating profit before working capital changes</t>
  </si>
  <si>
    <t>Cash generated from operations</t>
  </si>
  <si>
    <t>Income tax paid</t>
  </si>
  <si>
    <t>Net cash generated from operating activities (A)</t>
  </si>
  <si>
    <t>B.</t>
  </si>
  <si>
    <t>Cash flows from investing activities</t>
  </si>
  <si>
    <t>Purchase of property, plant &amp; equipments</t>
  </si>
  <si>
    <t>Net cash used in investing activities (B)</t>
  </si>
  <si>
    <t>C.</t>
  </si>
  <si>
    <t>Cash flows from financing activities</t>
  </si>
  <si>
    <t>Net cash used in financing activities (C)</t>
  </si>
  <si>
    <t>Net increase in cash and cash equivalents (A+B+C)</t>
  </si>
  <si>
    <t>Cash and cash equivalents at the beginning of period</t>
  </si>
  <si>
    <t>Cash and cash equivalents at the end of period</t>
  </si>
  <si>
    <t>Notes to cash flow statement</t>
  </si>
  <si>
    <t>The above cash flow statement has been prepared in accordance with the 'Indirect method' as set out in Accounting Standard - 3  on 'Cash Flow Statements'.</t>
  </si>
  <si>
    <t>The  accompanying notes form an integral part of the financial statements.</t>
  </si>
  <si>
    <t>This is the Cash Flow Statement referred to in our report of even date</t>
  </si>
  <si>
    <t>(This space has been intentionally left blank)</t>
  </si>
  <si>
    <t>Share capital</t>
  </si>
  <si>
    <t>As at</t>
  </si>
  <si>
    <t>Authorised shares</t>
  </si>
  <si>
    <t xml:space="preserve"> </t>
  </si>
  <si>
    <t>Issued, subscribed and fully paid up shares</t>
  </si>
  <si>
    <t>(a)</t>
  </si>
  <si>
    <t>Reconciliation of the shares outstanding at the beginning and at the end of the reporting period</t>
  </si>
  <si>
    <t>Equity shares</t>
  </si>
  <si>
    <t>Number</t>
  </si>
  <si>
    <t>Amount</t>
  </si>
  <si>
    <t>Opening balance at the beginning of the year</t>
  </si>
  <si>
    <t>Movement during the year</t>
  </si>
  <si>
    <t>Outstanding at the end of the year</t>
  </si>
  <si>
    <t>(b)</t>
  </si>
  <si>
    <t>(c)</t>
  </si>
  <si>
    <t>No. of shares</t>
  </si>
  <si>
    <t>Particulars of shareholders holding more than 5% shares</t>
  </si>
  <si>
    <t>Promoters Shareholding</t>
  </si>
  <si>
    <t>Promoter name</t>
  </si>
  <si>
    <t>As at
March 31, 2024</t>
  </si>
  <si>
    <t>As at
March 31, 2023</t>
  </si>
  <si>
    <t>% Change during the year</t>
  </si>
  <si>
    <t>No. of Shares</t>
  </si>
  <si>
    <t>% of Total Shares</t>
  </si>
  <si>
    <t>Total</t>
  </si>
  <si>
    <t>Reserves and surplus</t>
  </si>
  <si>
    <t>Surplus in the Statement of Profit and Loss</t>
  </si>
  <si>
    <t>Opening balance</t>
  </si>
  <si>
    <t xml:space="preserve">Long-term borrowings </t>
  </si>
  <si>
    <t>Secured / Unsecured - specify and specify nature of security for secured position</t>
  </si>
  <si>
    <t>Other long term liabilities</t>
  </si>
  <si>
    <t>(a) Trade payables (if there is figure then all disclosures as per Note 9)</t>
  </si>
  <si>
    <t>(b) Others (specify nature).</t>
  </si>
  <si>
    <t>Long-term provisions</t>
  </si>
  <si>
    <t>(a) Provision for employee benefits</t>
  </si>
  <si>
    <t>Short-term borrowings</t>
  </si>
  <si>
    <t>Secured / Unsecured - specify</t>
  </si>
  <si>
    <t>(d) Other loans and advances (specify nature)</t>
  </si>
  <si>
    <t>Trade Payables</t>
  </si>
  <si>
    <t>Total outstanding dues of micro enterprises and small enterprises</t>
  </si>
  <si>
    <t>Total outstanding dues of creditors other than micro enterprises and small enterprises</t>
  </si>
  <si>
    <t>Outstanding for following periods from due date of payment</t>
  </si>
  <si>
    <t>Less than 1 year</t>
  </si>
  <si>
    <t>1-2  years</t>
  </si>
  <si>
    <t>2-3 years</t>
  </si>
  <si>
    <t>More than 3 years</t>
  </si>
  <si>
    <t>(i)MSME</t>
  </si>
  <si>
    <t>(ii)Others</t>
  </si>
  <si>
    <t>(iii) Disputed dues –MSME</t>
  </si>
  <si>
    <t>(iv) Disputed dues - Others</t>
  </si>
  <si>
    <t>Notes :- (The ageing requirement shall not apply to the trade payables which are not due for 
payment.)</t>
  </si>
  <si>
    <t>1.  There are no “Unbilled” and ''Not due'' trade payables, hence the same are not disclosed in the ageing schedule.</t>
  </si>
  <si>
    <t>Other current liabilities</t>
  </si>
  <si>
    <t>Current maturities of finance lease obligations</t>
  </si>
  <si>
    <t>Interest accrued but not due on borrowings</t>
  </si>
  <si>
    <t>Interest accrued and due on borrowings</t>
  </si>
  <si>
    <t>Statutory Dues payable</t>
  </si>
  <si>
    <t>Advance from customer</t>
  </si>
  <si>
    <t>Provision for taxation (net of advance tax)</t>
  </si>
  <si>
    <t>Short-term provisions</t>
  </si>
  <si>
    <t>Property, Plant and Equipment</t>
  </si>
  <si>
    <t xml:space="preserve">Gross block </t>
  </si>
  <si>
    <t xml:space="preserve">         Accumulated depreciation</t>
  </si>
  <si>
    <t>Net block</t>
  </si>
  <si>
    <t>Additions during the year</t>
  </si>
  <si>
    <t>Disposals during the year</t>
  </si>
  <si>
    <t>Computers</t>
  </si>
  <si>
    <t>Office equipment</t>
  </si>
  <si>
    <t>Furniture and fixtures</t>
  </si>
  <si>
    <t>Vehicles</t>
  </si>
  <si>
    <t>Notes:</t>
  </si>
  <si>
    <t>Dividend distribution tax</t>
  </si>
  <si>
    <t>Non-current investments</t>
  </si>
  <si>
    <t>(Also disclose aggregate amount of Quoted and Unquoted investments)</t>
  </si>
  <si>
    <t>(a) Investment property</t>
  </si>
  <si>
    <t>(b) Investments in Equity Instruments</t>
  </si>
  <si>
    <t>(c) Other non-current investments (specify nature)</t>
  </si>
  <si>
    <t>Deferred tax assets</t>
  </si>
  <si>
    <t>Long-term loans and advances</t>
  </si>
  <si>
    <t>Secured, considered good / Unsecured, considered good / Doubtful</t>
  </si>
  <si>
    <t>Other non-current assets</t>
  </si>
  <si>
    <t>Security Deposits</t>
  </si>
  <si>
    <t xml:space="preserve">Total </t>
  </si>
  <si>
    <t>Current Investment</t>
  </si>
  <si>
    <t>(a) Investments in Equity Instruments</t>
  </si>
  <si>
    <t>(b) Other investments (specify nature)</t>
  </si>
  <si>
    <t>Inventories</t>
  </si>
  <si>
    <t>Stock-in-trade</t>
  </si>
  <si>
    <t>Mode of valuation shall be stated</t>
  </si>
  <si>
    <t>Trade Receivables</t>
  </si>
  <si>
    <t>Outstanding for a period exceeding six months from the date they are due for payment</t>
  </si>
  <si>
    <t>Other receivables</t>
  </si>
  <si>
    <t>&lt; 6 months</t>
  </si>
  <si>
    <t>6 months-1 year</t>
  </si>
  <si>
    <t xml:space="preserve">	
1-2 years</t>
  </si>
  <si>
    <t>&gt; 3 years</t>
  </si>
  <si>
    <t xml:space="preserve">    Undisputed Trade receivables – considered good</t>
  </si>
  <si>
    <t xml:space="preserve">   Undisputed Trade Receivables – considered doubtful</t>
  </si>
  <si>
    <t xml:space="preserve">   Disputed Trade Receivables considered good</t>
  </si>
  <si>
    <t xml:space="preserve">   Disputed Trade Receivables considered doubtful</t>
  </si>
  <si>
    <t>Note:</t>
  </si>
  <si>
    <t>There are no “Unbilled” and ''Not due'' trade receivables, hence the same are not disclosed in the ageing schedule.</t>
  </si>
  <si>
    <t>Cash and cash equivalents</t>
  </si>
  <si>
    <t>Balances with banks - Current accounts</t>
  </si>
  <si>
    <t>Cash on hand</t>
  </si>
  <si>
    <t>Short-term loans and advances</t>
  </si>
  <si>
    <t>(a) Loans and advances to related parties (giving details thereof)</t>
  </si>
  <si>
    <t>Other current assets</t>
  </si>
  <si>
    <t>Advance Income-tax (net of provisons for tax)</t>
  </si>
  <si>
    <t>Prepaid expenses</t>
  </si>
  <si>
    <t>1% of Rev. from Op.</t>
  </si>
  <si>
    <t>DON’T SHOW VAT, GST ETC. HERE. SHOW NET REVENUE</t>
  </si>
  <si>
    <t>Commission income</t>
  </si>
  <si>
    <t>Other Income</t>
  </si>
  <si>
    <t>Interest income</t>
  </si>
  <si>
    <t>Gain on Forex fluctuation (Net)</t>
  </si>
  <si>
    <t>Miscellaneous income</t>
  </si>
  <si>
    <t>Purchase of stock-in-trade</t>
  </si>
  <si>
    <t>Traded goods</t>
  </si>
  <si>
    <t>Inventories at the end of the year</t>
  </si>
  <si>
    <t>Inventories at the beginning of the year</t>
  </si>
  <si>
    <t>Net (increase)/decrease in inventory</t>
  </si>
  <si>
    <t>Salaries and wages</t>
  </si>
  <si>
    <t>Contribution to provident and other funds</t>
  </si>
  <si>
    <t>Staff welfare expense</t>
  </si>
  <si>
    <t>Finance Cost</t>
  </si>
  <si>
    <t>Interest Paid to Bank</t>
  </si>
  <si>
    <t>Interest Paid to Other</t>
  </si>
  <si>
    <t>Interest on short payment of advance Income-Tax</t>
  </si>
  <si>
    <t>Earnings per share</t>
  </si>
  <si>
    <t>Nominal value per share (in Rs.)</t>
  </si>
  <si>
    <t>Weighted average number of equity shares outstanding during the year</t>
  </si>
  <si>
    <t>Basic earnings per share (in Rs.)</t>
  </si>
  <si>
    <t>Trade payables</t>
  </si>
  <si>
    <t>Trade receivables</t>
  </si>
  <si>
    <t>Earnings in foreign currency</t>
  </si>
  <si>
    <t>Expenditure in foreign currency</t>
  </si>
  <si>
    <t>xx</t>
  </si>
  <si>
    <t>C. I. F. Value of Imports</t>
  </si>
  <si>
    <t>Numerator</t>
  </si>
  <si>
    <t>Denominator</t>
  </si>
  <si>
    <t>Variance</t>
  </si>
  <si>
    <t>Average Trade Receivables</t>
  </si>
  <si>
    <t>Average Trade Payables</t>
  </si>
  <si>
    <t>Related party disclosure</t>
  </si>
  <si>
    <t>a) List of related parties and relationships</t>
  </si>
  <si>
    <t>Description of relationship</t>
  </si>
  <si>
    <t>Names of related parties</t>
  </si>
  <si>
    <t>Key management personnel</t>
  </si>
  <si>
    <t>Ms. A, Director</t>
  </si>
  <si>
    <t>Ms. B, Director</t>
  </si>
  <si>
    <t xml:space="preserve">Mr. C, Director </t>
  </si>
  <si>
    <t>b) Details of related party transactions in the ordinary course of the business</t>
  </si>
  <si>
    <t>In accordance with AS 18, disclosures in respect of transactions with identified related parties are given only for such period during which the relationship existed. Related party relationships as given above are as identified by the Company and relied upon by the auditors.</t>
  </si>
  <si>
    <t>Opening WDV</t>
  </si>
  <si>
    <t>Depreciation</t>
  </si>
  <si>
    <t>Closing WDV</t>
  </si>
  <si>
    <t>Computation of Deferred Tax Assets / (Liability)</t>
  </si>
  <si>
    <t>WDV as on 31st March 2024 - as per Companies Act, 2013</t>
  </si>
  <si>
    <t>WDV as on 31st March 2024 - as per Income Tax Act, 1961</t>
  </si>
  <si>
    <t xml:space="preserve">Preliminary Expenses balances </t>
  </si>
  <si>
    <t>Timing Difference</t>
  </si>
  <si>
    <t>Tax on above at applicable Tax rate 25.168%</t>
  </si>
  <si>
    <t>Deferred Tax Assets to be shown in Balance Sheet</t>
  </si>
  <si>
    <t>Opening Deferred Tax</t>
  </si>
  <si>
    <t>Deferred Tax to be transferred to Profit and Loss Account</t>
  </si>
  <si>
    <t>INDEPENDENT AUDITOR'S REPORT</t>
  </si>
  <si>
    <t>Illustrative statutory audit report for a company</t>
  </si>
  <si>
    <t>[Illustrative editable format – tailor wording to entity-specific facts, reporting framework, materiality, modifications and legal applicability before issue.]</t>
  </si>
  <si>
    <t>Opinion</t>
  </si>
  <si>
    <t>We have audited the accompanying financial statements of [NAME OF THE COMPANY] ("the Company"), which comprise the Balance Sheet as at [BALANCE SHEET DATE], the Statement of Profit and Loss, the Cash Flow Statement for the year then ended, and notes to the financial statements, including a summary of material accounting policies and other explanatory information. In our opinion and to the best of our information and according to the explanations given to us, the aforesaid financial statements give the information required by the Companies Act, 2013 ("the Act") in the manner so required and give a true and fair view in conformity with the accounting principles generally accepted in India, of the state of affairs of the Company as at [BALANCE SHEET DATE], and of its [profit/loss] and its cash flows for the year ended on that date.</t>
  </si>
  <si>
    <t>Basis for Opinion</t>
  </si>
  <si>
    <t>We conducted our audit in accordance with the Standards on Auditing specified under section 143(10) of the Act. Our responsibilities under those Standards are further described in the section titled 'Auditor's Responsibilities for the Audit of the Financial Statements' below. We are independent of the Company in accordance with the Code of Ethics issued by the Institute of Chartered Accountants of India together with the ethical requirements that are relevant to our audit of the financial statements, and we have fulfilled our other ethical responsibilities in accordance with these requirements and the Code of Ethics. We believe that the audit evidence we have obtained is sufficient and appropriate to provide a basis for our opinion.</t>
  </si>
  <si>
    <t>Key Audit Matters</t>
  </si>
  <si>
    <t>[Insert Key Audit Matter(s), if applicable, in the format: 'Why the matter was considered to be one of most significance in the audit' and 'How the matter was addressed in the audit'. If no key audit matters are required to be communicated, replace this block with an appropriate statement.]</t>
  </si>
  <si>
    <t>Information Other than the Financial Statements and Auditor's Report Thereon</t>
  </si>
  <si>
    <t>The Company's Board of Directors is responsible for the other information. The other information comprises the information included in the Board's Report and its annexures, but does not include the financial statements and our auditor's report thereon. Our opinion on the financial statements does not cover the other information and we do not express any form of assurance conclusion thereon. In connection with our audit, our responsibility is to read the other information when it becomes available and, in doing so, consider whether the other information is materially inconsistent with the financial statements or our knowledge obtained during the audit or otherwise appears to be materially misstated.</t>
  </si>
  <si>
    <t>Responsibilities of Management and Those Charged with Governance for the Financial Statements</t>
  </si>
  <si>
    <t>The Company's Board of Directors is responsible for the matters stated in section 134(5) of the Act with respect to the preparation of these financial statements that give a true and fair view of the financial position, financial performance and cash flows of the Company in accordance with the accounting principles generally accepted in India, including the Accounting Standards specified under section 133 of the Act, read with the Companies (Accounts) Rules, 2014. This responsibility also includes maintenance of adequate accounting records, safeguarding of assets, prevention and detection of frauds and other irregularities, selection and application of appropriate accounting policies, making reasonable and prudent estimates, and designing, implementing and maintaining adequate internal financial controls.</t>
  </si>
  <si>
    <t>Auditor's Responsibilities for the Audit of the Financial Statements</t>
  </si>
  <si>
    <t>Our objectives are to obtain reasonable assurance about whether the financial statements as a whole are free from material misstatement, whether due to fraud or error, and to issue an auditor's report that includes our opinion. Reasonable assurance is a high level of assurance but is not a guarantee that an audit conducted in accordance with Standards on Auditing will always detect a material misstatement when it exists. Misstatements can arise from fraud or error and are considered material if they could reasonably be expected to influence the economic decisions of users taken on the basis of these financial statements. [Insert the full or abridged SA 700 responsibility wording preferred by your firm.]</t>
  </si>
  <si>
    <t>Report on Other Legal and Regulatory Requirements</t>
  </si>
  <si>
    <t>1. As required by the Companies (Auditor's Report) Order, 2020 ("CARO 2020"), issued by the Central Government of India in terms of section 143(11) of the Act, we give in Annexure A a statement on the matters specified in paragraphs 3 and 4 of the Order, to the extent applicable.
2. As required by section 143(3) of the Act, we report that: (a) we have sought and obtained all the information and explanations which to the best of our knowledge and belief were necessary; (b) in our opinion, proper books of account as required by law have been kept; (c) the Balance Sheet, Statement of Profit and Loss and Cash Flow Statement are in agreement with the books of account; (d) in our opinion, the aforesaid financial statements comply with the Accounting Standards specified under section 133 of the Act; (e) on the basis of written representations received, none of the directors is disqualified as on [BALANCE SHEET DATE] under section 164(2); (f) with respect to adequacy and operating effectiveness of internal financial controls over financial reporting, refer Annexure B; (g) [insert reporting under section 197(16), if applicable].
3. With respect to the other matters to be included in the Auditor's Report in accordance with Rule 11 of the Companies (Audit and Auditors) Rules, 2014, in our opinion and to the best of our information and according to the explanations given to us: (i) the Company has disclosed the impact of pending litigations, if any; (ii) the Company has made provision, as required, for material foreseeable losses, if any, on long-term contracts including derivative contracts; (iii) there has been no delay in transferring amounts required to be transferred to the Investor Education and Protection Fund, if any; (iv) management representations regarding funds routed through intermediaries / funding parties have been obtained and nothing has come to our notice causing us to believe the representations are materially misstated; (v) dividend declared or paid during the year is in compliance with section 123, if applicable; and (vi) the Company has [used / not used] accounting software with an audit trail (edit log) feature as required under Rule 11(g), and the reporting thereon should be tailored to the facts for the year under audit.</t>
  </si>
  <si>
    <t>For [NAME OF FIRM]
Chartered Accountants
Firm Registration No.: [FRN]
[NAME OF SIGNING PARTNER / PROPRIETOR]
Partner / Proprietor
Membership No.: [XXXXXX]
UDIN: [XXXXXXXXXXXX]
Place: [PLACE]
Date: [DATE]</t>
  </si>
  <si>
    <t>Insert modified opinion, emphasis of matter, other matter, material uncertainty related to going concern, KAM details and annexure references where required.</t>
  </si>
  <si>
    <t>Annexure A to the Independent Auditor's Report</t>
  </si>
  <si>
    <t>Illustrative CARO 2020 clause-wise reporting matrix</t>
  </si>
  <si>
    <t>Clause</t>
  </si>
  <si>
    <t>Para</t>
  </si>
  <si>
    <t>Topic</t>
  </si>
  <si>
    <t>Illustrative reporting block (editable)</t>
  </si>
  <si>
    <t>WP / Ref.</t>
  </si>
  <si>
    <t>3(i)</t>
  </si>
  <si>
    <t>Property, Plant and Equipment / Intangible Assets</t>
  </si>
  <si>
    <t>[Insert clause-wise reporting on records, physical verification, title deeds, revaluation and benami proceedings.]</t>
  </si>
  <si>
    <t>[Ref]</t>
  </si>
  <si>
    <t>3(ii)</t>
  </si>
  <si>
    <t>Inventory and working capital limits</t>
  </si>
  <si>
    <t>[Insert reporting on physical verification of inventory, discrepancies and quarterly returns/statements filed with banks or financial institutions, if applicable.]</t>
  </si>
  <si>
    <t>3(iii)</t>
  </si>
  <si>
    <t>Investments, guarantees, securities, loans and advances</t>
  </si>
  <si>
    <t>[Insert reporting on terms, schedule of repayment, overdue amounts, renewals/evergreening and loans repayable on demand, as applicable.]</t>
  </si>
  <si>
    <t>3(iv)</t>
  </si>
  <si>
    <t>Compliance with sections 185 and 186</t>
  </si>
  <si>
    <t>[Insert conclusion on loans, investments, guarantees and security covered under the Act.]</t>
  </si>
  <si>
    <t>3(v)</t>
  </si>
  <si>
    <t>Deposits / deemed deposits</t>
  </si>
  <si>
    <t>[Insert reporting on acceptance of deposits or amounts deemed to be deposits and compliance with directives and sections 73 to 76.]</t>
  </si>
  <si>
    <t>3(vi)</t>
  </si>
  <si>
    <t>Cost records</t>
  </si>
  <si>
    <t>[Insert whether maintenance of cost records has been specified and whether such accounts and records have been made and maintained.]</t>
  </si>
  <si>
    <t>3(vii)</t>
  </si>
  <si>
    <t>Statutory dues</t>
  </si>
  <si>
    <t>[Insert reporting on regularity of undisputed statutory dues and disputed dues.]</t>
  </si>
  <si>
    <t>3(viii)</t>
  </si>
  <si>
    <t>Previously unrecorded income surrendered in tax assessments</t>
  </si>
  <si>
    <t>[Insert whether any transactions not recorded in books have been surrendered or disclosed as income in tax assessments and treatment thereof.]</t>
  </si>
  <si>
    <t>3(ix)</t>
  </si>
  <si>
    <t>Borrowings and utilisation of funds</t>
  </si>
  <si>
    <t>[Insert reporting on defaults in repayment, wilful defaulter status, application of term loans, utilisation of short-term funds and funds raised for subsidiaries/associates/JVs.]</t>
  </si>
  <si>
    <t>3(x)</t>
  </si>
  <si>
    <t>Funds raised through IPO / FPO / debt instruments / private placement</t>
  </si>
  <si>
    <t>[Insert reporting on utilisation of funds and compliance with sections 42 and 62.]</t>
  </si>
  <si>
    <t>3(xi)</t>
  </si>
  <si>
    <t>Fraud and whistle-blower complaints</t>
  </si>
  <si>
    <t>[Insert reporting on fraud by/on the company, section 143(12) filings and whistle-blower complaints considered.]</t>
  </si>
  <si>
    <t>3(xii)</t>
  </si>
  <si>
    <t>Nidhi company requirements</t>
  </si>
  <si>
    <t>[Insert only if applicable; otherwise state not applicable.]</t>
  </si>
  <si>
    <t>3(xiii)</t>
  </si>
  <si>
    <t>Related party transactions</t>
  </si>
  <si>
    <t>[Insert reporting on compliance with sections 177 and 188 and disclosure in the financial statements.]</t>
  </si>
  <si>
    <t>3(xiv)</t>
  </si>
  <si>
    <t>Internal audit system</t>
  </si>
  <si>
    <t>[Insert reporting on adequacy of internal audit system and whether internal audit reports were considered.]</t>
  </si>
  <si>
    <t>3(xv)</t>
  </si>
  <si>
    <t>Non-cash transactions with directors</t>
  </si>
  <si>
    <t>[Insert reporting on compliance with section 192.]</t>
  </si>
  <si>
    <t>3(xvi)</t>
  </si>
  <si>
    <t>Registration under RBI Act / Core Investment Company</t>
  </si>
  <si>
    <t>[Insert reporting where applicable.]</t>
  </si>
  <si>
    <t>3(xvii)</t>
  </si>
  <si>
    <t>Cash losses</t>
  </si>
  <si>
    <t>[Insert cash losses in the current and immediately preceding financial year, if any.]</t>
  </si>
  <si>
    <t>3(xviii)</t>
  </si>
  <si>
    <t>Resignation of statutory auditors</t>
  </si>
  <si>
    <t>[Insert reporting on issues considered due to auditor resignation, if any.]</t>
  </si>
  <si>
    <t>3(xix)</t>
  </si>
  <si>
    <t>Material uncertainty in meeting liabilities</t>
  </si>
  <si>
    <t>[Insert reporting on capability of meeting liabilities due within one year.]</t>
  </si>
  <si>
    <t>3(xx)</t>
  </si>
  <si>
    <t>CSR obligations</t>
  </si>
  <si>
    <t>[Insert reporting on unspent CSR amounts and transfers, where applicable.]</t>
  </si>
  <si>
    <t>Edit clause applicability and wording based on company size, exemptions, CARO applicability and audit conclusions. Replace non-applicable rows with explicit 'Not applicable' conclusions where appropriate.</t>
  </si>
  <si>
    <t>Annexure B to the Independent Auditor's Report</t>
  </si>
  <si>
    <t>Illustrative report on internal financial controls with reference to financial statements</t>
  </si>
  <si>
    <t>Report on the Internal Financial Controls with reference to Financial Statements</t>
  </si>
  <si>
    <t>We have audited the internal financial controls with reference to financial statements of [NAME OF THE COMPANY] as of [BALANCE SHEET DATE] in conjunction with our audit of the financial statements of the Company for the year ended on that date.</t>
  </si>
  <si>
    <t>Management's Responsibility for Internal Financial Controls</t>
  </si>
  <si>
    <t>The Company's management is responsible for establishing and maintaining internal financial controls based on the criteria established by the Company considering the essential components of internal control stated in the Guidance Note on Audit of Internal Financial Controls Over Financial Reporting issued by the Institute of Chartered Accountants of India. These responsibilities include the design, implementation and maintenance of adequate internal financial controls that were operating effectively for ensuring the orderly and efficient conduct of business, including adherence to company policies, safeguarding of assets, prevention and detection of frauds and errors, accuracy and completeness of accounting records, and timely preparation of reliable financial information.</t>
  </si>
  <si>
    <t>Auditor's Responsibility</t>
  </si>
  <si>
    <t>Our responsibility is to express an opinion on the Company's internal financial controls with reference to financial statements based on our audit. We conducted our audit in accordance with the Guidance Note on Audit of Internal Financial Controls Over Financial Reporting and the Standards on Auditing, to the extent applicable. Those standards and the Guidance Note require that we plan and perform the audit to obtain reasonable assurance about whether adequate internal financial controls were established and maintained and whether such controls operated effectively in all material respects.</t>
  </si>
  <si>
    <t>Meaning of Internal Financial Controls with reference to Financial Statements</t>
  </si>
  <si>
    <t>A company's internal financial controls with reference to financial statements is a process designed to provide reasonable assurance regarding the reliability of financial reporting and the preparation of financial statements for external purposes in accordance with generally accepted accounting principles. Such controls include policies and procedures that (1) pertain to the maintenance of records that accurately and fairly reflect transactions; (2) provide reasonable assurance that transactions are recorded as necessary to permit preparation of financial statements; and (3) provide reasonable assurance regarding prevention or timely detection of unauthorised acquisition, use or disposition of assets.</t>
  </si>
  <si>
    <t>Inherent Limitations of Internal Financial Controls</t>
  </si>
  <si>
    <t>Because of the inherent limitations of internal financial controls with reference to financial statements, including the possibility of collusion or management override of controls, material misstatements due to error or fraud may occur and not be detected. Also, projections of any evaluation to future periods are subject to the risk that the controls may become inadequate because of changes in conditions or that the degree of compliance with the policies or procedures may deteriorate.</t>
  </si>
  <si>
    <t>In our opinion, the Company has, in all material respects, adequate internal financial controls with reference to financial statements and such internal financial controls were operating effectively as at [BALANCE SHEET DATE], based on the internal control criteria established by the Company considering the essential components of internal control stated in the Guidance Note on Audit of Internal Financial Controls Over Financial Reporting issued by the Institute of Chartered Accountants of India.</t>
  </si>
  <si>
    <t>Modify or qualify this annexure where a material weakness or reporting exception exists.</t>
  </si>
  <si>
    <t>FORM NO. 3CA</t>
  </si>
  <si>
    <t>Audit report under section 44AB in a case where accounts have been audited under any other law</t>
  </si>
  <si>
    <t>[Illustrative format aligned to the current official form text. Tailor the wording and annexures before final issue.]</t>
  </si>
  <si>
    <t>1. I / We report that the statutory audit of M/s. [NAME AND ADDRESS OF ASSESSEE WITH PAN / AADHAAR] was conducted by [NAME OF AUDITOR / FIRM] in pursuance of the provisions of the [APPLICABLE ACT], and I / We annex hereto a copy of the audit report dated [DATE] along with a copy of each of the audited Statement of Profit and Loss / Income and Expenditure Account, the audited Balance Sheet and documents declared by the said Act to be part of, or annexed to, such accounts.</t>
  </si>
  <si>
    <t>2. The statement of particulars required to be furnished under section 44AB is annexed herewith in Form No. 3CD.</t>
  </si>
  <si>
    <t>3. In my / our opinion and to the best of my / our information and according to examination of books of account including other relevant documents and explanations given to me / us, the particulars given in the said Form No. 3CD are true and correct subject to the following observations / qualifications, if any: (a) [ ] (b) [ ] (c) [ ].</t>
  </si>
  <si>
    <t>Signature and stamp / seal of the signatory
Place: [PLACE]    Name of the signatory: [NAME]
Date: [DATE]      Full address: [ADDRESS]
Membership No. / Certificate of Practice / Authority: [DETAILS]</t>
  </si>
  <si>
    <t>Notes: Delete whichever is not applicable. Where any requirement is answered in the negative or with qualification, give reasons. The signatory should indicate the reference under which he / she is entitled to sign the report.</t>
  </si>
  <si>
    <t>FORM NO. 3CD – PART A</t>
  </si>
  <si>
    <t>Statement of particulars required to be furnished under section 44AB of the Income-tax Act, 1961</t>
  </si>
  <si>
    <t>Editable Response</t>
  </si>
  <si>
    <t>Ref.</t>
  </si>
  <si>
    <t>1</t>
  </si>
  <si>
    <t>Name of the assessee</t>
  </si>
  <si>
    <t>[Edit response]</t>
  </si>
  <si>
    <t>2</t>
  </si>
  <si>
    <t>Address</t>
  </si>
  <si>
    <t>3</t>
  </si>
  <si>
    <t>Permanent Account Number or Aadhaar Number</t>
  </si>
  <si>
    <t>4</t>
  </si>
  <si>
    <t>Whether liable to pay indirect tax (including GST); if yes, furnish registration number / GST number / other ID</t>
  </si>
  <si>
    <t>5</t>
  </si>
  <si>
    <t>Status</t>
  </si>
  <si>
    <t>6</t>
  </si>
  <si>
    <t>Previous year (from / to)</t>
  </si>
  <si>
    <t>7</t>
  </si>
  <si>
    <t>8</t>
  </si>
  <si>
    <t>Relevant clause of section 44AB under which audit conducted</t>
  </si>
  <si>
    <t>8A</t>
  </si>
  <si>
    <t>Whether opted for taxation under section 115BA / 115BAA / 115BAB / 115BAC / 115BAD / 115BAE</t>
  </si>
  <si>
    <t>Use the annexure and control sheets to maintain consistency across the tax audit report, financial statements and clause-wise disclosures.</t>
  </si>
  <si>
    <t>FORM NO. 3CD – PART B (Clauses 9 to 20)</t>
  </si>
  <si>
    <t>Editable clause-wise response matrix</t>
  </si>
  <si>
    <t>Particulars / requirement</t>
  </si>
  <si>
    <t>Editable response / conclusion</t>
  </si>
  <si>
    <t>Annexure Ref.</t>
  </si>
  <si>
    <t>9(a)</t>
  </si>
  <si>
    <t>If firm or association of persons, names of partners / members and their profit-sharing ratios</t>
  </si>
  <si>
    <t>[Insert response / conclusion / N.A. / see annexure]</t>
  </si>
  <si>
    <t>3CD_Annx_Partners_9</t>
  </si>
  <si>
    <t>9(b)</t>
  </si>
  <si>
    <t>Changes in partners / members or profit-sharing ratio since last date of preceding year</t>
  </si>
  <si>
    <t>10(a)</t>
  </si>
  <si>
    <t>Nature of business or profession carried on during the previous year</t>
  </si>
  <si>
    <t>10(b)</t>
  </si>
  <si>
    <t>Changes in the nature of business or profession</t>
  </si>
  <si>
    <t>11(a)</t>
  </si>
  <si>
    <t>Whether books of account are prescribed under section 44AA; if yes, list of books</t>
  </si>
  <si>
    <t>11(b)</t>
  </si>
  <si>
    <t>List of books of account maintained and addresses where kept, including system-generated books</t>
  </si>
  <si>
    <t>11(c)</t>
  </si>
  <si>
    <t>List of books of account and nature of relevant documents examined</t>
  </si>
  <si>
    <t>12</t>
  </si>
  <si>
    <t>Whether profit and loss account includes profits assessable on presumptive basis; if yes, amount and relevant sections (including 44AD, 44ADA, 44AE, 44BBC etc.)</t>
  </si>
  <si>
    <t>13(a)</t>
  </si>
  <si>
    <t>Method of accounting employed</t>
  </si>
  <si>
    <t>13(b)</t>
  </si>
  <si>
    <t>Whether there was any change in method of accounting vis-a-vis immediately preceding year</t>
  </si>
  <si>
    <t>13(c)</t>
  </si>
  <si>
    <t>If yes, details of change and effect on profit or loss</t>
  </si>
  <si>
    <t>13(d)</t>
  </si>
  <si>
    <t>Whether any adjustment is required for compliance with ICDS notified under section 145(2)</t>
  </si>
  <si>
    <t>13(e)</t>
  </si>
  <si>
    <t>If yes, give details of such adjustments</t>
  </si>
  <si>
    <t>13(f)</t>
  </si>
  <si>
    <t>Disclosure as per ICDS (I, II, III, IV, V, VII, IX and X)</t>
  </si>
  <si>
    <t>14(a)</t>
  </si>
  <si>
    <t>Method of valuation of closing stock employed in the previous year</t>
  </si>
  <si>
    <t>14(b)</t>
  </si>
  <si>
    <t>Deviation from section 145A method and effect on profit or loss</t>
  </si>
  <si>
    <t>15</t>
  </si>
  <si>
    <t>Particulars of capital asset converted into stock-in-trade</t>
  </si>
  <si>
    <t>16</t>
  </si>
  <si>
    <t>Amounts not credited to profit and loss account but taxable / chargeable to tax</t>
  </si>
  <si>
    <t>17</t>
  </si>
  <si>
    <t>Land or building transferred for consideration less than stamp duty value / assessable value</t>
  </si>
  <si>
    <t>18</t>
  </si>
  <si>
    <t>Particulars of depreciation allowable under the Income-tax Act, 1961</t>
  </si>
  <si>
    <t>3CD_Annx_Depn_18</t>
  </si>
  <si>
    <t>19</t>
  </si>
  <si>
    <t>Amounts admissible under specific sections</t>
  </si>
  <si>
    <t>3CD_Annx_Deduction_19_33</t>
  </si>
  <si>
    <t>20(a)</t>
  </si>
  <si>
    <t>Bonus or commission paid to employees where otherwise payable as profits or dividend</t>
  </si>
  <si>
    <t>20(b)</t>
  </si>
  <si>
    <t>Employees' contributions to funds referred to in section 36(1)(va)</t>
  </si>
  <si>
    <t>3CD_Annx_Disallow_21_26</t>
  </si>
  <si>
    <t>Tip: Use explicit 'Not applicable' conclusions for omitted / inapplicable clauses, and cross-reference supporting annexures or working papers in the final column.</t>
  </si>
  <si>
    <t>FORM NO. 3CD – PART B (Clauses 21 to 30C)</t>
  </si>
  <si>
    <t>21(a)</t>
  </si>
  <si>
    <t>Amounts debited to P&amp;L account in the nature of capital, personal, political advertisement, club expenses, penalties / fines, compounding fees, prohibited benefits / perquisites and settlement expenditure</t>
  </si>
  <si>
    <t>21(b)</t>
  </si>
  <si>
    <t>Amounts inadmissible under section 40(a)</t>
  </si>
  <si>
    <t>21(c)</t>
  </si>
  <si>
    <t>Amounts inadmissible under section 40(b) / 40(ba)</t>
  </si>
  <si>
    <t>21(d)</t>
  </si>
  <si>
    <t>Disallowance / deemed income under section 40A(3) / 40A(3A)</t>
  </si>
  <si>
    <t>21(e)</t>
  </si>
  <si>
    <t>Provision for gratuity not allowable under section 40A(7)</t>
  </si>
  <si>
    <t>21(f)</t>
  </si>
  <si>
    <t>Employer contribution not allowable under section 40A(9)</t>
  </si>
  <si>
    <t>21(g)</t>
  </si>
  <si>
    <t>Particulars of contingent liabilities</t>
  </si>
  <si>
    <t>21(h)</t>
  </si>
  <si>
    <t>Deduction inadmissible under section 14A</t>
  </si>
  <si>
    <t>21(i)</t>
  </si>
  <si>
    <t>Amount inadmissible under proviso to section 36(1)(iii)</t>
  </si>
  <si>
    <t>22</t>
  </si>
  <si>
    <t>MSMED Act interest inadmissible / amount payable to micro or small enterprise and overdue amount</t>
  </si>
  <si>
    <t>3CD_Annx_MSME_22_23</t>
  </si>
  <si>
    <t>23</t>
  </si>
  <si>
    <t>Payments made to persons specified under section 40A(2)(b)</t>
  </si>
  <si>
    <t>24</t>
  </si>
  <si>
    <t>Amounts deemed to be profits and gains under section 32AD / 33AB / 33ABA / 33AC</t>
  </si>
  <si>
    <t>25</t>
  </si>
  <si>
    <t>Any amount of profit chargeable under section 41 and computation thereof</t>
  </si>
  <si>
    <t>26</t>
  </si>
  <si>
    <t>Amounts referred to in section 43B</t>
  </si>
  <si>
    <t>3CD_Annx_43B_26</t>
  </si>
  <si>
    <t>27(a)</t>
  </si>
  <si>
    <t>CENVAT credits availed / utilised and treatment in accounts</t>
  </si>
  <si>
    <t>27(b)</t>
  </si>
  <si>
    <t>Prior period income or expenditure credited or debited to the profit and loss account</t>
  </si>
  <si>
    <t>29A</t>
  </si>
  <si>
    <t>Any amount includible under section 56(2)(ix)</t>
  </si>
  <si>
    <t>29B</t>
  </si>
  <si>
    <t>Any amount includible under section 56(2)(x)</t>
  </si>
  <si>
    <t>30</t>
  </si>
  <si>
    <t>Amount borrowed on hundi repaid otherwise than through account payee cheque</t>
  </si>
  <si>
    <t>30A</t>
  </si>
  <si>
    <t>Primary adjustment to transfer price under section 92CE</t>
  </si>
  <si>
    <t>30B</t>
  </si>
  <si>
    <t>Interest expenditure under section 94B</t>
  </si>
  <si>
    <t>30C</t>
  </si>
  <si>
    <t>Impermissible avoidance arrangement under section 96</t>
  </si>
  <si>
    <t>FORM NO. 3CD – PART B (Clauses 31 to 44)</t>
  </si>
  <si>
    <t>31(a)</t>
  </si>
  <si>
    <t>Loans or deposits exceeding limit under section 269SS taken or accepted during the previous year</t>
  </si>
  <si>
    <t>3CD_Annx_Loans_31</t>
  </si>
  <si>
    <t>31(b)</t>
  </si>
  <si>
    <t>Specified sums exceeding limit under section 269SS taken or accepted</t>
  </si>
  <si>
    <t>31(ba)</t>
  </si>
  <si>
    <t>Receipts exceeding limit under section 269ST otherwise than by account payee instrument / ECS</t>
  </si>
  <si>
    <t>31(bb)</t>
  </si>
  <si>
    <t>Receipts exceeding limit under section 269ST by non-account payee cheque / draft</t>
  </si>
  <si>
    <t>31(bc)</t>
  </si>
  <si>
    <t>Payments exceeding limit under section 269ST otherwise than by account payee instrument / ECS</t>
  </si>
  <si>
    <t>31(bd)</t>
  </si>
  <si>
    <t>Payments exceeding limit under section 269ST by non-account payee cheque / draft</t>
  </si>
  <si>
    <t>31(c)</t>
  </si>
  <si>
    <t>Repayment of loan / deposit / specified advance exceeding limit under section 269T</t>
  </si>
  <si>
    <t>31(d)</t>
  </si>
  <si>
    <t>Repayment of loan / deposit / specified advance exceeding limit under section 269T received otherwise than by banking mode</t>
  </si>
  <si>
    <t>31(e)</t>
  </si>
  <si>
    <t>Repayment of loan / deposit / specified advance by non-account payee cheque / draft</t>
  </si>
  <si>
    <t>32(a)</t>
  </si>
  <si>
    <t>Brought forward losses / depreciation allowance details</t>
  </si>
  <si>
    <t>3CD_Annx_BF_Loss_32</t>
  </si>
  <si>
    <t>32(b)</t>
  </si>
  <si>
    <t>Change in shareholding affecting carry forward under section 79</t>
  </si>
  <si>
    <t>32(c)</t>
  </si>
  <si>
    <t>Speculation loss under section 73</t>
  </si>
  <si>
    <t>32(d)</t>
  </si>
  <si>
    <t>Loss under section 73A in specified business</t>
  </si>
  <si>
    <t>32(e)</t>
  </si>
  <si>
    <t>Whether company deemed to be carrying speculation business under Explanation to section 73</t>
  </si>
  <si>
    <t>33</t>
  </si>
  <si>
    <t>Section-wise deductions admissible under Chapter VIA / Chapter III</t>
  </si>
  <si>
    <t>34(a)</t>
  </si>
  <si>
    <t>Whether required to deduct / collect tax; furnish details</t>
  </si>
  <si>
    <t>3CD_Annx_TDS_34</t>
  </si>
  <si>
    <t>34(b)</t>
  </si>
  <si>
    <t>Whether required to furnish TDS / TCS statements; furnish details</t>
  </si>
  <si>
    <t>34(c)</t>
  </si>
  <si>
    <t>Whether liable to interest under section 201(1A) / 206C(7)</t>
  </si>
  <si>
    <t>35(a)</t>
  </si>
  <si>
    <t>Quantitative details of principal items of goods traded</t>
  </si>
  <si>
    <t>3CD_Annx_Quant_35</t>
  </si>
  <si>
    <t>35(b)</t>
  </si>
  <si>
    <t>Quantitative details of principal raw materials / finished goods / by-products</t>
  </si>
  <si>
    <t>36A</t>
  </si>
  <si>
    <t>Dividend under section 2(22)(e)</t>
  </si>
  <si>
    <t>36B</t>
  </si>
  <si>
    <t>Buyback of shares under section 2(22)(f)</t>
  </si>
  <si>
    <t>37</t>
  </si>
  <si>
    <t>Cost audit carried out; disqualification or disagreement reported by cost auditor</t>
  </si>
  <si>
    <t>38</t>
  </si>
  <si>
    <t>Audit under Central Excise Act, 1944; disqualification or disagreement reported</t>
  </si>
  <si>
    <t>39</t>
  </si>
  <si>
    <t>Audit under section 72A of the Finance Act, 1994; disqualification or disagreement reported</t>
  </si>
  <si>
    <t>40</t>
  </si>
  <si>
    <t>Details regarding turnover, gross profit, etc. for previous and preceding previous year</t>
  </si>
  <si>
    <t>3CD_Annx_GP_40</t>
  </si>
  <si>
    <t>41</t>
  </si>
  <si>
    <t>Demand raised or refund issued under other tax laws during the previous year</t>
  </si>
  <si>
    <t>42</t>
  </si>
  <si>
    <t>Requirement to furnish Form 61 / 61A / 61B and compliance status</t>
  </si>
  <si>
    <t>43</t>
  </si>
  <si>
    <t>Requirement to furnish report under section 286 and related details</t>
  </si>
  <si>
    <t>44</t>
  </si>
  <si>
    <t>Break-up of total expenditure of entities registered or not registered under GST</t>
  </si>
  <si>
    <t>3CD_Annx_GST_44</t>
  </si>
  <si>
    <t>3CD Annexure – Clause 9</t>
  </si>
  <si>
    <t>Partners / members and profit-sharing ratios</t>
  </si>
  <si>
    <t>Name</t>
  </si>
  <si>
    <t>PAN / Aadhaar</t>
  </si>
  <si>
    <t>Opening ratio</t>
  </si>
  <si>
    <t>Closing ratio</t>
  </si>
  <si>
    <t>Change date</t>
  </si>
  <si>
    <t>Remarks</t>
  </si>
  <si>
    <t>Use for firms / AOPs / LLPs where applicable.</t>
  </si>
  <si>
    <t>3CD Annexure – Clause 18</t>
  </si>
  <si>
    <t>Depreciation schedule as per Income-tax Act, 1961</t>
  </si>
  <si>
    <t>Block of asset</t>
  </si>
  <si>
    <t>Rate %</t>
  </si>
  <si>
    <t>Adjustment to WDV</t>
  </si>
  <si>
    <t>Additions &lt;=180 days</t>
  </si>
  <si>
    <t>Additions &gt;180 days</t>
  </si>
  <si>
    <t>Deductions</t>
  </si>
  <si>
    <t>This annexure can be reconciled with the fixed asset schedule / tax depreciation working.</t>
  </si>
  <si>
    <t>3CD Annexure – Clauses 20 / 21 / 26</t>
  </si>
  <si>
    <t>Disallowances, employee contributions and section 43B support</t>
  </si>
  <si>
    <t>Date</t>
  </si>
  <si>
    <t>Nature / section</t>
  </si>
  <si>
    <t>Party / fund</t>
  </si>
  <si>
    <t>Description</t>
  </si>
  <si>
    <t>Amount as per books</t>
  </si>
  <si>
    <t>Amount allowable</t>
  </si>
  <si>
    <t>Amount disallowable</t>
  </si>
  <si>
    <t>Use this annexure for employee contribution delays, 40(a), 40A(3), 43B and related disallowance support.</t>
  </si>
  <si>
    <t>3CD Annexure – Clauses 22 &amp; 23</t>
  </si>
  <si>
    <t>MSMED Act dues and specified person payments</t>
  </si>
  <si>
    <t>Party</t>
  </si>
  <si>
    <t>MSME status / relationship</t>
  </si>
  <si>
    <t>Invoice / contract date</t>
  </si>
  <si>
    <t>Amount payable</t>
  </si>
  <si>
    <t>Paid within time</t>
  </si>
  <si>
    <t>Overdue amount</t>
  </si>
  <si>
    <t>Interest inadmissible</t>
  </si>
  <si>
    <t>Separate micro and small enterprises from other related parties and maintain linkage to supporting confirmations.</t>
  </si>
  <si>
    <t>3CD Annexure – Clause 26</t>
  </si>
  <si>
    <t>Nature of liability</t>
  </si>
  <si>
    <t>Opening unpaid</t>
  </si>
  <si>
    <t>Paid during year</t>
  </si>
  <si>
    <t>Closing unpaid</t>
  </si>
  <si>
    <t>Paid before return due date</t>
  </si>
  <si>
    <t>Allowable in current year</t>
  </si>
  <si>
    <t>Disallowable</t>
  </si>
  <si>
    <t>State whether indirect taxes / cess / levy are routed through profit and loss account.</t>
  </si>
  <si>
    <t>3CD Annexure – Clause 31</t>
  </si>
  <si>
    <t>Loans / deposits / specified sums / 269SS / 269ST / 269T compliance matrix</t>
  </si>
  <si>
    <t>Note 1 (current official Form 3CD code legend for clause 31 amount / receipt / repayment): A Cash payment, B Cash receipt, C Payment through non-account payee cheque, D Receipt through non-account payee cheque, E Transfer of asset, F Transfer of liability, G Conversion of assets, H Conversion of liabilities, I Journal entry [Debit], J Journal entry [Credit], K Any other mode [Debit], L Any other mode [Credit].</t>
  </si>
  <si>
    <t>Nature</t>
  </si>
  <si>
    <t>Name of lender / payer / payee</t>
  </si>
  <si>
    <t>Code</t>
  </si>
  <si>
    <t>Mode</t>
  </si>
  <si>
    <t>Max outstanding</t>
  </si>
  <si>
    <t>Squared up?</t>
  </si>
  <si>
    <t>Use separate rows for acceptance, receipt, payment and repayment events. Capture 269ST event-wise aggregation separately if needed.</t>
  </si>
  <si>
    <t>3CD Annexure – Clause 32</t>
  </si>
  <si>
    <t>Brought forward losses / depreciation and carry-forward restrictions</t>
  </si>
  <si>
    <t>AY</t>
  </si>
  <si>
    <t>Amount as returned</t>
  </si>
  <si>
    <t>Not allowed u/s 115BAA / 115BAC / 115BAD / 115BAE</t>
  </si>
  <si>
    <t>Adjusted / withdrawn</t>
  </si>
  <si>
    <t>Amount as assessed</t>
  </si>
  <si>
    <t>Relevant order ref.</t>
  </si>
  <si>
    <t>Also disclose section 79 impact, speculation loss and specified business loss where relevant.</t>
  </si>
  <si>
    <t>3CD Annexure – Clauses 19 &amp; 33</t>
  </si>
  <si>
    <t>Admissible deductions under specific sections / Chapter VIA / Chapter III</t>
  </si>
  <si>
    <t>Section</t>
  </si>
  <si>
    <t>Amount debited / claimed</t>
  </si>
  <si>
    <t>Amount admissible</t>
  </si>
  <si>
    <t>Conditions complied?</t>
  </si>
  <si>
    <t>Supporting ref.</t>
  </si>
  <si>
    <t>Use this annexure for section-wise reconciliation of deductions and approvals.</t>
  </si>
  <si>
    <t>3CD Annexure – Clause 34</t>
  </si>
  <si>
    <t>TDS / TCS deduction, statement filing and interest matrix</t>
  </si>
  <si>
    <t>TAN</t>
  </si>
  <si>
    <t>Nature of payment / receipt</t>
  </si>
  <si>
    <t>Total payment / receipt</t>
  </si>
  <si>
    <t>Amount subject to TDS/TCS</t>
  </si>
  <si>
    <t>Tax deducted / collected</t>
  </si>
  <si>
    <t>Short deduction / collection</t>
  </si>
  <si>
    <t>Not deposited</t>
  </si>
  <si>
    <t>Interest u/s 201(1A)/206C(7)</t>
  </si>
  <si>
    <t>Separate statement filing non-compliances and omitted transactions in your detailed working papers.</t>
  </si>
  <si>
    <t>3CD Annexure – Clause 35</t>
  </si>
  <si>
    <t>Quantitative details of traded goods / raw materials / finished goods</t>
  </si>
  <si>
    <t>Item</t>
  </si>
  <si>
    <t>UOM</t>
  </si>
  <si>
    <t>Opening qty</t>
  </si>
  <si>
    <t>Purchases / production</t>
  </si>
  <si>
    <t>Consumption / sales</t>
  </si>
  <si>
    <t>Closing qty</t>
  </si>
  <si>
    <t>Shortage / excess</t>
  </si>
  <si>
    <t>Yield % / remarks</t>
  </si>
  <si>
    <t>Use separate tables within this sheet if both trading and manufacturing quantitative details are applicable.</t>
  </si>
  <si>
    <t>3CD Annexure – Clause 40</t>
  </si>
  <si>
    <t>Turnover / GP / NP / stock / material ratios for current and preceding year</t>
  </si>
  <si>
    <t>Preceding previous year</t>
  </si>
  <si>
    <t>Typical rows include total turnover, gross profit / turnover, net profit / turnover, stock-in-trade / turnover and material consumed / finished goods produced.</t>
  </si>
  <si>
    <t>3CD Annexure – Clause 44</t>
  </si>
  <si>
    <t>Total expenditure during year</t>
  </si>
  <si>
    <t>Registered – exempt goods/services</t>
  </si>
  <si>
    <t>Registered – composition</t>
  </si>
  <si>
    <t>Registered – other registered entities</t>
  </si>
  <si>
    <t>Total payment to registered entities</t>
  </si>
  <si>
    <t>Unregistered entities</t>
  </si>
  <si>
    <t>Map totals to purchase and expense ledgers and reconcile with annual GST data where available.</t>
  </si>
  <si>
    <t>Sample Narrative Notes to Accounts</t>
  </si>
  <si>
    <t>Editable note bank | Company</t>
  </si>
  <si>
    <t>Heading</t>
  </si>
  <si>
    <t>Sample wording (editable)</t>
  </si>
  <si>
    <t>Applicability</t>
  </si>
  <si>
    <t>Reporting Entity / Constitution</t>
  </si>
  <si>
    <t>[Name of entity] was incorporated / constituted in India and is engaged in [nature of business]. The registered office / principal place of business of the entity is [address]. These financial statements are prepared for the year ended [date].</t>
  </si>
  <si>
    <t>General</t>
  </si>
  <si>
    <t>Basis of Preparation</t>
  </si>
  <si>
    <t>The financial statements have been prepared in accordance with the historical cost convention on the accrual basis of accounting and in accordance with the applicable Accounting Standards and generally accepted accounting principles in India, read with the relevant provisions of the applicable statute, if any.</t>
  </si>
  <si>
    <t>Use of Estimates</t>
  </si>
  <si>
    <t>The preparation of financial statements requires management to make estimates and assumptions that affect the reported amounts of assets and liabilities, income and expenses, and disclosure of contingent liabilities at the date of the financial statements. Actual results could differ from those estimates and revisions are recognised prospectively.</t>
  </si>
  <si>
    <t>Current / Non-current Classification</t>
  </si>
  <si>
    <t>All assets and liabilities have been classified as current or non-current as per the entity's normal operating cycle and other criteria set out in the applicable presentation framework. Based on the nature of products / services and the time between acquisition of assets for processing and their realisation in cash and cash equivalents, the entity has ascertained its operating cycle as [twelve months / specify].</t>
  </si>
  <si>
    <t>Property, plant and equipment are stated at cost less accumulated depreciation and impairment losses, if any. Cost includes purchase price, duties and taxes (other than those subsequently recoverable), freight, installation and other directly attributable expenditure necessary to bring the asset to its working condition for its intended use.</t>
  </si>
  <si>
    <t>Depreciation / Amortisation</t>
  </si>
  <si>
    <t>Depreciation is provided on the [written down value / straight line] method over the useful lives of the assets as estimated by management / prescribed under the applicable law. Intangible assets are amortised over their estimated useful life on a systematic basis. Residual values and useful lives are reviewed at each reporting date, where relevant.</t>
  </si>
  <si>
    <t>Inventories are valued at the lower of cost and net realisable value. Cost is determined on the [FIFO / weighted average / specific identification] basis and includes all costs of purchase, conversion and other costs incurred in bringing inventories to their present location and condition.</t>
  </si>
  <si>
    <t>Revenue Recognition</t>
  </si>
  <si>
    <t>Revenue is recognised when the significant risks and rewards of ownership of goods are transferred to the customer or when services are rendered in accordance with the terms of the contract, and it is probable that the economic benefits will flow to the entity and the amount can be measured reliably. Revenue is measured net of returns, discounts, rebates and taxes collected on behalf of the Government.</t>
  </si>
  <si>
    <t>9</t>
  </si>
  <si>
    <t>Foreign Currency Transactions</t>
  </si>
  <si>
    <t>Transactions denominated in foreign currencies are recorded at the exchange rate prevailing on the date of the transaction. Monetary assets and liabilities in foreign currency outstanding at the reporting date are translated at the closing rate and resulting exchange differences are recognised in the Statement of Profit and Loss, except where capitalised or otherwise dealt with in accordance with the applicable accounting standard.</t>
  </si>
  <si>
    <t>10</t>
  </si>
  <si>
    <t>Borrowing Costs</t>
  </si>
  <si>
    <t>Borrowing costs attributable to the acquisition or construction of qualifying assets are capitalised as part of the cost of such assets until the time the asset is ready for its intended use. Other borrowing costs are recognised as an expense in the period in which they are incurred.</t>
  </si>
  <si>
    <t>11</t>
  </si>
  <si>
    <t>Investments</t>
  </si>
  <si>
    <t>Long-term investments are carried at cost less provision for diminution, other than temporary, if any. Current investments are carried at the lower of cost and fair value / net realisable value, as applicable.</t>
  </si>
  <si>
    <t>Employee Benefits</t>
  </si>
  <si>
    <t>Short-term employee benefits are recognised as an expense at the undiscounted amount in the period in which the related service is rendered. Defined contribution plan obligations are recognised when contributions are due. Defined benefit obligations, if any, are provided for on the basis of actuarial valuation / management estimate as applicable. Leave encashment and gratuity obligations should be tailored to the entity's facts.</t>
  </si>
  <si>
    <t>13</t>
  </si>
  <si>
    <t>Taxes on Income</t>
  </si>
  <si>
    <t>Current tax is measured at the amount expected to be paid to the tax authorities in accordance with the applicable tax laws. Deferred tax is recognised on timing differences between accounting income and taxable income, subject to consideration of prudence / virtual certainty, where applicable.</t>
  </si>
  <si>
    <t>14</t>
  </si>
  <si>
    <t>Provisions, Contingent Liabilities and Contingent Assets</t>
  </si>
  <si>
    <t>Provisions are recognised when the entity has a present obligation as a result of a past event, it is probable that an outflow of resources will be required to settle the obligation and a reliable estimate can be made. Contingent liabilities are disclosed unless the possibility of an outflow is remote. Contingent assets are not recognised but are disclosed where an inflow of economic benefits is probable.</t>
  </si>
  <si>
    <t>Impairment of Assets</t>
  </si>
  <si>
    <t>The carrying amounts of assets are reviewed at each reporting date to determine whether there is any indication of impairment. If such indication exists, the recoverable amount is estimated and an impairment loss is recognised to the extent the carrying amount exceeds the recoverable amount.</t>
  </si>
  <si>
    <t>Related Party Disclosures</t>
  </si>
  <si>
    <t>Related party relationships and transactions are disclosed in accordance with the applicable accounting standard. Transactions with related parties are carried out in the ordinary course of business and at arm's length / on terms approved by management, where applicable.</t>
  </si>
  <si>
    <t>Where applicable</t>
  </si>
  <si>
    <t>MSME Disclosures</t>
  </si>
  <si>
    <t>Dues to micro and small enterprises have been disclosed to the extent information available with the entity based on the information furnished by suppliers regarding their registration status under the Micro, Small and Medium Enterprises Development Act, 2006.</t>
  </si>
  <si>
    <t>Events After the Reporting Date</t>
  </si>
  <si>
    <t>Events occurring after the reporting date that provide additional evidence of conditions existing at the reporting date are adjusted in the financial statements. Other material events occurring after the reporting date are disclosed where necessary.</t>
  </si>
  <si>
    <t>All entities</t>
  </si>
  <si>
    <t>Prior Period Items</t>
  </si>
  <si>
    <t>Income / expenditure relating to prior periods, if material, should be separately disclosed and explained. Comparative figures have been regrouped / reclassified wherever necessary to conform to current year presentation.</t>
  </si>
  <si>
    <t>20</t>
  </si>
  <si>
    <t>Going Concern</t>
  </si>
  <si>
    <t>The financial statements have been prepared on a going concern basis. Management has evaluated the entity's ability to continue as a going concern for at least twelve months from the reporting date and has not identified material uncertainty / has disclosed the relevant material uncertainty, as applicable.</t>
  </si>
  <si>
    <t>These narrative notes are intentionally generic. Replace with the firm's preferred wording, framework-specific language, materiality thresholds and entity-specific facts before issue.</t>
  </si>
  <si>
    <t>Legal &amp; Form Sources</t>
  </si>
  <si>
    <t>Official sources checked while aligning the templates</t>
  </si>
  <si>
    <t>Source</t>
  </si>
  <si>
    <t>URL</t>
  </si>
  <si>
    <t>Income-tax Department official forms page</t>
  </si>
  <si>
    <t>Official source for Form 3CA / 3CB / 3CD downloads</t>
  </si>
  <si>
    <t>https://incometaxindia.gov.in/Pages/downloads/most-used-forms.aspx</t>
  </si>
  <si>
    <t>Form 3CA</t>
  </si>
  <si>
    <t>Official Form 3CA text under Rule 6G(1)(a)</t>
  </si>
  <si>
    <t>https://incometaxindia.gov.in/forms/income-tax%20rules/103120000000007765.pdf</t>
  </si>
  <si>
    <t>Form 3CB</t>
  </si>
  <si>
    <t>Official Form 3CB text under Rule 6G(1)(b)</t>
  </si>
  <si>
    <t>https://incometaxindia.gov.in/forms/income-tax%20rules/103120000000007766.pdf</t>
  </si>
  <si>
    <t>Form 3CD</t>
  </si>
  <si>
    <t>Official current Form 3CD text under Rule 6G(2)</t>
  </si>
  <si>
    <t>https://incometaxindia.gov.in/Forms/Income-Tax%20Rules/103120000000007767.pdf</t>
  </si>
  <si>
    <t>Companies (Audit and Auditors) Second Amendment Rules, 2021</t>
  </si>
  <si>
    <t>Official MCA notification on Rule 11(g) effective wording</t>
  </si>
  <si>
    <t>https://www.mca.gov.in/Ministry/pdf/AuditAuditorsSecondAmendmentRules_13042021.pdf</t>
  </si>
  <si>
    <t>CARO 2020 applicability amendment</t>
  </si>
  <si>
    <t>Official MCA notification making CARO 2020 applicable from FY 2020-21</t>
  </si>
  <si>
    <t>https://www.mca.gov.in/Ministry/pdf/CompaniesSecondAmdtOrder_22122020.pdf</t>
  </si>
  <si>
    <t>ICAI Audit Trail Implementation Guide (Revised 2024 Edition)</t>
  </si>
  <si>
    <t>Reference support for illustrative reporting under Rule 11(g)</t>
  </si>
  <si>
    <t>https://www.icai.org/post/19704</t>
  </si>
  <si>
    <t>(Amount in Rs. `000)</t>
  </si>
  <si>
    <t>(i) Micro and Small Enterprises</t>
  </si>
  <si>
    <t>(ii) Others</t>
  </si>
  <si>
    <r>
      <rPr>
        <sz val="9"/>
        <rFont val="Cambria"/>
        <family val="1"/>
        <scheme val="major"/>
      </rPr>
      <t xml:space="preserve">For </t>
    </r>
    <r>
      <rPr>
        <b/>
        <sz val="9"/>
        <rFont val="Cambria"/>
        <family val="1"/>
        <scheme val="major"/>
      </rPr>
      <t>[STATUTORY AUDITOR NAME]</t>
    </r>
  </si>
  <si>
    <t>Changes in inventories of finished goods, Work-in-progress and Stock-in-Trade</t>
  </si>
  <si>
    <t>Total Expenses</t>
  </si>
  <si>
    <t xml:space="preserve">Profit (loss) for period from continuing operations </t>
  </si>
  <si>
    <t>(VII-VIII)</t>
  </si>
  <si>
    <t>Changes in working capital:</t>
  </si>
  <si>
    <t>Interest Income</t>
  </si>
  <si>
    <t>Profit on sale of assets</t>
  </si>
  <si>
    <t>Interest expense</t>
  </si>
  <si>
    <t>Short term provision</t>
  </si>
  <si>
    <t>Proceeds from issue of share capital</t>
  </si>
  <si>
    <t>Proceeds / Repayment of long-term Borrowings</t>
  </si>
  <si>
    <t>Payment of Other Loan term Liabilities</t>
  </si>
  <si>
    <t>Interest Paid</t>
  </si>
  <si>
    <t>As ON</t>
  </si>
  <si>
    <t>Notes required ?</t>
  </si>
  <si>
    <t>2. As declared and certified by the management, the creditors referred to in part (ii) above are either Traders or Non MSME  as at the end of the year.</t>
  </si>
  <si>
    <t>Sale of products (Net off sales return)</t>
  </si>
  <si>
    <t>(A) Secured Loans</t>
  </si>
  <si>
    <t>a) Loans and advances from related parties &amp; Others</t>
  </si>
  <si>
    <t>b) From Directors</t>
  </si>
  <si>
    <t xml:space="preserve">or </t>
  </si>
  <si>
    <t>NOTE- 6 :</t>
  </si>
  <si>
    <t>TRADE PAYABALES</t>
  </si>
  <si>
    <t>(A) MSMEs</t>
  </si>
  <si>
    <t>(a) Less than 1 Year</t>
  </si>
  <si>
    <t>(b) 1-2 Years</t>
  </si>
  <si>
    <t>(c) 2-3 Years</t>
  </si>
  <si>
    <t>(d) More than 3 Years</t>
  </si>
  <si>
    <t>(B) Others</t>
  </si>
  <si>
    <t>(C) Disputed Dues - MSMEs</t>
  </si>
  <si>
    <t>(D) Disputed Dues - Others</t>
  </si>
  <si>
    <t>Old Format</t>
  </si>
  <si>
    <t>in notes to a/c given in details</t>
  </si>
  <si>
    <t xml:space="preserve">Unsecured, considered good </t>
  </si>
  <si>
    <t xml:space="preserve">I EQUITY AND LIABILITIES </t>
  </si>
  <si>
    <t>II ASSETS</t>
  </si>
  <si>
    <t>We can remove this head</t>
  </si>
  <si>
    <t>Significant accounting policies and estimates</t>
  </si>
  <si>
    <t>% of holding</t>
  </si>
  <si>
    <t>Shareholders Name</t>
  </si>
  <si>
    <t>K:\SOFTWARE\AUDIT\FINANCIAL</t>
  </si>
  <si>
    <t>For Chart Flow</t>
  </si>
  <si>
    <t>1. General Reserve</t>
  </si>
  <si>
    <t>2. Share Premium</t>
  </si>
  <si>
    <t>Add/(Less) : Profit for the year</t>
  </si>
  <si>
    <t xml:space="preserve">Add/(Less) : Adj. for Deferered tax </t>
  </si>
  <si>
    <t xml:space="preserve">Add/(Less) : Excess/short provi. for Income tax </t>
  </si>
  <si>
    <t>[a]</t>
  </si>
  <si>
    <t>[b]</t>
  </si>
  <si>
    <t>[a] + [b]</t>
  </si>
  <si>
    <t xml:space="preserve">b) Term loans </t>
  </si>
  <si>
    <t>(i) from banks</t>
  </si>
  <si>
    <t>(a) OD</t>
  </si>
  <si>
    <t>(b) CC</t>
  </si>
  <si>
    <t>(c) Term loan</t>
  </si>
  <si>
    <t>(a) Loans and advances from related parties</t>
  </si>
  <si>
    <t>(b) Other loans and advances (specify nature)</t>
  </si>
  <si>
    <t xml:space="preserve">(A) Secured </t>
  </si>
  <si>
    <t xml:space="preserve">(B) Unsecured </t>
  </si>
  <si>
    <t>Trade Payables ageing schedule as on 31.03.2026</t>
  </si>
  <si>
    <t>Trade Payables ageing schedule as on 31.03.2025</t>
  </si>
  <si>
    <t>Land</t>
  </si>
  <si>
    <t>Plant &amp; Machinery</t>
  </si>
  <si>
    <t>Electric Equipments</t>
  </si>
  <si>
    <t>Usefull life (years)</t>
  </si>
  <si>
    <t>Total - Current year</t>
  </si>
  <si>
    <t>Total - Previous year</t>
  </si>
  <si>
    <t>(b) Capital Advances</t>
  </si>
  <si>
    <t>Others</t>
  </si>
  <si>
    <t>(d) Cash and bank equivalents</t>
  </si>
  <si>
    <t>Cash and bank equivalents</t>
  </si>
  <si>
    <t>(c) Other Long term liabilities</t>
  </si>
  <si>
    <t>Property, Plant and Equipment and Intangible Assets</t>
  </si>
  <si>
    <t>Intangible Assets</t>
  </si>
  <si>
    <t>Software</t>
  </si>
  <si>
    <t>Factory Building</t>
  </si>
  <si>
    <t>TDS Receivable</t>
  </si>
  <si>
    <t>TCS Receivable</t>
  </si>
  <si>
    <t>GST Receivable</t>
  </si>
  <si>
    <t>Plant &amp; machinery</t>
  </si>
  <si>
    <t>Softaware</t>
  </si>
  <si>
    <t>(b) Provision for income tax</t>
  </si>
  <si>
    <t>(b) Provision for expenses</t>
  </si>
  <si>
    <t>Balance Sheet as at 31st March, 20XX</t>
  </si>
  <si>
    <t>Corporate Audit Report Pack</t>
  </si>
  <si>
    <r>
      <t xml:space="preserve">[ENTER ENTITY NAME]_ </t>
    </r>
    <r>
      <rPr>
        <i/>
        <sz val="10"/>
        <rFont val="Arial"/>
        <family val="2"/>
      </rPr>
      <t>AUTO</t>
    </r>
  </si>
  <si>
    <r>
      <t xml:space="preserve">[01 Apr 2025 to 31 Mar 2026]_ </t>
    </r>
    <r>
      <rPr>
        <i/>
        <sz val="10"/>
        <rFont val="Arial"/>
        <family val="2"/>
      </rPr>
      <t>AUTO</t>
    </r>
  </si>
  <si>
    <r>
      <t xml:space="preserve">[ENTER PAN]_ </t>
    </r>
    <r>
      <rPr>
        <i/>
        <sz val="10"/>
        <rFont val="Arial"/>
        <family val="2"/>
      </rPr>
      <t>AUTO</t>
    </r>
  </si>
  <si>
    <r>
      <t xml:space="preserve">[ENTER TAN]_ </t>
    </r>
    <r>
      <rPr>
        <i/>
        <sz val="10"/>
        <rFont val="Arial"/>
        <family val="2"/>
      </rPr>
      <t>AUTO</t>
    </r>
  </si>
  <si>
    <t>GSTIN</t>
  </si>
  <si>
    <r>
      <t xml:space="preserve">[ENTER GSTIN]_ </t>
    </r>
    <r>
      <rPr>
        <i/>
        <sz val="10"/>
        <rFont val="Arial"/>
        <family val="2"/>
      </rPr>
      <t>AUTO</t>
    </r>
  </si>
  <si>
    <r>
      <t xml:space="preserve">[2026-27]_ </t>
    </r>
    <r>
      <rPr>
        <i/>
        <sz val="10"/>
        <rFont val="Arial"/>
        <family val="2"/>
      </rPr>
      <t>AUTO</t>
    </r>
  </si>
  <si>
    <t>Membership</t>
  </si>
  <si>
    <t>FRN</t>
  </si>
  <si>
    <t>[ENTER ENTITY NAME]_ AUTO</t>
  </si>
  <si>
    <t>[ENTER ADDRESS]_ AUTO</t>
  </si>
  <si>
    <t>P.A. Number (PAN)</t>
  </si>
  <si>
    <t>[ENTER PAN]_ AUTO</t>
  </si>
  <si>
    <t>T.A. Number (TAN)</t>
  </si>
  <si>
    <t>[ENTER TAN]_ AUTO</t>
  </si>
  <si>
    <t>GST No.</t>
  </si>
  <si>
    <t>[ENTER GSTIN]_ AUTO</t>
  </si>
  <si>
    <t>[01 Apr 2025 to 31 Mar 2026]_ AUTO</t>
  </si>
  <si>
    <t>[2026-27]_ AUTO</t>
  </si>
  <si>
    <t>31 March,</t>
  </si>
  <si>
    <t>_____ AUTO</t>
  </si>
  <si>
    <t>Central editable fields | Corporate Entity</t>
  </si>
  <si>
    <t>Corporate Entity</t>
  </si>
  <si>
    <t>Amount in Rs. / Lakhs / Hundreds / Thousands</t>
  </si>
  <si>
    <t>AUTO</t>
  </si>
  <si>
    <t>TOTAL EQUITY AND LIABILITIES</t>
  </si>
  <si>
    <t>TOTAL ASSETS</t>
  </si>
  <si>
    <t xml:space="preserve">As at </t>
  </si>
  <si>
    <t xml:space="preserve">___ equity shares of face value of Rs.__ each </t>
  </si>
  <si>
    <t>___ equity shares of face value of Rs.__ each</t>
  </si>
  <si>
    <t xml:space="preserve">Sale of services </t>
  </si>
  <si>
    <t>Schedules to Profit &amp; Loss A/c. for Financial year 20__ - __</t>
  </si>
  <si>
    <t xml:space="preserve"> For the year ended 31 March 20XX</t>
  </si>
  <si>
    <t>For the year 20XX-XX</t>
  </si>
  <si>
    <t>31st March, 20XX</t>
  </si>
  <si>
    <t>Statement of Profit &amp; Loss Account for the year ended as on 31st March, 20XX</t>
  </si>
  <si>
    <t>For the year ended 31st March, 20XX</t>
  </si>
  <si>
    <t>As at 31st March, 20XX</t>
  </si>
  <si>
    <t>As at 1 April 20XX</t>
  </si>
  <si>
    <t>As at 31 March 20XX</t>
  </si>
  <si>
    <t>2. The Company has not revalued its Property, Plant and Equipment during the year ended March 31, 20XX and March 31, 20XX.</t>
  </si>
  <si>
    <t>Schedules to Balance Sheet as at 31st March, 20XX</t>
  </si>
  <si>
    <t>Trade Receivables ageing schedule as on 31.03.20XX</t>
  </si>
  <si>
    <t>Summary of other explanatory notes for the year ended 31 March 20XX</t>
  </si>
  <si>
    <t>Earnings per  equity share ;</t>
  </si>
  <si>
    <t>Other Borrowing Cost</t>
  </si>
  <si>
    <t>Raw Material Consumed</t>
  </si>
  <si>
    <t xml:space="preserve">  Opening Stock</t>
  </si>
  <si>
    <t xml:space="preserve">  Purchases</t>
  </si>
  <si>
    <t xml:space="preserve">  Less: Closing Stock</t>
  </si>
  <si>
    <t xml:space="preserve">Changes in inventories </t>
  </si>
  <si>
    <t>Finished goods</t>
  </si>
  <si>
    <t>Remuneration to directors</t>
  </si>
  <si>
    <t>If TDS is deducted u/s 192B</t>
  </si>
  <si>
    <t>Freight &amp; Transportation Expenses</t>
  </si>
  <si>
    <t>Job Work Charges</t>
  </si>
  <si>
    <t>Remuneration to Auditors</t>
  </si>
  <si>
    <t>Donation Expenses</t>
  </si>
  <si>
    <t>Bad Debts</t>
  </si>
  <si>
    <t>Legal &amp; Professional Expenses</t>
  </si>
  <si>
    <t>Telephone Expenses</t>
  </si>
  <si>
    <t>Rent Expenses</t>
  </si>
  <si>
    <t>Repairs and Maintenance</t>
  </si>
  <si>
    <t>Petrol Expenses</t>
  </si>
  <si>
    <t>Travelling Expenses</t>
  </si>
  <si>
    <t>Security and Safety Charges</t>
  </si>
  <si>
    <t>Sundry Balance Written off</t>
  </si>
  <si>
    <t>Interest, Late Fees, penalty on Statutory Dues</t>
  </si>
  <si>
    <t>Insurance Expenses</t>
  </si>
  <si>
    <t xml:space="preserve">Kasar and Vatav </t>
  </si>
  <si>
    <t>Office Expenses</t>
  </si>
  <si>
    <t>Postage and Courier Expenses</t>
  </si>
  <si>
    <t>Stationery and Printing Expenses</t>
  </si>
  <si>
    <t>Tea and Refreshment Expenses</t>
  </si>
  <si>
    <t>Design and Development Service Expense</t>
  </si>
  <si>
    <t>ROC Compliance Fees</t>
  </si>
  <si>
    <t>Electrical Expenses</t>
  </si>
  <si>
    <t>Electricity Expenses</t>
  </si>
  <si>
    <t>Entertainment Expenses</t>
  </si>
  <si>
    <t>Rates and Taxes</t>
  </si>
  <si>
    <t>Warranty Expense</t>
  </si>
  <si>
    <t>Advertisement Expenses</t>
  </si>
  <si>
    <t>Commission and Incentive Expenses</t>
  </si>
  <si>
    <t>Exhibition and Meeting Expense</t>
  </si>
  <si>
    <t>aaaa</t>
  </si>
  <si>
    <t xml:space="preserve">    Repairs to Buildings</t>
  </si>
  <si>
    <t xml:space="preserve">    Repairs of Machinery</t>
  </si>
  <si>
    <t xml:space="preserve">    Repairs of Others</t>
  </si>
  <si>
    <t xml:space="preserve">   - Domestic</t>
  </si>
  <si>
    <t xml:space="preserve">   - Foreign</t>
  </si>
  <si>
    <t>(c) Others (specify nature).</t>
  </si>
  <si>
    <t>(b) Rent deposit</t>
  </si>
  <si>
    <t>31/03/20XX</t>
  </si>
  <si>
    <t>31 March 20XX</t>
  </si>
  <si>
    <t>Category of Assets</t>
  </si>
  <si>
    <t xml:space="preserve">Additions/ (deductions) </t>
  </si>
  <si>
    <t>Used for 180 days or more</t>
  </si>
  <si>
    <t>Less than 180 days</t>
  </si>
  <si>
    <t>Rate of Depreciation</t>
  </si>
  <si>
    <t>K:\SOFTWARE\AUDIT\AUDIT REPORT\FORMAT AR_NCE &amp; LLP</t>
  </si>
  <si>
    <t>NCE</t>
  </si>
  <si>
    <t xml:space="preserve">Net Profit After Tax attributable to shareholders </t>
  </si>
  <si>
    <t>As per P&amp;L</t>
  </si>
  <si>
    <t>Diluted earnings per share (in Rs.)</t>
  </si>
  <si>
    <t>Nature of transactions</t>
  </si>
  <si>
    <t>No.</t>
  </si>
  <si>
    <t>Current Year</t>
  </si>
  <si>
    <t>Prev. Year</t>
  </si>
  <si>
    <t>(i)</t>
  </si>
  <si>
    <t>Wages and Salaries</t>
  </si>
  <si>
    <t>(ii)</t>
  </si>
  <si>
    <t>Paid Annual Leave</t>
  </si>
  <si>
    <t>(iii)</t>
  </si>
  <si>
    <t>Profit Sharing and Bonus payments</t>
  </si>
  <si>
    <t>(iv)</t>
  </si>
  <si>
    <t>Perquisites - Medical Care, Housing, Cars</t>
  </si>
  <si>
    <t>(v)</t>
  </si>
  <si>
    <t>Defined Contribution Plans</t>
  </si>
  <si>
    <t xml:space="preserve">Of this, Payments to KMP </t>
  </si>
  <si>
    <t>Amount (Rs.)</t>
  </si>
  <si>
    <t>Current Ratio (In times)</t>
  </si>
  <si>
    <t>Total Current Assets</t>
  </si>
  <si>
    <t>Total Current Liabilities</t>
  </si>
  <si>
    <t>Debt-Equity Ratio (In times)</t>
  </si>
  <si>
    <t>Total Debt</t>
  </si>
  <si>
    <t>Shareholder'S Equity</t>
  </si>
  <si>
    <t/>
  </si>
  <si>
    <t xml:space="preserve">Earning Available for Debt Service </t>
  </si>
  <si>
    <t>Debt Service</t>
  </si>
  <si>
    <t>Return On Equity Ratio (In % )</t>
  </si>
  <si>
    <t>Net Profit After Tax</t>
  </si>
  <si>
    <t>Averages Shareholders Equity</t>
  </si>
  <si>
    <t>Inventory Turnover Ratio (In Times)</t>
  </si>
  <si>
    <t xml:space="preserve">Cost Of Goods Sold </t>
  </si>
  <si>
    <t>Average Inventories</t>
  </si>
  <si>
    <t>Trade Receivables Turnover Ratio (In Times)</t>
  </si>
  <si>
    <t>Revenue from Operations</t>
  </si>
  <si>
    <t>Trade Payables Turnover Ratio (In Times)</t>
  </si>
  <si>
    <t>Net Credit Purchases</t>
  </si>
  <si>
    <t>Net Capital Turnover Ratio (In Times)</t>
  </si>
  <si>
    <t xml:space="preserve">Working Capital </t>
  </si>
  <si>
    <t>Net Profit Ratio (In % )</t>
  </si>
  <si>
    <t>Return On Capital Employed (In % )</t>
  </si>
  <si>
    <t>Earnings Before Interst &amp; Taxes</t>
  </si>
  <si>
    <t>Capital Employed</t>
  </si>
  <si>
    <t>Return On Investment (In % )</t>
  </si>
  <si>
    <t>Return/ Profit/ Earnings</t>
  </si>
  <si>
    <t>Average Investment Fund</t>
  </si>
  <si>
    <t>Other</t>
  </si>
  <si>
    <t xml:space="preserve">Ms. A, </t>
  </si>
  <si>
    <t>Debt Service Coverage Ratio (In Times)</t>
  </si>
  <si>
    <t>RATIO</t>
  </si>
  <si>
    <t>Current Year 20XX-XX</t>
  </si>
  <si>
    <t>Previous Year 20XX-XX</t>
  </si>
  <si>
    <t>Computation of Deferred Tax for the year ended 31st March 20XX</t>
  </si>
  <si>
    <t>(c) Loans and advances to related parties (giving particulars)</t>
  </si>
  <si>
    <t xml:space="preserve">Other Membership, Licence/Certification and Subscription </t>
  </si>
  <si>
    <t>Excess of depreciation on fixed assets in accounts over depreciation as per IT Act,1961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</si>
</sst>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9">
    <numFmt numFmtId="41" formatCode="_-* #,##0_-;\-* #,##0_-;_-* &quot;-&quot;_-;_-@_-"/>
    <numFmt numFmtId="43" formatCode="_-* #,##0.00_-;\-* #,##0.00_-;_-* &quot;-&quot;??_-;_-@_-"/>
    <numFmt numFmtId="164" formatCode="_ * #,##0.00_ ;_ * \-#,##0.00_ ;_ * &quot;-&quot;??_ ;_ @_ "/>
    <numFmt numFmtId="165" formatCode="&quot;$&quot;#,##0_);\(&quot;$&quot;#,##0\)"/>
    <numFmt numFmtId="166" formatCode="_(* #,##0.00_);_(* \(#,##0.00\);_(* &quot;-&quot;??_);_(@_)"/>
    <numFmt numFmtId="167" formatCode="_(* #,##0_);_(* \(#,##0\);_(* &quot;-&quot;??_);_(@_)"/>
    <numFmt numFmtId="168" formatCode="_(* #,##0.0_);_(* \(#,##0.0\);_(* &quot;-&quot;??_);_(@_)"/>
    <numFmt numFmtId="169" formatCode="_ * #,##0_ ;_ * \-#,##0_ ;_ * &quot;-&quot;??_ ;_ @_ "/>
    <numFmt numFmtId="170" formatCode="0.0000"/>
    <numFmt numFmtId="171" formatCode="0.000"/>
    <numFmt numFmtId="172" formatCode="0.00_)"/>
    <numFmt numFmtId="173" formatCode="[$-13C09]d\ mmmm\ yyyy;@"/>
    <numFmt numFmtId="174" formatCode="0_);[Red]\(0\)"/>
    <numFmt numFmtId="175" formatCode="_-* #,##0_-;\-* #,##0_-;_-* &quot;-&quot;??_-;_-@_-"/>
    <numFmt numFmtId="176" formatCode="0.00\ ;\(0.00\)"/>
    <numFmt numFmtId="177" formatCode="0.00;\ \(0.00\)\ "/>
    <numFmt numFmtId="178" formatCode="0.0_)\ \ ;\(0.0\)_)"/>
    <numFmt numFmtId="179" formatCode="m/d"/>
    <numFmt numFmtId="180" formatCode="0.0000000000"/>
    <numFmt numFmtId="181" formatCode="#,##0;\-#,##0;&quot;-&quot;"/>
    <numFmt numFmtId="182" formatCode="#,##0\ &quot;F&quot;;\-#,##0\ &quot;F&quot;"/>
    <numFmt numFmtId="183" formatCode="#,##0.00\ &quot;kr&quot;;[Red]\-#,##0.00\ &quot;kr&quot;"/>
    <numFmt numFmtId="184" formatCode="_(* 0,_);_(* \(0,\);_(* &quot;&quot;??_);_(@_)"/>
    <numFmt numFmtId="185" formatCode="[$-409]mmm/yy;@"/>
    <numFmt numFmtId="186" formatCode="0_);\(0\)"/>
    <numFmt numFmtId="187" formatCode="########.00"/>
    <numFmt numFmtId="188" formatCode="_-* #,##0\ _D_M_-;\-* #,##0\ _D_M_-;_-* &quot;-&quot;\ _D_M_-;_-@_-"/>
    <numFmt numFmtId="189" formatCode="_-* #,##0\ &quot;F&quot;_-;\-* #,##0\ &quot;F&quot;_-;_-* &quot;-&quot;\ &quot;F&quot;_-;_-@_-"/>
    <numFmt numFmtId="190" formatCode="_([$€-2]* #,##0.00_);_([$€-2]* \(#,##0.00\);_([$€-2]* &quot;-&quot;??_)"/>
    <numFmt numFmtId="191" formatCode="_(* #,##0_);_(* \(#,##0\);_(* &quot; - &quot;_);_(@_)"/>
    <numFmt numFmtId="192" formatCode="#,##0\ &quot;F&quot;;[Red]\-#,##0\ &quot;F&quot;"/>
    <numFmt numFmtId="193" formatCode="#,##0.00\ &quot;F&quot;;[Red]\-#,##0.00\ &quot;F&quot;"/>
    <numFmt numFmtId="194" formatCode="0%_);\(0%\)"/>
    <numFmt numFmtId="195" formatCode="mm/dd/yy"/>
    <numFmt numFmtId="196" formatCode="_-&quot;?&quot;* #,##0_-;\-&quot;?&quot;* #,##0_-;_-&quot;?&quot;* &quot;-&quot;_-;_-@_-"/>
    <numFmt numFmtId="197" formatCode="_-&quot;?&quot;* #,##0.00_-;\-&quot;?&quot;* #,##0.00_-;_-&quot;?&quot;* &quot;-&quot;??_-;_-@_-"/>
    <numFmt numFmtId="198" formatCode="#,##0.00;\(#,##0.00\);\-"/>
    <numFmt numFmtId="199" formatCode="0.00&quot; Times&quot;"/>
    <numFmt numFmtId="200" formatCode="0.0%"/>
  </numFmts>
  <fonts count="138">
    <font>
      <sz val="11"/>
      <color theme="1"/>
      <name val="Calibri"/>
      <family val="2"/>
      <scheme val="minor"/>
    </font>
    <font>
      <sz val="11"/>
      <color theme="1"/>
      <name val="Calibri"/>
      <family val="2"/>
      <scheme val="minor"/>
    </font>
    <font>
      <b/>
      <sz val="10"/>
      <name val="Arial"/>
      <family val="2"/>
    </font>
    <font>
      <sz val="10"/>
      <color indexed="8"/>
      <name val="Arial"/>
      <family val="2"/>
    </font>
    <font>
      <sz val="10"/>
      <name val="Arial"/>
      <family val="2"/>
    </font>
    <font>
      <sz val="11"/>
      <color indexed="8"/>
      <name val="Calibri"/>
      <family val="2"/>
    </font>
    <font>
      <sz val="12"/>
      <name val="???"/>
      <family val="1"/>
      <charset val="129"/>
    </font>
    <font>
      <sz val="10"/>
      <name val="Helv"/>
      <charset val="204"/>
    </font>
    <font>
      <sz val="10"/>
      <name val="Helv"/>
      <family val="2"/>
    </font>
    <font>
      <sz val="11"/>
      <color indexed="8"/>
      <name val="Times New Roman"/>
      <family val="2"/>
    </font>
    <font>
      <sz val="11"/>
      <color indexed="9"/>
      <name val="Times New Roman"/>
      <family val="2"/>
    </font>
    <font>
      <sz val="12"/>
      <name val="±¼¸²Ã¼"/>
      <family val="3"/>
      <charset val="129"/>
    </font>
    <font>
      <sz val="11"/>
      <color indexed="20"/>
      <name val="Times New Roman"/>
      <family val="2"/>
    </font>
    <font>
      <sz val="12"/>
      <name val="¹ÙÅÁÃ¼"/>
      <charset val="129"/>
    </font>
    <font>
      <sz val="10"/>
      <name val="Courier"/>
      <family val="3"/>
    </font>
    <font>
      <b/>
      <sz val="11"/>
      <color indexed="52"/>
      <name val="Times New Roman"/>
      <family val="2"/>
    </font>
    <font>
      <b/>
      <sz val="11"/>
      <color indexed="9"/>
      <name val="Times New Roman"/>
      <family val="2"/>
    </font>
    <font>
      <b/>
      <sz val="8"/>
      <name val="Arial"/>
      <family val="2"/>
    </font>
    <font>
      <sz val="10"/>
      <name val="Verdana"/>
      <family val="2"/>
    </font>
    <font>
      <sz val="12"/>
      <color theme="1"/>
      <name val="Times New Roman"/>
      <family val="2"/>
    </font>
    <font>
      <sz val="10"/>
      <name val="MS Sans Serif"/>
      <family val="2"/>
    </font>
    <font>
      <sz val="10"/>
      <name val="Helv"/>
    </font>
    <font>
      <sz val="10"/>
      <name val="MS Serif"/>
      <family val="1"/>
    </font>
    <font>
      <sz val="10"/>
      <color indexed="16"/>
      <name val="MS Serif"/>
      <family val="1"/>
    </font>
    <font>
      <i/>
      <sz val="11"/>
      <color indexed="23"/>
      <name val="Times New Roman"/>
      <family val="2"/>
    </font>
    <font>
      <sz val="9"/>
      <name val="Times New Roman"/>
      <family val="1"/>
    </font>
    <font>
      <sz val="11"/>
      <color indexed="17"/>
      <name val="Times New Roman"/>
      <family val="2"/>
    </font>
    <font>
      <sz val="8"/>
      <name val="Arial"/>
      <family val="2"/>
    </font>
    <font>
      <b/>
      <sz val="12"/>
      <name val="Arial"/>
      <family val="2"/>
    </font>
    <font>
      <b/>
      <sz val="15"/>
      <color indexed="56"/>
      <name val="Times New Roman"/>
      <family val="2"/>
    </font>
    <font>
      <b/>
      <sz val="13"/>
      <color indexed="56"/>
      <name val="Times New Roman"/>
      <family val="2"/>
    </font>
    <font>
      <b/>
      <sz val="11"/>
      <color indexed="56"/>
      <name val="Times New Roman"/>
      <family val="2"/>
    </font>
    <font>
      <u/>
      <sz val="10"/>
      <color indexed="12"/>
      <name val="Times New Roman"/>
      <family val="1"/>
    </font>
    <font>
      <u/>
      <sz val="10"/>
      <color indexed="12"/>
      <name val="Arial"/>
      <family val="2"/>
    </font>
    <font>
      <u/>
      <sz val="10"/>
      <color theme="10"/>
      <name val="Verdana"/>
      <family val="2"/>
    </font>
    <font>
      <sz val="10"/>
      <name val="Times New Roman"/>
      <family val="1"/>
    </font>
    <font>
      <sz val="11"/>
      <color indexed="62"/>
      <name val="Times New Roman"/>
      <family val="2"/>
    </font>
    <font>
      <sz val="11"/>
      <color indexed="52"/>
      <name val="Times New Roman"/>
      <family val="2"/>
    </font>
    <font>
      <sz val="11"/>
      <color indexed="60"/>
      <name val="Times New Roman"/>
      <family val="2"/>
    </font>
    <font>
      <b/>
      <i/>
      <sz val="16"/>
      <name val="Helv"/>
    </font>
    <font>
      <sz val="10"/>
      <color indexed="8"/>
      <name val="Tahoma"/>
      <family val="2"/>
    </font>
    <font>
      <b/>
      <sz val="11"/>
      <color indexed="63"/>
      <name val="Times New Roman"/>
      <family val="2"/>
    </font>
    <font>
      <sz val="8"/>
      <name val="Helv"/>
    </font>
    <font>
      <b/>
      <sz val="8"/>
      <color indexed="8"/>
      <name val="Helv"/>
    </font>
    <font>
      <b/>
      <sz val="10"/>
      <color indexed="10"/>
      <name val="Arial"/>
      <family val="2"/>
    </font>
    <font>
      <b/>
      <sz val="18"/>
      <color indexed="56"/>
      <name val="Cambria"/>
      <family val="2"/>
    </font>
    <font>
      <b/>
      <sz val="11"/>
      <color indexed="8"/>
      <name val="Times New Roman"/>
      <family val="2"/>
    </font>
    <font>
      <sz val="11"/>
      <color indexed="10"/>
      <name val="Times New Roman"/>
      <family val="2"/>
    </font>
    <font>
      <sz val="12"/>
      <name val="Helv"/>
      <family val="2"/>
    </font>
    <font>
      <b/>
      <sz val="9"/>
      <name val="Cambria"/>
      <family val="1"/>
    </font>
    <font>
      <b/>
      <sz val="9"/>
      <name val="Cambria"/>
      <family val="1"/>
      <scheme val="major"/>
    </font>
    <font>
      <sz val="9"/>
      <name val="Cambria"/>
      <family val="1"/>
      <scheme val="major"/>
    </font>
    <font>
      <i/>
      <sz val="9"/>
      <color theme="1"/>
      <name val="Cambria"/>
      <family val="1"/>
      <scheme val="major"/>
    </font>
    <font>
      <b/>
      <sz val="9"/>
      <color indexed="8"/>
      <name val="Cambria"/>
      <family val="1"/>
      <scheme val="major"/>
    </font>
    <font>
      <b/>
      <u/>
      <sz val="9"/>
      <name val="Cambria"/>
      <family val="1"/>
      <scheme val="major"/>
    </font>
    <font>
      <sz val="9"/>
      <color theme="1"/>
      <name val="Cambria"/>
      <family val="1"/>
      <scheme val="major"/>
    </font>
    <font>
      <sz val="9"/>
      <color indexed="8"/>
      <name val="Cambria"/>
      <family val="1"/>
      <scheme val="major"/>
    </font>
    <font>
      <b/>
      <sz val="9"/>
      <color theme="1"/>
      <name val="Cambria"/>
      <family val="1"/>
    </font>
    <font>
      <b/>
      <sz val="9"/>
      <color theme="1"/>
      <name val="Cambria"/>
      <family val="1"/>
      <scheme val="major"/>
    </font>
    <font>
      <b/>
      <sz val="10"/>
      <name val="Cambria"/>
      <family val="1"/>
    </font>
    <font>
      <b/>
      <sz val="10"/>
      <color theme="1"/>
      <name val="Cambria"/>
      <family val="1"/>
      <scheme val="major"/>
    </font>
    <font>
      <sz val="10"/>
      <name val="Cambria"/>
      <family val="1"/>
      <scheme val="major"/>
    </font>
    <font>
      <b/>
      <sz val="10"/>
      <name val="Cambria"/>
      <family val="1"/>
      <scheme val="major"/>
    </font>
    <font>
      <b/>
      <sz val="9"/>
      <color rgb="FFFF0000"/>
      <name val="Cambria"/>
      <family val="1"/>
      <scheme val="major"/>
    </font>
    <font>
      <sz val="9"/>
      <color rgb="FFFF0000"/>
      <name val="Cambria"/>
      <family val="1"/>
      <scheme val="major"/>
    </font>
    <font>
      <sz val="10"/>
      <color theme="1"/>
      <name val="Cambria"/>
      <family val="1"/>
      <scheme val="major"/>
    </font>
    <font>
      <sz val="10"/>
      <color rgb="FF333333"/>
      <name val="Cambria"/>
      <family val="1"/>
      <scheme val="major"/>
    </font>
    <font>
      <b/>
      <sz val="10"/>
      <color rgb="FFFF0000"/>
      <name val="Cambria"/>
      <family val="1"/>
      <scheme val="major"/>
    </font>
    <font>
      <b/>
      <u/>
      <sz val="10"/>
      <name val="Cambria"/>
      <family val="1"/>
      <scheme val="major"/>
    </font>
    <font>
      <b/>
      <sz val="9"/>
      <name val="Rupee for"/>
    </font>
    <font>
      <sz val="9"/>
      <name val="Calibri"/>
      <family val="2"/>
      <scheme val="minor"/>
    </font>
    <font>
      <sz val="9"/>
      <color theme="9" tint="-0.249977111117893"/>
      <name val="Cambria"/>
      <family val="1"/>
      <scheme val="major"/>
    </font>
    <font>
      <b/>
      <sz val="9"/>
      <color theme="9" tint="-0.249977111117893"/>
      <name val="Cambria"/>
      <family val="1"/>
      <scheme val="major"/>
    </font>
    <font>
      <b/>
      <sz val="9"/>
      <color theme="9" tint="-0.249977111117893"/>
      <name val="Cambria"/>
      <family val="1"/>
    </font>
    <font>
      <sz val="10"/>
      <name val="Cambria"/>
      <family val="1"/>
    </font>
    <font>
      <sz val="11"/>
      <name val="Calibri"/>
      <family val="2"/>
      <scheme val="minor"/>
    </font>
    <font>
      <b/>
      <sz val="11"/>
      <name val="Calibri"/>
      <family val="2"/>
      <scheme val="minor"/>
    </font>
    <font>
      <b/>
      <sz val="11"/>
      <color rgb="FFFF0000"/>
      <name val="Calibri"/>
      <family val="2"/>
      <scheme val="minor"/>
    </font>
    <font>
      <b/>
      <sz val="18"/>
      <color rgb="FFFFFFFF"/>
      <name val="Calibri"/>
      <family val="2"/>
    </font>
    <font>
      <i/>
      <sz val="11"/>
      <color rgb="FFFFFFFF"/>
      <name val="Calibri"/>
      <family val="2"/>
    </font>
    <font>
      <sz val="10"/>
      <color rgb="FF1F1F1F"/>
      <name val="Calibri"/>
      <family val="2"/>
    </font>
    <font>
      <b/>
      <sz val="11"/>
      <color rgb="FFFFFFFF"/>
      <name val="Calibri"/>
      <family val="2"/>
    </font>
    <font>
      <b/>
      <sz val="10"/>
      <color rgb="FF1F1F1F"/>
      <name val="Calibri"/>
      <family val="2"/>
    </font>
    <font>
      <sz val="10"/>
      <color rgb="FF0000FF"/>
      <name val="Calibri"/>
      <family val="2"/>
    </font>
    <font>
      <i/>
      <sz val="9"/>
      <color rgb="FF666666"/>
      <name val="Calibri"/>
      <family val="2"/>
    </font>
    <font>
      <b/>
      <sz val="10"/>
      <color rgb="FFFFFFFF"/>
      <name val="Calibri"/>
      <family val="2"/>
    </font>
    <font>
      <u/>
      <sz val="10"/>
      <color rgb="FF1F4E79"/>
      <name val="Calibri"/>
      <family val="2"/>
    </font>
    <font>
      <b/>
      <sz val="10"/>
      <name val="Cambria"/>
      <family val="1"/>
      <scheme val="major"/>
    </font>
    <font>
      <b/>
      <sz val="9"/>
      <color theme="1"/>
      <name val="Calibri"/>
      <family val="1"/>
    </font>
    <font>
      <b/>
      <sz val="9"/>
      <name val="Cambria"/>
      <family val="1"/>
      <scheme val="major"/>
    </font>
    <font>
      <b/>
      <sz val="9"/>
      <name val="Calibri"/>
      <family val="1"/>
    </font>
    <font>
      <sz val="9"/>
      <name val="Cambria"/>
      <family val="1"/>
      <scheme val="major"/>
    </font>
    <font>
      <sz val="9"/>
      <color indexed="8"/>
      <name val="Cambria"/>
      <family val="1"/>
      <scheme val="major"/>
    </font>
    <font>
      <b/>
      <sz val="9"/>
      <color indexed="8"/>
      <name val="Cambria"/>
      <family val="1"/>
      <scheme val="major"/>
    </font>
    <font>
      <sz val="9"/>
      <color theme="1"/>
      <name val="Cambria"/>
      <family val="1"/>
      <scheme val="major"/>
    </font>
    <font>
      <b/>
      <sz val="9"/>
      <color theme="1"/>
      <name val="Cambria"/>
      <family val="1"/>
      <scheme val="major"/>
    </font>
    <font>
      <b/>
      <sz val="9"/>
      <color rgb="FF17365D"/>
      <name val="Cambria"/>
      <family val="1"/>
      <scheme val="major"/>
    </font>
    <font>
      <sz val="9"/>
      <color theme="9" tint="-0.249977111117893"/>
      <name val="Cambria"/>
      <family val="1"/>
      <scheme val="major"/>
    </font>
    <font>
      <sz val="9"/>
      <color rgb="FFFF0000"/>
      <name val="Cambria"/>
      <family val="1"/>
      <scheme val="major"/>
    </font>
    <font>
      <i/>
      <sz val="9"/>
      <color theme="1"/>
      <name val="Cambria"/>
      <family val="1"/>
      <scheme val="major"/>
    </font>
    <font>
      <b/>
      <sz val="10"/>
      <name val="Calibri"/>
      <family val="1"/>
    </font>
    <font>
      <b/>
      <sz val="9"/>
      <color rgb="FFFF0000"/>
      <name val="Cambria"/>
      <family val="1"/>
      <scheme val="major"/>
    </font>
    <font>
      <sz val="10"/>
      <name val="Cambria"/>
      <family val="1"/>
      <scheme val="major"/>
    </font>
    <font>
      <b/>
      <sz val="8"/>
      <name val="Cambria"/>
      <family val="1"/>
      <scheme val="major"/>
    </font>
    <font>
      <b/>
      <sz val="10"/>
      <color theme="1"/>
      <name val="Cambria"/>
      <family val="1"/>
      <scheme val="major"/>
    </font>
    <font>
      <sz val="10"/>
      <color theme="1"/>
      <name val="Cambria"/>
      <family val="1"/>
      <scheme val="major"/>
    </font>
    <font>
      <sz val="10"/>
      <name val="Calibri"/>
      <family val="1"/>
    </font>
    <font>
      <b/>
      <u/>
      <sz val="10"/>
      <name val="Calibri"/>
      <family val="1"/>
    </font>
    <font>
      <b/>
      <sz val="10"/>
      <name val="Calibri"/>
      <family val="2"/>
    </font>
    <font>
      <b/>
      <sz val="12"/>
      <name val="Cambria"/>
      <family val="1"/>
      <scheme val="major"/>
    </font>
    <font>
      <u/>
      <sz val="9"/>
      <name val="Cambria"/>
      <family val="1"/>
      <scheme val="major"/>
    </font>
    <font>
      <b/>
      <sz val="11"/>
      <color theme="1"/>
      <name val="Calibri"/>
      <family val="2"/>
      <scheme val="minor"/>
    </font>
    <font>
      <b/>
      <sz val="12"/>
      <color theme="1"/>
      <name val="Cambria"/>
      <family val="1"/>
      <scheme val="major"/>
    </font>
    <font>
      <sz val="12"/>
      <color theme="1"/>
      <name val="Cambria"/>
      <family val="1"/>
      <scheme val="major"/>
    </font>
    <font>
      <b/>
      <sz val="12"/>
      <name val="Calibri"/>
      <family val="1"/>
    </font>
    <font>
      <b/>
      <sz val="14"/>
      <name val="Arial"/>
      <family val="2"/>
    </font>
    <font>
      <sz val="12"/>
      <color rgb="FFFF0000"/>
      <name val="Cambria"/>
      <family val="1"/>
      <scheme val="major"/>
    </font>
    <font>
      <sz val="9"/>
      <color theme="1"/>
      <name val="Camria"/>
    </font>
    <font>
      <sz val="9"/>
      <name val="Cambria"/>
      <family val="1"/>
    </font>
    <font>
      <b/>
      <i/>
      <sz val="10"/>
      <color rgb="FF000000"/>
      <name val="Arial"/>
      <family val="2"/>
    </font>
    <font>
      <i/>
      <sz val="10"/>
      <name val="Arial"/>
      <family val="2"/>
    </font>
    <font>
      <sz val="14"/>
      <name val="Arial"/>
      <family val="2"/>
    </font>
    <font>
      <b/>
      <sz val="10"/>
      <color rgb="FF1F1F1F"/>
      <name val="Arial"/>
      <family val="2"/>
    </font>
    <font>
      <sz val="11"/>
      <color theme="1"/>
      <name val="Arial"/>
      <family val="2"/>
    </font>
    <font>
      <sz val="10"/>
      <color rgb="FF1F1F1F"/>
      <name val="Arial"/>
      <family val="2"/>
    </font>
    <font>
      <sz val="10"/>
      <color theme="1"/>
      <name val="Arial"/>
      <family val="2"/>
    </font>
    <font>
      <b/>
      <sz val="14"/>
      <color rgb="FF000000"/>
      <name val="Arial"/>
      <family val="2"/>
    </font>
    <font>
      <b/>
      <sz val="11"/>
      <color rgb="FF000000"/>
      <name val="Arial"/>
      <family val="2"/>
    </font>
    <font>
      <b/>
      <sz val="11"/>
      <color rgb="FFFFFFFF"/>
      <name val="Arial"/>
      <family val="2"/>
    </font>
    <font>
      <sz val="11"/>
      <color rgb="FF1F1F1F"/>
      <name val="Arial"/>
      <family val="2"/>
    </font>
    <font>
      <b/>
      <sz val="8"/>
      <name val="Arival"/>
    </font>
    <font>
      <u/>
      <sz val="9"/>
      <color indexed="8"/>
      <name val="Cambria"/>
      <family val="1"/>
      <scheme val="major"/>
    </font>
    <font>
      <b/>
      <sz val="12"/>
      <name val="Calibri"/>
      <family val="2"/>
      <scheme val="minor"/>
    </font>
    <font>
      <b/>
      <sz val="11"/>
      <name val="Cambria"/>
      <family val="1"/>
      <scheme val="major"/>
    </font>
    <font>
      <b/>
      <sz val="10"/>
      <color theme="1"/>
      <name val="Cabria"/>
    </font>
    <font>
      <sz val="10"/>
      <color theme="1"/>
      <name val="Cabria"/>
    </font>
    <font>
      <b/>
      <sz val="11"/>
      <color theme="1"/>
      <name val="Cambria"/>
      <family val="1"/>
      <scheme val="major"/>
    </font>
    <font>
      <sz val="11"/>
      <color theme="1"/>
      <name val="Cambria"/>
      <family val="1"/>
      <scheme val="major"/>
    </font>
  </fonts>
  <fills count="54">
    <fill>
      <patternFill patternType="none"/>
    </fill>
    <fill>
      <patternFill patternType="gray125"/>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rgb="FF17365D"/>
      </patternFill>
    </fill>
    <fill>
      <patternFill patternType="solid">
        <fgColor rgb="FFC9A227"/>
      </patternFill>
    </fill>
    <fill>
      <patternFill patternType="solid">
        <fgColor rgb="FFF4F8FC"/>
      </patternFill>
    </fill>
    <fill>
      <patternFill patternType="solid">
        <fgColor rgb="FF1F4E79"/>
      </patternFill>
    </fill>
    <fill>
      <patternFill patternType="solid">
        <fgColor rgb="FFF3F4F6"/>
      </patternFill>
    </fill>
    <fill>
      <patternFill patternType="solid">
        <fgColor rgb="FFFFF2CC"/>
      </patternFill>
    </fill>
    <fill>
      <patternFill patternType="solid">
        <fgColor rgb="FFDCE6F1"/>
      </patternFill>
    </fill>
    <fill>
      <patternFill patternType="solid">
        <fgColor theme="4" tint="0.59999389629810485"/>
        <bgColor indexed="64"/>
      </patternFill>
    </fill>
    <fill>
      <patternFill patternType="solid">
        <fgColor theme="4" tint="-0.249977111117893"/>
        <bgColor indexed="64"/>
      </patternFill>
    </fill>
    <fill>
      <patternFill patternType="solid">
        <fgColor rgb="FFE2E8F0"/>
        <bgColor rgb="FFF3F4F6"/>
      </patternFill>
    </fill>
    <fill>
      <patternFill patternType="solid">
        <fgColor theme="4" tint="0.59999389629810485"/>
        <bgColor rgb="FFF3F4F6"/>
      </patternFill>
    </fill>
  </fills>
  <borders count="82">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auto="1"/>
      </bottom>
      <diagonal/>
    </border>
    <border>
      <left/>
      <right/>
      <top style="thin">
        <color auto="1"/>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auto="1"/>
      </right>
      <top/>
      <bottom style="thin">
        <color auto="1"/>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thin">
        <color indexed="64"/>
      </left>
      <right/>
      <top/>
      <bottom style="double">
        <color auto="1"/>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bottom style="double">
        <color auto="1"/>
      </bottom>
      <diagonal/>
    </border>
    <border>
      <left style="thin">
        <color theme="1"/>
      </left>
      <right style="thin">
        <color theme="1"/>
      </right>
      <top style="thin">
        <color theme="1"/>
      </top>
      <bottom/>
      <diagonal/>
    </border>
    <border>
      <left/>
      <right style="thin">
        <color theme="1"/>
      </right>
      <top style="thin">
        <color theme="1"/>
      </top>
      <bottom/>
      <diagonal/>
    </border>
    <border>
      <left style="thin">
        <color theme="1"/>
      </left>
      <right style="thin">
        <color theme="1"/>
      </right>
      <top/>
      <bottom style="thin">
        <color theme="1"/>
      </bottom>
      <diagonal/>
    </border>
    <border>
      <left/>
      <right style="thin">
        <color theme="1"/>
      </right>
      <top/>
      <bottom style="thin">
        <color theme="1"/>
      </bottom>
      <diagonal/>
    </border>
    <border>
      <left style="thin">
        <color theme="1"/>
      </left>
      <right/>
      <top style="thin">
        <color theme="1"/>
      </top>
      <bottom/>
      <diagonal/>
    </border>
    <border>
      <left style="thin">
        <color theme="1"/>
      </left>
      <right/>
      <top/>
      <bottom/>
      <diagonal/>
    </border>
    <border>
      <left/>
      <right style="thin">
        <color theme="1"/>
      </right>
      <top/>
      <bottom/>
      <diagonal/>
    </border>
    <border>
      <left style="thin">
        <color theme="1"/>
      </left>
      <right style="thin">
        <color theme="1"/>
      </right>
      <top/>
      <bottom/>
      <diagonal/>
    </border>
    <border>
      <left/>
      <right/>
      <top style="thin">
        <color indexed="64"/>
      </top>
      <bottom/>
      <diagonal/>
    </border>
    <border>
      <left style="thin">
        <color indexed="64"/>
      </left>
      <right style="thin">
        <color auto="1"/>
      </right>
      <top style="thin">
        <color indexed="64"/>
      </top>
      <bottom style="thin">
        <color auto="1"/>
      </bottom>
      <diagonal/>
    </border>
    <border>
      <left/>
      <right style="thin">
        <color auto="1"/>
      </right>
      <top style="thin">
        <color indexed="64"/>
      </top>
      <bottom/>
      <diagonal/>
    </border>
    <border>
      <left style="thin">
        <color indexed="64"/>
      </left>
      <right/>
      <top/>
      <bottom style="thin">
        <color auto="1"/>
      </bottom>
      <diagonal/>
    </border>
    <border>
      <left/>
      <right style="thin">
        <color indexed="64"/>
      </right>
      <top/>
      <bottom style="thin">
        <color indexed="64"/>
      </bottom>
      <diagonal/>
    </border>
    <border>
      <left style="thin">
        <color rgb="FFB7BDC7"/>
      </left>
      <right style="thin">
        <color rgb="FFB7BDC7"/>
      </right>
      <top style="thin">
        <color rgb="FFB7BDC7"/>
      </top>
      <bottom style="thin">
        <color rgb="FFB7BDC7"/>
      </bottom>
      <diagonal/>
    </border>
    <border>
      <left/>
      <right/>
      <top/>
      <bottom style="double">
        <color rgb="FF17365D"/>
      </bottom>
      <diagonal/>
    </border>
    <border>
      <left/>
      <right style="thin">
        <color rgb="FFB7BDC7"/>
      </right>
      <top style="thin">
        <color rgb="FFB7BDC7"/>
      </top>
      <bottom style="thin">
        <color rgb="FFB7BDC7"/>
      </bottom>
      <diagonal/>
    </border>
    <border>
      <left style="medium">
        <color indexed="64"/>
      </left>
      <right style="thin">
        <color indexed="64"/>
      </right>
      <top/>
      <bottom/>
      <diagonal/>
    </border>
    <border>
      <left/>
      <right/>
      <top style="thin">
        <color indexed="64"/>
      </top>
      <bottom style="double">
        <color indexed="64"/>
      </bottom>
      <diagonal/>
    </border>
    <border>
      <left style="thin">
        <color indexed="64"/>
      </left>
      <right style="thin">
        <color indexed="64"/>
      </right>
      <top style="thin">
        <color auto="1"/>
      </top>
      <bottom style="double">
        <color rgb="FF17365D"/>
      </bottom>
      <diagonal/>
    </border>
    <border>
      <left/>
      <right/>
      <top style="thin">
        <color theme="1"/>
      </top>
      <bottom/>
      <diagonal/>
    </border>
    <border>
      <left style="thin">
        <color indexed="64"/>
      </left>
      <right style="thin">
        <color indexed="64"/>
      </right>
      <top style="thin">
        <color indexed="64"/>
      </top>
      <bottom style="thin">
        <color rgb="FFB7BDC7"/>
      </bottom>
      <diagonal/>
    </border>
    <border>
      <left style="thin">
        <color indexed="64"/>
      </left>
      <right style="thin">
        <color indexed="64"/>
      </right>
      <top/>
      <bottom style="double">
        <color indexed="64"/>
      </bottom>
      <diagonal/>
    </border>
    <border>
      <left style="thin">
        <color indexed="64"/>
      </left>
      <right style="thin">
        <color indexed="64"/>
      </right>
      <top/>
      <bottom style="double">
        <color rgb="FF17365D"/>
      </bottom>
      <diagonal/>
    </border>
    <border>
      <left style="thin">
        <color theme="1"/>
      </left>
      <right style="thin">
        <color theme="1"/>
      </right>
      <top style="thin">
        <color indexed="64"/>
      </top>
      <bottom style="double">
        <color indexed="64"/>
      </bottom>
      <diagonal/>
    </border>
    <border>
      <left style="thin">
        <color theme="1"/>
      </left>
      <right/>
      <top style="thin">
        <color indexed="64"/>
      </top>
      <bottom style="double">
        <color indexed="64"/>
      </bottom>
      <diagonal/>
    </border>
    <border>
      <left style="thin">
        <color rgb="FFB7BDC7"/>
      </left>
      <right style="thin">
        <color rgb="FFB7BDC7"/>
      </right>
      <top/>
      <bottom style="thin">
        <color rgb="FFB7BDC7"/>
      </bottom>
      <diagonal/>
    </border>
    <border>
      <left style="thin">
        <color indexed="64"/>
      </left>
      <right style="thin">
        <color rgb="FFB7BDC7"/>
      </right>
      <top/>
      <bottom style="thin">
        <color rgb="FFB7BDC7"/>
      </bottom>
      <diagonal/>
    </border>
    <border>
      <left style="thin">
        <color rgb="FFB7BDC7"/>
      </left>
      <right style="thin">
        <color indexed="64"/>
      </right>
      <top/>
      <bottom style="thin">
        <color rgb="FFB7BDC7"/>
      </bottom>
      <diagonal/>
    </border>
    <border>
      <left style="thin">
        <color indexed="64"/>
      </left>
      <right style="thin">
        <color rgb="FFB7BDC7"/>
      </right>
      <top style="thin">
        <color rgb="FFB7BDC7"/>
      </top>
      <bottom style="thin">
        <color rgb="FFB7BDC7"/>
      </bottom>
      <diagonal/>
    </border>
    <border>
      <left style="thin">
        <color rgb="FFB7BDC7"/>
      </left>
      <right style="thin">
        <color indexed="64"/>
      </right>
      <top style="thin">
        <color rgb="FFB7BDC7"/>
      </top>
      <bottom style="thin">
        <color rgb="FFB7BDC7"/>
      </bottom>
      <diagonal/>
    </border>
    <border>
      <left style="thin">
        <color indexed="64"/>
      </left>
      <right style="thin">
        <color rgb="FFB7BDC7"/>
      </right>
      <top style="thin">
        <color rgb="FFB7BDC7"/>
      </top>
      <bottom style="thin">
        <color indexed="64"/>
      </bottom>
      <diagonal/>
    </border>
    <border>
      <left style="thin">
        <color rgb="FFB7BDC7"/>
      </left>
      <right style="thin">
        <color rgb="FFB7BDC7"/>
      </right>
      <top style="thin">
        <color rgb="FFB7BDC7"/>
      </top>
      <bottom style="thin">
        <color indexed="64"/>
      </bottom>
      <diagonal/>
    </border>
    <border>
      <left style="thin">
        <color rgb="FFB7BDC7"/>
      </left>
      <right style="thin">
        <color indexed="64"/>
      </right>
      <top style="thin">
        <color rgb="FFB7BDC7"/>
      </top>
      <bottom style="thin">
        <color indexed="64"/>
      </bottom>
      <diagonal/>
    </border>
    <border>
      <left style="thin">
        <color indexed="64"/>
      </left>
      <right style="thin">
        <color rgb="FFB7BDC7"/>
      </right>
      <top style="thin">
        <color indexed="64"/>
      </top>
      <bottom style="thin">
        <color rgb="FFB7BDC7"/>
      </bottom>
      <diagonal/>
    </border>
    <border>
      <left style="thin">
        <color rgb="FFB7BDC7"/>
      </left>
      <right style="thin">
        <color rgb="FFB7BDC7"/>
      </right>
      <top style="thin">
        <color indexed="64"/>
      </top>
      <bottom style="thin">
        <color rgb="FFB7BDC7"/>
      </bottom>
      <diagonal/>
    </border>
    <border>
      <left style="thin">
        <color rgb="FFB7BDC7"/>
      </left>
      <right style="thin">
        <color indexed="64"/>
      </right>
      <top style="thin">
        <color indexed="64"/>
      </top>
      <bottom style="thin">
        <color rgb="FFB7BDC7"/>
      </bottom>
      <diagonal/>
    </border>
    <border>
      <left style="thin">
        <color theme="1"/>
      </left>
      <right/>
      <top/>
      <bottom style="thin">
        <color theme="1"/>
      </bottom>
      <diagonal/>
    </border>
    <border>
      <left/>
      <right/>
      <top/>
      <bottom style="thin">
        <color theme="1"/>
      </bottom>
      <diagonal/>
    </border>
    <border>
      <left style="thin">
        <color indexed="64"/>
      </left>
      <right/>
      <top style="thin">
        <color theme="1"/>
      </top>
      <bottom/>
      <diagonal/>
    </border>
    <border>
      <left/>
      <right style="thin">
        <color auto="1"/>
      </right>
      <top style="thin">
        <color theme="1"/>
      </top>
      <bottom/>
      <diagonal/>
    </border>
    <border>
      <left style="thin">
        <color theme="1"/>
      </left>
      <right/>
      <top style="thin">
        <color auto="1"/>
      </top>
      <bottom/>
      <diagonal/>
    </border>
    <border>
      <left/>
      <right style="thin">
        <color theme="1"/>
      </right>
      <top style="thin">
        <color auto="1"/>
      </top>
      <bottom/>
      <diagonal/>
    </border>
    <border>
      <left style="thin">
        <color theme="1"/>
      </left>
      <right/>
      <top style="thin">
        <color auto="1"/>
      </top>
      <bottom style="thin">
        <color theme="1"/>
      </bottom>
      <diagonal/>
    </border>
    <border>
      <left/>
      <right/>
      <top style="thin">
        <color auto="1"/>
      </top>
      <bottom style="thin">
        <color theme="1"/>
      </bottom>
      <diagonal/>
    </border>
    <border>
      <left/>
      <right style="thin">
        <color theme="1"/>
      </right>
      <top style="thin">
        <color auto="1"/>
      </top>
      <bottom style="thin">
        <color theme="1"/>
      </bottom>
      <diagonal/>
    </border>
  </borders>
  <cellStyleXfs count="34802">
    <xf numFmtId="0" fontId="0" fillId="0" borderId="0"/>
    <xf numFmtId="166" fontId="1" fillId="0" borderId="0"/>
    <xf numFmtId="9" fontId="1" fillId="0" borderId="0"/>
    <xf numFmtId="0" fontId="1" fillId="0" borderId="0"/>
    <xf numFmtId="166" fontId="4" fillId="0" borderId="0"/>
    <xf numFmtId="0" fontId="1" fillId="0" borderId="0"/>
    <xf numFmtId="0" fontId="4" fillId="0" borderId="0"/>
    <xf numFmtId="166" fontId="4" fillId="0" borderId="0"/>
    <xf numFmtId="166" fontId="4" fillId="0" borderId="0"/>
    <xf numFmtId="0" fontId="4" fillId="0" borderId="0">
      <alignment vertical="top"/>
    </xf>
    <xf numFmtId="166" fontId="4" fillId="0" borderId="0"/>
    <xf numFmtId="0" fontId="5" fillId="0" borderId="0"/>
    <xf numFmtId="0" fontId="4" fillId="0" borderId="0">
      <alignment vertical="top"/>
    </xf>
    <xf numFmtId="0" fontId="4" fillId="0" borderId="0">
      <alignment vertical="top"/>
    </xf>
    <xf numFmtId="0" fontId="4" fillId="0" borderId="0"/>
    <xf numFmtId="0" fontId="1" fillId="0" borderId="0"/>
    <xf numFmtId="0" fontId="1" fillId="0" borderId="0"/>
    <xf numFmtId="0" fontId="4" fillId="0" borderId="0">
      <alignment vertical="top"/>
    </xf>
    <xf numFmtId="9" fontId="4" fillId="0" borderId="0"/>
    <xf numFmtId="166" fontId="4" fillId="0" borderId="0"/>
    <xf numFmtId="0" fontId="4" fillId="0" borderId="0"/>
    <xf numFmtId="0" fontId="4" fillId="0" borderId="0"/>
    <xf numFmtId="0" fontId="4" fillId="0" borderId="0"/>
    <xf numFmtId="0" fontId="6" fillId="0" borderId="0"/>
    <xf numFmtId="0" fontId="6" fillId="0" borderId="0"/>
    <xf numFmtId="0" fontId="7" fillId="0" borderId="0"/>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3" fillId="0" borderId="0">
      <alignment vertical="top"/>
    </xf>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3" fillId="0" borderId="0">
      <alignment vertical="top"/>
    </xf>
    <xf numFmtId="0" fontId="4" fillId="0" borderId="0"/>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8" fillId="0" borderId="0"/>
    <xf numFmtId="0" fontId="5"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5"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3" fillId="0" borderId="0">
      <alignment vertical="top"/>
    </xf>
    <xf numFmtId="0" fontId="3" fillId="0" borderId="0">
      <alignment vertical="top"/>
    </xf>
    <xf numFmtId="0" fontId="4"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176" fontId="4" fillId="0" borderId="0"/>
    <xf numFmtId="0" fontId="4" fillId="0" borderId="0"/>
    <xf numFmtId="0" fontId="4" fillId="0" borderId="0"/>
    <xf numFmtId="0" fontId="4" fillId="0" borderId="0"/>
    <xf numFmtId="0" fontId="4" fillId="0" borderId="0"/>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4" fillId="0" borderId="0"/>
    <xf numFmtId="0" fontId="5"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7" fillId="0" borderId="0"/>
    <xf numFmtId="0" fontId="5"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176" fontId="4" fillId="0"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15"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9" fillId="15" borderId="0"/>
    <xf numFmtId="0" fontId="5" fillId="0" borderId="0"/>
    <xf numFmtId="0" fontId="1" fillId="3" borderId="0"/>
    <xf numFmtId="0" fontId="9" fillId="15" borderId="0"/>
    <xf numFmtId="0" fontId="9" fillId="15" borderId="0"/>
    <xf numFmtId="0" fontId="5" fillId="0" borderId="0"/>
    <xf numFmtId="0" fontId="1" fillId="3" borderId="0"/>
    <xf numFmtId="0" fontId="9" fillId="15" borderId="0"/>
    <xf numFmtId="0" fontId="5" fillId="0" borderId="0"/>
    <xf numFmtId="0" fontId="9" fillId="15" borderId="0"/>
    <xf numFmtId="0" fontId="5" fillId="0" borderId="0"/>
    <xf numFmtId="0" fontId="9" fillId="15" borderId="0"/>
    <xf numFmtId="0" fontId="5" fillId="0"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16"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9" fillId="16" borderId="0"/>
    <xf numFmtId="0" fontId="5" fillId="0" borderId="0"/>
    <xf numFmtId="0" fontId="1" fillId="5" borderId="0"/>
    <xf numFmtId="0" fontId="9" fillId="16" borderId="0"/>
    <xf numFmtId="0" fontId="9" fillId="16" borderId="0"/>
    <xf numFmtId="0" fontId="5" fillId="0" borderId="0"/>
    <xf numFmtId="0" fontId="1" fillId="5" borderId="0"/>
    <xf numFmtId="0" fontId="9" fillId="16" borderId="0"/>
    <xf numFmtId="0" fontId="5" fillId="0" borderId="0"/>
    <xf numFmtId="0" fontId="9" fillId="16" borderId="0"/>
    <xf numFmtId="0" fontId="5" fillId="0" borderId="0"/>
    <xf numFmtId="0" fontId="9" fillId="16" borderId="0"/>
    <xf numFmtId="0" fontId="5" fillId="0"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1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9" fillId="17" borderId="0"/>
    <xf numFmtId="0" fontId="5" fillId="0" borderId="0"/>
    <xf numFmtId="0" fontId="1" fillId="7" borderId="0"/>
    <xf numFmtId="0" fontId="9" fillId="17" borderId="0"/>
    <xf numFmtId="0" fontId="9" fillId="17" borderId="0"/>
    <xf numFmtId="0" fontId="5" fillId="0" borderId="0"/>
    <xf numFmtId="0" fontId="1" fillId="7" borderId="0"/>
    <xf numFmtId="0" fontId="9" fillId="17" borderId="0"/>
    <xf numFmtId="0" fontId="5" fillId="0" borderId="0"/>
    <xf numFmtId="0" fontId="9" fillId="17" borderId="0"/>
    <xf numFmtId="0" fontId="5" fillId="0" borderId="0"/>
    <xf numFmtId="0" fontId="9" fillId="17" borderId="0"/>
    <xf numFmtId="0" fontId="5" fillId="0"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18"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9" fillId="18" borderId="0"/>
    <xf numFmtId="0" fontId="5" fillId="0" borderId="0"/>
    <xf numFmtId="0" fontId="1" fillId="9" borderId="0"/>
    <xf numFmtId="0" fontId="9" fillId="18" borderId="0"/>
    <xf numFmtId="0" fontId="9" fillId="18" borderId="0"/>
    <xf numFmtId="0" fontId="5" fillId="0" borderId="0"/>
    <xf numFmtId="0" fontId="1" fillId="9" borderId="0"/>
    <xf numFmtId="0" fontId="9" fillId="18" borderId="0"/>
    <xf numFmtId="0" fontId="5" fillId="0" borderId="0"/>
    <xf numFmtId="0" fontId="9" fillId="18" borderId="0"/>
    <xf numFmtId="0" fontId="5" fillId="0" borderId="0"/>
    <xf numFmtId="0" fontId="9" fillId="18" borderId="0"/>
    <xf numFmtId="0" fontId="5" fillId="0"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9" fillId="19" borderId="0"/>
    <xf numFmtId="0" fontId="5" fillId="0" borderId="0"/>
    <xf numFmtId="0" fontId="1" fillId="11" borderId="0"/>
    <xf numFmtId="0" fontId="9" fillId="19" borderId="0"/>
    <xf numFmtId="0" fontId="9" fillId="19" borderId="0"/>
    <xf numFmtId="0" fontId="5" fillId="0" borderId="0"/>
    <xf numFmtId="0" fontId="1" fillId="11" borderId="0"/>
    <xf numFmtId="0" fontId="9" fillId="19" borderId="0"/>
    <xf numFmtId="0" fontId="5" fillId="0" borderId="0"/>
    <xf numFmtId="0" fontId="9" fillId="19" borderId="0"/>
    <xf numFmtId="0" fontId="5" fillId="0" borderId="0"/>
    <xf numFmtId="0" fontId="9" fillId="19" borderId="0"/>
    <xf numFmtId="0" fontId="5" fillId="0"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9" fillId="20" borderId="0"/>
    <xf numFmtId="0" fontId="5" fillId="0" borderId="0"/>
    <xf numFmtId="0" fontId="1" fillId="13" borderId="0"/>
    <xf numFmtId="0" fontId="9" fillId="20" borderId="0"/>
    <xf numFmtId="0" fontId="9" fillId="20" borderId="0"/>
    <xf numFmtId="0" fontId="5" fillId="0" borderId="0"/>
    <xf numFmtId="0" fontId="1" fillId="13" borderId="0"/>
    <xf numFmtId="0" fontId="9" fillId="20" borderId="0"/>
    <xf numFmtId="0" fontId="5" fillId="0" borderId="0"/>
    <xf numFmtId="0" fontId="9" fillId="20" borderId="0"/>
    <xf numFmtId="0" fontId="5" fillId="0" borderId="0"/>
    <xf numFmtId="0" fontId="9" fillId="20" borderId="0"/>
    <xf numFmtId="0" fontId="5" fillId="0"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9" fillId="21" borderId="0"/>
    <xf numFmtId="0" fontId="5" fillId="0" borderId="0"/>
    <xf numFmtId="0" fontId="1" fillId="4" borderId="0"/>
    <xf numFmtId="0" fontId="9" fillId="21" borderId="0"/>
    <xf numFmtId="0" fontId="9" fillId="21" borderId="0"/>
    <xf numFmtId="0" fontId="5" fillId="0" borderId="0"/>
    <xf numFmtId="0" fontId="1" fillId="4" borderId="0"/>
    <xf numFmtId="0" fontId="9" fillId="21" borderId="0"/>
    <xf numFmtId="0" fontId="5" fillId="0" borderId="0"/>
    <xf numFmtId="0" fontId="9" fillId="21" borderId="0"/>
    <xf numFmtId="0" fontId="5" fillId="0" borderId="0"/>
    <xf numFmtId="0" fontId="9" fillId="21" borderId="0"/>
    <xf numFmtId="0" fontId="5" fillId="0"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9" fillId="22" borderId="0"/>
    <xf numFmtId="0" fontId="5" fillId="0" borderId="0"/>
    <xf numFmtId="0" fontId="1" fillId="6" borderId="0"/>
    <xf numFmtId="0" fontId="9" fillId="22" borderId="0"/>
    <xf numFmtId="0" fontId="9" fillId="22" borderId="0"/>
    <xf numFmtId="0" fontId="5" fillId="0" borderId="0"/>
    <xf numFmtId="0" fontId="1" fillId="6" borderId="0"/>
    <xf numFmtId="0" fontId="9" fillId="22" borderId="0"/>
    <xf numFmtId="0" fontId="5" fillId="0" borderId="0"/>
    <xf numFmtId="0" fontId="9" fillId="22" borderId="0"/>
    <xf numFmtId="0" fontId="5" fillId="0" borderId="0"/>
    <xf numFmtId="0" fontId="9" fillId="22" borderId="0"/>
    <xf numFmtId="0" fontId="5" fillId="0"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23"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9" fillId="23" borderId="0"/>
    <xf numFmtId="0" fontId="5" fillId="0" borderId="0"/>
    <xf numFmtId="0" fontId="1" fillId="8" borderId="0"/>
    <xf numFmtId="0" fontId="9" fillId="23" borderId="0"/>
    <xf numFmtId="0" fontId="9" fillId="23" borderId="0"/>
    <xf numFmtId="0" fontId="5" fillId="0" borderId="0"/>
    <xf numFmtId="0" fontId="1" fillId="8" borderId="0"/>
    <xf numFmtId="0" fontId="9" fillId="23" borderId="0"/>
    <xf numFmtId="0" fontId="5" fillId="0" borderId="0"/>
    <xf numFmtId="0" fontId="9" fillId="23" borderId="0"/>
    <xf numFmtId="0" fontId="5" fillId="0" borderId="0"/>
    <xf numFmtId="0" fontId="9" fillId="23" borderId="0"/>
    <xf numFmtId="0" fontId="5" fillId="0"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9" fillId="18" borderId="0"/>
    <xf numFmtId="0" fontId="5" fillId="0" borderId="0"/>
    <xf numFmtId="0" fontId="1" fillId="10" borderId="0"/>
    <xf numFmtId="0" fontId="9" fillId="18" borderId="0"/>
    <xf numFmtId="0" fontId="9" fillId="18" borderId="0"/>
    <xf numFmtId="0" fontId="5" fillId="0" borderId="0"/>
    <xf numFmtId="0" fontId="1" fillId="10" borderId="0"/>
    <xf numFmtId="0" fontId="9" fillId="18" borderId="0"/>
    <xf numFmtId="0" fontId="5" fillId="0" borderId="0"/>
    <xf numFmtId="0" fontId="9" fillId="18" borderId="0"/>
    <xf numFmtId="0" fontId="5" fillId="0" borderId="0"/>
    <xf numFmtId="0" fontId="9" fillId="18" borderId="0"/>
    <xf numFmtId="0" fontId="5" fillId="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9" fillId="21" borderId="0"/>
    <xf numFmtId="0" fontId="5" fillId="0" borderId="0"/>
    <xf numFmtId="0" fontId="1" fillId="12" borderId="0"/>
    <xf numFmtId="0" fontId="9" fillId="21" borderId="0"/>
    <xf numFmtId="0" fontId="9" fillId="21" borderId="0"/>
    <xf numFmtId="0" fontId="5" fillId="0" borderId="0"/>
    <xf numFmtId="0" fontId="1" fillId="12" borderId="0"/>
    <xf numFmtId="0" fontId="9" fillId="21" borderId="0"/>
    <xf numFmtId="0" fontId="5" fillId="0" borderId="0"/>
    <xf numFmtId="0" fontId="9" fillId="21" borderId="0"/>
    <xf numFmtId="0" fontId="5" fillId="0" borderId="0"/>
    <xf numFmtId="0" fontId="9" fillId="21" borderId="0"/>
    <xf numFmtId="0" fontId="5" fillId="0"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9" fillId="24" borderId="0"/>
    <xf numFmtId="0" fontId="5" fillId="0" borderId="0"/>
    <xf numFmtId="0" fontId="1" fillId="14" borderId="0"/>
    <xf numFmtId="0" fontId="9" fillId="24" borderId="0"/>
    <xf numFmtId="0" fontId="9" fillId="24" borderId="0"/>
    <xf numFmtId="0" fontId="5" fillId="0" borderId="0"/>
    <xf numFmtId="0" fontId="1" fillId="14" borderId="0"/>
    <xf numFmtId="0" fontId="9" fillId="24" borderId="0"/>
    <xf numFmtId="0" fontId="5" fillId="0" borderId="0"/>
    <xf numFmtId="0" fontId="9" fillId="24" borderId="0"/>
    <xf numFmtId="0" fontId="5" fillId="0" borderId="0"/>
    <xf numFmtId="0" fontId="9" fillId="24" borderId="0"/>
    <xf numFmtId="0" fontId="5" fillId="0"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0" fillId="25" borderId="0"/>
    <xf numFmtId="0" fontId="5" fillId="0" borderId="0"/>
    <xf numFmtId="0" fontId="10" fillId="25" borderId="0"/>
    <xf numFmtId="0" fontId="5" fillId="0" borderId="0"/>
    <xf numFmtId="0" fontId="10" fillId="25" borderId="0"/>
    <xf numFmtId="0" fontId="5" fillId="0" borderId="0"/>
    <xf numFmtId="0" fontId="10" fillId="25" borderId="0"/>
    <xf numFmtId="0" fontId="5" fillId="0" borderId="0"/>
    <xf numFmtId="0" fontId="10" fillId="25" borderId="0"/>
    <xf numFmtId="0" fontId="5" fillId="0" borderId="0"/>
    <xf numFmtId="0" fontId="10" fillId="22" borderId="0"/>
    <xf numFmtId="0" fontId="5" fillId="0" borderId="0"/>
    <xf numFmtId="0" fontId="10" fillId="22" borderId="0"/>
    <xf numFmtId="0" fontId="5" fillId="0" borderId="0"/>
    <xf numFmtId="0" fontId="10" fillId="22" borderId="0"/>
    <xf numFmtId="0" fontId="5" fillId="0" borderId="0"/>
    <xf numFmtId="0" fontId="10" fillId="22" borderId="0"/>
    <xf numFmtId="0" fontId="5" fillId="0" borderId="0"/>
    <xf numFmtId="0" fontId="10" fillId="22" borderId="0"/>
    <xf numFmtId="0" fontId="5" fillId="0" borderId="0"/>
    <xf numFmtId="0" fontId="10" fillId="23" borderId="0"/>
    <xf numFmtId="0" fontId="5" fillId="0" borderId="0"/>
    <xf numFmtId="0" fontId="10" fillId="23" borderId="0"/>
    <xf numFmtId="0" fontId="10" fillId="23" borderId="0"/>
    <xf numFmtId="0" fontId="5" fillId="0" borderId="0"/>
    <xf numFmtId="0" fontId="10" fillId="23" borderId="0"/>
    <xf numFmtId="0" fontId="5" fillId="0" borderId="0"/>
    <xf numFmtId="0" fontId="10" fillId="23" borderId="0"/>
    <xf numFmtId="0" fontId="5" fillId="0" borderId="0"/>
    <xf numFmtId="0" fontId="10" fillId="23" borderId="0"/>
    <xf numFmtId="0" fontId="5" fillId="0" borderId="0"/>
    <xf numFmtId="0" fontId="10" fillId="26" borderId="0"/>
    <xf numFmtId="0" fontId="5" fillId="0" borderId="0"/>
    <xf numFmtId="0" fontId="10" fillId="26" borderId="0"/>
    <xf numFmtId="0" fontId="10" fillId="26" borderId="0"/>
    <xf numFmtId="0" fontId="5" fillId="0" borderId="0"/>
    <xf numFmtId="0" fontId="10" fillId="26" borderId="0"/>
    <xf numFmtId="0" fontId="5" fillId="0" borderId="0"/>
    <xf numFmtId="0" fontId="10" fillId="26" borderId="0"/>
    <xf numFmtId="0" fontId="5" fillId="0" borderId="0"/>
    <xf numFmtId="0" fontId="10" fillId="26" borderId="0"/>
    <xf numFmtId="0" fontId="5" fillId="0" borderId="0"/>
    <xf numFmtId="0" fontId="10" fillId="27" borderId="0"/>
    <xf numFmtId="0" fontId="5" fillId="0" borderId="0"/>
    <xf numFmtId="0" fontId="10" fillId="27" borderId="0"/>
    <xf numFmtId="0" fontId="5" fillId="0" borderId="0"/>
    <xf numFmtId="0" fontId="10" fillId="27" borderId="0"/>
    <xf numFmtId="0" fontId="5" fillId="0" borderId="0"/>
    <xf numFmtId="0" fontId="10" fillId="27" borderId="0"/>
    <xf numFmtId="0" fontId="5" fillId="0" borderId="0"/>
    <xf numFmtId="0" fontId="10" fillId="27" borderId="0"/>
    <xf numFmtId="0" fontId="5" fillId="0" borderId="0"/>
    <xf numFmtId="0" fontId="10" fillId="28" borderId="0"/>
    <xf numFmtId="0" fontId="5" fillId="0" borderId="0"/>
    <xf numFmtId="0" fontId="10" fillId="28" borderId="0"/>
    <xf numFmtId="0" fontId="10" fillId="28" borderId="0"/>
    <xf numFmtId="0" fontId="5" fillId="0" borderId="0"/>
    <xf numFmtId="0" fontId="10" fillId="28" borderId="0"/>
    <xf numFmtId="0" fontId="5" fillId="0" borderId="0"/>
    <xf numFmtId="0" fontId="10" fillId="28" borderId="0"/>
    <xf numFmtId="0" fontId="5" fillId="0" borderId="0"/>
    <xf numFmtId="0" fontId="10" fillId="28" borderId="0"/>
    <xf numFmtId="0" fontId="5" fillId="0" borderId="0"/>
    <xf numFmtId="0" fontId="10" fillId="29" borderId="0"/>
    <xf numFmtId="0" fontId="5" fillId="0" borderId="0"/>
    <xf numFmtId="0" fontId="10" fillId="29" borderId="0"/>
    <xf numFmtId="0" fontId="5" fillId="0" borderId="0"/>
    <xf numFmtId="0" fontId="10" fillId="29" borderId="0"/>
    <xf numFmtId="0" fontId="5" fillId="0" borderId="0"/>
    <xf numFmtId="0" fontId="10" fillId="29" borderId="0"/>
    <xf numFmtId="0" fontId="5" fillId="0" borderId="0"/>
    <xf numFmtId="0" fontId="10" fillId="29" borderId="0"/>
    <xf numFmtId="0" fontId="5" fillId="0" borderId="0"/>
    <xf numFmtId="0" fontId="10" fillId="30" borderId="0"/>
    <xf numFmtId="0" fontId="5" fillId="0" borderId="0"/>
    <xf numFmtId="0" fontId="10" fillId="30" borderId="0"/>
    <xf numFmtId="0" fontId="5" fillId="0" borderId="0"/>
    <xf numFmtId="0" fontId="10" fillId="30" borderId="0"/>
    <xf numFmtId="0" fontId="5" fillId="0" borderId="0"/>
    <xf numFmtId="0" fontId="10" fillId="30" borderId="0"/>
    <xf numFmtId="0" fontId="5" fillId="0" borderId="0"/>
    <xf numFmtId="0" fontId="10" fillId="30" borderId="0"/>
    <xf numFmtId="0" fontId="5" fillId="0" borderId="0"/>
    <xf numFmtId="0" fontId="10" fillId="31" borderId="0"/>
    <xf numFmtId="0" fontId="5" fillId="0" borderId="0"/>
    <xf numFmtId="0" fontId="10" fillId="31" borderId="0"/>
    <xf numFmtId="0" fontId="5" fillId="0" borderId="0"/>
    <xf numFmtId="0" fontId="10" fillId="31" borderId="0"/>
    <xf numFmtId="0" fontId="5" fillId="0" borderId="0"/>
    <xf numFmtId="0" fontId="10" fillId="31" borderId="0"/>
    <xf numFmtId="0" fontId="5" fillId="0" borderId="0"/>
    <xf numFmtId="0" fontId="10" fillId="31" borderId="0"/>
    <xf numFmtId="0" fontId="5" fillId="0" borderId="0"/>
    <xf numFmtId="0" fontId="10" fillId="26" borderId="0"/>
    <xf numFmtId="0" fontId="5" fillId="0" borderId="0"/>
    <xf numFmtId="0" fontId="10" fillId="26" borderId="0"/>
    <xf numFmtId="0" fontId="5" fillId="0" borderId="0"/>
    <xf numFmtId="0" fontId="10" fillId="26" borderId="0"/>
    <xf numFmtId="0" fontId="5" fillId="0" borderId="0"/>
    <xf numFmtId="0" fontId="10" fillId="26" borderId="0"/>
    <xf numFmtId="0" fontId="5" fillId="0" borderId="0"/>
    <xf numFmtId="0" fontId="10" fillId="26" borderId="0"/>
    <xf numFmtId="0" fontId="5" fillId="0" borderId="0"/>
    <xf numFmtId="0" fontId="10" fillId="27" borderId="0"/>
    <xf numFmtId="0" fontId="5" fillId="0" borderId="0"/>
    <xf numFmtId="0" fontId="10" fillId="27" borderId="0"/>
    <xf numFmtId="0" fontId="5" fillId="0" borderId="0"/>
    <xf numFmtId="0" fontId="10" fillId="27" borderId="0"/>
    <xf numFmtId="0" fontId="5" fillId="0" borderId="0"/>
    <xf numFmtId="0" fontId="10" fillId="27" borderId="0"/>
    <xf numFmtId="0" fontId="5" fillId="0" borderId="0"/>
    <xf numFmtId="0" fontId="10" fillId="27" borderId="0"/>
    <xf numFmtId="0" fontId="5" fillId="0" borderId="0"/>
    <xf numFmtId="0" fontId="10" fillId="32" borderId="0"/>
    <xf numFmtId="0" fontId="5" fillId="0" borderId="0"/>
    <xf numFmtId="0" fontId="10" fillId="32" borderId="0"/>
    <xf numFmtId="0" fontId="5" fillId="0" borderId="0"/>
    <xf numFmtId="0" fontId="10" fillId="32" borderId="0"/>
    <xf numFmtId="0" fontId="5" fillId="0" borderId="0"/>
    <xf numFmtId="0" fontId="10" fillId="32" borderId="0"/>
    <xf numFmtId="0" fontId="5" fillId="0" borderId="0"/>
    <xf numFmtId="0" fontId="10" fillId="32" borderId="0"/>
    <xf numFmtId="0" fontId="5" fillId="0" borderId="0"/>
    <xf numFmtId="177" fontId="4" fillId="0" borderId="0"/>
    <xf numFmtId="178" fontId="4" fillId="0" borderId="0"/>
    <xf numFmtId="179" fontId="4" fillId="0" borderId="0"/>
    <xf numFmtId="166" fontId="11" fillId="0" borderId="0"/>
    <xf numFmtId="180" fontId="4" fillId="0" borderId="0"/>
    <xf numFmtId="0" fontId="4" fillId="0" borderId="0"/>
    <xf numFmtId="0" fontId="4" fillId="0" borderId="0"/>
    <xf numFmtId="0" fontId="12" fillId="16" borderId="0"/>
    <xf numFmtId="0" fontId="5" fillId="0" borderId="0"/>
    <xf numFmtId="0" fontId="12" fillId="16" borderId="0"/>
    <xf numFmtId="0" fontId="5" fillId="0" borderId="0"/>
    <xf numFmtId="0" fontId="12" fillId="16" borderId="0"/>
    <xf numFmtId="0" fontId="5" fillId="0" borderId="0"/>
    <xf numFmtId="0" fontId="12" fillId="16" borderId="0"/>
    <xf numFmtId="0" fontId="5" fillId="0" borderId="0"/>
    <xf numFmtId="0" fontId="12" fillId="16" borderId="0"/>
    <xf numFmtId="0" fontId="5" fillId="0" borderId="0"/>
    <xf numFmtId="0" fontId="13" fillId="0" borderId="0"/>
    <xf numFmtId="181" fontId="3" fillId="0" borderId="0"/>
    <xf numFmtId="182" fontId="14" fillId="0" borderId="0"/>
    <xf numFmtId="0" fontId="15" fillId="33" borderId="7"/>
    <xf numFmtId="0" fontId="5" fillId="0" borderId="0"/>
    <xf numFmtId="0" fontId="15" fillId="33" borderId="7"/>
    <xf numFmtId="0" fontId="5" fillId="0" borderId="0"/>
    <xf numFmtId="0" fontId="15" fillId="33" borderId="7"/>
    <xf numFmtId="0" fontId="5" fillId="0" borderId="0"/>
    <xf numFmtId="0" fontId="15" fillId="33" borderId="7"/>
    <xf numFmtId="0" fontId="5" fillId="0" borderId="0"/>
    <xf numFmtId="0" fontId="15" fillId="33" borderId="7"/>
    <xf numFmtId="0" fontId="5" fillId="0" borderId="0"/>
    <xf numFmtId="0" fontId="16" fillId="34" borderId="8"/>
    <xf numFmtId="0" fontId="5" fillId="0" borderId="0"/>
    <xf numFmtId="0" fontId="16" fillId="34" borderId="8"/>
    <xf numFmtId="0" fontId="5" fillId="0" borderId="0"/>
    <xf numFmtId="0" fontId="16" fillId="34" borderId="8"/>
    <xf numFmtId="0" fontId="5" fillId="0" borderId="0"/>
    <xf numFmtId="0" fontId="16" fillId="34" borderId="8"/>
    <xf numFmtId="0" fontId="5" fillId="0" borderId="0"/>
    <xf numFmtId="0" fontId="16" fillId="34" borderId="8"/>
    <xf numFmtId="0" fontId="5" fillId="0" borderId="0"/>
    <xf numFmtId="0" fontId="17" fillId="0" borderId="27">
      <alignment horizontal="center"/>
    </xf>
    <xf numFmtId="183" fontId="4" fillId="0" borderId="0"/>
    <xf numFmtId="183" fontId="4" fillId="0" borderId="0"/>
    <xf numFmtId="183" fontId="4" fillId="0" borderId="0"/>
    <xf numFmtId="183" fontId="4" fillId="0" borderId="0"/>
    <xf numFmtId="183" fontId="4" fillId="0" borderId="0"/>
    <xf numFmtId="183" fontId="4" fillId="0" borderId="0"/>
    <xf numFmtId="183" fontId="4" fillId="0" borderId="0"/>
    <xf numFmtId="183" fontId="4" fillId="0" borderId="0"/>
    <xf numFmtId="184" fontId="4" fillId="0" borderId="0"/>
    <xf numFmtId="166" fontId="5" fillId="0" borderId="0"/>
    <xf numFmtId="166" fontId="1" fillId="0" borderId="0"/>
    <xf numFmtId="166" fontId="1" fillId="0" borderId="0"/>
    <xf numFmtId="166" fontId="1" fillId="0" borderId="0"/>
    <xf numFmtId="166" fontId="1" fillId="0" borderId="0"/>
    <xf numFmtId="166" fontId="1" fillId="0" borderId="0"/>
    <xf numFmtId="166" fontId="5" fillId="0" borderId="0"/>
    <xf numFmtId="0" fontId="5" fillId="0" borderId="0"/>
    <xf numFmtId="166" fontId="4" fillId="0" borderId="0"/>
    <xf numFmtId="166" fontId="4" fillId="0" borderId="0"/>
    <xf numFmtId="0" fontId="5"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4"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8" fillId="0" borderId="0"/>
    <xf numFmtId="166" fontId="1" fillId="0" borderId="0"/>
    <xf numFmtId="166" fontId="1" fillId="0" borderId="0"/>
    <xf numFmtId="166" fontId="1"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 fillId="0" borderId="0"/>
    <xf numFmtId="166" fontId="1" fillId="0" borderId="0"/>
    <xf numFmtId="166" fontId="5" fillId="0" borderId="0"/>
    <xf numFmtId="166" fontId="1" fillId="0" borderId="0"/>
    <xf numFmtId="0" fontId="5"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0" fontId="5"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4"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9"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4"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9" fillId="0" borderId="0"/>
    <xf numFmtId="166" fontId="19" fillId="0" borderId="0"/>
    <xf numFmtId="166" fontId="1" fillId="0" borderId="0"/>
    <xf numFmtId="166" fontId="1" fillId="0" borderId="0"/>
    <xf numFmtId="166" fontId="1"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 fillId="0" borderId="0"/>
    <xf numFmtId="166" fontId="19" fillId="0" borderId="0"/>
    <xf numFmtId="166" fontId="19" fillId="0" borderId="0"/>
    <xf numFmtId="166" fontId="4" fillId="0" borderId="0"/>
    <xf numFmtId="166" fontId="19" fillId="0" borderId="0"/>
    <xf numFmtId="166" fontId="19" fillId="0" borderId="0"/>
    <xf numFmtId="166" fontId="19" fillId="0" borderId="0"/>
    <xf numFmtId="166" fontId="19" fillId="0" borderId="0"/>
    <xf numFmtId="166" fontId="4"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0" fontId="5" fillId="0" borderId="0"/>
    <xf numFmtId="0" fontId="5" fillId="0" borderId="0"/>
    <xf numFmtId="166" fontId="4" fillId="0" borderId="0"/>
    <xf numFmtId="166" fontId="4" fillId="0" borderId="0"/>
    <xf numFmtId="166" fontId="4" fillId="0" borderId="0"/>
    <xf numFmtId="0" fontId="5" fillId="0" borderId="0"/>
    <xf numFmtId="0" fontId="5" fillId="0" borderId="0"/>
    <xf numFmtId="166" fontId="4" fillId="0" borderId="0"/>
    <xf numFmtId="166" fontId="4" fillId="0" borderId="0"/>
    <xf numFmtId="0" fontId="5" fillId="0" borderId="0"/>
    <xf numFmtId="0" fontId="5" fillId="0" borderId="0"/>
    <xf numFmtId="166" fontId="4" fillId="0" borderId="0"/>
    <xf numFmtId="166" fontId="4" fillId="0" borderId="0"/>
    <xf numFmtId="0" fontId="5" fillId="0" borderId="0"/>
    <xf numFmtId="0" fontId="5" fillId="0" borderId="0"/>
    <xf numFmtId="166" fontId="4" fillId="0" borderId="0"/>
    <xf numFmtId="166" fontId="4" fillId="0" borderId="0"/>
    <xf numFmtId="0" fontId="5" fillId="0" borderId="0"/>
    <xf numFmtId="0" fontId="5" fillId="0" borderId="0"/>
    <xf numFmtId="166" fontId="4" fillId="0" borderId="0"/>
    <xf numFmtId="166" fontId="4" fillId="0" borderId="0"/>
    <xf numFmtId="0" fontId="5" fillId="0" borderId="0"/>
    <xf numFmtId="0" fontId="5" fillId="0" borderId="0"/>
    <xf numFmtId="166" fontId="4" fillId="0" borderId="0"/>
    <xf numFmtId="166" fontId="4" fillId="0" borderId="0"/>
    <xf numFmtId="0" fontId="5" fillId="0" borderId="0"/>
    <xf numFmtId="0" fontId="5" fillId="0" borderId="0"/>
    <xf numFmtId="166" fontId="4" fillId="0" borderId="0"/>
    <xf numFmtId="166" fontId="4" fillId="0" borderId="0"/>
    <xf numFmtId="0" fontId="5" fillId="0" borderId="0"/>
    <xf numFmtId="0" fontId="5" fillId="0" borderId="0"/>
    <xf numFmtId="166" fontId="4" fillId="0" borderId="0"/>
    <xf numFmtId="166" fontId="4" fillId="0" borderId="0"/>
    <xf numFmtId="0" fontId="5" fillId="0" borderId="0"/>
    <xf numFmtId="0" fontId="5" fillId="0" borderId="0"/>
    <xf numFmtId="166" fontId="4" fillId="0" borderId="0"/>
    <xf numFmtId="166" fontId="4" fillId="0" borderId="0"/>
    <xf numFmtId="0" fontId="5" fillId="0" borderId="0"/>
    <xf numFmtId="0" fontId="5" fillId="0" borderId="0"/>
    <xf numFmtId="166" fontId="4" fillId="0" borderId="0"/>
    <xf numFmtId="166" fontId="4" fillId="0" borderId="0"/>
    <xf numFmtId="0" fontId="5" fillId="0" borderId="0"/>
    <xf numFmtId="0" fontId="5" fillId="0" borderId="0"/>
    <xf numFmtId="166" fontId="4" fillId="0" borderId="0"/>
    <xf numFmtId="166" fontId="4" fillId="0" borderId="0"/>
    <xf numFmtId="0" fontId="5" fillId="0" borderId="0"/>
    <xf numFmtId="0" fontId="5" fillId="0" borderId="0"/>
    <xf numFmtId="166" fontId="4" fillId="0" borderId="0"/>
    <xf numFmtId="0" fontId="5" fillId="0" borderId="0"/>
    <xf numFmtId="166" fontId="4" fillId="0" borderId="0"/>
    <xf numFmtId="0" fontId="5" fillId="0" borderId="0"/>
    <xf numFmtId="166" fontId="4" fillId="0" borderId="0"/>
    <xf numFmtId="0" fontId="5" fillId="0" borderId="0"/>
    <xf numFmtId="166" fontId="4" fillId="0" borderId="0"/>
    <xf numFmtId="0" fontId="5" fillId="0" borderId="0"/>
    <xf numFmtId="0" fontId="5" fillId="0" borderId="0"/>
    <xf numFmtId="185" fontId="19" fillId="0" borderId="0"/>
    <xf numFmtId="166" fontId="1" fillId="0" borderId="0"/>
    <xf numFmtId="166" fontId="4" fillId="0" borderId="0"/>
    <xf numFmtId="166" fontId="4" fillId="0" borderId="0"/>
    <xf numFmtId="0" fontId="5" fillId="0" borderId="0"/>
    <xf numFmtId="0" fontId="5" fillId="0" borderId="0"/>
    <xf numFmtId="166" fontId="4" fillId="0" borderId="0"/>
    <xf numFmtId="166" fontId="4" fillId="0" borderId="0"/>
    <xf numFmtId="0" fontId="5" fillId="0" borderId="0"/>
    <xf numFmtId="0" fontId="5" fillId="0" borderId="0"/>
    <xf numFmtId="166" fontId="4" fillId="0" borderId="0"/>
    <xf numFmtId="166" fontId="4" fillId="0" borderId="0"/>
    <xf numFmtId="0" fontId="5" fillId="0" borderId="0"/>
    <xf numFmtId="0" fontId="5" fillId="0" borderId="0"/>
    <xf numFmtId="166" fontId="4" fillId="0" borderId="0"/>
    <xf numFmtId="166" fontId="4" fillId="0" borderId="0"/>
    <xf numFmtId="0" fontId="5" fillId="0" borderId="0"/>
    <xf numFmtId="0" fontId="5" fillId="0" borderId="0"/>
    <xf numFmtId="166" fontId="4" fillId="0" borderId="0"/>
    <xf numFmtId="166" fontId="4" fillId="0" borderId="0"/>
    <xf numFmtId="0" fontId="5" fillId="0" borderId="0"/>
    <xf numFmtId="0" fontId="5" fillId="0" borderId="0"/>
    <xf numFmtId="166" fontId="4" fillId="0" borderId="0"/>
    <xf numFmtId="166" fontId="4" fillId="0" borderId="0"/>
    <xf numFmtId="0" fontId="5" fillId="0" borderId="0"/>
    <xf numFmtId="0" fontId="5" fillId="0" borderId="0"/>
    <xf numFmtId="166" fontId="4" fillId="0" borderId="0"/>
    <xf numFmtId="166" fontId="4" fillId="0" borderId="0"/>
    <xf numFmtId="0" fontId="5" fillId="0" borderId="0"/>
    <xf numFmtId="0" fontId="5" fillId="0" borderId="0"/>
    <xf numFmtId="166" fontId="19"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9" fillId="0" borderId="0"/>
    <xf numFmtId="166" fontId="19" fillId="0" borderId="0"/>
    <xf numFmtId="166" fontId="1" fillId="0" borderId="0"/>
    <xf numFmtId="166" fontId="1"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4" fillId="0" borderId="0"/>
    <xf numFmtId="166" fontId="4" fillId="0" borderId="0"/>
    <xf numFmtId="166" fontId="4" fillId="0" borderId="0"/>
    <xf numFmtId="166" fontId="4" fillId="0" borderId="0"/>
    <xf numFmtId="166" fontId="19" fillId="0" borderId="0"/>
    <xf numFmtId="166" fontId="19" fillId="0" borderId="0"/>
    <xf numFmtId="166" fontId="19" fillId="0" borderId="0"/>
    <xf numFmtId="166" fontId="19" fillId="0" borderId="0"/>
    <xf numFmtId="166" fontId="19" fillId="0" borderId="0"/>
    <xf numFmtId="166" fontId="4" fillId="0" borderId="0"/>
    <xf numFmtId="0" fontId="5" fillId="0" borderId="0"/>
    <xf numFmtId="0" fontId="5" fillId="0" borderId="0"/>
    <xf numFmtId="166" fontId="4"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4" fillId="0" borderId="0"/>
    <xf numFmtId="0" fontId="5" fillId="0" borderId="0"/>
    <xf numFmtId="166" fontId="5" fillId="0" borderId="0"/>
    <xf numFmtId="166" fontId="5" fillId="0" borderId="0"/>
    <xf numFmtId="0" fontId="5" fillId="0" borderId="0"/>
    <xf numFmtId="0" fontId="5" fillId="0" borderId="0"/>
    <xf numFmtId="166" fontId="5" fillId="0" borderId="0"/>
    <xf numFmtId="166" fontId="5" fillId="0" borderId="0"/>
    <xf numFmtId="0" fontId="5" fillId="0" borderId="0"/>
    <xf numFmtId="0" fontId="5" fillId="0" borderId="0"/>
    <xf numFmtId="166" fontId="5" fillId="0" borderId="0"/>
    <xf numFmtId="166" fontId="5" fillId="0" borderId="0"/>
    <xf numFmtId="0"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4" fillId="0" borderId="0"/>
    <xf numFmtId="0" fontId="5"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4" fillId="0" borderId="0"/>
    <xf numFmtId="166" fontId="4" fillId="0" borderId="0"/>
    <xf numFmtId="166" fontId="4" fillId="0" borderId="0"/>
    <xf numFmtId="0" fontId="5" fillId="0" borderId="0"/>
    <xf numFmtId="0" fontId="5" fillId="0" borderId="0"/>
    <xf numFmtId="0" fontId="5" fillId="0" borderId="0"/>
    <xf numFmtId="186" fontId="4" fillId="0" borderId="0"/>
    <xf numFmtId="166" fontId="19" fillId="0" borderId="0"/>
    <xf numFmtId="166" fontId="19" fillId="0" borderId="0"/>
    <xf numFmtId="166" fontId="1" fillId="0" borderId="0"/>
    <xf numFmtId="166" fontId="1" fillId="0" borderId="0"/>
    <xf numFmtId="166" fontId="1"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4" fillId="0" borderId="0"/>
    <xf numFmtId="166" fontId="4" fillId="0" borderId="0"/>
    <xf numFmtId="166" fontId="4" fillId="0" borderId="0"/>
    <xf numFmtId="0" fontId="5" fillId="0" borderId="0"/>
    <xf numFmtId="0" fontId="5" fillId="0" borderId="0"/>
    <xf numFmtId="0" fontId="5" fillId="0" borderId="0"/>
    <xf numFmtId="166" fontId="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4" fillId="0" borderId="0"/>
    <xf numFmtId="0" fontId="5" fillId="0" borderId="0"/>
    <xf numFmtId="166" fontId="4"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9" fillId="0" borderId="0"/>
    <xf numFmtId="0" fontId="5" fillId="0" borderId="0"/>
    <xf numFmtId="166" fontId="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5" fillId="0" borderId="0"/>
    <xf numFmtId="166" fontId="5" fillId="0" borderId="0"/>
    <xf numFmtId="166" fontId="5" fillId="0" borderId="0"/>
    <xf numFmtId="0" fontId="5" fillId="0" borderId="0"/>
    <xf numFmtId="0" fontId="5" fillId="0" borderId="0"/>
    <xf numFmtId="166" fontId="4" fillId="0" borderId="0"/>
    <xf numFmtId="166" fontId="5" fillId="0" borderId="0"/>
    <xf numFmtId="166" fontId="5" fillId="0" borderId="0"/>
    <xf numFmtId="0" fontId="5" fillId="0" borderId="0"/>
    <xf numFmtId="0" fontId="5" fillId="0" borderId="0"/>
    <xf numFmtId="166" fontId="5" fillId="0" borderId="0"/>
    <xf numFmtId="0" fontId="5" fillId="0" borderId="0"/>
    <xf numFmtId="0" fontId="5" fillId="0" borderId="0"/>
    <xf numFmtId="166" fontId="4"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 fillId="0" borderId="0"/>
    <xf numFmtId="166" fontId="1" fillId="0" borderId="0"/>
    <xf numFmtId="166" fontId="1" fillId="0" borderId="0"/>
    <xf numFmtId="166" fontId="19" fillId="0" borderId="0"/>
    <xf numFmtId="166" fontId="19" fillId="0" borderId="0"/>
    <xf numFmtId="166" fontId="19" fillId="0" borderId="0"/>
    <xf numFmtId="38" fontId="20" fillId="0" borderId="0"/>
    <xf numFmtId="3" fontId="4" fillId="0" borderId="0"/>
    <xf numFmtId="0" fontId="21" fillId="0" borderId="0"/>
    <xf numFmtId="3" fontId="4" fillId="0" borderId="0"/>
    <xf numFmtId="0" fontId="22" fillId="0" borderId="0">
      <alignment horizontal="left"/>
    </xf>
    <xf numFmtId="0" fontId="21" fillId="0" borderId="0"/>
    <xf numFmtId="182" fontId="14" fillId="0" borderId="0"/>
    <xf numFmtId="187" fontId="4" fillId="35" borderId="0"/>
    <xf numFmtId="15" fontId="20" fillId="0" borderId="0"/>
    <xf numFmtId="14" fontId="3" fillId="0" borderId="0"/>
    <xf numFmtId="188" fontId="4" fillId="0" borderId="0"/>
    <xf numFmtId="4" fontId="8" fillId="0" borderId="0"/>
    <xf numFmtId="184" fontId="4" fillId="0" borderId="0"/>
    <xf numFmtId="182" fontId="14" fillId="0" borderId="0"/>
    <xf numFmtId="184" fontId="4" fillId="0" borderId="0"/>
    <xf numFmtId="189" fontId="14" fillId="0" borderId="0"/>
    <xf numFmtId="182" fontId="14" fillId="0" borderId="0"/>
    <xf numFmtId="0" fontId="23" fillId="0" borderId="0">
      <alignment horizontal="left"/>
    </xf>
    <xf numFmtId="190" fontId="4" fillId="0" borderId="0"/>
    <xf numFmtId="190" fontId="4" fillId="0" borderId="0">
      <alignment vertical="top"/>
    </xf>
    <xf numFmtId="0" fontId="5" fillId="0" borderId="0"/>
    <xf numFmtId="190" fontId="4" fillId="0" borderId="0">
      <alignment vertical="top"/>
    </xf>
    <xf numFmtId="0" fontId="5" fillId="0" borderId="0"/>
    <xf numFmtId="190" fontId="4" fillId="0" borderId="0">
      <alignment vertical="top"/>
    </xf>
    <xf numFmtId="0" fontId="5" fillId="0" borderId="0"/>
    <xf numFmtId="190" fontId="4" fillId="0" borderId="0">
      <alignment vertical="top"/>
    </xf>
    <xf numFmtId="0" fontId="5" fillId="0" borderId="0"/>
    <xf numFmtId="0" fontId="5" fillId="0" borderId="0"/>
    <xf numFmtId="0" fontId="24" fillId="0" borderId="0"/>
    <xf numFmtId="0" fontId="5" fillId="0" borderId="0"/>
    <xf numFmtId="0" fontId="24" fillId="0" borderId="0"/>
    <xf numFmtId="0" fontId="5" fillId="0" borderId="0"/>
    <xf numFmtId="0" fontId="24" fillId="0" borderId="0"/>
    <xf numFmtId="0" fontId="5" fillId="0" borderId="0"/>
    <xf numFmtId="0" fontId="24" fillId="0" borderId="0"/>
    <xf numFmtId="0" fontId="5" fillId="0" borderId="0"/>
    <xf numFmtId="0" fontId="24" fillId="0" borderId="0"/>
    <xf numFmtId="0" fontId="5" fillId="0" borderId="0"/>
    <xf numFmtId="191" fontId="25" fillId="0" borderId="0">
      <alignment horizontal="right" vertical="top"/>
    </xf>
    <xf numFmtId="0" fontId="26" fillId="17" borderId="0"/>
    <xf numFmtId="0" fontId="5" fillId="0" borderId="0"/>
    <xf numFmtId="0" fontId="26" fillId="17" borderId="0"/>
    <xf numFmtId="0" fontId="5" fillId="0" borderId="0"/>
    <xf numFmtId="0" fontId="26" fillId="17" borderId="0"/>
    <xf numFmtId="0" fontId="5" fillId="0" borderId="0"/>
    <xf numFmtId="0" fontId="26" fillId="17" borderId="0"/>
    <xf numFmtId="0" fontId="5" fillId="0" borderId="0"/>
    <xf numFmtId="0" fontId="26" fillId="17" borderId="0"/>
    <xf numFmtId="0" fontId="5" fillId="0" borderId="0"/>
    <xf numFmtId="38" fontId="27" fillId="35" borderId="0"/>
    <xf numFmtId="0" fontId="28" fillId="0" borderId="9">
      <alignment horizontal="left" vertical="center"/>
    </xf>
    <xf numFmtId="0" fontId="28" fillId="0" borderId="3">
      <alignment horizontal="left" vertical="center"/>
    </xf>
    <xf numFmtId="14" fontId="2" fillId="36" borderId="10">
      <alignment horizontal="center" vertical="center" wrapText="1"/>
    </xf>
    <xf numFmtId="0" fontId="29" fillId="0" borderId="11"/>
    <xf numFmtId="0" fontId="5" fillId="0" borderId="0"/>
    <xf numFmtId="0" fontId="29" fillId="0" borderId="11"/>
    <xf numFmtId="0" fontId="5" fillId="0" borderId="0"/>
    <xf numFmtId="0" fontId="29" fillId="0" borderId="11"/>
    <xf numFmtId="0" fontId="5" fillId="0" borderId="0"/>
    <xf numFmtId="0" fontId="29" fillId="0" borderId="11"/>
    <xf numFmtId="0" fontId="5" fillId="0" borderId="0"/>
    <xf numFmtId="0" fontId="29" fillId="0" borderId="11"/>
    <xf numFmtId="0" fontId="5" fillId="0" borderId="0"/>
    <xf numFmtId="0" fontId="30" fillId="0" borderId="12"/>
    <xf numFmtId="0" fontId="5" fillId="0" borderId="0"/>
    <xf numFmtId="0" fontId="30" fillId="0" borderId="12"/>
    <xf numFmtId="0" fontId="5" fillId="0" borderId="0"/>
    <xf numFmtId="0" fontId="30" fillId="0" borderId="12"/>
    <xf numFmtId="0" fontId="5" fillId="0" borderId="0"/>
    <xf numFmtId="0" fontId="30" fillId="0" borderId="12"/>
    <xf numFmtId="0" fontId="5" fillId="0" borderId="0"/>
    <xf numFmtId="0" fontId="30" fillId="0" borderId="12"/>
    <xf numFmtId="0" fontId="5" fillId="0" borderId="0"/>
    <xf numFmtId="0" fontId="31" fillId="0" borderId="13"/>
    <xf numFmtId="0" fontId="5" fillId="0" borderId="0"/>
    <xf numFmtId="0" fontId="31" fillId="0" borderId="13"/>
    <xf numFmtId="0" fontId="5" fillId="0" borderId="0"/>
    <xf numFmtId="0" fontId="31" fillId="0" borderId="13"/>
    <xf numFmtId="0" fontId="5" fillId="0" borderId="0"/>
    <xf numFmtId="0" fontId="31" fillId="0" borderId="13"/>
    <xf numFmtId="0" fontId="5" fillId="0" borderId="0"/>
    <xf numFmtId="0" fontId="31" fillId="0" borderId="13"/>
    <xf numFmtId="0" fontId="5" fillId="0" borderId="0"/>
    <xf numFmtId="0" fontId="31" fillId="0" borderId="0"/>
    <xf numFmtId="0" fontId="5" fillId="0" borderId="0"/>
    <xf numFmtId="0" fontId="31" fillId="0" borderId="0"/>
    <xf numFmtId="0" fontId="5" fillId="0" borderId="0"/>
    <xf numFmtId="0" fontId="31" fillId="0" borderId="0"/>
    <xf numFmtId="0" fontId="5" fillId="0" borderId="0"/>
    <xf numFmtId="0" fontId="31" fillId="0" borderId="0"/>
    <xf numFmtId="0" fontId="5" fillId="0" borderId="0"/>
    <xf numFmtId="0" fontId="31" fillId="0" borderId="0"/>
    <xf numFmtId="0" fontId="5" fillId="0" borderId="0"/>
    <xf numFmtId="0" fontId="5" fillId="0" borderId="0"/>
    <xf numFmtId="0" fontId="32" fillId="0" borderId="0">
      <alignment vertical="top"/>
      <protection locked="0"/>
    </xf>
    <xf numFmtId="0" fontId="5" fillId="0" borderId="0"/>
    <xf numFmtId="0" fontId="33" fillId="0" borderId="0">
      <alignment vertical="top"/>
      <protection locked="0"/>
    </xf>
    <xf numFmtId="0" fontId="34" fillId="0" borderId="0"/>
    <xf numFmtId="0" fontId="35" fillId="0" borderId="0"/>
    <xf numFmtId="10" fontId="27" fillId="37" borderId="1"/>
    <xf numFmtId="0" fontId="36" fillId="20" borderId="7"/>
    <xf numFmtId="0" fontId="5" fillId="0" borderId="0"/>
    <xf numFmtId="0" fontId="36" fillId="20" borderId="7"/>
    <xf numFmtId="0" fontId="5" fillId="0" borderId="0"/>
    <xf numFmtId="0" fontId="36" fillId="20" borderId="7"/>
    <xf numFmtId="0" fontId="5" fillId="0" borderId="0"/>
    <xf numFmtId="0" fontId="36" fillId="20" borderId="7"/>
    <xf numFmtId="0" fontId="5" fillId="0" borderId="0"/>
    <xf numFmtId="0" fontId="36" fillId="20" borderId="7"/>
    <xf numFmtId="0" fontId="5" fillId="0" borderId="0"/>
    <xf numFmtId="184" fontId="4" fillId="0" borderId="0"/>
    <xf numFmtId="182" fontId="14" fillId="0" borderId="0"/>
    <xf numFmtId="184" fontId="4" fillId="0" borderId="0"/>
    <xf numFmtId="189" fontId="14" fillId="0" borderId="0"/>
    <xf numFmtId="182" fontId="14" fillId="0" borderId="0"/>
    <xf numFmtId="0" fontId="37" fillId="0" borderId="14"/>
    <xf numFmtId="0" fontId="5" fillId="0" borderId="0"/>
    <xf numFmtId="0" fontId="37" fillId="0" borderId="14"/>
    <xf numFmtId="0" fontId="5" fillId="0" borderId="0"/>
    <xf numFmtId="0" fontId="37" fillId="0" borderId="14"/>
    <xf numFmtId="0" fontId="5" fillId="0" borderId="0"/>
    <xf numFmtId="0" fontId="37" fillId="0" borderId="14"/>
    <xf numFmtId="0" fontId="5" fillId="0" borderId="0"/>
    <xf numFmtId="0" fontId="37" fillId="0" borderId="14"/>
    <xf numFmtId="0" fontId="5" fillId="0" borderId="0"/>
    <xf numFmtId="38" fontId="20" fillId="0" borderId="0"/>
    <xf numFmtId="40" fontId="20" fillId="0" borderId="0"/>
    <xf numFmtId="192" fontId="20" fillId="0" borderId="0"/>
    <xf numFmtId="193" fontId="20" fillId="0" borderId="0"/>
    <xf numFmtId="0" fontId="38" fillId="38" borderId="0"/>
    <xf numFmtId="0" fontId="5" fillId="0" borderId="0"/>
    <xf numFmtId="0" fontId="38" fillId="38" borderId="0"/>
    <xf numFmtId="0" fontId="5" fillId="0" borderId="0"/>
    <xf numFmtId="0" fontId="38" fillId="38" borderId="0"/>
    <xf numFmtId="0" fontId="5" fillId="0" borderId="0"/>
    <xf numFmtId="0" fontId="38" fillId="38" borderId="0"/>
    <xf numFmtId="0" fontId="5" fillId="0" borderId="0"/>
    <xf numFmtId="0" fontId="38" fillId="38" borderId="0"/>
    <xf numFmtId="0" fontId="5" fillId="0" borderId="0"/>
    <xf numFmtId="0" fontId="4" fillId="0" borderId="0"/>
    <xf numFmtId="0" fontId="5" fillId="0" borderId="0"/>
    <xf numFmtId="0" fontId="4" fillId="0" borderId="0"/>
    <xf numFmtId="172"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lignment vertical="top"/>
    </xf>
    <xf numFmtId="194" fontId="4"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alignment vertical="top"/>
    </xf>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5" fillId="0" borderId="0"/>
    <xf numFmtId="0" fontId="4" fillId="0" borderId="0"/>
    <xf numFmtId="0" fontId="4" fillId="0" borderId="0"/>
    <xf numFmtId="0" fontId="4" fillId="0" borderId="0">
      <alignment vertical="top"/>
    </xf>
    <xf numFmtId="0" fontId="4" fillId="0" borderId="0">
      <alignment vertical="top"/>
    </xf>
    <xf numFmtId="0" fontId="19" fillId="0" borderId="0"/>
    <xf numFmtId="0" fontId="19" fillId="0" borderId="0"/>
    <xf numFmtId="0" fontId="19" fillId="0" borderId="0"/>
    <xf numFmtId="0" fontId="19"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5"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0" fillId="0" borderId="0"/>
    <xf numFmtId="0" fontId="4" fillId="0" borderId="0"/>
    <xf numFmtId="0" fontId="4" fillId="0" borderId="0">
      <alignment vertical="top"/>
    </xf>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39" borderId="15"/>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39" borderId="15"/>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39" borderId="15"/>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39" borderId="15"/>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39" borderId="15"/>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39" borderId="15"/>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39" borderId="15"/>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2"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39" borderId="15"/>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39" borderId="15"/>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39" borderId="15"/>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39" borderId="15"/>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39" borderId="15"/>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2" borderId="6"/>
    <xf numFmtId="0" fontId="1" fillId="2" borderId="6"/>
    <xf numFmtId="0" fontId="1" fillId="2" borderId="6"/>
    <xf numFmtId="0" fontId="1" fillId="2" borderId="6"/>
    <xf numFmtId="0" fontId="1" fillId="2"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41" fillId="33" borderId="16"/>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1" fillId="33" borderId="16"/>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1" fillId="33" borderId="16"/>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1" fillId="33" borderId="16"/>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1" fillId="33" borderId="16"/>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94" fontId="4" fillId="0" borderId="0"/>
    <xf numFmtId="194"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94"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94"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94"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0" fontId="4" fillId="0" borderId="0"/>
    <xf numFmtId="9" fontId="4" fillId="0" borderId="0"/>
    <xf numFmtId="9" fontId="4" fillId="0" borderId="0"/>
    <xf numFmtId="9" fontId="4" fillId="0" borderId="0"/>
    <xf numFmtId="9" fontId="4" fillId="0" borderId="0"/>
    <xf numFmtId="9" fontId="1" fillId="0" borderId="0"/>
    <xf numFmtId="9" fontId="1" fillId="0" borderId="0"/>
    <xf numFmtId="9" fontId="1" fillId="0" borderId="0"/>
    <xf numFmtId="9" fontId="1" fillId="0" borderId="0"/>
    <xf numFmtId="9" fontId="1" fillId="0" borderId="0"/>
    <xf numFmtId="9" fontId="4" fillId="0" borderId="0"/>
    <xf numFmtId="9" fontId="4" fillId="0" borderId="0"/>
    <xf numFmtId="9" fontId="4" fillId="0" borderId="0"/>
    <xf numFmtId="9" fontId="4" fillId="0" borderId="0"/>
    <xf numFmtId="0" fontId="1" fillId="0" borderId="0"/>
    <xf numFmtId="9" fontId="4" fillId="0" borderId="0"/>
    <xf numFmtId="0" fontId="1" fillId="0" borderId="0"/>
    <xf numFmtId="0" fontId="1" fillId="0" borderId="0"/>
    <xf numFmtId="0" fontId="1" fillId="0" borderId="0"/>
    <xf numFmtId="0" fontId="1" fillId="0" borderId="0"/>
    <xf numFmtId="0" fontId="1" fillId="0" borderId="0"/>
    <xf numFmtId="9" fontId="4" fillId="0" borderId="0"/>
    <xf numFmtId="9" fontId="1"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4" fillId="0" borderId="0"/>
    <xf numFmtId="9" fontId="1" fillId="0" borderId="0"/>
    <xf numFmtId="9" fontId="1" fillId="0" borderId="0"/>
    <xf numFmtId="9" fontId="4" fillId="0" borderId="0"/>
    <xf numFmtId="9" fontId="1" fillId="0" borderId="0"/>
    <xf numFmtId="9" fontId="4" fillId="0" borderId="0"/>
    <xf numFmtId="0" fontId="1" fillId="0" borderId="0"/>
    <xf numFmtId="0"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0"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4" fillId="0" borderId="0"/>
    <xf numFmtId="0" fontId="1" fillId="0" borderId="0"/>
    <xf numFmtId="0"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0"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4" fillId="0" borderId="0"/>
    <xf numFmtId="9" fontId="1" fillId="0" borderId="0"/>
    <xf numFmtId="9" fontId="1" fillId="0" borderId="0"/>
    <xf numFmtId="9" fontId="4" fillId="0" borderId="0"/>
    <xf numFmtId="9" fontId="1" fillId="0" borderId="0"/>
    <xf numFmtId="0" fontId="1" fillId="0" borderId="0"/>
    <xf numFmtId="0"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0"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4" fillId="0" borderId="0"/>
    <xf numFmtId="9" fontId="1" fillId="0" borderId="0"/>
    <xf numFmtId="9" fontId="1" fillId="0" borderId="0"/>
    <xf numFmtId="9" fontId="1" fillId="0" borderId="0"/>
    <xf numFmtId="9" fontId="1" fillId="0" borderId="0"/>
    <xf numFmtId="9" fontId="4" fillId="0" borderId="0"/>
    <xf numFmtId="9" fontId="1" fillId="0" borderId="0"/>
    <xf numFmtId="9" fontId="1" fillId="0" borderId="0"/>
    <xf numFmtId="9" fontId="1" fillId="0" borderId="0"/>
    <xf numFmtId="9" fontId="1" fillId="0" borderId="0"/>
    <xf numFmtId="9" fontId="1" fillId="0" borderId="0"/>
    <xf numFmtId="195" fontId="42" fillId="0" borderId="0">
      <alignment horizontal="left"/>
    </xf>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alignment vertical="top"/>
    </xf>
    <xf numFmtId="0" fontId="4" fillId="0" borderId="0"/>
    <xf numFmtId="0" fontId="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alignment vertical="top"/>
    </xf>
    <xf numFmtId="0" fontId="4" fillId="0" borderId="0"/>
    <xf numFmtId="0" fontId="4" fillId="0" borderId="0"/>
    <xf numFmtId="0" fontId="4" fillId="0" borderId="0"/>
    <xf numFmtId="40" fontId="43" fillId="0" borderId="0">
      <alignment horizontal="right"/>
    </xf>
    <xf numFmtId="0" fontId="44" fillId="0"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 fillId="0" borderId="17"/>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 fillId="0" borderId="17"/>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 fillId="0" borderId="17"/>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 fillId="0" borderId="17"/>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 fillId="0" borderId="17"/>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5" fillId="0" borderId="0"/>
    <xf numFmtId="41" fontId="35" fillId="0" borderId="0"/>
    <xf numFmtId="43" fontId="35" fillId="0" borderId="0"/>
    <xf numFmtId="0" fontId="4" fillId="0" borderId="0"/>
    <xf numFmtId="0" fontId="48" fillId="0" borderId="0"/>
    <xf numFmtId="196" fontId="35" fillId="0" borderId="0"/>
    <xf numFmtId="197" fontId="35" fillId="0" borderId="0"/>
    <xf numFmtId="0" fontId="14" fillId="0" borderId="0"/>
    <xf numFmtId="165" fontId="14" fillId="0" borderId="0"/>
    <xf numFmtId="166" fontId="1" fillId="0" borderId="0"/>
    <xf numFmtId="0" fontId="1" fillId="0" borderId="0"/>
    <xf numFmtId="165" fontId="14" fillId="0" borderId="0"/>
    <xf numFmtId="9" fontId="4" fillId="0" borderId="0" applyFont="0" applyFill="0" applyBorder="0" applyAlignment="0" applyProtection="0"/>
  </cellStyleXfs>
  <cellXfs count="1094">
    <xf numFmtId="0" fontId="0" fillId="0" borderId="0" xfId="0"/>
    <xf numFmtId="0" fontId="51" fillId="0" borderId="0" xfId="0" applyFont="1"/>
    <xf numFmtId="166" fontId="51" fillId="0" borderId="0" xfId="1" applyFont="1"/>
    <xf numFmtId="167" fontId="51" fillId="0" borderId="0" xfId="1" applyNumberFormat="1" applyFont="1"/>
    <xf numFmtId="0" fontId="52" fillId="0" borderId="0" xfId="0" applyFont="1" applyAlignment="1">
      <alignment vertical="top"/>
    </xf>
    <xf numFmtId="0" fontId="51" fillId="0" borderId="0" xfId="6" applyFont="1"/>
    <xf numFmtId="0" fontId="50" fillId="0" borderId="0" xfId="0" applyFont="1"/>
    <xf numFmtId="167" fontId="50" fillId="0" borderId="0" xfId="1" applyNumberFormat="1" applyFont="1"/>
    <xf numFmtId="0" fontId="50" fillId="0" borderId="0" xfId="0" applyFont="1" applyAlignment="1">
      <alignment vertical="top"/>
    </xf>
    <xf numFmtId="0" fontId="51" fillId="0" borderId="0" xfId="0" applyFont="1" applyAlignment="1">
      <alignment vertical="top"/>
    </xf>
    <xf numFmtId="0" fontId="50" fillId="0" borderId="0" xfId="6" applyFont="1" applyAlignment="1">
      <alignment vertical="center"/>
    </xf>
    <xf numFmtId="166" fontId="50" fillId="0" borderId="0" xfId="1" applyFont="1" applyAlignment="1">
      <alignment vertical="center"/>
    </xf>
    <xf numFmtId="167" fontId="50" fillId="0" borderId="0" xfId="1" applyNumberFormat="1" applyFont="1" applyAlignment="1">
      <alignment vertical="center"/>
    </xf>
    <xf numFmtId="0" fontId="55" fillId="0" borderId="0" xfId="0" applyFont="1"/>
    <xf numFmtId="167" fontId="55" fillId="0" borderId="0" xfId="0" applyNumberFormat="1" applyFont="1"/>
    <xf numFmtId="166" fontId="55" fillId="0" borderId="0" xfId="0" applyNumberFormat="1" applyFont="1"/>
    <xf numFmtId="167" fontId="55" fillId="0" borderId="0" xfId="1" applyNumberFormat="1" applyFont="1"/>
    <xf numFmtId="168" fontId="55" fillId="0" borderId="0" xfId="1" applyNumberFormat="1" applyFont="1"/>
    <xf numFmtId="164" fontId="55" fillId="0" borderId="0" xfId="0" applyNumberFormat="1" applyFont="1"/>
    <xf numFmtId="167" fontId="58" fillId="0" borderId="0" xfId="0" applyNumberFormat="1" applyFont="1"/>
    <xf numFmtId="166" fontId="55" fillId="0" borderId="0" xfId="1" applyFont="1"/>
    <xf numFmtId="169" fontId="55" fillId="0" borderId="0" xfId="0" applyNumberFormat="1" applyFont="1"/>
    <xf numFmtId="169" fontId="55" fillId="0" borderId="0" xfId="1" applyNumberFormat="1" applyFont="1"/>
    <xf numFmtId="0" fontId="58" fillId="0" borderId="0" xfId="0" applyFont="1"/>
    <xf numFmtId="167" fontId="58" fillId="0" borderId="0" xfId="1" applyNumberFormat="1" applyFont="1"/>
    <xf numFmtId="0" fontId="55" fillId="0" borderId="0" xfId="0" applyFont="1" applyAlignment="1">
      <alignment vertical="top"/>
    </xf>
    <xf numFmtId="0" fontId="50" fillId="0" borderId="0" xfId="0" applyFont="1" applyAlignment="1">
      <alignment horizontal="center"/>
    </xf>
    <xf numFmtId="0" fontId="58" fillId="0" borderId="0" xfId="0" applyFont="1" applyAlignment="1">
      <alignment horizontal="left"/>
    </xf>
    <xf numFmtId="0" fontId="55" fillId="0" borderId="0" xfId="0" applyFont="1" applyAlignment="1">
      <alignment horizontal="justify" wrapText="1"/>
    </xf>
    <xf numFmtId="0" fontId="55" fillId="0" borderId="0" xfId="0" applyFont="1" applyAlignment="1">
      <alignment wrapText="1"/>
    </xf>
    <xf numFmtId="0" fontId="55" fillId="0" borderId="0" xfId="0" applyFont="1" applyAlignment="1">
      <alignment horizontal="left" wrapText="1"/>
    </xf>
    <xf numFmtId="0" fontId="55" fillId="0" borderId="0" xfId="0" applyFont="1" applyAlignment="1">
      <alignment horizontal="left"/>
    </xf>
    <xf numFmtId="167" fontId="50" fillId="0" borderId="0" xfId="4" applyNumberFormat="1" applyFont="1" applyAlignment="1">
      <alignment horizontal="right"/>
    </xf>
    <xf numFmtId="49" fontId="50" fillId="0" borderId="0" xfId="0" applyNumberFormat="1" applyFont="1" applyAlignment="1">
      <alignment horizontal="center" vertical="top"/>
    </xf>
    <xf numFmtId="0" fontId="50" fillId="0" borderId="0" xfId="7" applyNumberFormat="1" applyFont="1" applyAlignment="1">
      <alignment vertical="top"/>
    </xf>
    <xf numFmtId="0" fontId="50" fillId="0" borderId="0" xfId="0" applyFont="1" applyAlignment="1">
      <alignment horizontal="center" vertical="top" wrapText="1" shrinkToFit="1"/>
    </xf>
    <xf numFmtId="166" fontId="51" fillId="0" borderId="0" xfId="1" applyFont="1" applyAlignment="1">
      <alignment vertical="top"/>
    </xf>
    <xf numFmtId="0" fontId="56" fillId="0" borderId="0" xfId="0" applyFont="1"/>
    <xf numFmtId="167" fontId="50" fillId="0" borderId="0" xfId="4" applyNumberFormat="1" applyFont="1"/>
    <xf numFmtId="0" fontId="55" fillId="0" borderId="19" xfId="0" applyFont="1" applyBorder="1"/>
    <xf numFmtId="0" fontId="55" fillId="0" borderId="24" xfId="0" applyFont="1" applyBorder="1"/>
    <xf numFmtId="0" fontId="51" fillId="0" borderId="2" xfId="7" applyNumberFormat="1" applyFont="1" applyBorder="1" applyAlignment="1">
      <alignment horizontal="left" vertical="top"/>
    </xf>
    <xf numFmtId="0" fontId="51" fillId="0" borderId="0" xfId="21" applyFont="1"/>
    <xf numFmtId="0" fontId="51" fillId="0" borderId="0" xfId="21" applyFont="1" applyAlignment="1">
      <alignment horizontal="left"/>
    </xf>
    <xf numFmtId="14" fontId="51" fillId="0" borderId="0" xfId="21" applyNumberFormat="1" applyFont="1"/>
    <xf numFmtId="14" fontId="51" fillId="0" borderId="0" xfId="21" applyNumberFormat="1" applyFont="1" applyAlignment="1">
      <alignment horizontal="left"/>
    </xf>
    <xf numFmtId="167" fontId="50" fillId="0" borderId="2" xfId="4" applyNumberFormat="1" applyFont="1" applyBorder="1" applyAlignment="1">
      <alignment horizontal="center"/>
    </xf>
    <xf numFmtId="166" fontId="56" fillId="0" borderId="2" xfId="4" applyFont="1" applyBorder="1"/>
    <xf numFmtId="167" fontId="56" fillId="0" borderId="2" xfId="4" applyNumberFormat="1" applyFont="1" applyBorder="1"/>
    <xf numFmtId="167" fontId="51" fillId="0" borderId="0" xfId="21" applyNumberFormat="1" applyFont="1"/>
    <xf numFmtId="167" fontId="56" fillId="0" borderId="0" xfId="4" applyNumberFormat="1" applyFont="1"/>
    <xf numFmtId="2" fontId="55" fillId="0" borderId="0" xfId="0" applyNumberFormat="1" applyFont="1"/>
    <xf numFmtId="0" fontId="62" fillId="0" borderId="0" xfId="0" applyFont="1" applyAlignment="1">
      <alignment vertical="top"/>
    </xf>
    <xf numFmtId="0" fontId="51" fillId="41" borderId="0" xfId="27301" applyFont="1" applyFill="1"/>
    <xf numFmtId="2" fontId="69" fillId="0" borderId="0" xfId="1" applyNumberFormat="1" applyFont="1" applyAlignment="1">
      <alignment horizontal="right"/>
    </xf>
    <xf numFmtId="171" fontId="55" fillId="0" borderId="0" xfId="0" applyNumberFormat="1" applyFont="1"/>
    <xf numFmtId="166" fontId="55" fillId="0" borderId="0" xfId="1" applyFont="1" applyAlignment="1">
      <alignment vertical="top"/>
    </xf>
    <xf numFmtId="166" fontId="55" fillId="0" borderId="25" xfId="1" applyFont="1" applyBorder="1" applyAlignment="1">
      <alignment vertical="top"/>
    </xf>
    <xf numFmtId="166" fontId="55" fillId="0" borderId="25" xfId="1" applyFont="1" applyBorder="1"/>
    <xf numFmtId="2" fontId="55" fillId="0" borderId="0" xfId="1" applyNumberFormat="1" applyFont="1" applyAlignment="1">
      <alignment vertical="top"/>
    </xf>
    <xf numFmtId="0" fontId="51" fillId="0" borderId="4" xfId="0" applyFont="1" applyBorder="1" applyAlignment="1">
      <alignment vertical="top"/>
    </xf>
    <xf numFmtId="0" fontId="51" fillId="0" borderId="0" xfId="6" applyFont="1" applyAlignment="1">
      <alignment vertical="top"/>
    </xf>
    <xf numFmtId="167" fontId="51" fillId="0" borderId="0" xfId="1" applyNumberFormat="1" applyFont="1" applyAlignment="1">
      <alignment vertical="top"/>
    </xf>
    <xf numFmtId="0" fontId="51" fillId="0" borderId="0" xfId="6" applyFont="1" applyAlignment="1">
      <alignment horizontal="left" vertical="top"/>
    </xf>
    <xf numFmtId="167" fontId="55" fillId="0" borderId="0" xfId="1" applyNumberFormat="1" applyFont="1" applyAlignment="1">
      <alignment vertical="top"/>
    </xf>
    <xf numFmtId="0" fontId="58" fillId="0" borderId="0" xfId="0" applyFont="1" applyAlignment="1">
      <alignment vertical="top"/>
    </xf>
    <xf numFmtId="0" fontId="55" fillId="0" borderId="26" xfId="0" applyFont="1" applyBorder="1" applyAlignment="1">
      <alignment vertical="top"/>
    </xf>
    <xf numFmtId="0" fontId="55" fillId="0" borderId="2" xfId="0" applyFont="1" applyBorder="1" applyAlignment="1">
      <alignment vertical="top"/>
    </xf>
    <xf numFmtId="0" fontId="55" fillId="0" borderId="20" xfId="0" applyFont="1" applyBorder="1" applyAlignment="1">
      <alignment vertical="top"/>
    </xf>
    <xf numFmtId="0" fontId="55" fillId="0" borderId="4" xfId="0" applyFont="1" applyBorder="1" applyAlignment="1">
      <alignment vertical="top"/>
    </xf>
    <xf numFmtId="0" fontId="55" fillId="0" borderId="29" xfId="0" applyFont="1" applyBorder="1" applyAlignment="1">
      <alignment vertical="top"/>
    </xf>
    <xf numFmtId="166" fontId="55" fillId="0" borderId="2" xfId="1" applyFont="1" applyBorder="1"/>
    <xf numFmtId="0" fontId="55" fillId="0" borderId="2" xfId="0" applyFont="1" applyBorder="1"/>
    <xf numFmtId="0" fontId="55" fillId="0" borderId="20" xfId="0" applyFont="1" applyBorder="1"/>
    <xf numFmtId="0" fontId="55" fillId="0" borderId="4" xfId="0" applyFont="1" applyBorder="1"/>
    <xf numFmtId="0" fontId="55" fillId="0" borderId="29" xfId="0" applyFont="1" applyBorder="1"/>
    <xf numFmtId="0" fontId="55" fillId="0" borderId="24" xfId="0" applyFont="1" applyBorder="1" applyAlignment="1">
      <alignment vertical="top"/>
    </xf>
    <xf numFmtId="167" fontId="55" fillId="0" borderId="27" xfId="1" applyNumberFormat="1" applyFont="1" applyBorder="1" applyAlignment="1">
      <alignment vertical="top"/>
    </xf>
    <xf numFmtId="166" fontId="55" fillId="0" borderId="27" xfId="1" applyFont="1" applyBorder="1" applyAlignment="1">
      <alignment vertical="top"/>
    </xf>
    <xf numFmtId="0" fontId="53" fillId="0" borderId="0" xfId="4" applyNumberFormat="1" applyFont="1" applyAlignment="1">
      <alignment horizontal="left" vertical="top"/>
    </xf>
    <xf numFmtId="167" fontId="58" fillId="0" borderId="0" xfId="1" applyNumberFormat="1" applyFont="1" applyAlignment="1">
      <alignment vertical="top"/>
    </xf>
    <xf numFmtId="0" fontId="55" fillId="0" borderId="19" xfId="0" applyFont="1" applyBorder="1" applyAlignment="1">
      <alignment vertical="top"/>
    </xf>
    <xf numFmtId="9" fontId="55" fillId="0" borderId="0" xfId="2" applyFont="1" applyAlignment="1">
      <alignment vertical="top"/>
    </xf>
    <xf numFmtId="0" fontId="65" fillId="0" borderId="0" xfId="0" applyFont="1" applyAlignment="1">
      <alignment vertical="top"/>
    </xf>
    <xf numFmtId="167" fontId="50" fillId="0" borderId="22" xfId="4" applyNumberFormat="1" applyFont="1" applyBorder="1" applyAlignment="1">
      <alignment vertical="top"/>
    </xf>
    <xf numFmtId="0" fontId="59" fillId="41" borderId="0" xfId="27301" applyFont="1" applyFill="1" applyAlignment="1">
      <alignment horizontal="left" vertical="top"/>
    </xf>
    <xf numFmtId="167" fontId="50" fillId="0" borderId="0" xfId="4" applyNumberFormat="1" applyFont="1" applyAlignment="1">
      <alignment vertical="top"/>
    </xf>
    <xf numFmtId="166" fontId="58" fillId="0" borderId="0" xfId="1" applyFont="1" applyAlignment="1">
      <alignment vertical="top"/>
    </xf>
    <xf numFmtId="0" fontId="51" fillId="0" borderId="0" xfId="21" applyFont="1" applyAlignment="1">
      <alignment vertical="top"/>
    </xf>
    <xf numFmtId="167" fontId="50" fillId="0" borderId="23" xfId="4" applyNumberFormat="1" applyFont="1" applyBorder="1" applyAlignment="1">
      <alignment horizontal="left" vertical="top"/>
    </xf>
    <xf numFmtId="167" fontId="50" fillId="0" borderId="5" xfId="4" applyNumberFormat="1" applyFont="1" applyBorder="1" applyAlignment="1">
      <alignment horizontal="center" vertical="top"/>
    </xf>
    <xf numFmtId="167" fontId="50" fillId="0" borderId="5" xfId="1" applyNumberFormat="1" applyFont="1" applyBorder="1" applyAlignment="1">
      <alignment horizontal="center" vertical="top"/>
    </xf>
    <xf numFmtId="167" fontId="50" fillId="0" borderId="24" xfId="4" applyNumberFormat="1" applyFont="1" applyBorder="1" applyAlignment="1">
      <alignment horizontal="center" vertical="top"/>
    </xf>
    <xf numFmtId="166" fontId="50" fillId="0" borderId="5" xfId="4" applyFont="1" applyBorder="1" applyAlignment="1">
      <alignment horizontal="center" vertical="top"/>
    </xf>
    <xf numFmtId="166" fontId="56" fillId="0" borderId="25" xfId="4" applyFont="1" applyBorder="1" applyAlignment="1">
      <alignment vertical="top"/>
    </xf>
    <xf numFmtId="167" fontId="56" fillId="0" borderId="25" xfId="1" applyNumberFormat="1" applyFont="1" applyBorder="1" applyAlignment="1">
      <alignment vertical="top"/>
    </xf>
    <xf numFmtId="166" fontId="56" fillId="0" borderId="26" xfId="4" applyFont="1" applyBorder="1" applyAlignment="1">
      <alignment vertical="top"/>
    </xf>
    <xf numFmtId="167" fontId="51" fillId="0" borderId="2" xfId="4" applyNumberFormat="1" applyFont="1" applyBorder="1" applyAlignment="1">
      <alignment horizontal="left" vertical="top"/>
    </xf>
    <xf numFmtId="166" fontId="56" fillId="0" borderId="25" xfId="1" applyFont="1" applyBorder="1" applyAlignment="1">
      <alignment vertical="top"/>
    </xf>
    <xf numFmtId="166" fontId="56" fillId="0" borderId="26" xfId="1" applyFont="1" applyBorder="1" applyAlignment="1">
      <alignment vertical="top"/>
    </xf>
    <xf numFmtId="167" fontId="50" fillId="0" borderId="0" xfId="4" applyNumberFormat="1" applyFont="1" applyAlignment="1">
      <alignment horizontal="left" vertical="top"/>
    </xf>
    <xf numFmtId="0" fontId="61" fillId="0" borderId="0" xfId="0" applyFont="1" applyAlignment="1">
      <alignment vertical="top"/>
    </xf>
    <xf numFmtId="39" fontId="50" fillId="0" borderId="0" xfId="4" applyNumberFormat="1" applyFont="1" applyAlignment="1">
      <alignment vertical="top"/>
    </xf>
    <xf numFmtId="167" fontId="53" fillId="0" borderId="0" xfId="4" applyNumberFormat="1" applyFont="1" applyAlignment="1">
      <alignment vertical="top"/>
    </xf>
    <xf numFmtId="0" fontId="57" fillId="0" borderId="0" xfId="0" applyFont="1" applyAlignment="1">
      <alignment horizontal="right" vertical="top"/>
    </xf>
    <xf numFmtId="167" fontId="55" fillId="0" borderId="0" xfId="0" applyNumberFormat="1" applyFont="1" applyAlignment="1">
      <alignment vertical="top"/>
    </xf>
    <xf numFmtId="167" fontId="63" fillId="0" borderId="0" xfId="1" applyNumberFormat="1" applyFont="1" applyAlignment="1">
      <alignment vertical="top"/>
    </xf>
    <xf numFmtId="166" fontId="55" fillId="0" borderId="26" xfId="1" applyFont="1" applyBorder="1" applyAlignment="1">
      <alignment vertical="top"/>
    </xf>
    <xf numFmtId="0" fontId="51" fillId="0" borderId="0" xfId="0" applyFont="1" applyAlignment="1">
      <alignment vertical="top" wrapText="1"/>
    </xf>
    <xf numFmtId="167" fontId="50" fillId="0" borderId="26" xfId="4" applyNumberFormat="1" applyFont="1" applyBorder="1" applyAlignment="1">
      <alignment horizontal="right" vertical="top"/>
    </xf>
    <xf numFmtId="167" fontId="50" fillId="0" borderId="0" xfId="4" applyNumberFormat="1" applyFont="1" applyAlignment="1">
      <alignment horizontal="right" vertical="top"/>
    </xf>
    <xf numFmtId="166" fontId="50" fillId="0" borderId="0" xfId="1" applyFont="1" applyAlignment="1">
      <alignment horizontal="right" vertical="top"/>
    </xf>
    <xf numFmtId="0" fontId="58" fillId="0" borderId="19" xfId="0" applyFont="1" applyBorder="1" applyAlignment="1">
      <alignment vertical="top"/>
    </xf>
    <xf numFmtId="0" fontId="58" fillId="0" borderId="24" xfId="0" applyFont="1" applyBorder="1" applyAlignment="1">
      <alignment vertical="top"/>
    </xf>
    <xf numFmtId="0" fontId="58" fillId="0" borderId="26" xfId="0" applyFont="1" applyBorder="1" applyAlignment="1">
      <alignment vertical="top"/>
    </xf>
    <xf numFmtId="0" fontId="58" fillId="0" borderId="2" xfId="0" applyFont="1" applyBorder="1" applyAlignment="1">
      <alignment vertical="top"/>
    </xf>
    <xf numFmtId="0" fontId="58" fillId="0" borderId="4" xfId="0" applyFont="1" applyBorder="1" applyAlignment="1">
      <alignment vertical="top"/>
    </xf>
    <xf numFmtId="2" fontId="50" fillId="0" borderId="25" xfId="1" applyNumberFormat="1" applyFont="1" applyBorder="1" applyAlignment="1">
      <alignment horizontal="center" vertical="top" wrapText="1"/>
    </xf>
    <xf numFmtId="167" fontId="50" fillId="0" borderId="0" xfId="0" applyNumberFormat="1" applyFont="1" applyAlignment="1">
      <alignment vertical="top"/>
    </xf>
    <xf numFmtId="167" fontId="50" fillId="0" borderId="23" xfId="0" applyNumberFormat="1" applyFont="1" applyBorder="1" applyAlignment="1">
      <alignment horizontal="left" vertical="top"/>
    </xf>
    <xf numFmtId="167" fontId="55" fillId="0" borderId="19" xfId="0" applyNumberFormat="1" applyFont="1" applyBorder="1" applyAlignment="1">
      <alignment vertical="top"/>
    </xf>
    <xf numFmtId="167" fontId="58" fillId="0" borderId="27" xfId="0" applyNumberFormat="1" applyFont="1" applyBorder="1" applyAlignment="1">
      <alignment horizontal="center" vertical="top"/>
    </xf>
    <xf numFmtId="0" fontId="71" fillId="0" borderId="0" xfId="0" applyFont="1"/>
    <xf numFmtId="166" fontId="71" fillId="0" borderId="0" xfId="1" applyFont="1"/>
    <xf numFmtId="167" fontId="71" fillId="0" borderId="0" xfId="1" applyNumberFormat="1" applyFont="1"/>
    <xf numFmtId="0" fontId="72" fillId="0" borderId="0" xfId="0" applyFont="1" applyAlignment="1">
      <alignment horizontal="right" vertical="top"/>
    </xf>
    <xf numFmtId="166" fontId="72" fillId="0" borderId="0" xfId="1" applyFont="1" applyAlignment="1">
      <alignment horizontal="center" vertical="center" wrapText="1"/>
    </xf>
    <xf numFmtId="172" fontId="73" fillId="0" borderId="0" xfId="34797" applyNumberFormat="1" applyFont="1" applyAlignment="1">
      <alignment horizontal="center" wrapText="1"/>
    </xf>
    <xf numFmtId="167" fontId="71" fillId="0" borderId="0" xfId="0" applyNumberFormat="1" applyFont="1"/>
    <xf numFmtId="16" fontId="71" fillId="0" borderId="0" xfId="0" applyNumberFormat="1" applyFont="1"/>
    <xf numFmtId="2" fontId="71" fillId="0" borderId="0" xfId="1" applyNumberFormat="1" applyFont="1"/>
    <xf numFmtId="167" fontId="72" fillId="0" borderId="0" xfId="1" applyNumberFormat="1" applyFont="1"/>
    <xf numFmtId="167" fontId="72" fillId="0" borderId="0" xfId="0" applyNumberFormat="1" applyFont="1"/>
    <xf numFmtId="164" fontId="71" fillId="0" borderId="0" xfId="0" applyNumberFormat="1" applyFont="1"/>
    <xf numFmtId="0" fontId="71" fillId="0" borderId="0" xfId="16" applyFont="1" applyAlignment="1">
      <alignment horizontal="justify" vertical="justify"/>
    </xf>
    <xf numFmtId="0" fontId="71" fillId="0" borderId="0" xfId="16" applyFont="1" applyAlignment="1">
      <alignment horizontal="justify" vertical="justify" wrapText="1"/>
    </xf>
    <xf numFmtId="0" fontId="71" fillId="0" borderId="0" xfId="16" applyFont="1" applyAlignment="1">
      <alignment horizontal="left" vertical="justify" wrapText="1"/>
    </xf>
    <xf numFmtId="0" fontId="72" fillId="0" borderId="0" xfId="0" applyFont="1"/>
    <xf numFmtId="0" fontId="71" fillId="0" borderId="0" xfId="1" applyNumberFormat="1" applyFont="1"/>
    <xf numFmtId="3" fontId="72" fillId="0" borderId="0" xfId="0" applyNumberFormat="1" applyFont="1"/>
    <xf numFmtId="0" fontId="55" fillId="0" borderId="0" xfId="0" applyFont="1" applyAlignment="1">
      <alignment horizontal="center"/>
    </xf>
    <xf numFmtId="0" fontId="58" fillId="0" borderId="0" xfId="0" applyFont="1" applyAlignment="1">
      <alignment horizontal="center"/>
    </xf>
    <xf numFmtId="0" fontId="55" fillId="40" borderId="18" xfId="0" applyFont="1" applyFill="1" applyBorder="1"/>
    <xf numFmtId="0" fontId="55" fillId="0" borderId="18" xfId="0" applyFont="1" applyBorder="1"/>
    <xf numFmtId="166" fontId="55" fillId="0" borderId="0" xfId="1" applyFont="1" applyAlignment="1">
      <alignment horizontal="center" wrapText="1"/>
    </xf>
    <xf numFmtId="166" fontId="55" fillId="0" borderId="0" xfId="1" applyFont="1" applyAlignment="1">
      <alignment wrapText="1"/>
    </xf>
    <xf numFmtId="0" fontId="55" fillId="0" borderId="0" xfId="0" applyFont="1" applyAlignment="1">
      <alignment horizontal="left" vertical="top"/>
    </xf>
    <xf numFmtId="0" fontId="62" fillId="0" borderId="0" xfId="21" applyFont="1" applyAlignment="1">
      <alignment vertical="top"/>
    </xf>
    <xf numFmtId="0" fontId="62" fillId="0" borderId="0" xfId="0" applyFont="1" applyAlignment="1">
      <alignment horizontal="left" vertical="top"/>
    </xf>
    <xf numFmtId="0" fontId="61" fillId="0" borderId="0" xfId="0" applyFont="1" applyAlignment="1">
      <alignment horizontal="center" vertical="top"/>
    </xf>
    <xf numFmtId="0" fontId="61" fillId="0" borderId="0" xfId="0" applyFont="1" applyAlignment="1">
      <alignment horizontal="left" vertical="top"/>
    </xf>
    <xf numFmtId="0" fontId="62" fillId="0" borderId="0" xfId="0" applyFont="1" applyAlignment="1">
      <alignment horizontal="left" vertical="top" wrapText="1"/>
    </xf>
    <xf numFmtId="0" fontId="62" fillId="0" borderId="2" xfId="0" applyFont="1" applyBorder="1" applyAlignment="1">
      <alignment horizontal="left" vertical="top"/>
    </xf>
    <xf numFmtId="166" fontId="62" fillId="0" borderId="25" xfId="1" quotePrefix="1" applyFont="1" applyBorder="1" applyAlignment="1">
      <alignment horizontal="center" vertical="top" wrapText="1"/>
    </xf>
    <xf numFmtId="166" fontId="62" fillId="0" borderId="26" xfId="1" quotePrefix="1" applyFont="1" applyBorder="1" applyAlignment="1">
      <alignment horizontal="center" vertical="top" wrapText="1"/>
    </xf>
    <xf numFmtId="166" fontId="62" fillId="0" borderId="25" xfId="1" applyFont="1" applyBorder="1" applyAlignment="1">
      <alignment horizontal="center" vertical="top" wrapText="1"/>
    </xf>
    <xf numFmtId="166" fontId="62" fillId="0" borderId="26" xfId="1" applyFont="1" applyBorder="1" applyAlignment="1">
      <alignment horizontal="center" vertical="top" wrapText="1"/>
    </xf>
    <xf numFmtId="166" fontId="61" fillId="0" borderId="0" xfId="1" applyFont="1" applyAlignment="1">
      <alignment vertical="top"/>
    </xf>
    <xf numFmtId="169" fontId="61" fillId="0" borderId="0" xfId="18367" applyNumberFormat="1" applyFont="1" applyAlignment="1">
      <alignment vertical="top"/>
    </xf>
    <xf numFmtId="0" fontId="61" fillId="0" borderId="28" xfId="0" applyFont="1" applyBorder="1" applyAlignment="1">
      <alignment vertical="top"/>
    </xf>
    <xf numFmtId="0" fontId="75" fillId="0" borderId="0" xfId="0" applyFont="1" applyAlignment="1">
      <alignment vertical="top"/>
    </xf>
    <xf numFmtId="164" fontId="75" fillId="0" borderId="0" xfId="18367" applyNumberFormat="1" applyFont="1" applyAlignment="1">
      <alignment vertical="top"/>
    </xf>
    <xf numFmtId="174" fontId="59" fillId="41" borderId="0" xfId="0" applyNumberFormat="1" applyFont="1" applyFill="1" applyAlignment="1">
      <alignment vertical="top"/>
    </xf>
    <xf numFmtId="174" fontId="74" fillId="41" borderId="0" xfId="0" applyNumberFormat="1" applyFont="1" applyFill="1" applyAlignment="1">
      <alignment vertical="top"/>
    </xf>
    <xf numFmtId="174" fontId="74" fillId="41" borderId="2" xfId="0" applyNumberFormat="1" applyFont="1" applyFill="1" applyBorder="1" applyAlignment="1">
      <alignment vertical="top"/>
    </xf>
    <xf numFmtId="174" fontId="74" fillId="41" borderId="26" xfId="0" applyNumberFormat="1" applyFont="1" applyFill="1" applyBorder="1" applyAlignment="1">
      <alignment vertical="top"/>
    </xf>
    <xf numFmtId="2" fontId="74" fillId="41" borderId="26" xfId="4" applyNumberFormat="1" applyFont="1" applyFill="1" applyBorder="1" applyAlignment="1">
      <alignment vertical="top"/>
    </xf>
    <xf numFmtId="166" fontId="74" fillId="41" borderId="26" xfId="1" applyFont="1" applyFill="1" applyBorder="1" applyAlignment="1">
      <alignment vertical="top"/>
    </xf>
    <xf numFmtId="174" fontId="74" fillId="41" borderId="2" xfId="0" applyNumberFormat="1" applyFont="1" applyFill="1" applyBorder="1" applyAlignment="1">
      <alignment horizontal="left" vertical="top"/>
    </xf>
    <xf numFmtId="166" fontId="74" fillId="0" borderId="26" xfId="1" applyFont="1" applyBorder="1" applyAlignment="1">
      <alignment horizontal="right" vertical="top"/>
    </xf>
    <xf numFmtId="174" fontId="59" fillId="41" borderId="26" xfId="0" applyNumberFormat="1" applyFont="1" applyFill="1" applyBorder="1" applyAlignment="1">
      <alignment horizontal="center" vertical="top"/>
    </xf>
    <xf numFmtId="174" fontId="74" fillId="41" borderId="26" xfId="0" applyNumberFormat="1" applyFont="1" applyFill="1" applyBorder="1" applyAlignment="1">
      <alignment horizontal="center" vertical="top"/>
    </xf>
    <xf numFmtId="174" fontId="74" fillId="41" borderId="4" xfId="0" applyNumberFormat="1" applyFont="1" applyFill="1" applyBorder="1" applyAlignment="1">
      <alignment vertical="top"/>
    </xf>
    <xf numFmtId="174" fontId="74" fillId="41" borderId="29" xfId="0" applyNumberFormat="1" applyFont="1" applyFill="1" applyBorder="1" applyAlignment="1">
      <alignment vertical="top"/>
    </xf>
    <xf numFmtId="166" fontId="75" fillId="0" borderId="0" xfId="34798" applyFont="1" applyAlignment="1">
      <alignment vertical="top"/>
    </xf>
    <xf numFmtId="164" fontId="76" fillId="0" borderId="0" xfId="18367" quotePrefix="1" applyNumberFormat="1" applyFont="1" applyAlignment="1">
      <alignment vertical="top"/>
    </xf>
    <xf numFmtId="166" fontId="76" fillId="0" borderId="0" xfId="34798" applyFont="1" applyAlignment="1">
      <alignment vertical="top"/>
    </xf>
    <xf numFmtId="164" fontId="76" fillId="0" borderId="0" xfId="18367" applyNumberFormat="1" applyFont="1" applyAlignment="1">
      <alignment vertical="top"/>
    </xf>
    <xf numFmtId="0" fontId="58" fillId="0" borderId="0" xfId="0" applyFont="1" applyAlignment="1">
      <alignment horizontal="left" wrapText="1"/>
    </xf>
    <xf numFmtId="0" fontId="55" fillId="0" borderId="30" xfId="0" applyFont="1" applyBorder="1"/>
    <xf numFmtId="0" fontId="82" fillId="47" borderId="50" xfId="0" applyFont="1" applyFill="1" applyBorder="1" applyAlignment="1">
      <alignment horizontal="left" vertical="top" wrapText="1"/>
    </xf>
    <xf numFmtId="0" fontId="80" fillId="47" borderId="50" xfId="0" applyFont="1" applyFill="1" applyBorder="1" applyAlignment="1">
      <alignment horizontal="left" vertical="top" wrapText="1"/>
    </xf>
    <xf numFmtId="0" fontId="83" fillId="48" borderId="50" xfId="0" applyFont="1" applyFill="1" applyBorder="1" applyAlignment="1">
      <alignment horizontal="left" vertical="top" wrapText="1"/>
    </xf>
    <xf numFmtId="0" fontId="82" fillId="47" borderId="50" xfId="0" applyFont="1" applyFill="1" applyBorder="1"/>
    <xf numFmtId="0" fontId="85" fillId="46" borderId="50" xfId="0" applyFont="1" applyFill="1" applyBorder="1" applyAlignment="1">
      <alignment horizontal="center" vertical="center" wrapText="1"/>
    </xf>
    <xf numFmtId="0" fontId="80" fillId="47" borderId="50" xfId="0" applyFont="1" applyFill="1" applyBorder="1" applyAlignment="1">
      <alignment horizontal="center" vertical="center"/>
    </xf>
    <xf numFmtId="0" fontId="80" fillId="47" borderId="50" xfId="0" applyFont="1" applyFill="1" applyBorder="1"/>
    <xf numFmtId="0" fontId="86" fillId="47" borderId="50" xfId="0" applyFont="1" applyFill="1" applyBorder="1" applyAlignment="1">
      <alignment horizontal="center" vertical="center"/>
    </xf>
    <xf numFmtId="0" fontId="89" fillId="0" borderId="0" xfId="0" applyFont="1" applyAlignment="1">
      <alignment vertical="top"/>
    </xf>
    <xf numFmtId="0" fontId="94" fillId="0" borderId="0" xfId="0" applyFont="1" applyAlignment="1">
      <alignment vertical="center"/>
    </xf>
    <xf numFmtId="166" fontId="94" fillId="0" borderId="0" xfId="0" applyNumberFormat="1" applyFont="1" applyAlignment="1">
      <alignment vertical="center"/>
    </xf>
    <xf numFmtId="167" fontId="94" fillId="0" borderId="0" xfId="0" applyNumberFormat="1" applyFont="1" applyAlignment="1">
      <alignment vertical="center"/>
    </xf>
    <xf numFmtId="9" fontId="94" fillId="0" borderId="0" xfId="2" applyFont="1" applyAlignment="1">
      <alignment vertical="center"/>
    </xf>
    <xf numFmtId="164" fontId="94" fillId="0" borderId="0" xfId="0" applyNumberFormat="1" applyFont="1" applyAlignment="1">
      <alignment vertical="center"/>
    </xf>
    <xf numFmtId="166" fontId="82" fillId="49" borderId="0" xfId="0" applyNumberFormat="1" applyFont="1" applyFill="1" applyAlignment="1">
      <alignment vertical="center"/>
    </xf>
    <xf numFmtId="167" fontId="94" fillId="0" borderId="0" xfId="1" applyNumberFormat="1" applyFont="1" applyAlignment="1">
      <alignment vertical="center"/>
    </xf>
    <xf numFmtId="169" fontId="94" fillId="0" borderId="0" xfId="0" applyNumberFormat="1" applyFont="1" applyAlignment="1">
      <alignment vertical="center"/>
    </xf>
    <xf numFmtId="167" fontId="82" fillId="49" borderId="0" xfId="0" applyNumberFormat="1" applyFont="1" applyFill="1" applyAlignment="1">
      <alignment vertical="center"/>
    </xf>
    <xf numFmtId="16" fontId="97" fillId="0" borderId="0" xfId="0" quotePrefix="1" applyNumberFormat="1" applyFont="1" applyAlignment="1">
      <alignment vertical="center"/>
    </xf>
    <xf numFmtId="0" fontId="97" fillId="0" borderId="0" xfId="0" applyFont="1" applyAlignment="1">
      <alignment vertical="center"/>
    </xf>
    <xf numFmtId="2" fontId="97" fillId="0" borderId="0" xfId="1" applyNumberFormat="1" applyFont="1" applyAlignment="1">
      <alignment vertical="center"/>
    </xf>
    <xf numFmtId="0" fontId="89" fillId="0" borderId="0" xfId="6" applyFont="1" applyAlignment="1">
      <alignment vertical="center"/>
    </xf>
    <xf numFmtId="0" fontId="95" fillId="0" borderId="0" xfId="0" applyFont="1" applyAlignment="1">
      <alignment horizontal="left" vertical="center"/>
    </xf>
    <xf numFmtId="0" fontId="89" fillId="0" borderId="0" xfId="0" applyFont="1" applyAlignment="1">
      <alignment horizontal="center" vertical="top"/>
    </xf>
    <xf numFmtId="0" fontId="95" fillId="0" borderId="0" xfId="0" applyFont="1" applyAlignment="1">
      <alignment vertical="top"/>
    </xf>
    <xf numFmtId="0" fontId="89" fillId="0" borderId="0" xfId="0" applyFont="1" applyAlignment="1">
      <alignment horizontal="center" vertical="center"/>
    </xf>
    <xf numFmtId="0" fontId="89" fillId="0" borderId="0" xfId="4" applyNumberFormat="1" applyFont="1" applyAlignment="1">
      <alignment vertical="center"/>
    </xf>
    <xf numFmtId="0" fontId="88" fillId="0" borderId="0" xfId="0" applyFont="1" applyAlignment="1">
      <alignment horizontal="right" vertical="center"/>
    </xf>
    <xf numFmtId="0" fontId="93" fillId="0" borderId="2" xfId="4" applyNumberFormat="1" applyFont="1" applyBorder="1" applyAlignment="1">
      <alignment horizontal="left" vertical="center"/>
    </xf>
    <xf numFmtId="166" fontId="95" fillId="0" borderId="33" xfId="1" applyFont="1" applyBorder="1" applyAlignment="1">
      <alignment vertical="center"/>
    </xf>
    <xf numFmtId="166" fontId="95" fillId="0" borderId="36" xfId="1" applyFont="1" applyBorder="1" applyAlignment="1">
      <alignment vertical="center"/>
    </xf>
    <xf numFmtId="166" fontId="94" fillId="0" borderId="2" xfId="1" applyFont="1" applyBorder="1" applyAlignment="1">
      <alignment vertical="center"/>
    </xf>
    <xf numFmtId="166" fontId="94" fillId="0" borderId="25" xfId="1" applyFont="1" applyBorder="1" applyAlignment="1">
      <alignment vertical="center"/>
    </xf>
    <xf numFmtId="166" fontId="95" fillId="0" borderId="35" xfId="1" applyFont="1" applyBorder="1" applyAlignment="1">
      <alignment vertical="center"/>
    </xf>
    <xf numFmtId="166" fontId="95" fillId="0" borderId="34" xfId="1" applyFont="1" applyBorder="1" applyAlignment="1">
      <alignment vertical="center"/>
    </xf>
    <xf numFmtId="0" fontId="93" fillId="0" borderId="23" xfId="4" applyNumberFormat="1" applyFont="1" applyBorder="1" applyAlignment="1">
      <alignment horizontal="left" vertical="top"/>
    </xf>
    <xf numFmtId="167" fontId="89" fillId="0" borderId="1" xfId="4" applyNumberFormat="1" applyFont="1" applyBorder="1" applyAlignment="1">
      <alignment horizontal="center" vertical="top"/>
    </xf>
    <xf numFmtId="167" fontId="94" fillId="0" borderId="27" xfId="1" applyNumberFormat="1" applyFont="1" applyBorder="1" applyAlignment="1">
      <alignment vertical="top"/>
    </xf>
    <xf numFmtId="166" fontId="94" fillId="0" borderId="27" xfId="1" applyFont="1" applyBorder="1" applyAlignment="1">
      <alignment vertical="top"/>
    </xf>
    <xf numFmtId="0" fontId="91" fillId="0" borderId="2" xfId="7" applyNumberFormat="1" applyFont="1" applyBorder="1" applyAlignment="1">
      <alignment horizontal="left" vertical="top"/>
    </xf>
    <xf numFmtId="167" fontId="94" fillId="0" borderId="0" xfId="1" applyNumberFormat="1" applyFont="1" applyAlignment="1">
      <alignment vertical="top"/>
    </xf>
    <xf numFmtId="166" fontId="94" fillId="0" borderId="25" xfId="1" applyFont="1" applyBorder="1" applyAlignment="1">
      <alignment vertical="top"/>
    </xf>
    <xf numFmtId="166" fontId="95" fillId="0" borderId="34" xfId="1" applyFont="1" applyBorder="1" applyAlignment="1">
      <alignment vertical="top"/>
    </xf>
    <xf numFmtId="0" fontId="91" fillId="0" borderId="2" xfId="0" applyFont="1" applyBorder="1" applyAlignment="1">
      <alignment vertical="top"/>
    </xf>
    <xf numFmtId="166" fontId="94" fillId="0" borderId="26" xfId="1" applyFont="1" applyBorder="1" applyAlignment="1">
      <alignment vertical="top"/>
    </xf>
    <xf numFmtId="166" fontId="94" fillId="0" borderId="0" xfId="1" applyFont="1" applyAlignment="1">
      <alignment vertical="top"/>
    </xf>
    <xf numFmtId="0" fontId="94" fillId="0" borderId="2" xfId="0" applyFont="1" applyBorder="1" applyAlignment="1">
      <alignment vertical="top"/>
    </xf>
    <xf numFmtId="0" fontId="89" fillId="0" borderId="0" xfId="21" applyFont="1" applyAlignment="1">
      <alignment vertical="center"/>
    </xf>
    <xf numFmtId="167" fontId="89" fillId="0" borderId="2" xfId="4" applyNumberFormat="1" applyFont="1" applyBorder="1" applyAlignment="1">
      <alignment horizontal="left" vertical="top" wrapText="1"/>
    </xf>
    <xf numFmtId="167" fontId="91" fillId="0" borderId="2" xfId="4" applyNumberFormat="1" applyFont="1" applyBorder="1" applyAlignment="1">
      <alignment horizontal="left" vertical="top"/>
    </xf>
    <xf numFmtId="166" fontId="91" fillId="0" borderId="25" xfId="1" applyFont="1" applyBorder="1" applyAlignment="1">
      <alignment vertical="top"/>
    </xf>
    <xf numFmtId="166" fontId="91" fillId="0" borderId="26" xfId="1" applyFont="1" applyBorder="1" applyAlignment="1">
      <alignment vertical="top"/>
    </xf>
    <xf numFmtId="166" fontId="92" fillId="0" borderId="25" xfId="1" applyFont="1" applyBorder="1" applyAlignment="1">
      <alignment vertical="top"/>
    </xf>
    <xf numFmtId="0" fontId="87" fillId="0" borderId="0" xfId="0" applyFont="1" applyAlignment="1">
      <alignment vertical="top"/>
    </xf>
    <xf numFmtId="0" fontId="91" fillId="0" borderId="0" xfId="21" applyFont="1" applyAlignment="1">
      <alignment horizontal="left" vertical="center"/>
    </xf>
    <xf numFmtId="0" fontId="88" fillId="0" borderId="0" xfId="0" applyFont="1" applyAlignment="1">
      <alignment horizontal="right" vertical="top"/>
    </xf>
    <xf numFmtId="166" fontId="94" fillId="0" borderId="2" xfId="1" applyFont="1" applyBorder="1" applyAlignment="1">
      <alignment vertical="top"/>
    </xf>
    <xf numFmtId="0" fontId="95" fillId="0" borderId="0" xfId="0" applyFont="1" applyAlignment="1">
      <alignment horizontal="center" vertical="top"/>
    </xf>
    <xf numFmtId="0" fontId="82" fillId="0" borderId="51" xfId="0" applyFont="1" applyBorder="1" applyAlignment="1">
      <alignment vertical="top"/>
    </xf>
    <xf numFmtId="0" fontId="94" fillId="0" borderId="23" xfId="0" applyFont="1" applyBorder="1" applyAlignment="1">
      <alignment vertical="top"/>
    </xf>
    <xf numFmtId="166" fontId="91" fillId="0" borderId="25" xfId="1" applyFont="1" applyBorder="1" applyAlignment="1">
      <alignment horizontal="right" vertical="top"/>
    </xf>
    <xf numFmtId="0" fontId="98" fillId="42" borderId="0" xfId="0" applyFont="1" applyFill="1" applyAlignment="1">
      <alignment vertical="top"/>
    </xf>
    <xf numFmtId="2" fontId="94" fillId="0" borderId="0" xfId="0" applyNumberFormat="1" applyFont="1" applyAlignment="1">
      <alignment vertical="center"/>
    </xf>
    <xf numFmtId="39" fontId="94" fillId="0" borderId="0" xfId="0" applyNumberFormat="1" applyFont="1" applyAlignment="1">
      <alignment vertical="center"/>
    </xf>
    <xf numFmtId="166" fontId="95" fillId="0" borderId="1" xfId="1" applyFont="1" applyBorder="1" applyAlignment="1">
      <alignment vertical="top"/>
    </xf>
    <xf numFmtId="0" fontId="91" fillId="0" borderId="23" xfId="0" applyFont="1" applyBorder="1" applyAlignment="1">
      <alignment vertical="top"/>
    </xf>
    <xf numFmtId="0" fontId="92" fillId="0" borderId="2" xfId="0" applyFont="1" applyBorder="1" applyAlignment="1">
      <alignment vertical="top"/>
    </xf>
    <xf numFmtId="166" fontId="94" fillId="0" borderId="24" xfId="1" applyFont="1" applyBorder="1" applyAlignment="1">
      <alignment vertical="top"/>
    </xf>
    <xf numFmtId="167" fontId="89" fillId="0" borderId="0" xfId="0" applyNumberFormat="1" applyFont="1" applyAlignment="1">
      <alignment horizontal="left" vertical="top"/>
    </xf>
    <xf numFmtId="0" fontId="95" fillId="0" borderId="0" xfId="0" applyFont="1" applyAlignment="1">
      <alignment horizontal="center" vertical="center"/>
    </xf>
    <xf numFmtId="0" fontId="95" fillId="0" borderId="0" xfId="0" applyFont="1" applyAlignment="1">
      <alignment horizontal="left" vertical="center" wrapText="1"/>
    </xf>
    <xf numFmtId="166" fontId="94" fillId="0" borderId="1" xfId="1" applyFont="1" applyBorder="1" applyAlignment="1">
      <alignment vertical="center" wrapText="1"/>
    </xf>
    <xf numFmtId="0" fontId="95" fillId="40" borderId="21" xfId="0" applyFont="1" applyFill="1" applyBorder="1" applyAlignment="1">
      <alignment vertical="center" wrapText="1"/>
    </xf>
    <xf numFmtId="0" fontId="94" fillId="0" borderId="21" xfId="0" applyFont="1" applyBorder="1" applyAlignment="1">
      <alignment vertical="center" wrapText="1"/>
    </xf>
    <xf numFmtId="166" fontId="94" fillId="0" borderId="0" xfId="1" applyFont="1" applyAlignment="1">
      <alignment horizontal="center" vertical="center" wrapText="1"/>
    </xf>
    <xf numFmtId="0" fontId="87" fillId="0" borderId="0" xfId="21" applyFont="1" applyAlignment="1">
      <alignment vertical="top"/>
    </xf>
    <xf numFmtId="0" fontId="87" fillId="0" borderId="2" xfId="0" applyFont="1" applyBorder="1" applyAlignment="1">
      <alignment horizontal="left" vertical="top" wrapText="1"/>
    </xf>
    <xf numFmtId="167" fontId="102" fillId="0" borderId="25" xfId="4" applyNumberFormat="1" applyFont="1" applyBorder="1" applyAlignment="1">
      <alignment horizontal="left" vertical="top"/>
    </xf>
    <xf numFmtId="166" fontId="102" fillId="0" borderId="25" xfId="1" applyFont="1" applyBorder="1" applyAlignment="1">
      <alignment vertical="top"/>
    </xf>
    <xf numFmtId="9" fontId="102" fillId="0" borderId="25" xfId="4" applyNumberFormat="1" applyFont="1" applyBorder="1" applyAlignment="1">
      <alignment horizontal="right" vertical="top"/>
    </xf>
    <xf numFmtId="166" fontId="106" fillId="41" borderId="26" xfId="1" applyFont="1" applyFill="1" applyBorder="1" applyAlignment="1">
      <alignment horizontal="right" vertical="top"/>
    </xf>
    <xf numFmtId="166" fontId="106" fillId="41" borderId="27" xfId="1" applyFont="1" applyFill="1" applyBorder="1" applyAlignment="1">
      <alignment horizontal="right" vertical="top"/>
    </xf>
    <xf numFmtId="166" fontId="106" fillId="0" borderId="26" xfId="1" applyFont="1" applyBorder="1" applyAlignment="1">
      <alignment horizontal="right" vertical="top"/>
    </xf>
    <xf numFmtId="174" fontId="100" fillId="41" borderId="2" xfId="0" applyNumberFormat="1" applyFont="1" applyFill="1" applyBorder="1" applyAlignment="1">
      <alignment horizontal="left" vertical="top"/>
    </xf>
    <xf numFmtId="166" fontId="100" fillId="0" borderId="26" xfId="1" applyFont="1" applyBorder="1" applyAlignment="1">
      <alignment horizontal="right" vertical="top"/>
    </xf>
    <xf numFmtId="174" fontId="106" fillId="41" borderId="2" xfId="0" applyNumberFormat="1" applyFont="1" applyFill="1" applyBorder="1" applyAlignment="1">
      <alignment horizontal="left" vertical="top"/>
    </xf>
    <xf numFmtId="166" fontId="100" fillId="0" borderId="29" xfId="1" applyFont="1" applyBorder="1" applyAlignment="1">
      <alignment horizontal="right" vertical="top"/>
    </xf>
    <xf numFmtId="0" fontId="82" fillId="47" borderId="50" xfId="0" applyFont="1" applyFill="1" applyBorder="1" applyAlignment="1">
      <alignment horizontal="center" vertical="center"/>
    </xf>
    <xf numFmtId="0" fontId="83" fillId="48" borderId="50" xfId="0" applyFont="1" applyFill="1" applyBorder="1" applyAlignment="1">
      <alignment horizontal="center" vertical="center"/>
    </xf>
    <xf numFmtId="0" fontId="86" fillId="48" borderId="50" xfId="0" applyFont="1" applyFill="1" applyBorder="1" applyAlignment="1">
      <alignment horizontal="center" vertical="center"/>
    </xf>
    <xf numFmtId="0" fontId="82" fillId="47" borderId="51" xfId="0" applyFont="1" applyFill="1" applyBorder="1" applyAlignment="1">
      <alignment horizontal="right" vertical="center"/>
    </xf>
    <xf numFmtId="0" fontId="82" fillId="0" borderId="51" xfId="0" applyFont="1" applyBorder="1"/>
    <xf numFmtId="0" fontId="82" fillId="45" borderId="51" xfId="0" applyFont="1" applyFill="1" applyBorder="1" applyAlignment="1">
      <alignment horizontal="right" vertical="center"/>
    </xf>
    <xf numFmtId="0" fontId="86" fillId="47" borderId="50" xfId="0" applyFont="1" applyFill="1" applyBorder="1" applyAlignment="1">
      <alignment horizontal="left" vertical="top" wrapText="1"/>
    </xf>
    <xf numFmtId="0" fontId="0" fillId="0" borderId="47" xfId="0" applyBorder="1"/>
    <xf numFmtId="0" fontId="0" fillId="0" borderId="45" xfId="0" applyBorder="1"/>
    <xf numFmtId="0" fontId="0" fillId="0" borderId="4" xfId="0" applyBorder="1"/>
    <xf numFmtId="0" fontId="0" fillId="0" borderId="49" xfId="0" applyBorder="1"/>
    <xf numFmtId="0" fontId="51" fillId="0" borderId="0" xfId="6" applyFont="1" applyAlignment="1">
      <alignment horizontal="center" vertical="top"/>
    </xf>
    <xf numFmtId="0" fontId="91" fillId="0" borderId="0" xfId="6" applyFont="1" applyAlignment="1">
      <alignment horizontal="center" vertical="top"/>
    </xf>
    <xf numFmtId="166" fontId="51" fillId="0" borderId="0" xfId="1" applyFont="1" applyAlignment="1">
      <alignment horizontal="center" vertical="top"/>
    </xf>
    <xf numFmtId="0" fontId="91" fillId="0" borderId="0" xfId="0" applyFont="1" applyAlignment="1">
      <alignment vertical="top"/>
    </xf>
    <xf numFmtId="167" fontId="50" fillId="0" borderId="0" xfId="1" applyNumberFormat="1" applyFont="1" applyAlignment="1">
      <alignment horizontal="left" vertical="top"/>
    </xf>
    <xf numFmtId="166" fontId="50" fillId="0" borderId="0" xfId="1" applyFont="1" applyAlignment="1">
      <alignment horizontal="left" vertical="top"/>
    </xf>
    <xf numFmtId="0" fontId="91" fillId="0" borderId="0" xfId="6" applyFont="1" applyAlignment="1">
      <alignment vertical="top"/>
    </xf>
    <xf numFmtId="0" fontId="89" fillId="0" borderId="0" xfId="6" applyFont="1" applyAlignment="1">
      <alignment vertical="top"/>
    </xf>
    <xf numFmtId="3" fontId="92" fillId="0" borderId="0" xfId="0" applyNumberFormat="1" applyFont="1" applyAlignment="1">
      <alignment vertical="top"/>
    </xf>
    <xf numFmtId="3" fontId="56" fillId="0" borderId="0" xfId="0" applyNumberFormat="1" applyFont="1" applyAlignment="1">
      <alignment vertical="top"/>
    </xf>
    <xf numFmtId="3" fontId="93" fillId="0" borderId="0" xfId="0" applyNumberFormat="1" applyFont="1" applyAlignment="1">
      <alignment vertical="top"/>
    </xf>
    <xf numFmtId="49" fontId="56" fillId="0" borderId="0" xfId="0" applyNumberFormat="1" applyFont="1" applyAlignment="1">
      <alignment vertical="top"/>
    </xf>
    <xf numFmtId="0" fontId="50" fillId="0" borderId="0" xfId="6" applyFont="1" applyAlignment="1">
      <alignment horizontal="center" vertical="top"/>
    </xf>
    <xf numFmtId="0" fontId="50" fillId="0" borderId="0" xfId="6" applyFont="1" applyAlignment="1">
      <alignment vertical="top"/>
    </xf>
    <xf numFmtId="167" fontId="50" fillId="0" borderId="0" xfId="1" applyNumberFormat="1" applyFont="1" applyAlignment="1">
      <alignment vertical="top"/>
    </xf>
    <xf numFmtId="166" fontId="50" fillId="0" borderId="0" xfId="1" applyFont="1" applyAlignment="1">
      <alignment vertical="top"/>
    </xf>
    <xf numFmtId="166" fontId="56" fillId="0" borderId="0" xfId="1" applyFont="1" applyAlignment="1">
      <alignment horizontal="left" vertical="top"/>
    </xf>
    <xf numFmtId="0" fontId="56" fillId="0" borderId="0" xfId="6" applyFont="1" applyAlignment="1">
      <alignment horizontal="center" vertical="top"/>
    </xf>
    <xf numFmtId="166" fontId="53" fillId="0" borderId="32" xfId="1" applyFont="1" applyBorder="1" applyAlignment="1">
      <alignment horizontal="right" vertical="top"/>
    </xf>
    <xf numFmtId="166" fontId="53" fillId="0" borderId="31" xfId="1" applyFont="1" applyBorder="1" applyAlignment="1">
      <alignment horizontal="right" vertical="top"/>
    </xf>
    <xf numFmtId="0" fontId="91" fillId="0" borderId="0" xfId="1" applyNumberFormat="1" applyFont="1" applyAlignment="1">
      <alignment vertical="top"/>
    </xf>
    <xf numFmtId="167" fontId="51" fillId="0" borderId="0" xfId="0" applyNumberFormat="1" applyFont="1" applyAlignment="1">
      <alignment vertical="top"/>
    </xf>
    <xf numFmtId="3" fontId="53" fillId="0" borderId="0" xfId="0" applyNumberFormat="1" applyFont="1"/>
    <xf numFmtId="49" fontId="56" fillId="0" borderId="0" xfId="0" applyNumberFormat="1" applyFont="1"/>
    <xf numFmtId="166" fontId="53" fillId="0" borderId="0" xfId="1" applyFont="1"/>
    <xf numFmtId="167" fontId="53" fillId="0" borderId="0" xfId="1" applyNumberFormat="1" applyFont="1"/>
    <xf numFmtId="0" fontId="56" fillId="0" borderId="30" xfId="6" applyFont="1" applyBorder="1" applyAlignment="1">
      <alignment horizontal="center" vertical="top"/>
    </xf>
    <xf numFmtId="0" fontId="96" fillId="0" borderId="0" xfId="0" applyFont="1" applyAlignment="1">
      <alignment horizontal="center" vertical="center"/>
    </xf>
    <xf numFmtId="0" fontId="51" fillId="0" borderId="0" xfId="34796" quotePrefix="1" applyFont="1" applyAlignment="1">
      <alignment horizontal="left"/>
    </xf>
    <xf numFmtId="167" fontId="51" fillId="0" borderId="0" xfId="0" applyNumberFormat="1" applyFont="1"/>
    <xf numFmtId="0" fontId="51" fillId="0" borderId="0" xfId="16" applyFont="1"/>
    <xf numFmtId="0" fontId="91" fillId="0" borderId="0" xfId="6" applyFont="1" applyAlignment="1">
      <alignment vertical="center"/>
    </xf>
    <xf numFmtId="0" fontId="89" fillId="0" borderId="0" xfId="0" applyFont="1" applyAlignment="1">
      <alignment vertical="center"/>
    </xf>
    <xf numFmtId="0" fontId="50" fillId="0" borderId="0" xfId="1" applyNumberFormat="1" applyFont="1"/>
    <xf numFmtId="0" fontId="51" fillId="0" borderId="0" xfId="1" applyNumberFormat="1" applyFont="1"/>
    <xf numFmtId="0" fontId="91" fillId="0" borderId="0" xfId="1" applyNumberFormat="1" applyFont="1" applyAlignment="1">
      <alignment vertical="center"/>
    </xf>
    <xf numFmtId="0" fontId="91" fillId="0" borderId="0" xfId="0" applyFont="1" applyAlignment="1">
      <alignment vertical="center"/>
    </xf>
    <xf numFmtId="3" fontId="51" fillId="0" borderId="0" xfId="0" applyNumberFormat="1" applyFont="1"/>
    <xf numFmtId="49" fontId="51" fillId="0" borderId="0" xfId="0" applyNumberFormat="1" applyFont="1"/>
    <xf numFmtId="0" fontId="108" fillId="0" borderId="0" xfId="0" applyFont="1" applyAlignment="1">
      <alignment horizontal="center" vertical="center"/>
    </xf>
    <xf numFmtId="0" fontId="91" fillId="0" borderId="0" xfId="16" applyFont="1" applyAlignment="1">
      <alignment vertical="center"/>
    </xf>
    <xf numFmtId="0" fontId="89" fillId="0" borderId="0" xfId="16" applyFont="1" applyAlignment="1">
      <alignment vertical="center"/>
    </xf>
    <xf numFmtId="0" fontId="51" fillId="0" borderId="0" xfId="6" applyFont="1" applyAlignment="1">
      <alignment vertical="center"/>
    </xf>
    <xf numFmtId="3" fontId="51" fillId="0" borderId="0" xfId="0" applyNumberFormat="1" applyFont="1" applyAlignment="1">
      <alignment vertical="center"/>
    </xf>
    <xf numFmtId="0" fontId="87" fillId="0" borderId="0" xfId="0" applyFont="1" applyAlignment="1">
      <alignment horizontal="right" vertical="top"/>
    </xf>
    <xf numFmtId="0" fontId="82" fillId="0" borderId="2" xfId="6" applyFont="1" applyBorder="1" applyAlignment="1">
      <alignment vertical="center"/>
    </xf>
    <xf numFmtId="0" fontId="51" fillId="0" borderId="26" xfId="6" applyFont="1" applyBorder="1" applyAlignment="1">
      <alignment horizontal="center" vertical="top"/>
    </xf>
    <xf numFmtId="0" fontId="54" fillId="0" borderId="2" xfId="6" applyFont="1" applyBorder="1" applyAlignment="1">
      <alignment vertical="top"/>
    </xf>
    <xf numFmtId="0" fontId="89" fillId="0" borderId="2" xfId="6" applyFont="1" applyBorder="1" applyAlignment="1">
      <alignment vertical="top"/>
    </xf>
    <xf numFmtId="0" fontId="91" fillId="0" borderId="2" xfId="6" applyFont="1" applyBorder="1" applyAlignment="1">
      <alignment vertical="top"/>
    </xf>
    <xf numFmtId="0" fontId="51" fillId="0" borderId="26" xfId="0" applyFont="1" applyBorder="1" applyAlignment="1">
      <alignment vertical="top"/>
    </xf>
    <xf numFmtId="0" fontId="51" fillId="0" borderId="2" xfId="6" applyFont="1" applyBorder="1" applyAlignment="1">
      <alignment horizontal="left" vertical="top"/>
    </xf>
    <xf numFmtId="0" fontId="82" fillId="0" borderId="2" xfId="6" applyFont="1" applyBorder="1" applyAlignment="1">
      <alignment vertical="top"/>
    </xf>
    <xf numFmtId="0" fontId="82" fillId="0" borderId="2" xfId="6" applyFont="1" applyBorder="1" applyAlignment="1">
      <alignment horizontal="left" vertical="top"/>
    </xf>
    <xf numFmtId="0" fontId="51" fillId="0" borderId="26" xfId="0" quotePrefix="1" applyFont="1" applyBorder="1" applyAlignment="1">
      <alignment horizontal="left" vertical="top" wrapText="1"/>
    </xf>
    <xf numFmtId="0" fontId="51" fillId="0" borderId="26" xfId="0" applyFont="1" applyBorder="1"/>
    <xf numFmtId="0" fontId="80" fillId="0" borderId="2" xfId="6" applyFont="1" applyBorder="1" applyAlignment="1">
      <alignment vertical="top"/>
    </xf>
    <xf numFmtId="0" fontId="51" fillId="0" borderId="48" xfId="0" applyFont="1" applyBorder="1" applyAlignment="1">
      <alignment vertical="top"/>
    </xf>
    <xf numFmtId="0" fontId="51" fillId="0" borderId="49" xfId="0" applyFont="1" applyBorder="1" applyAlignment="1">
      <alignment vertical="top"/>
    </xf>
    <xf numFmtId="0" fontId="50" fillId="0" borderId="2" xfId="6" applyFont="1" applyBorder="1" applyAlignment="1">
      <alignment horizontal="left" vertical="top"/>
    </xf>
    <xf numFmtId="49" fontId="80" fillId="0" borderId="2" xfId="0" applyNumberFormat="1" applyFont="1" applyBorder="1" applyAlignment="1">
      <alignment vertical="top"/>
    </xf>
    <xf numFmtId="49" fontId="51" fillId="0" borderId="2" xfId="0" applyNumberFormat="1" applyFont="1" applyBorder="1" applyAlignment="1">
      <alignment vertical="top"/>
    </xf>
    <xf numFmtId="0" fontId="51" fillId="0" borderId="2" xfId="0" applyFont="1" applyBorder="1" applyAlignment="1">
      <alignment horizontal="left" vertical="top"/>
    </xf>
    <xf numFmtId="0" fontId="51" fillId="0" borderId="53" xfId="6" applyFont="1" applyBorder="1" applyAlignment="1">
      <alignment horizontal="left" vertical="top"/>
    </xf>
    <xf numFmtId="49" fontId="91" fillId="0" borderId="2" xfId="0" applyNumberFormat="1" applyFont="1" applyBorder="1" applyAlignment="1">
      <alignment vertical="top"/>
    </xf>
    <xf numFmtId="0" fontId="51" fillId="0" borderId="48" xfId="0" applyFont="1" applyBorder="1" applyAlignment="1">
      <alignment horizontal="left" vertical="top"/>
    </xf>
    <xf numFmtId="167" fontId="51" fillId="0" borderId="0" xfId="1" applyNumberFormat="1" applyFont="1" applyAlignment="1">
      <alignment horizontal="center"/>
    </xf>
    <xf numFmtId="167" fontId="51" fillId="0" borderId="0" xfId="1" applyNumberFormat="1" applyFont="1" applyAlignment="1">
      <alignment horizontal="center" vertical="top"/>
    </xf>
    <xf numFmtId="0" fontId="80" fillId="0" borderId="0" xfId="6" applyFont="1" applyAlignment="1">
      <alignment horizontal="center" vertical="top"/>
    </xf>
    <xf numFmtId="167" fontId="51" fillId="0" borderId="25" xfId="1" applyNumberFormat="1" applyFont="1" applyBorder="1" applyAlignment="1">
      <alignment horizontal="right"/>
    </xf>
    <xf numFmtId="167" fontId="51" fillId="0" borderId="25" xfId="1" applyNumberFormat="1" applyFont="1" applyBorder="1" applyAlignment="1">
      <alignment horizontal="right" vertical="top"/>
    </xf>
    <xf numFmtId="166" fontId="51" fillId="0" borderId="25" xfId="1" applyFont="1" applyBorder="1" applyAlignment="1">
      <alignment horizontal="right" vertical="top"/>
    </xf>
    <xf numFmtId="166" fontId="50" fillId="0" borderId="25" xfId="1" applyFont="1" applyBorder="1" applyAlignment="1">
      <alignment horizontal="right" vertical="top"/>
    </xf>
    <xf numFmtId="166" fontId="80" fillId="0" borderId="25" xfId="1" applyFont="1" applyBorder="1" applyAlignment="1">
      <alignment horizontal="right" vertical="top"/>
    </xf>
    <xf numFmtId="2" fontId="51" fillId="0" borderId="25" xfId="1" applyNumberFormat="1" applyFont="1" applyBorder="1" applyAlignment="1">
      <alignment horizontal="right"/>
    </xf>
    <xf numFmtId="2" fontId="51" fillId="0" borderId="25" xfId="1" applyNumberFormat="1" applyFont="1" applyBorder="1" applyAlignment="1">
      <alignment horizontal="right" vertical="top"/>
    </xf>
    <xf numFmtId="0" fontId="49" fillId="0" borderId="0" xfId="0" applyFont="1" applyAlignment="1">
      <alignment vertical="top" wrapText="1"/>
    </xf>
    <xf numFmtId="0" fontId="49" fillId="0" borderId="31" xfId="0" applyFont="1" applyBorder="1" applyAlignment="1">
      <alignment vertical="top" wrapText="1"/>
    </xf>
    <xf numFmtId="0" fontId="91" fillId="0" borderId="45" xfId="19" applyNumberFormat="1" applyFont="1" applyBorder="1" applyAlignment="1">
      <alignment horizontal="left" vertical="top"/>
    </xf>
    <xf numFmtId="0" fontId="55" fillId="0" borderId="45" xfId="0" applyFont="1" applyBorder="1" applyAlignment="1">
      <alignment vertical="top"/>
    </xf>
    <xf numFmtId="0" fontId="55" fillId="0" borderId="47" xfId="0" applyFont="1" applyBorder="1" applyAlignment="1">
      <alignment vertical="top"/>
    </xf>
    <xf numFmtId="0" fontId="82" fillId="0" borderId="2" xfId="6" applyFont="1" applyBorder="1" applyAlignment="1">
      <alignment horizontal="center" vertical="top"/>
    </xf>
    <xf numFmtId="0" fontId="82" fillId="0" borderId="0" xfId="6" applyFont="1" applyAlignment="1">
      <alignment vertical="top"/>
    </xf>
    <xf numFmtId="0" fontId="56" fillId="0" borderId="2" xfId="6" applyFont="1" applyBorder="1" applyAlignment="1">
      <alignment horizontal="center" vertical="top"/>
    </xf>
    <xf numFmtId="0" fontId="56" fillId="0" borderId="0" xfId="6" applyFont="1" applyAlignment="1">
      <alignment vertical="top"/>
    </xf>
    <xf numFmtId="0" fontId="91" fillId="0" borderId="0" xfId="19" applyNumberFormat="1" applyFont="1" applyAlignment="1">
      <alignment vertical="top"/>
    </xf>
    <xf numFmtId="0" fontId="51" fillId="0" borderId="2" xfId="6" applyFont="1" applyBorder="1" applyAlignment="1">
      <alignment horizontal="center" vertical="top"/>
    </xf>
    <xf numFmtId="0" fontId="91" fillId="0" borderId="0" xfId="4" applyNumberFormat="1" applyFont="1" applyAlignment="1">
      <alignment horizontal="left" vertical="top"/>
    </xf>
    <xf numFmtId="0" fontId="91" fillId="0" borderId="0" xfId="19" applyNumberFormat="1" applyFont="1" applyAlignment="1">
      <alignment horizontal="left" vertical="top"/>
    </xf>
    <xf numFmtId="0" fontId="80" fillId="0" borderId="0" xfId="4" applyNumberFormat="1" applyFont="1" applyAlignment="1">
      <alignment vertical="top"/>
    </xf>
    <xf numFmtId="0" fontId="80" fillId="0" borderId="0" xfId="4" applyNumberFormat="1" applyFont="1" applyAlignment="1">
      <alignment horizontal="left" vertical="top"/>
    </xf>
    <xf numFmtId="0" fontId="93" fillId="0" borderId="0" xfId="6" applyFont="1" applyAlignment="1">
      <alignment vertical="top"/>
    </xf>
    <xf numFmtId="0" fontId="92" fillId="0" borderId="0" xfId="6" applyFont="1" applyAlignment="1">
      <alignment vertical="top"/>
    </xf>
    <xf numFmtId="0" fontId="80" fillId="0" borderId="0" xfId="6" applyFont="1" applyAlignment="1">
      <alignment vertical="top"/>
    </xf>
    <xf numFmtId="0" fontId="53" fillId="0" borderId="0" xfId="6" applyFont="1" applyAlignment="1">
      <alignment vertical="top"/>
    </xf>
    <xf numFmtId="0" fontId="51" fillId="0" borderId="2" xfId="6" applyFont="1" applyBorder="1" applyAlignment="1">
      <alignment horizontal="center" vertical="top" wrapText="1"/>
    </xf>
    <xf numFmtId="0" fontId="64" fillId="0" borderId="48" xfId="6" applyFont="1" applyBorder="1" applyAlignment="1">
      <alignment horizontal="center" vertical="top"/>
    </xf>
    <xf numFmtId="0" fontId="64" fillId="0" borderId="4" xfId="6" applyFont="1" applyBorder="1" applyAlignment="1">
      <alignment vertical="top"/>
    </xf>
    <xf numFmtId="0" fontId="64" fillId="0" borderId="4" xfId="0" applyFont="1" applyBorder="1" applyAlignment="1">
      <alignment vertical="top"/>
    </xf>
    <xf numFmtId="0" fontId="64" fillId="0" borderId="49" xfId="6" applyFont="1" applyBorder="1" applyAlignment="1">
      <alignment horizontal="center" vertical="top"/>
    </xf>
    <xf numFmtId="166" fontId="92" fillId="0" borderId="27" xfId="1" applyFont="1" applyBorder="1" applyAlignment="1">
      <alignment horizontal="right" vertical="top"/>
    </xf>
    <xf numFmtId="166" fontId="56" fillId="0" borderId="25" xfId="1" applyFont="1" applyBorder="1" applyAlignment="1">
      <alignment horizontal="right" vertical="top"/>
    </xf>
    <xf numFmtId="166" fontId="91" fillId="0" borderId="25" xfId="1" applyFont="1" applyBorder="1" applyAlignment="1">
      <alignment horizontal="right" vertical="center"/>
    </xf>
    <xf numFmtId="166" fontId="93" fillId="0" borderId="25" xfId="1" applyFont="1" applyBorder="1" applyAlignment="1">
      <alignment horizontal="right" vertical="top"/>
    </xf>
    <xf numFmtId="166" fontId="92" fillId="0" borderId="25" xfId="1" applyFont="1" applyBorder="1" applyAlignment="1">
      <alignment horizontal="right" vertical="top"/>
    </xf>
    <xf numFmtId="166" fontId="64" fillId="0" borderId="28" xfId="1" applyFont="1" applyBorder="1" applyAlignment="1">
      <alignment horizontal="right" vertical="top"/>
    </xf>
    <xf numFmtId="0" fontId="92" fillId="0" borderId="27" xfId="6" applyFont="1" applyBorder="1" applyAlignment="1">
      <alignment horizontal="center" vertical="top"/>
    </xf>
    <xf numFmtId="0" fontId="80" fillId="0" borderId="25" xfId="6" applyFont="1" applyBorder="1" applyAlignment="1">
      <alignment horizontal="center" vertical="top"/>
    </xf>
    <xf numFmtId="0" fontId="56" fillId="0" borderId="25" xfId="6" applyFont="1" applyBorder="1" applyAlignment="1">
      <alignment horizontal="center" vertical="top"/>
    </xf>
    <xf numFmtId="0" fontId="91" fillId="0" borderId="25" xfId="6" applyFont="1" applyBorder="1" applyAlignment="1">
      <alignment horizontal="center" vertical="top"/>
    </xf>
    <xf numFmtId="0" fontId="91" fillId="0" borderId="25" xfId="6" applyFont="1" applyBorder="1" applyAlignment="1">
      <alignment horizontal="center" vertical="center"/>
    </xf>
    <xf numFmtId="0" fontId="51" fillId="0" borderId="25" xfId="6" applyFont="1" applyBorder="1" applyAlignment="1">
      <alignment horizontal="center" vertical="top"/>
    </xf>
    <xf numFmtId="0" fontId="51" fillId="0" borderId="25" xfId="6" applyFont="1" applyBorder="1" applyAlignment="1">
      <alignment vertical="top" wrapText="1"/>
    </xf>
    <xf numFmtId="0" fontId="64" fillId="0" borderId="28" xfId="6" applyFont="1" applyBorder="1" applyAlignment="1">
      <alignment horizontal="center" vertical="top"/>
    </xf>
    <xf numFmtId="0" fontId="50" fillId="0" borderId="23" xfId="16" applyFont="1" applyBorder="1"/>
    <xf numFmtId="0" fontId="50" fillId="0" borderId="45" xfId="16" applyFont="1" applyBorder="1"/>
    <xf numFmtId="0" fontId="51" fillId="0" borderId="45" xfId="0" applyFont="1" applyBorder="1"/>
    <xf numFmtId="0" fontId="51" fillId="0" borderId="47" xfId="0" applyFont="1" applyBorder="1"/>
    <xf numFmtId="0" fontId="82" fillId="0" borderId="2" xfId="16" applyFont="1" applyBorder="1" applyAlignment="1">
      <alignment vertical="center"/>
    </xf>
    <xf numFmtId="0" fontId="82" fillId="0" borderId="0" xfId="16" applyFont="1" applyAlignment="1">
      <alignment vertical="center"/>
    </xf>
    <xf numFmtId="0" fontId="51" fillId="0" borderId="2" xfId="0" applyFont="1" applyBorder="1"/>
    <xf numFmtId="0" fontId="110" fillId="0" borderId="0" xfId="0" applyFont="1" applyAlignment="1">
      <alignment vertical="center"/>
    </xf>
    <xf numFmtId="0" fontId="51" fillId="0" borderId="0" xfId="0" applyFont="1" applyAlignment="1">
      <alignment vertical="center"/>
    </xf>
    <xf numFmtId="0" fontId="50" fillId="0" borderId="0" xfId="16" applyFont="1" applyAlignment="1">
      <alignment vertical="center"/>
    </xf>
    <xf numFmtId="0" fontId="80" fillId="0" borderId="0" xfId="16" applyFont="1" applyAlignment="1">
      <alignment vertical="center"/>
    </xf>
    <xf numFmtId="0" fontId="80" fillId="0" borderId="0" xfId="0" applyFont="1" applyAlignment="1">
      <alignment vertical="center"/>
    </xf>
    <xf numFmtId="0" fontId="51" fillId="0" borderId="48" xfId="0" applyFont="1" applyBorder="1"/>
    <xf numFmtId="0" fontId="51" fillId="0" borderId="4" xfId="16" applyFont="1" applyBorder="1"/>
    <xf numFmtId="0" fontId="51" fillId="0" borderId="4" xfId="0" applyFont="1" applyBorder="1"/>
    <xf numFmtId="0" fontId="51" fillId="0" borderId="49" xfId="0" applyFont="1" applyBorder="1"/>
    <xf numFmtId="166" fontId="49" fillId="0" borderId="27" xfId="1" applyFont="1" applyBorder="1" applyAlignment="1">
      <alignment horizontal="right" wrapText="1"/>
    </xf>
    <xf numFmtId="166" fontId="51" fillId="0" borderId="25" xfId="1" applyFont="1" applyBorder="1" applyAlignment="1">
      <alignment horizontal="right"/>
    </xf>
    <xf numFmtId="166" fontId="82" fillId="0" borderId="25" xfId="1" applyFont="1" applyBorder="1" applyAlignment="1">
      <alignment horizontal="right" vertical="center"/>
    </xf>
    <xf numFmtId="166" fontId="89" fillId="0" borderId="27" xfId="1" applyFont="1" applyBorder="1" applyAlignment="1">
      <alignment horizontal="right" vertical="center"/>
    </xf>
    <xf numFmtId="166" fontId="80" fillId="0" borderId="25" xfId="1" applyFont="1" applyBorder="1" applyAlignment="1">
      <alignment horizontal="right" vertical="center"/>
    </xf>
    <xf numFmtId="166" fontId="89" fillId="0" borderId="46" xfId="1" applyFont="1" applyBorder="1" applyAlignment="1">
      <alignment horizontal="right" vertical="center"/>
    </xf>
    <xf numFmtId="166" fontId="51" fillId="0" borderId="28" xfId="1" applyFont="1" applyBorder="1" applyAlignment="1">
      <alignment horizontal="right"/>
    </xf>
    <xf numFmtId="0" fontId="108" fillId="0" borderId="0" xfId="0" applyFont="1" applyAlignment="1">
      <alignment horizontal="center" vertical="center" wrapText="1"/>
    </xf>
    <xf numFmtId="0" fontId="109" fillId="0" borderId="0" xfId="21" applyFont="1" applyAlignment="1">
      <alignment horizontal="center" vertical="center"/>
    </xf>
    <xf numFmtId="49" fontId="109" fillId="0" borderId="0" xfId="21" applyNumberFormat="1" applyFont="1" applyAlignment="1">
      <alignment horizontal="left" vertical="center"/>
    </xf>
    <xf numFmtId="0" fontId="50" fillId="45" borderId="0" xfId="21" applyFont="1" applyFill="1" applyAlignment="1">
      <alignment horizontal="center" vertical="center" wrapText="1"/>
    </xf>
    <xf numFmtId="0" fontId="108" fillId="0" borderId="0" xfId="0" applyFont="1" applyAlignment="1">
      <alignment horizontal="right" vertical="center"/>
    </xf>
    <xf numFmtId="0" fontId="95" fillId="0" borderId="23" xfId="0" applyFont="1" applyBorder="1" applyAlignment="1">
      <alignment vertical="top"/>
    </xf>
    <xf numFmtId="166" fontId="89" fillId="0" borderId="19" xfId="1" quotePrefix="1" applyFont="1" applyBorder="1" applyAlignment="1">
      <alignment horizontal="center" vertical="center" wrapText="1"/>
    </xf>
    <xf numFmtId="166" fontId="89" fillId="0" borderId="27" xfId="1" quotePrefix="1" applyFont="1" applyBorder="1" applyAlignment="1">
      <alignment horizontal="center" vertical="center" wrapText="1"/>
    </xf>
    <xf numFmtId="0" fontId="50" fillId="0" borderId="20" xfId="4" applyNumberFormat="1" applyFont="1" applyBorder="1" applyAlignment="1">
      <alignment vertical="top"/>
    </xf>
    <xf numFmtId="166" fontId="89" fillId="0" borderId="4" xfId="1" quotePrefix="1" applyFont="1" applyBorder="1" applyAlignment="1">
      <alignment horizontal="center" vertical="center" wrapText="1"/>
    </xf>
    <xf numFmtId="0" fontId="55" fillId="0" borderId="48" xfId="0" applyFont="1" applyBorder="1" applyAlignment="1">
      <alignment vertical="top"/>
    </xf>
    <xf numFmtId="0" fontId="55" fillId="0" borderId="49" xfId="0" applyFont="1" applyBorder="1" applyAlignment="1">
      <alignment vertical="top"/>
    </xf>
    <xf numFmtId="0" fontId="55" fillId="0" borderId="3" xfId="0" applyFont="1" applyBorder="1" applyAlignment="1">
      <alignment vertical="top"/>
    </xf>
    <xf numFmtId="166" fontId="82" fillId="0" borderId="55" xfId="1" applyFont="1" applyBorder="1" applyAlignment="1">
      <alignment vertical="top"/>
    </xf>
    <xf numFmtId="0" fontId="95" fillId="0" borderId="23" xfId="0" applyFont="1" applyBorder="1" applyAlignment="1">
      <alignment vertical="center"/>
    </xf>
    <xf numFmtId="0" fontId="89" fillId="0" borderId="0" xfId="7" applyNumberFormat="1" applyFont="1" applyAlignment="1">
      <alignment vertical="top"/>
    </xf>
    <xf numFmtId="0" fontId="89" fillId="0" borderId="2" xfId="0" applyFont="1" applyBorder="1" applyAlignment="1">
      <alignment vertical="center"/>
    </xf>
    <xf numFmtId="0" fontId="89" fillId="0" borderId="0" xfId="0" applyFont="1" applyAlignment="1">
      <alignment vertical="top" wrapText="1"/>
    </xf>
    <xf numFmtId="0" fontId="89" fillId="0" borderId="23" xfId="0" applyFont="1" applyBorder="1" applyAlignment="1">
      <alignment vertical="top"/>
    </xf>
    <xf numFmtId="167" fontId="89" fillId="0" borderId="22" xfId="16021" applyNumberFormat="1" applyFont="1" applyBorder="1" applyAlignment="1">
      <alignment horizontal="center" vertical="top" wrapText="1"/>
    </xf>
    <xf numFmtId="166" fontId="89" fillId="0" borderId="1" xfId="1" applyFont="1" applyBorder="1" applyAlignment="1">
      <alignment horizontal="center" vertical="top"/>
    </xf>
    <xf numFmtId="0" fontId="51" fillId="0" borderId="48" xfId="0" applyFont="1" applyBorder="1" applyAlignment="1">
      <alignment vertical="top" wrapText="1"/>
    </xf>
    <xf numFmtId="1" fontId="60" fillId="0" borderId="0" xfId="27301" applyNumberFormat="1" applyFont="1" applyAlignment="1">
      <alignment horizontal="left"/>
    </xf>
    <xf numFmtId="2" fontId="60" fillId="0" borderId="0" xfId="27301" applyNumberFormat="1" applyFont="1" applyAlignment="1">
      <alignment horizontal="right"/>
    </xf>
    <xf numFmtId="1" fontId="60" fillId="0" borderId="0" xfId="27301" applyNumberFormat="1" applyFont="1" applyAlignment="1">
      <alignment horizontal="center"/>
    </xf>
    <xf numFmtId="170" fontId="60" fillId="0" borderId="0" xfId="27301" applyNumberFormat="1" applyFont="1" applyAlignment="1">
      <alignment horizontal="right"/>
    </xf>
    <xf numFmtId="0" fontId="65" fillId="0" borderId="0" xfId="0" applyFont="1"/>
    <xf numFmtId="0" fontId="51" fillId="0" borderId="0" xfId="0" applyFont="1" applyAlignment="1">
      <alignment horizontal="justify" wrapText="1"/>
    </xf>
    <xf numFmtId="0" fontId="93" fillId="0" borderId="0" xfId="0" applyFont="1" applyAlignment="1">
      <alignment vertical="center"/>
    </xf>
    <xf numFmtId="0" fontId="91" fillId="0" borderId="2" xfId="7" applyNumberFormat="1" applyFont="1" applyBorder="1" applyAlignment="1">
      <alignment vertical="top"/>
    </xf>
    <xf numFmtId="0" fontId="55" fillId="0" borderId="18" xfId="0" applyFont="1" applyBorder="1" applyAlignment="1">
      <alignment vertical="top"/>
    </xf>
    <xf numFmtId="166" fontId="82" fillId="0" borderId="51" xfId="1" applyFont="1" applyBorder="1" applyAlignment="1">
      <alignment vertical="top"/>
    </xf>
    <xf numFmtId="2" fontId="50" fillId="0" borderId="27" xfId="1" quotePrefix="1" applyNumberFormat="1" applyFont="1" applyBorder="1" applyAlignment="1">
      <alignment horizontal="center" vertical="top" wrapText="1"/>
    </xf>
    <xf numFmtId="2" fontId="50" fillId="0" borderId="24" xfId="1" quotePrefix="1" applyNumberFormat="1" applyFont="1" applyBorder="1" applyAlignment="1">
      <alignment horizontal="center" vertical="top" wrapText="1"/>
    </xf>
    <xf numFmtId="0" fontId="94" fillId="0" borderId="2" xfId="0" quotePrefix="1" applyFont="1" applyBorder="1" applyAlignment="1">
      <alignment vertical="top"/>
    </xf>
    <xf numFmtId="0" fontId="94" fillId="0" borderId="2" xfId="0" quotePrefix="1" applyFont="1" applyBorder="1" applyAlignment="1">
      <alignment vertical="top" wrapText="1"/>
    </xf>
    <xf numFmtId="166" fontId="55" fillId="0" borderId="28" xfId="1" applyFont="1" applyBorder="1" applyAlignment="1">
      <alignment vertical="top"/>
    </xf>
    <xf numFmtId="0" fontId="59" fillId="0" borderId="0" xfId="27301" applyFont="1" applyAlignment="1">
      <alignment horizontal="left" vertical="top"/>
    </xf>
    <xf numFmtId="0" fontId="89" fillId="0" borderId="0" xfId="6" applyFont="1" applyAlignment="1">
      <alignment vertical="center" wrapText="1"/>
    </xf>
    <xf numFmtId="0" fontId="50" fillId="0" borderId="23" xfId="0" applyFont="1" applyBorder="1" applyAlignment="1">
      <alignment horizontal="left" vertical="top"/>
    </xf>
    <xf numFmtId="2" fontId="50" fillId="0" borderId="0" xfId="1" quotePrefix="1" applyNumberFormat="1" applyFont="1" applyAlignment="1">
      <alignment horizontal="center" vertical="top" wrapText="1"/>
    </xf>
    <xf numFmtId="0" fontId="94" fillId="0" borderId="2" xfId="0" quotePrefix="1" applyFont="1" applyBorder="1" applyAlignment="1">
      <alignment horizontal="left" vertical="top" wrapText="1"/>
    </xf>
    <xf numFmtId="0" fontId="89" fillId="0" borderId="23" xfId="0" applyFont="1" applyBorder="1" applyAlignment="1">
      <alignment horizontal="left" vertical="top" wrapText="1"/>
    </xf>
    <xf numFmtId="1" fontId="62" fillId="0" borderId="0" xfId="27301" applyNumberFormat="1" applyFont="1" applyAlignment="1">
      <alignment horizontal="left"/>
    </xf>
    <xf numFmtId="1" fontId="68" fillId="0" borderId="0" xfId="27301" applyNumberFormat="1" applyFont="1" applyAlignment="1">
      <alignment horizontal="left"/>
    </xf>
    <xf numFmtId="167" fontId="62" fillId="0" borderId="0" xfId="1" applyNumberFormat="1" applyFont="1" applyAlignment="1">
      <alignment horizontal="right"/>
    </xf>
    <xf numFmtId="167" fontId="102" fillId="0" borderId="0" xfId="1" applyNumberFormat="1" applyFont="1" applyAlignment="1">
      <alignment horizontal="right" vertical="center"/>
    </xf>
    <xf numFmtId="166" fontId="91" fillId="0" borderId="44" xfId="1" applyFont="1" applyBorder="1" applyAlignment="1">
      <alignment vertical="top"/>
    </xf>
    <xf numFmtId="166" fontId="91" fillId="0" borderId="42" xfId="1" applyFont="1" applyBorder="1" applyAlignment="1">
      <alignment vertical="top"/>
    </xf>
    <xf numFmtId="166" fontId="89" fillId="0" borderId="44" xfId="1" applyFont="1" applyBorder="1" applyAlignment="1">
      <alignment vertical="top"/>
    </xf>
    <xf numFmtId="0" fontId="61" fillId="0" borderId="0" xfId="0" applyFont="1" applyAlignment="1">
      <alignment horizontal="left"/>
    </xf>
    <xf numFmtId="166" fontId="61" fillId="0" borderId="0" xfId="1" applyFont="1"/>
    <xf numFmtId="166" fontId="62" fillId="0" borderId="0" xfId="1" applyFont="1"/>
    <xf numFmtId="0" fontId="61" fillId="0" borderId="0" xfId="0" applyFont="1"/>
    <xf numFmtId="0" fontId="62" fillId="0" borderId="0" xfId="0" applyFont="1"/>
    <xf numFmtId="0" fontId="50" fillId="0" borderId="23" xfId="0" applyFont="1" applyBorder="1" applyAlignment="1">
      <alignment horizontal="left" vertical="center"/>
    </xf>
    <xf numFmtId="166" fontId="50" fillId="0" borderId="0" xfId="1" quotePrefix="1" applyFont="1" applyAlignment="1">
      <alignment horizontal="center" vertical="top" wrapText="1"/>
    </xf>
    <xf numFmtId="166" fontId="50" fillId="0" borderId="27" xfId="1" quotePrefix="1" applyFont="1" applyBorder="1" applyAlignment="1">
      <alignment horizontal="center" vertical="top" wrapText="1"/>
    </xf>
    <xf numFmtId="2" fontId="55" fillId="0" borderId="0" xfId="0" applyNumberFormat="1" applyFont="1" applyAlignment="1">
      <alignment vertical="top"/>
    </xf>
    <xf numFmtId="0" fontId="101" fillId="0" borderId="23" xfId="0" applyFont="1" applyBorder="1" applyAlignment="1">
      <alignment horizontal="left" vertical="top"/>
    </xf>
    <xf numFmtId="0" fontId="82" fillId="0" borderId="46" xfId="0" applyFont="1" applyBorder="1" applyAlignment="1">
      <alignment horizontal="right" vertical="center" wrapText="1"/>
    </xf>
    <xf numFmtId="166" fontId="63" fillId="42" borderId="27" xfId="1" quotePrefix="1" applyFont="1" applyFill="1" applyBorder="1" applyAlignment="1">
      <alignment horizontal="center" vertical="center" wrapText="1"/>
    </xf>
    <xf numFmtId="0" fontId="50" fillId="0" borderId="0" xfId="0" applyFont="1" applyAlignment="1">
      <alignment horizontal="center" vertical="center"/>
    </xf>
    <xf numFmtId="0" fontId="51" fillId="0" borderId="0" xfId="0" applyFont="1" applyAlignment="1">
      <alignment horizontal="left"/>
    </xf>
    <xf numFmtId="0" fontId="51" fillId="0" borderId="0" xfId="0" applyFont="1" applyAlignment="1">
      <alignment horizontal="left" wrapText="1"/>
    </xf>
    <xf numFmtId="0" fontId="89" fillId="0" borderId="0" xfId="7" applyNumberFormat="1" applyFont="1" applyAlignment="1">
      <alignment horizontal="left" vertical="top"/>
    </xf>
    <xf numFmtId="0" fontId="91" fillId="0" borderId="2" xfId="0" applyFont="1" applyBorder="1" applyAlignment="1">
      <alignment vertical="top" wrapText="1"/>
    </xf>
    <xf numFmtId="166" fontId="91" fillId="0" borderId="2" xfId="1" applyFont="1" applyBorder="1" applyAlignment="1">
      <alignment vertical="top"/>
    </xf>
    <xf numFmtId="166" fontId="51" fillId="0" borderId="48" xfId="1" applyFont="1" applyBorder="1" applyAlignment="1">
      <alignment vertical="top"/>
    </xf>
    <xf numFmtId="166" fontId="63" fillId="0" borderId="0" xfId="1" applyFont="1" applyAlignment="1">
      <alignment vertical="top"/>
    </xf>
    <xf numFmtId="0" fontId="104" fillId="0" borderId="0" xfId="0" applyFont="1" applyAlignment="1">
      <alignment vertical="top"/>
    </xf>
    <xf numFmtId="0" fontId="65" fillId="0" borderId="26" xfId="0" applyFont="1" applyBorder="1" applyAlignment="1">
      <alignment vertical="top"/>
    </xf>
    <xf numFmtId="166" fontId="105" fillId="0" borderId="26" xfId="1" applyFont="1" applyBorder="1" applyAlignment="1">
      <alignment vertical="top"/>
    </xf>
    <xf numFmtId="0" fontId="105" fillId="0" borderId="2" xfId="0" applyFont="1" applyBorder="1" applyAlignment="1">
      <alignment horizontal="left" vertical="top" wrapText="1"/>
    </xf>
    <xf numFmtId="166" fontId="65" fillId="0" borderId="26" xfId="1" applyFont="1" applyBorder="1" applyAlignment="1">
      <alignment vertical="top"/>
    </xf>
    <xf numFmtId="0" fontId="66" fillId="0" borderId="2" xfId="0" applyFont="1" applyBorder="1" applyAlignment="1">
      <alignment vertical="top"/>
    </xf>
    <xf numFmtId="166" fontId="91" fillId="0" borderId="0" xfId="1" applyFont="1" applyAlignment="1">
      <alignment horizontal="right" vertical="top"/>
    </xf>
    <xf numFmtId="0" fontId="50" fillId="0" borderId="2" xfId="0" applyFont="1" applyBorder="1" applyAlignment="1">
      <alignment vertical="top"/>
    </xf>
    <xf numFmtId="0" fontId="51" fillId="0" borderId="24" xfId="21" applyFont="1" applyBorder="1" applyAlignment="1">
      <alignment vertical="top" wrapText="1"/>
    </xf>
    <xf numFmtId="0" fontId="51" fillId="0" borderId="2" xfId="21" applyFont="1" applyBorder="1" applyAlignment="1">
      <alignment horizontal="left" vertical="top" wrapText="1"/>
    </xf>
    <xf numFmtId="0" fontId="51" fillId="0" borderId="0" xfId="21" applyFont="1" applyAlignment="1">
      <alignment horizontal="left" vertical="top" wrapText="1"/>
    </xf>
    <xf numFmtId="0" fontId="51" fillId="0" borderId="26" xfId="21" applyFont="1" applyBorder="1" applyAlignment="1">
      <alignment horizontal="left" vertical="top" wrapText="1"/>
    </xf>
    <xf numFmtId="0" fontId="94" fillId="0" borderId="25" xfId="0" applyFont="1" applyBorder="1" applyAlignment="1">
      <alignment horizontal="left" vertical="top" wrapText="1"/>
    </xf>
    <xf numFmtId="0" fontId="94" fillId="0" borderId="28" xfId="0" applyFont="1" applyBorder="1" applyAlignment="1">
      <alignment horizontal="left" vertical="top" wrapText="1"/>
    </xf>
    <xf numFmtId="0" fontId="70" fillId="0" borderId="0" xfId="0" applyFont="1" applyAlignment="1">
      <alignment vertical="top"/>
    </xf>
    <xf numFmtId="39" fontId="55" fillId="0" borderId="27" xfId="1" applyNumberFormat="1" applyFont="1" applyBorder="1" applyAlignment="1">
      <alignment vertical="top"/>
    </xf>
    <xf numFmtId="0" fontId="51" fillId="0" borderId="2" xfId="0" applyFont="1" applyBorder="1" applyAlignment="1">
      <alignment vertical="top"/>
    </xf>
    <xf numFmtId="0" fontId="55" fillId="0" borderId="2" xfId="0" quotePrefix="1" applyFont="1" applyBorder="1" applyAlignment="1">
      <alignment horizontal="left" vertical="top" wrapText="1"/>
    </xf>
    <xf numFmtId="0" fontId="55" fillId="0" borderId="0" xfId="0" quotePrefix="1" applyFont="1" applyAlignment="1">
      <alignment horizontal="left" vertical="top" wrapText="1"/>
    </xf>
    <xf numFmtId="167" fontId="94" fillId="0" borderId="25" xfId="1" applyNumberFormat="1" applyFont="1" applyBorder="1" applyAlignment="1">
      <alignment vertical="top"/>
    </xf>
    <xf numFmtId="167" fontId="55" fillId="0" borderId="28" xfId="1" applyNumberFormat="1" applyFont="1" applyBorder="1" applyAlignment="1">
      <alignment vertical="top"/>
    </xf>
    <xf numFmtId="166" fontId="105" fillId="0" borderId="25" xfId="1" applyFont="1" applyBorder="1" applyAlignment="1">
      <alignment vertical="top"/>
    </xf>
    <xf numFmtId="166" fontId="65" fillId="0" borderId="25" xfId="1" applyFont="1" applyBorder="1" applyAlignment="1">
      <alignment vertical="top"/>
    </xf>
    <xf numFmtId="166" fontId="65" fillId="0" borderId="28" xfId="1" applyFont="1" applyBorder="1" applyAlignment="1">
      <alignment vertical="top"/>
    </xf>
    <xf numFmtId="0" fontId="82" fillId="0" borderId="46" xfId="0" applyFont="1" applyBorder="1" applyAlignment="1">
      <alignment horizontal="center" vertical="top"/>
    </xf>
    <xf numFmtId="0" fontId="82" fillId="0" borderId="46" xfId="0" applyFont="1" applyBorder="1" applyAlignment="1">
      <alignment horizontal="center" vertical="top" wrapText="1"/>
    </xf>
    <xf numFmtId="0" fontId="94" fillId="0" borderId="2" xfId="0" applyFont="1" applyBorder="1" applyAlignment="1">
      <alignment horizontal="left" vertical="top"/>
    </xf>
    <xf numFmtId="166" fontId="94" fillId="0" borderId="23" xfId="1" applyFont="1" applyBorder="1" applyAlignment="1">
      <alignment vertical="top"/>
    </xf>
    <xf numFmtId="166" fontId="58" fillId="0" borderId="48" xfId="1" applyFont="1" applyBorder="1" applyAlignment="1">
      <alignment vertical="top"/>
    </xf>
    <xf numFmtId="166" fontId="58" fillId="0" borderId="28" xfId="1" applyFont="1" applyBorder="1" applyAlignment="1">
      <alignment vertical="top"/>
    </xf>
    <xf numFmtId="0" fontId="94" fillId="0" borderId="0" xfId="0" applyFont="1" applyAlignment="1">
      <alignment vertical="top"/>
    </xf>
    <xf numFmtId="0" fontId="95" fillId="0" borderId="2" xfId="0" applyFont="1" applyBorder="1" applyAlignment="1">
      <alignment vertical="top"/>
    </xf>
    <xf numFmtId="0" fontId="95" fillId="0" borderId="20" xfId="0" applyFont="1" applyBorder="1" applyAlignment="1">
      <alignment vertical="top"/>
    </xf>
    <xf numFmtId="167" fontId="91" fillId="0" borderId="2" xfId="0" applyNumberFormat="1" applyFont="1" applyBorder="1" applyAlignment="1">
      <alignment vertical="top"/>
    </xf>
    <xf numFmtId="0" fontId="87" fillId="0" borderId="0" xfId="0" applyFont="1" applyAlignment="1">
      <alignment horizontal="left" vertical="center"/>
    </xf>
    <xf numFmtId="0" fontId="91" fillId="0" borderId="0" xfId="0" applyFont="1" applyAlignment="1">
      <alignment horizontal="left" vertical="top"/>
    </xf>
    <xf numFmtId="0" fontId="91" fillId="0" borderId="23" xfId="21" applyFont="1" applyBorder="1" applyAlignment="1">
      <alignment horizontal="left" vertical="top"/>
    </xf>
    <xf numFmtId="0" fontId="109" fillId="0" borderId="0" xfId="0" applyFont="1" applyAlignment="1">
      <alignment horizontal="left" vertical="center"/>
    </xf>
    <xf numFmtId="169" fontId="108" fillId="0" borderId="46" xfId="18367" applyNumberFormat="1" applyFont="1" applyBorder="1" applyAlignment="1">
      <alignment horizontal="center" vertical="center" wrapText="1"/>
    </xf>
    <xf numFmtId="0" fontId="62" fillId="0" borderId="58" xfId="0" applyFont="1" applyBorder="1" applyAlignment="1">
      <alignment vertical="top"/>
    </xf>
    <xf numFmtId="9" fontId="102" fillId="0" borderId="27" xfId="4" applyNumberFormat="1" applyFont="1" applyBorder="1" applyAlignment="1">
      <alignment vertical="top"/>
    </xf>
    <xf numFmtId="166" fontId="102" fillId="0" borderId="45" xfId="1" applyFont="1" applyBorder="1" applyAlignment="1">
      <alignment vertical="top"/>
    </xf>
    <xf numFmtId="166" fontId="102" fillId="0" borderId="27" xfId="1" applyFont="1" applyBorder="1" applyAlignment="1">
      <alignment vertical="top"/>
    </xf>
    <xf numFmtId="166" fontId="102" fillId="0" borderId="45" xfId="1" applyFont="1" applyBorder="1" applyAlignment="1">
      <alignment vertical="top" wrapText="1"/>
    </xf>
    <xf numFmtId="166" fontId="102" fillId="0" borderId="0" xfId="1" applyFont="1" applyAlignment="1">
      <alignment vertical="top"/>
    </xf>
    <xf numFmtId="166" fontId="102" fillId="0" borderId="0" xfId="1" applyFont="1" applyAlignment="1">
      <alignment vertical="top" wrapText="1"/>
    </xf>
    <xf numFmtId="166" fontId="61" fillId="0" borderId="4" xfId="1" applyFont="1" applyBorder="1" applyAlignment="1">
      <alignment vertical="top"/>
    </xf>
    <xf numFmtId="166" fontId="61" fillId="0" borderId="28" xfId="1" applyFont="1" applyBorder="1" applyAlignment="1">
      <alignment vertical="top"/>
    </xf>
    <xf numFmtId="174" fontId="114" fillId="0" borderId="0" xfId="0" applyNumberFormat="1" applyFont="1" applyAlignment="1">
      <alignment horizontal="left" vertical="center"/>
    </xf>
    <xf numFmtId="174" fontId="107" fillId="41" borderId="2" xfId="0" applyNumberFormat="1" applyFont="1" applyFill="1" applyBorder="1" applyAlignment="1">
      <alignment horizontal="left" vertical="top"/>
    </xf>
    <xf numFmtId="174" fontId="106" fillId="41" borderId="20" xfId="0" applyNumberFormat="1" applyFont="1" applyFill="1" applyBorder="1" applyAlignment="1">
      <alignment horizontal="left" vertical="top"/>
    </xf>
    <xf numFmtId="0" fontId="64" fillId="0" borderId="0" xfId="0" applyFont="1"/>
    <xf numFmtId="1" fontId="67" fillId="0" borderId="0" xfId="27301" applyNumberFormat="1" applyFont="1" applyAlignment="1">
      <alignment horizontal="center"/>
    </xf>
    <xf numFmtId="0" fontId="91" fillId="0" borderId="0" xfId="7" applyNumberFormat="1" applyFont="1" applyAlignment="1">
      <alignment horizontal="left" vertical="center" wrapText="1"/>
    </xf>
    <xf numFmtId="0" fontId="63" fillId="0" borderId="23" xfId="0" applyFont="1" applyBorder="1" applyAlignment="1">
      <alignment horizontal="left" vertical="top"/>
    </xf>
    <xf numFmtId="0" fontId="58" fillId="0" borderId="2" xfId="0" quotePrefix="1" applyFont="1" applyBorder="1" applyAlignment="1">
      <alignment vertical="top"/>
    </xf>
    <xf numFmtId="0" fontId="55" fillId="0" borderId="2" xfId="0" quotePrefix="1" applyFont="1" applyBorder="1" applyAlignment="1">
      <alignment vertical="top"/>
    </xf>
    <xf numFmtId="166" fontId="50" fillId="0" borderId="0" xfId="1" applyFont="1"/>
    <xf numFmtId="0" fontId="62" fillId="0" borderId="0" xfId="0" applyFont="1" applyAlignment="1">
      <alignment vertical="center"/>
    </xf>
    <xf numFmtId="0" fontId="63" fillId="42" borderId="0" xfId="0" applyFont="1" applyFill="1"/>
    <xf numFmtId="0" fontId="94" fillId="0" borderId="0" xfId="0" applyFont="1" applyAlignment="1">
      <alignment horizontal="left" vertical="top" wrapText="1"/>
    </xf>
    <xf numFmtId="0" fontId="60" fillId="0" borderId="0" xfId="0" applyFont="1" applyAlignment="1">
      <alignment vertical="top"/>
    </xf>
    <xf numFmtId="0" fontId="77" fillId="0" borderId="0" xfId="0" applyFont="1" applyAlignment="1">
      <alignment vertical="center"/>
    </xf>
    <xf numFmtId="0" fontId="116" fillId="0" borderId="0" xfId="0" applyFont="1"/>
    <xf numFmtId="0" fontId="0" fillId="0" borderId="26" xfId="0" applyBorder="1"/>
    <xf numFmtId="0" fontId="60" fillId="0" borderId="0" xfId="0" applyFont="1" applyAlignment="1">
      <alignment horizontal="center" vertical="center"/>
    </xf>
    <xf numFmtId="0" fontId="65" fillId="0" borderId="0" xfId="0" applyFont="1" applyAlignment="1">
      <alignment horizontal="center"/>
    </xf>
    <xf numFmtId="166" fontId="65" fillId="0" borderId="0" xfId="1" applyFont="1" applyAlignment="1">
      <alignment horizontal="center"/>
    </xf>
    <xf numFmtId="0" fontId="52" fillId="0" borderId="0" xfId="0" applyFont="1" applyAlignment="1">
      <alignment horizontal="center" vertical="top"/>
    </xf>
    <xf numFmtId="166" fontId="108" fillId="0" borderId="57" xfId="1" applyFont="1" applyBorder="1" applyAlignment="1">
      <alignment horizontal="center" vertical="center" wrapText="1"/>
    </xf>
    <xf numFmtId="166" fontId="89" fillId="0" borderId="3" xfId="1" applyFont="1" applyBorder="1" applyAlignment="1">
      <alignment horizontal="center" vertical="top"/>
    </xf>
    <xf numFmtId="167" fontId="94" fillId="0" borderId="47" xfId="1" applyNumberFormat="1" applyFont="1" applyBorder="1" applyAlignment="1">
      <alignment vertical="top"/>
    </xf>
    <xf numFmtId="167" fontId="95" fillId="0" borderId="54" xfId="1" applyNumberFormat="1" applyFont="1" applyBorder="1" applyAlignment="1">
      <alignment vertical="top"/>
    </xf>
    <xf numFmtId="0" fontId="51" fillId="0" borderId="0" xfId="7" applyNumberFormat="1" applyFont="1" applyAlignment="1">
      <alignment horizontal="left" vertical="top"/>
    </xf>
    <xf numFmtId="167" fontId="51" fillId="0" borderId="45" xfId="7" applyNumberFormat="1" applyFont="1" applyBorder="1" applyAlignment="1">
      <alignment horizontal="left" vertical="top" wrapText="1"/>
    </xf>
    <xf numFmtId="0" fontId="93" fillId="0" borderId="48" xfId="4" applyNumberFormat="1" applyFont="1" applyBorder="1" applyAlignment="1">
      <alignment horizontal="left" vertical="top" wrapText="1"/>
    </xf>
    <xf numFmtId="167" fontId="50" fillId="0" borderId="18" xfId="16021" applyNumberFormat="1" applyFont="1" applyBorder="1" applyAlignment="1">
      <alignment horizontal="center" vertical="top" wrapText="1"/>
    </xf>
    <xf numFmtId="167" fontId="50" fillId="0" borderId="22" xfId="16021" applyNumberFormat="1" applyFont="1" applyBorder="1" applyAlignment="1">
      <alignment horizontal="center" vertical="top" wrapText="1"/>
    </xf>
    <xf numFmtId="9" fontId="117" fillId="0" borderId="27" xfId="2" applyFont="1" applyBorder="1"/>
    <xf numFmtId="9" fontId="117" fillId="0" borderId="25" xfId="2" applyFont="1" applyBorder="1"/>
    <xf numFmtId="9" fontId="117" fillId="0" borderId="28" xfId="2" applyFont="1" applyBorder="1"/>
    <xf numFmtId="166" fontId="55" fillId="0" borderId="47" xfId="1" applyFont="1" applyBorder="1" applyAlignment="1">
      <alignment vertical="top"/>
    </xf>
    <xf numFmtId="167" fontId="64" fillId="0" borderId="28" xfId="1" applyNumberFormat="1" applyFont="1" applyBorder="1" applyAlignment="1">
      <alignment vertical="top"/>
    </xf>
    <xf numFmtId="167" fontId="64" fillId="0" borderId="49" xfId="1" applyNumberFormat="1" applyFont="1" applyBorder="1" applyAlignment="1">
      <alignment vertical="top"/>
    </xf>
    <xf numFmtId="0" fontId="51" fillId="0" borderId="0" xfId="0" applyFont="1" applyAlignment="1">
      <alignment horizontal="left" vertical="top"/>
    </xf>
    <xf numFmtId="0" fontId="51" fillId="0" borderId="23" xfId="0" applyFont="1" applyBorder="1" applyAlignment="1">
      <alignment horizontal="left" vertical="top"/>
    </xf>
    <xf numFmtId="1" fontId="51" fillId="0" borderId="48" xfId="27301" applyNumberFormat="1" applyFont="1" applyBorder="1" applyAlignment="1">
      <alignment horizontal="left" vertical="top"/>
    </xf>
    <xf numFmtId="0" fontId="51" fillId="0" borderId="45" xfId="0" applyFont="1" applyBorder="1" applyAlignment="1">
      <alignment horizontal="left" vertical="top"/>
    </xf>
    <xf numFmtId="1" fontId="89" fillId="0" borderId="27" xfId="27301" applyNumberFormat="1" applyFont="1" applyBorder="1" applyAlignment="1">
      <alignment horizontal="center" vertical="center" wrapText="1"/>
    </xf>
    <xf numFmtId="167" fontId="89" fillId="0" borderId="47" xfId="1" applyNumberFormat="1" applyFont="1" applyBorder="1" applyAlignment="1">
      <alignment horizontal="center" vertical="center" wrapText="1"/>
    </xf>
    <xf numFmtId="167" fontId="89" fillId="0" borderId="27" xfId="1" applyNumberFormat="1" applyFont="1" applyBorder="1" applyAlignment="1">
      <alignment horizontal="center" vertical="center" wrapText="1"/>
    </xf>
    <xf numFmtId="167" fontId="82" fillId="0" borderId="59" xfId="1" applyNumberFormat="1" applyFont="1" applyBorder="1" applyAlignment="1">
      <alignment horizontal="right" vertical="top" wrapText="1"/>
    </xf>
    <xf numFmtId="9" fontId="82" fillId="0" borderId="59" xfId="27301" applyNumberFormat="1" applyFont="1" applyBorder="1" applyAlignment="1">
      <alignment horizontal="right" vertical="top" wrapText="1"/>
    </xf>
    <xf numFmtId="166" fontId="82" fillId="0" borderId="59" xfId="1" applyFont="1" applyBorder="1" applyAlignment="1">
      <alignment horizontal="right" vertical="top" wrapText="1"/>
    </xf>
    <xf numFmtId="37" fontId="51" fillId="0" borderId="27" xfId="1" applyNumberFormat="1" applyFont="1" applyBorder="1" applyAlignment="1">
      <alignment vertical="top"/>
    </xf>
    <xf numFmtId="37" fontId="51" fillId="0" borderId="25" xfId="1" applyNumberFormat="1" applyFont="1" applyBorder="1" applyAlignment="1">
      <alignment vertical="top"/>
    </xf>
    <xf numFmtId="167" fontId="51" fillId="0" borderId="28" xfId="1" applyNumberFormat="1" applyFont="1" applyBorder="1" applyAlignment="1">
      <alignment vertical="top"/>
    </xf>
    <xf numFmtId="9" fontId="51" fillId="0" borderId="27" xfId="2" applyFont="1" applyBorder="1" applyAlignment="1">
      <alignment horizontal="right" vertical="top"/>
    </xf>
    <xf numFmtId="9" fontId="51" fillId="0" borderId="25" xfId="2" applyFont="1" applyBorder="1" applyAlignment="1">
      <alignment horizontal="right" vertical="top"/>
    </xf>
    <xf numFmtId="9" fontId="51" fillId="0" borderId="28" xfId="2" applyFont="1" applyBorder="1" applyAlignment="1">
      <alignment horizontal="right" vertical="top"/>
    </xf>
    <xf numFmtId="167" fontId="51" fillId="0" borderId="27" xfId="1" applyNumberFormat="1" applyFont="1" applyBorder="1" applyAlignment="1">
      <alignment vertical="top"/>
    </xf>
    <xf numFmtId="167" fontId="51" fillId="0" borderId="25" xfId="1" applyNumberFormat="1" applyFont="1" applyBorder="1" applyAlignment="1">
      <alignment vertical="top"/>
    </xf>
    <xf numFmtId="0" fontId="51" fillId="0" borderId="28" xfId="0" applyFont="1" applyBorder="1" applyAlignment="1">
      <alignment vertical="top"/>
    </xf>
    <xf numFmtId="166" fontId="91" fillId="0" borderId="27" xfId="1" applyFont="1" applyBorder="1" applyAlignment="1">
      <alignment horizontal="left" vertical="top" wrapText="1"/>
    </xf>
    <xf numFmtId="166" fontId="91" fillId="0" borderId="25" xfId="1" applyFont="1" applyBorder="1" applyAlignment="1">
      <alignment horizontal="left" vertical="top" wrapText="1"/>
    </xf>
    <xf numFmtId="1" fontId="51" fillId="0" borderId="28" xfId="27301" applyNumberFormat="1" applyFont="1" applyBorder="1" applyAlignment="1">
      <alignment horizontal="left" vertical="top" wrapText="1"/>
    </xf>
    <xf numFmtId="0" fontId="111" fillId="0" borderId="0" xfId="0" applyFont="1"/>
    <xf numFmtId="167" fontId="50" fillId="0" borderId="49" xfId="4" applyNumberFormat="1" applyFont="1" applyBorder="1" applyAlignment="1">
      <alignment vertical="top"/>
    </xf>
    <xf numFmtId="0" fontId="93" fillId="0" borderId="2" xfId="0" applyFont="1" applyBorder="1" applyAlignment="1">
      <alignment vertical="top"/>
    </xf>
    <xf numFmtId="166" fontId="82" fillId="0" borderId="59" xfId="1" applyFont="1" applyBorder="1" applyAlignment="1">
      <alignment vertical="top"/>
    </xf>
    <xf numFmtId="166" fontId="55" fillId="0" borderId="2" xfId="1" applyFont="1" applyBorder="1" applyAlignment="1">
      <alignment vertical="top"/>
    </xf>
    <xf numFmtId="166" fontId="55" fillId="0" borderId="48" xfId="1" applyFont="1" applyBorder="1" applyAlignment="1">
      <alignment vertical="top"/>
    </xf>
    <xf numFmtId="166" fontId="94" fillId="0" borderId="35" xfId="1" applyFont="1" applyBorder="1" applyAlignment="1">
      <alignment vertical="top"/>
    </xf>
    <xf numFmtId="0" fontId="50" fillId="0" borderId="23" xfId="0" applyFont="1" applyBorder="1" applyAlignment="1">
      <alignment horizontal="left" vertical="top" wrapText="1"/>
    </xf>
    <xf numFmtId="0" fontId="58" fillId="0" borderId="2" xfId="0" quotePrefix="1" applyFont="1" applyBorder="1" applyAlignment="1">
      <alignment vertical="top" wrapText="1"/>
    </xf>
    <xf numFmtId="0" fontId="55" fillId="0" borderId="2" xfId="0" quotePrefix="1" applyFont="1" applyBorder="1" applyAlignment="1">
      <alignment vertical="top" wrapText="1"/>
    </xf>
    <xf numFmtId="1" fontId="118" fillId="0" borderId="0" xfId="0" applyNumberFormat="1" applyFont="1" applyAlignment="1">
      <alignment horizontal="center"/>
    </xf>
    <xf numFmtId="2" fontId="50" fillId="0" borderId="25" xfId="1" quotePrefix="1" applyNumberFormat="1" applyFont="1" applyBorder="1" applyAlignment="1">
      <alignment horizontal="center" vertical="top" wrapText="1"/>
    </xf>
    <xf numFmtId="166" fontId="89" fillId="0" borderId="46" xfId="1" quotePrefix="1" applyFont="1" applyBorder="1" applyAlignment="1">
      <alignment horizontal="center" vertical="center" wrapText="1"/>
    </xf>
    <xf numFmtId="167" fontId="61" fillId="0" borderId="0" xfId="1" applyNumberFormat="1" applyFont="1" applyAlignment="1">
      <alignment horizontal="right" vertical="center"/>
    </xf>
    <xf numFmtId="0" fontId="108" fillId="0" borderId="46" xfId="0" applyFont="1" applyBorder="1" applyAlignment="1">
      <alignment horizontal="right" vertical="center" wrapText="1"/>
    </xf>
    <xf numFmtId="166" fontId="51" fillId="0" borderId="44" xfId="1" applyFont="1" applyBorder="1" applyAlignment="1">
      <alignment vertical="top"/>
    </xf>
    <xf numFmtId="166" fontId="51" fillId="0" borderId="42" xfId="1" applyFont="1" applyBorder="1" applyAlignment="1">
      <alignment vertical="top"/>
    </xf>
    <xf numFmtId="166" fontId="50" fillId="0" borderId="44" xfId="1" applyFont="1" applyBorder="1" applyAlignment="1">
      <alignment vertical="top"/>
    </xf>
    <xf numFmtId="166" fontId="51" fillId="0" borderId="60" xfId="1" applyFont="1" applyBorder="1"/>
    <xf numFmtId="166" fontId="51" fillId="0" borderId="61" xfId="1" applyFont="1" applyBorder="1"/>
    <xf numFmtId="166" fontId="50" fillId="0" borderId="60" xfId="1" applyFont="1" applyBorder="1"/>
    <xf numFmtId="167" fontId="50" fillId="0" borderId="2" xfId="4" applyNumberFormat="1" applyFont="1" applyBorder="1"/>
    <xf numFmtId="167" fontId="108" fillId="0" borderId="46" xfId="4" applyNumberFormat="1" applyFont="1" applyBorder="1" applyAlignment="1">
      <alignment horizontal="center" vertical="center" wrapText="1"/>
    </xf>
    <xf numFmtId="167" fontId="108" fillId="0" borderId="46" xfId="1" applyNumberFormat="1" applyFont="1" applyBorder="1" applyAlignment="1">
      <alignment horizontal="center" vertical="center" wrapText="1"/>
    </xf>
    <xf numFmtId="167" fontId="50" fillId="0" borderId="2" xfId="4" applyNumberFormat="1" applyFont="1" applyBorder="1" applyAlignment="1">
      <alignment horizontal="center" vertical="center" wrapText="1"/>
    </xf>
    <xf numFmtId="0" fontId="51" fillId="0" borderId="0" xfId="21" applyFont="1" applyAlignment="1">
      <alignment horizontal="center" vertical="top"/>
    </xf>
    <xf numFmtId="166" fontId="82" fillId="0" borderId="46" xfId="1" applyFont="1" applyBorder="1" applyAlignment="1">
      <alignment vertical="top"/>
    </xf>
    <xf numFmtId="166" fontId="53" fillId="0" borderId="46" xfId="1" applyFont="1" applyBorder="1" applyAlignment="1">
      <alignment vertical="top"/>
    </xf>
    <xf numFmtId="0" fontId="50" fillId="0" borderId="0" xfId="0" quotePrefix="1" applyFont="1" applyAlignment="1">
      <alignment horizontal="center" vertical="center"/>
    </xf>
    <xf numFmtId="0" fontId="65" fillId="0" borderId="2" xfId="0" applyFont="1" applyBorder="1" applyAlignment="1">
      <alignment horizontal="left" vertical="top"/>
    </xf>
    <xf numFmtId="167" fontId="94" fillId="0" borderId="25" xfId="1" applyNumberFormat="1" applyFont="1" applyBorder="1" applyAlignment="1">
      <alignment horizontal="right" vertical="top"/>
    </xf>
    <xf numFmtId="167" fontId="94" fillId="0" borderId="26" xfId="1" applyNumberFormat="1" applyFont="1" applyBorder="1" applyAlignment="1">
      <alignment horizontal="right" vertical="top"/>
    </xf>
    <xf numFmtId="167" fontId="94" fillId="0" borderId="26" xfId="1" applyNumberFormat="1" applyFont="1" applyBorder="1" applyAlignment="1">
      <alignment vertical="top"/>
    </xf>
    <xf numFmtId="167" fontId="94" fillId="0" borderId="28" xfId="1" applyNumberFormat="1" applyFont="1" applyBorder="1" applyAlignment="1">
      <alignment vertical="top"/>
    </xf>
    <xf numFmtId="167" fontId="94" fillId="0" borderId="29" xfId="1" applyNumberFormat="1" applyFont="1" applyBorder="1" applyAlignment="1">
      <alignment vertical="top"/>
    </xf>
    <xf numFmtId="0" fontId="49" fillId="0" borderId="0" xfId="0" applyFont="1" applyAlignment="1">
      <alignment horizontal="right" vertical="top"/>
    </xf>
    <xf numFmtId="0" fontId="108" fillId="0" borderId="46" xfId="0" applyFont="1" applyBorder="1" applyAlignment="1">
      <alignment horizontal="center" vertical="top" wrapText="1"/>
    </xf>
    <xf numFmtId="0" fontId="108" fillId="0" borderId="46" xfId="0" applyFont="1" applyBorder="1" applyAlignment="1">
      <alignment horizontal="center" vertical="top"/>
    </xf>
    <xf numFmtId="0" fontId="51" fillId="0" borderId="25" xfId="0" applyFont="1" applyBorder="1" applyAlignment="1">
      <alignment horizontal="left" vertical="top" wrapText="1"/>
    </xf>
    <xf numFmtId="0" fontId="51" fillId="0" borderId="28" xfId="0" applyFont="1" applyBorder="1" applyAlignment="1">
      <alignment horizontal="left" vertical="top" wrapText="1"/>
    </xf>
    <xf numFmtId="167" fontId="51" fillId="0" borderId="26" xfId="1" applyNumberFormat="1" applyFont="1" applyBorder="1" applyAlignment="1">
      <alignment horizontal="right" vertical="top"/>
    </xf>
    <xf numFmtId="167" fontId="51" fillId="0" borderId="26" xfId="1" applyNumberFormat="1" applyFont="1" applyBorder="1" applyAlignment="1">
      <alignment vertical="top"/>
    </xf>
    <xf numFmtId="167" fontId="51" fillId="0" borderId="29" xfId="1" applyNumberFormat="1" applyFont="1" applyBorder="1" applyAlignment="1">
      <alignment vertical="top"/>
    </xf>
    <xf numFmtId="0" fontId="51" fillId="0" borderId="2" xfId="6" applyFont="1" applyBorder="1" applyAlignment="1">
      <alignment vertical="top"/>
    </xf>
    <xf numFmtId="49" fontId="109" fillId="0" borderId="0" xfId="21" applyNumberFormat="1" applyFont="1" applyAlignment="1">
      <alignment horizontal="center" vertical="center"/>
    </xf>
    <xf numFmtId="0" fontId="91" fillId="0" borderId="0" xfId="21" applyFont="1" applyAlignment="1">
      <alignment horizontal="center" vertical="center"/>
    </xf>
    <xf numFmtId="0" fontId="51" fillId="0" borderId="0" xfId="21" applyFont="1" applyAlignment="1">
      <alignment horizontal="center" vertical="center"/>
    </xf>
    <xf numFmtId="167" fontId="50" fillId="0" borderId="0" xfId="4" applyNumberFormat="1" applyFont="1" applyAlignment="1">
      <alignment horizontal="center" vertical="center"/>
    </xf>
    <xf numFmtId="167" fontId="51" fillId="0" borderId="2" xfId="4" applyNumberFormat="1" applyFont="1" applyBorder="1" applyAlignment="1">
      <alignment horizontal="center" vertical="center"/>
    </xf>
    <xf numFmtId="0" fontId="87" fillId="0" borderId="0" xfId="0" applyFont="1" applyAlignment="1">
      <alignment horizontal="center" vertical="center"/>
    </xf>
    <xf numFmtId="167" fontId="50" fillId="0" borderId="23" xfId="4" applyNumberFormat="1" applyFont="1" applyBorder="1" applyAlignment="1">
      <alignment vertical="center"/>
    </xf>
    <xf numFmtId="167" fontId="89" fillId="0" borderId="2" xfId="4" applyNumberFormat="1" applyFont="1" applyBorder="1" applyAlignment="1">
      <alignment vertical="center" wrapText="1"/>
    </xf>
    <xf numFmtId="0" fontId="51" fillId="0" borderId="2" xfId="4" applyNumberFormat="1" applyFont="1" applyBorder="1" applyAlignment="1">
      <alignment horizontal="center" vertical="center"/>
    </xf>
    <xf numFmtId="0" fontId="91" fillId="0" borderId="2" xfId="4" applyNumberFormat="1" applyFont="1" applyBorder="1" applyAlignment="1">
      <alignment horizontal="center" vertical="center"/>
    </xf>
    <xf numFmtId="0" fontId="55" fillId="0" borderId="2" xfId="0" applyFont="1" applyBorder="1" applyAlignment="1">
      <alignment horizontal="left" vertical="top"/>
    </xf>
    <xf numFmtId="166" fontId="108" fillId="0" borderId="27" xfId="1" applyFont="1" applyBorder="1" applyAlignment="1">
      <alignment horizontal="center" vertical="center" wrapText="1"/>
    </xf>
    <xf numFmtId="166" fontId="108" fillId="0" borderId="46" xfId="1" applyFont="1" applyBorder="1" applyAlignment="1">
      <alignment horizontal="center" vertical="center" wrapText="1"/>
    </xf>
    <xf numFmtId="2" fontId="55" fillId="0" borderId="25" xfId="1" applyNumberFormat="1" applyFont="1" applyBorder="1" applyAlignment="1">
      <alignment vertical="top"/>
    </xf>
    <xf numFmtId="167" fontId="61" fillId="0" borderId="27" xfId="4" applyNumberFormat="1" applyFont="1" applyBorder="1" applyAlignment="1">
      <alignment horizontal="left" vertical="top"/>
    </xf>
    <xf numFmtId="167" fontId="61" fillId="0" borderId="25" xfId="4" applyNumberFormat="1" applyFont="1" applyBorder="1" applyAlignment="1">
      <alignment horizontal="left" vertical="top"/>
    </xf>
    <xf numFmtId="166" fontId="64" fillId="0" borderId="25" xfId="1" applyFont="1" applyBorder="1" applyAlignment="1">
      <alignment horizontal="right" vertical="top"/>
    </xf>
    <xf numFmtId="0" fontId="123" fillId="0" borderId="0" xfId="0" applyFont="1"/>
    <xf numFmtId="0" fontId="122" fillId="0" borderId="41" xfId="0" applyFont="1" applyBorder="1" applyAlignment="1">
      <alignment vertical="center"/>
    </xf>
    <xf numFmtId="0" fontId="122" fillId="0" borderId="42" xfId="0" applyFont="1" applyBorder="1" applyAlignment="1">
      <alignment vertical="center"/>
    </xf>
    <xf numFmtId="0" fontId="122" fillId="0" borderId="73" xfId="0" applyFont="1" applyBorder="1" applyAlignment="1">
      <alignment vertical="center"/>
    </xf>
    <xf numFmtId="0" fontId="124" fillId="0" borderId="41" xfId="0" applyFont="1" applyBorder="1" applyAlignment="1">
      <alignment vertical="center" wrapText="1"/>
    </xf>
    <xf numFmtId="0" fontId="123" fillId="0" borderId="38" xfId="0" applyFont="1" applyBorder="1" applyAlignment="1">
      <alignment vertical="center"/>
    </xf>
    <xf numFmtId="0" fontId="124" fillId="0" borderId="42" xfId="0" applyFont="1" applyBorder="1" applyAlignment="1">
      <alignment vertical="center" wrapText="1"/>
    </xf>
    <xf numFmtId="0" fontId="123" fillId="0" borderId="43" xfId="0" applyFont="1" applyBorder="1" applyAlignment="1">
      <alignment vertical="center"/>
    </xf>
    <xf numFmtId="0" fontId="123" fillId="0" borderId="73" xfId="0" applyFont="1" applyBorder="1"/>
    <xf numFmtId="0" fontId="123" fillId="0" borderId="74" xfId="0" applyFont="1" applyBorder="1"/>
    <xf numFmtId="0" fontId="123" fillId="0" borderId="40" xfId="0" applyFont="1" applyBorder="1"/>
    <xf numFmtId="0" fontId="50" fillId="0" borderId="23" xfId="6" applyFont="1" applyBorder="1" applyAlignment="1">
      <alignment horizontal="center" vertical="top"/>
    </xf>
    <xf numFmtId="0" fontId="53" fillId="0" borderId="2" xfId="6" applyFont="1" applyBorder="1" applyAlignment="1">
      <alignment horizontal="center" vertical="top"/>
    </xf>
    <xf numFmtId="0" fontId="50" fillId="0" borderId="2" xfId="6" applyFont="1" applyBorder="1" applyAlignment="1">
      <alignment horizontal="center" vertical="top"/>
    </xf>
    <xf numFmtId="0" fontId="89" fillId="0" borderId="0" xfId="21" applyFont="1" applyAlignment="1">
      <alignment horizontal="left" vertical="top"/>
    </xf>
    <xf numFmtId="0" fontId="95" fillId="0" borderId="0" xfId="0" applyFont="1" applyAlignment="1">
      <alignment horizontal="left" vertical="top"/>
    </xf>
    <xf numFmtId="0" fontId="58" fillId="0" borderId="0" xfId="0" applyFont="1" applyAlignment="1">
      <alignment horizontal="left" vertical="top"/>
    </xf>
    <xf numFmtId="0" fontId="89" fillId="0" borderId="0" xfId="0" applyFont="1" applyAlignment="1">
      <alignment horizontal="left" vertical="top"/>
    </xf>
    <xf numFmtId="0" fontId="50" fillId="0" borderId="0" xfId="0" applyFont="1" applyAlignment="1">
      <alignment horizontal="left" vertical="top"/>
    </xf>
    <xf numFmtId="0" fontId="50" fillId="0" borderId="0" xfId="21" applyFont="1" applyAlignment="1">
      <alignment horizontal="left" vertical="top"/>
    </xf>
    <xf numFmtId="0" fontId="82" fillId="41" borderId="0" xfId="27301" applyFont="1" applyFill="1" applyAlignment="1">
      <alignment horizontal="left" vertical="top"/>
    </xf>
    <xf numFmtId="166" fontId="82" fillId="0" borderId="0" xfId="1" applyFont="1" applyAlignment="1">
      <alignment vertical="top"/>
    </xf>
    <xf numFmtId="0" fontId="51" fillId="0" borderId="2" xfId="7" applyNumberFormat="1" applyFont="1" applyBorder="1" applyAlignment="1">
      <alignment horizontal="left" vertical="center"/>
    </xf>
    <xf numFmtId="166" fontId="51" fillId="0" borderId="25" xfId="1" applyFont="1" applyBorder="1" applyAlignment="1">
      <alignment vertical="top"/>
    </xf>
    <xf numFmtId="166" fontId="51" fillId="0" borderId="28" xfId="1" applyFont="1" applyBorder="1" applyAlignment="1">
      <alignment vertical="top"/>
    </xf>
    <xf numFmtId="0" fontId="58" fillId="0" borderId="23" xfId="0" applyFont="1" applyBorder="1" applyAlignment="1">
      <alignment vertical="top"/>
    </xf>
    <xf numFmtId="2" fontId="55" fillId="0" borderId="2" xfId="1" applyNumberFormat="1" applyFont="1" applyBorder="1" applyAlignment="1">
      <alignment vertical="top"/>
    </xf>
    <xf numFmtId="0" fontId="94" fillId="0" borderId="48" xfId="0" applyFont="1" applyBorder="1" applyAlignment="1">
      <alignment vertical="top"/>
    </xf>
    <xf numFmtId="0" fontId="131" fillId="0" borderId="2" xfId="0" applyFont="1" applyBorder="1" applyAlignment="1">
      <alignment vertical="top"/>
    </xf>
    <xf numFmtId="173" fontId="58" fillId="40" borderId="1" xfId="0" applyNumberFormat="1" applyFont="1" applyFill="1" applyBorder="1" applyAlignment="1">
      <alignment horizontal="center" vertical="center" wrapText="1"/>
    </xf>
    <xf numFmtId="0" fontId="4" fillId="0" borderId="42" xfId="0" quotePrefix="1" applyFont="1" applyBorder="1" applyAlignment="1">
      <alignment vertical="center" wrapText="1"/>
    </xf>
    <xf numFmtId="0" fontId="4" fillId="0" borderId="0" xfId="0" quotePrefix="1" applyFont="1" applyAlignment="1">
      <alignment vertical="center"/>
    </xf>
    <xf numFmtId="0" fontId="4" fillId="0" borderId="0" xfId="0" quotePrefix="1" applyFont="1" applyAlignment="1">
      <alignment vertical="center" wrapText="1"/>
    </xf>
    <xf numFmtId="0" fontId="4" fillId="0" borderId="43" xfId="0" quotePrefix="1" applyFont="1" applyBorder="1" applyAlignment="1">
      <alignment vertical="center" wrapText="1"/>
    </xf>
    <xf numFmtId="0" fontId="125" fillId="0" borderId="0" xfId="0" applyFont="1"/>
    <xf numFmtId="2" fontId="108" fillId="0" borderId="46" xfId="34797" applyNumberFormat="1" applyFont="1" applyBorder="1" applyAlignment="1">
      <alignment horizontal="center" vertical="center" wrapText="1"/>
    </xf>
    <xf numFmtId="0" fontId="75" fillId="0" borderId="0" xfId="0" applyFont="1"/>
    <xf numFmtId="0" fontId="109" fillId="0" borderId="0" xfId="6" applyFont="1" applyAlignment="1">
      <alignment horizontal="center" vertical="center"/>
    </xf>
    <xf numFmtId="0" fontId="132" fillId="0" borderId="0" xfId="0" applyFont="1" applyAlignment="1">
      <alignment horizontal="center" vertical="center"/>
    </xf>
    <xf numFmtId="0" fontId="76" fillId="0" borderId="0" xfId="0" applyFont="1" applyAlignment="1">
      <alignment horizontal="center" vertical="center"/>
    </xf>
    <xf numFmtId="172" fontId="130" fillId="0" borderId="46" xfId="34797" applyNumberFormat="1" applyFont="1" applyBorder="1" applyAlignment="1">
      <alignment horizontal="center" vertical="center" wrapText="1"/>
    </xf>
    <xf numFmtId="0" fontId="130" fillId="0" borderId="46" xfId="0" applyFont="1" applyBorder="1"/>
    <xf numFmtId="0" fontId="51" fillId="0" borderId="23" xfId="6" applyFont="1" applyBorder="1"/>
    <xf numFmtId="0" fontId="50" fillId="0" borderId="47" xfId="6" applyFont="1" applyBorder="1" applyAlignment="1">
      <alignment horizontal="center"/>
    </xf>
    <xf numFmtId="167" fontId="50" fillId="0" borderId="0" xfId="1" applyNumberFormat="1" applyFont="1" applyAlignment="1">
      <alignment horizontal="center"/>
    </xf>
    <xf numFmtId="167" fontId="50" fillId="0" borderId="27" xfId="1" applyNumberFormat="1" applyFont="1" applyBorder="1" applyAlignment="1">
      <alignment horizontal="right"/>
    </xf>
    <xf numFmtId="166" fontId="50" fillId="0" borderId="27" xfId="1" applyFont="1" applyBorder="1" applyAlignment="1">
      <alignment horizontal="right"/>
    </xf>
    <xf numFmtId="0" fontId="82" fillId="0" borderId="22" xfId="0" applyFont="1" applyBorder="1" applyAlignment="1">
      <alignment horizontal="center" vertical="top"/>
    </xf>
    <xf numFmtId="166" fontId="82" fillId="0" borderId="34" xfId="1" applyFont="1" applyBorder="1" applyAlignment="1">
      <alignment horizontal="right" vertical="top"/>
    </xf>
    <xf numFmtId="0" fontId="51" fillId="0" borderId="0" xfId="6" applyFont="1" applyAlignment="1">
      <alignment horizontal="centerContinuous" vertical="center"/>
    </xf>
    <xf numFmtId="0" fontId="85" fillId="0" borderId="52" xfId="0" applyFont="1" applyBorder="1" applyAlignment="1">
      <alignment horizontal="center" vertical="center" wrapText="1"/>
    </xf>
    <xf numFmtId="0" fontId="85" fillId="0" borderId="50" xfId="0" applyFont="1" applyBorder="1" applyAlignment="1">
      <alignment horizontal="center" vertical="center" wrapText="1"/>
    </xf>
    <xf numFmtId="0" fontId="108" fillId="0" borderId="2" xfId="6" applyFont="1" applyBorder="1" applyAlignment="1">
      <alignment horizontal="center" vertical="top"/>
    </xf>
    <xf numFmtId="0" fontId="80" fillId="0" borderId="0" xfId="19" applyNumberFormat="1" applyFont="1" applyAlignment="1">
      <alignment horizontal="left" vertical="top"/>
    </xf>
    <xf numFmtId="166" fontId="82" fillId="0" borderId="46" xfId="1" applyFont="1" applyBorder="1" applyAlignment="1">
      <alignment horizontal="right" vertical="top"/>
    </xf>
    <xf numFmtId="167" fontId="53" fillId="0" borderId="0" xfId="1" applyNumberFormat="1" applyFont="1" applyAlignment="1">
      <alignment vertical="center"/>
    </xf>
    <xf numFmtId="167" fontId="50" fillId="0" borderId="0" xfId="1" applyNumberFormat="1" applyFont="1" applyAlignment="1">
      <alignment horizontal="right" vertical="center"/>
    </xf>
    <xf numFmtId="0" fontId="50" fillId="0" borderId="26" xfId="0" applyFont="1" applyBorder="1" applyAlignment="1">
      <alignment vertical="top"/>
    </xf>
    <xf numFmtId="166" fontId="89" fillId="0" borderId="34" xfId="1" applyFont="1" applyBorder="1" applyAlignment="1">
      <alignment horizontal="right" vertical="top"/>
    </xf>
    <xf numFmtId="0" fontId="50" fillId="0" borderId="0" xfId="6" applyFont="1" applyAlignment="1">
      <alignment horizontal="center" vertical="center"/>
    </xf>
    <xf numFmtId="0" fontId="50" fillId="0" borderId="48" xfId="0" applyFont="1" applyBorder="1" applyAlignment="1">
      <alignment horizontal="center" vertical="top"/>
    </xf>
    <xf numFmtId="0" fontId="91" fillId="0" borderId="28" xfId="6" applyFont="1" applyBorder="1" applyAlignment="1">
      <alignment horizontal="center" vertical="top"/>
    </xf>
    <xf numFmtId="49" fontId="51" fillId="0" borderId="2" xfId="0" applyNumberFormat="1" applyFont="1" applyBorder="1" applyAlignment="1">
      <alignment horizontal="left" vertical="top" indent="1"/>
    </xf>
    <xf numFmtId="0" fontId="51" fillId="0" borderId="26" xfId="6" applyFont="1" applyBorder="1" applyAlignment="1">
      <alignment horizontal="left" vertical="top"/>
    </xf>
    <xf numFmtId="167" fontId="55" fillId="0" borderId="2" xfId="0" applyNumberFormat="1" applyFont="1" applyBorder="1" applyAlignment="1">
      <alignment vertical="top"/>
    </xf>
    <xf numFmtId="0" fontId="64" fillId="0" borderId="0" xfId="0" applyFont="1" applyAlignment="1">
      <alignment vertical="top"/>
    </xf>
    <xf numFmtId="0" fontId="87" fillId="0" borderId="46" xfId="0" applyFont="1" applyBorder="1" applyAlignment="1">
      <alignment horizontal="left" vertical="top"/>
    </xf>
    <xf numFmtId="0" fontId="62" fillId="0" borderId="21" xfId="0" applyFont="1" applyBorder="1" applyAlignment="1">
      <alignment horizontal="left" vertical="top"/>
    </xf>
    <xf numFmtId="0" fontId="62" fillId="0" borderId="22" xfId="0" applyFont="1" applyBorder="1" applyAlignment="1">
      <alignment horizontal="left" vertical="top"/>
    </xf>
    <xf numFmtId="166" fontId="62" fillId="0" borderId="46" xfId="1" quotePrefix="1" applyFont="1" applyBorder="1" applyAlignment="1">
      <alignment horizontal="center" vertical="top" wrapText="1"/>
    </xf>
    <xf numFmtId="0" fontId="87" fillId="0" borderId="48" xfId="0" applyFont="1" applyBorder="1" applyAlignment="1">
      <alignment horizontal="left" vertical="top" wrapText="1"/>
    </xf>
    <xf numFmtId="166" fontId="62" fillId="0" borderId="28" xfId="1" applyFont="1" applyBorder="1" applyAlignment="1">
      <alignment horizontal="center" vertical="top" wrapText="1"/>
    </xf>
    <xf numFmtId="166" fontId="62" fillId="0" borderId="49" xfId="1" applyFont="1" applyBorder="1" applyAlignment="1">
      <alignment horizontal="center" vertical="top" wrapText="1"/>
    </xf>
    <xf numFmtId="0" fontId="62" fillId="0" borderId="23" xfId="0" applyFont="1" applyBorder="1" applyAlignment="1">
      <alignment horizontal="left" vertical="top"/>
    </xf>
    <xf numFmtId="0" fontId="62" fillId="0" borderId="47" xfId="0" applyFont="1" applyBorder="1" applyAlignment="1">
      <alignment horizontal="left" vertical="top"/>
    </xf>
    <xf numFmtId="0" fontId="62" fillId="0" borderId="26" xfId="0" applyFont="1" applyBorder="1" applyAlignment="1">
      <alignment horizontal="left" vertical="top"/>
    </xf>
    <xf numFmtId="0" fontId="62" fillId="0" borderId="48" xfId="0" applyFont="1" applyBorder="1" applyAlignment="1">
      <alignment horizontal="left" vertical="top"/>
    </xf>
    <xf numFmtId="0" fontId="62" fillId="0" borderId="49" xfId="0" applyFont="1" applyBorder="1" applyAlignment="1">
      <alignment horizontal="left" vertical="top"/>
    </xf>
    <xf numFmtId="0" fontId="134" fillId="0" borderId="27" xfId="0" applyFont="1" applyBorder="1" applyAlignment="1">
      <alignment vertical="center" wrapText="1"/>
    </xf>
    <xf numFmtId="0" fontId="134" fillId="0" borderId="22" xfId="0" applyFont="1" applyBorder="1" applyAlignment="1">
      <alignment vertical="center" wrapText="1"/>
    </xf>
    <xf numFmtId="0" fontId="135" fillId="0" borderId="47" xfId="0" applyFont="1" applyBorder="1" applyAlignment="1">
      <alignment vertical="center" wrapText="1"/>
    </xf>
    <xf numFmtId="0" fontId="135" fillId="0" borderId="26" xfId="0" applyFont="1" applyBorder="1" applyAlignment="1">
      <alignment vertical="center" wrapText="1"/>
    </xf>
    <xf numFmtId="0" fontId="135" fillId="0" borderId="49" xfId="0" applyFont="1" applyBorder="1" applyAlignment="1">
      <alignment vertical="center" wrapText="1"/>
    </xf>
    <xf numFmtId="0" fontId="135" fillId="0" borderId="22" xfId="0" applyFont="1" applyBorder="1" applyAlignment="1">
      <alignment vertical="center" wrapText="1"/>
    </xf>
    <xf numFmtId="0" fontId="135" fillId="0" borderId="2" xfId="0" applyFont="1" applyBorder="1" applyAlignment="1">
      <alignment vertical="center" wrapText="1"/>
    </xf>
    <xf numFmtId="0" fontId="135" fillId="0" borderId="48" xfId="0" applyFont="1" applyBorder="1" applyAlignment="1">
      <alignment vertical="center" wrapText="1"/>
    </xf>
    <xf numFmtId="0" fontId="135" fillId="0" borderId="23" xfId="0" applyFont="1" applyBorder="1" applyAlignment="1">
      <alignment vertical="center" wrapText="1"/>
    </xf>
    <xf numFmtId="0" fontId="135" fillId="0" borderId="21" xfId="0" applyFont="1" applyBorder="1" applyAlignment="1">
      <alignment vertical="center" wrapText="1"/>
    </xf>
    <xf numFmtId="0" fontId="134" fillId="0" borderId="23" xfId="0" applyFont="1" applyBorder="1" applyAlignment="1">
      <alignment horizontal="center" vertical="center" wrapText="1"/>
    </xf>
    <xf numFmtId="0" fontId="134" fillId="0" borderId="2" xfId="0" applyFont="1" applyBorder="1" applyAlignment="1">
      <alignment horizontal="center" vertical="center" wrapText="1"/>
    </xf>
    <xf numFmtId="0" fontId="135" fillId="0" borderId="2" xfId="0" applyFont="1" applyBorder="1" applyAlignment="1">
      <alignment horizontal="center" vertical="center" wrapText="1"/>
    </xf>
    <xf numFmtId="0" fontId="135" fillId="0" borderId="48" xfId="0" applyFont="1" applyBorder="1" applyAlignment="1">
      <alignment horizontal="center" vertical="center" wrapText="1"/>
    </xf>
    <xf numFmtId="0" fontId="55" fillId="0" borderId="45" xfId="0" applyFont="1" applyBorder="1"/>
    <xf numFmtId="0" fontId="55" fillId="0" borderId="3" xfId="0" applyFont="1" applyBorder="1"/>
    <xf numFmtId="0" fontId="136" fillId="0" borderId="0" xfId="27405" applyFont="1" applyAlignment="1">
      <alignment horizontal="center" vertical="center"/>
    </xf>
    <xf numFmtId="9" fontId="136" fillId="0" borderId="0" xfId="34801" applyFont="1" applyAlignment="1">
      <alignment horizontal="center" vertical="center"/>
    </xf>
    <xf numFmtId="0" fontId="137" fillId="0" borderId="0" xfId="27405" applyFont="1"/>
    <xf numFmtId="0" fontId="136" fillId="0" borderId="0" xfId="27405" applyFont="1" applyAlignment="1">
      <alignment horizontal="center"/>
    </xf>
    <xf numFmtId="0" fontId="137" fillId="0" borderId="0" xfId="27405" applyFont="1" applyAlignment="1">
      <alignment horizontal="center"/>
    </xf>
    <xf numFmtId="9" fontId="137" fillId="0" borderId="0" xfId="34801" applyFont="1" applyAlignment="1">
      <alignment horizontal="center"/>
    </xf>
    <xf numFmtId="0" fontId="60" fillId="41" borderId="46" xfId="27405" applyFont="1" applyFill="1" applyBorder="1" applyAlignment="1">
      <alignment horizontal="center" vertical="center"/>
    </xf>
    <xf numFmtId="0" fontId="60" fillId="41" borderId="28" xfId="27405" applyFont="1" applyFill="1" applyBorder="1" applyAlignment="1">
      <alignment horizontal="center" vertical="center"/>
    </xf>
    <xf numFmtId="0" fontId="65" fillId="0" borderId="46" xfId="27405" applyFont="1" applyBorder="1" applyAlignment="1">
      <alignment horizontal="justify" vertical="justify"/>
    </xf>
    <xf numFmtId="169" fontId="65" fillId="0" borderId="46" xfId="27405" applyNumberFormat="1" applyFont="1" applyBorder="1" applyAlignment="1">
      <alignment horizontal="justify" vertical="justify"/>
    </xf>
    <xf numFmtId="0" fontId="137" fillId="0" borderId="2" xfId="27405" applyFont="1" applyBorder="1"/>
    <xf numFmtId="0" fontId="65" fillId="0" borderId="0" xfId="27405" applyFont="1" applyAlignment="1">
      <alignment horizontal="left" vertical="center" wrapText="1"/>
    </xf>
    <xf numFmtId="0" fontId="65" fillId="0" borderId="0" xfId="27405" applyFont="1" applyAlignment="1">
      <alignment horizontal="justify" vertical="justify"/>
    </xf>
    <xf numFmtId="169" fontId="65" fillId="0" borderId="0" xfId="27405" applyNumberFormat="1" applyFont="1" applyAlignment="1">
      <alignment horizontal="justify" vertical="justify"/>
    </xf>
    <xf numFmtId="0" fontId="65" fillId="0" borderId="0" xfId="27405" applyFont="1" applyAlignment="1">
      <alignment horizontal="center" vertical="center"/>
    </xf>
    <xf numFmtId="2" fontId="65" fillId="0" borderId="0" xfId="27405" applyNumberFormat="1" applyFont="1" applyAlignment="1">
      <alignment horizontal="center" vertical="center"/>
    </xf>
    <xf numFmtId="9" fontId="65" fillId="0" borderId="26" xfId="34801" applyFont="1" applyBorder="1" applyAlignment="1">
      <alignment horizontal="center" vertical="center"/>
    </xf>
    <xf numFmtId="0" fontId="61" fillId="0" borderId="46" xfId="27405" applyFont="1" applyBorder="1" applyAlignment="1">
      <alignment horizontal="justify" vertical="justify"/>
    </xf>
    <xf numFmtId="169" fontId="61" fillId="0" borderId="0" xfId="20947" applyNumberFormat="1" applyFont="1" applyAlignment="1">
      <alignment horizontal="justify" vertical="justify"/>
    </xf>
    <xf numFmtId="0" fontId="65" fillId="0" borderId="45" xfId="27405" applyFont="1" applyBorder="1" applyAlignment="1">
      <alignment horizontal="center" vertical="center"/>
    </xf>
    <xf numFmtId="2" fontId="61" fillId="0" borderId="0" xfId="20947" applyNumberFormat="1" applyFont="1" applyAlignment="1">
      <alignment horizontal="center" vertical="center"/>
    </xf>
    <xf numFmtId="169" fontId="61" fillId="0" borderId="46" xfId="20947" applyNumberFormat="1" applyFont="1" applyBorder="1" applyAlignment="1">
      <alignment horizontal="justify" vertical="justify"/>
    </xf>
    <xf numFmtId="0" fontId="61" fillId="0" borderId="2" xfId="27405" applyFont="1" applyBorder="1" applyAlignment="1">
      <alignment horizontal="left" vertical="center"/>
    </xf>
    <xf numFmtId="0" fontId="61" fillId="0" borderId="0" xfId="27405" applyFont="1" applyAlignment="1">
      <alignment horizontal="left" vertical="center" wrapText="1"/>
    </xf>
    <xf numFmtId="166" fontId="61" fillId="0" borderId="0" xfId="20947" applyFont="1" applyAlignment="1">
      <alignment horizontal="center" vertical="center"/>
    </xf>
    <xf numFmtId="9" fontId="65" fillId="0" borderId="26" xfId="34801" applyFont="1" applyBorder="1" applyAlignment="1">
      <alignment horizontal="center"/>
    </xf>
    <xf numFmtId="0" fontId="65" fillId="0" borderId="2" xfId="27405" applyFont="1" applyBorder="1" applyAlignment="1">
      <alignment horizontal="left" vertical="center"/>
    </xf>
    <xf numFmtId="0" fontId="51" fillId="0" borderId="0" xfId="27405" applyFont="1" applyAlignment="1">
      <alignment horizontal="left" vertical="center" wrapText="1"/>
    </xf>
    <xf numFmtId="9" fontId="65" fillId="0" borderId="0" xfId="27405" applyNumberFormat="1" applyFont="1" applyAlignment="1">
      <alignment horizontal="center" vertical="center"/>
    </xf>
    <xf numFmtId="9" fontId="61" fillId="0" borderId="0" xfId="20947" applyNumberFormat="1" applyFont="1" applyAlignment="1">
      <alignment horizontal="center" vertical="center"/>
    </xf>
    <xf numFmtId="9" fontId="65" fillId="0" borderId="26" xfId="34801" applyFont="1" applyFill="1" applyBorder="1" applyAlignment="1">
      <alignment horizontal="center" vertical="center"/>
    </xf>
    <xf numFmtId="199" fontId="61" fillId="0" borderId="0" xfId="20947" applyNumberFormat="1" applyFont="1" applyAlignment="1">
      <alignment horizontal="center" vertical="center"/>
    </xf>
    <xf numFmtId="0" fontId="137" fillId="0" borderId="2" xfId="27405" applyFont="1" applyBorder="1" applyAlignment="1">
      <alignment horizontal="left" vertical="center"/>
    </xf>
    <xf numFmtId="200" fontId="61" fillId="0" borderId="0" xfId="34801" applyNumberFormat="1" applyFont="1" applyBorder="1" applyAlignment="1">
      <alignment horizontal="center" vertical="center"/>
    </xf>
    <xf numFmtId="0" fontId="137" fillId="0" borderId="2" xfId="27405" applyFont="1" applyBorder="1" applyAlignment="1">
      <alignment horizontal="center" vertical="center"/>
    </xf>
    <xf numFmtId="10" fontId="61" fillId="0" borderId="0" xfId="33731" applyNumberFormat="1" applyFont="1" applyAlignment="1">
      <alignment horizontal="center" vertical="center"/>
    </xf>
    <xf numFmtId="0" fontId="61" fillId="0" borderId="0" xfId="27405" applyFont="1" applyAlignment="1">
      <alignment horizontal="left" vertical="justify"/>
    </xf>
    <xf numFmtId="10" fontId="61" fillId="0" borderId="0" xfId="20947" applyNumberFormat="1" applyFont="1" applyAlignment="1">
      <alignment horizontal="center" vertical="center"/>
    </xf>
    <xf numFmtId="169" fontId="61" fillId="0" borderId="46" xfId="27405" applyNumberFormat="1" applyFont="1" applyBorder="1" applyAlignment="1">
      <alignment horizontal="justify" vertical="justify"/>
    </xf>
    <xf numFmtId="0" fontId="137" fillId="0" borderId="48" xfId="27405" applyFont="1" applyBorder="1"/>
    <xf numFmtId="0" fontId="61" fillId="0" borderId="4" xfId="27405" applyFont="1" applyBorder="1" applyAlignment="1">
      <alignment horizontal="left" vertical="justify"/>
    </xf>
    <xf numFmtId="0" fontId="65" fillId="0" borderId="4" xfId="27405" applyFont="1" applyBorder="1" applyAlignment="1">
      <alignment horizontal="justify" vertical="justify"/>
    </xf>
    <xf numFmtId="169" fontId="61" fillId="0" borderId="4" xfId="20947" applyNumberFormat="1" applyFont="1" applyBorder="1" applyAlignment="1">
      <alignment horizontal="justify" vertical="justify"/>
    </xf>
    <xf numFmtId="10" fontId="61" fillId="0" borderId="4" xfId="33731" applyNumberFormat="1" applyFont="1" applyBorder="1" applyAlignment="1">
      <alignment horizontal="center" vertical="center"/>
    </xf>
    <xf numFmtId="10" fontId="61" fillId="0" borderId="4" xfId="20947" applyNumberFormat="1" applyFont="1" applyBorder="1" applyAlignment="1">
      <alignment horizontal="center" vertical="center"/>
    </xf>
    <xf numFmtId="9" fontId="65" fillId="0" borderId="49" xfId="34801" applyFont="1" applyBorder="1" applyAlignment="1">
      <alignment horizontal="center" vertical="center"/>
    </xf>
    <xf numFmtId="0" fontId="134" fillId="0" borderId="23" xfId="20" applyFont="1" applyBorder="1" applyAlignment="1">
      <alignment horizontal="center" vertical="center"/>
    </xf>
    <xf numFmtId="0" fontId="108" fillId="0" borderId="46" xfId="0" applyFont="1" applyBorder="1" applyAlignment="1">
      <alignment horizontal="left" vertical="center" wrapText="1"/>
    </xf>
    <xf numFmtId="0" fontId="108" fillId="0" borderId="21" xfId="0" applyFont="1" applyBorder="1" applyAlignment="1">
      <alignment horizontal="left" vertical="center"/>
    </xf>
    <xf numFmtId="0" fontId="108" fillId="0" borderId="3" xfId="0" applyFont="1" applyBorder="1" applyAlignment="1">
      <alignment horizontal="center" vertical="center" wrapText="1"/>
    </xf>
    <xf numFmtId="0" fontId="108" fillId="0" borderId="22" xfId="0" applyFont="1" applyBorder="1" applyAlignment="1">
      <alignment horizontal="center" vertical="center" wrapText="1"/>
    </xf>
    <xf numFmtId="0" fontId="102" fillId="0" borderId="45" xfId="0" applyFont="1" applyBorder="1" applyAlignment="1">
      <alignment vertical="top"/>
    </xf>
    <xf numFmtId="0" fontId="61" fillId="0" borderId="45" xfId="0" applyFont="1" applyBorder="1" applyAlignment="1">
      <alignment vertical="top"/>
    </xf>
    <xf numFmtId="0" fontId="61" fillId="0" borderId="47" xfId="0" applyFont="1" applyBorder="1" applyAlignment="1">
      <alignment vertical="top"/>
    </xf>
    <xf numFmtId="0" fontId="102" fillId="0" borderId="0" xfId="0" applyFont="1" applyAlignment="1">
      <alignment vertical="top"/>
    </xf>
    <xf numFmtId="0" fontId="61" fillId="0" borderId="26" xfId="0" applyFont="1" applyBorder="1" applyAlignment="1">
      <alignment vertical="top"/>
    </xf>
    <xf numFmtId="0" fontId="61" fillId="0" borderId="4" xfId="0" applyFont="1" applyBorder="1" applyAlignment="1">
      <alignment vertical="top"/>
    </xf>
    <xf numFmtId="0" fontId="61" fillId="0" borderId="49" xfId="0" applyFont="1" applyBorder="1" applyAlignment="1">
      <alignment vertical="top"/>
    </xf>
    <xf numFmtId="0" fontId="102" fillId="0" borderId="27" xfId="0" applyFont="1" applyBorder="1" applyAlignment="1">
      <alignment horizontal="left" vertical="top"/>
    </xf>
    <xf numFmtId="0" fontId="61" fillId="0" borderId="25" xfId="0" applyFont="1" applyBorder="1" applyAlignment="1">
      <alignment horizontal="left" vertical="top"/>
    </xf>
    <xf numFmtId="0" fontId="61" fillId="0" borderId="28" xfId="0" applyFont="1" applyBorder="1" applyAlignment="1">
      <alignment horizontal="left" vertical="top"/>
    </xf>
    <xf numFmtId="0" fontId="55" fillId="0" borderId="27" xfId="0" applyFont="1" applyBorder="1"/>
    <xf numFmtId="0" fontId="55" fillId="0" borderId="25" xfId="0" applyFont="1" applyBorder="1"/>
    <xf numFmtId="0" fontId="55" fillId="0" borderId="46" xfId="0" applyFont="1" applyBorder="1"/>
    <xf numFmtId="0" fontId="55" fillId="0" borderId="28" xfId="0" applyFont="1" applyBorder="1"/>
    <xf numFmtId="0" fontId="134" fillId="0" borderId="47" xfId="0" applyFont="1" applyBorder="1" applyAlignment="1">
      <alignment vertical="center" wrapText="1"/>
    </xf>
    <xf numFmtId="0" fontId="137" fillId="0" borderId="0" xfId="27405" applyFont="1" applyAlignment="1">
      <alignment horizontal="left"/>
    </xf>
    <xf numFmtId="0" fontId="65" fillId="0" borderId="0" xfId="27405" applyFont="1"/>
    <xf numFmtId="0" fontId="112" fillId="0" borderId="0" xfId="0" applyFont="1" applyAlignment="1">
      <alignment horizontal="left" vertical="center"/>
    </xf>
    <xf numFmtId="166" fontId="89" fillId="0" borderId="25" xfId="1" applyFont="1" applyBorder="1" applyAlignment="1">
      <alignment horizontal="right" vertical="top"/>
    </xf>
    <xf numFmtId="0" fontId="50" fillId="0" borderId="2" xfId="6" applyFont="1" applyBorder="1" applyAlignment="1">
      <alignment vertical="top"/>
    </xf>
    <xf numFmtId="0" fontId="50" fillId="0" borderId="0" xfId="0" applyFont="1" applyAlignment="1">
      <alignment horizontal="right"/>
    </xf>
    <xf numFmtId="166" fontId="50" fillId="0" borderId="28" xfId="1" quotePrefix="1" applyFont="1" applyBorder="1" applyAlignment="1">
      <alignment horizontal="center" vertical="center" wrapText="1"/>
    </xf>
    <xf numFmtId="0" fontId="50" fillId="0" borderId="23" xfId="0" applyFont="1" applyBorder="1" applyAlignment="1">
      <alignment vertical="top"/>
    </xf>
    <xf numFmtId="0" fontId="51" fillId="0" borderId="19" xfId="0" applyFont="1" applyBorder="1" applyAlignment="1">
      <alignment vertical="top"/>
    </xf>
    <xf numFmtId="0" fontId="51" fillId="0" borderId="24" xfId="0" applyFont="1" applyBorder="1" applyAlignment="1">
      <alignment vertical="top"/>
    </xf>
    <xf numFmtId="166" fontId="50" fillId="0" borderId="27" xfId="1" quotePrefix="1" applyFont="1" applyBorder="1" applyAlignment="1">
      <alignment horizontal="center" vertical="center" wrapText="1"/>
    </xf>
    <xf numFmtId="0" fontId="50" fillId="0" borderId="48" xfId="4" applyNumberFormat="1" applyFont="1" applyBorder="1" applyAlignment="1">
      <alignment vertical="center" wrapText="1"/>
    </xf>
    <xf numFmtId="0" fontId="51" fillId="0" borderId="45" xfId="0" applyFont="1" applyBorder="1" applyAlignment="1">
      <alignment vertical="top"/>
    </xf>
    <xf numFmtId="0" fontId="51" fillId="0" borderId="47" xfId="0" applyFont="1" applyBorder="1" applyAlignment="1">
      <alignment vertical="top"/>
    </xf>
    <xf numFmtId="166" fontId="51" fillId="0" borderId="27" xfId="1" applyFont="1" applyBorder="1" applyAlignment="1">
      <alignment vertical="top"/>
    </xf>
    <xf numFmtId="0" fontId="51" fillId="0" borderId="2" xfId="0" quotePrefix="1" applyFont="1" applyBorder="1" applyAlignment="1">
      <alignment vertical="top" wrapText="1"/>
    </xf>
    <xf numFmtId="0" fontId="51" fillId="0" borderId="2" xfId="0" quotePrefix="1" applyFont="1" applyBorder="1" applyAlignment="1">
      <alignment vertical="top"/>
    </xf>
    <xf numFmtId="0" fontId="51" fillId="0" borderId="3" xfId="0" applyFont="1" applyBorder="1" applyAlignment="1">
      <alignment vertical="top"/>
    </xf>
    <xf numFmtId="166" fontId="108" fillId="0" borderId="55" xfId="1" applyFont="1" applyBorder="1" applyAlignment="1">
      <alignment vertical="top"/>
    </xf>
    <xf numFmtId="166" fontId="108" fillId="0" borderId="51" xfId="1" applyFont="1" applyBorder="1" applyAlignment="1">
      <alignment vertical="top"/>
    </xf>
    <xf numFmtId="0" fontId="50" fillId="0" borderId="20" xfId="4" applyNumberFormat="1" applyFont="1" applyBorder="1" applyAlignment="1">
      <alignment vertical="center" wrapText="1"/>
    </xf>
    <xf numFmtId="0" fontId="115" fillId="50" borderId="0" xfId="0" applyFont="1" applyFill="1" applyAlignment="1">
      <alignment horizontal="center" vertical="center"/>
    </xf>
    <xf numFmtId="0" fontId="121" fillId="50" borderId="0" xfId="0" applyFont="1" applyFill="1"/>
    <xf numFmtId="0" fontId="2" fillId="50" borderId="22" xfId="0" applyFont="1" applyFill="1" applyBorder="1" applyAlignment="1">
      <alignment horizontal="center" vertical="center"/>
    </xf>
    <xf numFmtId="0" fontId="4" fillId="50" borderId="46" xfId="0" applyFont="1" applyFill="1" applyBorder="1"/>
    <xf numFmtId="0" fontId="122" fillId="47" borderId="65" xfId="0" applyFont="1" applyFill="1" applyBorder="1" applyAlignment="1">
      <alignment horizontal="left" vertical="top" wrapText="1"/>
    </xf>
    <xf numFmtId="0" fontId="125" fillId="47" borderId="50" xfId="0" applyFont="1" applyFill="1" applyBorder="1"/>
    <xf numFmtId="0" fontId="125" fillId="47" borderId="66" xfId="0" applyFont="1" applyFill="1" applyBorder="1"/>
    <xf numFmtId="0" fontId="124" fillId="47" borderId="65" xfId="0" applyFont="1" applyFill="1" applyBorder="1" applyAlignment="1">
      <alignment horizontal="left" vertical="top" wrapText="1"/>
    </xf>
    <xf numFmtId="0" fontId="124" fillId="47" borderId="70" xfId="0" applyFont="1" applyFill="1" applyBorder="1" applyAlignment="1">
      <alignment horizontal="left" vertical="top" wrapText="1"/>
    </xf>
    <xf numFmtId="0" fontId="125" fillId="47" borderId="71" xfId="0" applyFont="1" applyFill="1" applyBorder="1"/>
    <xf numFmtId="0" fontId="125" fillId="47" borderId="72" xfId="0" applyFont="1" applyFill="1" applyBorder="1"/>
    <xf numFmtId="0" fontId="2" fillId="50" borderId="46" xfId="0" applyFont="1" applyFill="1" applyBorder="1" applyAlignment="1">
      <alignment horizontal="center" vertical="center"/>
    </xf>
    <xf numFmtId="0" fontId="80" fillId="51" borderId="0" xfId="0" applyFont="1" applyFill="1" applyAlignment="1">
      <alignment horizontal="left" vertical="top" wrapText="1"/>
    </xf>
    <xf numFmtId="0" fontId="0" fillId="51" borderId="0" xfId="0" applyFill="1"/>
    <xf numFmtId="0" fontId="120" fillId="50" borderId="0" xfId="0" applyFont="1" applyFill="1" applyAlignment="1">
      <alignment horizontal="center" vertical="center"/>
    </xf>
    <xf numFmtId="0" fontId="4" fillId="50" borderId="0" xfId="0" applyFont="1" applyFill="1"/>
    <xf numFmtId="0" fontId="122" fillId="47" borderId="63" xfId="0" applyFont="1" applyFill="1" applyBorder="1" applyAlignment="1">
      <alignment horizontal="left" vertical="top" wrapText="1"/>
    </xf>
    <xf numFmtId="0" fontId="125" fillId="47" borderId="62" xfId="0" applyFont="1" applyFill="1" applyBorder="1"/>
    <xf numFmtId="0" fontId="125" fillId="47" borderId="64" xfId="0" applyFont="1" applyFill="1" applyBorder="1"/>
    <xf numFmtId="0" fontId="2" fillId="0" borderId="46" xfId="0" applyFont="1" applyBorder="1" applyAlignment="1">
      <alignment horizontal="left" vertical="center"/>
    </xf>
    <xf numFmtId="0" fontId="124" fillId="47" borderId="67" xfId="0" applyFont="1" applyFill="1" applyBorder="1" applyAlignment="1">
      <alignment horizontal="left" vertical="top" wrapText="1"/>
    </xf>
    <xf numFmtId="0" fontId="125" fillId="47" borderId="68" xfId="0" applyFont="1" applyFill="1" applyBorder="1"/>
    <xf numFmtId="0" fontId="125" fillId="47" borderId="69" xfId="0" applyFont="1" applyFill="1" applyBorder="1"/>
    <xf numFmtId="0" fontId="122" fillId="47" borderId="67" xfId="0" applyFont="1" applyFill="1" applyBorder="1" applyAlignment="1">
      <alignment horizontal="left" vertical="top" wrapText="1"/>
    </xf>
    <xf numFmtId="198" fontId="119" fillId="53" borderId="46" xfId="0" applyNumberFormat="1" applyFont="1" applyFill="1" applyBorder="1" applyAlignment="1">
      <alignment horizontal="center" vertical="center" wrapText="1"/>
    </xf>
    <xf numFmtId="0" fontId="4" fillId="0" borderId="46" xfId="0" applyFont="1" applyBorder="1" applyAlignment="1">
      <alignment horizontal="left" vertical="top" wrapText="1"/>
    </xf>
    <xf numFmtId="0" fontId="2" fillId="0" borderId="0" xfId="0" applyFont="1" applyAlignment="1">
      <alignment vertical="center"/>
    </xf>
    <xf numFmtId="0" fontId="2" fillId="0" borderId="43" xfId="0" applyFont="1" applyBorder="1" applyAlignment="1">
      <alignment vertical="center"/>
    </xf>
    <xf numFmtId="0" fontId="4" fillId="0" borderId="42" xfId="0" applyFont="1" applyBorder="1" applyAlignment="1">
      <alignment vertical="center" wrapText="1"/>
    </xf>
    <xf numFmtId="0" fontId="4" fillId="0" borderId="0" xfId="0" applyFont="1" applyAlignment="1">
      <alignment vertical="center" wrapText="1"/>
    </xf>
    <xf numFmtId="0" fontId="4" fillId="0" borderId="43" xfId="0" applyFont="1" applyBorder="1" applyAlignment="1">
      <alignment vertical="center" wrapText="1"/>
    </xf>
    <xf numFmtId="198" fontId="126" fillId="52" borderId="21" xfId="0" applyNumberFormat="1" applyFont="1" applyFill="1" applyBorder="1" applyAlignment="1">
      <alignment horizontal="center" vertical="center" wrapText="1"/>
    </xf>
    <xf numFmtId="198" fontId="126" fillId="52" borderId="3" xfId="0" applyNumberFormat="1" applyFont="1" applyFill="1" applyBorder="1" applyAlignment="1">
      <alignment horizontal="center" vertical="center" wrapText="1"/>
    </xf>
    <xf numFmtId="198" fontId="126" fillId="52" borderId="22" xfId="0" applyNumberFormat="1" applyFont="1" applyFill="1" applyBorder="1" applyAlignment="1">
      <alignment horizontal="center" vertical="center" wrapText="1"/>
    </xf>
    <xf numFmtId="198" fontId="127" fillId="52" borderId="46" xfId="0" applyNumberFormat="1" applyFont="1" applyFill="1" applyBorder="1" applyAlignment="1">
      <alignment horizontal="center" vertical="center" wrapText="1"/>
    </xf>
    <xf numFmtId="198" fontId="127" fillId="52" borderId="3" xfId="0" applyNumberFormat="1" applyFont="1" applyFill="1" applyBorder="1" applyAlignment="1">
      <alignment horizontal="center" vertical="center" wrapText="1"/>
    </xf>
    <xf numFmtId="198" fontId="127" fillId="52" borderId="22" xfId="0" applyNumberFormat="1" applyFont="1" applyFill="1" applyBorder="1" applyAlignment="1">
      <alignment horizontal="center" vertical="center" wrapText="1"/>
    </xf>
    <xf numFmtId="0" fontId="128" fillId="46" borderId="79" xfId="0" applyFont="1" applyFill="1" applyBorder="1" applyAlignment="1">
      <alignment horizontal="center" vertical="center"/>
    </xf>
    <xf numFmtId="0" fontId="128" fillId="46" borderId="80" xfId="0" applyFont="1" applyFill="1" applyBorder="1" applyAlignment="1">
      <alignment horizontal="center" vertical="center"/>
    </xf>
    <xf numFmtId="0" fontId="128" fillId="46" borderId="81" xfId="0" applyFont="1" applyFill="1" applyBorder="1" applyAlignment="1">
      <alignment horizontal="center" vertical="center"/>
    </xf>
    <xf numFmtId="198" fontId="127" fillId="52" borderId="75" xfId="0" applyNumberFormat="1" applyFont="1" applyFill="1" applyBorder="1" applyAlignment="1">
      <alignment horizontal="center" vertical="center" wrapText="1"/>
    </xf>
    <xf numFmtId="198" fontId="127" fillId="52" borderId="56" xfId="0" applyNumberFormat="1" applyFont="1" applyFill="1" applyBorder="1" applyAlignment="1">
      <alignment horizontal="center" vertical="center" wrapText="1"/>
    </xf>
    <xf numFmtId="198" fontId="127" fillId="52" borderId="76" xfId="0" applyNumberFormat="1" applyFont="1" applyFill="1" applyBorder="1" applyAlignment="1">
      <alignment horizontal="center" vertical="center" wrapText="1"/>
    </xf>
    <xf numFmtId="0" fontId="2" fillId="0" borderId="45" xfId="0" applyFont="1" applyBorder="1" applyAlignment="1">
      <alignment vertical="center"/>
    </xf>
    <xf numFmtId="0" fontId="2" fillId="0" borderId="78" xfId="0" applyFont="1" applyBorder="1" applyAlignment="1">
      <alignment vertical="center"/>
    </xf>
    <xf numFmtId="0" fontId="4" fillId="0" borderId="77" xfId="0" applyFont="1" applyBorder="1" applyAlignment="1">
      <alignment vertical="center" wrapText="1"/>
    </xf>
    <xf numFmtId="0" fontId="4" fillId="0" borderId="45" xfId="0" applyFont="1" applyBorder="1" applyAlignment="1">
      <alignment vertical="center" wrapText="1"/>
    </xf>
    <xf numFmtId="0" fontId="4" fillId="0" borderId="78" xfId="0" applyFont="1" applyBorder="1" applyAlignment="1">
      <alignment vertical="center" wrapText="1"/>
    </xf>
    <xf numFmtId="0" fontId="2" fillId="0" borderId="74" xfId="0" applyFont="1" applyBorder="1" applyAlignment="1">
      <alignment vertical="center"/>
    </xf>
    <xf numFmtId="0" fontId="2" fillId="0" borderId="40" xfId="0" applyFont="1" applyBorder="1" applyAlignment="1">
      <alignment vertical="center"/>
    </xf>
    <xf numFmtId="0" fontId="4" fillId="0" borderId="73" xfId="0" applyFont="1" applyBorder="1" applyAlignment="1">
      <alignment vertical="center" wrapText="1"/>
    </xf>
    <xf numFmtId="0" fontId="4" fillId="0" borderId="74" xfId="0" applyFont="1" applyBorder="1" applyAlignment="1">
      <alignment vertical="center" wrapText="1"/>
    </xf>
    <xf numFmtId="0" fontId="4" fillId="0" borderId="40" xfId="0" applyFont="1" applyBorder="1" applyAlignment="1">
      <alignment vertical="center" wrapText="1"/>
    </xf>
    <xf numFmtId="0" fontId="4" fillId="0" borderId="77" xfId="0" applyFont="1" applyBorder="1" applyAlignment="1">
      <alignment horizontal="left" vertical="center" wrapText="1"/>
    </xf>
    <xf numFmtId="0" fontId="4" fillId="0" borderId="45" xfId="0" applyFont="1" applyBorder="1" applyAlignment="1">
      <alignment horizontal="left" vertical="center" wrapText="1"/>
    </xf>
    <xf numFmtId="0" fontId="4" fillId="0" borderId="78" xfId="0" applyFont="1" applyBorder="1" applyAlignment="1">
      <alignment horizontal="left" vertical="center" wrapText="1"/>
    </xf>
    <xf numFmtId="0" fontId="4" fillId="0" borderId="42" xfId="0" applyFont="1" applyBorder="1" applyAlignment="1">
      <alignment horizontal="left" vertical="center" wrapText="1"/>
    </xf>
    <xf numFmtId="0" fontId="4" fillId="0" borderId="0" xfId="0" applyFont="1" applyAlignment="1">
      <alignment horizontal="left" vertical="center" wrapText="1"/>
    </xf>
    <xf numFmtId="0" fontId="4" fillId="0" borderId="43" xfId="0" applyFont="1" applyBorder="1" applyAlignment="1">
      <alignment horizontal="left" vertical="center" wrapText="1"/>
    </xf>
    <xf numFmtId="0" fontId="129" fillId="0" borderId="45" xfId="0" applyFont="1" applyBorder="1" applyAlignment="1">
      <alignment vertical="center" wrapText="1"/>
    </xf>
    <xf numFmtId="0" fontId="129" fillId="0" borderId="0" xfId="0" applyFont="1" applyAlignment="1">
      <alignment vertical="center" wrapText="1"/>
    </xf>
    <xf numFmtId="0" fontId="4" fillId="0" borderId="73" xfId="0" applyFont="1" applyBorder="1" applyAlignment="1">
      <alignment horizontal="left" vertical="center" wrapText="1"/>
    </xf>
    <xf numFmtId="0" fontId="4" fillId="0" borderId="74" xfId="0" applyFont="1" applyBorder="1" applyAlignment="1">
      <alignment horizontal="left" vertical="center" wrapText="1"/>
    </xf>
    <xf numFmtId="0" fontId="4" fillId="0" borderId="40" xfId="0" applyFont="1" applyBorder="1" applyAlignment="1">
      <alignment horizontal="left" vertical="center" wrapText="1"/>
    </xf>
    <xf numFmtId="0" fontId="79" fillId="43" borderId="0" xfId="0" applyFont="1" applyFill="1" applyAlignment="1">
      <alignment horizontal="center" vertical="center"/>
    </xf>
    <xf numFmtId="0" fontId="0" fillId="43" borderId="0" xfId="0" applyFill="1"/>
    <xf numFmtId="0" fontId="78" fillId="43" borderId="0" xfId="0" applyFont="1" applyFill="1" applyAlignment="1">
      <alignment horizontal="center" vertical="center"/>
    </xf>
    <xf numFmtId="0" fontId="84" fillId="47" borderId="0" xfId="0" applyFont="1" applyFill="1" applyAlignment="1">
      <alignment horizontal="left" vertical="top" wrapText="1"/>
    </xf>
    <xf numFmtId="0" fontId="0" fillId="47" borderId="0" xfId="0" applyFill="1"/>
    <xf numFmtId="0" fontId="80" fillId="0" borderId="0" xfId="0" applyFont="1" applyAlignment="1">
      <alignment horizontal="left" vertical="top" wrapText="1"/>
    </xf>
    <xf numFmtId="0" fontId="0" fillId="0" borderId="0" xfId="0"/>
    <xf numFmtId="0" fontId="109" fillId="0" borderId="0" xfId="6" applyFont="1" applyAlignment="1">
      <alignment horizontal="center" vertical="center"/>
    </xf>
    <xf numFmtId="0" fontId="132" fillId="0" borderId="0" xfId="0" applyFont="1" applyAlignment="1">
      <alignment horizontal="center" vertical="center"/>
    </xf>
    <xf numFmtId="175" fontId="51" fillId="0" borderId="2" xfId="0" quotePrefix="1" applyNumberFormat="1" applyFont="1" applyBorder="1" applyAlignment="1">
      <alignment horizontal="justify" vertical="top" wrapText="1"/>
    </xf>
    <xf numFmtId="0" fontId="51" fillId="0" borderId="26" xfId="0" applyFont="1" applyBorder="1"/>
    <xf numFmtId="175" fontId="51" fillId="0" borderId="2" xfId="0" quotePrefix="1" applyNumberFormat="1" applyFont="1" applyBorder="1" applyAlignment="1">
      <alignment horizontal="left" vertical="top" wrapText="1"/>
    </xf>
    <xf numFmtId="0" fontId="51" fillId="0" borderId="0" xfId="6" applyFont="1" applyAlignment="1">
      <alignment horizontal="center" vertical="top"/>
    </xf>
    <xf numFmtId="0" fontId="62" fillId="0" borderId="0" xfId="6" applyFont="1" applyAlignment="1">
      <alignment horizontal="center" vertical="center"/>
    </xf>
    <xf numFmtId="0" fontId="76" fillId="0" borderId="0" xfId="0" applyFont="1" applyAlignment="1">
      <alignment horizontal="center" vertical="center"/>
    </xf>
    <xf numFmtId="0" fontId="108" fillId="0" borderId="0" xfId="0" applyFont="1" applyAlignment="1">
      <alignment horizontal="center" vertical="center"/>
    </xf>
    <xf numFmtId="0" fontId="75" fillId="0" borderId="0" xfId="0" applyFont="1"/>
    <xf numFmtId="172" fontId="108" fillId="0" borderId="46" xfId="34797" applyNumberFormat="1" applyFont="1" applyBorder="1" applyAlignment="1">
      <alignment horizontal="center" vertical="center" wrapText="1"/>
    </xf>
    <xf numFmtId="0" fontId="108" fillId="0" borderId="46" xfId="0" applyFont="1" applyBorder="1" applyAlignment="1">
      <alignment horizontal="center" vertical="center" wrapText="1"/>
    </xf>
    <xf numFmtId="0" fontId="75" fillId="0" borderId="46" xfId="0" applyFont="1" applyBorder="1"/>
    <xf numFmtId="0" fontId="90" fillId="0" borderId="31" xfId="0" applyFont="1" applyBorder="1" applyAlignment="1">
      <alignment vertical="top" wrapText="1"/>
    </xf>
    <xf numFmtId="0" fontId="55" fillId="0" borderId="0" xfId="0" applyFont="1"/>
    <xf numFmtId="0" fontId="0" fillId="0" borderId="26" xfId="0" applyBorder="1"/>
    <xf numFmtId="0" fontId="133" fillId="0" borderId="0" xfId="6" applyFont="1" applyAlignment="1">
      <alignment horizontal="center" vertical="center"/>
    </xf>
    <xf numFmtId="0" fontId="51" fillId="0" borderId="0" xfId="4" applyNumberFormat="1" applyFont="1" applyAlignment="1">
      <alignment vertical="top" wrapText="1"/>
    </xf>
    <xf numFmtId="0" fontId="51" fillId="0" borderId="26" xfId="4" applyNumberFormat="1" applyFont="1" applyBorder="1" applyAlignment="1">
      <alignment vertical="top" wrapText="1"/>
    </xf>
    <xf numFmtId="0" fontId="56" fillId="0" borderId="25" xfId="6" applyFont="1" applyBorder="1" applyAlignment="1">
      <alignment horizontal="center" vertical="top"/>
    </xf>
    <xf numFmtId="0" fontId="0" fillId="0" borderId="25" xfId="0" applyBorder="1"/>
    <xf numFmtId="0" fontId="109" fillId="0" borderId="0" xfId="0" applyFont="1" applyAlignment="1">
      <alignment horizontal="center" vertical="center"/>
    </xf>
    <xf numFmtId="0" fontId="133" fillId="0" borderId="0" xfId="0" applyFont="1" applyAlignment="1">
      <alignment horizontal="center" vertical="center"/>
    </xf>
    <xf numFmtId="0" fontId="91" fillId="0" borderId="0" xfId="16" applyFont="1" applyAlignment="1">
      <alignment horizontal="justify" vertical="justify" wrapText="1"/>
    </xf>
    <xf numFmtId="0" fontId="71" fillId="0" borderId="0" xfId="0" applyFont="1"/>
    <xf numFmtId="166" fontId="71" fillId="0" borderId="0" xfId="1" applyFont="1"/>
    <xf numFmtId="0" fontId="99" fillId="0" borderId="0" xfId="0" applyFont="1" applyAlignment="1">
      <alignment horizontal="center" vertical="center" wrapText="1"/>
    </xf>
    <xf numFmtId="166" fontId="55" fillId="0" borderId="0" xfId="1" applyFont="1"/>
    <xf numFmtId="0" fontId="55" fillId="0" borderId="2" xfId="0" quotePrefix="1" applyFont="1" applyBorder="1" applyAlignment="1">
      <alignment horizontal="left" vertical="top" wrapText="1"/>
    </xf>
    <xf numFmtId="0" fontId="94" fillId="0" borderId="2" xfId="0" quotePrefix="1" applyFont="1" applyBorder="1" applyAlignment="1">
      <alignment horizontal="left" vertical="top" wrapText="1"/>
    </xf>
    <xf numFmtId="0" fontId="51" fillId="0" borderId="0" xfId="0" applyFont="1" applyAlignment="1">
      <alignment horizontal="left" vertical="top" wrapText="1"/>
    </xf>
    <xf numFmtId="0" fontId="82" fillId="0" borderId="21" xfId="27301" applyFont="1" applyBorder="1" applyAlignment="1">
      <alignment horizontal="left" vertical="top"/>
    </xf>
    <xf numFmtId="0" fontId="0" fillId="0" borderId="3" xfId="0" applyBorder="1"/>
    <xf numFmtId="0" fontId="91" fillId="0" borderId="44" xfId="0" applyFont="1" applyBorder="1" applyAlignment="1">
      <alignment horizontal="left" vertical="top"/>
    </xf>
    <xf numFmtId="0" fontId="0" fillId="0" borderId="43" xfId="0" applyBorder="1"/>
    <xf numFmtId="0" fontId="95" fillId="0" borderId="23" xfId="0" applyFont="1" applyBorder="1" applyAlignment="1">
      <alignment horizontal="left" vertical="center"/>
    </xf>
    <xf numFmtId="0" fontId="95" fillId="0" borderId="45" xfId="0" applyFont="1" applyBorder="1" applyAlignment="1">
      <alignment horizontal="left" vertical="center"/>
    </xf>
    <xf numFmtId="0" fontId="95" fillId="0" borderId="47" xfId="0" applyFont="1" applyBorder="1" applyAlignment="1">
      <alignment horizontal="left" vertical="center"/>
    </xf>
    <xf numFmtId="0" fontId="91" fillId="0" borderId="44" xfId="0" applyFont="1" applyBorder="1" applyAlignment="1">
      <alignment horizontal="left" vertical="top" wrapText="1"/>
    </xf>
    <xf numFmtId="0" fontId="51" fillId="0" borderId="39" xfId="0" applyFont="1" applyBorder="1" applyAlignment="1">
      <alignment horizontal="left"/>
    </xf>
    <xf numFmtId="0" fontId="0" fillId="0" borderId="40" xfId="0" applyBorder="1"/>
    <xf numFmtId="0" fontId="82" fillId="0" borderId="27" xfId="0" applyFont="1" applyBorder="1" applyAlignment="1">
      <alignment horizontal="center" vertical="center"/>
    </xf>
    <xf numFmtId="0" fontId="82" fillId="0" borderId="28" xfId="0" applyFont="1" applyBorder="1" applyAlignment="1">
      <alignment horizontal="center" vertical="center"/>
    </xf>
    <xf numFmtId="0" fontId="87" fillId="0" borderId="37" xfId="0" applyFont="1" applyBorder="1" applyAlignment="1">
      <alignment horizontal="left" vertical="center"/>
    </xf>
    <xf numFmtId="0" fontId="0" fillId="0" borderId="38" xfId="0" applyBorder="1"/>
    <xf numFmtId="0" fontId="0" fillId="0" borderId="42" xfId="0" applyBorder="1"/>
    <xf numFmtId="1" fontId="89" fillId="41" borderId="0" xfId="27301" applyNumberFormat="1" applyFont="1" applyFill="1" applyAlignment="1">
      <alignment horizontal="left" vertical="center"/>
    </xf>
    <xf numFmtId="1" fontId="89" fillId="0" borderId="1" xfId="34800" applyNumberFormat="1" applyFont="1" applyBorder="1" applyAlignment="1">
      <alignment horizontal="center" vertical="center" wrapText="1"/>
    </xf>
    <xf numFmtId="0" fontId="0" fillId="0" borderId="22" xfId="0" applyBorder="1"/>
    <xf numFmtId="0" fontId="112" fillId="0" borderId="0" xfId="0" applyFont="1" applyAlignment="1">
      <alignment horizontal="center" vertical="center"/>
    </xf>
    <xf numFmtId="0" fontId="113" fillId="0" borderId="0" xfId="0" applyFont="1" applyAlignment="1">
      <alignment horizontal="center"/>
    </xf>
    <xf numFmtId="166" fontId="113" fillId="0" borderId="0" xfId="1" applyFont="1" applyAlignment="1">
      <alignment horizontal="center"/>
    </xf>
    <xf numFmtId="0" fontId="89" fillId="0" borderId="0" xfId="6" applyFont="1" applyAlignment="1">
      <alignment horizontal="left" vertical="center"/>
    </xf>
    <xf numFmtId="166" fontId="89" fillId="0" borderId="23" xfId="1" quotePrefix="1" applyFont="1" applyBorder="1" applyAlignment="1">
      <alignment horizontal="center" vertical="center" wrapText="1"/>
    </xf>
    <xf numFmtId="166" fontId="89" fillId="0" borderId="47" xfId="1" quotePrefix="1" applyFont="1" applyBorder="1" applyAlignment="1">
      <alignment horizontal="center" vertical="center" wrapText="1"/>
    </xf>
    <xf numFmtId="0" fontId="50" fillId="0" borderId="23" xfId="0" applyFont="1" applyBorder="1" applyAlignment="1">
      <alignment horizontal="left" vertical="center"/>
    </xf>
    <xf numFmtId="0" fontId="89" fillId="0" borderId="45" xfId="0" applyFont="1" applyBorder="1" applyAlignment="1">
      <alignment horizontal="left" vertical="center"/>
    </xf>
    <xf numFmtId="0" fontId="89" fillId="0" borderId="47" xfId="0" applyFont="1" applyBorder="1" applyAlignment="1">
      <alignment horizontal="left" vertical="center"/>
    </xf>
    <xf numFmtId="0" fontId="89" fillId="0" borderId="48" xfId="0" applyFont="1" applyBorder="1" applyAlignment="1">
      <alignment horizontal="left" vertical="center"/>
    </xf>
    <xf numFmtId="0" fontId="89" fillId="0" borderId="4" xfId="0" applyFont="1" applyBorder="1" applyAlignment="1">
      <alignment horizontal="left" vertical="center"/>
    </xf>
    <xf numFmtId="0" fontId="89" fillId="0" borderId="49" xfId="0" applyFont="1" applyBorder="1" applyAlignment="1">
      <alignment horizontal="left" vertical="center"/>
    </xf>
    <xf numFmtId="0" fontId="95" fillId="0" borderId="46" xfId="0" applyFont="1" applyBorder="1" applyAlignment="1">
      <alignment horizontal="left" vertical="center"/>
    </xf>
    <xf numFmtId="1" fontId="67" fillId="0" borderId="0" xfId="34800" applyNumberFormat="1" applyFont="1" applyAlignment="1">
      <alignment horizontal="center" vertical="center"/>
    </xf>
    <xf numFmtId="0" fontId="58" fillId="0" borderId="0" xfId="0" applyFont="1" applyAlignment="1">
      <alignment horizontal="center"/>
    </xf>
    <xf numFmtId="1" fontId="89" fillId="0" borderId="37" xfId="27301" applyNumberFormat="1" applyFont="1" applyBorder="1" applyAlignment="1">
      <alignment horizontal="right" vertical="center" wrapText="1"/>
    </xf>
    <xf numFmtId="0" fontId="0" fillId="0" borderId="44" xfId="0" applyBorder="1"/>
    <xf numFmtId="0" fontId="60" fillId="0" borderId="0" xfId="0" applyFont="1" applyAlignment="1">
      <alignment horizontal="center" vertical="center"/>
    </xf>
    <xf numFmtId="0" fontId="65" fillId="0" borderId="0" xfId="0" applyFont="1" applyAlignment="1">
      <alignment horizontal="center"/>
    </xf>
    <xf numFmtId="166" fontId="65" fillId="0" borderId="0" xfId="1" applyFont="1" applyAlignment="1">
      <alignment horizontal="center"/>
    </xf>
    <xf numFmtId="1" fontId="89" fillId="0" borderId="46" xfId="34800" applyNumberFormat="1" applyFont="1" applyBorder="1" applyAlignment="1">
      <alignment horizontal="left" vertical="center"/>
    </xf>
    <xf numFmtId="0" fontId="0" fillId="0" borderId="47" xfId="0" applyBorder="1"/>
    <xf numFmtId="0" fontId="0" fillId="0" borderId="2" xfId="0" applyBorder="1"/>
    <xf numFmtId="1" fontId="82" fillId="0" borderId="48" xfId="27301" applyNumberFormat="1" applyFont="1" applyBorder="1" applyAlignment="1">
      <alignment horizontal="left" vertical="top"/>
    </xf>
    <xf numFmtId="0" fontId="0" fillId="0" borderId="49" xfId="0" applyBorder="1"/>
    <xf numFmtId="0" fontId="82" fillId="0" borderId="48" xfId="27301" applyFont="1" applyBorder="1" applyAlignment="1">
      <alignment horizontal="left" vertical="top"/>
    </xf>
    <xf numFmtId="0" fontId="0" fillId="0" borderId="4" xfId="0" applyBorder="1"/>
    <xf numFmtId="0" fontId="108" fillId="0" borderId="27" xfId="0" applyFont="1" applyBorder="1" applyAlignment="1">
      <alignment horizontal="center" vertical="center"/>
    </xf>
    <xf numFmtId="0" fontId="108" fillId="0" borderId="28" xfId="0" applyFont="1" applyBorder="1" applyAlignment="1">
      <alignment horizontal="center" vertical="center"/>
    </xf>
    <xf numFmtId="0" fontId="51" fillId="0" borderId="37" xfId="0" applyFont="1" applyBorder="1" applyAlignment="1">
      <alignment horizontal="left" vertical="top"/>
    </xf>
    <xf numFmtId="0" fontId="75" fillId="0" borderId="38" xfId="0" applyFont="1" applyBorder="1"/>
    <xf numFmtId="0" fontId="51" fillId="0" borderId="44" xfId="0" applyFont="1" applyBorder="1" applyAlignment="1">
      <alignment horizontal="left" vertical="top"/>
    </xf>
    <xf numFmtId="0" fontId="75" fillId="0" borderId="43" xfId="0" applyFont="1" applyBorder="1"/>
    <xf numFmtId="0" fontId="91" fillId="0" borderId="37" xfId="0" applyFont="1" applyBorder="1" applyAlignment="1">
      <alignment horizontal="left" vertical="top"/>
    </xf>
    <xf numFmtId="0" fontId="103" fillId="0" borderId="41" xfId="0" applyFont="1" applyBorder="1" applyAlignment="1">
      <alignment horizontal="center" vertical="center" wrapText="1"/>
    </xf>
    <xf numFmtId="0" fontId="0" fillId="0" borderId="56" xfId="0" applyBorder="1"/>
    <xf numFmtId="0" fontId="51" fillId="0" borderId="44" xfId="0" applyFont="1" applyBorder="1" applyAlignment="1">
      <alignment horizontal="left" vertical="top" wrapText="1"/>
    </xf>
    <xf numFmtId="0" fontId="75" fillId="0" borderId="40" xfId="0" applyFont="1" applyBorder="1"/>
    <xf numFmtId="0" fontId="62" fillId="0" borderId="37" xfId="0" applyFont="1" applyBorder="1" applyAlignment="1">
      <alignment horizontal="left" vertical="center"/>
    </xf>
    <xf numFmtId="0" fontId="75" fillId="0" borderId="42" xfId="0" applyFont="1" applyBorder="1"/>
    <xf numFmtId="0" fontId="75" fillId="0" borderId="56" xfId="0" applyFont="1" applyBorder="1"/>
    <xf numFmtId="0" fontId="61" fillId="0" borderId="0" xfId="0" applyFont="1" applyAlignment="1">
      <alignment vertical="top" wrapText="1"/>
    </xf>
    <xf numFmtId="0" fontId="102" fillId="0" borderId="0" xfId="0" applyFont="1" applyAlignment="1">
      <alignment vertical="top" wrapText="1"/>
    </xf>
    <xf numFmtId="0" fontId="51" fillId="0" borderId="0" xfId="21" applyFont="1"/>
    <xf numFmtId="167" fontId="51" fillId="0" borderId="0" xfId="1" applyNumberFormat="1" applyFont="1"/>
    <xf numFmtId="167" fontId="89" fillId="0" borderId="1" xfId="4" applyNumberFormat="1" applyFont="1" applyBorder="1" applyAlignment="1">
      <alignment horizontal="center" vertical="center"/>
    </xf>
    <xf numFmtId="0" fontId="0" fillId="0" borderId="3" xfId="0" applyBorder="1" applyAlignment="1">
      <alignment vertical="center"/>
    </xf>
    <xf numFmtId="0" fontId="0" fillId="0" borderId="22" xfId="0" applyBorder="1" applyAlignment="1">
      <alignment vertical="center"/>
    </xf>
    <xf numFmtId="167" fontId="89" fillId="0" borderId="1" xfId="4" applyNumberFormat="1" applyFont="1" applyBorder="1" applyAlignment="1">
      <alignment horizontal="center" vertical="center" wrapText="1"/>
    </xf>
    <xf numFmtId="167" fontId="50" fillId="0" borderId="27" xfId="4" applyNumberFormat="1" applyFont="1" applyBorder="1" applyAlignment="1">
      <alignment horizontal="center" vertical="center" wrapText="1"/>
    </xf>
    <xf numFmtId="167" fontId="50" fillId="0" borderId="28" xfId="4" applyNumberFormat="1" applyFont="1" applyBorder="1" applyAlignment="1">
      <alignment horizontal="center" vertical="center" wrapText="1"/>
    </xf>
    <xf numFmtId="167" fontId="108" fillId="0" borderId="27" xfId="4" applyNumberFormat="1" applyFont="1" applyBorder="1" applyAlignment="1">
      <alignment horizontal="center" vertical="center" wrapText="1"/>
    </xf>
    <xf numFmtId="167" fontId="108" fillId="0" borderId="28" xfId="4" applyNumberFormat="1" applyFont="1" applyBorder="1" applyAlignment="1">
      <alignment horizontal="center" vertical="center" wrapText="1"/>
    </xf>
    <xf numFmtId="167" fontId="82" fillId="0" borderId="21" xfId="4" applyNumberFormat="1" applyFont="1" applyBorder="1" applyAlignment="1">
      <alignment horizontal="left" vertical="top" wrapText="1"/>
    </xf>
    <xf numFmtId="167" fontId="82" fillId="0" borderId="22" xfId="4" applyNumberFormat="1" applyFont="1" applyBorder="1" applyAlignment="1">
      <alignment horizontal="left" vertical="top" wrapText="1"/>
    </xf>
    <xf numFmtId="0" fontId="109" fillId="0" borderId="0" xfId="0" applyFont="1" applyAlignment="1">
      <alignment horizontal="center" vertical="center" wrapText="1"/>
    </xf>
    <xf numFmtId="0" fontId="50" fillId="0" borderId="0" xfId="0" quotePrefix="1" applyFont="1" applyAlignment="1">
      <alignment horizontal="center" vertical="center"/>
    </xf>
    <xf numFmtId="0" fontId="50" fillId="0" borderId="0" xfId="0" applyFont="1" applyAlignment="1">
      <alignment horizontal="center" vertical="center"/>
    </xf>
    <xf numFmtId="0" fontId="104" fillId="0" borderId="27" xfId="0" applyFont="1" applyBorder="1" applyAlignment="1">
      <alignment horizontal="left" vertical="center"/>
    </xf>
    <xf numFmtId="0" fontId="104" fillId="0" borderId="28" xfId="0" applyFont="1" applyBorder="1" applyAlignment="1">
      <alignment horizontal="left" vertical="center"/>
    </xf>
    <xf numFmtId="0" fontId="64" fillId="0" borderId="0" xfId="0" applyFont="1" applyAlignment="1">
      <alignment horizontal="justify" vertical="top" wrapText="1"/>
    </xf>
    <xf numFmtId="0" fontId="52" fillId="0" borderId="0" xfId="0" applyFont="1" applyAlignment="1">
      <alignment horizontal="center" vertical="top"/>
    </xf>
    <xf numFmtId="0" fontId="62" fillId="0" borderId="21" xfId="0" applyFont="1" applyBorder="1" applyAlignment="1">
      <alignment horizontal="center" vertical="top" wrapText="1"/>
    </xf>
    <xf numFmtId="0" fontId="75" fillId="0" borderId="3" xfId="0" applyFont="1" applyBorder="1"/>
    <xf numFmtId="0" fontId="91" fillId="0" borderId="0" xfId="0" applyFont="1" applyAlignment="1">
      <alignment vertical="top" wrapText="1"/>
    </xf>
    <xf numFmtId="0" fontId="91" fillId="0" borderId="26" xfId="0" applyFont="1" applyBorder="1" applyAlignment="1">
      <alignment vertical="top" wrapText="1"/>
    </xf>
    <xf numFmtId="0" fontId="108" fillId="0" borderId="21" xfId="27301" applyFont="1" applyBorder="1" applyAlignment="1">
      <alignment horizontal="left" vertical="top"/>
    </xf>
    <xf numFmtId="0" fontId="91" fillId="0" borderId="2" xfId="0" applyFont="1" applyBorder="1" applyAlignment="1">
      <alignment horizontal="left" vertical="top" wrapText="1"/>
    </xf>
    <xf numFmtId="0" fontId="104" fillId="0" borderId="21" xfId="0" applyFont="1" applyBorder="1" applyAlignment="1">
      <alignment horizontal="center" vertical="top" wrapText="1"/>
    </xf>
    <xf numFmtId="0" fontId="91" fillId="0" borderId="25" xfId="21" applyFont="1" applyBorder="1" applyAlignment="1">
      <alignment horizontal="left" vertical="top" wrapText="1"/>
    </xf>
    <xf numFmtId="0" fontId="109" fillId="0" borderId="0" xfId="21" applyFont="1" applyAlignment="1">
      <alignment horizontal="center" vertical="top"/>
    </xf>
    <xf numFmtId="0" fontId="111" fillId="0" borderId="46" xfId="0" applyFont="1" applyBorder="1" applyAlignment="1">
      <alignment vertical="center"/>
    </xf>
    <xf numFmtId="0" fontId="111" fillId="0" borderId="23" xfId="0" applyFont="1" applyBorder="1" applyAlignment="1">
      <alignment vertical="center"/>
    </xf>
    <xf numFmtId="0" fontId="111" fillId="0" borderId="45" xfId="0" applyFont="1" applyBorder="1" applyAlignment="1">
      <alignment vertical="center"/>
    </xf>
    <xf numFmtId="0" fontId="111" fillId="0" borderId="47" xfId="0" applyFont="1" applyBorder="1" applyAlignment="1">
      <alignment vertical="center"/>
    </xf>
    <xf numFmtId="0" fontId="109" fillId="0" borderId="0" xfId="21" applyFont="1" applyAlignment="1">
      <alignment horizontal="center" vertical="center"/>
    </xf>
    <xf numFmtId="0" fontId="82" fillId="41" borderId="21" xfId="27301" applyFont="1" applyFill="1" applyBorder="1" applyAlignment="1">
      <alignment horizontal="left" vertical="top"/>
    </xf>
    <xf numFmtId="0" fontId="99" fillId="0" borderId="0" xfId="0" applyFont="1" applyAlignment="1">
      <alignment horizontal="center" vertical="top" wrapText="1"/>
    </xf>
    <xf numFmtId="167" fontId="91" fillId="0" borderId="2" xfId="0" applyNumberFormat="1" applyFont="1" applyBorder="1" applyAlignment="1">
      <alignment horizontal="left" vertical="top" wrapText="1"/>
    </xf>
    <xf numFmtId="0" fontId="51" fillId="0" borderId="0" xfId="6" applyFont="1" applyAlignment="1">
      <alignment horizontal="left" vertical="top"/>
    </xf>
    <xf numFmtId="167" fontId="91" fillId="0" borderId="48" xfId="0" applyNumberFormat="1" applyFont="1" applyBorder="1" applyAlignment="1">
      <alignment horizontal="left" vertical="top" wrapText="1"/>
    </xf>
    <xf numFmtId="0" fontId="55" fillId="0" borderId="4" xfId="0" applyFont="1" applyBorder="1"/>
    <xf numFmtId="0" fontId="55" fillId="0" borderId="49" xfId="0" applyFont="1" applyBorder="1"/>
    <xf numFmtId="0" fontId="87" fillId="0" borderId="0" xfId="0" applyFont="1" applyAlignment="1">
      <alignment horizontal="right" vertical="top"/>
    </xf>
    <xf numFmtId="0" fontId="61" fillId="0" borderId="0" xfId="0" applyFont="1" applyAlignment="1">
      <alignment vertical="top"/>
    </xf>
    <xf numFmtId="0" fontId="102" fillId="0" borderId="0" xfId="0" applyFont="1" applyAlignment="1">
      <alignment horizontal="justify" vertical="top" wrapText="1"/>
    </xf>
    <xf numFmtId="173" fontId="58" fillId="40" borderId="1" xfId="0" applyNumberFormat="1" applyFont="1" applyFill="1" applyBorder="1" applyAlignment="1">
      <alignment horizontal="center" vertical="center" wrapText="1"/>
    </xf>
    <xf numFmtId="166" fontId="94" fillId="0" borderId="1" xfId="1" applyFont="1" applyBorder="1" applyAlignment="1">
      <alignment horizontal="center" vertical="center" wrapText="1"/>
    </xf>
    <xf numFmtId="0" fontId="52" fillId="0" borderId="0" xfId="6" applyFont="1" applyAlignment="1">
      <alignment horizontal="left"/>
    </xf>
    <xf numFmtId="9" fontId="136" fillId="0" borderId="27" xfId="34801" applyFont="1" applyBorder="1" applyAlignment="1">
      <alignment horizontal="center" vertical="center"/>
    </xf>
    <xf numFmtId="9" fontId="136" fillId="0" borderId="28" xfId="34801" applyFont="1" applyBorder="1" applyAlignment="1">
      <alignment horizontal="center" vertical="center"/>
    </xf>
    <xf numFmtId="0" fontId="137" fillId="0" borderId="27" xfId="27405" applyFont="1" applyBorder="1" applyAlignment="1">
      <alignment horizontal="center" vertical="center"/>
    </xf>
    <xf numFmtId="0" fontId="137" fillId="0" borderId="28" xfId="27405" applyFont="1" applyBorder="1" applyAlignment="1">
      <alignment horizontal="center" vertical="center"/>
    </xf>
    <xf numFmtId="0" fontId="65" fillId="0" borderId="27" xfId="27405" applyFont="1" applyBorder="1" applyAlignment="1">
      <alignment horizontal="left" vertical="center" wrapText="1"/>
    </xf>
    <xf numFmtId="0" fontId="65" fillId="0" borderId="28" xfId="27405" applyFont="1" applyBorder="1" applyAlignment="1">
      <alignment horizontal="left" vertical="center" wrapText="1"/>
    </xf>
    <xf numFmtId="199" fontId="65" fillId="0" borderId="27" xfId="27405" applyNumberFormat="1" applyFont="1" applyBorder="1" applyAlignment="1">
      <alignment horizontal="center" vertical="center"/>
    </xf>
    <xf numFmtId="199" fontId="65" fillId="0" borderId="28" xfId="27405" applyNumberFormat="1" applyFont="1" applyBorder="1" applyAlignment="1">
      <alignment horizontal="center" vertical="center"/>
    </xf>
    <xf numFmtId="9" fontId="65" fillId="0" borderId="27" xfId="34801" applyFont="1" applyBorder="1" applyAlignment="1">
      <alignment horizontal="center" vertical="center"/>
    </xf>
    <xf numFmtId="9" fontId="65" fillId="0" borderId="28" xfId="34801" applyFont="1" applyBorder="1" applyAlignment="1">
      <alignment horizontal="center" vertical="center"/>
    </xf>
    <xf numFmtId="0" fontId="60" fillId="41" borderId="27" xfId="27405" applyFont="1" applyFill="1" applyBorder="1" applyAlignment="1">
      <alignment horizontal="center" vertical="center"/>
    </xf>
    <xf numFmtId="0" fontId="60" fillId="41" borderId="28" xfId="27405" applyFont="1" applyFill="1" applyBorder="1" applyAlignment="1">
      <alignment horizontal="center" vertical="center"/>
    </xf>
    <xf numFmtId="0" fontId="60" fillId="0" borderId="27" xfId="27405" applyFont="1" applyBorder="1" applyAlignment="1">
      <alignment horizontal="center" vertical="center"/>
    </xf>
    <xf numFmtId="0" fontId="60" fillId="0" borderId="28" xfId="27405" applyFont="1" applyBorder="1" applyAlignment="1">
      <alignment horizontal="center" vertical="center"/>
    </xf>
    <xf numFmtId="0" fontId="60" fillId="0" borderId="27" xfId="27405" applyFont="1" applyBorder="1" applyAlignment="1">
      <alignment horizontal="center" vertical="center" wrapText="1"/>
    </xf>
    <xf numFmtId="0" fontId="60" fillId="0" borderId="28" xfId="27405" applyFont="1" applyBorder="1" applyAlignment="1">
      <alignment horizontal="center" vertical="center" wrapText="1"/>
    </xf>
    <xf numFmtId="199" fontId="61" fillId="0" borderId="27" xfId="20947" applyNumberFormat="1" applyFont="1" applyBorder="1" applyAlignment="1">
      <alignment horizontal="center" vertical="center"/>
    </xf>
    <xf numFmtId="199" fontId="61" fillId="0" borderId="28" xfId="20947" applyNumberFormat="1" applyFont="1" applyBorder="1" applyAlignment="1">
      <alignment horizontal="center" vertical="center"/>
    </xf>
    <xf numFmtId="0" fontId="51" fillId="0" borderId="27" xfId="27405" applyFont="1" applyBorder="1" applyAlignment="1">
      <alignment horizontal="left" vertical="center" wrapText="1"/>
    </xf>
    <xf numFmtId="0" fontId="51" fillId="0" borderId="28" xfId="27405" applyFont="1" applyBorder="1" applyAlignment="1">
      <alignment horizontal="left" vertical="center" wrapText="1"/>
    </xf>
    <xf numFmtId="9" fontId="65" fillId="0" borderId="27" xfId="34801" applyFont="1" applyFill="1" applyBorder="1" applyAlignment="1">
      <alignment horizontal="center" vertical="center"/>
    </xf>
    <xf numFmtId="9" fontId="65" fillId="0" borderId="28" xfId="34801" applyFont="1" applyFill="1" applyBorder="1" applyAlignment="1">
      <alignment horizontal="center" vertical="center"/>
    </xf>
    <xf numFmtId="9" fontId="65" fillId="0" borderId="27" xfId="27405" applyNumberFormat="1" applyFont="1" applyBorder="1" applyAlignment="1">
      <alignment horizontal="center" vertical="center"/>
    </xf>
    <xf numFmtId="9" fontId="65" fillId="0" borderId="28" xfId="27405" applyNumberFormat="1" applyFont="1" applyBorder="1" applyAlignment="1">
      <alignment horizontal="center" vertical="center"/>
    </xf>
    <xf numFmtId="9" fontId="61" fillId="0" borderId="27" xfId="20947" applyNumberFormat="1" applyFont="1" applyBorder="1" applyAlignment="1">
      <alignment horizontal="center" vertical="center"/>
    </xf>
    <xf numFmtId="9" fontId="61" fillId="0" borderId="28" xfId="20947" applyNumberFormat="1" applyFont="1" applyBorder="1" applyAlignment="1">
      <alignment horizontal="center" vertical="center"/>
    </xf>
    <xf numFmtId="200" fontId="61" fillId="0" borderId="27" xfId="34801" applyNumberFormat="1" applyFont="1" applyBorder="1" applyAlignment="1">
      <alignment horizontal="center" vertical="center"/>
    </xf>
    <xf numFmtId="200" fontId="61" fillId="0" borderId="28" xfId="34801" applyNumberFormat="1" applyFont="1" applyBorder="1" applyAlignment="1">
      <alignment horizontal="center" vertical="center"/>
    </xf>
    <xf numFmtId="10" fontId="61" fillId="0" borderId="27" xfId="33731" applyNumberFormat="1" applyFont="1" applyBorder="1" applyAlignment="1">
      <alignment horizontal="center" vertical="center"/>
    </xf>
    <xf numFmtId="10" fontId="61" fillId="0" borderId="28" xfId="33731" applyNumberFormat="1" applyFont="1" applyBorder="1" applyAlignment="1">
      <alignment horizontal="center" vertical="center"/>
    </xf>
    <xf numFmtId="10" fontId="61" fillId="0" borderId="27" xfId="20947" applyNumberFormat="1" applyFont="1" applyBorder="1" applyAlignment="1">
      <alignment horizontal="center" vertical="center"/>
    </xf>
    <xf numFmtId="10" fontId="61" fillId="0" borderId="28" xfId="20947" applyNumberFormat="1" applyFont="1" applyBorder="1" applyAlignment="1">
      <alignment horizontal="center" vertical="center"/>
    </xf>
    <xf numFmtId="0" fontId="51" fillId="0" borderId="27" xfId="27405" applyFont="1" applyBorder="1" applyAlignment="1">
      <alignment horizontal="left" vertical="top" wrapText="1"/>
    </xf>
    <xf numFmtId="0" fontId="51" fillId="0" borderId="28" xfId="27405" applyFont="1" applyBorder="1" applyAlignment="1">
      <alignment horizontal="left" vertical="top" wrapText="1"/>
    </xf>
    <xf numFmtId="169" fontId="108" fillId="0" borderId="27" xfId="18367" applyNumberFormat="1" applyFont="1" applyBorder="1" applyAlignment="1">
      <alignment horizontal="center" vertical="center" wrapText="1"/>
    </xf>
    <xf numFmtId="169" fontId="108" fillId="0" borderId="28" xfId="18367" applyNumberFormat="1" applyFont="1" applyBorder="1" applyAlignment="1">
      <alignment horizontal="center" vertical="center" wrapText="1"/>
    </xf>
    <xf numFmtId="169" fontId="108" fillId="0" borderId="21" xfId="18367" applyNumberFormat="1" applyFont="1" applyBorder="1" applyAlignment="1">
      <alignment horizontal="center" vertical="center" wrapText="1"/>
    </xf>
    <xf numFmtId="169" fontId="108" fillId="0" borderId="22" xfId="18367" applyNumberFormat="1" applyFont="1" applyBorder="1" applyAlignment="1">
      <alignment horizontal="center" vertical="center" wrapText="1"/>
    </xf>
    <xf numFmtId="0" fontId="108" fillId="0" borderId="27" xfId="0" applyFont="1" applyBorder="1" applyAlignment="1">
      <alignment horizontal="center" vertical="center" wrapText="1"/>
    </xf>
    <xf numFmtId="0" fontId="108" fillId="0" borderId="28" xfId="0" applyFont="1" applyBorder="1" applyAlignment="1">
      <alignment horizontal="center" vertical="center" wrapText="1"/>
    </xf>
    <xf numFmtId="0" fontId="80" fillId="45" borderId="50" xfId="0" applyFont="1" applyFill="1" applyBorder="1" applyAlignment="1">
      <alignment horizontal="left" vertical="top" wrapText="1"/>
    </xf>
    <xf numFmtId="0" fontId="0" fillId="45" borderId="50" xfId="0" applyFill="1" applyBorder="1"/>
    <xf numFmtId="0" fontId="81" fillId="46" borderId="50" xfId="0" applyFont="1" applyFill="1" applyBorder="1" applyAlignment="1">
      <alignment horizontal="center" vertical="center"/>
    </xf>
    <xf numFmtId="0" fontId="0" fillId="46" borderId="50" xfId="0" applyFill="1" applyBorder="1"/>
    <xf numFmtId="0" fontId="80" fillId="44" borderId="0" xfId="0" applyFont="1" applyFill="1" applyAlignment="1">
      <alignment horizontal="left" vertical="top" wrapText="1"/>
    </xf>
    <xf numFmtId="0" fontId="0" fillId="44" borderId="0" xfId="0" applyFill="1"/>
    <xf numFmtId="0" fontId="84" fillId="47" borderId="50" xfId="0" applyFont="1" applyFill="1" applyBorder="1" applyAlignment="1">
      <alignment horizontal="center" vertical="center" wrapText="1"/>
    </xf>
    <xf numFmtId="0" fontId="0" fillId="47" borderId="50" xfId="0" applyFill="1" applyBorder="1"/>
    <xf numFmtId="0" fontId="80" fillId="47" borderId="50" xfId="0" applyFont="1" applyFill="1" applyBorder="1" applyAlignment="1">
      <alignment horizontal="left" vertical="top" wrapText="1"/>
    </xf>
    <xf numFmtId="0" fontId="84" fillId="47" borderId="50" xfId="0" applyFont="1" applyFill="1" applyBorder="1" applyAlignment="1">
      <alignment horizontal="left" vertical="top" wrapText="1"/>
    </xf>
    <xf numFmtId="0" fontId="56" fillId="0" borderId="2" xfId="0" applyFont="1" applyBorder="1" applyAlignment="1">
      <alignment vertical="top"/>
    </xf>
    <xf numFmtId="0" fontId="51" fillId="0" borderId="2" xfId="0" applyFont="1" applyBorder="1" applyAlignment="1">
      <alignment vertical="top" wrapText="1"/>
    </xf>
  </cellXfs>
  <cellStyles count="34802">
    <cellStyle name="&amp; Periodicals" xfId="22" xr:uid="{00000000-0005-0000-0000-000016000000}"/>
    <cellStyle name="?? [0]_9634?? " xfId="23" xr:uid="{00000000-0005-0000-0000-000017000000}"/>
    <cellStyle name="??_0N-HANDLING " xfId="24" xr:uid="{00000000-0005-0000-0000-000018000000}"/>
    <cellStyle name="_~8027790" xfId="25" xr:uid="{00000000-0005-0000-0000-000019000000}"/>
    <cellStyle name="_04Computation" xfId="26" xr:uid="{00000000-0005-0000-0000-00001A000000}"/>
    <cellStyle name="_04Computation 2" xfId="27" xr:uid="{00000000-0005-0000-0000-00001B000000}"/>
    <cellStyle name="_08 Aug Incentive Final" xfId="28" xr:uid="{00000000-0005-0000-0000-00001C000000}"/>
    <cellStyle name="_08 Aug Incentive Final 2" xfId="29" xr:uid="{00000000-0005-0000-0000-00001D000000}"/>
    <cellStyle name="_1 IBREL(Conso)_Dec_08-09ggn" xfId="30" xr:uid="{00000000-0005-0000-0000-00001E000000}"/>
    <cellStyle name="_10-Branch Costing - Revised CF System Cost Sheet - 9-Jun-05_lws" xfId="31" xr:uid="{00000000-0005-0000-0000-00001F000000}"/>
    <cellStyle name="_10-Branch Costing - Revised CF System Cost Sheet - 9-Jun-05_lws 2" xfId="32" xr:uid="{00000000-0005-0000-0000-000020000000}"/>
    <cellStyle name="_10-Branch Costing - Revised CF System Cost Sheet - 9-Jun-05_lws_Details of Assets &amp; Liablilities" xfId="33" xr:uid="{00000000-0005-0000-0000-000021000000}"/>
    <cellStyle name="_10-Branch Costing - Revised CF System Cost Sheet - 9-Jun-05_lws_Details of Assets &amp; Liablilities 2" xfId="34" xr:uid="{00000000-0005-0000-0000-000022000000}"/>
    <cellStyle name="_10-Branch Costing - Revised CF System Cost Sheet - 9-Jun-05_lws_Details of Assets &amp; Liablilities 3" xfId="35" xr:uid="{00000000-0005-0000-0000-000023000000}"/>
    <cellStyle name="_10-Branch Costing - Revised CF System Cost Sheet - 9-Jun-05_lws_IBL_09.12.2009" xfId="36" xr:uid="{00000000-0005-0000-0000-000024000000}"/>
    <cellStyle name="_10-Branch Costing - Revised CF System Cost Sheet - 9-Jun-05_lws_IBL_09.12.2009 2" xfId="37" xr:uid="{00000000-0005-0000-0000-000025000000}"/>
    <cellStyle name="_10-Branch Costing - Revised CF System Cost Sheet - 9-Jun-05_lws_IBL_09.12.2009_IHFL_March_ 31_10 -11 version 6" xfId="38" xr:uid="{00000000-0005-0000-0000-000026000000}"/>
    <cellStyle name="_10-Branch Costing - Revised CF System Cost Sheet - 9-Jun-05_lws_ICL_22 12 2009" xfId="39" xr:uid="{00000000-0005-0000-0000-000027000000}"/>
    <cellStyle name="_10-Branch Costing - Revised CF System Cost Sheet - 9-Jun-05_lws_ICL_22 12 2009 2" xfId="40" xr:uid="{00000000-0005-0000-0000-000028000000}"/>
    <cellStyle name="_10-Branch Costing - Revised CF System Cost Sheet - 9-Jun-05_lws_IHFL_September_30_2010 VERSION 10" xfId="41" xr:uid="{00000000-0005-0000-0000-000029000000}"/>
    <cellStyle name="_10-Branch Costing - Revised CF System Cost Sheet - 9-Jun-05_lws_Indiabulls Asset Management Company Limited printable" xfId="42" xr:uid="{00000000-0005-0000-0000-00002A000000}"/>
    <cellStyle name="_10-Branch Costing - Revised CF System Cost Sheet - 9-Jun-05_lws_ISL_ Adv Tax 2009-10 Q3" xfId="43" xr:uid="{00000000-0005-0000-0000-00002B000000}"/>
    <cellStyle name="_10-Branch Costing - Revised CF System Cost Sheet - 9-Jun-05_lws_ISL_ Adv Tax 2009-10 Q3 2" xfId="44" xr:uid="{00000000-0005-0000-0000-00002C000000}"/>
    <cellStyle name="_10-Branch Costing - Revised CF System Cost Sheet - 9-Jun-05_lws_ISL_ Adv Tax 2009-10 Q3_IHFL_March_ 31_10 -11 version 6" xfId="45" xr:uid="{00000000-0005-0000-0000-00002D000000}"/>
    <cellStyle name="_10-Branch Costing - Revised CF System Cost Sheet - 9-Jun-05_lws_ISL_conso_September_09_10" xfId="46" xr:uid="{00000000-0005-0000-0000-00002E000000}"/>
    <cellStyle name="_10-Branch Costing - Revised CF System Cost Sheet - 9-Jun-05_lws_ISL_conso_September_09_10 2" xfId="47" xr:uid="{00000000-0005-0000-0000-00002F000000}"/>
    <cellStyle name="_10-Branch Costing - Revised CF System Cost Sheet - 9-Jun-05_lws_ISL_conso_September_09_10_IHFL_March_ 31_10 -11 version 6" xfId="48" xr:uid="{00000000-0005-0000-0000-000030000000}"/>
    <cellStyle name="_10-Branch Costing - Revised CF System Cost Sheet - 9-Jun-05_lws_ISL_Provisions_30.09.2010" xfId="49" xr:uid="{00000000-0005-0000-0000-000031000000}"/>
    <cellStyle name="_10-Branch Costing - Revised CF System Cost Sheet - 9-Jun-05_lws_Provision" xfId="50" xr:uid="{00000000-0005-0000-0000-000032000000}"/>
    <cellStyle name="_10-Branch Costing - Revised CF System Cost Sheet - 9-Jun-05_lws_Provision for Exp - FY 0809" xfId="51" xr:uid="{00000000-0005-0000-0000-000033000000}"/>
    <cellStyle name="_10-Branch Costing - Revised CF System Cost Sheet - 9-Jun-05_lws_provisions q3" xfId="52" xr:uid="{00000000-0005-0000-0000-000034000000}"/>
    <cellStyle name="_10-Branch Costing - Revised CF System Cost Sheet - 9-Jun-05_lws_Results" xfId="53" xr:uid="{00000000-0005-0000-0000-000035000000}"/>
    <cellStyle name="_10-Branch Costing - Revised CF System Cost Sheet - 9-Jun-05_lws_Results 2" xfId="54" xr:uid="{00000000-0005-0000-0000-000036000000}"/>
    <cellStyle name="_1100-PRINTING" xfId="55" xr:uid="{00000000-0005-0000-0000-000037000000}"/>
    <cellStyle name="_1100-PRINTING 2" xfId="56" xr:uid="{00000000-0005-0000-0000-000038000000}"/>
    <cellStyle name="_1100-PRINTING working" xfId="57" xr:uid="{00000000-0005-0000-0000-000039000000}"/>
    <cellStyle name="_1100-PRINTING working 2" xfId="58" xr:uid="{00000000-0005-0000-0000-00003A000000}"/>
    <cellStyle name="_14A disallowance" xfId="59" xr:uid="{00000000-0005-0000-0000-00003B000000}"/>
    <cellStyle name="_14A disallowance 2" xfId="60" xr:uid="{00000000-0005-0000-0000-00003C000000}"/>
    <cellStyle name="_14A FY07-08" xfId="61" xr:uid="{00000000-0005-0000-0000-00003D000000}"/>
    <cellStyle name="_14A FY07-08 2" xfId="62" xr:uid="{00000000-0005-0000-0000-00003E000000}"/>
    <cellStyle name="_234B&amp;C_ISL0809" xfId="63" xr:uid="{00000000-0005-0000-0000-00003F000000}"/>
    <cellStyle name="_234B&amp;C_ISL0809 2" xfId="64" xr:uid="{00000000-0005-0000-0000-000040000000}"/>
    <cellStyle name="_234BC" xfId="65" xr:uid="{00000000-0005-0000-0000-000041000000}"/>
    <cellStyle name="_234BC 2" xfId="66" xr:uid="{00000000-0005-0000-0000-000042000000}"/>
    <cellStyle name="_269SS DSTSL 2007-08 (3)" xfId="67" xr:uid="{00000000-0005-0000-0000-000043000000}"/>
    <cellStyle name="_269SS ICAPSL 2007-08" xfId="68" xr:uid="{00000000-0005-0000-0000-000044000000}"/>
    <cellStyle name="_269SS ICAPSL 2007-08 2" xfId="69" xr:uid="{00000000-0005-0000-0000-000045000000}"/>
    <cellStyle name="_29_11_07_fund_trfr_Sheet" xfId="70" xr:uid="{00000000-0005-0000-0000-000046000000}"/>
    <cellStyle name="_29_11_07_fund_trfr_Sheet_IHFL_March_ 31_10 -11 version 6" xfId="71" xr:uid="{00000000-0005-0000-0000-000047000000}"/>
    <cellStyle name="_94(7)-Dividend Stripping Details_0809" xfId="72" xr:uid="{00000000-0005-0000-0000-000048000000}"/>
    <cellStyle name="_Adv_Aug_Final" xfId="73" xr:uid="{00000000-0005-0000-0000-000049000000}"/>
    <cellStyle name="_Adv_Dec_Final.xls_FinalOne" xfId="74" xr:uid="{00000000-0005-0000-0000-00004A000000}"/>
    <cellStyle name="_Adv_FinalFeb xls_Updated (2)" xfId="75" xr:uid="{00000000-0005-0000-0000-00004B000000}"/>
    <cellStyle name="_Adv_FinalJAN xls_Updated" xfId="76" xr:uid="{00000000-0005-0000-0000-00004C000000}"/>
    <cellStyle name="_Adv_Nov_Final.xls_FinalOne" xfId="77" xr:uid="{00000000-0005-0000-0000-00004D000000}"/>
    <cellStyle name="_Adv_OCT_Final" xfId="78" xr:uid="{00000000-0005-0000-0000-00004E000000}"/>
    <cellStyle name="_Adv_Sept_Final" xfId="79" xr:uid="{00000000-0005-0000-0000-00004F000000}"/>
    <cellStyle name="_Advance Tax (Power companies)15 09 08 Final " xfId="80" xr:uid="{00000000-0005-0000-0000-000050000000}"/>
    <cellStyle name="_Advance Tax (Power companies)15 09 08 Final _Advance Tax Summary" xfId="81" xr:uid="{00000000-0005-0000-0000-000051000000}"/>
    <cellStyle name="_Advance Tax (Power companies)15 09 08 Final _Advance Tax Summary 2" xfId="82" xr:uid="{00000000-0005-0000-0000-000052000000}"/>
    <cellStyle name="_Advance Tax (Power companies)15 09 08 Final _ISL Group - Advance Tax working for 3rd Instalment" xfId="83" xr:uid="{00000000-0005-0000-0000-000053000000}"/>
    <cellStyle name="_Advance Tax (Power companies)15 09 08 Final _ISL Group - Advance Tax working for 3rd Instalment_IHFL_March_ 31_10 -11 version 6" xfId="84" xr:uid="{00000000-0005-0000-0000-000054000000}"/>
    <cellStyle name="_Advance Tax (Power companies)15 09 08 Final _Xl0000013" xfId="85" xr:uid="{00000000-0005-0000-0000-000055000000}"/>
    <cellStyle name="_Advance Tax September (F)" xfId="86" xr:uid="{00000000-0005-0000-0000-000056000000}"/>
    <cellStyle name="_Advance Tax September (F) 2" xfId="87" xr:uid="{00000000-0005-0000-0000-000057000000}"/>
    <cellStyle name="_Advance Tax September (F) 3" xfId="88" xr:uid="{00000000-0005-0000-0000-000058000000}"/>
    <cellStyle name="_Advance Tax September (F) 4" xfId="89" xr:uid="{00000000-0005-0000-0000-000059000000}"/>
    <cellStyle name="_Advance Tax September (F) 5" xfId="90" xr:uid="{00000000-0005-0000-0000-00005A000000}"/>
    <cellStyle name="_Advance Tax September (F)_Abstract-2007-08" xfId="91" xr:uid="{00000000-0005-0000-0000-00005B000000}"/>
    <cellStyle name="_Advance Tax September (F)_Advance Tax Format_F.Y. 2010-11" xfId="92" xr:uid="{00000000-0005-0000-0000-00005C000000}"/>
    <cellStyle name="_Advance Tax September (F)_Advance Tax Format_F.Y. 2010-11_IHFL_March_ 31_10 -11 version 6" xfId="93" xr:uid="{00000000-0005-0000-0000-00005D000000}"/>
    <cellStyle name="_Advance Tax September (F)_Advance Tax Sophia Jun 09" xfId="94" xr:uid="{00000000-0005-0000-0000-00005E000000}"/>
    <cellStyle name="_Advance Tax September (F)_Advance Tax Sophia Jun 09 2" xfId="95" xr:uid="{00000000-0005-0000-0000-00005F000000}"/>
    <cellStyle name="_Advance Tax September (F)_Base File For Segment" xfId="96" xr:uid="{00000000-0005-0000-0000-000060000000}"/>
    <cellStyle name="_Advance Tax September (F)_Base File For Segment 2" xfId="97" xr:uid="{00000000-0005-0000-0000-000061000000}"/>
    <cellStyle name="_Advance Tax September (F)_Book1" xfId="98" xr:uid="{00000000-0005-0000-0000-000062000000}"/>
    <cellStyle name="_Advance Tax September (F)_Book1 (2)" xfId="99" xr:uid="{00000000-0005-0000-0000-000063000000}"/>
    <cellStyle name="_Advance Tax September (F)_Book2" xfId="100" xr:uid="{00000000-0005-0000-0000-000064000000}"/>
    <cellStyle name="_Advance Tax September (F)_Book2 2" xfId="101" xr:uid="{00000000-0005-0000-0000-000065000000}"/>
    <cellStyle name="_Advance Tax September (F)_Bracond Balance Sheet  PL_301108_krishanu" xfId="102" xr:uid="{00000000-0005-0000-0000-000066000000}"/>
    <cellStyle name="_Advance Tax September (F)_Bracond Balance Sheet  PL_301108_krishanu 2" xfId="103" xr:uid="{00000000-0005-0000-0000-000067000000}"/>
    <cellStyle name="_Advance Tax September (F)_Bracond Balance Sheet  PL_301108_krishanu_IHFL_March_ 31_10 -11 version 6" xfId="104" xr:uid="{00000000-0005-0000-0000-000068000000}"/>
    <cellStyle name="_Advance Tax September (F)_CCL_3353_2007-08" xfId="105" xr:uid="{00000000-0005-0000-0000-000069000000}"/>
    <cellStyle name="_Advance Tax September (F)_CCL_3353_2007-08 2" xfId="106" xr:uid="{00000000-0005-0000-0000-00006A000000}"/>
    <cellStyle name="_Advance Tax September (F)_CCL_3353_2007-08_IHFL_March_ 31_10 -11 version 6" xfId="107" xr:uid="{00000000-0005-0000-0000-00006B000000}"/>
    <cellStyle name="_Advance Tax September (F)_ChlorisProperties_3351_Dec.08" xfId="108" xr:uid="{00000000-0005-0000-0000-00006C000000}"/>
    <cellStyle name="_Advance Tax September (F)_ChlorisProperties_3351_Dec.08 2" xfId="109" xr:uid="{00000000-0005-0000-0000-00006D000000}"/>
    <cellStyle name="_Advance Tax September (F)_Consol Balance Sheet_Sophia_Dec08_Ibrel_1.3" xfId="110" xr:uid="{00000000-0005-0000-0000-00006E000000}"/>
    <cellStyle name="_Advance Tax September (F)_Consol Balance Sheet_Sophia_Dec08_Ibrel_1.3 2" xfId="111" xr:uid="{00000000-0005-0000-0000-00006F000000}"/>
    <cellStyle name="_Advance Tax September (F)_detail (2)" xfId="112" xr:uid="{00000000-0005-0000-0000-000070000000}"/>
    <cellStyle name="_Advance Tax September (F)_detail (2) 2" xfId="113" xr:uid="{00000000-0005-0000-0000-000071000000}"/>
    <cellStyle name="_Advance Tax September (F)_detail (2)_IHFL_March_ 31_10 -11 version 6" xfId="114" xr:uid="{00000000-0005-0000-0000-000072000000}"/>
    <cellStyle name="_Advance Tax September (F)_Details" xfId="115" xr:uid="{00000000-0005-0000-0000-000073000000}"/>
    <cellStyle name="_Advance Tax September (F)_Details 2" xfId="116" xr:uid="{00000000-0005-0000-0000-000074000000}"/>
    <cellStyle name="_Advance Tax September (F)_EPL_3346_2007-08(C)" xfId="117" xr:uid="{00000000-0005-0000-0000-000075000000}"/>
    <cellStyle name="_Advance Tax September (F)_EPL_3346_2007-08(C) 2" xfId="118" xr:uid="{00000000-0005-0000-0000-000076000000}"/>
    <cellStyle name="_Advance Tax September (F)_EPL_3346_2007-08(C)_IHFL_March_ 31_10 -11 version 6" xfId="119" xr:uid="{00000000-0005-0000-0000-000077000000}"/>
    <cellStyle name="_Advance Tax September (F)_FD Detail" xfId="120" xr:uid="{00000000-0005-0000-0000-000078000000}"/>
    <cellStyle name="_Advance Tax September (F)_Final Consol Balance Sheet_Sophia_Dec08_27.01.08" xfId="121" xr:uid="{00000000-0005-0000-0000-000079000000}"/>
    <cellStyle name="_Advance Tax September (F)_Final Consol Balance Sheet_Sophia_Dec08_27.01.08 2" xfId="122" xr:uid="{00000000-0005-0000-0000-00007A000000}"/>
    <cellStyle name="_Advance Tax September (F)_Fixed Assets consolidated" xfId="123" xr:uid="{00000000-0005-0000-0000-00007B000000}"/>
    <cellStyle name="_Advance Tax September (F)_Fixed Assets consolidated 2" xfId="124" xr:uid="{00000000-0005-0000-0000-00007C000000}"/>
    <cellStyle name="_Advance Tax September (F)_Fixed Assets consolidated_IHFL_March_ 31_10 -11 version 6" xfId="125" xr:uid="{00000000-0005-0000-0000-00007D000000}"/>
    <cellStyle name="_Advance Tax September (F)_IBFSL 31 May V1" xfId="126" xr:uid="{00000000-0005-0000-0000-00007E000000}"/>
    <cellStyle name="_Advance Tax September (F)_IBFSL_Conso_March_10_11" xfId="127" xr:uid="{00000000-0005-0000-0000-00007F000000}"/>
    <cellStyle name="_Advance Tax September (F)_ICL_09 12 2009" xfId="128" xr:uid="{00000000-0005-0000-0000-000080000000}"/>
    <cellStyle name="_Advance Tax September (F)_ICL_09 12 2009 2" xfId="129" xr:uid="{00000000-0005-0000-0000-000081000000}"/>
    <cellStyle name="_Advance Tax September (F)_ICL_22 12 2009" xfId="130" xr:uid="{00000000-0005-0000-0000-000082000000}"/>
    <cellStyle name="_Advance Tax September (F)_ICL_22 12 2009 2" xfId="131" xr:uid="{00000000-0005-0000-0000-000083000000}"/>
    <cellStyle name="_Advance Tax September (F)_IESL_09.12.2009" xfId="132" xr:uid="{00000000-0005-0000-0000-000084000000}"/>
    <cellStyle name="_Advance Tax September (F)_IESL_09.12.2009 2" xfId="133" xr:uid="{00000000-0005-0000-0000-000085000000}"/>
    <cellStyle name="_Advance Tax September (F)_IHFL_Dec_23_2008" xfId="134" xr:uid="{00000000-0005-0000-0000-000086000000}"/>
    <cellStyle name="_Advance Tax September (F)_IIDL_3227_2008_09" xfId="135" xr:uid="{00000000-0005-0000-0000-000087000000}"/>
    <cellStyle name="_Advance Tax September (F)_IIDL_3227_2008_09 2" xfId="136" xr:uid="{00000000-0005-0000-0000-000088000000}"/>
    <cellStyle name="_Advance Tax September (F)_Indiabulls Asset Management Company Limited printable" xfId="137" xr:uid="{00000000-0005-0000-0000-000089000000}"/>
    <cellStyle name="_Advance Tax September (F)_Revised Consol Balance Sheet_Sophia_Jan09_10.02.2009" xfId="138" xr:uid="{00000000-0005-0000-0000-00008A000000}"/>
    <cellStyle name="_Advance Tax September (F)_Revised Consol Balance Sheet_Sophia_Jan09_10.02.2009 2" xfId="139" xr:uid="{00000000-0005-0000-0000-00008B000000}"/>
    <cellStyle name="_Advance Tax September (F)_Sophia Consol for Printout 22 Jun 09" xfId="140" xr:uid="{00000000-0005-0000-0000-00008C000000}"/>
    <cellStyle name="_Advance Tax September (F)_Sophia Consol for Printout 22 Jun 09 2" xfId="141" xr:uid="{00000000-0005-0000-0000-00008D000000}"/>
    <cellStyle name="_Advance Tax September (F)_Sophia Consol for Printout 22 Jun 09_IHFL_March_ 31_10 -11 version 6" xfId="142" xr:uid="{00000000-0005-0000-0000-00008E000000}"/>
    <cellStyle name="_Advance Tax September (F)_Sophia Consol_march_09_05 June  09_1" xfId="143" xr:uid="{00000000-0005-0000-0000-00008F000000}"/>
    <cellStyle name="_Advance Tax September (F)_Sophia Consol_march_09_05 June  09_1 2" xfId="144" xr:uid="{00000000-0005-0000-0000-000090000000}"/>
    <cellStyle name="_Advance Tax September (F)_Sophia Consol_march_09_05 June  09_1_IHFL_March_ 31_10 -11 version 6" xfId="145" xr:uid="{00000000-0005-0000-0000-000091000000}"/>
    <cellStyle name="_Advance Tax September (F)_Treasury ICD Interest_ MIS_ 23  09 2009(final)" xfId="146" xr:uid="{00000000-0005-0000-0000-000092000000}"/>
    <cellStyle name="_Advance Tax September (F)_Treasury ICD Interest_ MIS_ 23  09 2009(final) 2" xfId="147" xr:uid="{00000000-0005-0000-0000-000093000000}"/>
    <cellStyle name="_Advance Tax September (F)_Treasury ICD Interest_ MIS_ 30. 06 2009(final)" xfId="148" xr:uid="{00000000-0005-0000-0000-000094000000}"/>
    <cellStyle name="_Advance Tax September (F)_Treasury ICD Interest_ MIS_ 30. 06 2009(final) 2" xfId="149" xr:uid="{00000000-0005-0000-0000-000095000000}"/>
    <cellStyle name="_Advance Tax September (F)_Treasury ICD Interest_ MIS_ 30. 09 2009(final)" xfId="150" xr:uid="{00000000-0005-0000-0000-000096000000}"/>
    <cellStyle name="_Advance Tax September (F)_Treasury ICD Interest_ MIS_ 30. 09 2009(final) 2" xfId="151" xr:uid="{00000000-0005-0000-0000-000097000000}"/>
    <cellStyle name="_Advance Tax September (F)_Treasury ICD Interest_ MIS_ 31 05 2009" xfId="152" xr:uid="{00000000-0005-0000-0000-000098000000}"/>
    <cellStyle name="_Advance Tax September (F)_Treasury ICD Interest_ MIS_ 31 05 2009 2" xfId="153" xr:uid="{00000000-0005-0000-0000-000099000000}"/>
    <cellStyle name="_Advance Tax September (F)_Treasury ICD Interest_ MIS_ 31 10 2009" xfId="154" xr:uid="{00000000-0005-0000-0000-00009A000000}"/>
    <cellStyle name="_Advance Tax September (F)_Treasury ICD Interest_ MIS_ 31 10 2009 2" xfId="155" xr:uid="{00000000-0005-0000-0000-00009B000000}"/>
    <cellStyle name="_Advance Tax September (F)_Treasury ICD Interest_ MIS_ 31.10.2009" xfId="156" xr:uid="{00000000-0005-0000-0000-00009C000000}"/>
    <cellStyle name="_Advance Tax September (F)_Treasury ICD Interest_ MIS_ 31.10.2009 2" xfId="157" xr:uid="{00000000-0005-0000-0000-00009D000000}"/>
    <cellStyle name="_Advance Tax September (F)_Treasury ICD Interest_ MIS_ 310309" xfId="158" xr:uid="{00000000-0005-0000-0000-00009E000000}"/>
    <cellStyle name="_Advance Tax September (F)_Treasury ICD Interest_ MIS_ 310309 2" xfId="159" xr:uid="{00000000-0005-0000-0000-00009F000000}"/>
    <cellStyle name="_Advance Tax Summary" xfId="160" xr:uid="{00000000-0005-0000-0000-0000A0000000}"/>
    <cellStyle name="_Advance Tax Summary 2" xfId="161" xr:uid="{00000000-0005-0000-0000-0000A1000000}"/>
    <cellStyle name="_ALL PARSHAVNATH CLIENT " xfId="162" xr:uid="{00000000-0005-0000-0000-0000A2000000}"/>
    <cellStyle name="_ALL PARSHAVNATH CLIENT  2" xfId="163" xr:uid="{00000000-0005-0000-0000-0000A3000000}"/>
    <cellStyle name="_ALL PARSHAVNATH CLIENT  3" xfId="164" xr:uid="{00000000-0005-0000-0000-0000A4000000}"/>
    <cellStyle name="_ALL PARSHAVNATH CLIENT  4" xfId="165" xr:uid="{00000000-0005-0000-0000-0000A5000000}"/>
    <cellStyle name="_ALL PARSHAVNATH CLIENT  5" xfId="166" xr:uid="{00000000-0005-0000-0000-0000A6000000}"/>
    <cellStyle name="_ALL PARSHAVNATH CLIENT _Abstract-2007-08" xfId="167" xr:uid="{00000000-0005-0000-0000-0000A7000000}"/>
    <cellStyle name="_ALL PARSHAVNATH CLIENT _Advance Tax Format_F.Y. 2010-11" xfId="168" xr:uid="{00000000-0005-0000-0000-0000A8000000}"/>
    <cellStyle name="_ALL PARSHAVNATH CLIENT _Advance Tax Format_F.Y. 2010-11_IHFL_March_ 31_10 -11 version 6" xfId="169" xr:uid="{00000000-0005-0000-0000-0000A9000000}"/>
    <cellStyle name="_ALL PARSHAVNATH CLIENT _Advance Tax Sophia Jun 09" xfId="170" xr:uid="{00000000-0005-0000-0000-0000AA000000}"/>
    <cellStyle name="_ALL PARSHAVNATH CLIENT _Advance Tax Sophia Jun 09 2" xfId="171" xr:uid="{00000000-0005-0000-0000-0000AB000000}"/>
    <cellStyle name="_ALL PARSHAVNATH CLIENT _Base File For Segment" xfId="172" xr:uid="{00000000-0005-0000-0000-0000AC000000}"/>
    <cellStyle name="_ALL PARSHAVNATH CLIENT _Base File For Segment 2" xfId="173" xr:uid="{00000000-0005-0000-0000-0000AD000000}"/>
    <cellStyle name="_ALL PARSHAVNATH CLIENT _Book1" xfId="174" xr:uid="{00000000-0005-0000-0000-0000AE000000}"/>
    <cellStyle name="_ALL PARSHAVNATH CLIENT _Book1 (2)" xfId="175" xr:uid="{00000000-0005-0000-0000-0000AF000000}"/>
    <cellStyle name="_ALL PARSHAVNATH CLIENT _Book2" xfId="176" xr:uid="{00000000-0005-0000-0000-0000B0000000}"/>
    <cellStyle name="_ALL PARSHAVNATH CLIENT _Book2 2" xfId="177" xr:uid="{00000000-0005-0000-0000-0000B1000000}"/>
    <cellStyle name="_ALL PARSHAVNATH CLIENT _CCL_3353_2007-08" xfId="178" xr:uid="{00000000-0005-0000-0000-0000B2000000}"/>
    <cellStyle name="_ALL PARSHAVNATH CLIENT _CCL_3353_2007-08 2" xfId="179" xr:uid="{00000000-0005-0000-0000-0000B3000000}"/>
    <cellStyle name="_ALL PARSHAVNATH CLIENT _CCL_3353_2007-08_IHFL_March_ 31_10 -11 version 6" xfId="180" xr:uid="{00000000-0005-0000-0000-0000B4000000}"/>
    <cellStyle name="_ALL PARSHAVNATH CLIENT _ChlorisProperties_3351_Dec.08" xfId="181" xr:uid="{00000000-0005-0000-0000-0000B5000000}"/>
    <cellStyle name="_ALL PARSHAVNATH CLIENT _ChlorisProperties_3351_Dec.08 2" xfId="182" xr:uid="{00000000-0005-0000-0000-0000B6000000}"/>
    <cellStyle name="_ALL PARSHAVNATH CLIENT _Consol Balance Sheet_Sophia_Dec08_Ibrel_1.3" xfId="183" xr:uid="{00000000-0005-0000-0000-0000B7000000}"/>
    <cellStyle name="_ALL PARSHAVNATH CLIENT _Consol Balance Sheet_Sophia_Dec08_Ibrel_1.3 2" xfId="184" xr:uid="{00000000-0005-0000-0000-0000B8000000}"/>
    <cellStyle name="_ALL PARSHAVNATH CLIENT _detail (2)" xfId="185" xr:uid="{00000000-0005-0000-0000-0000B9000000}"/>
    <cellStyle name="_ALL PARSHAVNATH CLIENT _detail (2) 2" xfId="186" xr:uid="{00000000-0005-0000-0000-0000BA000000}"/>
    <cellStyle name="_ALL PARSHAVNATH CLIENT _detail (2)_IHFL_March_ 31_10 -11 version 6" xfId="187" xr:uid="{00000000-0005-0000-0000-0000BB000000}"/>
    <cellStyle name="_ALL PARSHAVNATH CLIENT _Details" xfId="188" xr:uid="{00000000-0005-0000-0000-0000BC000000}"/>
    <cellStyle name="_ALL PARSHAVNATH CLIENT _Details 2" xfId="189" xr:uid="{00000000-0005-0000-0000-0000BD000000}"/>
    <cellStyle name="_ALL PARSHAVNATH CLIENT _EPL_3346_2007-08(C)" xfId="190" xr:uid="{00000000-0005-0000-0000-0000BE000000}"/>
    <cellStyle name="_ALL PARSHAVNATH CLIENT _EPL_3346_2007-08(C) 2" xfId="191" xr:uid="{00000000-0005-0000-0000-0000BF000000}"/>
    <cellStyle name="_ALL PARSHAVNATH CLIENT _EPL_3346_2007-08(C)_IHFL_March_ 31_10 -11 version 6" xfId="192" xr:uid="{00000000-0005-0000-0000-0000C0000000}"/>
    <cellStyle name="_ALL PARSHAVNATH CLIENT _FD Detail" xfId="193" xr:uid="{00000000-0005-0000-0000-0000C1000000}"/>
    <cellStyle name="_ALL PARSHAVNATH CLIENT _Final Consol Balance Sheet_Sophia_Dec08_27.01.08" xfId="194" xr:uid="{00000000-0005-0000-0000-0000C2000000}"/>
    <cellStyle name="_ALL PARSHAVNATH CLIENT _Final Consol Balance Sheet_Sophia_Dec08_27.01.08 2" xfId="195" xr:uid="{00000000-0005-0000-0000-0000C3000000}"/>
    <cellStyle name="_ALL PARSHAVNATH CLIENT _Fixed Assets consolidated" xfId="196" xr:uid="{00000000-0005-0000-0000-0000C4000000}"/>
    <cellStyle name="_ALL PARSHAVNATH CLIENT _Fixed Assets consolidated 2" xfId="197" xr:uid="{00000000-0005-0000-0000-0000C5000000}"/>
    <cellStyle name="_ALL PARSHAVNATH CLIENT _Fixed Assets consolidated_IHFL_March_ 31_10 -11 version 6" xfId="198" xr:uid="{00000000-0005-0000-0000-0000C6000000}"/>
    <cellStyle name="_ALL PARSHAVNATH CLIENT _IBFSL 31 May V1" xfId="199" xr:uid="{00000000-0005-0000-0000-0000C7000000}"/>
    <cellStyle name="_ALL PARSHAVNATH CLIENT _IBFSL_Conso_March_10_11" xfId="200" xr:uid="{00000000-0005-0000-0000-0000C8000000}"/>
    <cellStyle name="_ALL PARSHAVNATH CLIENT _ICL_09 12 2009" xfId="201" xr:uid="{00000000-0005-0000-0000-0000C9000000}"/>
    <cellStyle name="_ALL PARSHAVNATH CLIENT _ICL_09 12 2009 2" xfId="202" xr:uid="{00000000-0005-0000-0000-0000CA000000}"/>
    <cellStyle name="_ALL PARSHAVNATH CLIENT _ICL_22 12 2009" xfId="203" xr:uid="{00000000-0005-0000-0000-0000CB000000}"/>
    <cellStyle name="_ALL PARSHAVNATH CLIENT _ICL_22 12 2009 2" xfId="204" xr:uid="{00000000-0005-0000-0000-0000CC000000}"/>
    <cellStyle name="_ALL PARSHAVNATH CLIENT _IESL_09.12.2009" xfId="205" xr:uid="{00000000-0005-0000-0000-0000CD000000}"/>
    <cellStyle name="_ALL PARSHAVNATH CLIENT _IESL_09.12.2009 2" xfId="206" xr:uid="{00000000-0005-0000-0000-0000CE000000}"/>
    <cellStyle name="_ALL PARSHAVNATH CLIENT _IHFL_Dec_23_2008" xfId="207" xr:uid="{00000000-0005-0000-0000-0000CF000000}"/>
    <cellStyle name="_ALL PARSHAVNATH CLIENT _IIDL_3227_2008_09" xfId="208" xr:uid="{00000000-0005-0000-0000-0000D0000000}"/>
    <cellStyle name="_ALL PARSHAVNATH CLIENT _IIDL_3227_2008_09 2" xfId="209" xr:uid="{00000000-0005-0000-0000-0000D1000000}"/>
    <cellStyle name="_ALL PARSHAVNATH CLIENT _Indiabulls Asset Management Company Limited printable" xfId="210" xr:uid="{00000000-0005-0000-0000-0000D2000000}"/>
    <cellStyle name="_ALL PARSHAVNATH CLIENT _Revised Consol Balance Sheet_Sophia_Jan09_10.02.2009" xfId="211" xr:uid="{00000000-0005-0000-0000-0000D3000000}"/>
    <cellStyle name="_ALL PARSHAVNATH CLIENT _Revised Consol Balance Sheet_Sophia_Jan09_10.02.2009 2" xfId="212" xr:uid="{00000000-0005-0000-0000-0000D4000000}"/>
    <cellStyle name="_ALL PARSHAVNATH CLIENT _Sophia Consol for Printout 22 Jun 09" xfId="213" xr:uid="{00000000-0005-0000-0000-0000D5000000}"/>
    <cellStyle name="_ALL PARSHAVNATH CLIENT _Sophia Consol for Printout 22 Jun 09 2" xfId="214" xr:uid="{00000000-0005-0000-0000-0000D6000000}"/>
    <cellStyle name="_ALL PARSHAVNATH CLIENT _Sophia Consol for Printout 22 Jun 09_IHFL_March_ 31_10 -11 version 6" xfId="215" xr:uid="{00000000-0005-0000-0000-0000D7000000}"/>
    <cellStyle name="_ALL PARSHAVNATH CLIENT _Sophia Consol_march_09_05 June  09_1" xfId="216" xr:uid="{00000000-0005-0000-0000-0000D8000000}"/>
    <cellStyle name="_ALL PARSHAVNATH CLIENT _Sophia Consol_march_09_05 June  09_1 2" xfId="217" xr:uid="{00000000-0005-0000-0000-0000D9000000}"/>
    <cellStyle name="_ALL PARSHAVNATH CLIENT _Sophia Consol_march_09_05 June  09_1_IHFL_March_ 31_10 -11 version 6" xfId="218" xr:uid="{00000000-0005-0000-0000-0000DA000000}"/>
    <cellStyle name="_ALL PARSHAVNATH CLIENT _Treasury ICD Interest_ MIS_ 23  09 2009(final)" xfId="219" xr:uid="{00000000-0005-0000-0000-0000DB000000}"/>
    <cellStyle name="_ALL PARSHAVNATH CLIENT _Treasury ICD Interest_ MIS_ 23  09 2009(final) 2" xfId="220" xr:uid="{00000000-0005-0000-0000-0000DC000000}"/>
    <cellStyle name="_ALL PARSHAVNATH CLIENT _Treasury ICD Interest_ MIS_ 30. 06 2009(final)" xfId="221" xr:uid="{00000000-0005-0000-0000-0000DD000000}"/>
    <cellStyle name="_ALL PARSHAVNATH CLIENT _Treasury ICD Interest_ MIS_ 30. 06 2009(final) 2" xfId="222" xr:uid="{00000000-0005-0000-0000-0000DE000000}"/>
    <cellStyle name="_ALL PARSHAVNATH CLIENT _Treasury ICD Interest_ MIS_ 30. 09 2009(final)" xfId="223" xr:uid="{00000000-0005-0000-0000-0000DF000000}"/>
    <cellStyle name="_ALL PARSHAVNATH CLIENT _Treasury ICD Interest_ MIS_ 30. 09 2009(final) 2" xfId="224" xr:uid="{00000000-0005-0000-0000-0000E0000000}"/>
    <cellStyle name="_ALL PARSHAVNATH CLIENT _Treasury ICD Interest_ MIS_ 31 05 2009" xfId="225" xr:uid="{00000000-0005-0000-0000-0000E1000000}"/>
    <cellStyle name="_ALL PARSHAVNATH CLIENT _Treasury ICD Interest_ MIS_ 31 05 2009 2" xfId="226" xr:uid="{00000000-0005-0000-0000-0000E2000000}"/>
    <cellStyle name="_ALL PARSHAVNATH CLIENT _Treasury ICD Interest_ MIS_ 31 10 2009" xfId="227" xr:uid="{00000000-0005-0000-0000-0000E3000000}"/>
    <cellStyle name="_ALL PARSHAVNATH CLIENT _Treasury ICD Interest_ MIS_ 31 10 2009 2" xfId="228" xr:uid="{00000000-0005-0000-0000-0000E4000000}"/>
    <cellStyle name="_ALL PARSHAVNATH CLIENT _Treasury ICD Interest_ MIS_ 31.10.2009" xfId="229" xr:uid="{00000000-0005-0000-0000-0000E5000000}"/>
    <cellStyle name="_ALL PARSHAVNATH CLIENT _Treasury ICD Interest_ MIS_ 31.10.2009 2" xfId="230" xr:uid="{00000000-0005-0000-0000-0000E6000000}"/>
    <cellStyle name="_ALL PARSHAVNATH CLIENT _Treasury ICD Interest_ MIS_ 310309" xfId="231" xr:uid="{00000000-0005-0000-0000-0000E7000000}"/>
    <cellStyle name="_ALL PARSHAVNATH CLIENT _Treasury ICD Interest_ MIS_ 310309 2" xfId="232" xr:uid="{00000000-0005-0000-0000-0000E8000000}"/>
    <cellStyle name="_amount sanction but not disbursed" xfId="233" xr:uid="{00000000-0005-0000-0000-0000E9000000}"/>
    <cellStyle name="_Assets detail for Deletion for -1100  2110(As per Tapan Sir)" xfId="234" xr:uid="{00000000-0005-0000-0000-0000EA000000}"/>
    <cellStyle name="_Assets detail for Deletion for -1100  2110(As per Tapan Sir)_IHFL_March_ 31_10 -11 version 6" xfId="235" xr:uid="{00000000-0005-0000-0000-0000EB000000}"/>
    <cellStyle name="_Assets detail for Deletion for -1100  2110(As per Tapan Sir)_NFCL working file" xfId="236" xr:uid="{00000000-0005-0000-0000-0000EC000000}"/>
    <cellStyle name="_Assets detail for Deletion for -1100  2110(As per Tapan Sir)_Tax Audit Report  F.Y.08-09" xfId="237" xr:uid="{00000000-0005-0000-0000-0000ED000000}"/>
    <cellStyle name="_Assets detail for Deletion for -1100  2110(As per Tapan Sir)_Tax Audit Report  ICSL F.Y.09-10" xfId="238" xr:uid="{00000000-0005-0000-0000-0000EE000000}"/>
    <cellStyle name="_Assign X Income break up" xfId="239" xr:uid="{00000000-0005-0000-0000-0000EF000000}"/>
    <cellStyle name="_Assign X Income break up 2" xfId="240" xr:uid="{00000000-0005-0000-0000-0000F0000000}"/>
    <cellStyle name="_Assign X Income break up 3" xfId="241" xr:uid="{00000000-0005-0000-0000-0000F1000000}"/>
    <cellStyle name="_Assign X Income break up_IBFSL 30 Sep 11 V8" xfId="242" xr:uid="{00000000-0005-0000-0000-0000F2000000}"/>
    <cellStyle name="_Assign X Income break up_Indiabulls Asset Management Company Limited printable" xfId="243" xr:uid="{00000000-0005-0000-0000-0000F3000000}"/>
    <cellStyle name="_ASSIGNMENT 8 ICICI MAR07" xfId="244" xr:uid="{00000000-0005-0000-0000-0000F4000000}"/>
    <cellStyle name="_ASSIGNMENT 8 ICICI MAR07 2" xfId="245" xr:uid="{00000000-0005-0000-0000-0000F5000000}"/>
    <cellStyle name="_ASSIGNMENT 8 ICICI MAR07_Advance Tax Format_F.Y. 2010-11" xfId="246" xr:uid="{00000000-0005-0000-0000-0000F6000000}"/>
    <cellStyle name="_ASSIGNMENT 8 ICICI MAR07_Advance Tax Format_F.Y. 2010-11_IHFL_March_ 31_10 -11 version 6" xfId="247" xr:uid="{00000000-0005-0000-0000-0000F7000000}"/>
    <cellStyle name="_ASSIGNMENT 8 ICICI MAR07_Asset Management Company Limited" xfId="248" xr:uid="{00000000-0005-0000-0000-0000F8000000}"/>
    <cellStyle name="_ASSIGNMENT 8 ICICI MAR07_BS _IB Asset Management _3103_ver5" xfId="249" xr:uid="{00000000-0005-0000-0000-0000F9000000}"/>
    <cellStyle name="_ASSIGNMENT 8 ICICI MAR07_BS _IB Asset Management _3103_ver5_IAMCL BS working -New format_31.03 V5" xfId="250" xr:uid="{00000000-0005-0000-0000-0000FA000000}"/>
    <cellStyle name="_ASSIGNMENT 8 ICICI MAR07_CRAR - dec- 10v-12" xfId="251" xr:uid="{00000000-0005-0000-0000-0000FB000000}"/>
    <cellStyle name="_ASSIGNMENT 8 ICICI MAR07_CRAR - dec- 10v-12 2" xfId="252" xr:uid="{00000000-0005-0000-0000-0000FC000000}"/>
    <cellStyle name="_ASSIGNMENT 8 ICICI MAR07_IAMCL BS working -New format_31.03 V5" xfId="253" xr:uid="{00000000-0005-0000-0000-0000FD000000}"/>
    <cellStyle name="_ASSIGNMENT 8 ICICI MAR07_IB Asset Management _2910" xfId="254" xr:uid="{00000000-0005-0000-0000-0000FE000000}"/>
    <cellStyle name="_ASSIGNMENT 8 ICICI MAR07_IB Asset Management _2910_IB Collection Agency_3103 V3" xfId="255" xr:uid="{00000000-0005-0000-0000-0000FF000000}"/>
    <cellStyle name="_ASSIGNMENT 8 ICICI MAR07_IB Asset Management _2910_IB Collection Agency_3103 V3_ICAL-New Format_31.03 V4" xfId="256" xr:uid="{00000000-0005-0000-0000-000000010000}"/>
    <cellStyle name="_ASSIGNMENT 8 ICICI MAR07_IB Asset Management _2910_ICAL-BS Final Working _New format" xfId="257" xr:uid="{00000000-0005-0000-0000-000001010000}"/>
    <cellStyle name="_ASSIGNMENT 8 ICICI MAR07_IB Asset Management _3103_ver5" xfId="258" xr:uid="{00000000-0005-0000-0000-000002010000}"/>
    <cellStyle name="_ASSIGNMENT 8 ICICI MAR07_IB Asset Management_3103 V2" xfId="259" xr:uid="{00000000-0005-0000-0000-000003010000}"/>
    <cellStyle name="_ASSIGNMENT 8 ICICI MAR07_IB Asset Management_3103 V4" xfId="260" xr:uid="{00000000-0005-0000-0000-000004010000}"/>
    <cellStyle name="_ASSIGNMENT 8 ICICI MAR07_IB Asset Management_3103 V5" xfId="261" xr:uid="{00000000-0005-0000-0000-000005010000}"/>
    <cellStyle name="_ASSIGNMENT 8 ICICI MAR07_IB Collection Agency_3103 V3" xfId="262" xr:uid="{00000000-0005-0000-0000-000006010000}"/>
    <cellStyle name="_ASSIGNMENT 8 ICICI MAR07_IB Collection Agency_3103 V3_ICAL-New Format_31.03 V4" xfId="263" xr:uid="{00000000-0005-0000-0000-000007010000}"/>
    <cellStyle name="_ASSIGNMENT 8 ICICI MAR07_IB Infrastructure Credit" xfId="264" xr:uid="{00000000-0005-0000-0000-000008010000}"/>
    <cellStyle name="_ASSIGNMENT 8 ICICI MAR07_IB Infrastructure Credit-3103_V6" xfId="265" xr:uid="{00000000-0005-0000-0000-000009010000}"/>
    <cellStyle name="_ASSIGNMENT 8 ICICI MAR07_IB Infrastructure Credit-3103_V7" xfId="266" xr:uid="{00000000-0005-0000-0000-00000A010000}"/>
    <cellStyle name="_ASSIGNMENT 8 ICICI MAR07_IB Life Insurance_3103 V4" xfId="267" xr:uid="{00000000-0005-0000-0000-00000B010000}"/>
    <cellStyle name="_ASSIGNMENT 8 ICICI MAR07_IB Trustee Company_3103 V4" xfId="268" xr:uid="{00000000-0005-0000-0000-00000C010000}"/>
    <cellStyle name="_ASSIGNMENT 8 ICICI MAR07_IBFSL_Conso_March_10_11" xfId="269" xr:uid="{00000000-0005-0000-0000-00000D010000}"/>
    <cellStyle name="_ASSIGNMENT 8 ICICI MAR07_IBLIC_BS  Final working -New_Format_31.03 V5" xfId="270" xr:uid="{00000000-0005-0000-0000-00000E010000}"/>
    <cellStyle name="_ASSIGNMENT 8 ICICI MAR07_Ibulls BS Final woirking -New format_31.03 V5" xfId="271" xr:uid="{00000000-0005-0000-0000-00000F010000}"/>
    <cellStyle name="_ASSIGNMENT 8 ICICI MAR07_IbullsSales_3009V3 (3)" xfId="272" xr:uid="{00000000-0005-0000-0000-000010010000}"/>
    <cellStyle name="_ASSIGNMENT 8 ICICI MAR07_IbullsSales_3103" xfId="273" xr:uid="{00000000-0005-0000-0000-000011010000}"/>
    <cellStyle name="_ASSIGNMENT 8 ICICI MAR07_IbullsSales_3103 V2" xfId="274" xr:uid="{00000000-0005-0000-0000-000012010000}"/>
    <cellStyle name="_ASSIGNMENT 8 ICICI MAR07_IbullsSales_3103 V5" xfId="275" xr:uid="{00000000-0005-0000-0000-000013010000}"/>
    <cellStyle name="_ASSIGNMENT 8 ICICI MAR07_ICAL-BS Final Working _New format" xfId="276" xr:uid="{00000000-0005-0000-0000-000014010000}"/>
    <cellStyle name="_ASSIGNMENT 8 ICICI MAR07_IHFL_SEP_30_2009 XIII AUDIT- Sch II" xfId="277" xr:uid="{00000000-0005-0000-0000-000015010000}"/>
    <cellStyle name="_ASSIGNMENT 8 ICICI MAR07_IICL_March'11" xfId="278" xr:uid="{00000000-0005-0000-0000-000016010000}"/>
    <cellStyle name="_ASSIGNMENT 8 ICICI MAR07_Indiabulls Asset Management Company Limited printable" xfId="279" xr:uid="{00000000-0005-0000-0000-000017010000}"/>
    <cellStyle name="_ASSIGNMENT 8 ICICI MAR07_ITCL_BS working _New format_31.03 V7" xfId="280" xr:uid="{00000000-0005-0000-0000-000018010000}"/>
    <cellStyle name="_ASSIGNMENT 8 ICICI MAR07_ITCL-New format_31.03 V6" xfId="281" xr:uid="{00000000-0005-0000-0000-000019010000}"/>
    <cellStyle name="_ASSIGNMENT 8 ICICI MAR07_NFCL working file" xfId="282" xr:uid="{00000000-0005-0000-0000-00001A010000}"/>
    <cellStyle name="_ASSIGNMENT 8 ICICI MAR07_NFCL_ Tax Audit Report FY08-09 " xfId="283" xr:uid="{00000000-0005-0000-0000-00001B010000}"/>
    <cellStyle name="_ASSIGNMENT 8 ICICI MAR07_Tax Audit Report  F.Y.08-09" xfId="284" xr:uid="{00000000-0005-0000-0000-00001C010000}"/>
    <cellStyle name="_ASSIGNMENT 8 ICICI MAR07_Tax Audit Report  ICSL F.Y.09-10" xfId="285" xr:uid="{00000000-0005-0000-0000-00001D010000}"/>
    <cellStyle name="_ASSIGNMENT 8 ICICI MAR07_Xl0000013" xfId="286" xr:uid="{00000000-0005-0000-0000-00001E010000}"/>
    <cellStyle name="_Assignment X ICICI final" xfId="287" xr:uid="{00000000-0005-0000-0000-00001F010000}"/>
    <cellStyle name="_Assignment X ICICI final 2" xfId="288" xr:uid="{00000000-0005-0000-0000-000020010000}"/>
    <cellStyle name="_Assignment X ICICI final 3" xfId="289" xr:uid="{00000000-0005-0000-0000-000021010000}"/>
    <cellStyle name="_Assignment X ICICI final_IBFSL 30 Sep 11 V8" xfId="290" xr:uid="{00000000-0005-0000-0000-000022010000}"/>
    <cellStyle name="_Assignment X ICICI final_Indiabulls Asset Management Company Limited printable" xfId="291" xr:uid="{00000000-0005-0000-0000-000023010000}"/>
    <cellStyle name="_Aug consl backup-land adv &amp; Ext ICD" xfId="292" xr:uid="{00000000-0005-0000-0000-000024010000}"/>
    <cellStyle name="_Aug consl backup-land adv &amp; Ext ICD 2" xfId="293" xr:uid="{00000000-0005-0000-0000-000025010000}"/>
    <cellStyle name="_Aug consl backup-land adv &amp; Ext ICD 3" xfId="294" xr:uid="{00000000-0005-0000-0000-000026010000}"/>
    <cellStyle name="_Aug consl backup-land adv &amp; Ext ICD 4" xfId="295" xr:uid="{00000000-0005-0000-0000-000027010000}"/>
    <cellStyle name="_Aug consl backup-land adv &amp; Ext ICD 5" xfId="296" xr:uid="{00000000-0005-0000-0000-000028010000}"/>
    <cellStyle name="_B.S. DTL_31.03.2008" xfId="297" xr:uid="{00000000-0005-0000-0000-000029010000}"/>
    <cellStyle name="_Bajaj Allianz MIS" xfId="298" xr:uid="{00000000-0005-0000-0000-00002A010000}"/>
    <cellStyle name="_Bajaj Allianz MIS 2" xfId="299" xr:uid="{00000000-0005-0000-0000-00002B010000}"/>
    <cellStyle name="_Bajaj Allianz MIS_Indiabulls Asset Management Company Limited printable" xfId="300" xr:uid="{00000000-0005-0000-0000-00002C010000}"/>
    <cellStyle name="_BANK RECO AS ON 19.12. 2005 &amp; reco status" xfId="301" xr:uid="{00000000-0005-0000-0000-00002D010000}"/>
    <cellStyle name="_BANK RECO AS ON 19.12. 2005 &amp; reco status 2" xfId="302" xr:uid="{00000000-0005-0000-0000-00002E010000}"/>
    <cellStyle name="_BANK RECO AS ON 19.12. 2005 &amp; reco status_IBL_09.12.2009" xfId="303" xr:uid="{00000000-0005-0000-0000-00002F010000}"/>
    <cellStyle name="_BANK RECO AS ON 19.12. 2005 &amp; reco status_IBL_09.12.2009 2" xfId="304" xr:uid="{00000000-0005-0000-0000-000030010000}"/>
    <cellStyle name="_BANK RECO AS ON 19.12. 2005 &amp; reco status_IBL_09.12.2009_IHFL_March_ 31_10 -11 version 6" xfId="305" xr:uid="{00000000-0005-0000-0000-000031010000}"/>
    <cellStyle name="_BANK RECO AS ON 19.12. 2005 &amp; reco status_ICL_22 12 2009" xfId="306" xr:uid="{00000000-0005-0000-0000-000032010000}"/>
    <cellStyle name="_BANK RECO AS ON 19.12. 2005 &amp; reco status_ICL_22 12 2009 2" xfId="307" xr:uid="{00000000-0005-0000-0000-000033010000}"/>
    <cellStyle name="_BANK RECO AS ON 31.03.2006 (1)" xfId="308" xr:uid="{00000000-0005-0000-0000-000034010000}"/>
    <cellStyle name="_BANK RECO AS ON 31.03.2006 (1) 2" xfId="309" xr:uid="{00000000-0005-0000-0000-000035010000}"/>
    <cellStyle name="_BANK RECO AS ON 31.03.2006 (1)_IBL_09.12.2009" xfId="310" xr:uid="{00000000-0005-0000-0000-000036010000}"/>
    <cellStyle name="_BANK RECO AS ON 31.03.2006 (1)_IBL_09.12.2009 2" xfId="311" xr:uid="{00000000-0005-0000-0000-000037010000}"/>
    <cellStyle name="_BANK RECO AS ON 31.03.2006 (1)_IBL_09.12.2009_IHFL_March_ 31_10 -11 version 6" xfId="312" xr:uid="{00000000-0005-0000-0000-000038010000}"/>
    <cellStyle name="_BANK RECO AS ON 31.03.2006 (1)_ICL_22 12 2009" xfId="313" xr:uid="{00000000-0005-0000-0000-000039010000}"/>
    <cellStyle name="_BANK RECO AS ON 31.03.2006 (1)_ICL_22 12 2009 2" xfId="314" xr:uid="{00000000-0005-0000-0000-00003A010000}"/>
    <cellStyle name="_Base Sheet for Jan'10" xfId="315" xr:uid="{00000000-0005-0000-0000-00003B010000}"/>
    <cellStyle name="_Base Sheet for Jan'10 2" xfId="316" xr:uid="{00000000-0005-0000-0000-00003C010000}"/>
    <cellStyle name="_BIL Provisioning Nov'07" xfId="317" xr:uid="{00000000-0005-0000-0000-00003D010000}"/>
    <cellStyle name="_BIL Provisioning Nov'07 2" xfId="318" xr:uid="{00000000-0005-0000-0000-00003E010000}"/>
    <cellStyle name="_BIL Provisioning Nov'07_IHFL_September_30_2010 VERSION 10" xfId="319" xr:uid="{00000000-0005-0000-0000-00003F010000}"/>
    <cellStyle name="_BIL Provisioning Nov'07-final" xfId="320" xr:uid="{00000000-0005-0000-0000-000040010000}"/>
    <cellStyle name="_BIL Provisioning Nov'07-final 2" xfId="321" xr:uid="{00000000-0005-0000-0000-000041010000}"/>
    <cellStyle name="_BIL Provisioning Nov'07-final_IHFL_September_30_2010 VERSION 10" xfId="322" xr:uid="{00000000-0005-0000-0000-000042010000}"/>
    <cellStyle name="_Bills Received Tracker RAKESH" xfId="323" xr:uid="{00000000-0005-0000-0000-000043010000}"/>
    <cellStyle name="_Bills Received Tracker RAKESH 2" xfId="324" xr:uid="{00000000-0005-0000-0000-000044010000}"/>
    <cellStyle name="_Bills Received Tracker RAKESH_IHFL_September_30_2010 VERSION 10" xfId="325" xr:uid="{00000000-0005-0000-0000-000045010000}"/>
    <cellStyle name="_Book1" xfId="326" xr:uid="{00000000-0005-0000-0000-000046010000}"/>
    <cellStyle name="_Book1 (1)" xfId="327" xr:uid="{00000000-0005-0000-0000-000047010000}"/>
    <cellStyle name="_Book1 (1) 2" xfId="328" xr:uid="{00000000-0005-0000-0000-000048010000}"/>
    <cellStyle name="_Book1 (1) 3" xfId="329" xr:uid="{00000000-0005-0000-0000-000049010000}"/>
    <cellStyle name="_Book1 (1) 4" xfId="330" xr:uid="{00000000-0005-0000-0000-00004A010000}"/>
    <cellStyle name="_Book1 (1) 5" xfId="331" xr:uid="{00000000-0005-0000-0000-00004B010000}"/>
    <cellStyle name="_Book1 (13)" xfId="332" xr:uid="{00000000-0005-0000-0000-00004C010000}"/>
    <cellStyle name="_Book1 (13) 2" xfId="333" xr:uid="{00000000-0005-0000-0000-00004D010000}"/>
    <cellStyle name="_Book1 (3)" xfId="334" xr:uid="{00000000-0005-0000-0000-00004E010000}"/>
    <cellStyle name="_Book1 (3) 2" xfId="335" xr:uid="{00000000-0005-0000-0000-00004F010000}"/>
    <cellStyle name="_Book1 (3) 3" xfId="336" xr:uid="{00000000-0005-0000-0000-000050010000}"/>
    <cellStyle name="_Book1 (3) 4" xfId="337" xr:uid="{00000000-0005-0000-0000-000051010000}"/>
    <cellStyle name="_Book1 (3) 5" xfId="338" xr:uid="{00000000-0005-0000-0000-000052010000}"/>
    <cellStyle name="_Book1 (3)_Abstract-2007-08" xfId="339" xr:uid="{00000000-0005-0000-0000-000053010000}"/>
    <cellStyle name="_Book1 (3)_ACL_3402_2008-09" xfId="340" xr:uid="{00000000-0005-0000-0000-000054010000}"/>
    <cellStyle name="_Book1 (3)_ADL_3373_2008-09" xfId="341" xr:uid="{00000000-0005-0000-0000-000055010000}"/>
    <cellStyle name="_Book1 (3)_Advance Tax Sophia Jun 09" xfId="342" xr:uid="{00000000-0005-0000-0000-000056010000}"/>
    <cellStyle name="_Book1 (3)_Advance Tax Sophia Jun 09 2" xfId="343" xr:uid="{00000000-0005-0000-0000-000057010000}"/>
    <cellStyle name="_Book1 (3)_Base File For Segment" xfId="344" xr:uid="{00000000-0005-0000-0000-000058010000}"/>
    <cellStyle name="_Book1 (3)_Base File For Segment 2" xfId="345" xr:uid="{00000000-0005-0000-0000-000059010000}"/>
    <cellStyle name="_Book1 (3)_Book1" xfId="346" xr:uid="{00000000-0005-0000-0000-00005A010000}"/>
    <cellStyle name="_Book1 (3)_Book1 (2)" xfId="347" xr:uid="{00000000-0005-0000-0000-00005B010000}"/>
    <cellStyle name="_Book1 (3)_ChlorisProperties_3351_Dec.08" xfId="348" xr:uid="{00000000-0005-0000-0000-00005C010000}"/>
    <cellStyle name="_Book1 (3)_ChlorisProperties_3351_Dec.08 2" xfId="349" xr:uid="{00000000-0005-0000-0000-00005D010000}"/>
    <cellStyle name="_Book1 (3)_CIL_3415_2008-09" xfId="350" xr:uid="{00000000-0005-0000-0000-00005E010000}"/>
    <cellStyle name="_Book1 (3)_Consol Balance Sheet_Sophia_Dec08_Ibrel_1.3" xfId="351" xr:uid="{00000000-0005-0000-0000-00005F010000}"/>
    <cellStyle name="_Book1 (3)_Consol Balance Sheet_Sophia_Dec08_Ibrel_1.3 2" xfId="352" xr:uid="{00000000-0005-0000-0000-000060010000}"/>
    <cellStyle name="_Book1 (3)_detail (2)" xfId="353" xr:uid="{00000000-0005-0000-0000-000061010000}"/>
    <cellStyle name="_Book1 (3)_detail (2) 2" xfId="354" xr:uid="{00000000-0005-0000-0000-000062010000}"/>
    <cellStyle name="_Book1 (3)_detail (2)_IHFL_March_ 31_10 -11 version 6" xfId="355" xr:uid="{00000000-0005-0000-0000-000063010000}"/>
    <cellStyle name="_Book1 (3)_Details" xfId="356" xr:uid="{00000000-0005-0000-0000-000064010000}"/>
    <cellStyle name="_Book1 (3)_Details 2" xfId="357" xr:uid="{00000000-0005-0000-0000-000065010000}"/>
    <cellStyle name="_Book1 (3)_FD Detail" xfId="358" xr:uid="{00000000-0005-0000-0000-000066010000}"/>
    <cellStyle name="_Book1 (3)_Final Consol Balance Sheet_Sophia_Dec08_27.01.08" xfId="359" xr:uid="{00000000-0005-0000-0000-000067010000}"/>
    <cellStyle name="_Book1 (3)_Final Consol Balance Sheet_Sophia_Dec08_27.01.08 2" xfId="360" xr:uid="{00000000-0005-0000-0000-000068010000}"/>
    <cellStyle name="_Book1 (3)_Fixed Assets consolidated" xfId="361" xr:uid="{00000000-0005-0000-0000-000069010000}"/>
    <cellStyle name="_Book1 (3)_Fixed Assets consolidated 2" xfId="362" xr:uid="{00000000-0005-0000-0000-00006A010000}"/>
    <cellStyle name="_Book1 (3)_Fixed Assets consolidated_IHFL_March_ 31_10 -11 version 6" xfId="363" xr:uid="{00000000-0005-0000-0000-00006B010000}"/>
    <cellStyle name="_Book1 (3)_IBL_3441_2008-09" xfId="364" xr:uid="{00000000-0005-0000-0000-00006C010000}"/>
    <cellStyle name="_Book1 (3)_IHFL_March_ 31_10 -11 version 6" xfId="365" xr:uid="{00000000-0005-0000-0000-00006D010000}"/>
    <cellStyle name="_Book1 (3)_IIDL_3227_2008_09" xfId="366" xr:uid="{00000000-0005-0000-0000-00006E010000}"/>
    <cellStyle name="_Book1 (3)_IIDL_3227_2008_09 2" xfId="367" xr:uid="{00000000-0005-0000-0000-00006F010000}"/>
    <cellStyle name="_Book1 (3)_Indiabulls Asset Management Company Limited printable" xfId="368" xr:uid="{00000000-0005-0000-0000-000070010000}"/>
    <cellStyle name="_Book1 (3)_Land  CWIP status" xfId="369" xr:uid="{00000000-0005-0000-0000-000071010000}"/>
    <cellStyle name="_Book1 (3)_Revised Consol Balance Sheet_Sophia_Jan09_10.02.2009" xfId="370" xr:uid="{00000000-0005-0000-0000-000072010000}"/>
    <cellStyle name="_Book1 (3)_Revised Consol Balance Sheet_Sophia_Jan09_10.02.2009 2" xfId="371" xr:uid="{00000000-0005-0000-0000-000073010000}"/>
    <cellStyle name="_Book1 (3)_Sophia Consol for Printout 22 Jun 09" xfId="372" xr:uid="{00000000-0005-0000-0000-000074010000}"/>
    <cellStyle name="_Book1 (3)_Sophia Consol for Printout 22 Jun 09 2" xfId="373" xr:uid="{00000000-0005-0000-0000-000075010000}"/>
    <cellStyle name="_Book1 (3)_Sophia Consol for Printout 22 Jun 09_IHFL_March_ 31_10 -11 version 6" xfId="374" xr:uid="{00000000-0005-0000-0000-000076010000}"/>
    <cellStyle name="_Book1 (3)_Sophia Consol_march_09_05 June  09_1" xfId="375" xr:uid="{00000000-0005-0000-0000-000077010000}"/>
    <cellStyle name="_Book1 (3)_Sophia Consol_march_09_05 June  09_1 2" xfId="376" xr:uid="{00000000-0005-0000-0000-000078010000}"/>
    <cellStyle name="_Book1 (3)_Sophia Consol_march_09_05 June  09_1_IHFL_March_ 31_10 -11 version 6" xfId="377" xr:uid="{00000000-0005-0000-0000-000079010000}"/>
    <cellStyle name="_Book1 (3)_Treasury ICD Interest_ MIS_ 23  09 2009(final)" xfId="378" xr:uid="{00000000-0005-0000-0000-00007A010000}"/>
    <cellStyle name="_Book1 (3)_Treasury ICD Interest_ MIS_ 23  09 2009(final) 2" xfId="379" xr:uid="{00000000-0005-0000-0000-00007B010000}"/>
    <cellStyle name="_Book1 (3)_Treasury ICD Interest_ MIS_ 30. 06 2009(final)" xfId="380" xr:uid="{00000000-0005-0000-0000-00007C010000}"/>
    <cellStyle name="_Book1 (3)_Treasury ICD Interest_ MIS_ 30. 06 2009(final) 2" xfId="381" xr:uid="{00000000-0005-0000-0000-00007D010000}"/>
    <cellStyle name="_Book1 (3)_Treasury ICD Interest_ MIS_ 30. 09 2009(final)" xfId="382" xr:uid="{00000000-0005-0000-0000-00007E010000}"/>
    <cellStyle name="_Book1 (3)_Treasury ICD Interest_ MIS_ 30. 09 2009(final) 2" xfId="383" xr:uid="{00000000-0005-0000-0000-00007F010000}"/>
    <cellStyle name="_Book1 (3)_Treasury ICD Interest_ MIS_ 31 05 2009" xfId="384" xr:uid="{00000000-0005-0000-0000-000080010000}"/>
    <cellStyle name="_Book1 (3)_Treasury ICD Interest_ MIS_ 31 05 2009 2" xfId="385" xr:uid="{00000000-0005-0000-0000-000081010000}"/>
    <cellStyle name="_Book1 (3)_Treasury ICD Interest_ MIS_ 31 10 2009" xfId="386" xr:uid="{00000000-0005-0000-0000-000082010000}"/>
    <cellStyle name="_Book1 (3)_Treasury ICD Interest_ MIS_ 31 10 2009 2" xfId="387" xr:uid="{00000000-0005-0000-0000-000083010000}"/>
    <cellStyle name="_Book1 (3)_Treasury ICD Interest_ MIS_ 31.10.2009" xfId="388" xr:uid="{00000000-0005-0000-0000-000084010000}"/>
    <cellStyle name="_Book1 (3)_Treasury ICD Interest_ MIS_ 31.10.2009 2" xfId="389" xr:uid="{00000000-0005-0000-0000-000085010000}"/>
    <cellStyle name="_Book1 (3)_Treasury ICD Interest_ MIS_ 310309" xfId="390" xr:uid="{00000000-0005-0000-0000-000086010000}"/>
    <cellStyle name="_Book1 (3)_Treasury ICD Interest_ MIS_ 310309 2" xfId="391" xr:uid="{00000000-0005-0000-0000-000087010000}"/>
    <cellStyle name="_Book1 2" xfId="392" xr:uid="{00000000-0005-0000-0000-000088010000}"/>
    <cellStyle name="_Book1 3" xfId="393" xr:uid="{00000000-0005-0000-0000-000089010000}"/>
    <cellStyle name="_Book1 4" xfId="394" xr:uid="{00000000-0005-0000-0000-00008A010000}"/>
    <cellStyle name="_Book1 5" xfId="395" xr:uid="{00000000-0005-0000-0000-00008B010000}"/>
    <cellStyle name="_Book1_1" xfId="396" xr:uid="{00000000-0005-0000-0000-00008C010000}"/>
    <cellStyle name="_Book1_1 2" xfId="397" xr:uid="{00000000-0005-0000-0000-00008D010000}"/>
    <cellStyle name="_Book1_14A disallowance" xfId="398" xr:uid="{00000000-0005-0000-0000-00008E010000}"/>
    <cellStyle name="_Book1_14A disallowance 2" xfId="399" xr:uid="{00000000-0005-0000-0000-00008F010000}"/>
    <cellStyle name="_Book1_14A disallowance_269SS &amp; T IIAPL 09-10" xfId="400" xr:uid="{00000000-0005-0000-0000-000090010000}"/>
    <cellStyle name="_Book1_14A disallowance_IIAL 31.03.2010 VER2" xfId="401" xr:uid="{00000000-0005-0000-0000-000091010000}"/>
    <cellStyle name="_Book1_14A disallowance_Tax Audit Report  ICSL F.Y.09-10" xfId="402" xr:uid="{00000000-0005-0000-0000-000092010000}"/>
    <cellStyle name="_Book1_269SS &amp; T IIAPL 09-10" xfId="403" xr:uid="{00000000-0005-0000-0000-000093010000}"/>
    <cellStyle name="_Book1_269SS DSTSL 2007-08 (3)" xfId="404" xr:uid="{00000000-0005-0000-0000-000094010000}"/>
    <cellStyle name="_Book1_3211-ILL-21, July'07" xfId="405" xr:uid="{00000000-0005-0000-0000-000095010000}"/>
    <cellStyle name="_Book1_3211-ILL-21, July'07_CCL_3353_2007-08" xfId="406" xr:uid="{00000000-0005-0000-0000-000096010000}"/>
    <cellStyle name="_Book1_3211-ILL-21, July'07_CCL_3353_2007-08_IHFL_March_ 31_10 -11 version 6" xfId="407" xr:uid="{00000000-0005-0000-0000-000097010000}"/>
    <cellStyle name="_Book1_3211-ILL-21, July'07_EPL_3346_2007-08(C)" xfId="408" xr:uid="{00000000-0005-0000-0000-000098010000}"/>
    <cellStyle name="_Book1_3211-ILL-21, July'07_EPL_3346_2007-08(C)_IHFL_March_ 31_10 -11 version 6" xfId="409" xr:uid="{00000000-0005-0000-0000-000099010000}"/>
    <cellStyle name="_Book1_3211-ILL-21, July'07_IHFL_March_ 31_10 -11 version 6" xfId="410" xr:uid="{00000000-0005-0000-0000-00009A010000}"/>
    <cellStyle name="_Book1_3211-ILL-31, July'07" xfId="411" xr:uid="{00000000-0005-0000-0000-00009B010000}"/>
    <cellStyle name="_Book1_3211-ILL-31, July'07_CCL_3353_2007-08" xfId="412" xr:uid="{00000000-0005-0000-0000-00009C010000}"/>
    <cellStyle name="_Book1_3211-ILL-31, July'07_CCL_3353_2007-08_IHFL_March_ 31_10 -11 version 6" xfId="413" xr:uid="{00000000-0005-0000-0000-00009D010000}"/>
    <cellStyle name="_Book1_3211-ILL-31, July'07_EPL_3346_2007-08(C)" xfId="414" xr:uid="{00000000-0005-0000-0000-00009E010000}"/>
    <cellStyle name="_Book1_3211-ILL-31, July'07_EPL_3346_2007-08(C)_IHFL_March_ 31_10 -11 version 6" xfId="415" xr:uid="{00000000-0005-0000-0000-00009F010000}"/>
    <cellStyle name="_Book1_3211-ILL-31, July'07_IHFL_March_ 31_10 -11 version 6" xfId="416" xr:uid="{00000000-0005-0000-0000-0000A0010000}"/>
    <cellStyle name="_Book1_3221_ILDL-BS-31, July'07" xfId="417" xr:uid="{00000000-0005-0000-0000-0000A1010000}"/>
    <cellStyle name="_Book1_3221_ILDL-BS-31, July'07 2" xfId="418" xr:uid="{00000000-0005-0000-0000-0000A2010000}"/>
    <cellStyle name="_Book1_3221_ILDL-BS-31, July'07_CCL_3353_2007-08" xfId="419" xr:uid="{00000000-0005-0000-0000-0000A3010000}"/>
    <cellStyle name="_Book1_3221_ILDL-BS-31, July'07_CCL_3353_2007-08 2" xfId="420" xr:uid="{00000000-0005-0000-0000-0000A4010000}"/>
    <cellStyle name="_Book1_3221_ILDL-BS-31, July'07_CCL_3353_2007-08_IHFL_March_ 31_10 -11 version 6" xfId="421" xr:uid="{00000000-0005-0000-0000-0000A5010000}"/>
    <cellStyle name="_Book1_3221_ILDL-BS-31, July'07_EPL_3346_2007-08(C)" xfId="422" xr:uid="{00000000-0005-0000-0000-0000A6010000}"/>
    <cellStyle name="_Book1_3221_ILDL-BS-31, July'07_EPL_3346_2007-08(C) 2" xfId="423" xr:uid="{00000000-0005-0000-0000-0000A7010000}"/>
    <cellStyle name="_Book1_3221_ILDL-BS-31, July'07_EPL_3346_2007-08(C)_IHFL_March_ 31_10 -11 version 6" xfId="424" xr:uid="{00000000-0005-0000-0000-0000A8010000}"/>
    <cellStyle name="_Book1_3221_ILDL-BS-31, July'07_IHFL_March_ 31_10 -11 version 6" xfId="425" xr:uid="{00000000-0005-0000-0000-0000A9010000}"/>
    <cellStyle name="_Book1_3221_ILDL-BS-June'07" xfId="426" xr:uid="{00000000-0005-0000-0000-0000AA010000}"/>
    <cellStyle name="_Book1_3221_ILDL-BS-June'07 2" xfId="427" xr:uid="{00000000-0005-0000-0000-0000AB010000}"/>
    <cellStyle name="_Book1_3221_ILDL-BS-June'07_CCL_3353_2007-08" xfId="428" xr:uid="{00000000-0005-0000-0000-0000AC010000}"/>
    <cellStyle name="_Book1_3221_ILDL-BS-June'07_CCL_3353_2007-08 2" xfId="429" xr:uid="{00000000-0005-0000-0000-0000AD010000}"/>
    <cellStyle name="_Book1_3221_ILDL-BS-June'07_CCL_3353_2007-08_IHFL_March_ 31_10 -11 version 6" xfId="430" xr:uid="{00000000-0005-0000-0000-0000AE010000}"/>
    <cellStyle name="_Book1_3221_ILDL-BS-June'07_EPL_3346_2007-08(C)" xfId="431" xr:uid="{00000000-0005-0000-0000-0000AF010000}"/>
    <cellStyle name="_Book1_3221_ILDL-BS-June'07_EPL_3346_2007-08(C) 2" xfId="432" xr:uid="{00000000-0005-0000-0000-0000B0010000}"/>
    <cellStyle name="_Book1_3221_ILDL-BS-June'07_EPL_3346_2007-08(C)_IHFL_March_ 31_10 -11 version 6" xfId="433" xr:uid="{00000000-0005-0000-0000-0000B1010000}"/>
    <cellStyle name="_Book1_3221_ILDL-BS-June'07_IHFL_March_ 31_10 -11 version 6" xfId="434" xr:uid="{00000000-0005-0000-0000-0000B2010000}"/>
    <cellStyle name="_Book1_3250_Hotel properties_21,July'07" xfId="435" xr:uid="{00000000-0005-0000-0000-0000B3010000}"/>
    <cellStyle name="_Book1_3250_Hotel properties_21,July'07 2" xfId="436" xr:uid="{00000000-0005-0000-0000-0000B4010000}"/>
    <cellStyle name="_Book1_3250_Hotel properties_21,July'07_CCL_3353_2007-08" xfId="437" xr:uid="{00000000-0005-0000-0000-0000B5010000}"/>
    <cellStyle name="_Book1_3250_Hotel properties_21,July'07_CCL_3353_2007-08 2" xfId="438" xr:uid="{00000000-0005-0000-0000-0000B6010000}"/>
    <cellStyle name="_Book1_3250_Hotel properties_21,July'07_CCL_3353_2007-08_IHFL_March_ 31_10 -11 version 6" xfId="439" xr:uid="{00000000-0005-0000-0000-0000B7010000}"/>
    <cellStyle name="_Book1_3250_Hotel properties_21,July'07_EPL_3346_2007-08(C)" xfId="440" xr:uid="{00000000-0005-0000-0000-0000B8010000}"/>
    <cellStyle name="_Book1_3250_Hotel properties_21,July'07_EPL_3346_2007-08(C) 2" xfId="441" xr:uid="{00000000-0005-0000-0000-0000B9010000}"/>
    <cellStyle name="_Book1_3250_Hotel properties_21,July'07_EPL_3346_2007-08(C)_IHFL_March_ 31_10 -11 version 6" xfId="442" xr:uid="{00000000-0005-0000-0000-0000BA010000}"/>
    <cellStyle name="_Book1_3250_Hotel properties_21,July'07_IHFL_March_ 31_10 -11 version 6" xfId="443" xr:uid="{00000000-0005-0000-0000-0000BB010000}"/>
    <cellStyle name="_Book1_3250_Hotel properties_31,July'07" xfId="444" xr:uid="{00000000-0005-0000-0000-0000BC010000}"/>
    <cellStyle name="_Book1_3250_Hotel properties_31,July'07 2" xfId="445" xr:uid="{00000000-0005-0000-0000-0000BD010000}"/>
    <cellStyle name="_Book1_3250_Hotel properties_31,July'07_CCL_3353_2007-08" xfId="446" xr:uid="{00000000-0005-0000-0000-0000BE010000}"/>
    <cellStyle name="_Book1_3250_Hotel properties_31,July'07_CCL_3353_2007-08 2" xfId="447" xr:uid="{00000000-0005-0000-0000-0000BF010000}"/>
    <cellStyle name="_Book1_3250_Hotel properties_31,July'07_CCL_3353_2007-08_IHFL_March_ 31_10 -11 version 6" xfId="448" xr:uid="{00000000-0005-0000-0000-0000C0010000}"/>
    <cellStyle name="_Book1_3250_Hotel properties_31,July'07_EPL_3346_2007-08(C)" xfId="449" xr:uid="{00000000-0005-0000-0000-0000C1010000}"/>
    <cellStyle name="_Book1_3250_Hotel properties_31,July'07_EPL_3346_2007-08(C) 2" xfId="450" xr:uid="{00000000-0005-0000-0000-0000C2010000}"/>
    <cellStyle name="_Book1_3250_Hotel properties_31,July'07_EPL_3346_2007-08(C)_IHFL_March_ 31_10 -11 version 6" xfId="451" xr:uid="{00000000-0005-0000-0000-0000C3010000}"/>
    <cellStyle name="_Book1_3250_Hotel properties_31,July'07_IHFL_March_ 31_10 -11 version 6" xfId="452" xr:uid="{00000000-0005-0000-0000-0000C4010000}"/>
    <cellStyle name="_Book1_3250_Hotel properties_June'07" xfId="453" xr:uid="{00000000-0005-0000-0000-0000C5010000}"/>
    <cellStyle name="_Book1_3250_Hotel properties_June'07 2" xfId="454" xr:uid="{00000000-0005-0000-0000-0000C6010000}"/>
    <cellStyle name="_Book1_3250_Hotel properties_June'07_CCL_3353_2007-08" xfId="455" xr:uid="{00000000-0005-0000-0000-0000C7010000}"/>
    <cellStyle name="_Book1_3250_Hotel properties_June'07_CCL_3353_2007-08 2" xfId="456" xr:uid="{00000000-0005-0000-0000-0000C8010000}"/>
    <cellStyle name="_Book1_3250_Hotel properties_June'07_CCL_3353_2007-08_IHFL_March_ 31_10 -11 version 6" xfId="457" xr:uid="{00000000-0005-0000-0000-0000C9010000}"/>
    <cellStyle name="_Book1_3250_Hotel properties_June'07_EPL_3346_2007-08(C)" xfId="458" xr:uid="{00000000-0005-0000-0000-0000CA010000}"/>
    <cellStyle name="_Book1_3250_Hotel properties_June'07_EPL_3346_2007-08(C) 2" xfId="459" xr:uid="{00000000-0005-0000-0000-0000CB010000}"/>
    <cellStyle name="_Book1_3250_Hotel properties_June'07_EPL_3346_2007-08(C)_IHFL_March_ 31_10 -11 version 6" xfId="460" xr:uid="{00000000-0005-0000-0000-0000CC010000}"/>
    <cellStyle name="_Book1_3250_Hotel properties_June'07_IHFL_March_ 31_10 -11 version 6" xfId="461" xr:uid="{00000000-0005-0000-0000-0000CD010000}"/>
    <cellStyle name="_Book1_3315-IHDL-21, July'07" xfId="462" xr:uid="{00000000-0005-0000-0000-0000CE010000}"/>
    <cellStyle name="_Book1_3315-IHDL-21, July'07_CCL_3353_2007-08" xfId="463" xr:uid="{00000000-0005-0000-0000-0000CF010000}"/>
    <cellStyle name="_Book1_3315-IHDL-21, July'07_CCL_3353_2007-08_IHFL_March_ 31_10 -11 version 6" xfId="464" xr:uid="{00000000-0005-0000-0000-0000D0010000}"/>
    <cellStyle name="_Book1_3315-IHDL-21, July'07_EPL_3346_2007-08(C)" xfId="465" xr:uid="{00000000-0005-0000-0000-0000D1010000}"/>
    <cellStyle name="_Book1_3315-IHDL-21, July'07_EPL_3346_2007-08(C)_IHFL_March_ 31_10 -11 version 6" xfId="466" xr:uid="{00000000-0005-0000-0000-0000D2010000}"/>
    <cellStyle name="_Book1_3315-IHDL-21, July'07_IHFL_March_ 31_10 -11 version 6" xfId="467" xr:uid="{00000000-0005-0000-0000-0000D3010000}"/>
    <cellStyle name="_Book1_3315-IHDL-31, July'07" xfId="468" xr:uid="{00000000-0005-0000-0000-0000D4010000}"/>
    <cellStyle name="_Book1_3315-IHDL-31, July'07_CCL_3353_2007-08" xfId="469" xr:uid="{00000000-0005-0000-0000-0000D5010000}"/>
    <cellStyle name="_Book1_3315-IHDL-31, July'07_CCL_3353_2007-08_IHFL_March_ 31_10 -11 version 6" xfId="470" xr:uid="{00000000-0005-0000-0000-0000D6010000}"/>
    <cellStyle name="_Book1_3315-IHDL-31, July'07_EPL_3346_2007-08(C)" xfId="471" xr:uid="{00000000-0005-0000-0000-0000D7010000}"/>
    <cellStyle name="_Book1_3315-IHDL-31, July'07_EPL_3346_2007-08(C)_IHFL_March_ 31_10 -11 version 6" xfId="472" xr:uid="{00000000-0005-0000-0000-0000D8010000}"/>
    <cellStyle name="_Book1_3315-IHDL-31, July'07_IHFL_March_ 31_10 -11 version 6" xfId="473" xr:uid="{00000000-0005-0000-0000-0000D9010000}"/>
    <cellStyle name="_Book1_3316_Infracon Ltd_21, July'07" xfId="474" xr:uid="{00000000-0005-0000-0000-0000DA010000}"/>
    <cellStyle name="_Book1_3316_Infracon Ltd_21, July'07 2" xfId="475" xr:uid="{00000000-0005-0000-0000-0000DB010000}"/>
    <cellStyle name="_Book1_3316_Infracon Ltd_21, July'07_CCL_3353_2007-08" xfId="476" xr:uid="{00000000-0005-0000-0000-0000DC010000}"/>
    <cellStyle name="_Book1_3316_Infracon Ltd_21, July'07_CCL_3353_2007-08 2" xfId="477" xr:uid="{00000000-0005-0000-0000-0000DD010000}"/>
    <cellStyle name="_Book1_3316_Infracon Ltd_21, July'07_CCL_3353_2007-08_IHFL_March_ 31_10 -11 version 6" xfId="478" xr:uid="{00000000-0005-0000-0000-0000DE010000}"/>
    <cellStyle name="_Book1_3316_Infracon Ltd_21, July'07_EPL_3346_2007-08(C)" xfId="479" xr:uid="{00000000-0005-0000-0000-0000DF010000}"/>
    <cellStyle name="_Book1_3316_Infracon Ltd_21, July'07_EPL_3346_2007-08(C) 2" xfId="480" xr:uid="{00000000-0005-0000-0000-0000E0010000}"/>
    <cellStyle name="_Book1_3316_Infracon Ltd_21, July'07_EPL_3346_2007-08(C)_IHFL_March_ 31_10 -11 version 6" xfId="481" xr:uid="{00000000-0005-0000-0000-0000E1010000}"/>
    <cellStyle name="_Book1_3316_Infracon Ltd_21, July'07_IHFL_March_ 31_10 -11 version 6" xfId="482" xr:uid="{00000000-0005-0000-0000-0000E2010000}"/>
    <cellStyle name="_Book1_3316_Infracon Ltd_31, July'07" xfId="483" xr:uid="{00000000-0005-0000-0000-0000E3010000}"/>
    <cellStyle name="_Book1_3316_Infracon Ltd_31, July'07 2" xfId="484" xr:uid="{00000000-0005-0000-0000-0000E4010000}"/>
    <cellStyle name="_Book1_3316_Infracon Ltd_31, July'07_CCL_3353_2007-08" xfId="485" xr:uid="{00000000-0005-0000-0000-0000E5010000}"/>
    <cellStyle name="_Book1_3316_Infracon Ltd_31, July'07_CCL_3353_2007-08 2" xfId="486" xr:uid="{00000000-0005-0000-0000-0000E6010000}"/>
    <cellStyle name="_Book1_3316_Infracon Ltd_31, July'07_CCL_3353_2007-08_IHFL_March_ 31_10 -11 version 6" xfId="487" xr:uid="{00000000-0005-0000-0000-0000E7010000}"/>
    <cellStyle name="_Book1_3316_Infracon Ltd_31, July'07_EPL_3346_2007-08(C)" xfId="488" xr:uid="{00000000-0005-0000-0000-0000E8010000}"/>
    <cellStyle name="_Book1_3316_Infracon Ltd_31, July'07_EPL_3346_2007-08(C) 2" xfId="489" xr:uid="{00000000-0005-0000-0000-0000E9010000}"/>
    <cellStyle name="_Book1_3316_Infracon Ltd_31, July'07_EPL_3346_2007-08(C)_IHFL_March_ 31_10 -11 version 6" xfId="490" xr:uid="{00000000-0005-0000-0000-0000EA010000}"/>
    <cellStyle name="_Book1_3316_Infracon Ltd_31, July'07_IHFL_March_ 31_10 -11 version 6" xfId="491" xr:uid="{00000000-0005-0000-0000-0000EB010000}"/>
    <cellStyle name="_Book1_3316_Infracon Ltd_June'07" xfId="492" xr:uid="{00000000-0005-0000-0000-0000EC010000}"/>
    <cellStyle name="_Book1_3316_Infracon Ltd_June'07 2" xfId="493" xr:uid="{00000000-0005-0000-0000-0000ED010000}"/>
    <cellStyle name="_Book1_3316_Infracon Ltd_June'07_CCL_3353_2007-08" xfId="494" xr:uid="{00000000-0005-0000-0000-0000EE010000}"/>
    <cellStyle name="_Book1_3316_Infracon Ltd_June'07_CCL_3353_2007-08 2" xfId="495" xr:uid="{00000000-0005-0000-0000-0000EF010000}"/>
    <cellStyle name="_Book1_3316_Infracon Ltd_June'07_CCL_3353_2007-08_IHFL_March_ 31_10 -11 version 6" xfId="496" xr:uid="{00000000-0005-0000-0000-0000F0010000}"/>
    <cellStyle name="_Book1_3316_Infracon Ltd_June'07_EPL_3346_2007-08(C)" xfId="497" xr:uid="{00000000-0005-0000-0000-0000F1010000}"/>
    <cellStyle name="_Book1_3316_Infracon Ltd_June'07_EPL_3346_2007-08(C) 2" xfId="498" xr:uid="{00000000-0005-0000-0000-0000F2010000}"/>
    <cellStyle name="_Book1_3316_Infracon Ltd_June'07_EPL_3346_2007-08(C)_IHFL_March_ 31_10 -11 version 6" xfId="499" xr:uid="{00000000-0005-0000-0000-0000F3010000}"/>
    <cellStyle name="_Book1_3316_Infracon Ltd_June'07_IHFL_March_ 31_10 -11 version 6" xfId="500" xr:uid="{00000000-0005-0000-0000-0000F4010000}"/>
    <cellStyle name="_Book1_3317_IInfraestate Ltd-BS_21,July'07" xfId="501" xr:uid="{00000000-0005-0000-0000-0000F5010000}"/>
    <cellStyle name="_Book1_3317_IInfraestate Ltd-BS_21,July'07_CCL_3353_2007-08" xfId="502" xr:uid="{00000000-0005-0000-0000-0000F6010000}"/>
    <cellStyle name="_Book1_3317_IInfraestate Ltd-BS_21,July'07_CCL_3353_2007-08_IHFL_March_ 31_10 -11 version 6" xfId="503" xr:uid="{00000000-0005-0000-0000-0000F7010000}"/>
    <cellStyle name="_Book1_3317_IInfraestate Ltd-BS_21,July'07_EPL_3346_2007-08(C)" xfId="504" xr:uid="{00000000-0005-0000-0000-0000F8010000}"/>
    <cellStyle name="_Book1_3317_IInfraestate Ltd-BS_21,July'07_EPL_3346_2007-08(C)_IHFL_March_ 31_10 -11 version 6" xfId="505" xr:uid="{00000000-0005-0000-0000-0000F9010000}"/>
    <cellStyle name="_Book1_3317_IInfraestate Ltd-BS_21,July'07_IHFL_March_ 31_10 -11 version 6" xfId="506" xr:uid="{00000000-0005-0000-0000-0000FA010000}"/>
    <cellStyle name="_Book1_3317_IInfraestate Ltd-BS_31,July'07" xfId="507" xr:uid="{00000000-0005-0000-0000-0000FB010000}"/>
    <cellStyle name="_Book1_3317_IInfraestate Ltd-BS_31,July'07_CCL_3353_2007-08" xfId="508" xr:uid="{00000000-0005-0000-0000-0000FC010000}"/>
    <cellStyle name="_Book1_3317_IInfraestate Ltd-BS_31,July'07_CCL_3353_2007-08_IHFL_March_ 31_10 -11 version 6" xfId="509" xr:uid="{00000000-0005-0000-0000-0000FD010000}"/>
    <cellStyle name="_Book1_3317_IInfraestate Ltd-BS_31,July'07_EPL_3346_2007-08(C)" xfId="510" xr:uid="{00000000-0005-0000-0000-0000FE010000}"/>
    <cellStyle name="_Book1_3317_IInfraestate Ltd-BS_31,July'07_EPL_3346_2007-08(C)_IHFL_March_ 31_10 -11 version 6" xfId="511" xr:uid="{00000000-0005-0000-0000-0000FF010000}"/>
    <cellStyle name="_Book1_3317_IInfraestate Ltd-BS_31,July'07_IHFL_March_ 31_10 -11 version 6" xfId="512" xr:uid="{00000000-0005-0000-0000-000000020000}"/>
    <cellStyle name="_Book1_3318_Infratech Ltd_31, July'07" xfId="513" xr:uid="{00000000-0005-0000-0000-000001020000}"/>
    <cellStyle name="_Book1_3318_Infratech Ltd_31, July'07 2" xfId="514" xr:uid="{00000000-0005-0000-0000-000002020000}"/>
    <cellStyle name="_Book1_3318_Infratech Ltd_31, July'07_CCL_3353_2007-08" xfId="515" xr:uid="{00000000-0005-0000-0000-000003020000}"/>
    <cellStyle name="_Book1_3318_Infratech Ltd_31, July'07_CCL_3353_2007-08 2" xfId="516" xr:uid="{00000000-0005-0000-0000-000004020000}"/>
    <cellStyle name="_Book1_3318_Infratech Ltd_31, July'07_CCL_3353_2007-08_IHFL_March_ 31_10 -11 version 6" xfId="517" xr:uid="{00000000-0005-0000-0000-000005020000}"/>
    <cellStyle name="_Book1_3318_Infratech Ltd_31, July'07_EPL_3346_2007-08(C)" xfId="518" xr:uid="{00000000-0005-0000-0000-000006020000}"/>
    <cellStyle name="_Book1_3318_Infratech Ltd_31, July'07_EPL_3346_2007-08(C) 2" xfId="519" xr:uid="{00000000-0005-0000-0000-000007020000}"/>
    <cellStyle name="_Book1_3318_Infratech Ltd_31, July'07_EPL_3346_2007-08(C)_IHFL_March_ 31_10 -11 version 6" xfId="520" xr:uid="{00000000-0005-0000-0000-000008020000}"/>
    <cellStyle name="_Book1_3318_Infratech Ltd_31, July'07_IHFL_March_ 31_10 -11 version 6" xfId="521" xr:uid="{00000000-0005-0000-0000-000009020000}"/>
    <cellStyle name="_Book1_3318_Infratech Ltd_June'07" xfId="522" xr:uid="{00000000-0005-0000-0000-00000A020000}"/>
    <cellStyle name="_Book1_3318_Infratech Ltd_June'07 2" xfId="523" xr:uid="{00000000-0005-0000-0000-00000B020000}"/>
    <cellStyle name="_Book1_3318_Infratech Ltd_June'07_CCL_3353_2007-08" xfId="524" xr:uid="{00000000-0005-0000-0000-00000C020000}"/>
    <cellStyle name="_Book1_3318_Infratech Ltd_June'07_CCL_3353_2007-08 2" xfId="525" xr:uid="{00000000-0005-0000-0000-00000D020000}"/>
    <cellStyle name="_Book1_3318_Infratech Ltd_June'07_CCL_3353_2007-08_IHFL_March_ 31_10 -11 version 6" xfId="526" xr:uid="{00000000-0005-0000-0000-00000E020000}"/>
    <cellStyle name="_Book1_3318_Infratech Ltd_June'07_EPL_3346_2007-08(C)" xfId="527" xr:uid="{00000000-0005-0000-0000-00000F020000}"/>
    <cellStyle name="_Book1_3318_Infratech Ltd_June'07_EPL_3346_2007-08(C) 2" xfId="528" xr:uid="{00000000-0005-0000-0000-000010020000}"/>
    <cellStyle name="_Book1_3318_Infratech Ltd_June'07_EPL_3346_2007-08(C)_IHFL_March_ 31_10 -11 version 6" xfId="529" xr:uid="{00000000-0005-0000-0000-000011020000}"/>
    <cellStyle name="_Book1_3318_Infratech Ltd_June'07_IHFL_March_ 31_10 -11 version 6" xfId="530" xr:uid="{00000000-0005-0000-0000-000012020000}"/>
    <cellStyle name="_Book1_3382- Co's Dep." xfId="531" xr:uid="{00000000-0005-0000-0000-000013020000}"/>
    <cellStyle name="_Book1_ADDITIONAL INFO" xfId="532" xr:uid="{00000000-0005-0000-0000-000014020000}"/>
    <cellStyle name="_Book1_ADDITIONAL INFO 2" xfId="533" xr:uid="{00000000-0005-0000-0000-000015020000}"/>
    <cellStyle name="_Book1_ADDITIONAL INFO 3" xfId="534" xr:uid="{00000000-0005-0000-0000-000016020000}"/>
    <cellStyle name="_Book1_ADDITIONAL INFO 4" xfId="535" xr:uid="{00000000-0005-0000-0000-000017020000}"/>
    <cellStyle name="_Book1_ADDITIONAL INFO 5" xfId="536" xr:uid="{00000000-0005-0000-0000-000018020000}"/>
    <cellStyle name="_Book1_ADDITIONAL INFO_CCL_3353_2007-08" xfId="537" xr:uid="{00000000-0005-0000-0000-000019020000}"/>
    <cellStyle name="_Book1_ADDITIONAL INFO_CCL_3353_2007-08 2" xfId="538" xr:uid="{00000000-0005-0000-0000-00001A020000}"/>
    <cellStyle name="_Book1_ADDITIONAL INFO_CCL_3353_2007-08_IHFL_March_ 31_10 -11 version 6" xfId="539" xr:uid="{00000000-0005-0000-0000-00001B020000}"/>
    <cellStyle name="_Book1_ADDITIONAL INFO_detail" xfId="540" xr:uid="{00000000-0005-0000-0000-00001C020000}"/>
    <cellStyle name="_Book1_ADDITIONAL INFO_detail (2)" xfId="541" xr:uid="{00000000-0005-0000-0000-00001D020000}"/>
    <cellStyle name="_Book1_ADDITIONAL INFO_detail (2) 2" xfId="542" xr:uid="{00000000-0005-0000-0000-00001E020000}"/>
    <cellStyle name="_Book1_ADDITIONAL INFO_detail (2)_IHFL_March_ 31_10 -11 version 6" xfId="543" xr:uid="{00000000-0005-0000-0000-00001F020000}"/>
    <cellStyle name="_Book1_ADDITIONAL INFO_detail to be added in june,2008" xfId="544" xr:uid="{00000000-0005-0000-0000-000020020000}"/>
    <cellStyle name="_Book1_ADDITIONAL INFO_detail to be added in june,2008 2" xfId="545" xr:uid="{00000000-0005-0000-0000-000021020000}"/>
    <cellStyle name="_Book1_ADDITIONAL INFO_detail to be added in june,2008_IHFL_March_ 31_10 -11 version 6" xfId="546" xr:uid="{00000000-0005-0000-0000-000022020000}"/>
    <cellStyle name="_Book1_ADDITIONAL INFO_EPL_3346_2007-08(C)" xfId="547" xr:uid="{00000000-0005-0000-0000-000023020000}"/>
    <cellStyle name="_Book1_ADDITIONAL INFO_EPL_3346_2007-08(C) 2" xfId="548" xr:uid="{00000000-0005-0000-0000-000024020000}"/>
    <cellStyle name="_Book1_ADDITIONAL INFO_EPL_3346_2007-08(C)_IHFL_March_ 31_10 -11 version 6" xfId="549" xr:uid="{00000000-0005-0000-0000-000025020000}"/>
    <cellStyle name="_Book1_ADDITIONAL INFO_IIDL_3227_2007-08" xfId="550" xr:uid="{00000000-0005-0000-0000-000026020000}"/>
    <cellStyle name="_Book1_ADDITIONAL INFO_IIDL_3227_2007-08 2" xfId="551" xr:uid="{00000000-0005-0000-0000-000027020000}"/>
    <cellStyle name="_Book1_ADDITIONAL INFO_IPGL_3355_2007-08" xfId="552" xr:uid="{00000000-0005-0000-0000-000028020000}"/>
    <cellStyle name="_Book1_ADDITIONAL INFO_IPGL_3355_2007-08 2" xfId="553" xr:uid="{00000000-0005-0000-0000-000029020000}"/>
    <cellStyle name="_Book1_ADDITIONAL INFO_IPGL_3355_2007-08_IHFL_March_ 31_10 -11 version 6" xfId="554" xr:uid="{00000000-0005-0000-0000-00002A020000}"/>
    <cellStyle name="_Book1_Advance tax calculations" xfId="555" xr:uid="{00000000-0005-0000-0000-00002B020000}"/>
    <cellStyle name="_Book1_Advance tax calculations_Asset Management Company Limited" xfId="556" xr:uid="{00000000-0005-0000-0000-00002C020000}"/>
    <cellStyle name="_Book1_Advance tax calculations_BS _IB Asset Management _3103_ver5" xfId="557" xr:uid="{00000000-0005-0000-0000-00002D020000}"/>
    <cellStyle name="_Book1_Advance tax calculations_BS _IB Asset Management _3103_ver5_IAMCL BS working -New format_31.03 V5" xfId="558" xr:uid="{00000000-0005-0000-0000-00002E020000}"/>
    <cellStyle name="_Book1_Advance tax calculations_IAMCL BS working -New format_31.03 V5" xfId="559" xr:uid="{00000000-0005-0000-0000-00002F020000}"/>
    <cellStyle name="_Book1_Advance tax calculations_IB Asset Management _2910" xfId="560" xr:uid="{00000000-0005-0000-0000-000030020000}"/>
    <cellStyle name="_Book1_Advance tax calculations_IB Asset Management _2910_IB Collection Agency_3103 V3" xfId="561" xr:uid="{00000000-0005-0000-0000-000031020000}"/>
    <cellStyle name="_Book1_Advance tax calculations_IB Asset Management _2910_IB Collection Agency_3103 V3_ICAL-New Format_31.03 V4" xfId="562" xr:uid="{00000000-0005-0000-0000-000032020000}"/>
    <cellStyle name="_Book1_Advance tax calculations_IB Asset Management _2910_ICAL-BS Final Working _New format" xfId="563" xr:uid="{00000000-0005-0000-0000-000033020000}"/>
    <cellStyle name="_Book1_Advance tax calculations_IB Asset Management _3103_ver5" xfId="564" xr:uid="{00000000-0005-0000-0000-000034020000}"/>
    <cellStyle name="_Book1_Advance tax calculations_IB Asset Management_3103 V2" xfId="565" xr:uid="{00000000-0005-0000-0000-000035020000}"/>
    <cellStyle name="_Book1_Advance tax calculations_IB Asset Management_3103 V4" xfId="566" xr:uid="{00000000-0005-0000-0000-000036020000}"/>
    <cellStyle name="_Book1_Advance tax calculations_IB Asset Management_3103 V5" xfId="567" xr:uid="{00000000-0005-0000-0000-000037020000}"/>
    <cellStyle name="_Book1_Advance tax calculations_IB Collection Agency_3103 V3" xfId="568" xr:uid="{00000000-0005-0000-0000-000038020000}"/>
    <cellStyle name="_Book1_Advance tax calculations_IB Collection Agency_3103 V3_ICAL-New Format_31.03 V4" xfId="569" xr:uid="{00000000-0005-0000-0000-000039020000}"/>
    <cellStyle name="_Book1_Advance tax calculations_IB Infrastructure Credit" xfId="570" xr:uid="{00000000-0005-0000-0000-00003A020000}"/>
    <cellStyle name="_Book1_Advance tax calculations_IB Infrastructure Credit-3103_V6" xfId="571" xr:uid="{00000000-0005-0000-0000-00003B020000}"/>
    <cellStyle name="_Book1_Advance tax calculations_IB Infrastructure Credit-3103_V7" xfId="572" xr:uid="{00000000-0005-0000-0000-00003C020000}"/>
    <cellStyle name="_Book1_Advance tax calculations_IB Life Insurance_3103 V4" xfId="573" xr:uid="{00000000-0005-0000-0000-00003D020000}"/>
    <cellStyle name="_Book1_Advance tax calculations_IB Trustee Company_3103 V4" xfId="574" xr:uid="{00000000-0005-0000-0000-00003E020000}"/>
    <cellStyle name="_Book1_Advance tax calculations_IBLIC_BS  Final working -New_Format_31.03 V5" xfId="575" xr:uid="{00000000-0005-0000-0000-00003F020000}"/>
    <cellStyle name="_Book1_Advance tax calculations_Ibulls BS Final woirking -New format_31.03 V5" xfId="576" xr:uid="{00000000-0005-0000-0000-000040020000}"/>
    <cellStyle name="_Book1_Advance tax calculations_IbullsSales_3009V3 (3)" xfId="577" xr:uid="{00000000-0005-0000-0000-000041020000}"/>
    <cellStyle name="_Book1_Advance tax calculations_IbullsSales_3103" xfId="578" xr:uid="{00000000-0005-0000-0000-000042020000}"/>
    <cellStyle name="_Book1_Advance tax calculations_IbullsSales_3103 V2" xfId="579" xr:uid="{00000000-0005-0000-0000-000043020000}"/>
    <cellStyle name="_Book1_Advance tax calculations_IbullsSales_3103 V5" xfId="580" xr:uid="{00000000-0005-0000-0000-000044020000}"/>
    <cellStyle name="_Book1_Advance tax calculations_ICAL-BS Final Working _New format" xfId="581" xr:uid="{00000000-0005-0000-0000-000045020000}"/>
    <cellStyle name="_Book1_Advance tax calculations_IICL_March'11" xfId="582" xr:uid="{00000000-0005-0000-0000-000046020000}"/>
    <cellStyle name="_Book1_Advance tax calculations_Indiabulls Asset Management Company Limited printable" xfId="583" xr:uid="{00000000-0005-0000-0000-000047020000}"/>
    <cellStyle name="_Book1_Advance tax calculations_ITCL_BS working _New format_31.03 V7" xfId="584" xr:uid="{00000000-0005-0000-0000-000048020000}"/>
    <cellStyle name="_Book1_Advance tax calculations_ITCL-New format_31.03 V6" xfId="585" xr:uid="{00000000-0005-0000-0000-000049020000}"/>
    <cellStyle name="_Book1_Advance tax calculations_NFCL working file" xfId="586" xr:uid="{00000000-0005-0000-0000-00004A020000}"/>
    <cellStyle name="_Book1_Advance tax calculations_NFCL_ Tax Audit Report FY08-09 " xfId="587" xr:uid="{00000000-0005-0000-0000-00004B020000}"/>
    <cellStyle name="_Book1_Advance tax calculations_Tax Audit Report  F.Y.08-09" xfId="588" xr:uid="{00000000-0005-0000-0000-00004C020000}"/>
    <cellStyle name="_Book1_Advance tax calculations_Tax Audit Report  ICSL F.Y.09-10" xfId="589" xr:uid="{00000000-0005-0000-0000-00004D020000}"/>
    <cellStyle name="_Book1_Advance tax calculations_Xl0000013" xfId="590" xr:uid="{00000000-0005-0000-0000-00004E020000}"/>
    <cellStyle name="_Book1_Advance Tax Format_F.Y. 2010-11" xfId="591" xr:uid="{00000000-0005-0000-0000-00004F020000}"/>
    <cellStyle name="_Book1_ansal properties" xfId="592" xr:uid="{00000000-0005-0000-0000-000050020000}"/>
    <cellStyle name="_Book1_BIG JOS" xfId="593" xr:uid="{00000000-0005-0000-0000-000051020000}"/>
    <cellStyle name="_Book1_BIG JOS 2" xfId="594" xr:uid="{00000000-0005-0000-0000-000052020000}"/>
    <cellStyle name="_Book1_bigjos 1" xfId="595" xr:uid="{00000000-0005-0000-0000-000053020000}"/>
    <cellStyle name="_Book1_bigjos 1 2" xfId="596" xr:uid="{00000000-0005-0000-0000-000054020000}"/>
    <cellStyle name="_Book1_Bigjo's-RTR" xfId="597" xr:uid="{00000000-0005-0000-0000-000055020000}"/>
    <cellStyle name="_Book1_Book1" xfId="598" xr:uid="{00000000-0005-0000-0000-000056020000}"/>
    <cellStyle name="_Book1_Book1 (3)" xfId="599" xr:uid="{00000000-0005-0000-0000-000057020000}"/>
    <cellStyle name="_Book1_Book1 (3) 2" xfId="600" xr:uid="{00000000-0005-0000-0000-000058020000}"/>
    <cellStyle name="_Book1_Book1 (3)_Abstract-2007-08" xfId="601" xr:uid="{00000000-0005-0000-0000-000059020000}"/>
    <cellStyle name="_Book1_Book1 (3)_Advance Tax Sophia Jun 09" xfId="602" xr:uid="{00000000-0005-0000-0000-00005A020000}"/>
    <cellStyle name="_Book1_Book1 (3)_Aug consl backup-land adv &amp; Ext ICD" xfId="603" xr:uid="{00000000-0005-0000-0000-00005B020000}"/>
    <cellStyle name="_Book1_Book1 (3)_Aug consl backup-land adv &amp; Ext ICD_IHFL_March_ 31_10 -11 version 6" xfId="604" xr:uid="{00000000-0005-0000-0000-00005C020000}"/>
    <cellStyle name="_Book1_Book1 (3)_Base File For Segment" xfId="605" xr:uid="{00000000-0005-0000-0000-00005D020000}"/>
    <cellStyle name="_Book1_Book1 (3)_ChlorisProperties_3351_Dec.08" xfId="606" xr:uid="{00000000-0005-0000-0000-00005E020000}"/>
    <cellStyle name="_Book1_Book1 (3)_Consol Balance Sheet_Sophia_Dec08_Ibrel_1.3" xfId="607" xr:uid="{00000000-0005-0000-0000-00005F020000}"/>
    <cellStyle name="_Book1_Book1 (3)_detail (2)" xfId="608" xr:uid="{00000000-0005-0000-0000-000060020000}"/>
    <cellStyle name="_Book1_Book1 (3)_detail (2)_IHFL_March_ 31_10 -11 version 6" xfId="609" xr:uid="{00000000-0005-0000-0000-000061020000}"/>
    <cellStyle name="_Book1_Book1 (3)_Details" xfId="610" xr:uid="{00000000-0005-0000-0000-000062020000}"/>
    <cellStyle name="_Book1_Book1 (3)_Final Consol Balance Sheet_Sophia_Dec08_27.01.08" xfId="611" xr:uid="{00000000-0005-0000-0000-000063020000}"/>
    <cellStyle name="_Book1_Book1 (3)_Fixed Assets consolidated" xfId="612" xr:uid="{00000000-0005-0000-0000-000064020000}"/>
    <cellStyle name="_Book1_Book1 (3)_Fixed Assets consolidated_IHFL_March_ 31_10 -11 version 6" xfId="613" xr:uid="{00000000-0005-0000-0000-000065020000}"/>
    <cellStyle name="_Book1_Book1 (3)_Fornax" xfId="614" xr:uid="{00000000-0005-0000-0000-000066020000}"/>
    <cellStyle name="_Book1_Book1 (3)_Fornax_IHFL_March_ 31_10 -11 version 6" xfId="615" xr:uid="{00000000-0005-0000-0000-000067020000}"/>
    <cellStyle name="_Book1_Book1 (3)_IHFL_March_ 31_10 -11 version 6" xfId="616" xr:uid="{00000000-0005-0000-0000-000068020000}"/>
    <cellStyle name="_Book1_Book1 (3)_IIDL_3227_2008_09" xfId="617" xr:uid="{00000000-0005-0000-0000-000069020000}"/>
    <cellStyle name="_Book1_Book1 (3)_IIDL_3227_2008_09_Advance Tax Summary" xfId="618" xr:uid="{00000000-0005-0000-0000-00006A020000}"/>
    <cellStyle name="_Book1_Book1 (3)_IIDL_3227_2008_09_Advance Tax Summary 2" xfId="619" xr:uid="{00000000-0005-0000-0000-00006B020000}"/>
    <cellStyle name="_Book1_Book1 (3)_IIDL_3227_2008_09_ISL Group - Advance Tax working for 3rd Instalment" xfId="620" xr:uid="{00000000-0005-0000-0000-00006C020000}"/>
    <cellStyle name="_Book1_Book1 (3)_IIDL_3227_2008_09_ISL Group - Advance Tax working for 3rd Instalment_IHFL_March_ 31_10 -11 version 6" xfId="621" xr:uid="{00000000-0005-0000-0000-00006D020000}"/>
    <cellStyle name="_Book1_Book1 (3)_IIDL_3227_2008_09_Xl0000013" xfId="622" xr:uid="{00000000-0005-0000-0000-00006E020000}"/>
    <cellStyle name="_Book1_Book1 (3)_IREL(Conso)_2007-08_March_Revised" xfId="623" xr:uid="{00000000-0005-0000-0000-00006F020000}"/>
    <cellStyle name="_Book1_Book1 (3)_IREL(Conso)_2007-08_March_Revised_IREL_3000_08-09" xfId="624" xr:uid="{00000000-0005-0000-0000-000070020000}"/>
    <cellStyle name="_Book1_Book1 (3)_IREL(Conso)_2007-08_March_Revised_IREL_3000_08-09 2" xfId="625" xr:uid="{00000000-0005-0000-0000-000071020000}"/>
    <cellStyle name="_Book1_Book1 (3)_IREL(Conso)_2007-08_March_Revised_IREL_3000_08-09 stage 3" xfId="626" xr:uid="{00000000-0005-0000-0000-000072020000}"/>
    <cellStyle name="_Book1_Book1 (3)_IREL(Conso)_2007-08_March_Revised_IREL_3000_08-09 stage 3_IREL_3000_08-09" xfId="627" xr:uid="{00000000-0005-0000-0000-000073020000}"/>
    <cellStyle name="_Book1_Book1 (3)_IREL(Conso)_2007-08_March_Revised_IREL_3000_08-09 stage 3_IREL_3000_08-09 2" xfId="628" xr:uid="{00000000-0005-0000-0000-000074020000}"/>
    <cellStyle name="_Book1_Book1 (3)_IREL(Conso)_2007-08_March_Revised_IREL_3000_08-09_IBREAL_BS PACK-Version.02" xfId="629" xr:uid="{00000000-0005-0000-0000-000075020000}"/>
    <cellStyle name="_Book1_Book1 (3)_IREL(Conso)_2007-08_March_Revised_IREL_3000_08-09_IBREAL_BS PACK-Version.02 2" xfId="630" xr:uid="{00000000-0005-0000-0000-000076020000}"/>
    <cellStyle name="_Book1_Book1 (3)_IREL(Conso)_2007-08_March_Revised_IREL_3000_08-09_IBREAL_BS PACK-Version.02_IBREAL_BS PACK-Version.03" xfId="631" xr:uid="{00000000-0005-0000-0000-000077020000}"/>
    <cellStyle name="_Book1_Book1 (3)_IREL(Conso)_2007-08_March_Revised_IREL_3000_08-09_IBREAL_BS PACK-Version.02_IBREAL_BS PACK-Version.03 2" xfId="632" xr:uid="{00000000-0005-0000-0000-000078020000}"/>
    <cellStyle name="_Book1_Book1 (3)_IREL(Conso)_2007-08_March_Revised_IREL_3000_08-09_IBREAL_BS PACK-Version.02_IBREAL_BS PACK-Version.03_IBREAL_BS PACK-Version.07" xfId="633" xr:uid="{00000000-0005-0000-0000-000079020000}"/>
    <cellStyle name="_Book1_Book1 (3)_IREL(Conso)_2007-08_March_Revised_IREL_3000_08-09_IBREAL_BS PACK-Version.02_IBREAL_BS PACK-Version.03_IBREAL_BS PACK-Version.07 2" xfId="634" xr:uid="{00000000-0005-0000-0000-00007A020000}"/>
    <cellStyle name="_Book1_Book1 (3)_IREL(Conso)_2007-08_November-1" xfId="635" xr:uid="{00000000-0005-0000-0000-00007B020000}"/>
    <cellStyle name="_Book1_Book1 (3)_IREL(Conso)_2007-08_November-1 2" xfId="636" xr:uid="{00000000-0005-0000-0000-00007C020000}"/>
    <cellStyle name="_Book1_Book1 (3)_IREL(Conso)_2007-08_November-1_Abstract-2007-08" xfId="637" xr:uid="{00000000-0005-0000-0000-00007D020000}"/>
    <cellStyle name="_Book1_Book1 (3)_IREL(Conso)_2007-08_November-1_Aug consl backup-land adv &amp; Ext ICD" xfId="638" xr:uid="{00000000-0005-0000-0000-00007E020000}"/>
    <cellStyle name="_Book1_Book1 (3)_IREL(Conso)_2007-08_November-1_Aug consl backup-land adv &amp; Ext ICD_IHFL_March_ 31_10 -11 version 6" xfId="639" xr:uid="{00000000-0005-0000-0000-00007F020000}"/>
    <cellStyle name="_Book1_Book1 (3)_IREL(Conso)_2007-08_November-1_Fornax" xfId="640" xr:uid="{00000000-0005-0000-0000-000080020000}"/>
    <cellStyle name="_Book1_Book1 (3)_IREL(Conso)_2007-08_November-1_Fornax_IHFL_March_ 31_10 -11 version 6" xfId="641" xr:uid="{00000000-0005-0000-0000-000081020000}"/>
    <cellStyle name="_Book1_Book1 (3)_IREL(Conso)_2007-08_November-1_IREL_3000_08-09" xfId="642" xr:uid="{00000000-0005-0000-0000-000082020000}"/>
    <cellStyle name="_Book1_Book1 (3)_IREL(Conso)_2007-08_November-1_ISL Group - Advance Tax working for 3rd Instalment" xfId="643" xr:uid="{00000000-0005-0000-0000-000083020000}"/>
    <cellStyle name="_Book1_Book1 (3)_IREL(Conso)_2007-08_November-1_ISL Group - Advance Tax working for 3rd Instalment_IHFL_March_ 31_10 -11 version 6" xfId="644" xr:uid="{00000000-0005-0000-0000-000084020000}"/>
    <cellStyle name="_Book1_Book1 (3)_IREL(Conso)_June_07-08_30-07-08" xfId="645" xr:uid="{00000000-0005-0000-0000-000085020000}"/>
    <cellStyle name="_Book1_Book1 (3)_IREL(Conso)_June_07-08_30-07-08_IREL_3000_08-09" xfId="646" xr:uid="{00000000-0005-0000-0000-000086020000}"/>
    <cellStyle name="_Book1_Book1 (3)_IREL(Conso)_June_07-08_30-07-08_IREL_3000_08-09 2" xfId="647" xr:uid="{00000000-0005-0000-0000-000087020000}"/>
    <cellStyle name="_Book1_Book1 (3)_IREL(Conso)_June_07-08_30-07-08_IREL_3000_08-09 stage 3" xfId="648" xr:uid="{00000000-0005-0000-0000-000088020000}"/>
    <cellStyle name="_Book1_Book1 (3)_IREL(Conso)_June_07-08_30-07-08_IREL_3000_08-09 stage 3_IREL_3000_08-09" xfId="649" xr:uid="{00000000-0005-0000-0000-000089020000}"/>
    <cellStyle name="_Book1_Book1 (3)_IREL(Conso)_June_07-08_30-07-08_IREL_3000_08-09 stage 3_IREL_3000_08-09 2" xfId="650" xr:uid="{00000000-0005-0000-0000-00008A020000}"/>
    <cellStyle name="_Book1_Book1 (3)_IREL(Conso)_June_07-08_30-07-08_IREL_3000_08-09_IBREAL_BS PACK-Version.02" xfId="651" xr:uid="{00000000-0005-0000-0000-00008B020000}"/>
    <cellStyle name="_Book1_Book1 (3)_IREL(Conso)_June_07-08_30-07-08_IREL_3000_08-09_IBREAL_BS PACK-Version.02 2" xfId="652" xr:uid="{00000000-0005-0000-0000-00008C020000}"/>
    <cellStyle name="_Book1_Book1 (3)_IREL(Conso)_June_07-08_30-07-08_IREL_3000_08-09_IBREAL_BS PACK-Version.02_IBREAL_BS PACK-Version.03" xfId="653" xr:uid="{00000000-0005-0000-0000-00008D020000}"/>
    <cellStyle name="_Book1_Book1 (3)_IREL(Conso)_June_07-08_30-07-08_IREL_3000_08-09_IBREAL_BS PACK-Version.02_IBREAL_BS PACK-Version.03 2" xfId="654" xr:uid="{00000000-0005-0000-0000-00008E020000}"/>
    <cellStyle name="_Book1_Book1 (3)_IREL(Conso)_June_07-08_30-07-08_IREL_3000_08-09_IBREAL_BS PACK-Version.02_IBREAL_BS PACK-Version.03_IBREAL_BS PACK-Version.07" xfId="655" xr:uid="{00000000-0005-0000-0000-00008F020000}"/>
    <cellStyle name="_Book1_Book1 (3)_IREL(Conso)_June_07-08_30-07-08_IREL_3000_08-09_IBREAL_BS PACK-Version.02_IBREAL_BS PACK-Version.03_IBREAL_BS PACK-Version.07 2" xfId="656" xr:uid="{00000000-0005-0000-0000-000090020000}"/>
    <cellStyle name="_Book1_Book1 (3)_IREL_3000_08-09" xfId="657" xr:uid="{00000000-0005-0000-0000-000091020000}"/>
    <cellStyle name="_Book1_Book1 (3)_IREL_3000_2007-08" xfId="658" xr:uid="{00000000-0005-0000-0000-000092020000}"/>
    <cellStyle name="_Book1_Book1 (3)_IREL_3000_2007-08 2" xfId="659" xr:uid="{00000000-0005-0000-0000-000093020000}"/>
    <cellStyle name="_Book1_Book1 (3)_IREL_3000_2007-08_IREL_3000_08-09" xfId="660" xr:uid="{00000000-0005-0000-0000-000094020000}"/>
    <cellStyle name="_Book1_Book1 (3)_July Consolidation" xfId="661" xr:uid="{00000000-0005-0000-0000-000095020000}"/>
    <cellStyle name="_Book1_Book1 (3)_Results  Format - Sep 30" xfId="662" xr:uid="{00000000-0005-0000-0000-000096020000}"/>
    <cellStyle name="_Book1_Book1 (3)_Results  Format - Sep 30_EPS working" xfId="663" xr:uid="{00000000-0005-0000-0000-000097020000}"/>
    <cellStyle name="_Book1_Book1 (3)_Results  Format - Sep 30_EPS working 2" xfId="664" xr:uid="{00000000-0005-0000-0000-000098020000}"/>
    <cellStyle name="_Book1_Book1 (3)_Results  Format - Sep 30_EPS working_IBREAL_BS PACK-Version.02" xfId="665" xr:uid="{00000000-0005-0000-0000-000099020000}"/>
    <cellStyle name="_Book1_Book1 (3)_Results  Format - Sep 30_EPS working_IBREAL_BS PACK-Version.02 2" xfId="666" xr:uid="{00000000-0005-0000-0000-00009A020000}"/>
    <cellStyle name="_Book1_Book1 (3)_Results  Format - Sep 30_EPS working_IBREAL_BS PACK-Version.02_IBREAL_BS PACK-Version.03" xfId="667" xr:uid="{00000000-0005-0000-0000-00009B020000}"/>
    <cellStyle name="_Book1_Book1 (3)_Results  Format - Sep 30_EPS working_IBREAL_BS PACK-Version.02_IBREAL_BS PACK-Version.03 2" xfId="668" xr:uid="{00000000-0005-0000-0000-00009C020000}"/>
    <cellStyle name="_Book1_Book1 (3)_Results  Format - Sep 30_EPS working_IBREAL_BS PACK-Version.02_IBREAL_BS PACK-Version.03_IBREAL_BS PACK-Version.07" xfId="669" xr:uid="{00000000-0005-0000-0000-00009D020000}"/>
    <cellStyle name="_Book1_Book1 (3)_Results  Format - Sep 30_EPS working_IBREAL_BS PACK-Version.02_IBREAL_BS PACK-Version.03_IBREAL_BS PACK-Version.07 2" xfId="670" xr:uid="{00000000-0005-0000-0000-00009E020000}"/>
    <cellStyle name="_Book1_Book1 (3)_Results  Format - Sep 30_IREL_3000_08-09" xfId="671" xr:uid="{00000000-0005-0000-0000-00009F020000}"/>
    <cellStyle name="_Book1_Book1 (3)_Results  Format - Sep 30_IREL_3000_08-09 2" xfId="672" xr:uid="{00000000-0005-0000-0000-0000A0020000}"/>
    <cellStyle name="_Book1_Book1 (3)_Results  Format - Sep 30_IREL_3000_08-09 stage 3" xfId="673" xr:uid="{00000000-0005-0000-0000-0000A1020000}"/>
    <cellStyle name="_Book1_Book1 (3)_Results  Format - Sep 30_IREL_3000_08-09 stage 3_IREL_3000_08-09" xfId="674" xr:uid="{00000000-0005-0000-0000-0000A2020000}"/>
    <cellStyle name="_Book1_Book1 (3)_Results  Format - Sep 30_IREL_3000_08-09 stage 3_IREL_3000_08-09 2" xfId="675" xr:uid="{00000000-0005-0000-0000-0000A3020000}"/>
    <cellStyle name="_Book1_Book1 (3)_Results  Format - Sep 30_IREL_3000_08-09_IBREAL_BS PACK-Version.02" xfId="676" xr:uid="{00000000-0005-0000-0000-0000A4020000}"/>
    <cellStyle name="_Book1_Book1 (3)_Results  Format - Sep 30_IREL_3000_08-09_IBREAL_BS PACK-Version.02 2" xfId="677" xr:uid="{00000000-0005-0000-0000-0000A5020000}"/>
    <cellStyle name="_Book1_Book1 (3)_Results  Format - Sep 30_IREL_3000_08-09_IBREAL_BS PACK-Version.02_IBREAL_BS PACK-Version.03" xfId="678" xr:uid="{00000000-0005-0000-0000-0000A6020000}"/>
    <cellStyle name="_Book1_Book1 (3)_Results  Format - Sep 30_IREL_3000_08-09_IBREAL_BS PACK-Version.02_IBREAL_BS PACK-Version.03 2" xfId="679" xr:uid="{00000000-0005-0000-0000-0000A7020000}"/>
    <cellStyle name="_Book1_Book1 (3)_Results  Format - Sep 30_IREL_3000_08-09_IBREAL_BS PACK-Version.02_IBREAL_BS PACK-Version.03_IBREAL_BS PACK-Version.07" xfId="680" xr:uid="{00000000-0005-0000-0000-0000A8020000}"/>
    <cellStyle name="_Book1_Book1 (3)_Results  Format - Sep 30_IREL_3000_08-09_IBREAL_BS PACK-Version.02_IBREAL_BS PACK-Version.03_IBREAL_BS PACK-Version.07 2" xfId="681" xr:uid="{00000000-0005-0000-0000-0000A9020000}"/>
    <cellStyle name="_Book1_Book1 (3)_Results  Format - Sep 30_IREL_3000_2009-29_July2009  Final Shahi" xfId="682" xr:uid="{00000000-0005-0000-0000-0000AA020000}"/>
    <cellStyle name="_Book1_Book1 (3)_Results  Format - Sep 30_IREL_3000_2009-29_July2009  Final Shahi 2" xfId="683" xr:uid="{00000000-0005-0000-0000-0000AB020000}"/>
    <cellStyle name="_Book1_Book1 (3)_Results  Format - Sep 30_IREL_3000_2009-29_July2009  Final Shahi_IBREAL_BS PACK-Version.02" xfId="684" xr:uid="{00000000-0005-0000-0000-0000AC020000}"/>
    <cellStyle name="_Book1_Book1 (3)_Results  Format - Sep 30_IREL_3000_2009-29_July2009  Final Shahi_IBREAL_BS PACK-Version.02 2" xfId="685" xr:uid="{00000000-0005-0000-0000-0000AD020000}"/>
    <cellStyle name="_Book1_Book1 (3)_Results  Format - Sep 30_IREL_3000_2009-29_July2009  Final Shahi_IBREAL_BS PACK-Version.02_IBREAL_BS PACK-Version.03" xfId="686" xr:uid="{00000000-0005-0000-0000-0000AE020000}"/>
    <cellStyle name="_Book1_Book1 (3)_Results  Format - Sep 30_IREL_3000_2009-29_July2009  Final Shahi_IBREAL_BS PACK-Version.02_IBREAL_BS PACK-Version.03 2" xfId="687" xr:uid="{00000000-0005-0000-0000-0000AF020000}"/>
    <cellStyle name="_Book1_Book1 (3)_Results  Format - Sep 30_IREL_3000_2009-29_July2009  Final Shahi_IBREAL_BS PACK-Version.02_IBREAL_BS PACK-Version.03_IBREAL_BS PACK-Version.07" xfId="688" xr:uid="{00000000-0005-0000-0000-0000B0020000}"/>
    <cellStyle name="_Book1_Book1 (3)_Results  Format - Sep 30_IREL_3000_2009-29_July2009  Final Shahi_IBREAL_BS PACK-Version.02_IBREAL_BS PACK-Version.03_IBREAL_BS PACK-Version.07 2" xfId="689" xr:uid="{00000000-0005-0000-0000-0000B1020000}"/>
    <cellStyle name="_Book1_Book1 (3)_Revised Consol Balance Sheet_Sophia_Jan09_10.02.2009" xfId="690" xr:uid="{00000000-0005-0000-0000-0000B2020000}"/>
    <cellStyle name="_Book1_Book1 (3)_Sophia Consol for Printout 22 Jun 09" xfId="691" xr:uid="{00000000-0005-0000-0000-0000B3020000}"/>
    <cellStyle name="_Book1_Book1 (3)_Sophia Consol for Printout 22 Jun 09_IHFL_March_ 31_10 -11 version 6" xfId="692" xr:uid="{00000000-0005-0000-0000-0000B4020000}"/>
    <cellStyle name="_Book1_Book1 (3)_Sophia Consol_march_09_05 June  09_1" xfId="693" xr:uid="{00000000-0005-0000-0000-0000B5020000}"/>
    <cellStyle name="_Book1_Book1 (3)_Sophia Consol_march_09_05 June  09_1_IHFL_March_ 31_10 -11 version 6" xfId="694" xr:uid="{00000000-0005-0000-0000-0000B6020000}"/>
    <cellStyle name="_Book1_Book1 (3)_Treasury ICD Interest_ MIS_ 23  09 2009(final)" xfId="695" xr:uid="{00000000-0005-0000-0000-0000B7020000}"/>
    <cellStyle name="_Book1_Book1 (3)_Treasury ICD Interest_ MIS_ 30. 06 2009(final)" xfId="696" xr:uid="{00000000-0005-0000-0000-0000B8020000}"/>
    <cellStyle name="_Book1_Book1 (3)_Treasury ICD Interest_ MIS_ 30. 09 2009(final)" xfId="697" xr:uid="{00000000-0005-0000-0000-0000B9020000}"/>
    <cellStyle name="_Book1_Book1 (3)_Treasury ICD Interest_ MIS_ 31 05 2009" xfId="698" xr:uid="{00000000-0005-0000-0000-0000BA020000}"/>
    <cellStyle name="_Book1_Book1 (3)_Treasury ICD Interest_ MIS_ 31 10 2009" xfId="699" xr:uid="{00000000-0005-0000-0000-0000BB020000}"/>
    <cellStyle name="_Book1_Book1 (3)_Treasury ICD Interest_ MIS_ 31.10.2009" xfId="700" xr:uid="{00000000-0005-0000-0000-0000BC020000}"/>
    <cellStyle name="_Book1_Book1 (3)_Treasury ICD Interest_ MIS_ 310309" xfId="701" xr:uid="{00000000-0005-0000-0000-0000BD020000}"/>
    <cellStyle name="_Book1_Book1 2" xfId="702" xr:uid="{00000000-0005-0000-0000-0000BE020000}"/>
    <cellStyle name="_Book1_Book1_Advance Tax Sophia Jun 09" xfId="703" xr:uid="{00000000-0005-0000-0000-0000BF020000}"/>
    <cellStyle name="_Book1_Book1_Advance Tax Summary" xfId="704" xr:uid="{00000000-0005-0000-0000-0000C0020000}"/>
    <cellStyle name="_Book1_Book1_Advance Tax Summary 2" xfId="705" xr:uid="{00000000-0005-0000-0000-0000C1020000}"/>
    <cellStyle name="_Book1_Book1_Base File For Segment" xfId="706" xr:uid="{00000000-0005-0000-0000-0000C2020000}"/>
    <cellStyle name="_Book1_Book1_CCL_3353_2007-08" xfId="707" xr:uid="{00000000-0005-0000-0000-0000C3020000}"/>
    <cellStyle name="_Book1_Book1_CCL_3353_2007-08_IHFL_March_ 31_10 -11 version 6" xfId="708" xr:uid="{00000000-0005-0000-0000-0000C4020000}"/>
    <cellStyle name="_Book1_Book1_ChlorisProperties_3351_Dec.08" xfId="709" xr:uid="{00000000-0005-0000-0000-0000C5020000}"/>
    <cellStyle name="_Book1_Book1_Consol Balance Sheet_Sophia_Dec08_Ibrel_1.3" xfId="710" xr:uid="{00000000-0005-0000-0000-0000C6020000}"/>
    <cellStyle name="_Book1_Book1_Details" xfId="711" xr:uid="{00000000-0005-0000-0000-0000C7020000}"/>
    <cellStyle name="_Book1_Book1_Entries Passed in Conso for profit on sale of invRevised 30.07.08" xfId="712" xr:uid="{00000000-0005-0000-0000-0000C8020000}"/>
    <cellStyle name="_Book1_Book1_Entries Passed in Conso for profit on sale of invRevised 30.07.08_IREL_3000_08-09" xfId="713" xr:uid="{00000000-0005-0000-0000-0000C9020000}"/>
    <cellStyle name="_Book1_Book1_Entries Passed in Conso for profit on sale of invRevised 30.07.08_IREL_3000_08-09 2" xfId="714" xr:uid="{00000000-0005-0000-0000-0000CA020000}"/>
    <cellStyle name="_Book1_Book1_Entries Passed in Conso for profit on sale of invRevised 30.07.08_IREL_3000_08-09 stage 3" xfId="715" xr:uid="{00000000-0005-0000-0000-0000CB020000}"/>
    <cellStyle name="_Book1_Book1_Entries Passed in Conso for profit on sale of invRevised 30.07.08_IREL_3000_08-09 stage 3_IREL_3000_08-09" xfId="716" xr:uid="{00000000-0005-0000-0000-0000CC020000}"/>
    <cellStyle name="_Book1_Book1_Entries Passed in Conso for profit on sale of invRevised 30.07.08_IREL_3000_08-09 stage 3_IREL_3000_08-09 2" xfId="717" xr:uid="{00000000-0005-0000-0000-0000CD020000}"/>
    <cellStyle name="_Book1_Book1_Entries Passed in Conso for profit on sale of invRevised 30.07.08_IREL_3000_08-09_IBREAL_BS PACK-Version.02" xfId="718" xr:uid="{00000000-0005-0000-0000-0000CE020000}"/>
    <cellStyle name="_Book1_Book1_Entries Passed in Conso for profit on sale of invRevised 30.07.08_IREL_3000_08-09_IBREAL_BS PACK-Version.02 2" xfId="719" xr:uid="{00000000-0005-0000-0000-0000CF020000}"/>
    <cellStyle name="_Book1_Book1_Entries Passed in Conso for profit on sale of invRevised 30.07.08_IREL_3000_08-09_IBREAL_BS PACK-Version.02_IBREAL_BS PACK-Version.03" xfId="720" xr:uid="{00000000-0005-0000-0000-0000D0020000}"/>
    <cellStyle name="_Book1_Book1_Entries Passed in Conso for profit on sale of invRevised 30.07.08_IREL_3000_08-09_IBREAL_BS PACK-Version.02_IBREAL_BS PACK-Version.03 2" xfId="721" xr:uid="{00000000-0005-0000-0000-0000D1020000}"/>
    <cellStyle name="_Book1_Book1_Entries Passed in Conso for profit on sale of invRevised 30.07.08_IREL_3000_08-09_IBREAL_BS PACK-Version.02_IBREAL_BS PACK-Version.03_IBREAL_BS PACK-Version.07" xfId="722" xr:uid="{00000000-0005-0000-0000-0000D2020000}"/>
    <cellStyle name="_Book1_Book1_Entries Passed in Conso for profit on sale of invRevised 30.07.08_IREL_3000_08-09_IBREAL_BS PACK-Version.02_IBREAL_BS PACK-Version.03_IBREAL_BS PACK-Version.07 2" xfId="723" xr:uid="{00000000-0005-0000-0000-0000D3020000}"/>
    <cellStyle name="_Book1_Book1_EPL_3346_2007-08(C)" xfId="724" xr:uid="{00000000-0005-0000-0000-0000D4020000}"/>
    <cellStyle name="_Book1_Book1_EPL_3346_2007-08(C)_IHFL_March_ 31_10 -11 version 6" xfId="725" xr:uid="{00000000-0005-0000-0000-0000D5020000}"/>
    <cellStyle name="_Book1_Book1_Final Consol Balance Sheet_Sophia_Dec08_27.01.08" xfId="726" xr:uid="{00000000-0005-0000-0000-0000D6020000}"/>
    <cellStyle name="_Book1_Book1_Fixed Assets consolidated" xfId="727" xr:uid="{00000000-0005-0000-0000-0000D7020000}"/>
    <cellStyle name="_Book1_Book1_Fixed Assets consolidated_IHFL_March_ 31_10 -11 version 6" xfId="728" xr:uid="{00000000-0005-0000-0000-0000D8020000}"/>
    <cellStyle name="_Book1_Book1_IREL_3000_08-09" xfId="729" xr:uid="{00000000-0005-0000-0000-0000D9020000}"/>
    <cellStyle name="_Book1_Book1_ISL Group - Advance Tax working for 3rd Instalment" xfId="730" xr:uid="{00000000-0005-0000-0000-0000DA020000}"/>
    <cellStyle name="_Book1_Book1_ISL Group - Advance Tax working for 3rd Instalment_IHFL_March_ 31_10 -11 version 6" xfId="731" xr:uid="{00000000-0005-0000-0000-0000DB020000}"/>
    <cellStyle name="_Book1_Book1_Power Group - Advance Tax working for 3rd Installment" xfId="732" xr:uid="{00000000-0005-0000-0000-0000DC020000}"/>
    <cellStyle name="_Book1_Book1_Power Group - Advance Tax working for 3rd Installment_IHFL_March_ 31_10 -11 version 6" xfId="733" xr:uid="{00000000-0005-0000-0000-0000DD020000}"/>
    <cellStyle name="_Book1_Book1_Revised Consol Balance Sheet_Sophia_Jan09_10.02.2009" xfId="734" xr:uid="{00000000-0005-0000-0000-0000DE020000}"/>
    <cellStyle name="_Book1_Book1_Sophia Consol for Printout 22 Jun 09" xfId="735" xr:uid="{00000000-0005-0000-0000-0000DF020000}"/>
    <cellStyle name="_Book1_Book1_Sophia Consol_march_09_05 June  09_1" xfId="736" xr:uid="{00000000-0005-0000-0000-0000E0020000}"/>
    <cellStyle name="_Book1_Book1_Treasury ICD Interest_ MIS_ 23  09 2009(final)" xfId="737" xr:uid="{00000000-0005-0000-0000-0000E1020000}"/>
    <cellStyle name="_Book1_Book1_Treasury ICD Interest_ MIS_ 30. 06 2009(final)" xfId="738" xr:uid="{00000000-0005-0000-0000-0000E2020000}"/>
    <cellStyle name="_Book1_Book1_Treasury ICD Interest_ MIS_ 30. 09 2009(final)" xfId="739" xr:uid="{00000000-0005-0000-0000-0000E3020000}"/>
    <cellStyle name="_Book1_Book1_Treasury ICD Interest_ MIS_ 31 05 2009" xfId="740" xr:uid="{00000000-0005-0000-0000-0000E4020000}"/>
    <cellStyle name="_Book1_Book1_Treasury ICD Interest_ MIS_ 31 10 2009" xfId="741" xr:uid="{00000000-0005-0000-0000-0000E5020000}"/>
    <cellStyle name="_Book1_Book1_Treasury ICD Interest_ MIS_ 31.10.2009" xfId="742" xr:uid="{00000000-0005-0000-0000-0000E6020000}"/>
    <cellStyle name="_Book1_Book1_Treasury ICD Interest_ MIS_ 310309" xfId="743" xr:uid="{00000000-0005-0000-0000-0000E7020000}"/>
    <cellStyle name="_Book1_Book1_Xl0000013" xfId="744" xr:uid="{00000000-0005-0000-0000-0000E8020000}"/>
    <cellStyle name="_Book1_Book3" xfId="745" xr:uid="{00000000-0005-0000-0000-0000E9020000}"/>
    <cellStyle name="_Book1_Book3 2" xfId="746" xr:uid="{00000000-0005-0000-0000-0000EA020000}"/>
    <cellStyle name="_Book1_Book3 3" xfId="747" xr:uid="{00000000-0005-0000-0000-0000EB020000}"/>
    <cellStyle name="_Book1_Book3 4" xfId="748" xr:uid="{00000000-0005-0000-0000-0000EC020000}"/>
    <cellStyle name="_Book1_Book3 5" xfId="749" xr:uid="{00000000-0005-0000-0000-0000ED020000}"/>
    <cellStyle name="_Book1_Book4 (2)" xfId="750" xr:uid="{00000000-0005-0000-0000-0000EE020000}"/>
    <cellStyle name="_Book1_Book4 (2) 2" xfId="751" xr:uid="{00000000-0005-0000-0000-0000EF020000}"/>
    <cellStyle name="_Book1_Breakup of provision for Tax_IHFL" xfId="752" xr:uid="{00000000-0005-0000-0000-0000F0020000}"/>
    <cellStyle name="_Book1_Breakup of provision for Tax_IHFL 2" xfId="753" xr:uid="{00000000-0005-0000-0000-0000F1020000}"/>
    <cellStyle name="_Book1_Breakup of provision for Tax_IHFL_Asset Management Company Limited" xfId="754" xr:uid="{00000000-0005-0000-0000-0000F2020000}"/>
    <cellStyle name="_Book1_Breakup of provision for Tax_IHFL_BS _IB Asset Management _3103_ver5" xfId="755" xr:uid="{00000000-0005-0000-0000-0000F3020000}"/>
    <cellStyle name="_Book1_Breakup of provision for Tax_IHFL_BS _IB Asset Management _3103_ver5_IAMCL BS working -New format_31.03 V5" xfId="756" xr:uid="{00000000-0005-0000-0000-0000F4020000}"/>
    <cellStyle name="_Book1_Breakup of provision for Tax_IHFL_Detail of IPO funding" xfId="757" xr:uid="{00000000-0005-0000-0000-0000F5020000}"/>
    <cellStyle name="_Book1_Breakup of provision for Tax_IHFL_FDR Int Calculation as per BS" xfId="758" xr:uid="{00000000-0005-0000-0000-0000F6020000}"/>
    <cellStyle name="_Book1_Breakup of provision for Tax_IHFL_IAMCL BS working -New format_31.03 V5" xfId="759" xr:uid="{00000000-0005-0000-0000-0000F7020000}"/>
    <cellStyle name="_Book1_Breakup of provision for Tax_IHFL_IB Asset Management _2910" xfId="760" xr:uid="{00000000-0005-0000-0000-0000F8020000}"/>
    <cellStyle name="_Book1_Breakup of provision for Tax_IHFL_IB Asset Management _2910_IB Collection Agency_3103 V3" xfId="761" xr:uid="{00000000-0005-0000-0000-0000F9020000}"/>
    <cellStyle name="_Book1_Breakup of provision for Tax_IHFL_IB Asset Management _2910_IB Collection Agency_3103 V3_ICAL-New Format_31.03 V4" xfId="762" xr:uid="{00000000-0005-0000-0000-0000FA020000}"/>
    <cellStyle name="_Book1_Breakup of provision for Tax_IHFL_IB Asset Management _2910_ICAL-BS Final Working _New format" xfId="763" xr:uid="{00000000-0005-0000-0000-0000FB020000}"/>
    <cellStyle name="_Book1_Breakup of provision for Tax_IHFL_IB Asset Management _3103_ver5" xfId="764" xr:uid="{00000000-0005-0000-0000-0000FC020000}"/>
    <cellStyle name="_Book1_Breakup of provision for Tax_IHFL_IB Asset Management_3103 V2" xfId="765" xr:uid="{00000000-0005-0000-0000-0000FD020000}"/>
    <cellStyle name="_Book1_Breakup of provision for Tax_IHFL_IB Asset Management_3103 V4" xfId="766" xr:uid="{00000000-0005-0000-0000-0000FE020000}"/>
    <cellStyle name="_Book1_Breakup of provision for Tax_IHFL_IB Asset Management_3103 V5" xfId="767" xr:uid="{00000000-0005-0000-0000-0000FF020000}"/>
    <cellStyle name="_Book1_Breakup of provision for Tax_IHFL_IB Collection Agency_3103 V3" xfId="768" xr:uid="{00000000-0005-0000-0000-000000030000}"/>
    <cellStyle name="_Book1_Breakup of provision for Tax_IHFL_IB Collection Agency_3103 V3_ICAL-New Format_31.03 V4" xfId="769" xr:uid="{00000000-0005-0000-0000-000001030000}"/>
    <cellStyle name="_Book1_Breakup of provision for Tax_IHFL_IB Infrastructure Credit" xfId="770" xr:uid="{00000000-0005-0000-0000-000002030000}"/>
    <cellStyle name="_Book1_Breakup of provision for Tax_IHFL_IB Infrastructure Credit-3103_V6" xfId="771" xr:uid="{00000000-0005-0000-0000-000003030000}"/>
    <cellStyle name="_Book1_Breakup of provision for Tax_IHFL_IB Infrastructure Credit-3103_V7" xfId="772" xr:uid="{00000000-0005-0000-0000-000004030000}"/>
    <cellStyle name="_Book1_Breakup of provision for Tax_IHFL_IB Life Insurance_3103 V4" xfId="773" xr:uid="{00000000-0005-0000-0000-000005030000}"/>
    <cellStyle name="_Book1_Breakup of provision for Tax_IHFL_IB Trustee Company_3103 V4" xfId="774" xr:uid="{00000000-0005-0000-0000-000006030000}"/>
    <cellStyle name="_Book1_Breakup of provision for Tax_IHFL_IBLIC_BS  Final working -New_Format_31.03 V5" xfId="775" xr:uid="{00000000-0005-0000-0000-000007030000}"/>
    <cellStyle name="_Book1_Breakup of provision for Tax_IHFL_Ibulls BS Final woirking -New format_31.03 V5" xfId="776" xr:uid="{00000000-0005-0000-0000-000008030000}"/>
    <cellStyle name="_Book1_Breakup of provision for Tax_IHFL_IbullsSales_3009V3 (3)" xfId="777" xr:uid="{00000000-0005-0000-0000-000009030000}"/>
    <cellStyle name="_Book1_Breakup of provision for Tax_IHFL_IbullsSales_3103" xfId="778" xr:uid="{00000000-0005-0000-0000-00000A030000}"/>
    <cellStyle name="_Book1_Breakup of provision for Tax_IHFL_IbullsSales_3103 V2" xfId="779" xr:uid="{00000000-0005-0000-0000-00000B030000}"/>
    <cellStyle name="_Book1_Breakup of provision for Tax_IHFL_IbullsSales_3103 V5" xfId="780" xr:uid="{00000000-0005-0000-0000-00000C030000}"/>
    <cellStyle name="_Book1_Breakup of provision for Tax_IHFL_ICAL-BS Final Working _New format" xfId="781" xr:uid="{00000000-0005-0000-0000-00000D030000}"/>
    <cellStyle name="_Book1_Breakup of provision for Tax_IHFL_ICL_BS_30.06.2009" xfId="782" xr:uid="{00000000-0005-0000-0000-00000E030000}"/>
    <cellStyle name="_Book1_Breakup of provision for Tax_IHFL_ICPL_BS_31.03.2009_new" xfId="783" xr:uid="{00000000-0005-0000-0000-00000F030000}"/>
    <cellStyle name="_Book1_Breakup of provision for Tax_IHFL_ICPL_BS_31.03.2009_new_ISL__3CD_FY2010-11" xfId="784" xr:uid="{00000000-0005-0000-0000-000010030000}"/>
    <cellStyle name="_Book1_Breakup of provision for Tax_IHFL_IFCPL 31 03 2010 VER6 Final" xfId="785" xr:uid="{00000000-0005-0000-0000-000011030000}"/>
    <cellStyle name="_Book1_Breakup of provision for Tax_IHFL_IICL_March'11" xfId="786" xr:uid="{00000000-0005-0000-0000-000012030000}"/>
    <cellStyle name="_Book1_Breakup of provision for Tax_IHFL_Indiabulls Asset Management Company Limited printable" xfId="787" xr:uid="{00000000-0005-0000-0000-000013030000}"/>
    <cellStyle name="_Book1_Breakup of provision for Tax_IHFL_ISL_March_08_09.final_11.12.2009" xfId="788" xr:uid="{00000000-0005-0000-0000-000014030000}"/>
    <cellStyle name="_Book1_Breakup of provision for Tax_IHFL_ISL_March_08_09.final_11.12.2009_ISL__3CD_FY2010-11" xfId="789" xr:uid="{00000000-0005-0000-0000-000015030000}"/>
    <cellStyle name="_Book1_Breakup of provision for Tax_IHFL_ITCL_BS working _New format_31.03 V7" xfId="790" xr:uid="{00000000-0005-0000-0000-000016030000}"/>
    <cellStyle name="_Book1_Breakup of provision for Tax_IHFL_ITCL-New format_31.03 V6" xfId="791" xr:uid="{00000000-0005-0000-0000-000017030000}"/>
    <cellStyle name="_Book1_Breakup of provision for Tax_IHFL_Xl0000013" xfId="792" xr:uid="{00000000-0005-0000-0000-000018030000}"/>
    <cellStyle name="_Book1_BS" xfId="793" xr:uid="{00000000-0005-0000-0000-000019030000}"/>
    <cellStyle name="_Book1_BS_IIAPL- 30 Apr_08 (070508)-1" xfId="794" xr:uid="{00000000-0005-0000-0000-00001A030000}"/>
    <cellStyle name="_Book1_BS_IIAPL- 30 Apr_08 (070508)-1_Indiabulls Asset Management Company Limited printable" xfId="795" xr:uid="{00000000-0005-0000-0000-00001B030000}"/>
    <cellStyle name="_Book1_BS_sample_31.12.06 (1)" xfId="796" xr:uid="{00000000-0005-0000-0000-00001C030000}"/>
    <cellStyle name="_Book1_BS_sample_31.12.06 (1) 2" xfId="797" xr:uid="{00000000-0005-0000-0000-00001D030000}"/>
    <cellStyle name="_Book1_BS_sample_31.12.06 (1)_Abstract-2007-08" xfId="798" xr:uid="{00000000-0005-0000-0000-00001E030000}"/>
    <cellStyle name="_Book1_BS_sample_31.12.06 (1)_Advance Tax Sophia Jun 09" xfId="799" xr:uid="{00000000-0005-0000-0000-00001F030000}"/>
    <cellStyle name="_Book1_BS_sample_31.12.06 (1)_Base File For Segment" xfId="800" xr:uid="{00000000-0005-0000-0000-000020030000}"/>
    <cellStyle name="_Book1_BS_sample_31.12.06 (1)_Book1 (2)" xfId="801" xr:uid="{00000000-0005-0000-0000-000021030000}"/>
    <cellStyle name="_Book1_BS_sample_31.12.06 (1)_CCL_3353_2007-08" xfId="802" xr:uid="{00000000-0005-0000-0000-000022030000}"/>
    <cellStyle name="_Book1_BS_sample_31.12.06 (1)_ChlorisProperties_3351_Dec.08" xfId="803" xr:uid="{00000000-0005-0000-0000-000023030000}"/>
    <cellStyle name="_Book1_BS_sample_31.12.06 (1)_Consol Balance Sheet_Sophia_Dec08_Ibrel_1.3" xfId="804" xr:uid="{00000000-0005-0000-0000-000024030000}"/>
    <cellStyle name="_Book1_BS_sample_31.12.06 (1)_detail (2)" xfId="805" xr:uid="{00000000-0005-0000-0000-000025030000}"/>
    <cellStyle name="_Book1_BS_sample_31.12.06 (1)_Details" xfId="806" xr:uid="{00000000-0005-0000-0000-000026030000}"/>
    <cellStyle name="_Book1_BS_sample_31.12.06 (1)_Entries Passed in Conso for profit on sale of invRevised 30.07.08" xfId="807" xr:uid="{00000000-0005-0000-0000-000027030000}"/>
    <cellStyle name="_Book1_BS_sample_31.12.06 (1)_Entries Passed in Conso for profit on sale of invRevised 30.07.08_IREL_3000_08-09" xfId="808" xr:uid="{00000000-0005-0000-0000-000028030000}"/>
    <cellStyle name="_Book1_BS_sample_31.12.06 (1)_Entries Passed in Conso for profit on sale of invRevised 30.07.08_IREL_3000_08-09 2" xfId="809" xr:uid="{00000000-0005-0000-0000-000029030000}"/>
    <cellStyle name="_Book1_BS_sample_31.12.06 (1)_Entries Passed in Conso for profit on sale of invRevised 30.07.08_IREL_3000_08-09 stage 3" xfId="810" xr:uid="{00000000-0005-0000-0000-00002A030000}"/>
    <cellStyle name="_Book1_BS_sample_31.12.06 (1)_Entries Passed in Conso for profit on sale of invRevised 30.07.08_IREL_3000_08-09 stage 3_IREL_3000_08-09" xfId="811" xr:uid="{00000000-0005-0000-0000-00002B030000}"/>
    <cellStyle name="_Book1_BS_sample_31.12.06 (1)_Entries Passed in Conso for profit on sale of invRevised 30.07.08_IREL_3000_08-09 stage 3_IREL_3000_08-09 2" xfId="812" xr:uid="{00000000-0005-0000-0000-00002C030000}"/>
    <cellStyle name="_Book1_BS_sample_31.12.06 (1)_Entries Passed in Conso for profit on sale of invRevised 30.07.08_IREL_3000_08-09_IBREAL_BS PACK-Version.02" xfId="813" xr:uid="{00000000-0005-0000-0000-00002D030000}"/>
    <cellStyle name="_Book1_BS_sample_31.12.06 (1)_Entries Passed in Conso for profit on sale of invRevised 30.07.08_IREL_3000_08-09_IBREAL_BS PACK-Version.02 2" xfId="814" xr:uid="{00000000-0005-0000-0000-00002E030000}"/>
    <cellStyle name="_Book1_BS_sample_31.12.06 (1)_Entries Passed in Conso for profit on sale of invRevised 30.07.08_IREL_3000_08-09_IBREAL_BS PACK-Version.02_IBREAL_BS PACK-Version.03" xfId="815" xr:uid="{00000000-0005-0000-0000-00002F030000}"/>
    <cellStyle name="_Book1_BS_sample_31.12.06 (1)_Entries Passed in Conso for profit on sale of invRevised 30.07.08_IREL_3000_08-09_IBREAL_BS PACK-Version.02_IBREAL_BS PACK-Version.03 2" xfId="816" xr:uid="{00000000-0005-0000-0000-000030030000}"/>
    <cellStyle name="_Book1_BS_sample_31.12.06 (1)_Entries Passed in Conso for profit on sale of invRevised 30.07.08_IREL_3000_08-09_IBREAL_BS PACK-Version.02_IBREAL_BS PACK-Version.03_IBREAL_BS PACK-Version.07" xfId="817" xr:uid="{00000000-0005-0000-0000-000031030000}"/>
    <cellStyle name="_Book1_BS_sample_31.12.06 (1)_Entries Passed in Conso for profit on sale of invRevised 30.07.08_IREL_3000_08-09_IBREAL_BS PACK-Version.02_IBREAL_BS PACK-Version.03_IBREAL_BS PACK-Version.07 2" xfId="818" xr:uid="{00000000-0005-0000-0000-000032030000}"/>
    <cellStyle name="_Book1_BS_sample_31.12.06 (1)_EPL_3346_2007-08(C)" xfId="819" xr:uid="{00000000-0005-0000-0000-000033030000}"/>
    <cellStyle name="_Book1_BS_sample_31.12.06 (1)_Final Consol Balance Sheet_Sophia_Dec08_27.01.08" xfId="820" xr:uid="{00000000-0005-0000-0000-000034030000}"/>
    <cellStyle name="_Book1_BS_sample_31.12.06 (1)_Fixed Assets consolidated" xfId="821" xr:uid="{00000000-0005-0000-0000-000035030000}"/>
    <cellStyle name="_Book1_BS_sample_31.12.06 (1)_IIDL_3227_2008_09" xfId="822" xr:uid="{00000000-0005-0000-0000-000036030000}"/>
    <cellStyle name="_Book1_BS_sample_31.12.06 (1)_IIDL_3227_2008_09_Advance Tax Summary" xfId="823" xr:uid="{00000000-0005-0000-0000-000037030000}"/>
    <cellStyle name="_Book1_BS_sample_31.12.06 (1)_IIDL_3227_2008_09_Advance Tax Summary 2" xfId="824" xr:uid="{00000000-0005-0000-0000-000038030000}"/>
    <cellStyle name="_Book1_BS_sample_31.12.06 (1)_IIDL_3227_2008_09_ISL Group - Advance Tax working for 3rd Instalment" xfId="825" xr:uid="{00000000-0005-0000-0000-000039030000}"/>
    <cellStyle name="_Book1_BS_sample_31.12.06 (1)_IIDL_3227_2008_09_Xl0000013" xfId="826" xr:uid="{00000000-0005-0000-0000-00003A030000}"/>
    <cellStyle name="_Book1_BS_sample_31.12.06 (1)_IREL_3000_08-09" xfId="827" xr:uid="{00000000-0005-0000-0000-00003B030000}"/>
    <cellStyle name="_Book1_BS_sample_31.12.06 (1)_Revised Consol Balance Sheet_Sophia_Jan09_10.02.2009" xfId="828" xr:uid="{00000000-0005-0000-0000-00003C030000}"/>
    <cellStyle name="_Book1_BS_sample_31.12.06 (1)_Sophia Consol for Printout 22 Jun 09" xfId="829" xr:uid="{00000000-0005-0000-0000-00003D030000}"/>
    <cellStyle name="_Book1_BS_sample_31.12.06 (1)_Sophia Consol_march_09_05 June  09_1" xfId="830" xr:uid="{00000000-0005-0000-0000-00003E030000}"/>
    <cellStyle name="_Book1_BS_sample_31.12.06 (1)_Treasury ICD Interest_ MIS_ 23  09 2009(final)" xfId="831" xr:uid="{00000000-0005-0000-0000-00003F030000}"/>
    <cellStyle name="_Book1_BS_sample_31.12.06 (1)_Treasury ICD Interest_ MIS_ 30. 06 2009(final)" xfId="832" xr:uid="{00000000-0005-0000-0000-000040030000}"/>
    <cellStyle name="_Book1_BS_sample_31.12.06 (1)_Treasury ICD Interest_ MIS_ 30. 09 2009(final)" xfId="833" xr:uid="{00000000-0005-0000-0000-000041030000}"/>
    <cellStyle name="_Book1_BS_sample_31.12.06 (1)_Treasury ICD Interest_ MIS_ 31 05 2009" xfId="834" xr:uid="{00000000-0005-0000-0000-000042030000}"/>
    <cellStyle name="_Book1_BS_sample_31.12.06 (1)_Treasury ICD Interest_ MIS_ 31 10 2009" xfId="835" xr:uid="{00000000-0005-0000-0000-000043030000}"/>
    <cellStyle name="_Book1_BS_sample_31.12.06 (1)_Treasury ICD Interest_ MIS_ 31.10.2009" xfId="836" xr:uid="{00000000-0005-0000-0000-000044030000}"/>
    <cellStyle name="_Book1_BS_sample_31.12.06 (1)_Treasury ICD Interest_ MIS_ 310309" xfId="837" xr:uid="{00000000-0005-0000-0000-000045030000}"/>
    <cellStyle name="_Book1_BS_Tax Audit Report  ICSL F.Y.09-10" xfId="838" xr:uid="{00000000-0005-0000-0000-000046030000}"/>
    <cellStyle name="_Book1_Copy of IREL(Conso)_2007-08_October" xfId="839" xr:uid="{00000000-0005-0000-0000-000047030000}"/>
    <cellStyle name="_Book1_Copy of IREL(Conso)_2007-08_October 2" xfId="840" xr:uid="{00000000-0005-0000-0000-000048030000}"/>
    <cellStyle name="_Book1_Copy of IREL(Conso)_2007-08_October_IEL_3210_ 2007-2008" xfId="841" xr:uid="{00000000-0005-0000-0000-000049030000}"/>
    <cellStyle name="_Book1_Copy of IREL(Conso)_2007-08_October_IEL_3210_ 2007-2008 2" xfId="842" xr:uid="{00000000-0005-0000-0000-00004A030000}"/>
    <cellStyle name="_Book1_Copy of IREL(Conso)_2007-08_October_IEL_3210_ 2007-2008_260508" xfId="843" xr:uid="{00000000-0005-0000-0000-00004B030000}"/>
    <cellStyle name="_Book1_Copy of IREL(Conso)_2007-08_October_IEL_3210_ 2007-2008_260508 2" xfId="844" xr:uid="{00000000-0005-0000-0000-00004C030000}"/>
    <cellStyle name="_Book1_Copy of IREL(Conso)_2007-08_October_Power Group - Advance Tax working for 3rd Installment" xfId="845" xr:uid="{00000000-0005-0000-0000-00004D030000}"/>
    <cellStyle name="_Book1_Copy of IREL(Conso)_2007-08_October_Power Group - Advance Tax working for 3rd Installment 2" xfId="846" xr:uid="{00000000-0005-0000-0000-00004E030000}"/>
    <cellStyle name="_Book1_Copy of Working File IIAPLA" xfId="847" xr:uid="{00000000-0005-0000-0000-00004F030000}"/>
    <cellStyle name="_Book1_CRAR - dec- 10v-12" xfId="848" xr:uid="{00000000-0005-0000-0000-000050030000}"/>
    <cellStyle name="_Book1_CRAR - dec- 10v-12 2" xfId="849" xr:uid="{00000000-0005-0000-0000-000051030000}"/>
    <cellStyle name="_Book1_CTPIL_3372_2007-08" xfId="850" xr:uid="{00000000-0005-0000-0000-000052030000}"/>
    <cellStyle name="_Book1_CTPIL_3372_2007-08_Advance Tax Summary" xfId="851" xr:uid="{00000000-0005-0000-0000-000053030000}"/>
    <cellStyle name="_Book1_CTPIL_3372_2007-08_Advance Tax Summary 2" xfId="852" xr:uid="{00000000-0005-0000-0000-000054030000}"/>
    <cellStyle name="_Book1_CTPIL_3372_2007-08_IBREL Adv Tax Q2 08" xfId="853" xr:uid="{00000000-0005-0000-0000-000055030000}"/>
    <cellStyle name="_Book1_CTPIL_3372_2007-08_IEL_3210_ 2007-2008" xfId="854" xr:uid="{00000000-0005-0000-0000-000056030000}"/>
    <cellStyle name="_Book1_CTPIL_3372_2007-08_IEL_3210_ 2007-2008_260508" xfId="855" xr:uid="{00000000-0005-0000-0000-000057030000}"/>
    <cellStyle name="_Book1_CTPIL_3372_2007-08_ISL Group - Advance Tax working for 3rd Instalment" xfId="856" xr:uid="{00000000-0005-0000-0000-000058030000}"/>
    <cellStyle name="_Book1_CTPIL_3372_2007-08_Power Group - Advance Tax working for 3rd Installment" xfId="857" xr:uid="{00000000-0005-0000-0000-000059030000}"/>
    <cellStyle name="_Book1_CTPIL_3372_2007-08_Xl0000013" xfId="858" xr:uid="{00000000-0005-0000-0000-00005A030000}"/>
    <cellStyle name="_Book1_customer with revised IRR1" xfId="859" xr:uid="{00000000-0005-0000-0000-00005B030000}"/>
    <cellStyle name="_Book1_customer with revised IRR1 2" xfId="860" xr:uid="{00000000-0005-0000-0000-00005C030000}"/>
    <cellStyle name="_Book1_Data given by Gurpreet" xfId="861" xr:uid="{00000000-0005-0000-0000-00005D030000}"/>
    <cellStyle name="_Book1_Data Pack_April_  2008" xfId="862" xr:uid="{00000000-0005-0000-0000-00005E030000}"/>
    <cellStyle name="_Book1_DATE" xfId="863" xr:uid="{00000000-0005-0000-0000-00005F030000}"/>
    <cellStyle name="_Book1_Dec Cost Alloc Ratio" xfId="864" xr:uid="{00000000-0005-0000-0000-000060030000}"/>
    <cellStyle name="_Book1_Dec Cost Alloc Ratio 2" xfId="865" xr:uid="{00000000-0005-0000-0000-000061030000}"/>
    <cellStyle name="_Book1_Deferred Tax Working" xfId="866" xr:uid="{00000000-0005-0000-0000-000062030000}"/>
    <cellStyle name="_Book1_DEL_3369_2007-08 06.11.2007" xfId="867" xr:uid="{00000000-0005-0000-0000-000063030000}"/>
    <cellStyle name="_Book1_DEL_3369_2007-08 06.11.2007_IEL_3210_ 2007-2008" xfId="868" xr:uid="{00000000-0005-0000-0000-000064030000}"/>
    <cellStyle name="_Book1_DEL_3369_2007-08 06.11.2007_IEL_3210_ 2007-2008_260508" xfId="869" xr:uid="{00000000-0005-0000-0000-000065030000}"/>
    <cellStyle name="_Book1_Dep 3457" xfId="870" xr:uid="{00000000-0005-0000-0000-000066030000}"/>
    <cellStyle name="_Book1_Dep Chart" xfId="871" xr:uid="{00000000-0005-0000-0000-000067030000}"/>
    <cellStyle name="_Book1_Depreciation" xfId="872" xr:uid="{00000000-0005-0000-0000-000068030000}"/>
    <cellStyle name="_Book1_detail" xfId="873" xr:uid="{00000000-0005-0000-0000-000069030000}"/>
    <cellStyle name="_Book1_detail (2)" xfId="874" xr:uid="{00000000-0005-0000-0000-00006A030000}"/>
    <cellStyle name="_Book1_detail (2) 2" xfId="875" xr:uid="{00000000-0005-0000-0000-00006B030000}"/>
    <cellStyle name="_Book1_detail to be added in june,2008" xfId="876" xr:uid="{00000000-0005-0000-0000-00006C030000}"/>
    <cellStyle name="_Book1_detail to be added in june,2008 2" xfId="877" xr:uid="{00000000-0005-0000-0000-00006D030000}"/>
    <cellStyle name="_Book1_Details of Assets &amp; Liablilities" xfId="878" xr:uid="{00000000-0005-0000-0000-00006E030000}"/>
    <cellStyle name="_Book1_DSTL - Computation - 2007-08" xfId="879" xr:uid="{00000000-0005-0000-0000-00006F030000}"/>
    <cellStyle name="_Book1_DSTSL 31 03 2009 final version" xfId="880" xr:uid="{00000000-0005-0000-0000-000070030000}"/>
    <cellStyle name="_Book1_DSTSL15.05.2008" xfId="881" xr:uid="{00000000-0005-0000-0000-000071030000}"/>
    <cellStyle name="_Book1_DSTSL15.05.2008 2" xfId="882" xr:uid="{00000000-0005-0000-0000-000072030000}"/>
    <cellStyle name="_Book1_DSTSL15.05.2008_Indiabulls Asset Management Company Limited printable" xfId="883" xr:uid="{00000000-0005-0000-0000-000073030000}"/>
    <cellStyle name="_Book1_DTL" xfId="884" xr:uid="{00000000-0005-0000-0000-000074030000}"/>
    <cellStyle name="_Book1_DTL_BS _IB Asset Management _3103_ver5" xfId="885" xr:uid="{00000000-0005-0000-0000-000075030000}"/>
    <cellStyle name="_Book1_DTL_BS _IB Asset Management _3103_ver5_IAMCL BS working -New format_31.03 V5" xfId="886" xr:uid="{00000000-0005-0000-0000-000076030000}"/>
    <cellStyle name="_Book1_DTL_IAMCL BS working -New format_31.03 V5" xfId="887" xr:uid="{00000000-0005-0000-0000-000077030000}"/>
    <cellStyle name="_Book1_DTL_IB Asset Management _2910" xfId="888" xr:uid="{00000000-0005-0000-0000-000078030000}"/>
    <cellStyle name="_Book1_DTL_IB Asset Management _2910_IB Collection Agency_3103 V3" xfId="889" xr:uid="{00000000-0005-0000-0000-000079030000}"/>
    <cellStyle name="_Book1_DTL_IB Asset Management _2910_IB Collection Agency_3103 V3_ICAL-New Format_31.03 V4" xfId="890" xr:uid="{00000000-0005-0000-0000-00007A030000}"/>
    <cellStyle name="_Book1_DTL_IB Asset Management _2910_ICAL-BS Final Working _New format" xfId="891" xr:uid="{00000000-0005-0000-0000-00007B030000}"/>
    <cellStyle name="_Book1_DTL_IB Asset Management _3103_ver5" xfId="892" xr:uid="{00000000-0005-0000-0000-00007C030000}"/>
    <cellStyle name="_Book1_DTL_IB Asset Management_3103 V2" xfId="893" xr:uid="{00000000-0005-0000-0000-00007D030000}"/>
    <cellStyle name="_Book1_DTL_IB Asset Management_3103 V4" xfId="894" xr:uid="{00000000-0005-0000-0000-00007E030000}"/>
    <cellStyle name="_Book1_DTL_IB Asset Management_3103 V5" xfId="895" xr:uid="{00000000-0005-0000-0000-00007F030000}"/>
    <cellStyle name="_Book1_DTL_IB Collection Agency_3103 V3" xfId="896" xr:uid="{00000000-0005-0000-0000-000080030000}"/>
    <cellStyle name="_Book1_DTL_IB Collection Agency_3103 V3_ICAL-New Format_31.03 V4" xfId="897" xr:uid="{00000000-0005-0000-0000-000081030000}"/>
    <cellStyle name="_Book1_DTL_IB Infrastructure Credit-3103_V7" xfId="898" xr:uid="{00000000-0005-0000-0000-000082030000}"/>
    <cellStyle name="_Book1_DTL_IB Life Insurance_3103 V4" xfId="899" xr:uid="{00000000-0005-0000-0000-000083030000}"/>
    <cellStyle name="_Book1_DTL_IB Trustee Company_3103 V4" xfId="900" xr:uid="{00000000-0005-0000-0000-000084030000}"/>
    <cellStyle name="_Book1_DTL_IBLIC_BS  Final working -New_Format_31.03 V5" xfId="901" xr:uid="{00000000-0005-0000-0000-000085030000}"/>
    <cellStyle name="_Book1_DTL_Ibulls BS Final woirking -New format_31.03 V5" xfId="902" xr:uid="{00000000-0005-0000-0000-000086030000}"/>
    <cellStyle name="_Book1_DTL_IbullsSales_3009V3 (3)" xfId="903" xr:uid="{00000000-0005-0000-0000-000087030000}"/>
    <cellStyle name="_Book1_DTL_IbullsSales_3103" xfId="904" xr:uid="{00000000-0005-0000-0000-000088030000}"/>
    <cellStyle name="_Book1_DTL_IbullsSales_3103 V2" xfId="905" xr:uid="{00000000-0005-0000-0000-000089030000}"/>
    <cellStyle name="_Book1_DTL_IbullsSales_3103 V5" xfId="906" xr:uid="{00000000-0005-0000-0000-00008A030000}"/>
    <cellStyle name="_Book1_DTL_ICAL-BS Final Working _New format" xfId="907" xr:uid="{00000000-0005-0000-0000-00008B030000}"/>
    <cellStyle name="_Book1_DTL_IICL_March'11" xfId="908" xr:uid="{00000000-0005-0000-0000-00008C030000}"/>
    <cellStyle name="_Book1_DTL_Indiabulls Asset Management Company Limited printable" xfId="909" xr:uid="{00000000-0005-0000-0000-00008D030000}"/>
    <cellStyle name="_Book1_DTL_ITCL_BS working _New format_31.03 V7" xfId="910" xr:uid="{00000000-0005-0000-0000-00008E030000}"/>
    <cellStyle name="_Book1_DTL_ITCL-New format_31.03 V6" xfId="911" xr:uid="{00000000-0005-0000-0000-00008F030000}"/>
    <cellStyle name="_Book1_DTL_Xl0000013" xfId="912" xr:uid="{00000000-0005-0000-0000-000090030000}"/>
    <cellStyle name="_Book1_earning updateDec  07" xfId="913" xr:uid="{00000000-0005-0000-0000-000091030000}"/>
    <cellStyle name="_Book1_earning updateDec  07 2" xfId="914" xr:uid="{00000000-0005-0000-0000-000092030000}"/>
    <cellStyle name="_Book1_emi calculator" xfId="915" xr:uid="{00000000-0005-0000-0000-000093030000}"/>
    <cellStyle name="_Book1_emi calculator 2" xfId="916" xr:uid="{00000000-0005-0000-0000-000094030000}"/>
    <cellStyle name="_Book1_emi schedule for customer with chaged emi" xfId="917" xr:uid="{00000000-0005-0000-0000-000095030000}"/>
    <cellStyle name="_Book1_emi schedule for customer with chaged emi 2" xfId="918" xr:uid="{00000000-0005-0000-0000-000096030000}"/>
    <cellStyle name="_Book1_Expenses Allocation1" xfId="919" xr:uid="{00000000-0005-0000-0000-000097030000}"/>
    <cellStyle name="_Book1_Expenses Allocation1 2" xfId="920" xr:uid="{00000000-0005-0000-0000-000098030000}"/>
    <cellStyle name="_Book1_FAR ALL COS" xfId="921" xr:uid="{00000000-0005-0000-0000-000099030000}"/>
    <cellStyle name="_Book1_FAR Mar 09" xfId="922" xr:uid="{00000000-0005-0000-0000-00009A030000}"/>
    <cellStyle name="_Book1_Financials_20_04_22_20_backup-KPMG-POSTCHANGES" xfId="923" xr:uid="{00000000-0005-0000-0000-00009B030000}"/>
    <cellStyle name="_Book1_Financials_20_04_22_20_backup-KPMG-POSTCHANGES 2" xfId="924" xr:uid="{00000000-0005-0000-0000-00009C030000}"/>
    <cellStyle name="_Book1_Financials_20_04_22_20_backup-KPMG-POSTCHANGES 3" xfId="925" xr:uid="{00000000-0005-0000-0000-00009D030000}"/>
    <cellStyle name="_Book1_Financials_20_04_22_20_backup-KPMG-POSTCHANGES 4" xfId="926" xr:uid="{00000000-0005-0000-0000-00009E030000}"/>
    <cellStyle name="_Book1_Financials_20_04_22_20_backup-KPMG-POSTCHANGES 5" xfId="927" xr:uid="{00000000-0005-0000-0000-00009F030000}"/>
    <cellStyle name="_Book1_Financials_20_04_22_20_backup-KPMG-POSTCHANGES_Abstract-2007-08" xfId="928" xr:uid="{00000000-0005-0000-0000-0000A0030000}"/>
    <cellStyle name="_Book1_Financials_20_04_22_20_backup-KPMG-POSTCHANGES_Advance Tax Sophia Jun 09" xfId="929" xr:uid="{00000000-0005-0000-0000-0000A1030000}"/>
    <cellStyle name="_Book1_Financials_20_04_22_20_backup-KPMG-POSTCHANGES_Advance Tax Sophia Jun 09 2" xfId="930" xr:uid="{00000000-0005-0000-0000-0000A2030000}"/>
    <cellStyle name="_Book1_Financials_20_04_22_20_backup-KPMG-POSTCHANGES_Base File For Segment" xfId="931" xr:uid="{00000000-0005-0000-0000-0000A3030000}"/>
    <cellStyle name="_Book1_Financials_20_04_22_20_backup-KPMG-POSTCHANGES_Base File For Segment 2" xfId="932" xr:uid="{00000000-0005-0000-0000-0000A4030000}"/>
    <cellStyle name="_Book1_Financials_20_04_22_20_backup-KPMG-POSTCHANGES_Book1 (2)" xfId="933" xr:uid="{00000000-0005-0000-0000-0000A5030000}"/>
    <cellStyle name="_Book1_Financials_20_04_22_20_backup-KPMG-POSTCHANGES_CCL_3353_2007-08" xfId="934" xr:uid="{00000000-0005-0000-0000-0000A6030000}"/>
    <cellStyle name="_Book1_Financials_20_04_22_20_backup-KPMG-POSTCHANGES_CCL_3353_2007-08 2" xfId="935" xr:uid="{00000000-0005-0000-0000-0000A7030000}"/>
    <cellStyle name="_Book1_Financials_20_04_22_20_backup-KPMG-POSTCHANGES_ChlorisProperties_3351_Dec.08" xfId="936" xr:uid="{00000000-0005-0000-0000-0000A8030000}"/>
    <cellStyle name="_Book1_Financials_20_04_22_20_backup-KPMG-POSTCHANGES_ChlorisProperties_3351_Dec.08 2" xfId="937" xr:uid="{00000000-0005-0000-0000-0000A9030000}"/>
    <cellStyle name="_Book1_Financials_20_04_22_20_backup-KPMG-POSTCHANGES_Consol Balance Sheet_Sophia_Dec08_Ibrel_1.3" xfId="938" xr:uid="{00000000-0005-0000-0000-0000AA030000}"/>
    <cellStyle name="_Book1_Financials_20_04_22_20_backup-KPMG-POSTCHANGES_Consol Balance Sheet_Sophia_Dec08_Ibrel_1.3 2" xfId="939" xr:uid="{00000000-0005-0000-0000-0000AB030000}"/>
    <cellStyle name="_Book1_Financials_20_04_22_20_backup-KPMG-POSTCHANGES_detail (2)" xfId="940" xr:uid="{00000000-0005-0000-0000-0000AC030000}"/>
    <cellStyle name="_Book1_Financials_20_04_22_20_backup-KPMG-POSTCHANGES_detail (2) 2" xfId="941" xr:uid="{00000000-0005-0000-0000-0000AD030000}"/>
    <cellStyle name="_Book1_Financials_20_04_22_20_backup-KPMG-POSTCHANGES_Details" xfId="942" xr:uid="{00000000-0005-0000-0000-0000AE030000}"/>
    <cellStyle name="_Book1_Financials_20_04_22_20_backup-KPMG-POSTCHANGES_Details 2" xfId="943" xr:uid="{00000000-0005-0000-0000-0000AF030000}"/>
    <cellStyle name="_Book1_Financials_20_04_22_20_backup-KPMG-POSTCHANGES_EPL_3346_2007-08(C)" xfId="944" xr:uid="{00000000-0005-0000-0000-0000B0030000}"/>
    <cellStyle name="_Book1_Financials_20_04_22_20_backup-KPMG-POSTCHANGES_EPL_3346_2007-08(C) 2" xfId="945" xr:uid="{00000000-0005-0000-0000-0000B1030000}"/>
    <cellStyle name="_Book1_Financials_20_04_22_20_backup-KPMG-POSTCHANGES_Final Consol Balance Sheet_Sophia_Dec08_27.01.08" xfId="946" xr:uid="{00000000-0005-0000-0000-0000B2030000}"/>
    <cellStyle name="_Book1_Financials_20_04_22_20_backup-KPMG-POSTCHANGES_Final Consol Balance Sheet_Sophia_Dec08_27.01.08 2" xfId="947" xr:uid="{00000000-0005-0000-0000-0000B3030000}"/>
    <cellStyle name="_Book1_Financials_20_04_22_20_backup-KPMG-POSTCHANGES_Fixed Assets consolidated" xfId="948" xr:uid="{00000000-0005-0000-0000-0000B4030000}"/>
    <cellStyle name="_Book1_Financials_20_04_22_20_backup-KPMG-POSTCHANGES_Fixed Assets consolidated 2" xfId="949" xr:uid="{00000000-0005-0000-0000-0000B5030000}"/>
    <cellStyle name="_Book1_Financials_20_04_22_20_backup-KPMG-POSTCHANGES_IIDL_3227_2008_09" xfId="950" xr:uid="{00000000-0005-0000-0000-0000B6030000}"/>
    <cellStyle name="_Book1_Financials_20_04_22_20_backup-KPMG-POSTCHANGES_IIDL_3227_2008_09 2" xfId="951" xr:uid="{00000000-0005-0000-0000-0000B7030000}"/>
    <cellStyle name="_Book1_Financials_20_04_22_20_backup-KPMG-POSTCHANGES_Revised Consol Balance Sheet_Sophia_Jan09_10.02.2009" xfId="952" xr:uid="{00000000-0005-0000-0000-0000B8030000}"/>
    <cellStyle name="_Book1_Financials_20_04_22_20_backup-KPMG-POSTCHANGES_Revised Consol Balance Sheet_Sophia_Jan09_10.02.2009 2" xfId="953" xr:uid="{00000000-0005-0000-0000-0000B9030000}"/>
    <cellStyle name="_Book1_Financials_20_04_22_20_backup-KPMG-POSTCHANGES_Sophia Consol for Printout 22 Jun 09" xfId="954" xr:uid="{00000000-0005-0000-0000-0000BA030000}"/>
    <cellStyle name="_Book1_Financials_20_04_22_20_backup-KPMG-POSTCHANGES_Sophia Consol for Printout 22 Jun 09 2" xfId="955" xr:uid="{00000000-0005-0000-0000-0000BB030000}"/>
    <cellStyle name="_Book1_Financials_20_04_22_20_backup-KPMG-POSTCHANGES_Sophia Consol_march_09_05 June  09_1" xfId="956" xr:uid="{00000000-0005-0000-0000-0000BC030000}"/>
    <cellStyle name="_Book1_Financials_20_04_22_20_backup-KPMG-POSTCHANGES_Sophia Consol_march_09_05 June  09_1 2" xfId="957" xr:uid="{00000000-0005-0000-0000-0000BD030000}"/>
    <cellStyle name="_Book1_Financials_20_04_22_20_backup-KPMG-POSTCHANGES_Treasury ICD Interest_ MIS_ 23  09 2009(final)" xfId="958" xr:uid="{00000000-0005-0000-0000-0000BE030000}"/>
    <cellStyle name="_Book1_Financials_20_04_22_20_backup-KPMG-POSTCHANGES_Treasury ICD Interest_ MIS_ 23  09 2009(final) 2" xfId="959" xr:uid="{00000000-0005-0000-0000-0000BF030000}"/>
    <cellStyle name="_Book1_Financials_20_04_22_20_backup-KPMG-POSTCHANGES_Treasury ICD Interest_ MIS_ 30. 06 2009(final)" xfId="960" xr:uid="{00000000-0005-0000-0000-0000C0030000}"/>
    <cellStyle name="_Book1_Financials_20_04_22_20_backup-KPMG-POSTCHANGES_Treasury ICD Interest_ MIS_ 30. 06 2009(final) 2" xfId="961" xr:uid="{00000000-0005-0000-0000-0000C1030000}"/>
    <cellStyle name="_Book1_Financials_20_04_22_20_backup-KPMG-POSTCHANGES_Treasury ICD Interest_ MIS_ 30. 09 2009(final)" xfId="962" xr:uid="{00000000-0005-0000-0000-0000C2030000}"/>
    <cellStyle name="_Book1_Financials_20_04_22_20_backup-KPMG-POSTCHANGES_Treasury ICD Interest_ MIS_ 30. 09 2009(final) 2" xfId="963" xr:uid="{00000000-0005-0000-0000-0000C3030000}"/>
    <cellStyle name="_Book1_Financials_20_04_22_20_backup-KPMG-POSTCHANGES_Treasury ICD Interest_ MIS_ 31 05 2009" xfId="964" xr:uid="{00000000-0005-0000-0000-0000C4030000}"/>
    <cellStyle name="_Book1_Financials_20_04_22_20_backup-KPMG-POSTCHANGES_Treasury ICD Interest_ MIS_ 31 05 2009 2" xfId="965" xr:uid="{00000000-0005-0000-0000-0000C5030000}"/>
    <cellStyle name="_Book1_Financials_20_04_22_20_backup-KPMG-POSTCHANGES_Treasury ICD Interest_ MIS_ 31 10 2009" xfId="966" xr:uid="{00000000-0005-0000-0000-0000C6030000}"/>
    <cellStyle name="_Book1_Financials_20_04_22_20_backup-KPMG-POSTCHANGES_Treasury ICD Interest_ MIS_ 31 10 2009 2" xfId="967" xr:uid="{00000000-0005-0000-0000-0000C7030000}"/>
    <cellStyle name="_Book1_Financials_20_04_22_20_backup-KPMG-POSTCHANGES_Treasury ICD Interest_ MIS_ 31.10.2009" xfId="968" xr:uid="{00000000-0005-0000-0000-0000C8030000}"/>
    <cellStyle name="_Book1_Financials_20_04_22_20_backup-KPMG-POSTCHANGES_Treasury ICD Interest_ MIS_ 31.10.2009 2" xfId="969" xr:uid="{00000000-0005-0000-0000-0000C9030000}"/>
    <cellStyle name="_Book1_Financials_20_04_22_20_backup-KPMG-POSTCHANGES_Treasury ICD Interest_ MIS_ 310309" xfId="970" xr:uid="{00000000-0005-0000-0000-0000CA030000}"/>
    <cellStyle name="_Book1_Financials_20_04_22_20_backup-KPMG-POSTCHANGES_Treasury ICD Interest_ MIS_ 310309 2" xfId="971" xr:uid="{00000000-0005-0000-0000-0000CB030000}"/>
    <cellStyle name="_Book1_Fixed Assets consolidated" xfId="972" xr:uid="{00000000-0005-0000-0000-0000CC030000}"/>
    <cellStyle name="_Book1_FLDPL 21.03.07" xfId="973" xr:uid="{00000000-0005-0000-0000-0000CD030000}"/>
    <cellStyle name="_Book1_FLDPL 21.03.07 2" xfId="974" xr:uid="{00000000-0005-0000-0000-0000CE030000}"/>
    <cellStyle name="_Book1_FLDPL 21.03.07_CCL_3353_2007-08" xfId="975" xr:uid="{00000000-0005-0000-0000-0000CF030000}"/>
    <cellStyle name="_Book1_FLDPL 21.03.07_CCL_3353_2007-08 2" xfId="976" xr:uid="{00000000-0005-0000-0000-0000D0030000}"/>
    <cellStyle name="_Book1_FLDPL 21.03.07_EPL_3346_2007-08(C)" xfId="977" xr:uid="{00000000-0005-0000-0000-0000D1030000}"/>
    <cellStyle name="_Book1_FLDPL 21.03.07_EPL_3346_2007-08(C) 2" xfId="978" xr:uid="{00000000-0005-0000-0000-0000D2030000}"/>
    <cellStyle name="_Book1_FLDPL_3282_2007-08" xfId="979" xr:uid="{00000000-0005-0000-0000-0000D3030000}"/>
    <cellStyle name="_Book1_FLDPL_3282_2007-08 2" xfId="980" xr:uid="{00000000-0005-0000-0000-0000D4030000}"/>
    <cellStyle name="_Book1_FLDPL_3282_2007-08 3" xfId="981" xr:uid="{00000000-0005-0000-0000-0000D5030000}"/>
    <cellStyle name="_Book1_FLDPL_3282_2007-08 4" xfId="982" xr:uid="{00000000-0005-0000-0000-0000D6030000}"/>
    <cellStyle name="_Book1_FLDPL_3282_2007-08 5" xfId="983" xr:uid="{00000000-0005-0000-0000-0000D7030000}"/>
    <cellStyle name="_Book1_FLDPL_3282_2007-08_detail" xfId="984" xr:uid="{00000000-0005-0000-0000-0000D8030000}"/>
    <cellStyle name="_Book1_FLDPL_3282_2007-08_detail (2)" xfId="985" xr:uid="{00000000-0005-0000-0000-0000D9030000}"/>
    <cellStyle name="_Book1_FLDPL_3282_2007-08_detail (2) 2" xfId="986" xr:uid="{00000000-0005-0000-0000-0000DA030000}"/>
    <cellStyle name="_Book1_FLDPL_3282_2007-08_detail to be added in june,2008" xfId="987" xr:uid="{00000000-0005-0000-0000-0000DB030000}"/>
    <cellStyle name="_Book1_FLDPL_3282_2007-08_detail to be added in june,2008 2" xfId="988" xr:uid="{00000000-0005-0000-0000-0000DC030000}"/>
    <cellStyle name="_Book1_FLDPL_3282_2007-08_IEL_3210_ 2007-2008" xfId="989" xr:uid="{00000000-0005-0000-0000-0000DD030000}"/>
    <cellStyle name="_Book1_FLDPL_3282_2007-08_IEL_3210_ 2007-2008 2" xfId="990" xr:uid="{00000000-0005-0000-0000-0000DE030000}"/>
    <cellStyle name="_Book1_FLDPL_3282_2007-08_IEL_3210_ 2007-2008_260508" xfId="991" xr:uid="{00000000-0005-0000-0000-0000DF030000}"/>
    <cellStyle name="_Book1_FLDPL_3282_2007-08_IEL_3210_ 2007-2008_260508 2" xfId="992" xr:uid="{00000000-0005-0000-0000-0000E0030000}"/>
    <cellStyle name="_Book1_IAMCL" xfId="993" xr:uid="{00000000-0005-0000-0000-0000E1030000}"/>
    <cellStyle name="_Book1_IAMCL_BS _IB Asset Management _3103_ver5" xfId="994" xr:uid="{00000000-0005-0000-0000-0000E2030000}"/>
    <cellStyle name="_Book1_IAMCL_BS _IB Asset Management _3103_ver5_IAMCL BS working -New format_31.03 V5" xfId="995" xr:uid="{00000000-0005-0000-0000-0000E3030000}"/>
    <cellStyle name="_Book1_IAMCL_IAMCL BS working -New format_31.03 V5" xfId="996" xr:uid="{00000000-0005-0000-0000-0000E4030000}"/>
    <cellStyle name="_Book1_IAMCL_IB Asset Management _2910" xfId="997" xr:uid="{00000000-0005-0000-0000-0000E5030000}"/>
    <cellStyle name="_Book1_IAMCL_IB Asset Management _2910_IB Collection Agency_3103 V3" xfId="998" xr:uid="{00000000-0005-0000-0000-0000E6030000}"/>
    <cellStyle name="_Book1_IAMCL_IB Asset Management _2910_IB Collection Agency_3103 V3_ICAL-New Format_31.03 V4" xfId="999" xr:uid="{00000000-0005-0000-0000-0000E7030000}"/>
    <cellStyle name="_Book1_IAMCL_IB Asset Management _2910_ICAL-BS Final Working _New format" xfId="1000" xr:uid="{00000000-0005-0000-0000-0000E8030000}"/>
    <cellStyle name="_Book1_IAMCL_IB Asset Management _3103_ver5" xfId="1001" xr:uid="{00000000-0005-0000-0000-0000E9030000}"/>
    <cellStyle name="_Book1_IAMCL_IB Asset Management_3103 V2" xfId="1002" xr:uid="{00000000-0005-0000-0000-0000EA030000}"/>
    <cellStyle name="_Book1_IAMCL_IB Asset Management_3103 V4" xfId="1003" xr:uid="{00000000-0005-0000-0000-0000EB030000}"/>
    <cellStyle name="_Book1_IAMCL_IB Asset Management_3103 V5" xfId="1004" xr:uid="{00000000-0005-0000-0000-0000EC030000}"/>
    <cellStyle name="_Book1_IAMCL_IB Collection Agency_3103 V3" xfId="1005" xr:uid="{00000000-0005-0000-0000-0000ED030000}"/>
    <cellStyle name="_Book1_IAMCL_IB Collection Agency_3103 V3_ICAL-New Format_31.03 V4" xfId="1006" xr:uid="{00000000-0005-0000-0000-0000EE030000}"/>
    <cellStyle name="_Book1_IAMCL_IB Infrastructure Credit-3103_V7" xfId="1007" xr:uid="{00000000-0005-0000-0000-0000EF030000}"/>
    <cellStyle name="_Book1_IAMCL_IB Life Insurance_3103 V4" xfId="1008" xr:uid="{00000000-0005-0000-0000-0000F0030000}"/>
    <cellStyle name="_Book1_IAMCL_IB Trustee Company_3103 V4" xfId="1009" xr:uid="{00000000-0005-0000-0000-0000F1030000}"/>
    <cellStyle name="_Book1_IAMCL_IBLIC_BS  Final working -New_Format_31.03 V5" xfId="1010" xr:uid="{00000000-0005-0000-0000-0000F2030000}"/>
    <cellStyle name="_Book1_IAMCL_Ibulls BS Final woirking -New format_31.03 V5" xfId="1011" xr:uid="{00000000-0005-0000-0000-0000F3030000}"/>
    <cellStyle name="_Book1_IAMCL_IbullsSales_3009V3 (3)" xfId="1012" xr:uid="{00000000-0005-0000-0000-0000F4030000}"/>
    <cellStyle name="_Book1_IAMCL_IbullsSales_3103" xfId="1013" xr:uid="{00000000-0005-0000-0000-0000F5030000}"/>
    <cellStyle name="_Book1_IAMCL_IbullsSales_3103 V2" xfId="1014" xr:uid="{00000000-0005-0000-0000-0000F6030000}"/>
    <cellStyle name="_Book1_IAMCL_IbullsSales_3103 V5" xfId="1015" xr:uid="{00000000-0005-0000-0000-0000F7030000}"/>
    <cellStyle name="_Book1_IAMCL_ICAL-BS Final Working _New format" xfId="1016" xr:uid="{00000000-0005-0000-0000-0000F8030000}"/>
    <cellStyle name="_Book1_IAMCL_IICL_March'11" xfId="1017" xr:uid="{00000000-0005-0000-0000-0000F9030000}"/>
    <cellStyle name="_Book1_IAMCL_Indiabulls Asset Management Company Limited printable" xfId="1018" xr:uid="{00000000-0005-0000-0000-0000FA030000}"/>
    <cellStyle name="_Book1_IAMCL_ITCL_BS working _New format_31.03 V7" xfId="1019" xr:uid="{00000000-0005-0000-0000-0000FB030000}"/>
    <cellStyle name="_Book1_IAMCL_ITCL-New format_31.03 V6" xfId="1020" xr:uid="{00000000-0005-0000-0000-0000FC030000}"/>
    <cellStyle name="_Book1_IAMCL_Xl0000013" xfId="1021" xr:uid="{00000000-0005-0000-0000-0000FD030000}"/>
    <cellStyle name="_Book1_IARCL Int Bifurcation" xfId="1022" xr:uid="{00000000-0005-0000-0000-0000FE030000}"/>
    <cellStyle name="_Book1_IBDL_3248_2007-08" xfId="1023" xr:uid="{00000000-0005-0000-0000-0000FF030000}"/>
    <cellStyle name="_Book1_IBDL_3248_2007-08 2" xfId="1024" xr:uid="{00000000-0005-0000-0000-000000040000}"/>
    <cellStyle name="_Book1_IBDL_3248_2007-08_IBREL Adv Tax Q2 08" xfId="1025" xr:uid="{00000000-0005-0000-0000-000001040000}"/>
    <cellStyle name="_Book1_IBDL_3248_2007-08_IBREL Adv Tax Q2 08 2" xfId="1026" xr:uid="{00000000-0005-0000-0000-000002040000}"/>
    <cellStyle name="_Book1_IBDL_3248_2007-08_IEL_3210_ 2007-2008" xfId="1027" xr:uid="{00000000-0005-0000-0000-000003040000}"/>
    <cellStyle name="_Book1_IBDL_3248_2007-08_IEL_3210_ 2007-2008 2" xfId="1028" xr:uid="{00000000-0005-0000-0000-000004040000}"/>
    <cellStyle name="_Book1_IBDL_3248_2007-08_IEL_3210_ 2007-2008_260508" xfId="1029" xr:uid="{00000000-0005-0000-0000-000005040000}"/>
    <cellStyle name="_Book1_IBDL_3248_2007-08_IEL_3210_ 2007-2008_260508 2" xfId="1030" xr:uid="{00000000-0005-0000-0000-000006040000}"/>
    <cellStyle name="_Book1_IBFSL 30 Sep 11 V8" xfId="1031" xr:uid="{00000000-0005-0000-0000-000007040000}"/>
    <cellStyle name="_Book1_IBFSL 31 May V1" xfId="1032" xr:uid="{00000000-0005-0000-0000-000008040000}"/>
    <cellStyle name="_Book1_IBFSL 31 May V1_Xl0000013" xfId="1033" xr:uid="{00000000-0005-0000-0000-000009040000}"/>
    <cellStyle name="_Book1_IBFSL 31.03.2008 RBI Final" xfId="1034" xr:uid="{00000000-0005-0000-0000-00000A040000}"/>
    <cellStyle name="_Book1_IBFSL 31.03.2008 RBI Final 2" xfId="1035" xr:uid="{00000000-0005-0000-0000-00000B040000}"/>
    <cellStyle name="_Book1_IBFSL 31.03.2008 RBI Final_Advance Tax Format_F.Y. 2010-11" xfId="1036" xr:uid="{00000000-0005-0000-0000-00000C040000}"/>
    <cellStyle name="_Book1_IBFSL 31.03.2008 RBI Final_Asset Management Company Limited" xfId="1037" xr:uid="{00000000-0005-0000-0000-00000D040000}"/>
    <cellStyle name="_Book1_IBFSL 31.03.2008 RBI Final_BS _IB Asset Management _3103_ver5" xfId="1038" xr:uid="{00000000-0005-0000-0000-00000E040000}"/>
    <cellStyle name="_Book1_IBFSL 31.03.2008 RBI Final_BS _IB Asset Management _3103_ver5_IAMCL BS working -New format_31.03 V5" xfId="1039" xr:uid="{00000000-0005-0000-0000-00000F040000}"/>
    <cellStyle name="_Book1_IBFSL 31.03.2008 RBI Final_CRAR - dec- 10v-12" xfId="1040" xr:uid="{00000000-0005-0000-0000-000010040000}"/>
    <cellStyle name="_Book1_IBFSL 31.03.2008 RBI Final_CRAR - dec- 10v-12 2" xfId="1041" xr:uid="{00000000-0005-0000-0000-000011040000}"/>
    <cellStyle name="_Book1_IBFSL 31.03.2008 RBI Final_IAMCL BS working -New format_31.03 V5" xfId="1042" xr:uid="{00000000-0005-0000-0000-000012040000}"/>
    <cellStyle name="_Book1_IBFSL 31.03.2008 RBI Final_IB Asset Management _2910" xfId="1043" xr:uid="{00000000-0005-0000-0000-000013040000}"/>
    <cellStyle name="_Book1_IBFSL 31.03.2008 RBI Final_IB Asset Management _2910_IB Collection Agency_3103 V3" xfId="1044" xr:uid="{00000000-0005-0000-0000-000014040000}"/>
    <cellStyle name="_Book1_IBFSL 31.03.2008 RBI Final_IB Asset Management _2910_IB Collection Agency_3103 V3_ICAL-New Format_31.03 V4" xfId="1045" xr:uid="{00000000-0005-0000-0000-000015040000}"/>
    <cellStyle name="_Book1_IBFSL 31.03.2008 RBI Final_IB Asset Management _2910_ICAL-BS Final Working _New format" xfId="1046" xr:uid="{00000000-0005-0000-0000-000016040000}"/>
    <cellStyle name="_Book1_IBFSL 31.03.2008 RBI Final_IB Asset Management _3103_ver5" xfId="1047" xr:uid="{00000000-0005-0000-0000-000017040000}"/>
    <cellStyle name="_Book1_IBFSL 31.03.2008 RBI Final_IB Asset Management_3103 V2" xfId="1048" xr:uid="{00000000-0005-0000-0000-000018040000}"/>
    <cellStyle name="_Book1_IBFSL 31.03.2008 RBI Final_IB Asset Management_3103 V4" xfId="1049" xr:uid="{00000000-0005-0000-0000-000019040000}"/>
    <cellStyle name="_Book1_IBFSL 31.03.2008 RBI Final_IB Asset Management_3103 V5" xfId="1050" xr:uid="{00000000-0005-0000-0000-00001A040000}"/>
    <cellStyle name="_Book1_IBFSL 31.03.2008 RBI Final_IB Collection Agency_3103 V3" xfId="1051" xr:uid="{00000000-0005-0000-0000-00001B040000}"/>
    <cellStyle name="_Book1_IBFSL 31.03.2008 RBI Final_IB Collection Agency_3103 V3_ICAL-New Format_31.03 V4" xfId="1052" xr:uid="{00000000-0005-0000-0000-00001C040000}"/>
    <cellStyle name="_Book1_IBFSL 31.03.2008 RBI Final_IB Infrastructure Credit" xfId="1053" xr:uid="{00000000-0005-0000-0000-00001D040000}"/>
    <cellStyle name="_Book1_IBFSL 31.03.2008 RBI Final_IB Infrastructure Credit-3103_V6" xfId="1054" xr:uid="{00000000-0005-0000-0000-00001E040000}"/>
    <cellStyle name="_Book1_IBFSL 31.03.2008 RBI Final_IB Infrastructure Credit-3103_V7" xfId="1055" xr:uid="{00000000-0005-0000-0000-00001F040000}"/>
    <cellStyle name="_Book1_IBFSL 31.03.2008 RBI Final_IB Life Insurance_3103 V4" xfId="1056" xr:uid="{00000000-0005-0000-0000-000020040000}"/>
    <cellStyle name="_Book1_IBFSL 31.03.2008 RBI Final_IB Trustee Company_3103 V4" xfId="1057" xr:uid="{00000000-0005-0000-0000-000021040000}"/>
    <cellStyle name="_Book1_IBFSL 31.03.2008 RBI Final_IBFSL_Conso_March_10_11" xfId="1058" xr:uid="{00000000-0005-0000-0000-000022040000}"/>
    <cellStyle name="_Book1_IBFSL 31.03.2008 RBI Final_IBLIC_BS  Final working -New_Format_31.03 V5" xfId="1059" xr:uid="{00000000-0005-0000-0000-000023040000}"/>
    <cellStyle name="_Book1_IBFSL 31.03.2008 RBI Final_Ibulls BS Final woirking -New format_31.03 V5" xfId="1060" xr:uid="{00000000-0005-0000-0000-000024040000}"/>
    <cellStyle name="_Book1_IBFSL 31.03.2008 RBI Final_IbullsSales_3009V3 (3)" xfId="1061" xr:uid="{00000000-0005-0000-0000-000025040000}"/>
    <cellStyle name="_Book1_IBFSL 31.03.2008 RBI Final_IbullsSales_3103" xfId="1062" xr:uid="{00000000-0005-0000-0000-000026040000}"/>
    <cellStyle name="_Book1_IBFSL 31.03.2008 RBI Final_IbullsSales_3103 V2" xfId="1063" xr:uid="{00000000-0005-0000-0000-000027040000}"/>
    <cellStyle name="_Book1_IBFSL 31.03.2008 RBI Final_IbullsSales_3103 V5" xfId="1064" xr:uid="{00000000-0005-0000-0000-000028040000}"/>
    <cellStyle name="_Book1_IBFSL 31.03.2008 RBI Final_ICAL-BS Final Working _New format" xfId="1065" xr:uid="{00000000-0005-0000-0000-000029040000}"/>
    <cellStyle name="_Book1_IBFSL 31.03.2008 RBI Final_IHFL_SEP_30_2009 XIII AUDIT- Sch II" xfId="1066" xr:uid="{00000000-0005-0000-0000-00002A040000}"/>
    <cellStyle name="_Book1_IBFSL 31.03.2008 RBI Final_IICL_March'11" xfId="1067" xr:uid="{00000000-0005-0000-0000-00002B040000}"/>
    <cellStyle name="_Book1_IBFSL 31.03.2008 RBI Final_Indiabulls Asset Management Company Limited printable" xfId="1068" xr:uid="{00000000-0005-0000-0000-00002C040000}"/>
    <cellStyle name="_Book1_IBFSL 31.03.2008 RBI Final_ITCL_BS working _New format_31.03 V7" xfId="1069" xr:uid="{00000000-0005-0000-0000-00002D040000}"/>
    <cellStyle name="_Book1_IBFSL 31.03.2008 RBI Final_ITCL-New format_31.03 V6" xfId="1070" xr:uid="{00000000-0005-0000-0000-00002E040000}"/>
    <cellStyle name="_Book1_IBFSL 31.03.2008 RBI Final_NFCL working file" xfId="1071" xr:uid="{00000000-0005-0000-0000-00002F040000}"/>
    <cellStyle name="_Book1_IBFSL 31.03.2008 RBI Final_NFCL_ Tax Audit Report FY08-09 " xfId="1072" xr:uid="{00000000-0005-0000-0000-000030040000}"/>
    <cellStyle name="_Book1_IBFSL 31.03.2008 RBI Final_Tax Audit Report  F.Y.08-09" xfId="1073" xr:uid="{00000000-0005-0000-0000-000031040000}"/>
    <cellStyle name="_Book1_IBFSL 31.03.2008 RBI Final_Tax Audit Report  ICSL F.Y.09-10" xfId="1074" xr:uid="{00000000-0005-0000-0000-000032040000}"/>
    <cellStyle name="_Book1_IBFSL 31.03.2008 RBI Final_Xl0000013" xfId="1075" xr:uid="{00000000-0005-0000-0000-000033040000}"/>
    <cellStyle name="_Book1_IBFSL 31.12.2007 as on 160108" xfId="1076" xr:uid="{00000000-0005-0000-0000-000034040000}"/>
    <cellStyle name="_Book1_IBFSL 31.12.2007 as on 160108 2" xfId="1077" xr:uid="{00000000-0005-0000-0000-000035040000}"/>
    <cellStyle name="_Book1_IBFSL 31.12.2007 as on 160108 3" xfId="1078" xr:uid="{00000000-0005-0000-0000-000036040000}"/>
    <cellStyle name="_Book1_IBFSL 31.12.2007 as on 160108_269SS &amp; T IIAPL 09-10" xfId="1079" xr:uid="{00000000-0005-0000-0000-000037040000}"/>
    <cellStyle name="_Book1_IBFSL 31.12.2007 as on 160108_Advance Tax Format_F.Y. 2010-11" xfId="1080" xr:uid="{00000000-0005-0000-0000-000038040000}"/>
    <cellStyle name="_Book1_IBFSL 31.12.2007 as on 160108_Asset Management Company Limited" xfId="1081" xr:uid="{00000000-0005-0000-0000-000039040000}"/>
    <cellStyle name="_Book1_IBFSL 31.12.2007 as on 160108_BS _IB Asset Management _3103_ver5" xfId="1082" xr:uid="{00000000-0005-0000-0000-00003A040000}"/>
    <cellStyle name="_Book1_IBFSL 31.12.2007 as on 160108_BS _IB Asset Management _3103_ver5_IAMCL BS working -New format_31.03 V5" xfId="1083" xr:uid="{00000000-0005-0000-0000-00003B040000}"/>
    <cellStyle name="_Book1_IBFSL 31.12.2007 as on 160108_CRAR - dec- 10v-12" xfId="1084" xr:uid="{00000000-0005-0000-0000-00003C040000}"/>
    <cellStyle name="_Book1_IBFSL 31.12.2007 as on 160108_CRAR - dec- 10v-12 2" xfId="1085" xr:uid="{00000000-0005-0000-0000-00003D040000}"/>
    <cellStyle name="_Book1_IBFSL 31.12.2007 as on 160108_Detail of IPO funding" xfId="1086" xr:uid="{00000000-0005-0000-0000-00003E040000}"/>
    <cellStyle name="_Book1_IBFSL 31.12.2007 as on 160108_IAMCL BS working -New format_31.03 V5" xfId="1087" xr:uid="{00000000-0005-0000-0000-00003F040000}"/>
    <cellStyle name="_Book1_IBFSL 31.12.2007 as on 160108_IB Asset Management _2910" xfId="1088" xr:uid="{00000000-0005-0000-0000-000040040000}"/>
    <cellStyle name="_Book1_IBFSL 31.12.2007 as on 160108_IB Asset Management _2910_IB Collection Agency_3103 V3" xfId="1089" xr:uid="{00000000-0005-0000-0000-000041040000}"/>
    <cellStyle name="_Book1_IBFSL 31.12.2007 as on 160108_IB Asset Management _2910_IB Collection Agency_3103 V3_ICAL-New Format_31.03 V4" xfId="1090" xr:uid="{00000000-0005-0000-0000-000042040000}"/>
    <cellStyle name="_Book1_IBFSL 31.12.2007 as on 160108_IB Asset Management _2910_ICAL-BS Final Working _New format" xfId="1091" xr:uid="{00000000-0005-0000-0000-000043040000}"/>
    <cellStyle name="_Book1_IBFSL 31.12.2007 as on 160108_IB Asset Management _3103_ver5" xfId="1092" xr:uid="{00000000-0005-0000-0000-000044040000}"/>
    <cellStyle name="_Book1_IBFSL 31.12.2007 as on 160108_IB Asset Management_3103 V2" xfId="1093" xr:uid="{00000000-0005-0000-0000-000045040000}"/>
    <cellStyle name="_Book1_IBFSL 31.12.2007 as on 160108_IB Asset Management_3103 V4" xfId="1094" xr:uid="{00000000-0005-0000-0000-000046040000}"/>
    <cellStyle name="_Book1_IBFSL 31.12.2007 as on 160108_IB Asset Management_3103 V5" xfId="1095" xr:uid="{00000000-0005-0000-0000-000047040000}"/>
    <cellStyle name="_Book1_IBFSL 31.12.2007 as on 160108_IB Collection Agency_3103 V3" xfId="1096" xr:uid="{00000000-0005-0000-0000-000048040000}"/>
    <cellStyle name="_Book1_IBFSL 31.12.2007 as on 160108_IB Collection Agency_3103 V3_ICAL-New Format_31.03 V4" xfId="1097" xr:uid="{00000000-0005-0000-0000-000049040000}"/>
    <cellStyle name="_Book1_IBFSL 31.12.2007 as on 160108_IB Infrastructure Credit" xfId="1098" xr:uid="{00000000-0005-0000-0000-00004A040000}"/>
    <cellStyle name="_Book1_IBFSL 31.12.2007 as on 160108_IB Infrastructure Credit-3103_V6" xfId="1099" xr:uid="{00000000-0005-0000-0000-00004B040000}"/>
    <cellStyle name="_Book1_IBFSL 31.12.2007 as on 160108_IB Infrastructure Credit-3103_V7" xfId="1100" xr:uid="{00000000-0005-0000-0000-00004C040000}"/>
    <cellStyle name="_Book1_IBFSL 31.12.2007 as on 160108_IB Life Insurance_3103 V4" xfId="1101" xr:uid="{00000000-0005-0000-0000-00004D040000}"/>
    <cellStyle name="_Book1_IBFSL 31.12.2007 as on 160108_IB Trustee Company_3103 V4" xfId="1102" xr:uid="{00000000-0005-0000-0000-00004E040000}"/>
    <cellStyle name="_Book1_IBFSL 31.12.2007 as on 160108_IBFSL 30 Sep 11 V8" xfId="1103" xr:uid="{00000000-0005-0000-0000-00004F040000}"/>
    <cellStyle name="_Book1_IBFSL 31.12.2007 as on 160108_IBFSL_Conso_March_10_11" xfId="1104" xr:uid="{00000000-0005-0000-0000-000050040000}"/>
    <cellStyle name="_Book1_IBFSL 31.12.2007 as on 160108_IBLIC_BS  Final working -New_Format_31.03 V5" xfId="1105" xr:uid="{00000000-0005-0000-0000-000051040000}"/>
    <cellStyle name="_Book1_IBFSL 31.12.2007 as on 160108_Ibulls BS Final woirking -New format_31.03 V5" xfId="1106" xr:uid="{00000000-0005-0000-0000-000052040000}"/>
    <cellStyle name="_Book1_IBFSL 31.12.2007 as on 160108_IbullsSales_3009V3 (3)" xfId="1107" xr:uid="{00000000-0005-0000-0000-000053040000}"/>
    <cellStyle name="_Book1_IBFSL 31.12.2007 as on 160108_IbullsSales_3103" xfId="1108" xr:uid="{00000000-0005-0000-0000-000054040000}"/>
    <cellStyle name="_Book1_IBFSL 31.12.2007 as on 160108_IbullsSales_3103 V2" xfId="1109" xr:uid="{00000000-0005-0000-0000-000055040000}"/>
    <cellStyle name="_Book1_IBFSL 31.12.2007 as on 160108_IbullsSales_3103 V5" xfId="1110" xr:uid="{00000000-0005-0000-0000-000056040000}"/>
    <cellStyle name="_Book1_IBFSL 31.12.2007 as on 160108_ICAL-BS Final Working _New format" xfId="1111" xr:uid="{00000000-0005-0000-0000-000057040000}"/>
    <cellStyle name="_Book1_IBFSL 31.12.2007 as on 160108_IFCPL 31 03 2010 VER6 Final" xfId="1112" xr:uid="{00000000-0005-0000-0000-000058040000}"/>
    <cellStyle name="_Book1_IBFSL 31.12.2007 as on 160108_IFCPL 31.03.09 ver 6 - RBI Return" xfId="1113" xr:uid="{00000000-0005-0000-0000-000059040000}"/>
    <cellStyle name="_Book1_IBFSL 31.12.2007 as on 160108_IFCPL Financials - March 2009" xfId="1114" xr:uid="{00000000-0005-0000-0000-00005A040000}"/>
    <cellStyle name="_Book1_IBFSL 31.12.2007 as on 160108_IFCPL Financials - March 2009 2" xfId="1115" xr:uid="{00000000-0005-0000-0000-00005B040000}"/>
    <cellStyle name="_Book1_IBFSL 31.12.2007 as on 160108_IFCPL Financials - March 2009 With Computation" xfId="1116" xr:uid="{00000000-0005-0000-0000-00005C040000}"/>
    <cellStyle name="_Book1_IBFSL 31.12.2007 as on 160108_IFCPL Financials - March 2009 With Computation 2" xfId="1117" xr:uid="{00000000-0005-0000-0000-00005D040000}"/>
    <cellStyle name="_Book1_IBFSL 31.12.2007 as on 160108_IFCPL Financials - March 2009 With Computation_Detail of IPO funding" xfId="1118" xr:uid="{00000000-0005-0000-0000-00005E040000}"/>
    <cellStyle name="_Book1_IBFSL 31.12.2007 as on 160108_IFCPL Financials - March 2009 With Computation_IFCPL 31 03 2010 VER6 Final" xfId="1119" xr:uid="{00000000-0005-0000-0000-00005F040000}"/>
    <cellStyle name="_Book1_IBFSL 31.12.2007 as on 160108_IFCPL Financials - March 2009_FDR working" xfId="1120" xr:uid="{00000000-0005-0000-0000-000060040000}"/>
    <cellStyle name="_Book1_IBFSL 31.12.2007 as on 160108_IFCPL Financials - March 2009_IFCPL 31 03 2010 VER6 Final" xfId="1121" xr:uid="{00000000-0005-0000-0000-000061040000}"/>
    <cellStyle name="_Book1_IBFSL 31.12.2007 as on 160108_IHFL_SEP_30_2009 XIII AUDIT- Sch II" xfId="1122" xr:uid="{00000000-0005-0000-0000-000062040000}"/>
    <cellStyle name="_Book1_IBFSL 31.12.2007 as on 160108_IIAL 31.03.2010 VER2" xfId="1123" xr:uid="{00000000-0005-0000-0000-000063040000}"/>
    <cellStyle name="_Book1_IBFSL 31.12.2007 as on 160108_IICL_March'11" xfId="1124" xr:uid="{00000000-0005-0000-0000-000064040000}"/>
    <cellStyle name="_Book1_IBFSL 31.12.2007 as on 160108_Indiabulls Asset Management Company Limited printable" xfId="1125" xr:uid="{00000000-0005-0000-0000-000065040000}"/>
    <cellStyle name="_Book1_IBFSL 31.12.2007 as on 160108_ITCL_BS working _New format_31.03 V7" xfId="1126" xr:uid="{00000000-0005-0000-0000-000066040000}"/>
    <cellStyle name="_Book1_IBFSL 31.12.2007 as on 160108_ITCL-New format_31.03 V6" xfId="1127" xr:uid="{00000000-0005-0000-0000-000067040000}"/>
    <cellStyle name="_Book1_IBFSL 31.12.2007 as on 160108_NFCL working file" xfId="1128" xr:uid="{00000000-0005-0000-0000-000068040000}"/>
    <cellStyle name="_Book1_IBFSL 31.12.2007 as on 160108_NFCL_ Tax Audit Report FY08-09 " xfId="1129" xr:uid="{00000000-0005-0000-0000-000069040000}"/>
    <cellStyle name="_Book1_IBFSL 31.12.2007 as on 160108_Tax Audit Report  F.Y.08-09" xfId="1130" xr:uid="{00000000-0005-0000-0000-00006A040000}"/>
    <cellStyle name="_Book1_IBFSL 31.12.2007 as on 160108_Tax Audit Report  ICSL F.Y.09-10" xfId="1131" xr:uid="{00000000-0005-0000-0000-00006B040000}"/>
    <cellStyle name="_Book1_IBFSL 31.12.2007 as on 160108_Xl0000013" xfId="1132" xr:uid="{00000000-0005-0000-0000-00006C040000}"/>
    <cellStyle name="_Book1_IBFSL Balance Sheet 11.09.2007" xfId="1133" xr:uid="{00000000-0005-0000-0000-00006D040000}"/>
    <cellStyle name="_Book1_IBFSL Balance Sheet 11.09.2007 2" xfId="1134" xr:uid="{00000000-0005-0000-0000-00006E040000}"/>
    <cellStyle name="_Book1_IBFSL Balance Sheet 11.09.2007 3" xfId="1135" xr:uid="{00000000-0005-0000-0000-00006F040000}"/>
    <cellStyle name="_Book1_IBFSL Balance Sheet 11.09.2007_269SS &amp; T IIAPL 09-10" xfId="1136" xr:uid="{00000000-0005-0000-0000-000070040000}"/>
    <cellStyle name="_Book1_IBFSL Balance Sheet 11.09.2007_Advance Tax Format_F.Y. 2010-11" xfId="1137" xr:uid="{00000000-0005-0000-0000-000071040000}"/>
    <cellStyle name="_Book1_IBFSL Balance Sheet 11.09.2007_Asset Management Company Limited" xfId="1138" xr:uid="{00000000-0005-0000-0000-000072040000}"/>
    <cellStyle name="_Book1_IBFSL Balance Sheet 11.09.2007_BS _IB Asset Management _3103_ver5" xfId="1139" xr:uid="{00000000-0005-0000-0000-000073040000}"/>
    <cellStyle name="_Book1_IBFSL Balance Sheet 11.09.2007_BS _IB Asset Management _3103_ver5_IAMCL BS working -New format_31.03 V5" xfId="1140" xr:uid="{00000000-0005-0000-0000-000074040000}"/>
    <cellStyle name="_Book1_IBFSL Balance Sheet 11.09.2007_CRAR - dec- 10v-12" xfId="1141" xr:uid="{00000000-0005-0000-0000-000075040000}"/>
    <cellStyle name="_Book1_IBFSL Balance Sheet 11.09.2007_CRAR - dec- 10v-12 2" xfId="1142" xr:uid="{00000000-0005-0000-0000-000076040000}"/>
    <cellStyle name="_Book1_IBFSL Balance Sheet 11.09.2007_Detail of IPO funding" xfId="1143" xr:uid="{00000000-0005-0000-0000-000077040000}"/>
    <cellStyle name="_Book1_IBFSL Balance Sheet 11.09.2007_IAMCL BS working -New format_31.03 V5" xfId="1144" xr:uid="{00000000-0005-0000-0000-000078040000}"/>
    <cellStyle name="_Book1_IBFSL Balance Sheet 11.09.2007_IB Asset Management _2910" xfId="1145" xr:uid="{00000000-0005-0000-0000-000079040000}"/>
    <cellStyle name="_Book1_IBFSL Balance Sheet 11.09.2007_IB Asset Management _2910_IB Collection Agency_3103 V3" xfId="1146" xr:uid="{00000000-0005-0000-0000-00007A040000}"/>
    <cellStyle name="_Book1_IBFSL Balance Sheet 11.09.2007_IB Asset Management _2910_IB Collection Agency_3103 V3_ICAL-New Format_31.03 V4" xfId="1147" xr:uid="{00000000-0005-0000-0000-00007B040000}"/>
    <cellStyle name="_Book1_IBFSL Balance Sheet 11.09.2007_IB Asset Management _2910_ICAL-BS Final Working _New format" xfId="1148" xr:uid="{00000000-0005-0000-0000-00007C040000}"/>
    <cellStyle name="_Book1_IBFSL Balance Sheet 11.09.2007_IB Asset Management _3103_ver5" xfId="1149" xr:uid="{00000000-0005-0000-0000-00007D040000}"/>
    <cellStyle name="_Book1_IBFSL Balance Sheet 11.09.2007_IB Asset Management_3103 V2" xfId="1150" xr:uid="{00000000-0005-0000-0000-00007E040000}"/>
    <cellStyle name="_Book1_IBFSL Balance Sheet 11.09.2007_IB Asset Management_3103 V4" xfId="1151" xr:uid="{00000000-0005-0000-0000-00007F040000}"/>
    <cellStyle name="_Book1_IBFSL Balance Sheet 11.09.2007_IB Asset Management_3103 V5" xfId="1152" xr:uid="{00000000-0005-0000-0000-000080040000}"/>
    <cellStyle name="_Book1_IBFSL Balance Sheet 11.09.2007_IB Collection Agency_3103 V3" xfId="1153" xr:uid="{00000000-0005-0000-0000-000081040000}"/>
    <cellStyle name="_Book1_IBFSL Balance Sheet 11.09.2007_IB Collection Agency_3103 V3_ICAL-New Format_31.03 V4" xfId="1154" xr:uid="{00000000-0005-0000-0000-000082040000}"/>
    <cellStyle name="_Book1_IBFSL Balance Sheet 11.09.2007_IB Infrastructure Credit" xfId="1155" xr:uid="{00000000-0005-0000-0000-000083040000}"/>
    <cellStyle name="_Book1_IBFSL Balance Sheet 11.09.2007_IB Infrastructure Credit-3103_V6" xfId="1156" xr:uid="{00000000-0005-0000-0000-000084040000}"/>
    <cellStyle name="_Book1_IBFSL Balance Sheet 11.09.2007_IB Infrastructure Credit-3103_V7" xfId="1157" xr:uid="{00000000-0005-0000-0000-000085040000}"/>
    <cellStyle name="_Book1_IBFSL Balance Sheet 11.09.2007_IB Life Insurance_3103 V4" xfId="1158" xr:uid="{00000000-0005-0000-0000-000086040000}"/>
    <cellStyle name="_Book1_IBFSL Balance Sheet 11.09.2007_IB Trustee Company_3103 V4" xfId="1159" xr:uid="{00000000-0005-0000-0000-000087040000}"/>
    <cellStyle name="_Book1_IBFSL Balance Sheet 11.09.2007_IBFSL 30 Sep 11 V8" xfId="1160" xr:uid="{00000000-0005-0000-0000-000088040000}"/>
    <cellStyle name="_Book1_IBFSL Balance Sheet 11.09.2007_IBFSL_Conso_March_10_11" xfId="1161" xr:uid="{00000000-0005-0000-0000-000089040000}"/>
    <cellStyle name="_Book1_IBFSL Balance Sheet 11.09.2007_IBLIC_BS  Final working -New_Format_31.03 V5" xfId="1162" xr:uid="{00000000-0005-0000-0000-00008A040000}"/>
    <cellStyle name="_Book1_IBFSL Balance Sheet 11.09.2007_Ibulls BS Final woirking -New format_31.03 V5" xfId="1163" xr:uid="{00000000-0005-0000-0000-00008B040000}"/>
    <cellStyle name="_Book1_IBFSL Balance Sheet 11.09.2007_IbullsSales_3009V3 (3)" xfId="1164" xr:uid="{00000000-0005-0000-0000-00008C040000}"/>
    <cellStyle name="_Book1_IBFSL Balance Sheet 11.09.2007_IbullsSales_3103" xfId="1165" xr:uid="{00000000-0005-0000-0000-00008D040000}"/>
    <cellStyle name="_Book1_IBFSL Balance Sheet 11.09.2007_IbullsSales_3103 V2" xfId="1166" xr:uid="{00000000-0005-0000-0000-00008E040000}"/>
    <cellStyle name="_Book1_IBFSL Balance Sheet 11.09.2007_IbullsSales_3103 V5" xfId="1167" xr:uid="{00000000-0005-0000-0000-00008F040000}"/>
    <cellStyle name="_Book1_IBFSL Balance Sheet 11.09.2007_ICAL-BS Final Working _New format" xfId="1168" xr:uid="{00000000-0005-0000-0000-000090040000}"/>
    <cellStyle name="_Book1_IBFSL Balance Sheet 11.09.2007_IFCPL 31 03 2010 VER6 Final" xfId="1169" xr:uid="{00000000-0005-0000-0000-000091040000}"/>
    <cellStyle name="_Book1_IBFSL Balance Sheet 11.09.2007_IFCPL 31.03.09 ver 6 - RBI Return" xfId="1170" xr:uid="{00000000-0005-0000-0000-000092040000}"/>
    <cellStyle name="_Book1_IBFSL Balance Sheet 11.09.2007_IFCPL Financials - March 2009" xfId="1171" xr:uid="{00000000-0005-0000-0000-000093040000}"/>
    <cellStyle name="_Book1_IBFSL Balance Sheet 11.09.2007_IFCPL Financials - March 2009 2" xfId="1172" xr:uid="{00000000-0005-0000-0000-000094040000}"/>
    <cellStyle name="_Book1_IBFSL Balance Sheet 11.09.2007_IFCPL Financials - March 2009 With Computation" xfId="1173" xr:uid="{00000000-0005-0000-0000-000095040000}"/>
    <cellStyle name="_Book1_IBFSL Balance Sheet 11.09.2007_IFCPL Financials - March 2009 With Computation 2" xfId="1174" xr:uid="{00000000-0005-0000-0000-000096040000}"/>
    <cellStyle name="_Book1_IBFSL Balance Sheet 11.09.2007_IFCPL Financials - March 2009 With Computation_Detail of IPO funding" xfId="1175" xr:uid="{00000000-0005-0000-0000-000097040000}"/>
    <cellStyle name="_Book1_IBFSL Balance Sheet 11.09.2007_IFCPL Financials - March 2009 With Computation_IFCPL 31 03 2010 VER6 Final" xfId="1176" xr:uid="{00000000-0005-0000-0000-000098040000}"/>
    <cellStyle name="_Book1_IBFSL Balance Sheet 11.09.2007_IFCPL Financials - March 2009_FDR working" xfId="1177" xr:uid="{00000000-0005-0000-0000-000099040000}"/>
    <cellStyle name="_Book1_IBFSL Balance Sheet 11.09.2007_IFCPL Financials - March 2009_IFCPL 31 03 2010 VER6 Final" xfId="1178" xr:uid="{00000000-0005-0000-0000-00009A040000}"/>
    <cellStyle name="_Book1_IBFSL Balance Sheet 11.09.2007_IHFL_SEP_30_2009 XIII AUDIT- Sch II" xfId="1179" xr:uid="{00000000-0005-0000-0000-00009B040000}"/>
    <cellStyle name="_Book1_IBFSL Balance Sheet 11.09.2007_IIAL 31.03.2010 VER2" xfId="1180" xr:uid="{00000000-0005-0000-0000-00009C040000}"/>
    <cellStyle name="_Book1_IBFSL Balance Sheet 11.09.2007_IICL_March'11" xfId="1181" xr:uid="{00000000-0005-0000-0000-00009D040000}"/>
    <cellStyle name="_Book1_IBFSL Balance Sheet 11.09.2007_Indiabulls Asset Management Company Limited printable" xfId="1182" xr:uid="{00000000-0005-0000-0000-00009E040000}"/>
    <cellStyle name="_Book1_IBFSL Balance Sheet 11.09.2007_ITCL_BS working _New format_31.03 V7" xfId="1183" xr:uid="{00000000-0005-0000-0000-00009F040000}"/>
    <cellStyle name="_Book1_IBFSL Balance Sheet 11.09.2007_ITCL-New format_31.03 V6" xfId="1184" xr:uid="{00000000-0005-0000-0000-0000A0040000}"/>
    <cellStyle name="_Book1_IBFSL Balance Sheet 11.09.2007_NFCL working file" xfId="1185" xr:uid="{00000000-0005-0000-0000-0000A1040000}"/>
    <cellStyle name="_Book1_IBFSL Balance Sheet 11.09.2007_NFCL_ Tax Audit Report FY08-09 " xfId="1186" xr:uid="{00000000-0005-0000-0000-0000A2040000}"/>
    <cellStyle name="_Book1_IBFSL Balance Sheet 11.09.2007_Tax Audit Report  F.Y.08-09" xfId="1187" xr:uid="{00000000-0005-0000-0000-0000A3040000}"/>
    <cellStyle name="_Book1_IBFSL Balance Sheet 11.09.2007_Tax Audit Report  ICSL F.Y.09-10" xfId="1188" xr:uid="{00000000-0005-0000-0000-0000A4040000}"/>
    <cellStyle name="_Book1_IBFSL Balance Sheet 11.09.2007_Xl0000013" xfId="1189" xr:uid="{00000000-0005-0000-0000-0000A5040000}"/>
    <cellStyle name="_Book1_IBFSL Balance Sheet 25.11.2007" xfId="1190" xr:uid="{00000000-0005-0000-0000-0000A6040000}"/>
    <cellStyle name="_Book1_IBFSL Balance Sheet 25.11.2007 2" xfId="1191" xr:uid="{00000000-0005-0000-0000-0000A7040000}"/>
    <cellStyle name="_Book1_IBFSL Balance Sheet 25.11.2007 3" xfId="1192" xr:uid="{00000000-0005-0000-0000-0000A8040000}"/>
    <cellStyle name="_Book1_IBFSL Balance Sheet 25.11.2007_269SS &amp; T IIAPL 09-10" xfId="1193" xr:uid="{00000000-0005-0000-0000-0000A9040000}"/>
    <cellStyle name="_Book1_IBFSL Balance Sheet 25.11.2007_Advance Tax Format_F.Y. 2010-11" xfId="1194" xr:uid="{00000000-0005-0000-0000-0000AA040000}"/>
    <cellStyle name="_Book1_IBFSL Balance Sheet 25.11.2007_Asset Management Company Limited" xfId="1195" xr:uid="{00000000-0005-0000-0000-0000AB040000}"/>
    <cellStyle name="_Book1_IBFSL Balance Sheet 25.11.2007_BS _IB Asset Management _3103_ver5" xfId="1196" xr:uid="{00000000-0005-0000-0000-0000AC040000}"/>
    <cellStyle name="_Book1_IBFSL Balance Sheet 25.11.2007_BS _IB Asset Management _3103_ver5_IAMCL BS working -New format_31.03 V5" xfId="1197" xr:uid="{00000000-0005-0000-0000-0000AD040000}"/>
    <cellStyle name="_Book1_IBFSL Balance Sheet 25.11.2007_CRAR - dec- 10v-12" xfId="1198" xr:uid="{00000000-0005-0000-0000-0000AE040000}"/>
    <cellStyle name="_Book1_IBFSL Balance Sheet 25.11.2007_CRAR - dec- 10v-12 2" xfId="1199" xr:uid="{00000000-0005-0000-0000-0000AF040000}"/>
    <cellStyle name="_Book1_IBFSL Balance Sheet 25.11.2007_Detail of IPO funding" xfId="1200" xr:uid="{00000000-0005-0000-0000-0000B0040000}"/>
    <cellStyle name="_Book1_IBFSL Balance Sheet 25.11.2007_IAMCL BS working -New format_31.03 V5" xfId="1201" xr:uid="{00000000-0005-0000-0000-0000B1040000}"/>
    <cellStyle name="_Book1_IBFSL Balance Sheet 25.11.2007_IB Asset Management _2910" xfId="1202" xr:uid="{00000000-0005-0000-0000-0000B2040000}"/>
    <cellStyle name="_Book1_IBFSL Balance Sheet 25.11.2007_IB Asset Management _2910_IB Collection Agency_3103 V3" xfId="1203" xr:uid="{00000000-0005-0000-0000-0000B3040000}"/>
    <cellStyle name="_Book1_IBFSL Balance Sheet 25.11.2007_IB Asset Management _2910_IB Collection Agency_3103 V3_ICAL-New Format_31.03 V4" xfId="1204" xr:uid="{00000000-0005-0000-0000-0000B4040000}"/>
    <cellStyle name="_Book1_IBFSL Balance Sheet 25.11.2007_IB Asset Management _2910_ICAL-BS Final Working _New format" xfId="1205" xr:uid="{00000000-0005-0000-0000-0000B5040000}"/>
    <cellStyle name="_Book1_IBFSL Balance Sheet 25.11.2007_IB Asset Management _3103_ver5" xfId="1206" xr:uid="{00000000-0005-0000-0000-0000B6040000}"/>
    <cellStyle name="_Book1_IBFSL Balance Sheet 25.11.2007_IB Asset Management_3103 V2" xfId="1207" xr:uid="{00000000-0005-0000-0000-0000B7040000}"/>
    <cellStyle name="_Book1_IBFSL Balance Sheet 25.11.2007_IB Asset Management_3103 V4" xfId="1208" xr:uid="{00000000-0005-0000-0000-0000B8040000}"/>
    <cellStyle name="_Book1_IBFSL Balance Sheet 25.11.2007_IB Asset Management_3103 V5" xfId="1209" xr:uid="{00000000-0005-0000-0000-0000B9040000}"/>
    <cellStyle name="_Book1_IBFSL Balance Sheet 25.11.2007_IB Collection Agency_3103 V3" xfId="1210" xr:uid="{00000000-0005-0000-0000-0000BA040000}"/>
    <cellStyle name="_Book1_IBFSL Balance Sheet 25.11.2007_IB Collection Agency_3103 V3_ICAL-New Format_31.03 V4" xfId="1211" xr:uid="{00000000-0005-0000-0000-0000BB040000}"/>
    <cellStyle name="_Book1_IBFSL Balance Sheet 25.11.2007_IB Infrastructure Credit" xfId="1212" xr:uid="{00000000-0005-0000-0000-0000BC040000}"/>
    <cellStyle name="_Book1_IBFSL Balance Sheet 25.11.2007_IB Infrastructure Credit-3103_V6" xfId="1213" xr:uid="{00000000-0005-0000-0000-0000BD040000}"/>
    <cellStyle name="_Book1_IBFSL Balance Sheet 25.11.2007_IB Infrastructure Credit-3103_V7" xfId="1214" xr:uid="{00000000-0005-0000-0000-0000BE040000}"/>
    <cellStyle name="_Book1_IBFSL Balance Sheet 25.11.2007_IB Life Insurance_3103 V4" xfId="1215" xr:uid="{00000000-0005-0000-0000-0000BF040000}"/>
    <cellStyle name="_Book1_IBFSL Balance Sheet 25.11.2007_IB Trustee Company_3103 V4" xfId="1216" xr:uid="{00000000-0005-0000-0000-0000C0040000}"/>
    <cellStyle name="_Book1_IBFSL Balance Sheet 25.11.2007_IBFSL 30 Sep 11 V8" xfId="1217" xr:uid="{00000000-0005-0000-0000-0000C1040000}"/>
    <cellStyle name="_Book1_IBFSL Balance Sheet 25.11.2007_IBFSL_Conso_March_10_11" xfId="1218" xr:uid="{00000000-0005-0000-0000-0000C2040000}"/>
    <cellStyle name="_Book1_IBFSL Balance Sheet 25.11.2007_IBLIC_BS  Final working -New_Format_31.03 V5" xfId="1219" xr:uid="{00000000-0005-0000-0000-0000C3040000}"/>
    <cellStyle name="_Book1_IBFSL Balance Sheet 25.11.2007_Ibulls BS Final woirking -New format_31.03 V5" xfId="1220" xr:uid="{00000000-0005-0000-0000-0000C4040000}"/>
    <cellStyle name="_Book1_IBFSL Balance Sheet 25.11.2007_IbullsSales_3009V3 (3)" xfId="1221" xr:uid="{00000000-0005-0000-0000-0000C5040000}"/>
    <cellStyle name="_Book1_IBFSL Balance Sheet 25.11.2007_IbullsSales_3103" xfId="1222" xr:uid="{00000000-0005-0000-0000-0000C6040000}"/>
    <cellStyle name="_Book1_IBFSL Balance Sheet 25.11.2007_IbullsSales_3103 V2" xfId="1223" xr:uid="{00000000-0005-0000-0000-0000C7040000}"/>
    <cellStyle name="_Book1_IBFSL Balance Sheet 25.11.2007_IbullsSales_3103 V5" xfId="1224" xr:uid="{00000000-0005-0000-0000-0000C8040000}"/>
    <cellStyle name="_Book1_IBFSL Balance Sheet 25.11.2007_ICAL-BS Final Working _New format" xfId="1225" xr:uid="{00000000-0005-0000-0000-0000C9040000}"/>
    <cellStyle name="_Book1_IBFSL Balance Sheet 25.11.2007_IFCPL 31 03 2010 VER6 Final" xfId="1226" xr:uid="{00000000-0005-0000-0000-0000CA040000}"/>
    <cellStyle name="_Book1_IBFSL Balance Sheet 25.11.2007_IFCPL 31.03.09 ver 6 - RBI Return" xfId="1227" xr:uid="{00000000-0005-0000-0000-0000CB040000}"/>
    <cellStyle name="_Book1_IBFSL Balance Sheet 25.11.2007_IFCPL Financials - March 2009" xfId="1228" xr:uid="{00000000-0005-0000-0000-0000CC040000}"/>
    <cellStyle name="_Book1_IBFSL Balance Sheet 25.11.2007_IFCPL Financials - March 2009 2" xfId="1229" xr:uid="{00000000-0005-0000-0000-0000CD040000}"/>
    <cellStyle name="_Book1_IBFSL Balance Sheet 25.11.2007_IFCPL Financials - March 2009 With Computation" xfId="1230" xr:uid="{00000000-0005-0000-0000-0000CE040000}"/>
    <cellStyle name="_Book1_IBFSL Balance Sheet 25.11.2007_IFCPL Financials - March 2009 With Computation 2" xfId="1231" xr:uid="{00000000-0005-0000-0000-0000CF040000}"/>
    <cellStyle name="_Book1_IBFSL Balance Sheet 25.11.2007_IFCPL Financials - March 2009 With Computation_Detail of IPO funding" xfId="1232" xr:uid="{00000000-0005-0000-0000-0000D0040000}"/>
    <cellStyle name="_Book1_IBFSL Balance Sheet 25.11.2007_IFCPL Financials - March 2009 With Computation_IFCPL 31 03 2010 VER6 Final" xfId="1233" xr:uid="{00000000-0005-0000-0000-0000D1040000}"/>
    <cellStyle name="_Book1_IBFSL Balance Sheet 25.11.2007_IFCPL Financials - March 2009_FDR working" xfId="1234" xr:uid="{00000000-0005-0000-0000-0000D2040000}"/>
    <cellStyle name="_Book1_IBFSL Balance Sheet 25.11.2007_IFCPL Financials - March 2009_IFCPL 31 03 2010 VER6 Final" xfId="1235" xr:uid="{00000000-0005-0000-0000-0000D3040000}"/>
    <cellStyle name="_Book1_IBFSL Balance Sheet 25.11.2007_IHFL_SEP_30_2009 XIII AUDIT- Sch II" xfId="1236" xr:uid="{00000000-0005-0000-0000-0000D4040000}"/>
    <cellStyle name="_Book1_IBFSL Balance Sheet 25.11.2007_IIAL 31.03.2010 VER2" xfId="1237" xr:uid="{00000000-0005-0000-0000-0000D5040000}"/>
    <cellStyle name="_Book1_IBFSL Balance Sheet 25.11.2007_IICL_March'11" xfId="1238" xr:uid="{00000000-0005-0000-0000-0000D6040000}"/>
    <cellStyle name="_Book1_IBFSL Balance Sheet 25.11.2007_Indiabulls Asset Management Company Limited printable" xfId="1239" xr:uid="{00000000-0005-0000-0000-0000D7040000}"/>
    <cellStyle name="_Book1_IBFSL Balance Sheet 25.11.2007_ITCL_BS working _New format_31.03 V7" xfId="1240" xr:uid="{00000000-0005-0000-0000-0000D8040000}"/>
    <cellStyle name="_Book1_IBFSL Balance Sheet 25.11.2007_ITCL-New format_31.03 V6" xfId="1241" xr:uid="{00000000-0005-0000-0000-0000D9040000}"/>
    <cellStyle name="_Book1_IBFSL Balance Sheet 25.11.2007_NFCL working file" xfId="1242" xr:uid="{00000000-0005-0000-0000-0000DA040000}"/>
    <cellStyle name="_Book1_IBFSL Balance Sheet 25.11.2007_NFCL_ Tax Audit Report FY08-09 " xfId="1243" xr:uid="{00000000-0005-0000-0000-0000DB040000}"/>
    <cellStyle name="_Book1_IBFSL Balance Sheet 25.11.2007_Tax Audit Report  F.Y.08-09" xfId="1244" xr:uid="{00000000-0005-0000-0000-0000DC040000}"/>
    <cellStyle name="_Book1_IBFSL Balance Sheet 25.11.2007_Tax Audit Report  ICSL F.Y.09-10" xfId="1245" xr:uid="{00000000-0005-0000-0000-0000DD040000}"/>
    <cellStyle name="_Book1_IBFSL Balance Sheet 25.11.2007_Xl0000013" xfId="1246" xr:uid="{00000000-0005-0000-0000-0000DE040000}"/>
    <cellStyle name="_Book1_IBFSL Balance Sheet 31.08.2007" xfId="1247" xr:uid="{00000000-0005-0000-0000-0000DF040000}"/>
    <cellStyle name="_Book1_IBFSL Balance Sheet 31.08.2007 2" xfId="1248" xr:uid="{00000000-0005-0000-0000-0000E0040000}"/>
    <cellStyle name="_Book1_IBFSL Balance Sheet 31.08.2007_269SS &amp; T IIAPL 09-10" xfId="1249" xr:uid="{00000000-0005-0000-0000-0000E1040000}"/>
    <cellStyle name="_Book1_IBFSL Balance Sheet 31.08.2007_Asset Management Company Limited" xfId="1250" xr:uid="{00000000-0005-0000-0000-0000E2040000}"/>
    <cellStyle name="_Book1_IBFSL Balance Sheet 31.08.2007_BS _IB Asset Management _3103_ver5" xfId="1251" xr:uid="{00000000-0005-0000-0000-0000E3040000}"/>
    <cellStyle name="_Book1_IBFSL Balance Sheet 31.08.2007_BS _IB Asset Management _3103_ver5_IAMCL BS working -New format_31.03 V5" xfId="1252" xr:uid="{00000000-0005-0000-0000-0000E4040000}"/>
    <cellStyle name="_Book1_IBFSL Balance Sheet 31.08.2007_IAMCL BS working -New format_31.03 V5" xfId="1253" xr:uid="{00000000-0005-0000-0000-0000E5040000}"/>
    <cellStyle name="_Book1_IBFSL Balance Sheet 31.08.2007_IB Asset Management _2910" xfId="1254" xr:uid="{00000000-0005-0000-0000-0000E6040000}"/>
    <cellStyle name="_Book1_IBFSL Balance Sheet 31.08.2007_IB Asset Management _2910_IB Collection Agency_3103 V3" xfId="1255" xr:uid="{00000000-0005-0000-0000-0000E7040000}"/>
    <cellStyle name="_Book1_IBFSL Balance Sheet 31.08.2007_IB Asset Management _2910_IB Collection Agency_3103 V3_ICAL-New Format_31.03 V4" xfId="1256" xr:uid="{00000000-0005-0000-0000-0000E8040000}"/>
    <cellStyle name="_Book1_IBFSL Balance Sheet 31.08.2007_IB Asset Management _2910_ICAL-BS Final Working _New format" xfId="1257" xr:uid="{00000000-0005-0000-0000-0000E9040000}"/>
    <cellStyle name="_Book1_IBFSL Balance Sheet 31.08.2007_IB Asset Management _3103_ver5" xfId="1258" xr:uid="{00000000-0005-0000-0000-0000EA040000}"/>
    <cellStyle name="_Book1_IBFSL Balance Sheet 31.08.2007_IB Asset Management_3103 V2" xfId="1259" xr:uid="{00000000-0005-0000-0000-0000EB040000}"/>
    <cellStyle name="_Book1_IBFSL Balance Sheet 31.08.2007_IB Asset Management_3103 V4" xfId="1260" xr:uid="{00000000-0005-0000-0000-0000EC040000}"/>
    <cellStyle name="_Book1_IBFSL Balance Sheet 31.08.2007_IB Asset Management_3103 V5" xfId="1261" xr:uid="{00000000-0005-0000-0000-0000ED040000}"/>
    <cellStyle name="_Book1_IBFSL Balance Sheet 31.08.2007_IB Collection Agency_3103 V3" xfId="1262" xr:uid="{00000000-0005-0000-0000-0000EE040000}"/>
    <cellStyle name="_Book1_IBFSL Balance Sheet 31.08.2007_IB Collection Agency_3103 V3_ICAL-New Format_31.03 V4" xfId="1263" xr:uid="{00000000-0005-0000-0000-0000EF040000}"/>
    <cellStyle name="_Book1_IBFSL Balance Sheet 31.08.2007_IB Infrastructure Credit" xfId="1264" xr:uid="{00000000-0005-0000-0000-0000F0040000}"/>
    <cellStyle name="_Book1_IBFSL Balance Sheet 31.08.2007_IB Infrastructure Credit-3103_V6" xfId="1265" xr:uid="{00000000-0005-0000-0000-0000F1040000}"/>
    <cellStyle name="_Book1_IBFSL Balance Sheet 31.08.2007_IB Infrastructure Credit-3103_V7" xfId="1266" xr:uid="{00000000-0005-0000-0000-0000F2040000}"/>
    <cellStyle name="_Book1_IBFSL Balance Sheet 31.08.2007_IB Trustee Company_3103 V4" xfId="1267" xr:uid="{00000000-0005-0000-0000-0000F3040000}"/>
    <cellStyle name="_Book1_IBFSL Balance Sheet 31.08.2007_ICAL-BS Final Working _New format" xfId="1268" xr:uid="{00000000-0005-0000-0000-0000F4040000}"/>
    <cellStyle name="_Book1_IBFSL Balance Sheet 31.08.2007_IIAL 31.03.2010 VER2" xfId="1269" xr:uid="{00000000-0005-0000-0000-0000F5040000}"/>
    <cellStyle name="_Book1_IBFSL Balance Sheet 31.08.2007_IICL 269_2009_10" xfId="1270" xr:uid="{00000000-0005-0000-0000-0000F6040000}"/>
    <cellStyle name="_Book1_IBFSL Balance Sheet 31.08.2007_IICL_March'11" xfId="1271" xr:uid="{00000000-0005-0000-0000-0000F7040000}"/>
    <cellStyle name="_Book1_IBFSL Balance Sheet 31.08.2007_Indiabulls Asset Management Company Limited printable" xfId="1272" xr:uid="{00000000-0005-0000-0000-0000F8040000}"/>
    <cellStyle name="_Book1_IBFSL Balance Sheet 31.08.2007_ITCL_BS working _New format_31.03 V7" xfId="1273" xr:uid="{00000000-0005-0000-0000-0000F9040000}"/>
    <cellStyle name="_Book1_IBFSL Balance Sheet 31.08.2007_ITCL-New format_31.03 V6" xfId="1274" xr:uid="{00000000-0005-0000-0000-0000FA040000}"/>
    <cellStyle name="_Book1_IBFSL Balance Sheet 31.08.2007_NFCL working file" xfId="1275" xr:uid="{00000000-0005-0000-0000-0000FB040000}"/>
    <cellStyle name="_Book1_IBFSL Balance Sheet 31.08.2007_Tax Audit Report  F.Y.08-09" xfId="1276" xr:uid="{00000000-0005-0000-0000-0000FC040000}"/>
    <cellStyle name="_Book1_IBFSL Balance Sheet 31.08.2007_Tax Audit Report  ICSL F.Y.09-10" xfId="1277" xr:uid="{00000000-0005-0000-0000-0000FD040000}"/>
    <cellStyle name="_Book1_IBFSL_Conso_dec_06_07A" xfId="1278" xr:uid="{00000000-0005-0000-0000-0000FE040000}"/>
    <cellStyle name="_Book1_IBFSL_Conso_dec_06_07A 2" xfId="1279" xr:uid="{00000000-0005-0000-0000-0000FF040000}"/>
    <cellStyle name="_Book1_IBFSL_Conso_March_10_11" xfId="1280" xr:uid="{00000000-0005-0000-0000-000000050000}"/>
    <cellStyle name="_Book1_IBL_09.12.2009" xfId="1281" xr:uid="{00000000-0005-0000-0000-000001050000}"/>
    <cellStyle name="_Book1_IBL_09.12.2009 2" xfId="1282" xr:uid="{00000000-0005-0000-0000-000002050000}"/>
    <cellStyle name="_Book1_IBL_17_11_07" xfId="1283" xr:uid="{00000000-0005-0000-0000-000003050000}"/>
    <cellStyle name="_Book1_IBREL Adv Tax Q2 08" xfId="1284" xr:uid="{00000000-0005-0000-0000-000004050000}"/>
    <cellStyle name="_Book1_IBREL Adv Tax Q2 08_Advance Tax Summary" xfId="1285" xr:uid="{00000000-0005-0000-0000-000005050000}"/>
    <cellStyle name="_Book1_IBREL Adv Tax Q2 08_Advance Tax Summary 2" xfId="1286" xr:uid="{00000000-0005-0000-0000-000006050000}"/>
    <cellStyle name="_Book1_IBREL Adv Tax Q2 08_ISL Group - Advance Tax working for 3rd Instalment" xfId="1287" xr:uid="{00000000-0005-0000-0000-000007050000}"/>
    <cellStyle name="_Book1_IBREL Adv Tax Q2 08_Xl0000013" xfId="1288" xr:uid="{00000000-0005-0000-0000-000008050000}"/>
    <cellStyle name="_Book1_ICCL31 03 2008 Final" xfId="1289" xr:uid="{00000000-0005-0000-0000-000009050000}"/>
    <cellStyle name="_Book1_ICD Detail External from IBREL 23Jun'08" xfId="1290" xr:uid="{00000000-0005-0000-0000-00000A050000}"/>
    <cellStyle name="_Book1_ICD Detail External from IBREL 23Jun'08 2" xfId="1291" xr:uid="{00000000-0005-0000-0000-00000B050000}"/>
    <cellStyle name="_Book1_ICL_22 12 2009" xfId="1292" xr:uid="{00000000-0005-0000-0000-00000C050000}"/>
    <cellStyle name="_Book1_ICL_22 12 2009 2" xfId="1293" xr:uid="{00000000-0005-0000-0000-00000D050000}"/>
    <cellStyle name="_Book1_ICPL_3313_2007-08_d" xfId="1294" xr:uid="{00000000-0005-0000-0000-00000E050000}"/>
    <cellStyle name="_Book1_ICPL_3313_2007-08_d 2" xfId="1295" xr:uid="{00000000-0005-0000-0000-00000F050000}"/>
    <cellStyle name="_Book1_ICPL_3313_2007-08_d 3" xfId="1296" xr:uid="{00000000-0005-0000-0000-000010050000}"/>
    <cellStyle name="_Book1_ICPL_3313_2007-08_d 4" xfId="1297" xr:uid="{00000000-0005-0000-0000-000011050000}"/>
    <cellStyle name="_Book1_ICPL_3313_2007-08_d 5" xfId="1298" xr:uid="{00000000-0005-0000-0000-000012050000}"/>
    <cellStyle name="_Book1_ICPL_3313_2007-08_d_ACL_3402_2008-09" xfId="1299" xr:uid="{00000000-0005-0000-0000-000013050000}"/>
    <cellStyle name="_Book1_ICPL_3313_2007-08_d_ADL_3373_2008-09" xfId="1300" xr:uid="{00000000-0005-0000-0000-000014050000}"/>
    <cellStyle name="_Book1_ICPL_3313_2007-08_d_ATSL_5008_2008-09" xfId="1301" xr:uid="{00000000-0005-0000-0000-000015050000}"/>
    <cellStyle name="_Book1_ICPL_3313_2007-08_d_Book1 (2)" xfId="1302" xr:uid="{00000000-0005-0000-0000-000016050000}"/>
    <cellStyle name="_Book1_ICPL_3313_2007-08_d_CIL_3415_2008-09" xfId="1303" xr:uid="{00000000-0005-0000-0000-000017050000}"/>
    <cellStyle name="_Book1_ICPL_3313_2007-08_d_IBREL Adv Tax Q2 08" xfId="1304" xr:uid="{00000000-0005-0000-0000-000018050000}"/>
    <cellStyle name="_Book1_ICPL_3313_2007-08_d_IBREL Adv Tax Q2 08 2" xfId="1305" xr:uid="{00000000-0005-0000-0000-000019050000}"/>
    <cellStyle name="_Book1_ICPL_3313_2007-08_d_IEL_3210_ 2007-2008" xfId="1306" xr:uid="{00000000-0005-0000-0000-00001A050000}"/>
    <cellStyle name="_Book1_ICPL_3313_2007-08_d_IEL_3210_ 2007-2008 2" xfId="1307" xr:uid="{00000000-0005-0000-0000-00001B050000}"/>
    <cellStyle name="_Book1_ICPL_3313_2007-08_d_IEL_3210_ 2007-2008_260508" xfId="1308" xr:uid="{00000000-0005-0000-0000-00001C050000}"/>
    <cellStyle name="_Book1_ICPL_3313_2007-08_d_IEL_3210_ 2007-2008_260508 2" xfId="1309" xr:uid="{00000000-0005-0000-0000-00001D050000}"/>
    <cellStyle name="_Book1_ICPL_3313_2007-08_d_Land  CWIP status" xfId="1310" xr:uid="{00000000-0005-0000-0000-00001E050000}"/>
    <cellStyle name="_Book1_ICPL_3313_2007-08_d_MF statement_2008-09_Milind" xfId="1311" xr:uid="{00000000-0005-0000-0000-00001F050000}"/>
    <cellStyle name="_Book1_IFSL Expenses - Nov 07 ver02" xfId="1312" xr:uid="{00000000-0005-0000-0000-000020050000}"/>
    <cellStyle name="_Book1_IFSL Expenses - Nov 07 ver02 2" xfId="1313" xr:uid="{00000000-0005-0000-0000-000021050000}"/>
    <cellStyle name="_Book1_IFSL_Dec_07_08" xfId="1314" xr:uid="{00000000-0005-0000-0000-000022050000}"/>
    <cellStyle name="_Book1_IFSL_Dec_07_08 10" xfId="1315" xr:uid="{00000000-0005-0000-0000-000023050000}"/>
    <cellStyle name="_Book1_IFSL_Dec_07_08 10 2" xfId="1316" xr:uid="{00000000-0005-0000-0000-000024050000}"/>
    <cellStyle name="_Book1_IFSL_Dec_07_08 11" xfId="1317" xr:uid="{00000000-0005-0000-0000-000025050000}"/>
    <cellStyle name="_Book1_IFSL_Dec_07_08 11 2" xfId="1318" xr:uid="{00000000-0005-0000-0000-000026050000}"/>
    <cellStyle name="_Book1_IFSL_Dec_07_08 12" xfId="1319" xr:uid="{00000000-0005-0000-0000-000027050000}"/>
    <cellStyle name="_Book1_IFSL_Dec_07_08 12 2" xfId="1320" xr:uid="{00000000-0005-0000-0000-000028050000}"/>
    <cellStyle name="_Book1_IFSL_Dec_07_08 13" xfId="1321" xr:uid="{00000000-0005-0000-0000-000029050000}"/>
    <cellStyle name="_Book1_IFSL_Dec_07_08 13 2" xfId="1322" xr:uid="{00000000-0005-0000-0000-00002A050000}"/>
    <cellStyle name="_Book1_IFSL_Dec_07_08 14" xfId="1323" xr:uid="{00000000-0005-0000-0000-00002B050000}"/>
    <cellStyle name="_Book1_IFSL_Dec_07_08 14 2" xfId="1324" xr:uid="{00000000-0005-0000-0000-00002C050000}"/>
    <cellStyle name="_Book1_IFSL_Dec_07_08 15" xfId="1325" xr:uid="{00000000-0005-0000-0000-00002D050000}"/>
    <cellStyle name="_Book1_IFSL_Dec_07_08 15 2" xfId="1326" xr:uid="{00000000-0005-0000-0000-00002E050000}"/>
    <cellStyle name="_Book1_IFSL_Dec_07_08 16" xfId="1327" xr:uid="{00000000-0005-0000-0000-00002F050000}"/>
    <cellStyle name="_Book1_IFSL_Dec_07_08 16 2" xfId="1328" xr:uid="{00000000-0005-0000-0000-000030050000}"/>
    <cellStyle name="_Book1_IFSL_Dec_07_08 17" xfId="1329" xr:uid="{00000000-0005-0000-0000-000031050000}"/>
    <cellStyle name="_Book1_IFSL_Dec_07_08 17 2" xfId="1330" xr:uid="{00000000-0005-0000-0000-000032050000}"/>
    <cellStyle name="_Book1_IFSL_Dec_07_08 18" xfId="1331" xr:uid="{00000000-0005-0000-0000-000033050000}"/>
    <cellStyle name="_Book1_IFSL_Dec_07_08 18 2" xfId="1332" xr:uid="{00000000-0005-0000-0000-000034050000}"/>
    <cellStyle name="_Book1_IFSL_Dec_07_08 19" xfId="1333" xr:uid="{00000000-0005-0000-0000-000035050000}"/>
    <cellStyle name="_Book1_IFSL_Dec_07_08 19 2" xfId="1334" xr:uid="{00000000-0005-0000-0000-000036050000}"/>
    <cellStyle name="_Book1_IFSL_Dec_07_08 2" xfId="1335" xr:uid="{00000000-0005-0000-0000-000037050000}"/>
    <cellStyle name="_Book1_IFSL_Dec_07_08 2 2" xfId="1336" xr:uid="{00000000-0005-0000-0000-000038050000}"/>
    <cellStyle name="_Book1_IFSL_Dec_07_08 20" xfId="1337" xr:uid="{00000000-0005-0000-0000-000039050000}"/>
    <cellStyle name="_Book1_IFSL_Dec_07_08 21" xfId="1338" xr:uid="{00000000-0005-0000-0000-00003A050000}"/>
    <cellStyle name="_Book1_IFSL_Dec_07_08 22" xfId="1339" xr:uid="{00000000-0005-0000-0000-00003B050000}"/>
    <cellStyle name="_Book1_IFSL_Dec_07_08 23" xfId="1340" xr:uid="{00000000-0005-0000-0000-00003C050000}"/>
    <cellStyle name="_Book1_IFSL_Dec_07_08 3" xfId="1341" xr:uid="{00000000-0005-0000-0000-00003D050000}"/>
    <cellStyle name="_Book1_IFSL_Dec_07_08 3 2" xfId="1342" xr:uid="{00000000-0005-0000-0000-00003E050000}"/>
    <cellStyle name="_Book1_IFSL_Dec_07_08 4" xfId="1343" xr:uid="{00000000-0005-0000-0000-00003F050000}"/>
    <cellStyle name="_Book1_IFSL_Dec_07_08 4 2" xfId="1344" xr:uid="{00000000-0005-0000-0000-000040050000}"/>
    <cellStyle name="_Book1_IFSL_Dec_07_08 5" xfId="1345" xr:uid="{00000000-0005-0000-0000-000041050000}"/>
    <cellStyle name="_Book1_IFSL_Dec_07_08 5 2" xfId="1346" xr:uid="{00000000-0005-0000-0000-000042050000}"/>
    <cellStyle name="_Book1_IFSL_Dec_07_08 6" xfId="1347" xr:uid="{00000000-0005-0000-0000-000043050000}"/>
    <cellStyle name="_Book1_IFSL_Dec_07_08 6 2" xfId="1348" xr:uid="{00000000-0005-0000-0000-000044050000}"/>
    <cellStyle name="_Book1_IFSL_Dec_07_08 7" xfId="1349" xr:uid="{00000000-0005-0000-0000-000045050000}"/>
    <cellStyle name="_Book1_IFSL_Dec_07_08 7 2" xfId="1350" xr:uid="{00000000-0005-0000-0000-000046050000}"/>
    <cellStyle name="_Book1_IFSL_Dec_07_08 8" xfId="1351" xr:uid="{00000000-0005-0000-0000-000047050000}"/>
    <cellStyle name="_Book1_IFSL_Dec_07_08 8 2" xfId="1352" xr:uid="{00000000-0005-0000-0000-000048050000}"/>
    <cellStyle name="_Book1_IFSL_Dec_07_08 9" xfId="1353" xr:uid="{00000000-0005-0000-0000-000049050000}"/>
    <cellStyle name="_Book1_IFSL_Dec_07_08 9 2" xfId="1354" xr:uid="{00000000-0005-0000-0000-00004A050000}"/>
    <cellStyle name="_Book1_IFSL_Dec_07_08_Asset Management Company Limited" xfId="1355" xr:uid="{00000000-0005-0000-0000-00004B050000}"/>
    <cellStyle name="_Book1_IFSL_Dec_07_08_Book1" xfId="1356" xr:uid="{00000000-0005-0000-0000-00004C050000}"/>
    <cellStyle name="_Book1_IFSL_Dec_07_08_Book1 (2)" xfId="1357" xr:uid="{00000000-0005-0000-0000-00004D050000}"/>
    <cellStyle name="_Book1_IFSL_Dec_07_08_Book1 (2) 2" xfId="1358" xr:uid="{00000000-0005-0000-0000-00004E050000}"/>
    <cellStyle name="_Book1_IFSL_Dec_07_08_Book1 10" xfId="1359" xr:uid="{00000000-0005-0000-0000-00004F050000}"/>
    <cellStyle name="_Book1_IFSL_Dec_07_08_Book1 11" xfId="1360" xr:uid="{00000000-0005-0000-0000-000050050000}"/>
    <cellStyle name="_Book1_IFSL_Dec_07_08_Book1 2" xfId="1361" xr:uid="{00000000-0005-0000-0000-000051050000}"/>
    <cellStyle name="_Book1_IFSL_Dec_07_08_Book1 3" xfId="1362" xr:uid="{00000000-0005-0000-0000-000052050000}"/>
    <cellStyle name="_Book1_IFSL_Dec_07_08_Book1 4" xfId="1363" xr:uid="{00000000-0005-0000-0000-000053050000}"/>
    <cellStyle name="_Book1_IFSL_Dec_07_08_Book1 5" xfId="1364" xr:uid="{00000000-0005-0000-0000-000054050000}"/>
    <cellStyle name="_Book1_IFSL_Dec_07_08_Book1 6" xfId="1365" xr:uid="{00000000-0005-0000-0000-000055050000}"/>
    <cellStyle name="_Book1_IFSL_Dec_07_08_Book1 7" xfId="1366" xr:uid="{00000000-0005-0000-0000-000056050000}"/>
    <cellStyle name="_Book1_IFSL_Dec_07_08_Book1 8" xfId="1367" xr:uid="{00000000-0005-0000-0000-000057050000}"/>
    <cellStyle name="_Book1_IFSL_Dec_07_08_Book1 9" xfId="1368" xr:uid="{00000000-0005-0000-0000-000058050000}"/>
    <cellStyle name="_Book1_IFSL_Dec_07_08_Book1_ISL__3CD_FY2010-11" xfId="1369" xr:uid="{00000000-0005-0000-0000-000059050000}"/>
    <cellStyle name="_Book1_IFSL_Dec_07_08_Book2" xfId="1370" xr:uid="{00000000-0005-0000-0000-00005A050000}"/>
    <cellStyle name="_Book1_IFSL_Dec_07_08_Book2 2" xfId="1371" xr:uid="{00000000-0005-0000-0000-00005B050000}"/>
    <cellStyle name="_Book1_IFSL_Dec_07_08_Book2_ISL__3CD_FY2010-11" xfId="1372" xr:uid="{00000000-0005-0000-0000-00005C050000}"/>
    <cellStyle name="_Book1_IFSL_Dec_07_08_Book4" xfId="1373" xr:uid="{00000000-0005-0000-0000-00005D050000}"/>
    <cellStyle name="_Book1_IFSL_Dec_07_08_Book4 2" xfId="1374" xr:uid="{00000000-0005-0000-0000-00005E050000}"/>
    <cellStyle name="_Book1_IFSL_Dec_07_08_Book4_ISL__3CD_FY2010-11" xfId="1375" xr:uid="{00000000-0005-0000-0000-00005F050000}"/>
    <cellStyle name="_Book1_IFSL_Dec_07_08_BS _IB Asset Management _3103_ver5" xfId="1376" xr:uid="{00000000-0005-0000-0000-000060050000}"/>
    <cellStyle name="_Book1_IFSL_Dec_07_08_BS _IB Asset Management _3103_ver5_IAMCL BS working -New format_31.03 V5" xfId="1377" xr:uid="{00000000-0005-0000-0000-000061050000}"/>
    <cellStyle name="_Book1_IFSL_Dec_07_08_Detail of IPO funding" xfId="1378" xr:uid="{00000000-0005-0000-0000-000062050000}"/>
    <cellStyle name="_Book1_IFSL_Dec_07_08_Details of Assets &amp; Liablilities" xfId="1379" xr:uid="{00000000-0005-0000-0000-000063050000}"/>
    <cellStyle name="_Book1_IFSL_Dec_07_08_FDR Int Calculation as per BS" xfId="1380" xr:uid="{00000000-0005-0000-0000-000064050000}"/>
    <cellStyle name="_Book1_IFSL_Dec_07_08_IAMCL BS working -New format_31.03 V5" xfId="1381" xr:uid="{00000000-0005-0000-0000-000065050000}"/>
    <cellStyle name="_Book1_IFSL_Dec_07_08_IB Asset Management _2910" xfId="1382" xr:uid="{00000000-0005-0000-0000-000066050000}"/>
    <cellStyle name="_Book1_IFSL_Dec_07_08_IB Asset Management _2910_IB Collection Agency_3103 V3" xfId="1383" xr:uid="{00000000-0005-0000-0000-000067050000}"/>
    <cellStyle name="_Book1_IFSL_Dec_07_08_IB Asset Management _2910_IB Collection Agency_3103 V3_ICAL-New Format_31.03 V4" xfId="1384" xr:uid="{00000000-0005-0000-0000-000068050000}"/>
    <cellStyle name="_Book1_IFSL_Dec_07_08_IB Asset Management _2910_ICAL-BS Final Working _New format" xfId="1385" xr:uid="{00000000-0005-0000-0000-000069050000}"/>
    <cellStyle name="_Book1_IFSL_Dec_07_08_IB Asset Management _3103_ver5" xfId="1386" xr:uid="{00000000-0005-0000-0000-00006A050000}"/>
    <cellStyle name="_Book1_IFSL_Dec_07_08_IB Asset Management_3103 V2" xfId="1387" xr:uid="{00000000-0005-0000-0000-00006B050000}"/>
    <cellStyle name="_Book1_IFSL_Dec_07_08_IB Asset Management_3103 V4" xfId="1388" xr:uid="{00000000-0005-0000-0000-00006C050000}"/>
    <cellStyle name="_Book1_IFSL_Dec_07_08_IB Asset Management_3103 V5" xfId="1389" xr:uid="{00000000-0005-0000-0000-00006D050000}"/>
    <cellStyle name="_Book1_IFSL_Dec_07_08_IB Collection Agency_3103 V3" xfId="1390" xr:uid="{00000000-0005-0000-0000-00006E050000}"/>
    <cellStyle name="_Book1_IFSL_Dec_07_08_IB Collection Agency_3103 V3_ICAL-New Format_31.03 V4" xfId="1391" xr:uid="{00000000-0005-0000-0000-00006F050000}"/>
    <cellStyle name="_Book1_IFSL_Dec_07_08_IB Infrastructure Credit" xfId="1392" xr:uid="{00000000-0005-0000-0000-000070050000}"/>
    <cellStyle name="_Book1_IFSL_Dec_07_08_IB Infrastructure Credit-3103_V6" xfId="1393" xr:uid="{00000000-0005-0000-0000-000071050000}"/>
    <cellStyle name="_Book1_IFSL_Dec_07_08_IB Infrastructure Credit-3103_V7" xfId="1394" xr:uid="{00000000-0005-0000-0000-000072050000}"/>
    <cellStyle name="_Book1_IFSL_Dec_07_08_IB Life Insurance_3103 V4" xfId="1395" xr:uid="{00000000-0005-0000-0000-000073050000}"/>
    <cellStyle name="_Book1_IFSL_Dec_07_08_IB Trustee Company_3103 V4" xfId="1396" xr:uid="{00000000-0005-0000-0000-000074050000}"/>
    <cellStyle name="_Book1_IFSL_Dec_07_08_IBFSL_Conso_June_09_10 " xfId="1397" xr:uid="{00000000-0005-0000-0000-000075050000}"/>
    <cellStyle name="_Book1_IFSL_Dec_07_08_IBFSL_Conso_June_09_10  2" xfId="1398" xr:uid="{00000000-0005-0000-0000-000076050000}"/>
    <cellStyle name="_Book1_IFSL_Dec_07_08_IBFSL_Conso_June_09_10 _Book1 (2)" xfId="1399" xr:uid="{00000000-0005-0000-0000-000077050000}"/>
    <cellStyle name="_Book1_IFSL_Dec_07_08_IBFSL_Conso_June_09_10 _Book1 (2) 2" xfId="1400" xr:uid="{00000000-0005-0000-0000-000078050000}"/>
    <cellStyle name="_Book1_IFSL_Dec_07_08_IBFSL_Conso_June_09_10 _ISL__3CD_FY2010-11" xfId="1401" xr:uid="{00000000-0005-0000-0000-000079050000}"/>
    <cellStyle name="_Book1_IFSL_Dec_07_08_IBFSL_Conso_June_09_10 _ISL_Conso_09_10_Other working" xfId="1402" xr:uid="{00000000-0005-0000-0000-00007A050000}"/>
    <cellStyle name="_Book1_IFSL_Dec_07_08_IBFSL_Conso_June_09_10 _ISL_Conso_09_10_Other working 2" xfId="1403" xr:uid="{00000000-0005-0000-0000-00007B050000}"/>
    <cellStyle name="_Book1_IFSL_Dec_07_08_IBFSL_Conso_June_09_10 _ISL_Conso_09_10_Other working_Xl0000012" xfId="1404" xr:uid="{00000000-0005-0000-0000-00007C050000}"/>
    <cellStyle name="_Book1_IFSL_Dec_07_08_IBFSL_Conso_June_09_10 _ISL_Conso_09_10_Other working_Xl0000012 2" xfId="1405" xr:uid="{00000000-0005-0000-0000-00007D050000}"/>
    <cellStyle name="_Book1_IFSL_Dec_07_08_IBFSL_Conso_June_09_10 _ISL_conso_August_10_11" xfId="1406" xr:uid="{00000000-0005-0000-0000-00007E050000}"/>
    <cellStyle name="_Book1_IFSL_Dec_07_08_IBFSL_Conso_June_09_10 _ISL_conso_August_10_11 2" xfId="1407" xr:uid="{00000000-0005-0000-0000-00007F050000}"/>
    <cellStyle name="_Book1_IFSL_Dec_07_08_IBFSL_Conso_June_09_10 _ISL_conso_December_10_11" xfId="1408" xr:uid="{00000000-0005-0000-0000-000080050000}"/>
    <cellStyle name="_Book1_IFSL_Dec_07_08_IBFSL_Conso_June_09_10 _ISL_conso_December_10_11 2" xfId="1409" xr:uid="{00000000-0005-0000-0000-000081050000}"/>
    <cellStyle name="_Book1_IFSL_Dec_07_08_IBFSL_Conso_June_09_10 _ISL_conso_July_10_11" xfId="1410" xr:uid="{00000000-0005-0000-0000-000082050000}"/>
    <cellStyle name="_Book1_IFSL_Dec_07_08_IBFSL_Conso_June_09_10 _ISL_conso_July_10_11 2" xfId="1411" xr:uid="{00000000-0005-0000-0000-000083050000}"/>
    <cellStyle name="_Book1_IFSL_Dec_07_08_IBFSL_Conso_June_09_10 _ISL_conso_June_10_11" xfId="1412" xr:uid="{00000000-0005-0000-0000-000084050000}"/>
    <cellStyle name="_Book1_IFSL_Dec_07_08_IBFSL_Conso_June_09_10 _ISL_conso_June_10_11 2" xfId="1413" xr:uid="{00000000-0005-0000-0000-000085050000}"/>
    <cellStyle name="_Book1_IFSL_Dec_07_08_IBFSL_Conso_June_09_10 _ISL_conso_March_09_10" xfId="1414" xr:uid="{00000000-0005-0000-0000-000086050000}"/>
    <cellStyle name="_Book1_IFSL_Dec_07_08_IBFSL_Conso_June_09_10 _ISL_conso_March_09_10 2" xfId="1415" xr:uid="{00000000-0005-0000-0000-000087050000}"/>
    <cellStyle name="_Book1_IFSL_Dec_07_08_IBFSL_Conso_June_09_10 _ISL_conso_March_09_10_Xl0000012" xfId="1416" xr:uid="{00000000-0005-0000-0000-000088050000}"/>
    <cellStyle name="_Book1_IFSL_Dec_07_08_IBFSL_Conso_June_09_10 _ISL_conso_March_09_10_Xl0000012 2" xfId="1417" xr:uid="{00000000-0005-0000-0000-000089050000}"/>
    <cellStyle name="_Book1_IFSL_Dec_07_08_IBFSL_Conso_June_09_10 _ISL_conso_May_10_11" xfId="1418" xr:uid="{00000000-0005-0000-0000-00008A050000}"/>
    <cellStyle name="_Book1_IFSL_Dec_07_08_IBFSL_Conso_June_09_10 _ISL_conso_May_10_11 2" xfId="1419" xr:uid="{00000000-0005-0000-0000-00008B050000}"/>
    <cellStyle name="_Book1_IFSL_Dec_07_08_IBFSL_Conso_June_09_10 _ISL_conso_November_10_11" xfId="1420" xr:uid="{00000000-0005-0000-0000-00008C050000}"/>
    <cellStyle name="_Book1_IFSL_Dec_07_08_IBFSL_Conso_June_09_10 _ISL_conso_November_10_11 2" xfId="1421" xr:uid="{00000000-0005-0000-0000-00008D050000}"/>
    <cellStyle name="_Book1_IFSL_Dec_07_08_IBFSL_Conso_June_09_10 _ISL_conso_October_10_11" xfId="1422" xr:uid="{00000000-0005-0000-0000-00008E050000}"/>
    <cellStyle name="_Book1_IFSL_Dec_07_08_IBFSL_Conso_June_09_10 _ISL_conso_October_10_11 2" xfId="1423" xr:uid="{00000000-0005-0000-0000-00008F050000}"/>
    <cellStyle name="_Book1_IFSL_Dec_07_08_IBFSL_Conso_June_09_10 _ISL_conso_September_10_11" xfId="1424" xr:uid="{00000000-0005-0000-0000-000090050000}"/>
    <cellStyle name="_Book1_IFSL_Dec_07_08_IBFSL_Conso_June_09_10 _ISL_conso_September_10_11 2" xfId="1425" xr:uid="{00000000-0005-0000-0000-000091050000}"/>
    <cellStyle name="_Book1_IFSL_Dec_07_08_IBFSL_Conso_June_09_10 _ISL_June_10" xfId="1426" xr:uid="{00000000-0005-0000-0000-000092050000}"/>
    <cellStyle name="_Book1_IFSL_Dec_07_08_IBFSL_Conso_June_09_10 _ISL_June_10 2" xfId="1427" xr:uid="{00000000-0005-0000-0000-000093050000}"/>
    <cellStyle name="_Book1_IFSL_Dec_07_08_IBFSL_Conso_June_09_10 _Results" xfId="1428" xr:uid="{00000000-0005-0000-0000-000094050000}"/>
    <cellStyle name="_Book1_IFSL_Dec_07_08_IBFSL_Conso_June_09_10 _Results 2" xfId="1429" xr:uid="{00000000-0005-0000-0000-000095050000}"/>
    <cellStyle name="_Book1_IFSL_Dec_07_08_IBFSL_Conso_June_09_10 _Xl0000012" xfId="1430" xr:uid="{00000000-0005-0000-0000-000096050000}"/>
    <cellStyle name="_Book1_IFSL_Dec_07_08_IBFSL_Conso_June_09_10 _Xl0000012 2" xfId="1431" xr:uid="{00000000-0005-0000-0000-000097050000}"/>
    <cellStyle name="_Book1_IFSL_Dec_07_08_IBLIC_BS  Final working -New_Format_31.03 V5" xfId="1432" xr:uid="{00000000-0005-0000-0000-000098050000}"/>
    <cellStyle name="_Book1_IFSL_Dec_07_08_Ibulls BS Final woirking -New format_31.03 V5" xfId="1433" xr:uid="{00000000-0005-0000-0000-000099050000}"/>
    <cellStyle name="_Book1_IFSL_Dec_07_08_IbullsSales_3009V3 (3)" xfId="1434" xr:uid="{00000000-0005-0000-0000-00009A050000}"/>
    <cellStyle name="_Book1_IFSL_Dec_07_08_IbullsSales_3103" xfId="1435" xr:uid="{00000000-0005-0000-0000-00009B050000}"/>
    <cellStyle name="_Book1_IFSL_Dec_07_08_IbullsSales_3103 V2" xfId="1436" xr:uid="{00000000-0005-0000-0000-00009C050000}"/>
    <cellStyle name="_Book1_IFSL_Dec_07_08_IbullsSales_3103 V5" xfId="1437" xr:uid="{00000000-0005-0000-0000-00009D050000}"/>
    <cellStyle name="_Book1_IFSL_Dec_07_08_ICAL-BS Final Working _New format" xfId="1438" xr:uid="{00000000-0005-0000-0000-00009E050000}"/>
    <cellStyle name="_Book1_IFSL_Dec_07_08_ICL_BS_30.06.2009" xfId="1439" xr:uid="{00000000-0005-0000-0000-00009F050000}"/>
    <cellStyle name="_Book1_IFSL_Dec_07_08_ICPL_BS_31.03.2009_new" xfId="1440" xr:uid="{00000000-0005-0000-0000-0000A0050000}"/>
    <cellStyle name="_Book1_IFSL_Dec_07_08_ICPL_BS_31.03.2009_new_ISL__3CD_FY2010-11" xfId="1441" xr:uid="{00000000-0005-0000-0000-0000A1050000}"/>
    <cellStyle name="_Book1_IFSL_Dec_07_08_IFCPL 31 03 2010 VER6 Final" xfId="1442" xr:uid="{00000000-0005-0000-0000-0000A2050000}"/>
    <cellStyle name="_Book1_IFSL_Dec_07_08_IHFL_September_30_2010 VERSION 10" xfId="1443" xr:uid="{00000000-0005-0000-0000-0000A3050000}"/>
    <cellStyle name="_Book1_IFSL_Dec_07_08_IICL_March'11" xfId="1444" xr:uid="{00000000-0005-0000-0000-0000A4050000}"/>
    <cellStyle name="_Book1_IFSL_Dec_07_08_Indiabulls Asset Management Company Limited printable" xfId="1445" xr:uid="{00000000-0005-0000-0000-0000A5050000}"/>
    <cellStyle name="_Book1_IFSL_Dec_07_08_ISL June 09" xfId="1446" xr:uid="{00000000-0005-0000-0000-0000A6050000}"/>
    <cellStyle name="_Book1_IFSL_Dec_07_08_ISL June 09 2" xfId="1447" xr:uid="{00000000-0005-0000-0000-0000A7050000}"/>
    <cellStyle name="_Book1_IFSL_Dec_07_08_ISL June 09_ISL__3CD_FY2010-11" xfId="1448" xr:uid="{00000000-0005-0000-0000-0000A8050000}"/>
    <cellStyle name="_Book1_IFSL_Dec_07_08_ISL Rev" xfId="1449" xr:uid="{00000000-0005-0000-0000-0000A9050000}"/>
    <cellStyle name="_Book1_IFSL_Dec_07_08_ISL Rev 2" xfId="1450" xr:uid="{00000000-0005-0000-0000-0000AA050000}"/>
    <cellStyle name="_Book1_IFSL_Dec_07_08_ISL Rev_ISL__3CD_FY2010-11" xfId="1451" xr:uid="{00000000-0005-0000-0000-0000AB050000}"/>
    <cellStyle name="_Book1_IFSL_Dec_07_08_ISL Rev_Results" xfId="1452" xr:uid="{00000000-0005-0000-0000-0000AC050000}"/>
    <cellStyle name="_Book1_IFSL_Dec_07_08_ISL Rev_Results 2" xfId="1453" xr:uid="{00000000-0005-0000-0000-0000AD050000}"/>
    <cellStyle name="_Book1_IFSL_Dec_07_08_ISL Rev_Xl0000012" xfId="1454" xr:uid="{00000000-0005-0000-0000-0000AE050000}"/>
    <cellStyle name="_Book1_IFSL_Dec_07_08_ISL Rev_Xl0000012 2" xfId="1455" xr:uid="{00000000-0005-0000-0000-0000AF050000}"/>
    <cellStyle name="_Book1_IFSL_Dec_07_08_ISL_BS_03.03.2009" xfId="1456" xr:uid="{00000000-0005-0000-0000-0000B0050000}"/>
    <cellStyle name="_Book1_IFSL_Dec_07_08_ISL_BS_03.03.2009 2" xfId="1457" xr:uid="{00000000-0005-0000-0000-0000B1050000}"/>
    <cellStyle name="_Book1_IFSL_Dec_07_08_ISL_BS_03.03.2009_ISL__3CD_FY2010-11" xfId="1458" xr:uid="{00000000-0005-0000-0000-0000B2050000}"/>
    <cellStyle name="_Book1_IFSL_Dec_07_08_ISL_BS_08.03.2009" xfId="1459" xr:uid="{00000000-0005-0000-0000-0000B3050000}"/>
    <cellStyle name="_Book1_IFSL_Dec_07_08_ISL_BS_08.03.2009 2" xfId="1460" xr:uid="{00000000-0005-0000-0000-0000B4050000}"/>
    <cellStyle name="_Book1_IFSL_Dec_07_08_ISL_BS_08.03.2009_ISL__3CD_FY2010-11" xfId="1461" xr:uid="{00000000-0005-0000-0000-0000B5050000}"/>
    <cellStyle name="_Book1_IFSL_Dec_07_08_ISL_BS_15.03.2009" xfId="1462" xr:uid="{00000000-0005-0000-0000-0000B6050000}"/>
    <cellStyle name="_Book1_IFSL_Dec_07_08_ISL_BS_15.03.2009 2" xfId="1463" xr:uid="{00000000-0005-0000-0000-0000B7050000}"/>
    <cellStyle name="_Book1_IFSL_Dec_07_08_ISL_BS_15.03.2009_ISL__3CD_FY2010-11" xfId="1464" xr:uid="{00000000-0005-0000-0000-0000B8050000}"/>
    <cellStyle name="_Book1_IFSL_Dec_07_08_ISL_BS_2008-09- First Cut" xfId="1465" xr:uid="{00000000-0005-0000-0000-0000B9050000}"/>
    <cellStyle name="_Book1_IFSL_Dec_07_08_ISL_BS_2008-09- First Cut 2" xfId="1466" xr:uid="{00000000-0005-0000-0000-0000BA050000}"/>
    <cellStyle name="_Book1_IFSL_Dec_07_08_ISL_BS_2008-09- First Cut_ISL__3CD_FY2010-11" xfId="1467" xr:uid="{00000000-0005-0000-0000-0000BB050000}"/>
    <cellStyle name="_Book1_IFSL_Dec_07_08_ISL_BS_21.09.2009" xfId="1468" xr:uid="{00000000-0005-0000-0000-0000BC050000}"/>
    <cellStyle name="_Book1_IFSL_Dec_07_08_ISL_BS_21.09.2009 2" xfId="1469" xr:uid="{00000000-0005-0000-0000-0000BD050000}"/>
    <cellStyle name="_Book1_IFSL_Dec_07_08_ISL_BS_23.02.2009" xfId="1470" xr:uid="{00000000-0005-0000-0000-0000BE050000}"/>
    <cellStyle name="_Book1_IFSL_Dec_07_08_ISL_BS_23.02.2009 2" xfId="1471" xr:uid="{00000000-0005-0000-0000-0000BF050000}"/>
    <cellStyle name="_Book1_IFSL_Dec_07_08_ISL_BS_23.02.2009_ISL__3CD_FY2010-11" xfId="1472" xr:uid="{00000000-0005-0000-0000-0000C0050000}"/>
    <cellStyle name="_Book1_IFSL_Dec_07_08_ISL_BS_24.02.2009" xfId="1473" xr:uid="{00000000-0005-0000-0000-0000C1050000}"/>
    <cellStyle name="_Book1_IFSL_Dec_07_08_ISL_BS_24.02.2009 2" xfId="1474" xr:uid="{00000000-0005-0000-0000-0000C2050000}"/>
    <cellStyle name="_Book1_IFSL_Dec_07_08_ISL_BS_24.02.2009_ISL__3CD_FY2010-11" xfId="1475" xr:uid="{00000000-0005-0000-0000-0000C3050000}"/>
    <cellStyle name="_Book1_IFSL_Dec_07_08_ISL_BS_Aug 09" xfId="1476" xr:uid="{00000000-0005-0000-0000-0000C4050000}"/>
    <cellStyle name="_Book1_IFSL_Dec_07_08_ISL_BS_Aug 09 2" xfId="1477" xr:uid="{00000000-0005-0000-0000-0000C5050000}"/>
    <cellStyle name="_Book1_IFSL_Dec_07_08_ISL_BS_Aug 09.z" xfId="1478" xr:uid="{00000000-0005-0000-0000-0000C6050000}"/>
    <cellStyle name="_Book1_IFSL_Dec_07_08_ISL_BS_Aug 09.z 2" xfId="1479" xr:uid="{00000000-0005-0000-0000-0000C7050000}"/>
    <cellStyle name="_Book1_IFSL_Dec_07_08_ISL_BS_Aug 09.z_ISL__3CD_FY2010-11" xfId="1480" xr:uid="{00000000-0005-0000-0000-0000C8050000}"/>
    <cellStyle name="_Book1_IFSL_Dec_07_08_ISL_BS_Aug 09_ISL__3CD_FY2010-11" xfId="1481" xr:uid="{00000000-0005-0000-0000-0000C9050000}"/>
    <cellStyle name="_Book1_IFSL_Dec_07_08_ISL_Conso_09_10_Other working" xfId="1482" xr:uid="{00000000-0005-0000-0000-0000CA050000}"/>
    <cellStyle name="_Book1_IFSL_Dec_07_08_ISL_Conso_09_10_Other working 2" xfId="1483" xr:uid="{00000000-0005-0000-0000-0000CB050000}"/>
    <cellStyle name="_Book1_IFSL_Dec_07_08_ISL_conso_August_09_10" xfId="1484" xr:uid="{00000000-0005-0000-0000-0000CC050000}"/>
    <cellStyle name="_Book1_IFSL_Dec_07_08_ISL_conso_August_09_10 2" xfId="1485" xr:uid="{00000000-0005-0000-0000-0000CD050000}"/>
    <cellStyle name="_Book1_IFSL_Dec_07_08_ISL_conso_August_09_10_ISL__3CD_FY2010-11" xfId="1486" xr:uid="{00000000-0005-0000-0000-0000CE050000}"/>
    <cellStyle name="_Book1_IFSL_Dec_07_08_ISL_conso_August_10_11" xfId="1487" xr:uid="{00000000-0005-0000-0000-0000CF050000}"/>
    <cellStyle name="_Book1_IFSL_Dec_07_08_ISL_conso_August_10_11 2" xfId="1488" xr:uid="{00000000-0005-0000-0000-0000D0050000}"/>
    <cellStyle name="_Book1_IFSL_Dec_07_08_ISL_conso_December_08_09" xfId="1489" xr:uid="{00000000-0005-0000-0000-0000D1050000}"/>
    <cellStyle name="_Book1_IFSL_Dec_07_08_ISL_conso_December_08_09 2" xfId="1490" xr:uid="{00000000-0005-0000-0000-0000D2050000}"/>
    <cellStyle name="_Book1_IFSL_Dec_07_08_ISL_conso_December_08_09_ISL__3CD_FY2010-11" xfId="1491" xr:uid="{00000000-0005-0000-0000-0000D3050000}"/>
    <cellStyle name="_Book1_IFSL_Dec_07_08_ISL_conso_December_08_09_Results" xfId="1492" xr:uid="{00000000-0005-0000-0000-0000D4050000}"/>
    <cellStyle name="_Book1_IFSL_Dec_07_08_ISL_conso_December_08_09_Results 2" xfId="1493" xr:uid="{00000000-0005-0000-0000-0000D5050000}"/>
    <cellStyle name="_Book1_IFSL_Dec_07_08_ISL_conso_December_08_09_Xl0000012" xfId="1494" xr:uid="{00000000-0005-0000-0000-0000D6050000}"/>
    <cellStyle name="_Book1_IFSL_Dec_07_08_ISL_conso_December_08_09_Xl0000012 2" xfId="1495" xr:uid="{00000000-0005-0000-0000-0000D7050000}"/>
    <cellStyle name="_Book1_IFSL_Dec_07_08_ISL_conso_December_09_10" xfId="1496" xr:uid="{00000000-0005-0000-0000-0000D8050000}"/>
    <cellStyle name="_Book1_IFSL_Dec_07_08_ISL_conso_December_09_10 2" xfId="1497" xr:uid="{00000000-0005-0000-0000-0000D9050000}"/>
    <cellStyle name="_Book1_IFSL_Dec_07_08_ISL_conso_December_09_10_ISL__3CD_FY2010-11" xfId="1498" xr:uid="{00000000-0005-0000-0000-0000DA050000}"/>
    <cellStyle name="_Book1_IFSL_Dec_07_08_ISL_conso_December_10_11" xfId="1499" xr:uid="{00000000-0005-0000-0000-0000DB050000}"/>
    <cellStyle name="_Book1_IFSL_Dec_07_08_ISL_conso_December_10_11 2" xfId="1500" xr:uid="{00000000-0005-0000-0000-0000DC050000}"/>
    <cellStyle name="_Book1_IFSL_Dec_07_08_ISL_conso_February_09_10" xfId="1501" xr:uid="{00000000-0005-0000-0000-0000DD050000}"/>
    <cellStyle name="_Book1_IFSL_Dec_07_08_ISL_conso_February_09_10 2" xfId="1502" xr:uid="{00000000-0005-0000-0000-0000DE050000}"/>
    <cellStyle name="_Book1_IFSL_Dec_07_08_ISL_conso_January_09_10" xfId="1503" xr:uid="{00000000-0005-0000-0000-0000DF050000}"/>
    <cellStyle name="_Book1_IFSL_Dec_07_08_ISL_conso_January_09_10 2" xfId="1504" xr:uid="{00000000-0005-0000-0000-0000E0050000}"/>
    <cellStyle name="_Book1_IFSL_Dec_07_08_ISL_conso_July_08_09" xfId="1505" xr:uid="{00000000-0005-0000-0000-0000E1050000}"/>
    <cellStyle name="_Book1_IFSL_Dec_07_08_ISL_conso_July_08_09 2" xfId="1506" xr:uid="{00000000-0005-0000-0000-0000E2050000}"/>
    <cellStyle name="_Book1_IFSL_Dec_07_08_ISL_conso_July_08_09_ISL__3CD_FY2010-11" xfId="1507" xr:uid="{00000000-0005-0000-0000-0000E3050000}"/>
    <cellStyle name="_Book1_IFSL_Dec_07_08_ISL_conso_July_08_09_Results" xfId="1508" xr:uid="{00000000-0005-0000-0000-0000E4050000}"/>
    <cellStyle name="_Book1_IFSL_Dec_07_08_ISL_conso_July_08_09_Results 2" xfId="1509" xr:uid="{00000000-0005-0000-0000-0000E5050000}"/>
    <cellStyle name="_Book1_IFSL_Dec_07_08_ISL_conso_July_08_09_Xl0000012" xfId="1510" xr:uid="{00000000-0005-0000-0000-0000E6050000}"/>
    <cellStyle name="_Book1_IFSL_Dec_07_08_ISL_conso_July_08_09_Xl0000012 2" xfId="1511" xr:uid="{00000000-0005-0000-0000-0000E7050000}"/>
    <cellStyle name="_Book1_IFSL_Dec_07_08_ISL_conso_July_09_10" xfId="1512" xr:uid="{00000000-0005-0000-0000-0000E8050000}"/>
    <cellStyle name="_Book1_IFSL_Dec_07_08_ISL_conso_July_09_10 2" xfId="1513" xr:uid="{00000000-0005-0000-0000-0000E9050000}"/>
    <cellStyle name="_Book1_IFSL_Dec_07_08_ISL_conso_July_09_10_ISL__3CD_FY2010-11" xfId="1514" xr:uid="{00000000-0005-0000-0000-0000EA050000}"/>
    <cellStyle name="_Book1_IFSL_Dec_07_08_ISL_conso_July_10_11" xfId="1515" xr:uid="{00000000-0005-0000-0000-0000EB050000}"/>
    <cellStyle name="_Book1_IFSL_Dec_07_08_ISL_conso_July_10_11 2" xfId="1516" xr:uid="{00000000-0005-0000-0000-0000EC050000}"/>
    <cellStyle name="_Book1_IFSL_Dec_07_08_ISL_conso_June_09_10" xfId="1517" xr:uid="{00000000-0005-0000-0000-0000ED050000}"/>
    <cellStyle name="_Book1_IFSL_Dec_07_08_ISL_conso_June_09_10 2" xfId="1518" xr:uid="{00000000-0005-0000-0000-0000EE050000}"/>
    <cellStyle name="_Book1_IFSL_Dec_07_08_ISL_conso_June_09_10_ISL__3CD_FY2010-11" xfId="1519" xr:uid="{00000000-0005-0000-0000-0000EF050000}"/>
    <cellStyle name="_Book1_IFSL_Dec_07_08_ISL_conso_June_10_11" xfId="1520" xr:uid="{00000000-0005-0000-0000-0000F0050000}"/>
    <cellStyle name="_Book1_IFSL_Dec_07_08_ISL_conso_June_10_11 2" xfId="1521" xr:uid="{00000000-0005-0000-0000-0000F1050000}"/>
    <cellStyle name="_Book1_IFSL_Dec_07_08_ISL_conso_March_08_09" xfId="1522" xr:uid="{00000000-0005-0000-0000-0000F2050000}"/>
    <cellStyle name="_Book1_IFSL_Dec_07_08_ISL_conso_March_08_09 2" xfId="1523" xr:uid="{00000000-0005-0000-0000-0000F3050000}"/>
    <cellStyle name="_Book1_IFSL_Dec_07_08_ISL_conso_March_08_09_ISL__3CD_FY2010-11" xfId="1524" xr:uid="{00000000-0005-0000-0000-0000F4050000}"/>
    <cellStyle name="_Book1_IFSL_Dec_07_08_ISL_conso_March_09_10" xfId="1525" xr:uid="{00000000-0005-0000-0000-0000F5050000}"/>
    <cellStyle name="_Book1_IFSL_Dec_07_08_ISL_conso_March_09_10 2" xfId="1526" xr:uid="{00000000-0005-0000-0000-0000F6050000}"/>
    <cellStyle name="_Book1_IFSL_Dec_07_08_ISL_conso_May_09_10" xfId="1527" xr:uid="{00000000-0005-0000-0000-0000F7050000}"/>
    <cellStyle name="_Book1_IFSL_Dec_07_08_ISL_conso_May_09_10 2" xfId="1528" xr:uid="{00000000-0005-0000-0000-0000F8050000}"/>
    <cellStyle name="_Book1_IFSL_Dec_07_08_ISL_conso_May_09_10_ISL__3CD_FY2010-11" xfId="1529" xr:uid="{00000000-0005-0000-0000-0000F9050000}"/>
    <cellStyle name="_Book1_IFSL_Dec_07_08_ISL_conso_May_10_11" xfId="1530" xr:uid="{00000000-0005-0000-0000-0000FA050000}"/>
    <cellStyle name="_Book1_IFSL_Dec_07_08_ISL_conso_May_10_11 2" xfId="1531" xr:uid="{00000000-0005-0000-0000-0000FB050000}"/>
    <cellStyle name="_Book1_IFSL_Dec_07_08_ISL_conso_November_09_10" xfId="1532" xr:uid="{00000000-0005-0000-0000-0000FC050000}"/>
    <cellStyle name="_Book1_IFSL_Dec_07_08_ISL_conso_November_09_10 2" xfId="1533" xr:uid="{00000000-0005-0000-0000-0000FD050000}"/>
    <cellStyle name="_Book1_IFSL_Dec_07_08_ISL_conso_November_09_10_ISL__3CD_FY2010-11" xfId="1534" xr:uid="{00000000-0005-0000-0000-0000FE050000}"/>
    <cellStyle name="_Book1_IFSL_Dec_07_08_ISL_conso_November_10_11" xfId="1535" xr:uid="{00000000-0005-0000-0000-0000FF050000}"/>
    <cellStyle name="_Book1_IFSL_Dec_07_08_ISL_conso_November_10_11 2" xfId="1536" xr:uid="{00000000-0005-0000-0000-000000060000}"/>
    <cellStyle name="_Book1_IFSL_Dec_07_08_ISL_conso_October_09_10" xfId="1537" xr:uid="{00000000-0005-0000-0000-000001060000}"/>
    <cellStyle name="_Book1_IFSL_Dec_07_08_ISL_conso_October_09_10 2" xfId="1538" xr:uid="{00000000-0005-0000-0000-000002060000}"/>
    <cellStyle name="_Book1_IFSL_Dec_07_08_ISL_conso_October_09_10_ISL__3CD_FY2010-11" xfId="1539" xr:uid="{00000000-0005-0000-0000-000003060000}"/>
    <cellStyle name="_Book1_IFSL_Dec_07_08_ISL_conso_October_10_11" xfId="1540" xr:uid="{00000000-0005-0000-0000-000004060000}"/>
    <cellStyle name="_Book1_IFSL_Dec_07_08_ISL_conso_October_10_11 2" xfId="1541" xr:uid="{00000000-0005-0000-0000-000005060000}"/>
    <cellStyle name="_Book1_IFSL_Dec_07_08_ISL_conso_September_08_09" xfId="1542" xr:uid="{00000000-0005-0000-0000-000006060000}"/>
    <cellStyle name="_Book1_IFSL_Dec_07_08_ISL_conso_September_08_09 2" xfId="1543" xr:uid="{00000000-0005-0000-0000-000007060000}"/>
    <cellStyle name="_Book1_IFSL_Dec_07_08_ISL_conso_September_08_09_ISL__3CD_FY2010-11" xfId="1544" xr:uid="{00000000-0005-0000-0000-000008060000}"/>
    <cellStyle name="_Book1_IFSL_Dec_07_08_ISL_conso_September_08_09_Results" xfId="1545" xr:uid="{00000000-0005-0000-0000-000009060000}"/>
    <cellStyle name="_Book1_IFSL_Dec_07_08_ISL_conso_September_08_09_Results 2" xfId="1546" xr:uid="{00000000-0005-0000-0000-00000A060000}"/>
    <cellStyle name="_Book1_IFSL_Dec_07_08_ISL_conso_September_08_09_Xl0000012" xfId="1547" xr:uid="{00000000-0005-0000-0000-00000B060000}"/>
    <cellStyle name="_Book1_IFSL_Dec_07_08_ISL_conso_September_08_09_Xl0000012 2" xfId="1548" xr:uid="{00000000-0005-0000-0000-00000C060000}"/>
    <cellStyle name="_Book1_IFSL_Dec_07_08_ISL_conso_September_09_10" xfId="1549" xr:uid="{00000000-0005-0000-0000-00000D060000}"/>
    <cellStyle name="_Book1_IFSL_Dec_07_08_ISL_conso_September_09_10 2" xfId="1550" xr:uid="{00000000-0005-0000-0000-00000E060000}"/>
    <cellStyle name="_Book1_IFSL_Dec_07_08_ISL_conso_September_09_10_ISL__3CD_FY2010-11" xfId="1551" xr:uid="{00000000-0005-0000-0000-00000F060000}"/>
    <cellStyle name="_Book1_IFSL_Dec_07_08_ISL_conso_September_10_11" xfId="1552" xr:uid="{00000000-0005-0000-0000-000010060000}"/>
    <cellStyle name="_Book1_IFSL_Dec_07_08_ISL_conso_September_10_11 2" xfId="1553" xr:uid="{00000000-0005-0000-0000-000011060000}"/>
    <cellStyle name="_Book1_IFSL_Dec_07_08_ISL_June_10" xfId="1554" xr:uid="{00000000-0005-0000-0000-000012060000}"/>
    <cellStyle name="_Book1_IFSL_Dec_07_08_ISL_June_10 2" xfId="1555" xr:uid="{00000000-0005-0000-0000-000013060000}"/>
    <cellStyle name="_Book1_IFSL_Dec_07_08_ISL_March_08_09.final_11.12.2009" xfId="1556" xr:uid="{00000000-0005-0000-0000-000014060000}"/>
    <cellStyle name="_Book1_IFSL_Dec_07_08_ISL_March_08_09.final_11.12.2009_ISL__3CD_FY2010-11" xfId="1557" xr:uid="{00000000-0005-0000-0000-000015060000}"/>
    <cellStyle name="_Book1_IFSL_Dec_07_08_ITCL_BS working _New format_31.03 V7" xfId="1558" xr:uid="{00000000-0005-0000-0000-000016060000}"/>
    <cellStyle name="_Book1_IFSL_Dec_07_08_ITCL-New format_31.03 V6" xfId="1559" xr:uid="{00000000-0005-0000-0000-000017060000}"/>
    <cellStyle name="_Book1_IFSL_Dec_07_08_ITR6_2009_10_ICPL1" xfId="1560" xr:uid="{00000000-0005-0000-0000-000018060000}"/>
    <cellStyle name="_Book1_IFSL_Dec_07_08_ITR6_2009_10_ICPL1_ISL__3CD_FY2010-11" xfId="1561" xr:uid="{00000000-0005-0000-0000-000019060000}"/>
    <cellStyle name="_Book1_IFSL_Dec_07_08_ITR6_2009_10_ISL_Vivek" xfId="1562" xr:uid="{00000000-0005-0000-0000-00001A060000}"/>
    <cellStyle name="_Book1_IFSL_Dec_07_08_ITR6_2009_10_ISL_Vivek_ISL__3CD_FY2010-11" xfId="1563" xr:uid="{00000000-0005-0000-0000-00001B060000}"/>
    <cellStyle name="_Book1_IFSL_Dec_07_08_loan" xfId="1564" xr:uid="{00000000-0005-0000-0000-00001C060000}"/>
    <cellStyle name="_Book1_IFSL_Dec_07_08_loan_ISL__3CD_FY2010-11" xfId="1565" xr:uid="{00000000-0005-0000-0000-00001D060000}"/>
    <cellStyle name="_Book1_IFSL_Dec_07_08_Provision for Exp - FY 0809" xfId="1566" xr:uid="{00000000-0005-0000-0000-00001E060000}"/>
    <cellStyle name="_Book1_IFSL_Dec_07_08_Provision for Exp - FY 0809_ISL__3CD_FY2010-11" xfId="1567" xr:uid="{00000000-0005-0000-0000-00001F060000}"/>
    <cellStyle name="_Book1_IFSL_Dec_07_08_Result" xfId="1568" xr:uid="{00000000-0005-0000-0000-000020060000}"/>
    <cellStyle name="_Book1_IFSL_Dec_07_08_Result 2" xfId="1569" xr:uid="{00000000-0005-0000-0000-000021060000}"/>
    <cellStyle name="_Book1_IFSL_Dec_07_08_Results" xfId="1570" xr:uid="{00000000-0005-0000-0000-000022060000}"/>
    <cellStyle name="_Book1_IFSL_Dec_07_08_Results 2" xfId="1571" xr:uid="{00000000-0005-0000-0000-000023060000}"/>
    <cellStyle name="_Book1_IFSL_Dec_07_08_Standalone Financials - March 31, 2010 - Printable" xfId="1572" xr:uid="{00000000-0005-0000-0000-000024060000}"/>
    <cellStyle name="_Book1_IFSL_Dec_07_08_Standalone Financials - March 31, 2010 - Printable_ISL__3CD_FY2010-11" xfId="1573" xr:uid="{00000000-0005-0000-0000-000025060000}"/>
    <cellStyle name="_Book1_IFSL_Dec_07_08_Xl0000012" xfId="1574" xr:uid="{00000000-0005-0000-0000-000026060000}"/>
    <cellStyle name="_Book1_IFSL_Dec_07_08_Xl0000012 2" xfId="1575" xr:uid="{00000000-0005-0000-0000-000027060000}"/>
    <cellStyle name="_Book1_IFSL_Dec_07_08_Xl0000013" xfId="1576" xr:uid="{00000000-0005-0000-0000-000028060000}"/>
    <cellStyle name="_Book1_IFSL_January_07_08" xfId="1577" xr:uid="{00000000-0005-0000-0000-000029060000}"/>
    <cellStyle name="_Book1_IFSL_January_07_08 10" xfId="1578" xr:uid="{00000000-0005-0000-0000-00002A060000}"/>
    <cellStyle name="_Book1_IFSL_January_07_08 10 2" xfId="1579" xr:uid="{00000000-0005-0000-0000-00002B060000}"/>
    <cellStyle name="_Book1_IFSL_January_07_08 11" xfId="1580" xr:uid="{00000000-0005-0000-0000-00002C060000}"/>
    <cellStyle name="_Book1_IFSL_January_07_08 11 2" xfId="1581" xr:uid="{00000000-0005-0000-0000-00002D060000}"/>
    <cellStyle name="_Book1_IFSL_January_07_08 12" xfId="1582" xr:uid="{00000000-0005-0000-0000-00002E060000}"/>
    <cellStyle name="_Book1_IFSL_January_07_08 12 2" xfId="1583" xr:uid="{00000000-0005-0000-0000-00002F060000}"/>
    <cellStyle name="_Book1_IFSL_January_07_08 13" xfId="1584" xr:uid="{00000000-0005-0000-0000-000030060000}"/>
    <cellStyle name="_Book1_IFSL_January_07_08 13 2" xfId="1585" xr:uid="{00000000-0005-0000-0000-000031060000}"/>
    <cellStyle name="_Book1_IFSL_January_07_08 14" xfId="1586" xr:uid="{00000000-0005-0000-0000-000032060000}"/>
    <cellStyle name="_Book1_IFSL_January_07_08 14 2" xfId="1587" xr:uid="{00000000-0005-0000-0000-000033060000}"/>
    <cellStyle name="_Book1_IFSL_January_07_08 15" xfId="1588" xr:uid="{00000000-0005-0000-0000-000034060000}"/>
    <cellStyle name="_Book1_IFSL_January_07_08 15 2" xfId="1589" xr:uid="{00000000-0005-0000-0000-000035060000}"/>
    <cellStyle name="_Book1_IFSL_January_07_08 16" xfId="1590" xr:uid="{00000000-0005-0000-0000-000036060000}"/>
    <cellStyle name="_Book1_IFSL_January_07_08 16 2" xfId="1591" xr:uid="{00000000-0005-0000-0000-000037060000}"/>
    <cellStyle name="_Book1_IFSL_January_07_08 17" xfId="1592" xr:uid="{00000000-0005-0000-0000-000038060000}"/>
    <cellStyle name="_Book1_IFSL_January_07_08 17 2" xfId="1593" xr:uid="{00000000-0005-0000-0000-000039060000}"/>
    <cellStyle name="_Book1_IFSL_January_07_08 18" xfId="1594" xr:uid="{00000000-0005-0000-0000-00003A060000}"/>
    <cellStyle name="_Book1_IFSL_January_07_08 18 2" xfId="1595" xr:uid="{00000000-0005-0000-0000-00003B060000}"/>
    <cellStyle name="_Book1_IFSL_January_07_08 19" xfId="1596" xr:uid="{00000000-0005-0000-0000-00003C060000}"/>
    <cellStyle name="_Book1_IFSL_January_07_08 19 2" xfId="1597" xr:uid="{00000000-0005-0000-0000-00003D060000}"/>
    <cellStyle name="_Book1_IFSL_January_07_08 2" xfId="1598" xr:uid="{00000000-0005-0000-0000-00003E060000}"/>
    <cellStyle name="_Book1_IFSL_January_07_08 2 2" xfId="1599" xr:uid="{00000000-0005-0000-0000-00003F060000}"/>
    <cellStyle name="_Book1_IFSL_January_07_08 20" xfId="1600" xr:uid="{00000000-0005-0000-0000-000040060000}"/>
    <cellStyle name="_Book1_IFSL_January_07_08 21" xfId="1601" xr:uid="{00000000-0005-0000-0000-000041060000}"/>
    <cellStyle name="_Book1_IFSL_January_07_08 22" xfId="1602" xr:uid="{00000000-0005-0000-0000-000042060000}"/>
    <cellStyle name="_Book1_IFSL_January_07_08 23" xfId="1603" xr:uid="{00000000-0005-0000-0000-000043060000}"/>
    <cellStyle name="_Book1_IFSL_January_07_08 3" xfId="1604" xr:uid="{00000000-0005-0000-0000-000044060000}"/>
    <cellStyle name="_Book1_IFSL_January_07_08 3 2" xfId="1605" xr:uid="{00000000-0005-0000-0000-000045060000}"/>
    <cellStyle name="_Book1_IFSL_January_07_08 4" xfId="1606" xr:uid="{00000000-0005-0000-0000-000046060000}"/>
    <cellStyle name="_Book1_IFSL_January_07_08 4 2" xfId="1607" xr:uid="{00000000-0005-0000-0000-000047060000}"/>
    <cellStyle name="_Book1_IFSL_January_07_08 5" xfId="1608" xr:uid="{00000000-0005-0000-0000-000048060000}"/>
    <cellStyle name="_Book1_IFSL_January_07_08 5 2" xfId="1609" xr:uid="{00000000-0005-0000-0000-000049060000}"/>
    <cellStyle name="_Book1_IFSL_January_07_08 6" xfId="1610" xr:uid="{00000000-0005-0000-0000-00004A060000}"/>
    <cellStyle name="_Book1_IFSL_January_07_08 6 2" xfId="1611" xr:uid="{00000000-0005-0000-0000-00004B060000}"/>
    <cellStyle name="_Book1_IFSL_January_07_08 7" xfId="1612" xr:uid="{00000000-0005-0000-0000-00004C060000}"/>
    <cellStyle name="_Book1_IFSL_January_07_08 7 2" xfId="1613" xr:uid="{00000000-0005-0000-0000-00004D060000}"/>
    <cellStyle name="_Book1_IFSL_January_07_08 8" xfId="1614" xr:uid="{00000000-0005-0000-0000-00004E060000}"/>
    <cellStyle name="_Book1_IFSL_January_07_08 8 2" xfId="1615" xr:uid="{00000000-0005-0000-0000-00004F060000}"/>
    <cellStyle name="_Book1_IFSL_January_07_08 9" xfId="1616" xr:uid="{00000000-0005-0000-0000-000050060000}"/>
    <cellStyle name="_Book1_IFSL_January_07_08 9 2" xfId="1617" xr:uid="{00000000-0005-0000-0000-000051060000}"/>
    <cellStyle name="_Book1_IFSL_January_07_08_Book1" xfId="1618" xr:uid="{00000000-0005-0000-0000-000052060000}"/>
    <cellStyle name="_Book1_IFSL_January_07_08_Book1 (2)" xfId="1619" xr:uid="{00000000-0005-0000-0000-000053060000}"/>
    <cellStyle name="_Book1_IFSL_January_07_08_Book1 (2) 2" xfId="1620" xr:uid="{00000000-0005-0000-0000-000054060000}"/>
    <cellStyle name="_Book1_IFSL_January_07_08_Book1 10" xfId="1621" xr:uid="{00000000-0005-0000-0000-000055060000}"/>
    <cellStyle name="_Book1_IFSL_January_07_08_Book1 11" xfId="1622" xr:uid="{00000000-0005-0000-0000-000056060000}"/>
    <cellStyle name="_Book1_IFSL_January_07_08_Book1 2" xfId="1623" xr:uid="{00000000-0005-0000-0000-000057060000}"/>
    <cellStyle name="_Book1_IFSL_January_07_08_Book1 3" xfId="1624" xr:uid="{00000000-0005-0000-0000-000058060000}"/>
    <cellStyle name="_Book1_IFSL_January_07_08_Book1 4" xfId="1625" xr:uid="{00000000-0005-0000-0000-000059060000}"/>
    <cellStyle name="_Book1_IFSL_January_07_08_Book1 5" xfId="1626" xr:uid="{00000000-0005-0000-0000-00005A060000}"/>
    <cellStyle name="_Book1_IFSL_January_07_08_Book1 6" xfId="1627" xr:uid="{00000000-0005-0000-0000-00005B060000}"/>
    <cellStyle name="_Book1_IFSL_January_07_08_Book1 7" xfId="1628" xr:uid="{00000000-0005-0000-0000-00005C060000}"/>
    <cellStyle name="_Book1_IFSL_January_07_08_Book1 8" xfId="1629" xr:uid="{00000000-0005-0000-0000-00005D060000}"/>
    <cellStyle name="_Book1_IFSL_January_07_08_Book1 9" xfId="1630" xr:uid="{00000000-0005-0000-0000-00005E060000}"/>
    <cellStyle name="_Book1_IFSL_January_07_08_Book1_ISL__3CD_FY2010-11" xfId="1631" xr:uid="{00000000-0005-0000-0000-00005F060000}"/>
    <cellStyle name="_Book1_IFSL_January_07_08_Book2" xfId="1632" xr:uid="{00000000-0005-0000-0000-000060060000}"/>
    <cellStyle name="_Book1_IFSL_January_07_08_Book2 2" xfId="1633" xr:uid="{00000000-0005-0000-0000-000061060000}"/>
    <cellStyle name="_Book1_IFSL_January_07_08_Book2_ISL__3CD_FY2010-11" xfId="1634" xr:uid="{00000000-0005-0000-0000-000062060000}"/>
    <cellStyle name="_Book1_IFSL_January_07_08_Book4" xfId="1635" xr:uid="{00000000-0005-0000-0000-000063060000}"/>
    <cellStyle name="_Book1_IFSL_January_07_08_Book4 2" xfId="1636" xr:uid="{00000000-0005-0000-0000-000064060000}"/>
    <cellStyle name="_Book1_IFSL_January_07_08_Book4_ISL__3CD_FY2010-11" xfId="1637" xr:uid="{00000000-0005-0000-0000-000065060000}"/>
    <cellStyle name="_Book1_IFSL_January_07_08_IBFSL_Conso_June_09_10 " xfId="1638" xr:uid="{00000000-0005-0000-0000-000066060000}"/>
    <cellStyle name="_Book1_IFSL_January_07_08_IBFSL_Conso_June_09_10  2" xfId="1639" xr:uid="{00000000-0005-0000-0000-000067060000}"/>
    <cellStyle name="_Book1_IFSL_January_07_08_IBFSL_Conso_June_09_10 _Book1 (2)" xfId="1640" xr:uid="{00000000-0005-0000-0000-000068060000}"/>
    <cellStyle name="_Book1_IFSL_January_07_08_IBFSL_Conso_June_09_10 _Book1 (2) 2" xfId="1641" xr:uid="{00000000-0005-0000-0000-000069060000}"/>
    <cellStyle name="_Book1_IFSL_January_07_08_IBFSL_Conso_June_09_10 _ISL__3CD_FY2010-11" xfId="1642" xr:uid="{00000000-0005-0000-0000-00006A060000}"/>
    <cellStyle name="_Book1_IFSL_January_07_08_IBFSL_Conso_June_09_10 _ISL_Conso_09_10_Other working" xfId="1643" xr:uid="{00000000-0005-0000-0000-00006B060000}"/>
    <cellStyle name="_Book1_IFSL_January_07_08_IBFSL_Conso_June_09_10 _ISL_Conso_09_10_Other working 2" xfId="1644" xr:uid="{00000000-0005-0000-0000-00006C060000}"/>
    <cellStyle name="_Book1_IFSL_January_07_08_IBFSL_Conso_June_09_10 _ISL_Conso_09_10_Other working_Xl0000012" xfId="1645" xr:uid="{00000000-0005-0000-0000-00006D060000}"/>
    <cellStyle name="_Book1_IFSL_January_07_08_IBFSL_Conso_June_09_10 _ISL_Conso_09_10_Other working_Xl0000012 2" xfId="1646" xr:uid="{00000000-0005-0000-0000-00006E060000}"/>
    <cellStyle name="_Book1_IFSL_January_07_08_IBFSL_Conso_June_09_10 _ISL_conso_August_10_11" xfId="1647" xr:uid="{00000000-0005-0000-0000-00006F060000}"/>
    <cellStyle name="_Book1_IFSL_January_07_08_IBFSL_Conso_June_09_10 _ISL_conso_August_10_11 2" xfId="1648" xr:uid="{00000000-0005-0000-0000-000070060000}"/>
    <cellStyle name="_Book1_IFSL_January_07_08_IBFSL_Conso_June_09_10 _ISL_conso_December_10_11" xfId="1649" xr:uid="{00000000-0005-0000-0000-000071060000}"/>
    <cellStyle name="_Book1_IFSL_January_07_08_IBFSL_Conso_June_09_10 _ISL_conso_December_10_11 2" xfId="1650" xr:uid="{00000000-0005-0000-0000-000072060000}"/>
    <cellStyle name="_Book1_IFSL_January_07_08_IBFSL_Conso_June_09_10 _ISL_conso_July_10_11" xfId="1651" xr:uid="{00000000-0005-0000-0000-000073060000}"/>
    <cellStyle name="_Book1_IFSL_January_07_08_IBFSL_Conso_June_09_10 _ISL_conso_July_10_11 2" xfId="1652" xr:uid="{00000000-0005-0000-0000-000074060000}"/>
    <cellStyle name="_Book1_IFSL_January_07_08_IBFSL_Conso_June_09_10 _ISL_conso_June_10_11" xfId="1653" xr:uid="{00000000-0005-0000-0000-000075060000}"/>
    <cellStyle name="_Book1_IFSL_January_07_08_IBFSL_Conso_June_09_10 _ISL_conso_June_10_11 2" xfId="1654" xr:uid="{00000000-0005-0000-0000-000076060000}"/>
    <cellStyle name="_Book1_IFSL_January_07_08_IBFSL_Conso_June_09_10 _ISL_conso_March_09_10" xfId="1655" xr:uid="{00000000-0005-0000-0000-000077060000}"/>
    <cellStyle name="_Book1_IFSL_January_07_08_IBFSL_Conso_June_09_10 _ISL_conso_March_09_10 2" xfId="1656" xr:uid="{00000000-0005-0000-0000-000078060000}"/>
    <cellStyle name="_Book1_IFSL_January_07_08_IBFSL_Conso_June_09_10 _ISL_conso_March_09_10_Xl0000012" xfId="1657" xr:uid="{00000000-0005-0000-0000-000079060000}"/>
    <cellStyle name="_Book1_IFSL_January_07_08_IBFSL_Conso_June_09_10 _ISL_conso_March_09_10_Xl0000012 2" xfId="1658" xr:uid="{00000000-0005-0000-0000-00007A060000}"/>
    <cellStyle name="_Book1_IFSL_January_07_08_IBFSL_Conso_June_09_10 _ISL_conso_May_10_11" xfId="1659" xr:uid="{00000000-0005-0000-0000-00007B060000}"/>
    <cellStyle name="_Book1_IFSL_January_07_08_IBFSL_Conso_June_09_10 _ISL_conso_May_10_11 2" xfId="1660" xr:uid="{00000000-0005-0000-0000-00007C060000}"/>
    <cellStyle name="_Book1_IFSL_January_07_08_IBFSL_Conso_June_09_10 _ISL_conso_November_10_11" xfId="1661" xr:uid="{00000000-0005-0000-0000-00007D060000}"/>
    <cellStyle name="_Book1_IFSL_January_07_08_IBFSL_Conso_June_09_10 _ISL_conso_November_10_11 2" xfId="1662" xr:uid="{00000000-0005-0000-0000-00007E060000}"/>
    <cellStyle name="_Book1_IFSL_January_07_08_IBFSL_Conso_June_09_10 _ISL_conso_October_10_11" xfId="1663" xr:uid="{00000000-0005-0000-0000-00007F060000}"/>
    <cellStyle name="_Book1_IFSL_January_07_08_IBFSL_Conso_June_09_10 _ISL_conso_October_10_11 2" xfId="1664" xr:uid="{00000000-0005-0000-0000-000080060000}"/>
    <cellStyle name="_Book1_IFSL_January_07_08_IBFSL_Conso_June_09_10 _ISL_conso_September_10_11" xfId="1665" xr:uid="{00000000-0005-0000-0000-000081060000}"/>
    <cellStyle name="_Book1_IFSL_January_07_08_IBFSL_Conso_June_09_10 _ISL_conso_September_10_11 2" xfId="1666" xr:uid="{00000000-0005-0000-0000-000082060000}"/>
    <cellStyle name="_Book1_IFSL_January_07_08_IBFSL_Conso_June_09_10 _ISL_June_10" xfId="1667" xr:uid="{00000000-0005-0000-0000-000083060000}"/>
    <cellStyle name="_Book1_IFSL_January_07_08_IBFSL_Conso_June_09_10 _ISL_June_10 2" xfId="1668" xr:uid="{00000000-0005-0000-0000-000084060000}"/>
    <cellStyle name="_Book1_IFSL_January_07_08_IBFSL_Conso_June_09_10 _Results" xfId="1669" xr:uid="{00000000-0005-0000-0000-000085060000}"/>
    <cellStyle name="_Book1_IFSL_January_07_08_IBFSL_Conso_June_09_10 _Results 2" xfId="1670" xr:uid="{00000000-0005-0000-0000-000086060000}"/>
    <cellStyle name="_Book1_IFSL_January_07_08_IBFSL_Conso_June_09_10 _Xl0000012" xfId="1671" xr:uid="{00000000-0005-0000-0000-000087060000}"/>
    <cellStyle name="_Book1_IFSL_January_07_08_IBFSL_Conso_June_09_10 _Xl0000012 2" xfId="1672" xr:uid="{00000000-0005-0000-0000-000088060000}"/>
    <cellStyle name="_Book1_IFSL_January_07_08_IHFL_September_30_2010 VERSION 10" xfId="1673" xr:uid="{00000000-0005-0000-0000-000089060000}"/>
    <cellStyle name="_Book1_IFSL_January_07_08_ISL June 09" xfId="1674" xr:uid="{00000000-0005-0000-0000-00008A060000}"/>
    <cellStyle name="_Book1_IFSL_January_07_08_ISL June 09 2" xfId="1675" xr:uid="{00000000-0005-0000-0000-00008B060000}"/>
    <cellStyle name="_Book1_IFSL_January_07_08_ISL June 09_ISL__3CD_FY2010-11" xfId="1676" xr:uid="{00000000-0005-0000-0000-00008C060000}"/>
    <cellStyle name="_Book1_IFSL_January_07_08_ISL Rev" xfId="1677" xr:uid="{00000000-0005-0000-0000-00008D060000}"/>
    <cellStyle name="_Book1_IFSL_January_07_08_ISL Rev 2" xfId="1678" xr:uid="{00000000-0005-0000-0000-00008E060000}"/>
    <cellStyle name="_Book1_IFSL_January_07_08_ISL Rev_ISL__3CD_FY2010-11" xfId="1679" xr:uid="{00000000-0005-0000-0000-00008F060000}"/>
    <cellStyle name="_Book1_IFSL_January_07_08_ISL Rev_Results" xfId="1680" xr:uid="{00000000-0005-0000-0000-000090060000}"/>
    <cellStyle name="_Book1_IFSL_January_07_08_ISL Rev_Results 2" xfId="1681" xr:uid="{00000000-0005-0000-0000-000091060000}"/>
    <cellStyle name="_Book1_IFSL_January_07_08_ISL Rev_Xl0000012" xfId="1682" xr:uid="{00000000-0005-0000-0000-000092060000}"/>
    <cellStyle name="_Book1_IFSL_January_07_08_ISL Rev_Xl0000012 2" xfId="1683" xr:uid="{00000000-0005-0000-0000-000093060000}"/>
    <cellStyle name="_Book1_IFSL_January_07_08_ISL__3CD_FY2010-11" xfId="1684" xr:uid="{00000000-0005-0000-0000-000094060000}"/>
    <cellStyle name="_Book1_IFSL_January_07_08_ISL_BS_03.03.2009" xfId="1685" xr:uid="{00000000-0005-0000-0000-000095060000}"/>
    <cellStyle name="_Book1_IFSL_January_07_08_ISL_BS_03.03.2009 2" xfId="1686" xr:uid="{00000000-0005-0000-0000-000096060000}"/>
    <cellStyle name="_Book1_IFSL_January_07_08_ISL_BS_03.03.2009_ISL__3CD_FY2010-11" xfId="1687" xr:uid="{00000000-0005-0000-0000-000097060000}"/>
    <cellStyle name="_Book1_IFSL_January_07_08_ISL_BS_08.03.2009" xfId="1688" xr:uid="{00000000-0005-0000-0000-000098060000}"/>
    <cellStyle name="_Book1_IFSL_January_07_08_ISL_BS_08.03.2009 2" xfId="1689" xr:uid="{00000000-0005-0000-0000-000099060000}"/>
    <cellStyle name="_Book1_IFSL_January_07_08_ISL_BS_08.03.2009_ISL__3CD_FY2010-11" xfId="1690" xr:uid="{00000000-0005-0000-0000-00009A060000}"/>
    <cellStyle name="_Book1_IFSL_January_07_08_ISL_BS_15.03.2009" xfId="1691" xr:uid="{00000000-0005-0000-0000-00009B060000}"/>
    <cellStyle name="_Book1_IFSL_January_07_08_ISL_BS_15.03.2009 2" xfId="1692" xr:uid="{00000000-0005-0000-0000-00009C060000}"/>
    <cellStyle name="_Book1_IFSL_January_07_08_ISL_BS_15.03.2009_ISL__3CD_FY2010-11" xfId="1693" xr:uid="{00000000-0005-0000-0000-00009D060000}"/>
    <cellStyle name="_Book1_IFSL_January_07_08_ISL_BS_2008-09- First Cut" xfId="1694" xr:uid="{00000000-0005-0000-0000-00009E060000}"/>
    <cellStyle name="_Book1_IFSL_January_07_08_ISL_BS_2008-09- First Cut 2" xfId="1695" xr:uid="{00000000-0005-0000-0000-00009F060000}"/>
    <cellStyle name="_Book1_IFSL_January_07_08_ISL_BS_2008-09- First Cut_ISL__3CD_FY2010-11" xfId="1696" xr:uid="{00000000-0005-0000-0000-0000A0060000}"/>
    <cellStyle name="_Book1_IFSL_January_07_08_ISL_BS_21.09.2009" xfId="1697" xr:uid="{00000000-0005-0000-0000-0000A1060000}"/>
    <cellStyle name="_Book1_IFSL_January_07_08_ISL_BS_21.09.2009 2" xfId="1698" xr:uid="{00000000-0005-0000-0000-0000A2060000}"/>
    <cellStyle name="_Book1_IFSL_January_07_08_ISL_BS_23.02.2009" xfId="1699" xr:uid="{00000000-0005-0000-0000-0000A3060000}"/>
    <cellStyle name="_Book1_IFSL_January_07_08_ISL_BS_23.02.2009 2" xfId="1700" xr:uid="{00000000-0005-0000-0000-0000A4060000}"/>
    <cellStyle name="_Book1_IFSL_January_07_08_ISL_BS_23.02.2009_ISL__3CD_FY2010-11" xfId="1701" xr:uid="{00000000-0005-0000-0000-0000A5060000}"/>
    <cellStyle name="_Book1_IFSL_January_07_08_ISL_BS_24.02.2009" xfId="1702" xr:uid="{00000000-0005-0000-0000-0000A6060000}"/>
    <cellStyle name="_Book1_IFSL_January_07_08_ISL_BS_24.02.2009 2" xfId="1703" xr:uid="{00000000-0005-0000-0000-0000A7060000}"/>
    <cellStyle name="_Book1_IFSL_January_07_08_ISL_BS_24.02.2009_ISL__3CD_FY2010-11" xfId="1704" xr:uid="{00000000-0005-0000-0000-0000A8060000}"/>
    <cellStyle name="_Book1_IFSL_January_07_08_ISL_BS_Aug 09" xfId="1705" xr:uid="{00000000-0005-0000-0000-0000A9060000}"/>
    <cellStyle name="_Book1_IFSL_January_07_08_ISL_BS_Aug 09 2" xfId="1706" xr:uid="{00000000-0005-0000-0000-0000AA060000}"/>
    <cellStyle name="_Book1_IFSL_January_07_08_ISL_BS_Aug 09.z" xfId="1707" xr:uid="{00000000-0005-0000-0000-0000AB060000}"/>
    <cellStyle name="_Book1_IFSL_January_07_08_ISL_BS_Aug 09.z 2" xfId="1708" xr:uid="{00000000-0005-0000-0000-0000AC060000}"/>
    <cellStyle name="_Book1_IFSL_January_07_08_ISL_BS_Aug 09.z_ISL__3CD_FY2010-11" xfId="1709" xr:uid="{00000000-0005-0000-0000-0000AD060000}"/>
    <cellStyle name="_Book1_IFSL_January_07_08_ISL_BS_Aug 09_ISL__3CD_FY2010-11" xfId="1710" xr:uid="{00000000-0005-0000-0000-0000AE060000}"/>
    <cellStyle name="_Book1_IFSL_January_07_08_ISL_Conso_09_10_Other working" xfId="1711" xr:uid="{00000000-0005-0000-0000-0000AF060000}"/>
    <cellStyle name="_Book1_IFSL_January_07_08_ISL_Conso_09_10_Other working 2" xfId="1712" xr:uid="{00000000-0005-0000-0000-0000B0060000}"/>
    <cellStyle name="_Book1_IFSL_January_07_08_ISL_conso_August_09_10" xfId="1713" xr:uid="{00000000-0005-0000-0000-0000B1060000}"/>
    <cellStyle name="_Book1_IFSL_January_07_08_ISL_conso_August_09_10 2" xfId="1714" xr:uid="{00000000-0005-0000-0000-0000B2060000}"/>
    <cellStyle name="_Book1_IFSL_January_07_08_ISL_conso_August_09_10_ISL__3CD_FY2010-11" xfId="1715" xr:uid="{00000000-0005-0000-0000-0000B3060000}"/>
    <cellStyle name="_Book1_IFSL_January_07_08_ISL_conso_August_10_11" xfId="1716" xr:uid="{00000000-0005-0000-0000-0000B4060000}"/>
    <cellStyle name="_Book1_IFSL_January_07_08_ISL_conso_August_10_11 2" xfId="1717" xr:uid="{00000000-0005-0000-0000-0000B5060000}"/>
    <cellStyle name="_Book1_IFSL_January_07_08_ISL_conso_December_08_09" xfId="1718" xr:uid="{00000000-0005-0000-0000-0000B6060000}"/>
    <cellStyle name="_Book1_IFSL_January_07_08_ISL_conso_December_08_09 2" xfId="1719" xr:uid="{00000000-0005-0000-0000-0000B7060000}"/>
    <cellStyle name="_Book1_IFSL_January_07_08_ISL_conso_December_08_09_ISL__3CD_FY2010-11" xfId="1720" xr:uid="{00000000-0005-0000-0000-0000B8060000}"/>
    <cellStyle name="_Book1_IFSL_January_07_08_ISL_conso_December_08_09_Results" xfId="1721" xr:uid="{00000000-0005-0000-0000-0000B9060000}"/>
    <cellStyle name="_Book1_IFSL_January_07_08_ISL_conso_December_08_09_Results 2" xfId="1722" xr:uid="{00000000-0005-0000-0000-0000BA060000}"/>
    <cellStyle name="_Book1_IFSL_January_07_08_ISL_conso_December_08_09_Xl0000012" xfId="1723" xr:uid="{00000000-0005-0000-0000-0000BB060000}"/>
    <cellStyle name="_Book1_IFSL_January_07_08_ISL_conso_December_08_09_Xl0000012 2" xfId="1724" xr:uid="{00000000-0005-0000-0000-0000BC060000}"/>
    <cellStyle name="_Book1_IFSL_January_07_08_ISL_conso_December_09_10" xfId="1725" xr:uid="{00000000-0005-0000-0000-0000BD060000}"/>
    <cellStyle name="_Book1_IFSL_January_07_08_ISL_conso_December_09_10 2" xfId="1726" xr:uid="{00000000-0005-0000-0000-0000BE060000}"/>
    <cellStyle name="_Book1_IFSL_January_07_08_ISL_conso_December_09_10_ISL__3CD_FY2010-11" xfId="1727" xr:uid="{00000000-0005-0000-0000-0000BF060000}"/>
    <cellStyle name="_Book1_IFSL_January_07_08_ISL_conso_December_10_11" xfId="1728" xr:uid="{00000000-0005-0000-0000-0000C0060000}"/>
    <cellStyle name="_Book1_IFSL_January_07_08_ISL_conso_December_10_11 2" xfId="1729" xr:uid="{00000000-0005-0000-0000-0000C1060000}"/>
    <cellStyle name="_Book1_IFSL_January_07_08_ISL_conso_February_09_10" xfId="1730" xr:uid="{00000000-0005-0000-0000-0000C2060000}"/>
    <cellStyle name="_Book1_IFSL_January_07_08_ISL_conso_February_09_10 2" xfId="1731" xr:uid="{00000000-0005-0000-0000-0000C3060000}"/>
    <cellStyle name="_Book1_IFSL_January_07_08_ISL_conso_January_09_10" xfId="1732" xr:uid="{00000000-0005-0000-0000-0000C4060000}"/>
    <cellStyle name="_Book1_IFSL_January_07_08_ISL_conso_January_09_10 2" xfId="1733" xr:uid="{00000000-0005-0000-0000-0000C5060000}"/>
    <cellStyle name="_Book1_IFSL_January_07_08_ISL_conso_July_08_09" xfId="1734" xr:uid="{00000000-0005-0000-0000-0000C6060000}"/>
    <cellStyle name="_Book1_IFSL_January_07_08_ISL_conso_July_08_09 2" xfId="1735" xr:uid="{00000000-0005-0000-0000-0000C7060000}"/>
    <cellStyle name="_Book1_IFSL_January_07_08_ISL_conso_July_08_09_ISL__3CD_FY2010-11" xfId="1736" xr:uid="{00000000-0005-0000-0000-0000C8060000}"/>
    <cellStyle name="_Book1_IFSL_January_07_08_ISL_conso_July_08_09_Results" xfId="1737" xr:uid="{00000000-0005-0000-0000-0000C9060000}"/>
    <cellStyle name="_Book1_IFSL_January_07_08_ISL_conso_July_08_09_Results 2" xfId="1738" xr:uid="{00000000-0005-0000-0000-0000CA060000}"/>
    <cellStyle name="_Book1_IFSL_January_07_08_ISL_conso_July_08_09_Xl0000012" xfId="1739" xr:uid="{00000000-0005-0000-0000-0000CB060000}"/>
    <cellStyle name="_Book1_IFSL_January_07_08_ISL_conso_July_08_09_Xl0000012 2" xfId="1740" xr:uid="{00000000-0005-0000-0000-0000CC060000}"/>
    <cellStyle name="_Book1_IFSL_January_07_08_ISL_conso_July_09_10" xfId="1741" xr:uid="{00000000-0005-0000-0000-0000CD060000}"/>
    <cellStyle name="_Book1_IFSL_January_07_08_ISL_conso_July_09_10 2" xfId="1742" xr:uid="{00000000-0005-0000-0000-0000CE060000}"/>
    <cellStyle name="_Book1_IFSL_January_07_08_ISL_conso_July_09_10_ISL__3CD_FY2010-11" xfId="1743" xr:uid="{00000000-0005-0000-0000-0000CF060000}"/>
    <cellStyle name="_Book1_IFSL_January_07_08_ISL_conso_July_10_11" xfId="1744" xr:uid="{00000000-0005-0000-0000-0000D0060000}"/>
    <cellStyle name="_Book1_IFSL_January_07_08_ISL_conso_July_10_11 2" xfId="1745" xr:uid="{00000000-0005-0000-0000-0000D1060000}"/>
    <cellStyle name="_Book1_IFSL_January_07_08_ISL_conso_June_09_10" xfId="1746" xr:uid="{00000000-0005-0000-0000-0000D2060000}"/>
    <cellStyle name="_Book1_IFSL_January_07_08_ISL_conso_June_09_10 2" xfId="1747" xr:uid="{00000000-0005-0000-0000-0000D3060000}"/>
    <cellStyle name="_Book1_IFSL_January_07_08_ISL_conso_June_09_10_ISL__3CD_FY2010-11" xfId="1748" xr:uid="{00000000-0005-0000-0000-0000D4060000}"/>
    <cellStyle name="_Book1_IFSL_January_07_08_ISL_conso_June_10_11" xfId="1749" xr:uid="{00000000-0005-0000-0000-0000D5060000}"/>
    <cellStyle name="_Book1_IFSL_January_07_08_ISL_conso_June_10_11 2" xfId="1750" xr:uid="{00000000-0005-0000-0000-0000D6060000}"/>
    <cellStyle name="_Book1_IFSL_January_07_08_ISL_conso_March_08_09" xfId="1751" xr:uid="{00000000-0005-0000-0000-0000D7060000}"/>
    <cellStyle name="_Book1_IFSL_January_07_08_ISL_conso_March_08_09 2" xfId="1752" xr:uid="{00000000-0005-0000-0000-0000D8060000}"/>
    <cellStyle name="_Book1_IFSL_January_07_08_ISL_conso_March_08_09_ISL__3CD_FY2010-11" xfId="1753" xr:uid="{00000000-0005-0000-0000-0000D9060000}"/>
    <cellStyle name="_Book1_IFSL_January_07_08_ISL_conso_March_09_10" xfId="1754" xr:uid="{00000000-0005-0000-0000-0000DA060000}"/>
    <cellStyle name="_Book1_IFSL_January_07_08_ISL_conso_March_09_10 2" xfId="1755" xr:uid="{00000000-0005-0000-0000-0000DB060000}"/>
    <cellStyle name="_Book1_IFSL_January_07_08_ISL_conso_May_09_10" xfId="1756" xr:uid="{00000000-0005-0000-0000-0000DC060000}"/>
    <cellStyle name="_Book1_IFSL_January_07_08_ISL_conso_May_09_10 2" xfId="1757" xr:uid="{00000000-0005-0000-0000-0000DD060000}"/>
    <cellStyle name="_Book1_IFSL_January_07_08_ISL_conso_May_09_10_ISL__3CD_FY2010-11" xfId="1758" xr:uid="{00000000-0005-0000-0000-0000DE060000}"/>
    <cellStyle name="_Book1_IFSL_January_07_08_ISL_conso_May_10_11" xfId="1759" xr:uid="{00000000-0005-0000-0000-0000DF060000}"/>
    <cellStyle name="_Book1_IFSL_January_07_08_ISL_conso_May_10_11 2" xfId="1760" xr:uid="{00000000-0005-0000-0000-0000E0060000}"/>
    <cellStyle name="_Book1_IFSL_January_07_08_ISL_conso_November_09_10" xfId="1761" xr:uid="{00000000-0005-0000-0000-0000E1060000}"/>
    <cellStyle name="_Book1_IFSL_January_07_08_ISL_conso_November_09_10 2" xfId="1762" xr:uid="{00000000-0005-0000-0000-0000E2060000}"/>
    <cellStyle name="_Book1_IFSL_January_07_08_ISL_conso_November_09_10_ISL__3CD_FY2010-11" xfId="1763" xr:uid="{00000000-0005-0000-0000-0000E3060000}"/>
    <cellStyle name="_Book1_IFSL_January_07_08_ISL_conso_November_10_11" xfId="1764" xr:uid="{00000000-0005-0000-0000-0000E4060000}"/>
    <cellStyle name="_Book1_IFSL_January_07_08_ISL_conso_November_10_11 2" xfId="1765" xr:uid="{00000000-0005-0000-0000-0000E5060000}"/>
    <cellStyle name="_Book1_IFSL_January_07_08_ISL_conso_October_09_10" xfId="1766" xr:uid="{00000000-0005-0000-0000-0000E6060000}"/>
    <cellStyle name="_Book1_IFSL_January_07_08_ISL_conso_October_09_10 2" xfId="1767" xr:uid="{00000000-0005-0000-0000-0000E7060000}"/>
    <cellStyle name="_Book1_IFSL_January_07_08_ISL_conso_October_09_10_ISL__3CD_FY2010-11" xfId="1768" xr:uid="{00000000-0005-0000-0000-0000E8060000}"/>
    <cellStyle name="_Book1_IFSL_January_07_08_ISL_conso_October_10_11" xfId="1769" xr:uid="{00000000-0005-0000-0000-0000E9060000}"/>
    <cellStyle name="_Book1_IFSL_January_07_08_ISL_conso_October_10_11 2" xfId="1770" xr:uid="{00000000-0005-0000-0000-0000EA060000}"/>
    <cellStyle name="_Book1_IFSL_January_07_08_ISL_conso_September_08_09" xfId="1771" xr:uid="{00000000-0005-0000-0000-0000EB060000}"/>
    <cellStyle name="_Book1_IFSL_January_07_08_ISL_conso_September_08_09 2" xfId="1772" xr:uid="{00000000-0005-0000-0000-0000EC060000}"/>
    <cellStyle name="_Book1_IFSL_January_07_08_ISL_conso_September_08_09_ISL__3CD_FY2010-11" xfId="1773" xr:uid="{00000000-0005-0000-0000-0000ED060000}"/>
    <cellStyle name="_Book1_IFSL_January_07_08_ISL_conso_September_08_09_Results" xfId="1774" xr:uid="{00000000-0005-0000-0000-0000EE060000}"/>
    <cellStyle name="_Book1_IFSL_January_07_08_ISL_conso_September_08_09_Results 2" xfId="1775" xr:uid="{00000000-0005-0000-0000-0000EF060000}"/>
    <cellStyle name="_Book1_IFSL_January_07_08_ISL_conso_September_08_09_Xl0000012" xfId="1776" xr:uid="{00000000-0005-0000-0000-0000F0060000}"/>
    <cellStyle name="_Book1_IFSL_January_07_08_ISL_conso_September_08_09_Xl0000012 2" xfId="1777" xr:uid="{00000000-0005-0000-0000-0000F1060000}"/>
    <cellStyle name="_Book1_IFSL_January_07_08_ISL_conso_September_09_10" xfId="1778" xr:uid="{00000000-0005-0000-0000-0000F2060000}"/>
    <cellStyle name="_Book1_IFSL_January_07_08_ISL_conso_September_09_10 2" xfId="1779" xr:uid="{00000000-0005-0000-0000-0000F3060000}"/>
    <cellStyle name="_Book1_IFSL_January_07_08_ISL_conso_September_09_10_ISL__3CD_FY2010-11" xfId="1780" xr:uid="{00000000-0005-0000-0000-0000F4060000}"/>
    <cellStyle name="_Book1_IFSL_January_07_08_ISL_conso_September_10_11" xfId="1781" xr:uid="{00000000-0005-0000-0000-0000F5060000}"/>
    <cellStyle name="_Book1_IFSL_January_07_08_ISL_conso_September_10_11 2" xfId="1782" xr:uid="{00000000-0005-0000-0000-0000F6060000}"/>
    <cellStyle name="_Book1_IFSL_January_07_08_ISL_June_10" xfId="1783" xr:uid="{00000000-0005-0000-0000-0000F7060000}"/>
    <cellStyle name="_Book1_IFSL_January_07_08_ISL_June_10 2" xfId="1784" xr:uid="{00000000-0005-0000-0000-0000F8060000}"/>
    <cellStyle name="_Book1_IFSL_January_07_08_ITR6_2009_10_ISL_Vivek" xfId="1785" xr:uid="{00000000-0005-0000-0000-0000F9060000}"/>
    <cellStyle name="_Book1_IFSL_January_07_08_ITR6_2009_10_ISL_Vivek_ISL__3CD_FY2010-11" xfId="1786" xr:uid="{00000000-0005-0000-0000-0000FA060000}"/>
    <cellStyle name="_Book1_IFSL_January_07_08_Provision for Exp - FY 0809" xfId="1787" xr:uid="{00000000-0005-0000-0000-0000FB060000}"/>
    <cellStyle name="_Book1_IFSL_January_07_08_Provision for Exp - FY 0809_ISL__3CD_FY2010-11" xfId="1788" xr:uid="{00000000-0005-0000-0000-0000FC060000}"/>
    <cellStyle name="_Book1_IFSL_January_07_08_Result" xfId="1789" xr:uid="{00000000-0005-0000-0000-0000FD060000}"/>
    <cellStyle name="_Book1_IFSL_January_07_08_Result 2" xfId="1790" xr:uid="{00000000-0005-0000-0000-0000FE060000}"/>
    <cellStyle name="_Book1_IFSL_January_07_08_Results" xfId="1791" xr:uid="{00000000-0005-0000-0000-0000FF060000}"/>
    <cellStyle name="_Book1_IFSL_January_07_08_Results 2" xfId="1792" xr:uid="{00000000-0005-0000-0000-000000070000}"/>
    <cellStyle name="_Book1_IFSL_January_07_08_Xl0000012" xfId="1793" xr:uid="{00000000-0005-0000-0000-000001070000}"/>
    <cellStyle name="_Book1_IFSL_January_07_08_Xl0000012 2" xfId="1794" xr:uid="{00000000-0005-0000-0000-000002070000}"/>
    <cellStyle name="_Book1_IFSL_January_07_08_Xl0000013" xfId="1795" xr:uid="{00000000-0005-0000-0000-000003070000}"/>
    <cellStyle name="_Book1_IFSL_Nov_07_08" xfId="1796" xr:uid="{00000000-0005-0000-0000-000004070000}"/>
    <cellStyle name="_Book1_IFSL_Nov_07_08 10" xfId="1797" xr:uid="{00000000-0005-0000-0000-000005070000}"/>
    <cellStyle name="_Book1_IFSL_Nov_07_08 10 2" xfId="1798" xr:uid="{00000000-0005-0000-0000-000006070000}"/>
    <cellStyle name="_Book1_IFSL_Nov_07_08 11" xfId="1799" xr:uid="{00000000-0005-0000-0000-000007070000}"/>
    <cellStyle name="_Book1_IFSL_Nov_07_08 11 2" xfId="1800" xr:uid="{00000000-0005-0000-0000-000008070000}"/>
    <cellStyle name="_Book1_IFSL_Nov_07_08 12" xfId="1801" xr:uid="{00000000-0005-0000-0000-000009070000}"/>
    <cellStyle name="_Book1_IFSL_Nov_07_08 12 2" xfId="1802" xr:uid="{00000000-0005-0000-0000-00000A070000}"/>
    <cellStyle name="_Book1_IFSL_Nov_07_08 13" xfId="1803" xr:uid="{00000000-0005-0000-0000-00000B070000}"/>
    <cellStyle name="_Book1_IFSL_Nov_07_08 13 2" xfId="1804" xr:uid="{00000000-0005-0000-0000-00000C070000}"/>
    <cellStyle name="_Book1_IFSL_Nov_07_08 14" xfId="1805" xr:uid="{00000000-0005-0000-0000-00000D070000}"/>
    <cellStyle name="_Book1_IFSL_Nov_07_08 14 2" xfId="1806" xr:uid="{00000000-0005-0000-0000-00000E070000}"/>
    <cellStyle name="_Book1_IFSL_Nov_07_08 15" xfId="1807" xr:uid="{00000000-0005-0000-0000-00000F070000}"/>
    <cellStyle name="_Book1_IFSL_Nov_07_08 15 2" xfId="1808" xr:uid="{00000000-0005-0000-0000-000010070000}"/>
    <cellStyle name="_Book1_IFSL_Nov_07_08 16" xfId="1809" xr:uid="{00000000-0005-0000-0000-000011070000}"/>
    <cellStyle name="_Book1_IFSL_Nov_07_08 16 2" xfId="1810" xr:uid="{00000000-0005-0000-0000-000012070000}"/>
    <cellStyle name="_Book1_IFSL_Nov_07_08 17" xfId="1811" xr:uid="{00000000-0005-0000-0000-000013070000}"/>
    <cellStyle name="_Book1_IFSL_Nov_07_08 17 2" xfId="1812" xr:uid="{00000000-0005-0000-0000-000014070000}"/>
    <cellStyle name="_Book1_IFSL_Nov_07_08 18" xfId="1813" xr:uid="{00000000-0005-0000-0000-000015070000}"/>
    <cellStyle name="_Book1_IFSL_Nov_07_08 18 2" xfId="1814" xr:uid="{00000000-0005-0000-0000-000016070000}"/>
    <cellStyle name="_Book1_IFSL_Nov_07_08 19" xfId="1815" xr:uid="{00000000-0005-0000-0000-000017070000}"/>
    <cellStyle name="_Book1_IFSL_Nov_07_08 19 2" xfId="1816" xr:uid="{00000000-0005-0000-0000-000018070000}"/>
    <cellStyle name="_Book1_IFSL_Nov_07_08 2" xfId="1817" xr:uid="{00000000-0005-0000-0000-000019070000}"/>
    <cellStyle name="_Book1_IFSL_Nov_07_08 2 2" xfId="1818" xr:uid="{00000000-0005-0000-0000-00001A070000}"/>
    <cellStyle name="_Book1_IFSL_Nov_07_08 20" xfId="1819" xr:uid="{00000000-0005-0000-0000-00001B070000}"/>
    <cellStyle name="_Book1_IFSL_Nov_07_08 21" xfId="1820" xr:uid="{00000000-0005-0000-0000-00001C070000}"/>
    <cellStyle name="_Book1_IFSL_Nov_07_08 22" xfId="1821" xr:uid="{00000000-0005-0000-0000-00001D070000}"/>
    <cellStyle name="_Book1_IFSL_Nov_07_08 23" xfId="1822" xr:uid="{00000000-0005-0000-0000-00001E070000}"/>
    <cellStyle name="_Book1_IFSL_Nov_07_08 3" xfId="1823" xr:uid="{00000000-0005-0000-0000-00001F070000}"/>
    <cellStyle name="_Book1_IFSL_Nov_07_08 3 2" xfId="1824" xr:uid="{00000000-0005-0000-0000-000020070000}"/>
    <cellStyle name="_Book1_IFSL_Nov_07_08 4" xfId="1825" xr:uid="{00000000-0005-0000-0000-000021070000}"/>
    <cellStyle name="_Book1_IFSL_Nov_07_08 4 2" xfId="1826" xr:uid="{00000000-0005-0000-0000-000022070000}"/>
    <cellStyle name="_Book1_IFSL_Nov_07_08 5" xfId="1827" xr:uid="{00000000-0005-0000-0000-000023070000}"/>
    <cellStyle name="_Book1_IFSL_Nov_07_08 5 2" xfId="1828" xr:uid="{00000000-0005-0000-0000-000024070000}"/>
    <cellStyle name="_Book1_IFSL_Nov_07_08 6" xfId="1829" xr:uid="{00000000-0005-0000-0000-000025070000}"/>
    <cellStyle name="_Book1_IFSL_Nov_07_08 6 2" xfId="1830" xr:uid="{00000000-0005-0000-0000-000026070000}"/>
    <cellStyle name="_Book1_IFSL_Nov_07_08 7" xfId="1831" xr:uid="{00000000-0005-0000-0000-000027070000}"/>
    <cellStyle name="_Book1_IFSL_Nov_07_08 7 2" xfId="1832" xr:uid="{00000000-0005-0000-0000-000028070000}"/>
    <cellStyle name="_Book1_IFSL_Nov_07_08 8" xfId="1833" xr:uid="{00000000-0005-0000-0000-000029070000}"/>
    <cellStyle name="_Book1_IFSL_Nov_07_08 8 2" xfId="1834" xr:uid="{00000000-0005-0000-0000-00002A070000}"/>
    <cellStyle name="_Book1_IFSL_Nov_07_08 9" xfId="1835" xr:uid="{00000000-0005-0000-0000-00002B070000}"/>
    <cellStyle name="_Book1_IFSL_Nov_07_08 9 2" xfId="1836" xr:uid="{00000000-0005-0000-0000-00002C070000}"/>
    <cellStyle name="_Book1_IFSL_Nov_07_08_Asset Management Company Limited" xfId="1837" xr:uid="{00000000-0005-0000-0000-00002D070000}"/>
    <cellStyle name="_Book1_IFSL_Nov_07_08_Book1" xfId="1838" xr:uid="{00000000-0005-0000-0000-00002E070000}"/>
    <cellStyle name="_Book1_IFSL_Nov_07_08_Book1 (2)" xfId="1839" xr:uid="{00000000-0005-0000-0000-00002F070000}"/>
    <cellStyle name="_Book1_IFSL_Nov_07_08_Book1 (2) 2" xfId="1840" xr:uid="{00000000-0005-0000-0000-000030070000}"/>
    <cellStyle name="_Book1_IFSL_Nov_07_08_Book1 10" xfId="1841" xr:uid="{00000000-0005-0000-0000-000031070000}"/>
    <cellStyle name="_Book1_IFSL_Nov_07_08_Book1 11" xfId="1842" xr:uid="{00000000-0005-0000-0000-000032070000}"/>
    <cellStyle name="_Book1_IFSL_Nov_07_08_Book1 2" xfId="1843" xr:uid="{00000000-0005-0000-0000-000033070000}"/>
    <cellStyle name="_Book1_IFSL_Nov_07_08_Book1 3" xfId="1844" xr:uid="{00000000-0005-0000-0000-000034070000}"/>
    <cellStyle name="_Book1_IFSL_Nov_07_08_Book1 4" xfId="1845" xr:uid="{00000000-0005-0000-0000-000035070000}"/>
    <cellStyle name="_Book1_IFSL_Nov_07_08_Book1 5" xfId="1846" xr:uid="{00000000-0005-0000-0000-000036070000}"/>
    <cellStyle name="_Book1_IFSL_Nov_07_08_Book1 6" xfId="1847" xr:uid="{00000000-0005-0000-0000-000037070000}"/>
    <cellStyle name="_Book1_IFSL_Nov_07_08_Book1 7" xfId="1848" xr:uid="{00000000-0005-0000-0000-000038070000}"/>
    <cellStyle name="_Book1_IFSL_Nov_07_08_Book1 8" xfId="1849" xr:uid="{00000000-0005-0000-0000-000039070000}"/>
    <cellStyle name="_Book1_IFSL_Nov_07_08_Book1 9" xfId="1850" xr:uid="{00000000-0005-0000-0000-00003A070000}"/>
    <cellStyle name="_Book1_IFSL_Nov_07_08_Book1_ISL__3CD_FY2010-11" xfId="1851" xr:uid="{00000000-0005-0000-0000-00003B070000}"/>
    <cellStyle name="_Book1_IFSL_Nov_07_08_Book2" xfId="1852" xr:uid="{00000000-0005-0000-0000-00003C070000}"/>
    <cellStyle name="_Book1_IFSL_Nov_07_08_Book2 2" xfId="1853" xr:uid="{00000000-0005-0000-0000-00003D070000}"/>
    <cellStyle name="_Book1_IFSL_Nov_07_08_Book2_ISL__3CD_FY2010-11" xfId="1854" xr:uid="{00000000-0005-0000-0000-00003E070000}"/>
    <cellStyle name="_Book1_IFSL_Nov_07_08_Book4" xfId="1855" xr:uid="{00000000-0005-0000-0000-00003F070000}"/>
    <cellStyle name="_Book1_IFSL_Nov_07_08_Book4 2" xfId="1856" xr:uid="{00000000-0005-0000-0000-000040070000}"/>
    <cellStyle name="_Book1_IFSL_Nov_07_08_Book4_ISL__3CD_FY2010-11" xfId="1857" xr:uid="{00000000-0005-0000-0000-000041070000}"/>
    <cellStyle name="_Book1_IFSL_Nov_07_08_BS _IB Asset Management _3103_ver5" xfId="1858" xr:uid="{00000000-0005-0000-0000-000042070000}"/>
    <cellStyle name="_Book1_IFSL_Nov_07_08_BS _IB Asset Management _3103_ver5_IAMCL BS working -New format_31.03 V5" xfId="1859" xr:uid="{00000000-0005-0000-0000-000043070000}"/>
    <cellStyle name="_Book1_IFSL_Nov_07_08_Detail of IPO funding" xfId="1860" xr:uid="{00000000-0005-0000-0000-000044070000}"/>
    <cellStyle name="_Book1_IFSL_Nov_07_08_Details of Assets &amp; Liablilities" xfId="1861" xr:uid="{00000000-0005-0000-0000-000045070000}"/>
    <cellStyle name="_Book1_IFSL_Nov_07_08_FDR Int Calculation as per BS" xfId="1862" xr:uid="{00000000-0005-0000-0000-000046070000}"/>
    <cellStyle name="_Book1_IFSL_Nov_07_08_IAMCL BS working -New format_31.03 V5" xfId="1863" xr:uid="{00000000-0005-0000-0000-000047070000}"/>
    <cellStyle name="_Book1_IFSL_Nov_07_08_IB Asset Management _2910" xfId="1864" xr:uid="{00000000-0005-0000-0000-000048070000}"/>
    <cellStyle name="_Book1_IFSL_Nov_07_08_IB Asset Management _2910_IB Collection Agency_3103 V3" xfId="1865" xr:uid="{00000000-0005-0000-0000-000049070000}"/>
    <cellStyle name="_Book1_IFSL_Nov_07_08_IB Asset Management _2910_IB Collection Agency_3103 V3_ICAL-New Format_31.03 V4" xfId="1866" xr:uid="{00000000-0005-0000-0000-00004A070000}"/>
    <cellStyle name="_Book1_IFSL_Nov_07_08_IB Asset Management _2910_ICAL-BS Final Working _New format" xfId="1867" xr:uid="{00000000-0005-0000-0000-00004B070000}"/>
    <cellStyle name="_Book1_IFSL_Nov_07_08_IB Asset Management _3103_ver5" xfId="1868" xr:uid="{00000000-0005-0000-0000-00004C070000}"/>
    <cellStyle name="_Book1_IFSL_Nov_07_08_IB Asset Management_3103 V2" xfId="1869" xr:uid="{00000000-0005-0000-0000-00004D070000}"/>
    <cellStyle name="_Book1_IFSL_Nov_07_08_IB Asset Management_3103 V4" xfId="1870" xr:uid="{00000000-0005-0000-0000-00004E070000}"/>
    <cellStyle name="_Book1_IFSL_Nov_07_08_IB Asset Management_3103 V5" xfId="1871" xr:uid="{00000000-0005-0000-0000-00004F070000}"/>
    <cellStyle name="_Book1_IFSL_Nov_07_08_IB Collection Agency_3103 V3" xfId="1872" xr:uid="{00000000-0005-0000-0000-000050070000}"/>
    <cellStyle name="_Book1_IFSL_Nov_07_08_IB Collection Agency_3103 V3_ICAL-New Format_31.03 V4" xfId="1873" xr:uid="{00000000-0005-0000-0000-000051070000}"/>
    <cellStyle name="_Book1_IFSL_Nov_07_08_IB Infrastructure Credit" xfId="1874" xr:uid="{00000000-0005-0000-0000-000052070000}"/>
    <cellStyle name="_Book1_IFSL_Nov_07_08_IB Infrastructure Credit-3103_V6" xfId="1875" xr:uid="{00000000-0005-0000-0000-000053070000}"/>
    <cellStyle name="_Book1_IFSL_Nov_07_08_IB Infrastructure Credit-3103_V7" xfId="1876" xr:uid="{00000000-0005-0000-0000-000054070000}"/>
    <cellStyle name="_Book1_IFSL_Nov_07_08_IB Life Insurance_3103 V4" xfId="1877" xr:uid="{00000000-0005-0000-0000-000055070000}"/>
    <cellStyle name="_Book1_IFSL_Nov_07_08_IB Trustee Company_3103 V4" xfId="1878" xr:uid="{00000000-0005-0000-0000-000056070000}"/>
    <cellStyle name="_Book1_IFSL_Nov_07_08_IBFSL_Conso_June_09_10 " xfId="1879" xr:uid="{00000000-0005-0000-0000-000057070000}"/>
    <cellStyle name="_Book1_IFSL_Nov_07_08_IBFSL_Conso_June_09_10  2" xfId="1880" xr:uid="{00000000-0005-0000-0000-000058070000}"/>
    <cellStyle name="_Book1_IFSL_Nov_07_08_IBFSL_Conso_June_09_10 _Book1 (2)" xfId="1881" xr:uid="{00000000-0005-0000-0000-000059070000}"/>
    <cellStyle name="_Book1_IFSL_Nov_07_08_IBFSL_Conso_June_09_10 _Book1 (2) 2" xfId="1882" xr:uid="{00000000-0005-0000-0000-00005A070000}"/>
    <cellStyle name="_Book1_IFSL_Nov_07_08_IBFSL_Conso_June_09_10 _ISL__3CD_FY2010-11" xfId="1883" xr:uid="{00000000-0005-0000-0000-00005B070000}"/>
    <cellStyle name="_Book1_IFSL_Nov_07_08_IBFSL_Conso_June_09_10 _ISL_Conso_09_10_Other working" xfId="1884" xr:uid="{00000000-0005-0000-0000-00005C070000}"/>
    <cellStyle name="_Book1_IFSL_Nov_07_08_IBFSL_Conso_June_09_10 _ISL_Conso_09_10_Other working 2" xfId="1885" xr:uid="{00000000-0005-0000-0000-00005D070000}"/>
    <cellStyle name="_Book1_IFSL_Nov_07_08_IBFSL_Conso_June_09_10 _ISL_Conso_09_10_Other working_Xl0000012" xfId="1886" xr:uid="{00000000-0005-0000-0000-00005E070000}"/>
    <cellStyle name="_Book1_IFSL_Nov_07_08_IBFSL_Conso_June_09_10 _ISL_Conso_09_10_Other working_Xl0000012 2" xfId="1887" xr:uid="{00000000-0005-0000-0000-00005F070000}"/>
    <cellStyle name="_Book1_IFSL_Nov_07_08_IBFSL_Conso_June_09_10 _ISL_conso_August_10_11" xfId="1888" xr:uid="{00000000-0005-0000-0000-000060070000}"/>
    <cellStyle name="_Book1_IFSL_Nov_07_08_IBFSL_Conso_June_09_10 _ISL_conso_August_10_11 2" xfId="1889" xr:uid="{00000000-0005-0000-0000-000061070000}"/>
    <cellStyle name="_Book1_IFSL_Nov_07_08_IBFSL_Conso_June_09_10 _ISL_conso_December_10_11" xfId="1890" xr:uid="{00000000-0005-0000-0000-000062070000}"/>
    <cellStyle name="_Book1_IFSL_Nov_07_08_IBFSL_Conso_June_09_10 _ISL_conso_December_10_11 2" xfId="1891" xr:uid="{00000000-0005-0000-0000-000063070000}"/>
    <cellStyle name="_Book1_IFSL_Nov_07_08_IBFSL_Conso_June_09_10 _ISL_conso_July_10_11" xfId="1892" xr:uid="{00000000-0005-0000-0000-000064070000}"/>
    <cellStyle name="_Book1_IFSL_Nov_07_08_IBFSL_Conso_June_09_10 _ISL_conso_July_10_11 2" xfId="1893" xr:uid="{00000000-0005-0000-0000-000065070000}"/>
    <cellStyle name="_Book1_IFSL_Nov_07_08_IBFSL_Conso_June_09_10 _ISL_conso_June_10_11" xfId="1894" xr:uid="{00000000-0005-0000-0000-000066070000}"/>
    <cellStyle name="_Book1_IFSL_Nov_07_08_IBFSL_Conso_June_09_10 _ISL_conso_June_10_11 2" xfId="1895" xr:uid="{00000000-0005-0000-0000-000067070000}"/>
    <cellStyle name="_Book1_IFSL_Nov_07_08_IBFSL_Conso_June_09_10 _ISL_conso_March_09_10" xfId="1896" xr:uid="{00000000-0005-0000-0000-000068070000}"/>
    <cellStyle name="_Book1_IFSL_Nov_07_08_IBFSL_Conso_June_09_10 _ISL_conso_March_09_10 2" xfId="1897" xr:uid="{00000000-0005-0000-0000-000069070000}"/>
    <cellStyle name="_Book1_IFSL_Nov_07_08_IBFSL_Conso_June_09_10 _ISL_conso_March_09_10_Xl0000012" xfId="1898" xr:uid="{00000000-0005-0000-0000-00006A070000}"/>
    <cellStyle name="_Book1_IFSL_Nov_07_08_IBFSL_Conso_June_09_10 _ISL_conso_March_09_10_Xl0000012 2" xfId="1899" xr:uid="{00000000-0005-0000-0000-00006B070000}"/>
    <cellStyle name="_Book1_IFSL_Nov_07_08_IBFSL_Conso_June_09_10 _ISL_conso_May_10_11" xfId="1900" xr:uid="{00000000-0005-0000-0000-00006C070000}"/>
    <cellStyle name="_Book1_IFSL_Nov_07_08_IBFSL_Conso_June_09_10 _ISL_conso_May_10_11 2" xfId="1901" xr:uid="{00000000-0005-0000-0000-00006D070000}"/>
    <cellStyle name="_Book1_IFSL_Nov_07_08_IBFSL_Conso_June_09_10 _ISL_conso_November_10_11" xfId="1902" xr:uid="{00000000-0005-0000-0000-00006E070000}"/>
    <cellStyle name="_Book1_IFSL_Nov_07_08_IBFSL_Conso_June_09_10 _ISL_conso_November_10_11 2" xfId="1903" xr:uid="{00000000-0005-0000-0000-00006F070000}"/>
    <cellStyle name="_Book1_IFSL_Nov_07_08_IBFSL_Conso_June_09_10 _ISL_conso_October_10_11" xfId="1904" xr:uid="{00000000-0005-0000-0000-000070070000}"/>
    <cellStyle name="_Book1_IFSL_Nov_07_08_IBFSL_Conso_June_09_10 _ISL_conso_October_10_11 2" xfId="1905" xr:uid="{00000000-0005-0000-0000-000071070000}"/>
    <cellStyle name="_Book1_IFSL_Nov_07_08_IBFSL_Conso_June_09_10 _ISL_conso_September_10_11" xfId="1906" xr:uid="{00000000-0005-0000-0000-000072070000}"/>
    <cellStyle name="_Book1_IFSL_Nov_07_08_IBFSL_Conso_June_09_10 _ISL_conso_September_10_11 2" xfId="1907" xr:uid="{00000000-0005-0000-0000-000073070000}"/>
    <cellStyle name="_Book1_IFSL_Nov_07_08_IBFSL_Conso_June_09_10 _ISL_June_10" xfId="1908" xr:uid="{00000000-0005-0000-0000-000074070000}"/>
    <cellStyle name="_Book1_IFSL_Nov_07_08_IBFSL_Conso_June_09_10 _ISL_June_10 2" xfId="1909" xr:uid="{00000000-0005-0000-0000-000075070000}"/>
    <cellStyle name="_Book1_IFSL_Nov_07_08_IBFSL_Conso_June_09_10 _Results" xfId="1910" xr:uid="{00000000-0005-0000-0000-000076070000}"/>
    <cellStyle name="_Book1_IFSL_Nov_07_08_IBFSL_Conso_June_09_10 _Results 2" xfId="1911" xr:uid="{00000000-0005-0000-0000-000077070000}"/>
    <cellStyle name="_Book1_IFSL_Nov_07_08_IBFSL_Conso_June_09_10 _Xl0000012" xfId="1912" xr:uid="{00000000-0005-0000-0000-000078070000}"/>
    <cellStyle name="_Book1_IFSL_Nov_07_08_IBFSL_Conso_June_09_10 _Xl0000012 2" xfId="1913" xr:uid="{00000000-0005-0000-0000-000079070000}"/>
    <cellStyle name="_Book1_IFSL_Nov_07_08_IBLIC_BS  Final working -New_Format_31.03 V5" xfId="1914" xr:uid="{00000000-0005-0000-0000-00007A070000}"/>
    <cellStyle name="_Book1_IFSL_Nov_07_08_Ibulls BS Final woirking -New format_31.03 V5" xfId="1915" xr:uid="{00000000-0005-0000-0000-00007B070000}"/>
    <cellStyle name="_Book1_IFSL_Nov_07_08_IbullsSales_3009V3 (3)" xfId="1916" xr:uid="{00000000-0005-0000-0000-00007C070000}"/>
    <cellStyle name="_Book1_IFSL_Nov_07_08_IbullsSales_3103" xfId="1917" xr:uid="{00000000-0005-0000-0000-00007D070000}"/>
    <cellStyle name="_Book1_IFSL_Nov_07_08_IbullsSales_3103 V2" xfId="1918" xr:uid="{00000000-0005-0000-0000-00007E070000}"/>
    <cellStyle name="_Book1_IFSL_Nov_07_08_IbullsSales_3103 V5" xfId="1919" xr:uid="{00000000-0005-0000-0000-00007F070000}"/>
    <cellStyle name="_Book1_IFSL_Nov_07_08_ICAL-BS Final Working _New format" xfId="1920" xr:uid="{00000000-0005-0000-0000-000080070000}"/>
    <cellStyle name="_Book1_IFSL_Nov_07_08_ICL_BS_30.06.2009" xfId="1921" xr:uid="{00000000-0005-0000-0000-000081070000}"/>
    <cellStyle name="_Book1_IFSL_Nov_07_08_ICPL_BS_31.03.2009_new" xfId="1922" xr:uid="{00000000-0005-0000-0000-000082070000}"/>
    <cellStyle name="_Book1_IFSL_Nov_07_08_ICPL_BS_31.03.2009_new_ISL__3CD_FY2010-11" xfId="1923" xr:uid="{00000000-0005-0000-0000-000083070000}"/>
    <cellStyle name="_Book1_IFSL_Nov_07_08_IFCPL 31 03 2010 VER6 Final" xfId="1924" xr:uid="{00000000-0005-0000-0000-000084070000}"/>
    <cellStyle name="_Book1_IFSL_Nov_07_08_IHFL_September_30_2010 VERSION 10" xfId="1925" xr:uid="{00000000-0005-0000-0000-000085070000}"/>
    <cellStyle name="_Book1_IFSL_Nov_07_08_IICL_March'11" xfId="1926" xr:uid="{00000000-0005-0000-0000-000086070000}"/>
    <cellStyle name="_Book1_IFSL_Nov_07_08_Indiabulls Asset Management Company Limited printable" xfId="1927" xr:uid="{00000000-0005-0000-0000-000087070000}"/>
    <cellStyle name="_Book1_IFSL_Nov_07_08_ISL June 09" xfId="1928" xr:uid="{00000000-0005-0000-0000-000088070000}"/>
    <cellStyle name="_Book1_IFSL_Nov_07_08_ISL June 09 2" xfId="1929" xr:uid="{00000000-0005-0000-0000-000089070000}"/>
    <cellStyle name="_Book1_IFSL_Nov_07_08_ISL June 09_ISL__3CD_FY2010-11" xfId="1930" xr:uid="{00000000-0005-0000-0000-00008A070000}"/>
    <cellStyle name="_Book1_IFSL_Nov_07_08_ISL Rev" xfId="1931" xr:uid="{00000000-0005-0000-0000-00008B070000}"/>
    <cellStyle name="_Book1_IFSL_Nov_07_08_ISL Rev 2" xfId="1932" xr:uid="{00000000-0005-0000-0000-00008C070000}"/>
    <cellStyle name="_Book1_IFSL_Nov_07_08_ISL Rev_ISL__3CD_FY2010-11" xfId="1933" xr:uid="{00000000-0005-0000-0000-00008D070000}"/>
    <cellStyle name="_Book1_IFSL_Nov_07_08_ISL Rev_Results" xfId="1934" xr:uid="{00000000-0005-0000-0000-00008E070000}"/>
    <cellStyle name="_Book1_IFSL_Nov_07_08_ISL Rev_Results 2" xfId="1935" xr:uid="{00000000-0005-0000-0000-00008F070000}"/>
    <cellStyle name="_Book1_IFSL_Nov_07_08_ISL Rev_Xl0000012" xfId="1936" xr:uid="{00000000-0005-0000-0000-000090070000}"/>
    <cellStyle name="_Book1_IFSL_Nov_07_08_ISL Rev_Xl0000012 2" xfId="1937" xr:uid="{00000000-0005-0000-0000-000091070000}"/>
    <cellStyle name="_Book1_IFSL_Nov_07_08_ISL_BS_03.03.2009" xfId="1938" xr:uid="{00000000-0005-0000-0000-000092070000}"/>
    <cellStyle name="_Book1_IFSL_Nov_07_08_ISL_BS_03.03.2009 2" xfId="1939" xr:uid="{00000000-0005-0000-0000-000093070000}"/>
    <cellStyle name="_Book1_IFSL_Nov_07_08_ISL_BS_03.03.2009_ISL__3CD_FY2010-11" xfId="1940" xr:uid="{00000000-0005-0000-0000-000094070000}"/>
    <cellStyle name="_Book1_IFSL_Nov_07_08_ISL_BS_08.03.2009" xfId="1941" xr:uid="{00000000-0005-0000-0000-000095070000}"/>
    <cellStyle name="_Book1_IFSL_Nov_07_08_ISL_BS_08.03.2009 2" xfId="1942" xr:uid="{00000000-0005-0000-0000-000096070000}"/>
    <cellStyle name="_Book1_IFSL_Nov_07_08_ISL_BS_08.03.2009_ISL__3CD_FY2010-11" xfId="1943" xr:uid="{00000000-0005-0000-0000-000097070000}"/>
    <cellStyle name="_Book1_IFSL_Nov_07_08_ISL_BS_15.03.2009" xfId="1944" xr:uid="{00000000-0005-0000-0000-000098070000}"/>
    <cellStyle name="_Book1_IFSL_Nov_07_08_ISL_BS_15.03.2009 2" xfId="1945" xr:uid="{00000000-0005-0000-0000-000099070000}"/>
    <cellStyle name="_Book1_IFSL_Nov_07_08_ISL_BS_15.03.2009_ISL__3CD_FY2010-11" xfId="1946" xr:uid="{00000000-0005-0000-0000-00009A070000}"/>
    <cellStyle name="_Book1_IFSL_Nov_07_08_ISL_BS_2008-09- First Cut" xfId="1947" xr:uid="{00000000-0005-0000-0000-00009B070000}"/>
    <cellStyle name="_Book1_IFSL_Nov_07_08_ISL_BS_2008-09- First Cut 2" xfId="1948" xr:uid="{00000000-0005-0000-0000-00009C070000}"/>
    <cellStyle name="_Book1_IFSL_Nov_07_08_ISL_BS_2008-09- First Cut_ISL__3CD_FY2010-11" xfId="1949" xr:uid="{00000000-0005-0000-0000-00009D070000}"/>
    <cellStyle name="_Book1_IFSL_Nov_07_08_ISL_BS_21.09.2009" xfId="1950" xr:uid="{00000000-0005-0000-0000-00009E070000}"/>
    <cellStyle name="_Book1_IFSL_Nov_07_08_ISL_BS_21.09.2009 2" xfId="1951" xr:uid="{00000000-0005-0000-0000-00009F070000}"/>
    <cellStyle name="_Book1_IFSL_Nov_07_08_ISL_BS_23.02.2009" xfId="1952" xr:uid="{00000000-0005-0000-0000-0000A0070000}"/>
    <cellStyle name="_Book1_IFSL_Nov_07_08_ISL_BS_23.02.2009 2" xfId="1953" xr:uid="{00000000-0005-0000-0000-0000A1070000}"/>
    <cellStyle name="_Book1_IFSL_Nov_07_08_ISL_BS_23.02.2009_ISL__3CD_FY2010-11" xfId="1954" xr:uid="{00000000-0005-0000-0000-0000A2070000}"/>
    <cellStyle name="_Book1_IFSL_Nov_07_08_ISL_BS_24.02.2009" xfId="1955" xr:uid="{00000000-0005-0000-0000-0000A3070000}"/>
    <cellStyle name="_Book1_IFSL_Nov_07_08_ISL_BS_24.02.2009 2" xfId="1956" xr:uid="{00000000-0005-0000-0000-0000A4070000}"/>
    <cellStyle name="_Book1_IFSL_Nov_07_08_ISL_BS_24.02.2009_ISL__3CD_FY2010-11" xfId="1957" xr:uid="{00000000-0005-0000-0000-0000A5070000}"/>
    <cellStyle name="_Book1_IFSL_Nov_07_08_ISL_BS_Aug 09" xfId="1958" xr:uid="{00000000-0005-0000-0000-0000A6070000}"/>
    <cellStyle name="_Book1_IFSL_Nov_07_08_ISL_BS_Aug 09 2" xfId="1959" xr:uid="{00000000-0005-0000-0000-0000A7070000}"/>
    <cellStyle name="_Book1_IFSL_Nov_07_08_ISL_BS_Aug 09.z" xfId="1960" xr:uid="{00000000-0005-0000-0000-0000A8070000}"/>
    <cellStyle name="_Book1_IFSL_Nov_07_08_ISL_BS_Aug 09.z 2" xfId="1961" xr:uid="{00000000-0005-0000-0000-0000A9070000}"/>
    <cellStyle name="_Book1_IFSL_Nov_07_08_ISL_BS_Aug 09.z_ISL__3CD_FY2010-11" xfId="1962" xr:uid="{00000000-0005-0000-0000-0000AA070000}"/>
    <cellStyle name="_Book1_IFSL_Nov_07_08_ISL_BS_Aug 09_ISL__3CD_FY2010-11" xfId="1963" xr:uid="{00000000-0005-0000-0000-0000AB070000}"/>
    <cellStyle name="_Book1_IFSL_Nov_07_08_ISL_Conso_09_10_Other working" xfId="1964" xr:uid="{00000000-0005-0000-0000-0000AC070000}"/>
    <cellStyle name="_Book1_IFSL_Nov_07_08_ISL_Conso_09_10_Other working 2" xfId="1965" xr:uid="{00000000-0005-0000-0000-0000AD070000}"/>
    <cellStyle name="_Book1_IFSL_Nov_07_08_ISL_conso_August_09_10" xfId="1966" xr:uid="{00000000-0005-0000-0000-0000AE070000}"/>
    <cellStyle name="_Book1_IFSL_Nov_07_08_ISL_conso_August_09_10 2" xfId="1967" xr:uid="{00000000-0005-0000-0000-0000AF070000}"/>
    <cellStyle name="_Book1_IFSL_Nov_07_08_ISL_conso_August_09_10_ISL__3CD_FY2010-11" xfId="1968" xr:uid="{00000000-0005-0000-0000-0000B0070000}"/>
    <cellStyle name="_Book1_IFSL_Nov_07_08_ISL_conso_August_10_11" xfId="1969" xr:uid="{00000000-0005-0000-0000-0000B1070000}"/>
    <cellStyle name="_Book1_IFSL_Nov_07_08_ISL_conso_August_10_11 2" xfId="1970" xr:uid="{00000000-0005-0000-0000-0000B2070000}"/>
    <cellStyle name="_Book1_IFSL_Nov_07_08_ISL_conso_December_08_09" xfId="1971" xr:uid="{00000000-0005-0000-0000-0000B3070000}"/>
    <cellStyle name="_Book1_IFSL_Nov_07_08_ISL_conso_December_08_09 2" xfId="1972" xr:uid="{00000000-0005-0000-0000-0000B4070000}"/>
    <cellStyle name="_Book1_IFSL_Nov_07_08_ISL_conso_December_08_09_ISL__3CD_FY2010-11" xfId="1973" xr:uid="{00000000-0005-0000-0000-0000B5070000}"/>
    <cellStyle name="_Book1_IFSL_Nov_07_08_ISL_conso_December_08_09_Results" xfId="1974" xr:uid="{00000000-0005-0000-0000-0000B6070000}"/>
    <cellStyle name="_Book1_IFSL_Nov_07_08_ISL_conso_December_08_09_Results 2" xfId="1975" xr:uid="{00000000-0005-0000-0000-0000B7070000}"/>
    <cellStyle name="_Book1_IFSL_Nov_07_08_ISL_conso_December_08_09_Xl0000012" xfId="1976" xr:uid="{00000000-0005-0000-0000-0000B8070000}"/>
    <cellStyle name="_Book1_IFSL_Nov_07_08_ISL_conso_December_08_09_Xl0000012 2" xfId="1977" xr:uid="{00000000-0005-0000-0000-0000B9070000}"/>
    <cellStyle name="_Book1_IFSL_Nov_07_08_ISL_conso_December_09_10" xfId="1978" xr:uid="{00000000-0005-0000-0000-0000BA070000}"/>
    <cellStyle name="_Book1_IFSL_Nov_07_08_ISL_conso_December_09_10 2" xfId="1979" xr:uid="{00000000-0005-0000-0000-0000BB070000}"/>
    <cellStyle name="_Book1_IFSL_Nov_07_08_ISL_conso_December_09_10_ISL__3CD_FY2010-11" xfId="1980" xr:uid="{00000000-0005-0000-0000-0000BC070000}"/>
    <cellStyle name="_Book1_IFSL_Nov_07_08_ISL_conso_December_10_11" xfId="1981" xr:uid="{00000000-0005-0000-0000-0000BD070000}"/>
    <cellStyle name="_Book1_IFSL_Nov_07_08_ISL_conso_December_10_11 2" xfId="1982" xr:uid="{00000000-0005-0000-0000-0000BE070000}"/>
    <cellStyle name="_Book1_IFSL_Nov_07_08_ISL_conso_February_09_10" xfId="1983" xr:uid="{00000000-0005-0000-0000-0000BF070000}"/>
    <cellStyle name="_Book1_IFSL_Nov_07_08_ISL_conso_February_09_10 2" xfId="1984" xr:uid="{00000000-0005-0000-0000-0000C0070000}"/>
    <cellStyle name="_Book1_IFSL_Nov_07_08_ISL_conso_January_09_10" xfId="1985" xr:uid="{00000000-0005-0000-0000-0000C1070000}"/>
    <cellStyle name="_Book1_IFSL_Nov_07_08_ISL_conso_January_09_10 2" xfId="1986" xr:uid="{00000000-0005-0000-0000-0000C2070000}"/>
    <cellStyle name="_Book1_IFSL_Nov_07_08_ISL_conso_July_08_09" xfId="1987" xr:uid="{00000000-0005-0000-0000-0000C3070000}"/>
    <cellStyle name="_Book1_IFSL_Nov_07_08_ISL_conso_July_08_09 2" xfId="1988" xr:uid="{00000000-0005-0000-0000-0000C4070000}"/>
    <cellStyle name="_Book1_IFSL_Nov_07_08_ISL_conso_July_08_09_ISL__3CD_FY2010-11" xfId="1989" xr:uid="{00000000-0005-0000-0000-0000C5070000}"/>
    <cellStyle name="_Book1_IFSL_Nov_07_08_ISL_conso_July_08_09_Results" xfId="1990" xr:uid="{00000000-0005-0000-0000-0000C6070000}"/>
    <cellStyle name="_Book1_IFSL_Nov_07_08_ISL_conso_July_08_09_Results 2" xfId="1991" xr:uid="{00000000-0005-0000-0000-0000C7070000}"/>
    <cellStyle name="_Book1_IFSL_Nov_07_08_ISL_conso_July_08_09_Xl0000012" xfId="1992" xr:uid="{00000000-0005-0000-0000-0000C8070000}"/>
    <cellStyle name="_Book1_IFSL_Nov_07_08_ISL_conso_July_08_09_Xl0000012 2" xfId="1993" xr:uid="{00000000-0005-0000-0000-0000C9070000}"/>
    <cellStyle name="_Book1_IFSL_Nov_07_08_ISL_conso_July_09_10" xfId="1994" xr:uid="{00000000-0005-0000-0000-0000CA070000}"/>
    <cellStyle name="_Book1_IFSL_Nov_07_08_ISL_conso_July_09_10 2" xfId="1995" xr:uid="{00000000-0005-0000-0000-0000CB070000}"/>
    <cellStyle name="_Book1_IFSL_Nov_07_08_ISL_conso_July_09_10_ISL__3CD_FY2010-11" xfId="1996" xr:uid="{00000000-0005-0000-0000-0000CC070000}"/>
    <cellStyle name="_Book1_IFSL_Nov_07_08_ISL_conso_July_10_11" xfId="1997" xr:uid="{00000000-0005-0000-0000-0000CD070000}"/>
    <cellStyle name="_Book1_IFSL_Nov_07_08_ISL_conso_July_10_11 2" xfId="1998" xr:uid="{00000000-0005-0000-0000-0000CE070000}"/>
    <cellStyle name="_Book1_IFSL_Nov_07_08_ISL_conso_June_09_10" xfId="1999" xr:uid="{00000000-0005-0000-0000-0000CF070000}"/>
    <cellStyle name="_Book1_IFSL_Nov_07_08_ISL_conso_June_09_10 2" xfId="2000" xr:uid="{00000000-0005-0000-0000-0000D0070000}"/>
    <cellStyle name="_Book1_IFSL_Nov_07_08_ISL_conso_June_09_10_ISL__3CD_FY2010-11" xfId="2001" xr:uid="{00000000-0005-0000-0000-0000D1070000}"/>
    <cellStyle name="_Book1_IFSL_Nov_07_08_ISL_conso_June_10_11" xfId="2002" xr:uid="{00000000-0005-0000-0000-0000D2070000}"/>
    <cellStyle name="_Book1_IFSL_Nov_07_08_ISL_conso_June_10_11 2" xfId="2003" xr:uid="{00000000-0005-0000-0000-0000D3070000}"/>
    <cellStyle name="_Book1_IFSL_Nov_07_08_ISL_conso_March_08_09" xfId="2004" xr:uid="{00000000-0005-0000-0000-0000D4070000}"/>
    <cellStyle name="_Book1_IFSL_Nov_07_08_ISL_conso_March_08_09 2" xfId="2005" xr:uid="{00000000-0005-0000-0000-0000D5070000}"/>
    <cellStyle name="_Book1_IFSL_Nov_07_08_ISL_conso_March_08_09_ISL__3CD_FY2010-11" xfId="2006" xr:uid="{00000000-0005-0000-0000-0000D6070000}"/>
    <cellStyle name="_Book1_IFSL_Nov_07_08_ISL_conso_March_09_10" xfId="2007" xr:uid="{00000000-0005-0000-0000-0000D7070000}"/>
    <cellStyle name="_Book1_IFSL_Nov_07_08_ISL_conso_March_09_10 2" xfId="2008" xr:uid="{00000000-0005-0000-0000-0000D8070000}"/>
    <cellStyle name="_Book1_IFSL_Nov_07_08_ISL_conso_May_09_10" xfId="2009" xr:uid="{00000000-0005-0000-0000-0000D9070000}"/>
    <cellStyle name="_Book1_IFSL_Nov_07_08_ISL_conso_May_09_10 2" xfId="2010" xr:uid="{00000000-0005-0000-0000-0000DA070000}"/>
    <cellStyle name="_Book1_IFSL_Nov_07_08_ISL_conso_May_09_10_ISL__3CD_FY2010-11" xfId="2011" xr:uid="{00000000-0005-0000-0000-0000DB070000}"/>
    <cellStyle name="_Book1_IFSL_Nov_07_08_ISL_conso_May_10_11" xfId="2012" xr:uid="{00000000-0005-0000-0000-0000DC070000}"/>
    <cellStyle name="_Book1_IFSL_Nov_07_08_ISL_conso_May_10_11 2" xfId="2013" xr:uid="{00000000-0005-0000-0000-0000DD070000}"/>
    <cellStyle name="_Book1_IFSL_Nov_07_08_ISL_conso_November_09_10" xfId="2014" xr:uid="{00000000-0005-0000-0000-0000DE070000}"/>
    <cellStyle name="_Book1_IFSL_Nov_07_08_ISL_conso_November_09_10 2" xfId="2015" xr:uid="{00000000-0005-0000-0000-0000DF070000}"/>
    <cellStyle name="_Book1_IFSL_Nov_07_08_ISL_conso_November_09_10_ISL__3CD_FY2010-11" xfId="2016" xr:uid="{00000000-0005-0000-0000-0000E0070000}"/>
    <cellStyle name="_Book1_IFSL_Nov_07_08_ISL_conso_November_10_11" xfId="2017" xr:uid="{00000000-0005-0000-0000-0000E1070000}"/>
    <cellStyle name="_Book1_IFSL_Nov_07_08_ISL_conso_November_10_11 2" xfId="2018" xr:uid="{00000000-0005-0000-0000-0000E2070000}"/>
    <cellStyle name="_Book1_IFSL_Nov_07_08_ISL_conso_October_09_10" xfId="2019" xr:uid="{00000000-0005-0000-0000-0000E3070000}"/>
    <cellStyle name="_Book1_IFSL_Nov_07_08_ISL_conso_October_09_10 2" xfId="2020" xr:uid="{00000000-0005-0000-0000-0000E4070000}"/>
    <cellStyle name="_Book1_IFSL_Nov_07_08_ISL_conso_October_09_10_ISL__3CD_FY2010-11" xfId="2021" xr:uid="{00000000-0005-0000-0000-0000E5070000}"/>
    <cellStyle name="_Book1_IFSL_Nov_07_08_ISL_conso_October_10_11" xfId="2022" xr:uid="{00000000-0005-0000-0000-0000E6070000}"/>
    <cellStyle name="_Book1_IFSL_Nov_07_08_ISL_conso_October_10_11 2" xfId="2023" xr:uid="{00000000-0005-0000-0000-0000E7070000}"/>
    <cellStyle name="_Book1_IFSL_Nov_07_08_ISL_conso_September_08_09" xfId="2024" xr:uid="{00000000-0005-0000-0000-0000E8070000}"/>
    <cellStyle name="_Book1_IFSL_Nov_07_08_ISL_conso_September_08_09 2" xfId="2025" xr:uid="{00000000-0005-0000-0000-0000E9070000}"/>
    <cellStyle name="_Book1_IFSL_Nov_07_08_ISL_conso_September_08_09_ISL__3CD_FY2010-11" xfId="2026" xr:uid="{00000000-0005-0000-0000-0000EA070000}"/>
    <cellStyle name="_Book1_IFSL_Nov_07_08_ISL_conso_September_08_09_Results" xfId="2027" xr:uid="{00000000-0005-0000-0000-0000EB070000}"/>
    <cellStyle name="_Book1_IFSL_Nov_07_08_ISL_conso_September_08_09_Results 2" xfId="2028" xr:uid="{00000000-0005-0000-0000-0000EC070000}"/>
    <cellStyle name="_Book1_IFSL_Nov_07_08_ISL_conso_September_08_09_Xl0000012" xfId="2029" xr:uid="{00000000-0005-0000-0000-0000ED070000}"/>
    <cellStyle name="_Book1_IFSL_Nov_07_08_ISL_conso_September_08_09_Xl0000012 2" xfId="2030" xr:uid="{00000000-0005-0000-0000-0000EE070000}"/>
    <cellStyle name="_Book1_IFSL_Nov_07_08_ISL_conso_September_09_10" xfId="2031" xr:uid="{00000000-0005-0000-0000-0000EF070000}"/>
    <cellStyle name="_Book1_IFSL_Nov_07_08_ISL_conso_September_09_10 2" xfId="2032" xr:uid="{00000000-0005-0000-0000-0000F0070000}"/>
    <cellStyle name="_Book1_IFSL_Nov_07_08_ISL_conso_September_09_10_ISL__3CD_FY2010-11" xfId="2033" xr:uid="{00000000-0005-0000-0000-0000F1070000}"/>
    <cellStyle name="_Book1_IFSL_Nov_07_08_ISL_conso_September_10_11" xfId="2034" xr:uid="{00000000-0005-0000-0000-0000F2070000}"/>
    <cellStyle name="_Book1_IFSL_Nov_07_08_ISL_conso_September_10_11 2" xfId="2035" xr:uid="{00000000-0005-0000-0000-0000F3070000}"/>
    <cellStyle name="_Book1_IFSL_Nov_07_08_ISL_June_10" xfId="2036" xr:uid="{00000000-0005-0000-0000-0000F4070000}"/>
    <cellStyle name="_Book1_IFSL_Nov_07_08_ISL_June_10 2" xfId="2037" xr:uid="{00000000-0005-0000-0000-0000F5070000}"/>
    <cellStyle name="_Book1_IFSL_Nov_07_08_ISL_MAR_2008_09" xfId="2038" xr:uid="{00000000-0005-0000-0000-0000F6070000}"/>
    <cellStyle name="_Book1_IFSL_Nov_07_08_ISL_March_08_09.final_11.12.2009" xfId="2039" xr:uid="{00000000-0005-0000-0000-0000F7070000}"/>
    <cellStyle name="_Book1_IFSL_Nov_07_08_ISL_March_08_09.final_11.12.2009_ISL__3CD_FY2010-11" xfId="2040" xr:uid="{00000000-0005-0000-0000-0000F8070000}"/>
    <cellStyle name="_Book1_IFSL_Nov_07_08_ISL_Provisions_30.09.2010" xfId="2041" xr:uid="{00000000-0005-0000-0000-0000F9070000}"/>
    <cellStyle name="_Book1_IFSL_Nov_07_08_ITCL_BS working _New format_31.03 V7" xfId="2042" xr:uid="{00000000-0005-0000-0000-0000FA070000}"/>
    <cellStyle name="_Book1_IFSL_Nov_07_08_ITCL-New format_31.03 V6" xfId="2043" xr:uid="{00000000-0005-0000-0000-0000FB070000}"/>
    <cellStyle name="_Book1_IFSL_Nov_07_08_ITR6_2009_10_ICPL1" xfId="2044" xr:uid="{00000000-0005-0000-0000-0000FC070000}"/>
    <cellStyle name="_Book1_IFSL_Nov_07_08_ITR6_2009_10_ICPL1_ISL__3CD_FY2010-11" xfId="2045" xr:uid="{00000000-0005-0000-0000-0000FD070000}"/>
    <cellStyle name="_Book1_IFSL_Nov_07_08_ITR6_2009_10_ISL_Vivek" xfId="2046" xr:uid="{00000000-0005-0000-0000-0000FE070000}"/>
    <cellStyle name="_Book1_IFSL_Nov_07_08_ITR6_2009_10_ISL_Vivek_ISL__3CD_FY2010-11" xfId="2047" xr:uid="{00000000-0005-0000-0000-0000FF070000}"/>
    <cellStyle name="_Book1_IFSL_Nov_07_08_loan" xfId="2048" xr:uid="{00000000-0005-0000-0000-000000080000}"/>
    <cellStyle name="_Book1_IFSL_Nov_07_08_loan_ISL__3CD_FY2010-11" xfId="2049" xr:uid="{00000000-0005-0000-0000-000001080000}"/>
    <cellStyle name="_Book1_IFSL_Nov_07_08_Provision" xfId="2050" xr:uid="{00000000-0005-0000-0000-000002080000}"/>
    <cellStyle name="_Book1_IFSL_Nov_07_08_Provision for Exp - FY 0809" xfId="2051" xr:uid="{00000000-0005-0000-0000-000003080000}"/>
    <cellStyle name="_Book1_IFSL_Nov_07_08_Provision for Exp - FY 0809_ISL__3CD_FY2010-11" xfId="2052" xr:uid="{00000000-0005-0000-0000-000004080000}"/>
    <cellStyle name="_Book1_IFSL_Nov_07_08_Provision March 09 (1)" xfId="2053" xr:uid="{00000000-0005-0000-0000-000005080000}"/>
    <cellStyle name="_Book1_IFSL_Nov_07_08_provisions q3" xfId="2054" xr:uid="{00000000-0005-0000-0000-000006080000}"/>
    <cellStyle name="_Book1_IFSL_Nov_07_08_Result" xfId="2055" xr:uid="{00000000-0005-0000-0000-000007080000}"/>
    <cellStyle name="_Book1_IFSL_Nov_07_08_Result 2" xfId="2056" xr:uid="{00000000-0005-0000-0000-000008080000}"/>
    <cellStyle name="_Book1_IFSL_Nov_07_08_Results" xfId="2057" xr:uid="{00000000-0005-0000-0000-000009080000}"/>
    <cellStyle name="_Book1_IFSL_Nov_07_08_Results 2" xfId="2058" xr:uid="{00000000-0005-0000-0000-00000A080000}"/>
    <cellStyle name="_Book1_IFSL_Nov_07_08_Standalone Financials - March 31, 2010 - Printable" xfId="2059" xr:uid="{00000000-0005-0000-0000-00000B080000}"/>
    <cellStyle name="_Book1_IFSL_Nov_07_08_Standalone Financials - March 31, 2010 - Printable_ISL__3CD_FY2010-11" xfId="2060" xr:uid="{00000000-0005-0000-0000-00000C080000}"/>
    <cellStyle name="_Book1_IFSL_Nov_07_08_Xl0000012" xfId="2061" xr:uid="{00000000-0005-0000-0000-00000D080000}"/>
    <cellStyle name="_Book1_IFSL_Nov_07_08_Xl0000012 2" xfId="2062" xr:uid="{00000000-0005-0000-0000-00000E080000}"/>
    <cellStyle name="_Book1_IFSL_Nov_07_08_Xl0000013" xfId="2063" xr:uid="{00000000-0005-0000-0000-00000F080000}"/>
    <cellStyle name="_Book1_IHFL_31 JULY-08 07 08 2008" xfId="2064" xr:uid="{00000000-0005-0000-0000-000010080000}"/>
    <cellStyle name="_Book1_IHFL_31 JULY-08 07 08 2008_Asset Management Company Limited" xfId="2065" xr:uid="{00000000-0005-0000-0000-000011080000}"/>
    <cellStyle name="_Book1_IHFL_31 JULY-08 07 08 2008_BS _IB Asset Management _3103_ver5" xfId="2066" xr:uid="{00000000-0005-0000-0000-000012080000}"/>
    <cellStyle name="_Book1_IHFL_31 JULY-08 07 08 2008_BS _IB Asset Management _3103_ver5_IAMCL BS working -New format_31.03 V5" xfId="2067" xr:uid="{00000000-0005-0000-0000-000013080000}"/>
    <cellStyle name="_Book1_IHFL_31 JULY-08 07 08 2008_IAMCL BS working -New format_31.03 V5" xfId="2068" xr:uid="{00000000-0005-0000-0000-000014080000}"/>
    <cellStyle name="_Book1_IHFL_31 JULY-08 07 08 2008_IB Asset Management _2910" xfId="2069" xr:uid="{00000000-0005-0000-0000-000015080000}"/>
    <cellStyle name="_Book1_IHFL_31 JULY-08 07 08 2008_IB Asset Management _2910_IB Collection Agency_3103 V3" xfId="2070" xr:uid="{00000000-0005-0000-0000-000016080000}"/>
    <cellStyle name="_Book1_IHFL_31 JULY-08 07 08 2008_IB Asset Management _2910_IB Collection Agency_3103 V3_ICAL-New Format_31.03 V4" xfId="2071" xr:uid="{00000000-0005-0000-0000-000017080000}"/>
    <cellStyle name="_Book1_IHFL_31 JULY-08 07 08 2008_IB Asset Management _2910_ICAL-BS Final Working _New format" xfId="2072" xr:uid="{00000000-0005-0000-0000-000018080000}"/>
    <cellStyle name="_Book1_IHFL_31 JULY-08 07 08 2008_IB Asset Management _3103_ver5" xfId="2073" xr:uid="{00000000-0005-0000-0000-000019080000}"/>
    <cellStyle name="_Book1_IHFL_31 JULY-08 07 08 2008_IB Asset Management_3103 V2" xfId="2074" xr:uid="{00000000-0005-0000-0000-00001A080000}"/>
    <cellStyle name="_Book1_IHFL_31 JULY-08 07 08 2008_IB Asset Management_3103 V4" xfId="2075" xr:uid="{00000000-0005-0000-0000-00001B080000}"/>
    <cellStyle name="_Book1_IHFL_31 JULY-08 07 08 2008_IB Asset Management_3103 V5" xfId="2076" xr:uid="{00000000-0005-0000-0000-00001C080000}"/>
    <cellStyle name="_Book1_IHFL_31 JULY-08 07 08 2008_IB Collection Agency_3103 V3" xfId="2077" xr:uid="{00000000-0005-0000-0000-00001D080000}"/>
    <cellStyle name="_Book1_IHFL_31 JULY-08 07 08 2008_IB Collection Agency_3103 V3_ICAL-New Format_31.03 V4" xfId="2078" xr:uid="{00000000-0005-0000-0000-00001E080000}"/>
    <cellStyle name="_Book1_IHFL_31 JULY-08 07 08 2008_IB Infrastructure Credit" xfId="2079" xr:uid="{00000000-0005-0000-0000-00001F080000}"/>
    <cellStyle name="_Book1_IHFL_31 JULY-08 07 08 2008_IB Infrastructure Credit-3103_V6" xfId="2080" xr:uid="{00000000-0005-0000-0000-000020080000}"/>
    <cellStyle name="_Book1_IHFL_31 JULY-08 07 08 2008_IB Infrastructure Credit-3103_V7" xfId="2081" xr:uid="{00000000-0005-0000-0000-000021080000}"/>
    <cellStyle name="_Book1_IHFL_31 JULY-08 07 08 2008_IB Life Insurance_3103 V4" xfId="2082" xr:uid="{00000000-0005-0000-0000-000022080000}"/>
    <cellStyle name="_Book1_IHFL_31 JULY-08 07 08 2008_IB Trustee Company_3103 V4" xfId="2083" xr:uid="{00000000-0005-0000-0000-000023080000}"/>
    <cellStyle name="_Book1_IHFL_31 JULY-08 07 08 2008_IBLIC_BS  Final working -New_Format_31.03 V5" xfId="2084" xr:uid="{00000000-0005-0000-0000-000024080000}"/>
    <cellStyle name="_Book1_IHFL_31 JULY-08 07 08 2008_Ibulls BS Final woirking -New format_31.03 V5" xfId="2085" xr:uid="{00000000-0005-0000-0000-000025080000}"/>
    <cellStyle name="_Book1_IHFL_31 JULY-08 07 08 2008_IbullsSales_3009V3 (3)" xfId="2086" xr:uid="{00000000-0005-0000-0000-000026080000}"/>
    <cellStyle name="_Book1_IHFL_31 JULY-08 07 08 2008_IbullsSales_3103" xfId="2087" xr:uid="{00000000-0005-0000-0000-000027080000}"/>
    <cellStyle name="_Book1_IHFL_31 JULY-08 07 08 2008_IbullsSales_3103 V2" xfId="2088" xr:uid="{00000000-0005-0000-0000-000028080000}"/>
    <cellStyle name="_Book1_IHFL_31 JULY-08 07 08 2008_IbullsSales_3103 V5" xfId="2089" xr:uid="{00000000-0005-0000-0000-000029080000}"/>
    <cellStyle name="_Book1_IHFL_31 JULY-08 07 08 2008_ICAL-BS Final Working _New format" xfId="2090" xr:uid="{00000000-0005-0000-0000-00002A080000}"/>
    <cellStyle name="_Book1_IHFL_31 JULY-08 07 08 2008_IICL_March'11" xfId="2091" xr:uid="{00000000-0005-0000-0000-00002B080000}"/>
    <cellStyle name="_Book1_IHFL_31 JULY-08 07 08 2008_Indiabulls Asset Management Company Limited printable" xfId="2092" xr:uid="{00000000-0005-0000-0000-00002C080000}"/>
    <cellStyle name="_Book1_IHFL_31 JULY-08 07 08 2008_ITCL_BS working _New format_31.03 V7" xfId="2093" xr:uid="{00000000-0005-0000-0000-00002D080000}"/>
    <cellStyle name="_Book1_IHFL_31 JULY-08 07 08 2008_ITCL-New format_31.03 V6" xfId="2094" xr:uid="{00000000-0005-0000-0000-00002E080000}"/>
    <cellStyle name="_Book1_IHFL_31 JULY-08 07 08 2008_NFCL working file" xfId="2095" xr:uid="{00000000-0005-0000-0000-00002F080000}"/>
    <cellStyle name="_Book1_IHFL_31 JULY-08 07 08 2008_NFCL_ Tax Audit Report FY08-09 " xfId="2096" xr:uid="{00000000-0005-0000-0000-000030080000}"/>
    <cellStyle name="_Book1_IHFL_31 JULY-08 07 08 2008_Tax Audit Report  F.Y.08-09" xfId="2097" xr:uid="{00000000-0005-0000-0000-000031080000}"/>
    <cellStyle name="_Book1_IHFL_31 JULY-08 07 08 2008_Tax Audit Report  ICSL F.Y.09-10" xfId="2098" xr:uid="{00000000-0005-0000-0000-000032080000}"/>
    <cellStyle name="_Book1_IHFL_31 JULY-08 07 08 2008_Xl0000013" xfId="2099" xr:uid="{00000000-0005-0000-0000-000033080000}"/>
    <cellStyle name="_Book1_IHFL_Dec_23_2008" xfId="2100" xr:uid="{00000000-0005-0000-0000-000034080000}"/>
    <cellStyle name="_Book1_IHFL_Dec_23_2008_Xl0000013" xfId="2101" xr:uid="{00000000-0005-0000-0000-000035080000}"/>
    <cellStyle name="_Book1_IHFL_March_15 03 2009" xfId="2102" xr:uid="{00000000-0005-0000-0000-000036080000}"/>
    <cellStyle name="_Book1_IHFL_March_15 03 2009_BS _IB Asset Management _3103_ver5" xfId="2103" xr:uid="{00000000-0005-0000-0000-000037080000}"/>
    <cellStyle name="_Book1_IHFL_March_15 03 2009_BS _IB Asset Management _3103_ver5_IAMCL BS working -New format_31.03 V5" xfId="2104" xr:uid="{00000000-0005-0000-0000-000038080000}"/>
    <cellStyle name="_Book1_IHFL_March_15 03 2009_IAMCL BS working -New format_31.03 V5" xfId="2105" xr:uid="{00000000-0005-0000-0000-000039080000}"/>
    <cellStyle name="_Book1_IHFL_March_15 03 2009_IB Asset Management _2910" xfId="2106" xr:uid="{00000000-0005-0000-0000-00003A080000}"/>
    <cellStyle name="_Book1_IHFL_March_15 03 2009_IB Asset Management _2910_IB Collection Agency_3103 V3" xfId="2107" xr:uid="{00000000-0005-0000-0000-00003B080000}"/>
    <cellStyle name="_Book1_IHFL_March_15 03 2009_IB Asset Management _2910_IB Collection Agency_3103 V3_ICAL-New Format_31.03 V4" xfId="2108" xr:uid="{00000000-0005-0000-0000-00003C080000}"/>
    <cellStyle name="_Book1_IHFL_March_15 03 2009_IB Asset Management _2910_ICAL-BS Final Working _New format" xfId="2109" xr:uid="{00000000-0005-0000-0000-00003D080000}"/>
    <cellStyle name="_Book1_IHFL_March_15 03 2009_IB Asset Management _3103_ver5" xfId="2110" xr:uid="{00000000-0005-0000-0000-00003E080000}"/>
    <cellStyle name="_Book1_IHFL_March_15 03 2009_IB Asset Management_3103 V2" xfId="2111" xr:uid="{00000000-0005-0000-0000-00003F080000}"/>
    <cellStyle name="_Book1_IHFL_March_15 03 2009_IB Asset Management_3103 V4" xfId="2112" xr:uid="{00000000-0005-0000-0000-000040080000}"/>
    <cellStyle name="_Book1_IHFL_March_15 03 2009_IB Asset Management_3103 V5" xfId="2113" xr:uid="{00000000-0005-0000-0000-000041080000}"/>
    <cellStyle name="_Book1_IHFL_March_15 03 2009_IB Collection Agency_3103 V3" xfId="2114" xr:uid="{00000000-0005-0000-0000-000042080000}"/>
    <cellStyle name="_Book1_IHFL_March_15 03 2009_IB Collection Agency_3103 V3_ICAL-New Format_31.03 V4" xfId="2115" xr:uid="{00000000-0005-0000-0000-000043080000}"/>
    <cellStyle name="_Book1_IHFL_March_15 03 2009_IB Infrastructure Credit-3103_V7" xfId="2116" xr:uid="{00000000-0005-0000-0000-000044080000}"/>
    <cellStyle name="_Book1_IHFL_March_15 03 2009_IB Life Insurance_3103 V4" xfId="2117" xr:uid="{00000000-0005-0000-0000-000045080000}"/>
    <cellStyle name="_Book1_IHFL_March_15 03 2009_IB Trustee Company_3103 V4" xfId="2118" xr:uid="{00000000-0005-0000-0000-000046080000}"/>
    <cellStyle name="_Book1_IHFL_March_15 03 2009_IBLIC_BS  Final working -New_Format_31.03 V5" xfId="2119" xr:uid="{00000000-0005-0000-0000-000047080000}"/>
    <cellStyle name="_Book1_IHFL_March_15 03 2009_Ibulls BS Final woirking -New format_31.03 V5" xfId="2120" xr:uid="{00000000-0005-0000-0000-000048080000}"/>
    <cellStyle name="_Book1_IHFL_March_15 03 2009_IbullsSales_3009V3 (3)" xfId="2121" xr:uid="{00000000-0005-0000-0000-000049080000}"/>
    <cellStyle name="_Book1_IHFL_March_15 03 2009_IbullsSales_3103" xfId="2122" xr:uid="{00000000-0005-0000-0000-00004A080000}"/>
    <cellStyle name="_Book1_IHFL_March_15 03 2009_IbullsSales_3103 V2" xfId="2123" xr:uid="{00000000-0005-0000-0000-00004B080000}"/>
    <cellStyle name="_Book1_IHFL_March_15 03 2009_IbullsSales_3103 V5" xfId="2124" xr:uid="{00000000-0005-0000-0000-00004C080000}"/>
    <cellStyle name="_Book1_IHFL_March_15 03 2009_ICAL-BS Final Working _New format" xfId="2125" xr:uid="{00000000-0005-0000-0000-00004D080000}"/>
    <cellStyle name="_Book1_IHFL_March_15 03 2009_IICL_March'11" xfId="2126" xr:uid="{00000000-0005-0000-0000-00004E080000}"/>
    <cellStyle name="_Book1_IHFL_March_15 03 2009_Indiabulls Asset Management Company Limited printable" xfId="2127" xr:uid="{00000000-0005-0000-0000-00004F080000}"/>
    <cellStyle name="_Book1_IHFL_March_15 03 2009_ITCL_BS working _New format_31.03 V7" xfId="2128" xr:uid="{00000000-0005-0000-0000-000050080000}"/>
    <cellStyle name="_Book1_IHFL_March_15 03 2009_ITCL-New format_31.03 V6" xfId="2129" xr:uid="{00000000-0005-0000-0000-000051080000}"/>
    <cellStyle name="_Book1_IHFL_March_15 03 2009_Xl0000013" xfId="2130" xr:uid="{00000000-0005-0000-0000-000052080000}"/>
    <cellStyle name="_Book1_IHFL_March_15.03.2009" xfId="2131" xr:uid="{00000000-0005-0000-0000-000053080000}"/>
    <cellStyle name="_Book1_IHFL_March_15.03.2009_BS _IB Asset Management _3103_ver5" xfId="2132" xr:uid="{00000000-0005-0000-0000-000054080000}"/>
    <cellStyle name="_Book1_IHFL_March_15.03.2009_BS _IB Asset Management _3103_ver5_IAMCL BS working -New format_31.03 V5" xfId="2133" xr:uid="{00000000-0005-0000-0000-000055080000}"/>
    <cellStyle name="_Book1_IHFL_March_15.03.2009_IAMCL BS working -New format_31.03 V5" xfId="2134" xr:uid="{00000000-0005-0000-0000-000056080000}"/>
    <cellStyle name="_Book1_IHFL_March_15.03.2009_IB Asset Management _2910" xfId="2135" xr:uid="{00000000-0005-0000-0000-000057080000}"/>
    <cellStyle name="_Book1_IHFL_March_15.03.2009_IB Asset Management _2910_IB Collection Agency_3103 V3" xfId="2136" xr:uid="{00000000-0005-0000-0000-000058080000}"/>
    <cellStyle name="_Book1_IHFL_March_15.03.2009_IB Asset Management _2910_IB Collection Agency_3103 V3_ICAL-New Format_31.03 V4" xfId="2137" xr:uid="{00000000-0005-0000-0000-000059080000}"/>
    <cellStyle name="_Book1_IHFL_March_15.03.2009_IB Asset Management _2910_ICAL-BS Final Working _New format" xfId="2138" xr:uid="{00000000-0005-0000-0000-00005A080000}"/>
    <cellStyle name="_Book1_IHFL_March_15.03.2009_IB Asset Management _3103_ver5" xfId="2139" xr:uid="{00000000-0005-0000-0000-00005B080000}"/>
    <cellStyle name="_Book1_IHFL_March_15.03.2009_IB Asset Management_3103 V2" xfId="2140" xr:uid="{00000000-0005-0000-0000-00005C080000}"/>
    <cellStyle name="_Book1_IHFL_March_15.03.2009_IB Asset Management_3103 V4" xfId="2141" xr:uid="{00000000-0005-0000-0000-00005D080000}"/>
    <cellStyle name="_Book1_IHFL_March_15.03.2009_IB Asset Management_3103 V5" xfId="2142" xr:uid="{00000000-0005-0000-0000-00005E080000}"/>
    <cellStyle name="_Book1_IHFL_March_15.03.2009_IB Collection Agency_3103 V3" xfId="2143" xr:uid="{00000000-0005-0000-0000-00005F080000}"/>
    <cellStyle name="_Book1_IHFL_March_15.03.2009_IB Collection Agency_3103 V3_ICAL-New Format_31.03 V4" xfId="2144" xr:uid="{00000000-0005-0000-0000-000060080000}"/>
    <cellStyle name="_Book1_IHFL_March_15.03.2009_IB Infrastructure Credit" xfId="2145" xr:uid="{00000000-0005-0000-0000-000061080000}"/>
    <cellStyle name="_Book1_IHFL_March_15.03.2009_IB Infrastructure Credit-3103_V6" xfId="2146" xr:uid="{00000000-0005-0000-0000-000062080000}"/>
    <cellStyle name="_Book1_IHFL_March_15.03.2009_IB Infrastructure Credit-3103_V7" xfId="2147" xr:uid="{00000000-0005-0000-0000-000063080000}"/>
    <cellStyle name="_Book1_IHFL_March_15.03.2009_IB Life Insurance_3103 V4" xfId="2148" xr:uid="{00000000-0005-0000-0000-000064080000}"/>
    <cellStyle name="_Book1_IHFL_March_15.03.2009_IB Trustee Company_3103 V4" xfId="2149" xr:uid="{00000000-0005-0000-0000-000065080000}"/>
    <cellStyle name="_Book1_IHFL_March_15.03.2009_IBLIC_BS  Final working -New_Format_31.03 V5" xfId="2150" xr:uid="{00000000-0005-0000-0000-000066080000}"/>
    <cellStyle name="_Book1_IHFL_March_15.03.2009_Ibulls BS Final woirking -New format_31.03 V5" xfId="2151" xr:uid="{00000000-0005-0000-0000-000067080000}"/>
    <cellStyle name="_Book1_IHFL_March_15.03.2009_IbullsSales_3009V3 (3)" xfId="2152" xr:uid="{00000000-0005-0000-0000-000068080000}"/>
    <cellStyle name="_Book1_IHFL_March_15.03.2009_IbullsSales_3103" xfId="2153" xr:uid="{00000000-0005-0000-0000-000069080000}"/>
    <cellStyle name="_Book1_IHFL_March_15.03.2009_IbullsSales_3103 V2" xfId="2154" xr:uid="{00000000-0005-0000-0000-00006A080000}"/>
    <cellStyle name="_Book1_IHFL_March_15.03.2009_IbullsSales_3103 V5" xfId="2155" xr:uid="{00000000-0005-0000-0000-00006B080000}"/>
    <cellStyle name="_Book1_IHFL_March_15.03.2009_ICAL-BS Final Working _New format" xfId="2156" xr:uid="{00000000-0005-0000-0000-00006C080000}"/>
    <cellStyle name="_Book1_IHFL_March_15.03.2009_IICL_March'11" xfId="2157" xr:uid="{00000000-0005-0000-0000-00006D080000}"/>
    <cellStyle name="_Book1_IHFL_March_15.03.2009_Indiabulls Asset Management Company Limited printable" xfId="2158" xr:uid="{00000000-0005-0000-0000-00006E080000}"/>
    <cellStyle name="_Book1_IHFL_March_15.03.2009_ITCL_BS working _New format_31.03 V7" xfId="2159" xr:uid="{00000000-0005-0000-0000-00006F080000}"/>
    <cellStyle name="_Book1_IHFL_March_15.03.2009_ITCL-New format_31.03 V6" xfId="2160" xr:uid="{00000000-0005-0000-0000-000070080000}"/>
    <cellStyle name="_Book1_IHFL_March_15.03.2009_Xl0000013" xfId="2161" xr:uid="{00000000-0005-0000-0000-000071080000}"/>
    <cellStyle name="_Book1_IHFL_SEP_30_2009 XIII AUDIT- Sch II" xfId="2162" xr:uid="{00000000-0005-0000-0000-000072080000}"/>
    <cellStyle name="_Book1_IIAL 31 03 2009 ver 9" xfId="2163" xr:uid="{00000000-0005-0000-0000-000073080000}"/>
    <cellStyle name="_Book1_IIAL 31.03.2010 VER2" xfId="2164" xr:uid="{00000000-0005-0000-0000-000074080000}"/>
    <cellStyle name="_Book1_IIAPL Tax Audit Report FY08-09 A" xfId="2165" xr:uid="{00000000-0005-0000-0000-000075080000}"/>
    <cellStyle name="_Book1_IIAPL_Mar_07_08 (170408)-SAP-2" xfId="2166" xr:uid="{00000000-0005-0000-0000-000076080000}"/>
    <cellStyle name="_Book1_IIDL -Interest Calculation" xfId="2167" xr:uid="{00000000-0005-0000-0000-000077080000}"/>
    <cellStyle name="_Book1_IIDL -Interest Calculation 2" xfId="2168" xr:uid="{00000000-0005-0000-0000-000078080000}"/>
    <cellStyle name="_Book1_IIDL_3227_2007-08" xfId="2169" xr:uid="{00000000-0005-0000-0000-000079080000}"/>
    <cellStyle name="_Book1_IIDL_3227_2007-08 2" xfId="2170" xr:uid="{00000000-0005-0000-0000-00007A080000}"/>
    <cellStyle name="_Book1_IIDL_3227_2007-08_Abstract-2007-08" xfId="2171" xr:uid="{00000000-0005-0000-0000-00007B080000}"/>
    <cellStyle name="_Book1_IIDL_3227_2007-08_ACL_3402_2008-09" xfId="2172" xr:uid="{00000000-0005-0000-0000-00007C080000}"/>
    <cellStyle name="_Book1_IIDL_3227_2007-08_ADL_3373_2008-09" xfId="2173" xr:uid="{00000000-0005-0000-0000-00007D080000}"/>
    <cellStyle name="_Book1_IIDL_3227_2007-08_Advance Tax Summary" xfId="2174" xr:uid="{00000000-0005-0000-0000-00007E080000}"/>
    <cellStyle name="_Book1_IIDL_3227_2007-08_Advance Tax Summary 2" xfId="2175" xr:uid="{00000000-0005-0000-0000-00007F080000}"/>
    <cellStyle name="_Book1_IIDL_3227_2007-08_Aug consl backup-land adv &amp; Ext ICD" xfId="2176" xr:uid="{00000000-0005-0000-0000-000080080000}"/>
    <cellStyle name="_Book1_IIDL_3227_2007-08_Book1 (2)" xfId="2177" xr:uid="{00000000-0005-0000-0000-000081080000}"/>
    <cellStyle name="_Book1_IIDL_3227_2007-08_ChlorisProperties_3351_Dec.08" xfId="2178" xr:uid="{00000000-0005-0000-0000-000082080000}"/>
    <cellStyle name="_Book1_IIDL_3227_2007-08_CIL_3415_2008-09" xfId="2179" xr:uid="{00000000-0005-0000-0000-000083080000}"/>
    <cellStyle name="_Book1_IIDL_3227_2007-08_Consol Balance Sheet_Sophia_Dec08_Ibrel_1.3" xfId="2180" xr:uid="{00000000-0005-0000-0000-000084080000}"/>
    <cellStyle name="_Book1_IIDL_3227_2007-08_Consol_sophia _Ipsl_Nov" xfId="2181" xr:uid="{00000000-0005-0000-0000-000085080000}"/>
    <cellStyle name="_Book1_IIDL_3227_2007-08_Details" xfId="2182" xr:uid="{00000000-0005-0000-0000-000086080000}"/>
    <cellStyle name="_Book1_IIDL_3227_2007-08_Final Consol Balance Sheet_Sophia_Dec08_27.01.08" xfId="2183" xr:uid="{00000000-0005-0000-0000-000087080000}"/>
    <cellStyle name="_Book1_IIDL_3227_2007-08_Fixed Assets consolidated" xfId="2184" xr:uid="{00000000-0005-0000-0000-000088080000}"/>
    <cellStyle name="_Book1_IIDL_3227_2007-08_Fornax" xfId="2185" xr:uid="{00000000-0005-0000-0000-000089080000}"/>
    <cellStyle name="_Book1_IIDL_3227_2007-08_IBL_3441_2008-09" xfId="2186" xr:uid="{00000000-0005-0000-0000-00008A080000}"/>
    <cellStyle name="_Book1_IIDL_3227_2007-08_Ipsl_Nov_1 1" xfId="2187" xr:uid="{00000000-0005-0000-0000-00008B080000}"/>
    <cellStyle name="_Book1_IIDL_3227_2007-08_IREL(Conso)_2007-08_March_Revised" xfId="2188" xr:uid="{00000000-0005-0000-0000-00008C080000}"/>
    <cellStyle name="_Book1_IIDL_3227_2007-08_IREL(Conso)_2007-08_March_Revised_IREL_3000_08-09" xfId="2189" xr:uid="{00000000-0005-0000-0000-00008D080000}"/>
    <cellStyle name="_Book1_IIDL_3227_2007-08_IREL(Conso)_2007-08_March_Revised_IREL_3000_08-09 2" xfId="2190" xr:uid="{00000000-0005-0000-0000-00008E080000}"/>
    <cellStyle name="_Book1_IIDL_3227_2007-08_IREL(Conso)_2007-08_March_Revised_IREL_3000_08-09 stage 3" xfId="2191" xr:uid="{00000000-0005-0000-0000-00008F080000}"/>
    <cellStyle name="_Book1_IIDL_3227_2007-08_IREL(Conso)_2007-08_March_Revised_IREL_3000_08-09 stage 3_IREL_3000_08-09" xfId="2192" xr:uid="{00000000-0005-0000-0000-000090080000}"/>
    <cellStyle name="_Book1_IIDL_3227_2007-08_IREL(Conso)_2007-08_March_Revised_IREL_3000_08-09 stage 3_IREL_3000_08-09 2" xfId="2193" xr:uid="{00000000-0005-0000-0000-000091080000}"/>
    <cellStyle name="_Book1_IIDL_3227_2007-08_IREL(Conso)_2007-08_March_Revised_IREL_3000_08-09_IBREAL_BS PACK-Version.02" xfId="2194" xr:uid="{00000000-0005-0000-0000-000092080000}"/>
    <cellStyle name="_Book1_IIDL_3227_2007-08_IREL(Conso)_2007-08_March_Revised_IREL_3000_08-09_IBREAL_BS PACK-Version.02 2" xfId="2195" xr:uid="{00000000-0005-0000-0000-000093080000}"/>
    <cellStyle name="_Book1_IIDL_3227_2007-08_IREL(Conso)_2007-08_March_Revised_IREL_3000_08-09_IBREAL_BS PACK-Version.02_IBREAL_BS PACK-Version.03" xfId="2196" xr:uid="{00000000-0005-0000-0000-000094080000}"/>
    <cellStyle name="_Book1_IIDL_3227_2007-08_IREL(Conso)_2007-08_March_Revised_IREL_3000_08-09_IBREAL_BS PACK-Version.02_IBREAL_BS PACK-Version.03 2" xfId="2197" xr:uid="{00000000-0005-0000-0000-000095080000}"/>
    <cellStyle name="_Book1_IIDL_3227_2007-08_IREL(Conso)_2007-08_March_Revised_IREL_3000_08-09_IBREAL_BS PACK-Version.02_IBREAL_BS PACK-Version.03_IBREAL_BS PACK-Version.07" xfId="2198" xr:uid="{00000000-0005-0000-0000-000096080000}"/>
    <cellStyle name="_Book1_IIDL_3227_2007-08_IREL(Conso)_2007-08_March_Revised_IREL_3000_08-09_IBREAL_BS PACK-Version.02_IBREAL_BS PACK-Version.03_IBREAL_BS PACK-Version.07 2" xfId="2199" xr:uid="{00000000-0005-0000-0000-000097080000}"/>
    <cellStyle name="_Book1_IIDL_3227_2007-08_IREL(Conso)_2007-08_November-1" xfId="2200" xr:uid="{00000000-0005-0000-0000-000098080000}"/>
    <cellStyle name="_Book1_IIDL_3227_2007-08_IREL(Conso)_2007-08_November-1 2" xfId="2201" xr:uid="{00000000-0005-0000-0000-000099080000}"/>
    <cellStyle name="_Book1_IIDL_3227_2007-08_IREL(Conso)_2007-08_November-1_Abstract-2007-08" xfId="2202" xr:uid="{00000000-0005-0000-0000-00009A080000}"/>
    <cellStyle name="_Book1_IIDL_3227_2007-08_IREL(Conso)_2007-08_November-1_Aug consl backup-land adv &amp; Ext ICD" xfId="2203" xr:uid="{00000000-0005-0000-0000-00009B080000}"/>
    <cellStyle name="_Book1_IIDL_3227_2007-08_IREL(Conso)_2007-08_November-1_Fornax" xfId="2204" xr:uid="{00000000-0005-0000-0000-00009C080000}"/>
    <cellStyle name="_Book1_IIDL_3227_2007-08_IREL(Conso)_2007-08_November-1_IREL_3000_08-09" xfId="2205" xr:uid="{00000000-0005-0000-0000-00009D080000}"/>
    <cellStyle name="_Book1_IIDL_3227_2007-08_IREL(Conso)_2007-08_November-1_ISL Group - Advance Tax working for 3rd Instalment" xfId="2206" xr:uid="{00000000-0005-0000-0000-00009E080000}"/>
    <cellStyle name="_Book1_IIDL_3227_2007-08_IREL(Conso)_June_07-08_30-07-08" xfId="2207" xr:uid="{00000000-0005-0000-0000-00009F080000}"/>
    <cellStyle name="_Book1_IIDL_3227_2007-08_IREL(Conso)_June_07-08_30-07-08_IREL_3000_08-09" xfId="2208" xr:uid="{00000000-0005-0000-0000-0000A0080000}"/>
    <cellStyle name="_Book1_IIDL_3227_2007-08_IREL(Conso)_June_07-08_30-07-08_IREL_3000_08-09 2" xfId="2209" xr:uid="{00000000-0005-0000-0000-0000A1080000}"/>
    <cellStyle name="_Book1_IIDL_3227_2007-08_IREL(Conso)_June_07-08_30-07-08_IREL_3000_08-09 stage 3" xfId="2210" xr:uid="{00000000-0005-0000-0000-0000A2080000}"/>
    <cellStyle name="_Book1_IIDL_3227_2007-08_IREL(Conso)_June_07-08_30-07-08_IREL_3000_08-09 stage 3_IREL_3000_08-09" xfId="2211" xr:uid="{00000000-0005-0000-0000-0000A3080000}"/>
    <cellStyle name="_Book1_IIDL_3227_2007-08_IREL(Conso)_June_07-08_30-07-08_IREL_3000_08-09 stage 3_IREL_3000_08-09 2" xfId="2212" xr:uid="{00000000-0005-0000-0000-0000A4080000}"/>
    <cellStyle name="_Book1_IIDL_3227_2007-08_IREL(Conso)_June_07-08_30-07-08_IREL_3000_08-09_IBREAL_BS PACK-Version.02" xfId="2213" xr:uid="{00000000-0005-0000-0000-0000A5080000}"/>
    <cellStyle name="_Book1_IIDL_3227_2007-08_IREL(Conso)_June_07-08_30-07-08_IREL_3000_08-09_IBREAL_BS PACK-Version.02 2" xfId="2214" xr:uid="{00000000-0005-0000-0000-0000A6080000}"/>
    <cellStyle name="_Book1_IIDL_3227_2007-08_IREL(Conso)_June_07-08_30-07-08_IREL_3000_08-09_IBREAL_BS PACK-Version.02_IBREAL_BS PACK-Version.03" xfId="2215" xr:uid="{00000000-0005-0000-0000-0000A7080000}"/>
    <cellStyle name="_Book1_IIDL_3227_2007-08_IREL(Conso)_June_07-08_30-07-08_IREL_3000_08-09_IBREAL_BS PACK-Version.02_IBREAL_BS PACK-Version.03 2" xfId="2216" xr:uid="{00000000-0005-0000-0000-0000A8080000}"/>
    <cellStyle name="_Book1_IIDL_3227_2007-08_IREL(Conso)_June_07-08_30-07-08_IREL_3000_08-09_IBREAL_BS PACK-Version.02_IBREAL_BS PACK-Version.03_IBREAL_BS PACK-Version.07" xfId="2217" xr:uid="{00000000-0005-0000-0000-0000A9080000}"/>
    <cellStyle name="_Book1_IIDL_3227_2007-08_IREL(Conso)_June_07-08_30-07-08_IREL_3000_08-09_IBREAL_BS PACK-Version.02_IBREAL_BS PACK-Version.03_IBREAL_BS PACK-Version.07 2" xfId="2218" xr:uid="{00000000-0005-0000-0000-0000AA080000}"/>
    <cellStyle name="_Book1_IIDL_3227_2007-08_IREL_3000_08-09" xfId="2219" xr:uid="{00000000-0005-0000-0000-0000AB080000}"/>
    <cellStyle name="_Book1_IIDL_3227_2007-08_IREL_3000_2007-08" xfId="2220" xr:uid="{00000000-0005-0000-0000-0000AC080000}"/>
    <cellStyle name="_Book1_IIDL_3227_2007-08_IREL_3000_2007-08 2" xfId="2221" xr:uid="{00000000-0005-0000-0000-0000AD080000}"/>
    <cellStyle name="_Book1_IIDL_3227_2007-08_IREL_3000_2007-08_IREL_3000_08-09" xfId="2222" xr:uid="{00000000-0005-0000-0000-0000AE080000}"/>
    <cellStyle name="_Book1_IIDL_3227_2007-08_ISL Group - Advance Tax working for 3rd Instalment" xfId="2223" xr:uid="{00000000-0005-0000-0000-0000AF080000}"/>
    <cellStyle name="_Book1_IIDL_3227_2007-08_Land  CWIP status" xfId="2224" xr:uid="{00000000-0005-0000-0000-0000B0080000}"/>
    <cellStyle name="_Book1_IIDL_3227_2007-08_Power Group - Advance Tax working for 3rd Installment" xfId="2225" xr:uid="{00000000-0005-0000-0000-0000B1080000}"/>
    <cellStyle name="_Book1_IIDL_3227_2007-08_Results  Format - Sep 30" xfId="2226" xr:uid="{00000000-0005-0000-0000-0000B2080000}"/>
    <cellStyle name="_Book1_IIDL_3227_2007-08_Results  Format - Sep 30_EPS working" xfId="2227" xr:uid="{00000000-0005-0000-0000-0000B3080000}"/>
    <cellStyle name="_Book1_IIDL_3227_2007-08_Results  Format - Sep 30_EPS working 2" xfId="2228" xr:uid="{00000000-0005-0000-0000-0000B4080000}"/>
    <cellStyle name="_Book1_IIDL_3227_2007-08_Results  Format - Sep 30_EPS working_IBREAL_BS PACK-Version.02" xfId="2229" xr:uid="{00000000-0005-0000-0000-0000B5080000}"/>
    <cellStyle name="_Book1_IIDL_3227_2007-08_Results  Format - Sep 30_EPS working_IBREAL_BS PACK-Version.02 2" xfId="2230" xr:uid="{00000000-0005-0000-0000-0000B6080000}"/>
    <cellStyle name="_Book1_IIDL_3227_2007-08_Results  Format - Sep 30_EPS working_IBREAL_BS PACK-Version.02_IBREAL_BS PACK-Version.03" xfId="2231" xr:uid="{00000000-0005-0000-0000-0000B7080000}"/>
    <cellStyle name="_Book1_IIDL_3227_2007-08_Results  Format - Sep 30_EPS working_IBREAL_BS PACK-Version.02_IBREAL_BS PACK-Version.03 2" xfId="2232" xr:uid="{00000000-0005-0000-0000-0000B8080000}"/>
    <cellStyle name="_Book1_IIDL_3227_2007-08_Results  Format - Sep 30_EPS working_IBREAL_BS PACK-Version.02_IBREAL_BS PACK-Version.03_IBREAL_BS PACK-Version.07" xfId="2233" xr:uid="{00000000-0005-0000-0000-0000B9080000}"/>
    <cellStyle name="_Book1_IIDL_3227_2007-08_Results  Format - Sep 30_EPS working_IBREAL_BS PACK-Version.02_IBREAL_BS PACK-Version.03_IBREAL_BS PACK-Version.07 2" xfId="2234" xr:uid="{00000000-0005-0000-0000-0000BA080000}"/>
    <cellStyle name="_Book1_IIDL_3227_2007-08_Results  Format - Sep 30_IREL_3000_08-09" xfId="2235" xr:uid="{00000000-0005-0000-0000-0000BB080000}"/>
    <cellStyle name="_Book1_IIDL_3227_2007-08_Results  Format - Sep 30_IREL_3000_08-09 2" xfId="2236" xr:uid="{00000000-0005-0000-0000-0000BC080000}"/>
    <cellStyle name="_Book1_IIDL_3227_2007-08_Results  Format - Sep 30_IREL_3000_08-09 stage 3" xfId="2237" xr:uid="{00000000-0005-0000-0000-0000BD080000}"/>
    <cellStyle name="_Book1_IIDL_3227_2007-08_Results  Format - Sep 30_IREL_3000_08-09 stage 3_IREL_3000_08-09" xfId="2238" xr:uid="{00000000-0005-0000-0000-0000BE080000}"/>
    <cellStyle name="_Book1_IIDL_3227_2007-08_Results  Format - Sep 30_IREL_3000_08-09 stage 3_IREL_3000_08-09 2" xfId="2239" xr:uid="{00000000-0005-0000-0000-0000BF080000}"/>
    <cellStyle name="_Book1_IIDL_3227_2007-08_Results  Format - Sep 30_IREL_3000_08-09_IBREAL_BS PACK-Version.02" xfId="2240" xr:uid="{00000000-0005-0000-0000-0000C0080000}"/>
    <cellStyle name="_Book1_IIDL_3227_2007-08_Results  Format - Sep 30_IREL_3000_08-09_IBREAL_BS PACK-Version.02 2" xfId="2241" xr:uid="{00000000-0005-0000-0000-0000C1080000}"/>
    <cellStyle name="_Book1_IIDL_3227_2007-08_Results  Format - Sep 30_IREL_3000_08-09_IBREAL_BS PACK-Version.02_IBREAL_BS PACK-Version.03" xfId="2242" xr:uid="{00000000-0005-0000-0000-0000C2080000}"/>
    <cellStyle name="_Book1_IIDL_3227_2007-08_Results  Format - Sep 30_IREL_3000_08-09_IBREAL_BS PACK-Version.02_IBREAL_BS PACK-Version.03 2" xfId="2243" xr:uid="{00000000-0005-0000-0000-0000C3080000}"/>
    <cellStyle name="_Book1_IIDL_3227_2007-08_Results  Format - Sep 30_IREL_3000_08-09_IBREAL_BS PACK-Version.02_IBREAL_BS PACK-Version.03_IBREAL_BS PACK-Version.07" xfId="2244" xr:uid="{00000000-0005-0000-0000-0000C4080000}"/>
    <cellStyle name="_Book1_IIDL_3227_2007-08_Results  Format - Sep 30_IREL_3000_08-09_IBREAL_BS PACK-Version.02_IBREAL_BS PACK-Version.03_IBREAL_BS PACK-Version.07 2" xfId="2245" xr:uid="{00000000-0005-0000-0000-0000C5080000}"/>
    <cellStyle name="_Book1_IIDL_3227_2007-08_Results  Format - Sep 30_IREL_3000_2009-29_July2009  Final Shahi" xfId="2246" xr:uid="{00000000-0005-0000-0000-0000C6080000}"/>
    <cellStyle name="_Book1_IIDL_3227_2007-08_Results  Format - Sep 30_IREL_3000_2009-29_July2009  Final Shahi 2" xfId="2247" xr:uid="{00000000-0005-0000-0000-0000C7080000}"/>
    <cellStyle name="_Book1_IIDL_3227_2007-08_Results  Format - Sep 30_IREL_3000_2009-29_July2009  Final Shahi_IBREAL_BS PACK-Version.02" xfId="2248" xr:uid="{00000000-0005-0000-0000-0000C8080000}"/>
    <cellStyle name="_Book1_IIDL_3227_2007-08_Results  Format - Sep 30_IREL_3000_2009-29_July2009  Final Shahi_IBREAL_BS PACK-Version.02 2" xfId="2249" xr:uid="{00000000-0005-0000-0000-0000C9080000}"/>
    <cellStyle name="_Book1_IIDL_3227_2007-08_Results  Format - Sep 30_IREL_3000_2009-29_July2009  Final Shahi_IBREAL_BS PACK-Version.02_IBREAL_BS PACK-Version.03" xfId="2250" xr:uid="{00000000-0005-0000-0000-0000CA080000}"/>
    <cellStyle name="_Book1_IIDL_3227_2007-08_Results  Format - Sep 30_IREL_3000_2009-29_July2009  Final Shahi_IBREAL_BS PACK-Version.02_IBREAL_BS PACK-Version.03 2" xfId="2251" xr:uid="{00000000-0005-0000-0000-0000CB080000}"/>
    <cellStyle name="_Book1_IIDL_3227_2007-08_Results  Format - Sep 30_IREL_3000_2009-29_July2009  Final Shahi_IBREAL_BS PACK-Version.02_IBREAL_BS PACK-Version.03_IBREAL_BS PACK-Version.07" xfId="2252" xr:uid="{00000000-0005-0000-0000-0000CC080000}"/>
    <cellStyle name="_Book1_IIDL_3227_2007-08_Results  Format - Sep 30_IREL_3000_2009-29_July2009  Final Shahi_IBREAL_BS PACK-Version.02_IBREAL_BS PACK-Version.03_IBREAL_BS PACK-Version.07 2" xfId="2253" xr:uid="{00000000-0005-0000-0000-0000CD080000}"/>
    <cellStyle name="_Book1_IIDL_3227_2007-08_Revised Consol Balance Sheet_Sophia_Jan09_10.02.2009" xfId="2254" xr:uid="{00000000-0005-0000-0000-0000CE080000}"/>
    <cellStyle name="_Book1_IIDL_3227_2007-08_Sophia Consol for Printout 22 Jun 09" xfId="2255" xr:uid="{00000000-0005-0000-0000-0000CF080000}"/>
    <cellStyle name="_Book1_IIDL_3227_2007-08_Sophia Consol_march_09_05 June  09_1" xfId="2256" xr:uid="{00000000-0005-0000-0000-0000D0080000}"/>
    <cellStyle name="_Book1_IIDL_3227_2007-08_sophia_Nov08" xfId="2257" xr:uid="{00000000-0005-0000-0000-0000D1080000}"/>
    <cellStyle name="_Book1_IIDL_3227_2007-08_Treasury ICD Interest_ MIS_ 23  09 2009(final)" xfId="2258" xr:uid="{00000000-0005-0000-0000-0000D2080000}"/>
    <cellStyle name="_Book1_IIDL_3227_2007-08_Treasury ICD Interest_ MIS_ 30. 06 2009(final)" xfId="2259" xr:uid="{00000000-0005-0000-0000-0000D3080000}"/>
    <cellStyle name="_Book1_IIDL_3227_2007-08_Treasury ICD Interest_ MIS_ 30. 09 2009(final)" xfId="2260" xr:uid="{00000000-0005-0000-0000-0000D4080000}"/>
    <cellStyle name="_Book1_IIDL_3227_2007-08_Treasury ICD Interest_ MIS_ 31 05 2009" xfId="2261" xr:uid="{00000000-0005-0000-0000-0000D5080000}"/>
    <cellStyle name="_Book1_IIDL_3227_2007-08_Treasury ICD Interest_ MIS_ 31 10 2009" xfId="2262" xr:uid="{00000000-0005-0000-0000-0000D6080000}"/>
    <cellStyle name="_Book1_IIDL_3227_2007-08_Treasury ICD Interest_ MIS_ 31.10.2009" xfId="2263" xr:uid="{00000000-0005-0000-0000-0000D7080000}"/>
    <cellStyle name="_Book1_IIDL_3227_2007-08_Treasury ICD Interest_ MIS_ 310309" xfId="2264" xr:uid="{00000000-0005-0000-0000-0000D8080000}"/>
    <cellStyle name="_Book1_IIDL_3227_2007-08_Xl0000013" xfId="2265" xr:uid="{00000000-0005-0000-0000-0000D9080000}"/>
    <cellStyle name="_Book1_IIIL_3311_Oct 07_y" xfId="2266" xr:uid="{00000000-0005-0000-0000-0000DA080000}"/>
    <cellStyle name="_Book1_IIIL_3311_Oct 07_y 2" xfId="2267" xr:uid="{00000000-0005-0000-0000-0000DB080000}"/>
    <cellStyle name="_Book1_IIIL_3311_Oct 07_y_ACL_3402_2008-09" xfId="2268" xr:uid="{00000000-0005-0000-0000-0000DC080000}"/>
    <cellStyle name="_Book1_IIIL_3311_Oct 07_y_ADL_3373_2008-09" xfId="2269" xr:uid="{00000000-0005-0000-0000-0000DD080000}"/>
    <cellStyle name="_Book1_IIIL_3311_Oct 07_y_Advance Tax Summary" xfId="2270" xr:uid="{00000000-0005-0000-0000-0000DE080000}"/>
    <cellStyle name="_Book1_IIIL_3311_Oct 07_y_Advance Tax Summary 2" xfId="2271" xr:uid="{00000000-0005-0000-0000-0000DF080000}"/>
    <cellStyle name="_Book1_IIIL_3311_Oct 07_y_Base File For Segment" xfId="2272" xr:uid="{00000000-0005-0000-0000-0000E0080000}"/>
    <cellStyle name="_Book1_IIIL_3311_Oct 07_y_CIL_3415_2008-09" xfId="2273" xr:uid="{00000000-0005-0000-0000-0000E1080000}"/>
    <cellStyle name="_Book1_IIIL_3311_Oct 07_y_detail" xfId="2274" xr:uid="{00000000-0005-0000-0000-0000E2080000}"/>
    <cellStyle name="_Book1_IIIL_3311_Oct 07_y_detail (2)" xfId="2275" xr:uid="{00000000-0005-0000-0000-0000E3080000}"/>
    <cellStyle name="_Book1_IIIL_3311_Oct 07_y_detail to be added in june,2008" xfId="2276" xr:uid="{00000000-0005-0000-0000-0000E4080000}"/>
    <cellStyle name="_Book1_IIIL_3311_Oct 07_y_IBL_3441_2008-09" xfId="2277" xr:uid="{00000000-0005-0000-0000-0000E5080000}"/>
    <cellStyle name="_Book1_IIIL_3311_Oct 07_y_IEL_3210_ 2007-2008" xfId="2278" xr:uid="{00000000-0005-0000-0000-0000E6080000}"/>
    <cellStyle name="_Book1_IIIL_3311_Oct 07_y_IEL_3210_ 2007-2008_260508" xfId="2279" xr:uid="{00000000-0005-0000-0000-0000E7080000}"/>
    <cellStyle name="_Book1_IIIL_3311_Oct 07_y_ISL Group - Advance Tax working for 3rd Instalment" xfId="2280" xr:uid="{00000000-0005-0000-0000-0000E8080000}"/>
    <cellStyle name="_Book1_IIIL_3311_Oct 07_y_Land  CWIP status" xfId="2281" xr:uid="{00000000-0005-0000-0000-0000E9080000}"/>
    <cellStyle name="_Book1_IIIL_3311_Oct 07_y_Power Group - Advance Tax working for 3rd Installment" xfId="2282" xr:uid="{00000000-0005-0000-0000-0000EA080000}"/>
    <cellStyle name="_Book1_IIIL_3311_Oct 07_y_Xl0000013" xfId="2283" xr:uid="{00000000-0005-0000-0000-0000EB080000}"/>
    <cellStyle name="_Book1_Incentive - Feb 08" xfId="2284" xr:uid="{00000000-0005-0000-0000-0000EC080000}"/>
    <cellStyle name="_Book1_Incentive - Feb 08 2" xfId="2285" xr:uid="{00000000-0005-0000-0000-0000ED080000}"/>
    <cellStyle name="_Book1_Income MYNL Nilgiri" xfId="2286" xr:uid="{00000000-0005-0000-0000-0000EE080000}"/>
    <cellStyle name="_Book1_Income MYNL Nilgiri_Asset Management Company Limited" xfId="2287" xr:uid="{00000000-0005-0000-0000-0000EF080000}"/>
    <cellStyle name="_Book1_Income MYNL Nilgiri_BS _IB Asset Management _3103_ver5" xfId="2288" xr:uid="{00000000-0005-0000-0000-0000F0080000}"/>
    <cellStyle name="_Book1_Income MYNL Nilgiri_BS _IB Asset Management _3103_ver5_IAMCL BS working -New format_31.03 V5" xfId="2289" xr:uid="{00000000-0005-0000-0000-0000F1080000}"/>
    <cellStyle name="_Book1_Income MYNL Nilgiri_IAMCL BS working -New format_31.03 V5" xfId="2290" xr:uid="{00000000-0005-0000-0000-0000F2080000}"/>
    <cellStyle name="_Book1_Income MYNL Nilgiri_IB Asset Management _2910" xfId="2291" xr:uid="{00000000-0005-0000-0000-0000F3080000}"/>
    <cellStyle name="_Book1_Income MYNL Nilgiri_IB Asset Management _2910_IB Collection Agency_3103 V3" xfId="2292" xr:uid="{00000000-0005-0000-0000-0000F4080000}"/>
    <cellStyle name="_Book1_Income MYNL Nilgiri_IB Asset Management _2910_IB Collection Agency_3103 V3_ICAL-New Format_31.03 V4" xfId="2293" xr:uid="{00000000-0005-0000-0000-0000F5080000}"/>
    <cellStyle name="_Book1_Income MYNL Nilgiri_IB Asset Management _2910_ICAL-BS Final Working _New format" xfId="2294" xr:uid="{00000000-0005-0000-0000-0000F6080000}"/>
    <cellStyle name="_Book1_Income MYNL Nilgiri_IB Asset Management _3103_ver5" xfId="2295" xr:uid="{00000000-0005-0000-0000-0000F7080000}"/>
    <cellStyle name="_Book1_Income MYNL Nilgiri_IB Asset Management_3103 V2" xfId="2296" xr:uid="{00000000-0005-0000-0000-0000F8080000}"/>
    <cellStyle name="_Book1_Income MYNL Nilgiri_IB Asset Management_3103 V4" xfId="2297" xr:uid="{00000000-0005-0000-0000-0000F9080000}"/>
    <cellStyle name="_Book1_Income MYNL Nilgiri_IB Asset Management_3103 V5" xfId="2298" xr:uid="{00000000-0005-0000-0000-0000FA080000}"/>
    <cellStyle name="_Book1_Income MYNL Nilgiri_IB Collection Agency_3103 V3" xfId="2299" xr:uid="{00000000-0005-0000-0000-0000FB080000}"/>
    <cellStyle name="_Book1_Income MYNL Nilgiri_IB Collection Agency_3103 V3_ICAL-New Format_31.03 V4" xfId="2300" xr:uid="{00000000-0005-0000-0000-0000FC080000}"/>
    <cellStyle name="_Book1_Income MYNL Nilgiri_IB Infrastructure Credit" xfId="2301" xr:uid="{00000000-0005-0000-0000-0000FD080000}"/>
    <cellStyle name="_Book1_Income MYNL Nilgiri_IB Infrastructure Credit-3103_V6" xfId="2302" xr:uid="{00000000-0005-0000-0000-0000FE080000}"/>
    <cellStyle name="_Book1_Income MYNL Nilgiri_IB Infrastructure Credit-3103_V7" xfId="2303" xr:uid="{00000000-0005-0000-0000-0000FF080000}"/>
    <cellStyle name="_Book1_Income MYNL Nilgiri_IB Trustee Company_3103 V4" xfId="2304" xr:uid="{00000000-0005-0000-0000-000000090000}"/>
    <cellStyle name="_Book1_Income MYNL Nilgiri_ICAL-BS Final Working _New format" xfId="2305" xr:uid="{00000000-0005-0000-0000-000001090000}"/>
    <cellStyle name="_Book1_Income MYNL Nilgiri_IICL_March'11" xfId="2306" xr:uid="{00000000-0005-0000-0000-000002090000}"/>
    <cellStyle name="_Book1_Income MYNL Nilgiri_Indiabulls Asset Management Company Limited printable" xfId="2307" xr:uid="{00000000-0005-0000-0000-000003090000}"/>
    <cellStyle name="_Book1_Income MYNL Nilgiri_ITCL_BS working _New format_31.03 V7" xfId="2308" xr:uid="{00000000-0005-0000-0000-000004090000}"/>
    <cellStyle name="_Book1_Income MYNL Nilgiri_ITCL-New format_31.03 V6" xfId="2309" xr:uid="{00000000-0005-0000-0000-000005090000}"/>
    <cellStyle name="_Book1_Income MYNL Nilgiri_NFCL working file" xfId="2310" xr:uid="{00000000-0005-0000-0000-000006090000}"/>
    <cellStyle name="_Book1_Income MYNL Nilgiri_Tax Audit Report  F.Y.08-09" xfId="2311" xr:uid="{00000000-0005-0000-0000-000007090000}"/>
    <cellStyle name="_Book1_Income MYNL Nilgiri_Tax Audit Report  ICSL F.Y.09-10" xfId="2312" xr:uid="{00000000-0005-0000-0000-000008090000}"/>
    <cellStyle name="_Book1_Indiabulls Asset Management Company Limited printable" xfId="2313" xr:uid="{00000000-0005-0000-0000-000009090000}"/>
    <cellStyle name="_Book1_Information_IBFSL" xfId="2314" xr:uid="{00000000-0005-0000-0000-00000A090000}"/>
    <cellStyle name="_Book1_Information_IBFSL 2" xfId="2315" xr:uid="{00000000-0005-0000-0000-00000B090000}"/>
    <cellStyle name="_Book1_Information_IBFSL_269SS &amp; T IIAPL 09-10" xfId="2316" xr:uid="{00000000-0005-0000-0000-00000C090000}"/>
    <cellStyle name="_Book1_Information_IBFSL_Asset Management Company Limited" xfId="2317" xr:uid="{00000000-0005-0000-0000-00000D090000}"/>
    <cellStyle name="_Book1_Information_IBFSL_BS _IB Asset Management _3103_ver5" xfId="2318" xr:uid="{00000000-0005-0000-0000-00000E090000}"/>
    <cellStyle name="_Book1_Information_IBFSL_BS _IB Asset Management _3103_ver5_IAMCL BS working -New format_31.03 V5" xfId="2319" xr:uid="{00000000-0005-0000-0000-00000F090000}"/>
    <cellStyle name="_Book1_Information_IBFSL_Detail of IPO funding" xfId="2320" xr:uid="{00000000-0005-0000-0000-000010090000}"/>
    <cellStyle name="_Book1_Information_IBFSL_IAMCL BS working -New format_31.03 V5" xfId="2321" xr:uid="{00000000-0005-0000-0000-000011090000}"/>
    <cellStyle name="_Book1_Information_IBFSL_IB Asset Management _2910" xfId="2322" xr:uid="{00000000-0005-0000-0000-000012090000}"/>
    <cellStyle name="_Book1_Information_IBFSL_IB Asset Management _2910_IB Collection Agency_3103 V3" xfId="2323" xr:uid="{00000000-0005-0000-0000-000013090000}"/>
    <cellStyle name="_Book1_Information_IBFSL_IB Asset Management _2910_IB Collection Agency_3103 V3_ICAL-New Format_31.03 V4" xfId="2324" xr:uid="{00000000-0005-0000-0000-000014090000}"/>
    <cellStyle name="_Book1_Information_IBFSL_IB Asset Management _2910_ICAL-BS Final Working _New format" xfId="2325" xr:uid="{00000000-0005-0000-0000-000015090000}"/>
    <cellStyle name="_Book1_Information_IBFSL_IB Asset Management _3103_ver5" xfId="2326" xr:uid="{00000000-0005-0000-0000-000016090000}"/>
    <cellStyle name="_Book1_Information_IBFSL_IB Asset Management_3103 V2" xfId="2327" xr:uid="{00000000-0005-0000-0000-000017090000}"/>
    <cellStyle name="_Book1_Information_IBFSL_IB Asset Management_3103 V4" xfId="2328" xr:uid="{00000000-0005-0000-0000-000018090000}"/>
    <cellStyle name="_Book1_Information_IBFSL_IB Asset Management_3103 V5" xfId="2329" xr:uid="{00000000-0005-0000-0000-000019090000}"/>
    <cellStyle name="_Book1_Information_IBFSL_IB Collection Agency_3103 V3" xfId="2330" xr:uid="{00000000-0005-0000-0000-00001A090000}"/>
    <cellStyle name="_Book1_Information_IBFSL_IB Collection Agency_3103 V3_ICAL-New Format_31.03 V4" xfId="2331" xr:uid="{00000000-0005-0000-0000-00001B090000}"/>
    <cellStyle name="_Book1_Information_IBFSL_IB Infrastructure Credit" xfId="2332" xr:uid="{00000000-0005-0000-0000-00001C090000}"/>
    <cellStyle name="_Book1_Information_IBFSL_IB Infrastructure Credit-3103_V6" xfId="2333" xr:uid="{00000000-0005-0000-0000-00001D090000}"/>
    <cellStyle name="_Book1_Information_IBFSL_IB Infrastructure Credit-3103_V7" xfId="2334" xr:uid="{00000000-0005-0000-0000-00001E090000}"/>
    <cellStyle name="_Book1_Information_IBFSL_IB Life Insurance_3103 V4" xfId="2335" xr:uid="{00000000-0005-0000-0000-00001F090000}"/>
    <cellStyle name="_Book1_Information_IBFSL_IB Trustee Company_3103 V4" xfId="2336" xr:uid="{00000000-0005-0000-0000-000020090000}"/>
    <cellStyle name="_Book1_Information_IBFSL_IBLIC_BS  Final working -New_Format_31.03 V5" xfId="2337" xr:uid="{00000000-0005-0000-0000-000021090000}"/>
    <cellStyle name="_Book1_Information_IBFSL_Ibulls BS Final woirking -New format_31.03 V5" xfId="2338" xr:uid="{00000000-0005-0000-0000-000022090000}"/>
    <cellStyle name="_Book1_Information_IBFSL_IbullsSales_3009V3 (3)" xfId="2339" xr:uid="{00000000-0005-0000-0000-000023090000}"/>
    <cellStyle name="_Book1_Information_IBFSL_IbullsSales_3103" xfId="2340" xr:uid="{00000000-0005-0000-0000-000024090000}"/>
    <cellStyle name="_Book1_Information_IBFSL_IbullsSales_3103 V2" xfId="2341" xr:uid="{00000000-0005-0000-0000-000025090000}"/>
    <cellStyle name="_Book1_Information_IBFSL_IbullsSales_3103 V5" xfId="2342" xr:uid="{00000000-0005-0000-0000-000026090000}"/>
    <cellStyle name="_Book1_Information_IBFSL_ICAL-BS Final Working _New format" xfId="2343" xr:uid="{00000000-0005-0000-0000-000027090000}"/>
    <cellStyle name="_Book1_Information_IBFSL_IFCPL 31 03 2010 VER6 Final" xfId="2344" xr:uid="{00000000-0005-0000-0000-000028090000}"/>
    <cellStyle name="_Book1_Information_IBFSL_IFCPL 31.03.09 ver 6 - RBI Return" xfId="2345" xr:uid="{00000000-0005-0000-0000-000029090000}"/>
    <cellStyle name="_Book1_Information_IBFSL_IFCPL Financials - March 2009" xfId="2346" xr:uid="{00000000-0005-0000-0000-00002A090000}"/>
    <cellStyle name="_Book1_Information_IBFSL_IFCPL Financials - March 2009 2" xfId="2347" xr:uid="{00000000-0005-0000-0000-00002B090000}"/>
    <cellStyle name="_Book1_Information_IBFSL_IFCPL Financials - March 2009 With Computation" xfId="2348" xr:uid="{00000000-0005-0000-0000-00002C090000}"/>
    <cellStyle name="_Book1_Information_IBFSL_IFCPL Financials - March 2009 With Computation 2" xfId="2349" xr:uid="{00000000-0005-0000-0000-00002D090000}"/>
    <cellStyle name="_Book1_Information_IBFSL_IFCPL Financials - March 2009 With Computation_Detail of IPO funding" xfId="2350" xr:uid="{00000000-0005-0000-0000-00002E090000}"/>
    <cellStyle name="_Book1_Information_IBFSL_IFCPL Financials - March 2009 With Computation_IFCPL 31 03 2010 VER6 Final" xfId="2351" xr:uid="{00000000-0005-0000-0000-00002F090000}"/>
    <cellStyle name="_Book1_Information_IBFSL_IFCPL Financials - March 2009_FDR working" xfId="2352" xr:uid="{00000000-0005-0000-0000-000030090000}"/>
    <cellStyle name="_Book1_Information_IBFSL_IFCPL Financials - March 2009_IFCPL 31 03 2010 VER6 Final" xfId="2353" xr:uid="{00000000-0005-0000-0000-000031090000}"/>
    <cellStyle name="_Book1_Information_IBFSL_IIAL 31.03.2010 VER2" xfId="2354" xr:uid="{00000000-0005-0000-0000-000032090000}"/>
    <cellStyle name="_Book1_Information_IBFSL_IICL_March'11" xfId="2355" xr:uid="{00000000-0005-0000-0000-000033090000}"/>
    <cellStyle name="_Book1_Information_IBFSL_Indiabulls Asset Management Company Limited printable" xfId="2356" xr:uid="{00000000-0005-0000-0000-000034090000}"/>
    <cellStyle name="_Book1_Information_IBFSL_ITCL_BS working _New format_31.03 V7" xfId="2357" xr:uid="{00000000-0005-0000-0000-000035090000}"/>
    <cellStyle name="_Book1_Information_IBFSL_ITCL-New format_31.03 V6" xfId="2358" xr:uid="{00000000-0005-0000-0000-000036090000}"/>
    <cellStyle name="_Book1_Information_IBFSL_NFCL working file" xfId="2359" xr:uid="{00000000-0005-0000-0000-000037090000}"/>
    <cellStyle name="_Book1_Information_IBFSL_NFCL_ Tax Audit Report FY08-09 " xfId="2360" xr:uid="{00000000-0005-0000-0000-000038090000}"/>
    <cellStyle name="_Book1_Information_IBFSL_Tax Audit Report  F.Y.08-09" xfId="2361" xr:uid="{00000000-0005-0000-0000-000039090000}"/>
    <cellStyle name="_Book1_Information_IBFSL_Tax Audit Report  ICSL F.Y.09-10" xfId="2362" xr:uid="{00000000-0005-0000-0000-00003A090000}"/>
    <cellStyle name="_Book1_Information_IBFSL_Xl0000013" xfId="2363" xr:uid="{00000000-0005-0000-0000-00003B090000}"/>
    <cellStyle name="_Book1_Int analysis for the month of April 08" xfId="2364" xr:uid="{00000000-0005-0000-0000-00003C090000}"/>
    <cellStyle name="_Book1_Int projection revised format" xfId="2365" xr:uid="{00000000-0005-0000-0000-00003D090000}"/>
    <cellStyle name="_Book1_Int projection revised format 2" xfId="2366" xr:uid="{00000000-0005-0000-0000-00003E090000}"/>
    <cellStyle name="_Book1_Interest 0809-IIAL" xfId="2367" xr:uid="{00000000-0005-0000-0000-00003F090000}"/>
    <cellStyle name="_Book1_INTEREST CAL" xfId="2368" xr:uid="{00000000-0005-0000-0000-000040090000}"/>
    <cellStyle name="_Book1_INTEREST CAL 2" xfId="2369" xr:uid="{00000000-0005-0000-0000-000041090000}"/>
    <cellStyle name="_Book1_INTEREST CAL 3" xfId="2370" xr:uid="{00000000-0005-0000-0000-000042090000}"/>
    <cellStyle name="_Book1_INTEREST CAL 4" xfId="2371" xr:uid="{00000000-0005-0000-0000-000043090000}"/>
    <cellStyle name="_Book1_INTEREST CAL 5" xfId="2372" xr:uid="{00000000-0005-0000-0000-000044090000}"/>
    <cellStyle name="_Book1_Interest Calculation to IBFCPL" xfId="2373" xr:uid="{00000000-0005-0000-0000-000045090000}"/>
    <cellStyle name="_Book1_Interest rate Change-final1" xfId="2374" xr:uid="{00000000-0005-0000-0000-000046090000}"/>
    <cellStyle name="_Book1_Interest rate Change-final1 2" xfId="2375" xr:uid="{00000000-0005-0000-0000-000047090000}"/>
    <cellStyle name="_Book1_Interest working" xfId="2376" xr:uid="{00000000-0005-0000-0000-000048090000}"/>
    <cellStyle name="_Book1_Interest working 2" xfId="2377" xr:uid="{00000000-0005-0000-0000-000049090000}"/>
    <cellStyle name="_Book1_Interest working 3" xfId="2378" xr:uid="{00000000-0005-0000-0000-00004A090000}"/>
    <cellStyle name="_Book1_Interest working_269SS &amp; T IIAPL 09-10" xfId="2379" xr:uid="{00000000-0005-0000-0000-00004B090000}"/>
    <cellStyle name="_Book1_Interest working_Abstract-2007-08" xfId="2380" xr:uid="{00000000-0005-0000-0000-00004C090000}"/>
    <cellStyle name="_Book1_Interest working_Advance Tax Format_F.Y. 2010-11" xfId="2381" xr:uid="{00000000-0005-0000-0000-00004D090000}"/>
    <cellStyle name="_Book1_Interest working_Advance Tax Sophia Jun 09" xfId="2382" xr:uid="{00000000-0005-0000-0000-00004E090000}"/>
    <cellStyle name="_Book1_Interest working_Asset Management Company Limited" xfId="2383" xr:uid="{00000000-0005-0000-0000-00004F090000}"/>
    <cellStyle name="_Book1_Interest working_Aug consl backup-land adv &amp; Ext ICD" xfId="2384" xr:uid="{00000000-0005-0000-0000-000050090000}"/>
    <cellStyle name="_Book1_Interest working_Base File For Segment" xfId="2385" xr:uid="{00000000-0005-0000-0000-000051090000}"/>
    <cellStyle name="_Book1_Interest working_Book1" xfId="2386" xr:uid="{00000000-0005-0000-0000-000052090000}"/>
    <cellStyle name="_Book1_Interest working_BS _IB Asset Management _3103_ver5" xfId="2387" xr:uid="{00000000-0005-0000-0000-000053090000}"/>
    <cellStyle name="_Book1_Interest working_BS _IB Asset Management _3103_ver5_IAMCL BS working -New format_31.03 V5" xfId="2388" xr:uid="{00000000-0005-0000-0000-000054090000}"/>
    <cellStyle name="_Book1_Interest working_ChlorisProperties_3351_Dec.08" xfId="2389" xr:uid="{00000000-0005-0000-0000-000055090000}"/>
    <cellStyle name="_Book1_Interest working_Consol Balance Sheet_Sophia_Dec08_Ibrel_1.3" xfId="2390" xr:uid="{00000000-0005-0000-0000-000056090000}"/>
    <cellStyle name="_Book1_Interest working_CRAR - dec- 10v-12" xfId="2391" xr:uid="{00000000-0005-0000-0000-000057090000}"/>
    <cellStyle name="_Book1_Interest working_CRAR - dec- 10v-12 2" xfId="2392" xr:uid="{00000000-0005-0000-0000-000058090000}"/>
    <cellStyle name="_Book1_Interest working_detail (2)" xfId="2393" xr:uid="{00000000-0005-0000-0000-000059090000}"/>
    <cellStyle name="_Book1_Interest working_Detail of IPO funding" xfId="2394" xr:uid="{00000000-0005-0000-0000-00005A090000}"/>
    <cellStyle name="_Book1_Interest working_Details" xfId="2395" xr:uid="{00000000-0005-0000-0000-00005B090000}"/>
    <cellStyle name="_Book1_Interest working_FD Detail" xfId="2396" xr:uid="{00000000-0005-0000-0000-00005C090000}"/>
    <cellStyle name="_Book1_Interest working_FD Detail_Xl0000013" xfId="2397" xr:uid="{00000000-0005-0000-0000-00005D090000}"/>
    <cellStyle name="_Book1_Interest working_Final Consol Balance Sheet_Sophia_Dec08_27.01.08" xfId="2398" xr:uid="{00000000-0005-0000-0000-00005E090000}"/>
    <cellStyle name="_Book1_Interest working_Fixed Assets consolidated" xfId="2399" xr:uid="{00000000-0005-0000-0000-00005F090000}"/>
    <cellStyle name="_Book1_Interest working_Fornax" xfId="2400" xr:uid="{00000000-0005-0000-0000-000060090000}"/>
    <cellStyle name="_Book1_Interest working_IAMCL BS working -New format_31.03 V5" xfId="2401" xr:uid="{00000000-0005-0000-0000-000061090000}"/>
    <cellStyle name="_Book1_Interest working_IB Asset Management _2910" xfId="2402" xr:uid="{00000000-0005-0000-0000-000062090000}"/>
    <cellStyle name="_Book1_Interest working_IB Asset Management _2910_IB Collection Agency_3103 V3" xfId="2403" xr:uid="{00000000-0005-0000-0000-000063090000}"/>
    <cellStyle name="_Book1_Interest working_IB Asset Management _2910_IB Collection Agency_3103 V3_ICAL-New Format_31.03 V4" xfId="2404" xr:uid="{00000000-0005-0000-0000-000064090000}"/>
    <cellStyle name="_Book1_Interest working_IB Asset Management _2910_ICAL-BS Final Working _New format" xfId="2405" xr:uid="{00000000-0005-0000-0000-000065090000}"/>
    <cellStyle name="_Book1_Interest working_IB Asset Management _3103_ver5" xfId="2406" xr:uid="{00000000-0005-0000-0000-000066090000}"/>
    <cellStyle name="_Book1_Interest working_IB Asset Management_3103 V2" xfId="2407" xr:uid="{00000000-0005-0000-0000-000067090000}"/>
    <cellStyle name="_Book1_Interest working_IB Asset Management_3103 V4" xfId="2408" xr:uid="{00000000-0005-0000-0000-000068090000}"/>
    <cellStyle name="_Book1_Interest working_IB Asset Management_3103 V5" xfId="2409" xr:uid="{00000000-0005-0000-0000-000069090000}"/>
    <cellStyle name="_Book1_Interest working_IB Collection Agency_3103 V3" xfId="2410" xr:uid="{00000000-0005-0000-0000-00006A090000}"/>
    <cellStyle name="_Book1_Interest working_IB Collection Agency_3103 V3_ICAL-New Format_31.03 V4" xfId="2411" xr:uid="{00000000-0005-0000-0000-00006B090000}"/>
    <cellStyle name="_Book1_Interest working_IB Infrastructure Credit" xfId="2412" xr:uid="{00000000-0005-0000-0000-00006C090000}"/>
    <cellStyle name="_Book1_Interest working_IB Infrastructure Credit-3103_V6" xfId="2413" xr:uid="{00000000-0005-0000-0000-00006D090000}"/>
    <cellStyle name="_Book1_Interest working_IB Infrastructure Credit-3103_V7" xfId="2414" xr:uid="{00000000-0005-0000-0000-00006E090000}"/>
    <cellStyle name="_Book1_Interest working_IB Life Insurance_3103 V4" xfId="2415" xr:uid="{00000000-0005-0000-0000-00006F090000}"/>
    <cellStyle name="_Book1_Interest working_IB Trustee Company_3103 V4" xfId="2416" xr:uid="{00000000-0005-0000-0000-000070090000}"/>
    <cellStyle name="_Book1_Interest working_IBFSL 30 Sep 11 V8" xfId="2417" xr:uid="{00000000-0005-0000-0000-000071090000}"/>
    <cellStyle name="_Book1_Interest working_IBFSL 31 May V1" xfId="2418" xr:uid="{00000000-0005-0000-0000-000072090000}"/>
    <cellStyle name="_Book1_Interest working_IBFSL 31 May V1_Xl0000013" xfId="2419" xr:uid="{00000000-0005-0000-0000-000073090000}"/>
    <cellStyle name="_Book1_Interest working_IBFSL_Conso_March_10_11" xfId="2420" xr:uid="{00000000-0005-0000-0000-000074090000}"/>
    <cellStyle name="_Book1_Interest working_IBLIC_BS  Final working -New_Format_31.03 V5" xfId="2421" xr:uid="{00000000-0005-0000-0000-000075090000}"/>
    <cellStyle name="_Book1_Interest working_Ibulls BS Final woirking -New format_31.03 V5" xfId="2422" xr:uid="{00000000-0005-0000-0000-000076090000}"/>
    <cellStyle name="_Book1_Interest working_IbullsSales_3009V3 (3)" xfId="2423" xr:uid="{00000000-0005-0000-0000-000077090000}"/>
    <cellStyle name="_Book1_Interest working_IbullsSales_3103" xfId="2424" xr:uid="{00000000-0005-0000-0000-000078090000}"/>
    <cellStyle name="_Book1_Interest working_IbullsSales_3103 V2" xfId="2425" xr:uid="{00000000-0005-0000-0000-000079090000}"/>
    <cellStyle name="_Book1_Interest working_IbullsSales_3103 V5" xfId="2426" xr:uid="{00000000-0005-0000-0000-00007A090000}"/>
    <cellStyle name="_Book1_Interest working_ICAL-BS Final Working _New format" xfId="2427" xr:uid="{00000000-0005-0000-0000-00007B090000}"/>
    <cellStyle name="_Book1_Interest working_IFCPL 31 03 2010 VER6 Final" xfId="2428" xr:uid="{00000000-0005-0000-0000-00007C090000}"/>
    <cellStyle name="_Book1_Interest working_IFCPL 31.03.09 ver 6 - RBI Return" xfId="2429" xr:uid="{00000000-0005-0000-0000-00007D090000}"/>
    <cellStyle name="_Book1_Interest working_IFCPL Financials - March 2009" xfId="2430" xr:uid="{00000000-0005-0000-0000-00007E090000}"/>
    <cellStyle name="_Book1_Interest working_IFCPL Financials - March 2009 2" xfId="2431" xr:uid="{00000000-0005-0000-0000-00007F090000}"/>
    <cellStyle name="_Book1_Interest working_IFCPL Financials - March 2009 With Computation" xfId="2432" xr:uid="{00000000-0005-0000-0000-000080090000}"/>
    <cellStyle name="_Book1_Interest working_IFCPL Financials - March 2009 With Computation 2" xfId="2433" xr:uid="{00000000-0005-0000-0000-000081090000}"/>
    <cellStyle name="_Book1_Interest working_IFCPL Financials - March 2009 With Computation_Detail of IPO funding" xfId="2434" xr:uid="{00000000-0005-0000-0000-000082090000}"/>
    <cellStyle name="_Book1_Interest working_IFCPL Financials - March 2009 With Computation_IFCPL 31 03 2010 VER6 Final" xfId="2435" xr:uid="{00000000-0005-0000-0000-000083090000}"/>
    <cellStyle name="_Book1_Interest working_IFCPL Financials - March 2009_FDR working" xfId="2436" xr:uid="{00000000-0005-0000-0000-000084090000}"/>
    <cellStyle name="_Book1_Interest working_IFCPL Financials - March 2009_IFCPL 31 03 2010 VER6 Final" xfId="2437" xr:uid="{00000000-0005-0000-0000-000085090000}"/>
    <cellStyle name="_Book1_Interest working_IHFL_Dec_23_2008" xfId="2438" xr:uid="{00000000-0005-0000-0000-000086090000}"/>
    <cellStyle name="_Book1_Interest working_IHFL_Dec_23_2008_Xl0000013" xfId="2439" xr:uid="{00000000-0005-0000-0000-000087090000}"/>
    <cellStyle name="_Book1_Interest working_IHFL_SEP_30_2009 XIII AUDIT- Sch II" xfId="2440" xr:uid="{00000000-0005-0000-0000-000088090000}"/>
    <cellStyle name="_Book1_Interest working_IIAL 31.03.2010 VER2" xfId="2441" xr:uid="{00000000-0005-0000-0000-000089090000}"/>
    <cellStyle name="_Book1_Interest working_IICL_March'11" xfId="2442" xr:uid="{00000000-0005-0000-0000-00008A090000}"/>
    <cellStyle name="_Book1_Interest working_IIDL_3227_2008_09" xfId="2443" xr:uid="{00000000-0005-0000-0000-00008B090000}"/>
    <cellStyle name="_Book1_Interest working_IIDL_3227_2008_09_Advance Tax Summary" xfId="2444" xr:uid="{00000000-0005-0000-0000-00008C090000}"/>
    <cellStyle name="_Book1_Interest working_IIDL_3227_2008_09_Advance Tax Summary 2" xfId="2445" xr:uid="{00000000-0005-0000-0000-00008D090000}"/>
    <cellStyle name="_Book1_Interest working_IIDL_3227_2008_09_ISL Group - Advance Tax working for 3rd Instalment" xfId="2446" xr:uid="{00000000-0005-0000-0000-00008E090000}"/>
    <cellStyle name="_Book1_Interest working_IIDL_3227_2008_09_Xl0000013" xfId="2447" xr:uid="{00000000-0005-0000-0000-00008F090000}"/>
    <cellStyle name="_Book1_Interest working_Indiabulls Asset Management Company Limited printable" xfId="2448" xr:uid="{00000000-0005-0000-0000-000090090000}"/>
    <cellStyle name="_Book1_Interest working_IREL(Conso)_2007-08_March_Revised" xfId="2449" xr:uid="{00000000-0005-0000-0000-000091090000}"/>
    <cellStyle name="_Book1_Interest working_IREL(Conso)_2007-08_March_Revised_IREL_3000_08-09" xfId="2450" xr:uid="{00000000-0005-0000-0000-000092090000}"/>
    <cellStyle name="_Book1_Interest working_IREL(Conso)_2007-08_March_Revised_IREL_3000_08-09 2" xfId="2451" xr:uid="{00000000-0005-0000-0000-000093090000}"/>
    <cellStyle name="_Book1_Interest working_IREL(Conso)_2007-08_March_Revised_IREL_3000_08-09 stage 3" xfId="2452" xr:uid="{00000000-0005-0000-0000-000094090000}"/>
    <cellStyle name="_Book1_Interest working_IREL(Conso)_2007-08_March_Revised_IREL_3000_08-09 stage 3_IREL_3000_08-09" xfId="2453" xr:uid="{00000000-0005-0000-0000-000095090000}"/>
    <cellStyle name="_Book1_Interest working_IREL(Conso)_2007-08_March_Revised_IREL_3000_08-09 stage 3_IREL_3000_08-09 2" xfId="2454" xr:uid="{00000000-0005-0000-0000-000096090000}"/>
    <cellStyle name="_Book1_Interest working_IREL(Conso)_2007-08_March_Revised_IREL_3000_08-09_IBREAL_BS PACK-Version.02" xfId="2455" xr:uid="{00000000-0005-0000-0000-000097090000}"/>
    <cellStyle name="_Book1_Interest working_IREL(Conso)_2007-08_March_Revised_IREL_3000_08-09_IBREAL_BS PACK-Version.02 2" xfId="2456" xr:uid="{00000000-0005-0000-0000-000098090000}"/>
    <cellStyle name="_Book1_Interest working_IREL(Conso)_2007-08_March_Revised_IREL_3000_08-09_IBREAL_BS PACK-Version.02_IBREAL_BS PACK-Version.03" xfId="2457" xr:uid="{00000000-0005-0000-0000-000099090000}"/>
    <cellStyle name="_Book1_Interest working_IREL(Conso)_2007-08_March_Revised_IREL_3000_08-09_IBREAL_BS PACK-Version.02_IBREAL_BS PACK-Version.03 2" xfId="2458" xr:uid="{00000000-0005-0000-0000-00009A090000}"/>
    <cellStyle name="_Book1_Interest working_IREL(Conso)_2007-08_March_Revised_IREL_3000_08-09_IBREAL_BS PACK-Version.02_IBREAL_BS PACK-Version.03_IBREAL_BS PACK-Version.07" xfId="2459" xr:uid="{00000000-0005-0000-0000-00009B090000}"/>
    <cellStyle name="_Book1_Interest working_IREL(Conso)_2007-08_March_Revised_IREL_3000_08-09_IBREAL_BS PACK-Version.02_IBREAL_BS PACK-Version.03_IBREAL_BS PACK-Version.07 2" xfId="2460" xr:uid="{00000000-0005-0000-0000-00009C090000}"/>
    <cellStyle name="_Book1_Interest working_IREL(Conso)_2007-08_November-1" xfId="2461" xr:uid="{00000000-0005-0000-0000-00009D090000}"/>
    <cellStyle name="_Book1_Interest working_IREL(Conso)_2007-08_November-1 2" xfId="2462" xr:uid="{00000000-0005-0000-0000-00009E090000}"/>
    <cellStyle name="_Book1_Interest working_IREL(Conso)_2007-08_November-1_Abstract-2007-08" xfId="2463" xr:uid="{00000000-0005-0000-0000-00009F090000}"/>
    <cellStyle name="_Book1_Interest working_IREL(Conso)_2007-08_November-1_Aug consl backup-land adv &amp; Ext ICD" xfId="2464" xr:uid="{00000000-0005-0000-0000-0000A0090000}"/>
    <cellStyle name="_Book1_Interest working_IREL(Conso)_2007-08_November-1_Fornax" xfId="2465" xr:uid="{00000000-0005-0000-0000-0000A1090000}"/>
    <cellStyle name="_Book1_Interest working_IREL(Conso)_2007-08_November-1_IREL_3000_08-09" xfId="2466" xr:uid="{00000000-0005-0000-0000-0000A2090000}"/>
    <cellStyle name="_Book1_Interest working_IREL(Conso)_2007-08_November-1_ISL Group - Advance Tax working for 3rd Instalment" xfId="2467" xr:uid="{00000000-0005-0000-0000-0000A3090000}"/>
    <cellStyle name="_Book1_Interest working_IREL(Conso)_June_07-08_30-07-08" xfId="2468" xr:uid="{00000000-0005-0000-0000-0000A4090000}"/>
    <cellStyle name="_Book1_Interest working_IREL(Conso)_June_07-08_30-07-08_IREL_3000_08-09" xfId="2469" xr:uid="{00000000-0005-0000-0000-0000A5090000}"/>
    <cellStyle name="_Book1_Interest working_IREL(Conso)_June_07-08_30-07-08_IREL_3000_08-09 2" xfId="2470" xr:uid="{00000000-0005-0000-0000-0000A6090000}"/>
    <cellStyle name="_Book1_Interest working_IREL(Conso)_June_07-08_30-07-08_IREL_3000_08-09 stage 3" xfId="2471" xr:uid="{00000000-0005-0000-0000-0000A7090000}"/>
    <cellStyle name="_Book1_Interest working_IREL(Conso)_June_07-08_30-07-08_IREL_3000_08-09 stage 3_IREL_3000_08-09" xfId="2472" xr:uid="{00000000-0005-0000-0000-0000A8090000}"/>
    <cellStyle name="_Book1_Interest working_IREL(Conso)_June_07-08_30-07-08_IREL_3000_08-09 stage 3_IREL_3000_08-09 2" xfId="2473" xr:uid="{00000000-0005-0000-0000-0000A9090000}"/>
    <cellStyle name="_Book1_Interest working_IREL(Conso)_June_07-08_30-07-08_IREL_3000_08-09_IBREAL_BS PACK-Version.02" xfId="2474" xr:uid="{00000000-0005-0000-0000-0000AA090000}"/>
    <cellStyle name="_Book1_Interest working_IREL(Conso)_June_07-08_30-07-08_IREL_3000_08-09_IBREAL_BS PACK-Version.02 2" xfId="2475" xr:uid="{00000000-0005-0000-0000-0000AB090000}"/>
    <cellStyle name="_Book1_Interest working_IREL(Conso)_June_07-08_30-07-08_IREL_3000_08-09_IBREAL_BS PACK-Version.02_IBREAL_BS PACK-Version.03" xfId="2476" xr:uid="{00000000-0005-0000-0000-0000AC090000}"/>
    <cellStyle name="_Book1_Interest working_IREL(Conso)_June_07-08_30-07-08_IREL_3000_08-09_IBREAL_BS PACK-Version.02_IBREAL_BS PACK-Version.03 2" xfId="2477" xr:uid="{00000000-0005-0000-0000-0000AD090000}"/>
    <cellStyle name="_Book1_Interest working_IREL(Conso)_June_07-08_30-07-08_IREL_3000_08-09_IBREAL_BS PACK-Version.02_IBREAL_BS PACK-Version.03_IBREAL_BS PACK-Version.07" xfId="2478" xr:uid="{00000000-0005-0000-0000-0000AE090000}"/>
    <cellStyle name="_Book1_Interest working_IREL(Conso)_June_07-08_30-07-08_IREL_3000_08-09_IBREAL_BS PACK-Version.02_IBREAL_BS PACK-Version.03_IBREAL_BS PACK-Version.07 2" xfId="2479" xr:uid="{00000000-0005-0000-0000-0000AF090000}"/>
    <cellStyle name="_Book1_Interest working_IREL_3000_08-09" xfId="2480" xr:uid="{00000000-0005-0000-0000-0000B0090000}"/>
    <cellStyle name="_Book1_Interest working_IREL_3000_2007-08" xfId="2481" xr:uid="{00000000-0005-0000-0000-0000B1090000}"/>
    <cellStyle name="_Book1_Interest working_IREL_3000_2007-08 2" xfId="2482" xr:uid="{00000000-0005-0000-0000-0000B2090000}"/>
    <cellStyle name="_Book1_Interest working_IREL_3000_2007-08_IREL_3000_08-09" xfId="2483" xr:uid="{00000000-0005-0000-0000-0000B3090000}"/>
    <cellStyle name="_Book1_Interest working_ITCL_BS working _New format_31.03 V7" xfId="2484" xr:uid="{00000000-0005-0000-0000-0000B4090000}"/>
    <cellStyle name="_Book1_Interest working_ITCL-New format_31.03 V6" xfId="2485" xr:uid="{00000000-0005-0000-0000-0000B5090000}"/>
    <cellStyle name="_Book1_Interest working_July Consolidation" xfId="2486" xr:uid="{00000000-0005-0000-0000-0000B6090000}"/>
    <cellStyle name="_Book1_Interest working_Land Control Sheet Aug 31.08 - Recon" xfId="2487" xr:uid="{00000000-0005-0000-0000-0000B7090000}"/>
    <cellStyle name="_Book1_Interest working_Land Control Sheet Sep 26.08" xfId="2488" xr:uid="{00000000-0005-0000-0000-0000B8090000}"/>
    <cellStyle name="_Book1_Interest working_NFCL working file" xfId="2489" xr:uid="{00000000-0005-0000-0000-0000B9090000}"/>
    <cellStyle name="_Book1_Interest working_NFCL_ Tax Audit Report FY08-09 " xfId="2490" xr:uid="{00000000-0005-0000-0000-0000BA090000}"/>
    <cellStyle name="_Book1_Interest working_Results  Format - Sep 30" xfId="2491" xr:uid="{00000000-0005-0000-0000-0000BB090000}"/>
    <cellStyle name="_Book1_Interest working_Results  Format - Sep 30_EPS working" xfId="2492" xr:uid="{00000000-0005-0000-0000-0000BC090000}"/>
    <cellStyle name="_Book1_Interest working_Results  Format - Sep 30_EPS working 2" xfId="2493" xr:uid="{00000000-0005-0000-0000-0000BD090000}"/>
    <cellStyle name="_Book1_Interest working_Results  Format - Sep 30_EPS working_IBREAL_BS PACK-Version.02" xfId="2494" xr:uid="{00000000-0005-0000-0000-0000BE090000}"/>
    <cellStyle name="_Book1_Interest working_Results  Format - Sep 30_EPS working_IBREAL_BS PACK-Version.02 2" xfId="2495" xr:uid="{00000000-0005-0000-0000-0000BF090000}"/>
    <cellStyle name="_Book1_Interest working_Results  Format - Sep 30_EPS working_IBREAL_BS PACK-Version.02_IBREAL_BS PACK-Version.03" xfId="2496" xr:uid="{00000000-0005-0000-0000-0000C0090000}"/>
    <cellStyle name="_Book1_Interest working_Results  Format - Sep 30_EPS working_IBREAL_BS PACK-Version.02_IBREAL_BS PACK-Version.03 2" xfId="2497" xr:uid="{00000000-0005-0000-0000-0000C1090000}"/>
    <cellStyle name="_Book1_Interest working_Results  Format - Sep 30_EPS working_IBREAL_BS PACK-Version.02_IBREAL_BS PACK-Version.03_IBREAL_BS PACK-Version.07" xfId="2498" xr:uid="{00000000-0005-0000-0000-0000C2090000}"/>
    <cellStyle name="_Book1_Interest working_Results  Format - Sep 30_EPS working_IBREAL_BS PACK-Version.02_IBREAL_BS PACK-Version.03_IBREAL_BS PACK-Version.07 2" xfId="2499" xr:uid="{00000000-0005-0000-0000-0000C3090000}"/>
    <cellStyle name="_Book1_Interest working_Results  Format - Sep 30_IREL_3000_08-09" xfId="2500" xr:uid="{00000000-0005-0000-0000-0000C4090000}"/>
    <cellStyle name="_Book1_Interest working_Results  Format - Sep 30_IREL_3000_08-09 2" xfId="2501" xr:uid="{00000000-0005-0000-0000-0000C5090000}"/>
    <cellStyle name="_Book1_Interest working_Results  Format - Sep 30_IREL_3000_08-09 stage 3" xfId="2502" xr:uid="{00000000-0005-0000-0000-0000C6090000}"/>
    <cellStyle name="_Book1_Interest working_Results  Format - Sep 30_IREL_3000_08-09 stage 3_IREL_3000_08-09" xfId="2503" xr:uid="{00000000-0005-0000-0000-0000C7090000}"/>
    <cellStyle name="_Book1_Interest working_Results  Format - Sep 30_IREL_3000_08-09 stage 3_IREL_3000_08-09 2" xfId="2504" xr:uid="{00000000-0005-0000-0000-0000C8090000}"/>
    <cellStyle name="_Book1_Interest working_Results  Format - Sep 30_IREL_3000_08-09_IBREAL_BS PACK-Version.02" xfId="2505" xr:uid="{00000000-0005-0000-0000-0000C9090000}"/>
    <cellStyle name="_Book1_Interest working_Results  Format - Sep 30_IREL_3000_08-09_IBREAL_BS PACK-Version.02 2" xfId="2506" xr:uid="{00000000-0005-0000-0000-0000CA090000}"/>
    <cellStyle name="_Book1_Interest working_Results  Format - Sep 30_IREL_3000_08-09_IBREAL_BS PACK-Version.02_IBREAL_BS PACK-Version.03" xfId="2507" xr:uid="{00000000-0005-0000-0000-0000CB090000}"/>
    <cellStyle name="_Book1_Interest working_Results  Format - Sep 30_IREL_3000_08-09_IBREAL_BS PACK-Version.02_IBREAL_BS PACK-Version.03 2" xfId="2508" xr:uid="{00000000-0005-0000-0000-0000CC090000}"/>
    <cellStyle name="_Book1_Interest working_Results  Format - Sep 30_IREL_3000_08-09_IBREAL_BS PACK-Version.02_IBREAL_BS PACK-Version.03_IBREAL_BS PACK-Version.07" xfId="2509" xr:uid="{00000000-0005-0000-0000-0000CD090000}"/>
    <cellStyle name="_Book1_Interest working_Results  Format - Sep 30_IREL_3000_08-09_IBREAL_BS PACK-Version.02_IBREAL_BS PACK-Version.03_IBREAL_BS PACK-Version.07 2" xfId="2510" xr:uid="{00000000-0005-0000-0000-0000CE090000}"/>
    <cellStyle name="_Book1_Interest working_Results  Format - Sep 30_IREL_3000_2009-29_July2009  Final Shahi" xfId="2511" xr:uid="{00000000-0005-0000-0000-0000CF090000}"/>
    <cellStyle name="_Book1_Interest working_Results  Format - Sep 30_IREL_3000_2009-29_July2009  Final Shahi 2" xfId="2512" xr:uid="{00000000-0005-0000-0000-0000D0090000}"/>
    <cellStyle name="_Book1_Interest working_Results  Format - Sep 30_IREL_3000_2009-29_July2009  Final Shahi_IBREAL_BS PACK-Version.02" xfId="2513" xr:uid="{00000000-0005-0000-0000-0000D1090000}"/>
    <cellStyle name="_Book1_Interest working_Results  Format - Sep 30_IREL_3000_2009-29_July2009  Final Shahi_IBREAL_BS PACK-Version.02 2" xfId="2514" xr:uid="{00000000-0005-0000-0000-0000D2090000}"/>
    <cellStyle name="_Book1_Interest working_Results  Format - Sep 30_IREL_3000_2009-29_July2009  Final Shahi_IBREAL_BS PACK-Version.02_IBREAL_BS PACK-Version.03" xfId="2515" xr:uid="{00000000-0005-0000-0000-0000D3090000}"/>
    <cellStyle name="_Book1_Interest working_Results  Format - Sep 30_IREL_3000_2009-29_July2009  Final Shahi_IBREAL_BS PACK-Version.02_IBREAL_BS PACK-Version.03 2" xfId="2516" xr:uid="{00000000-0005-0000-0000-0000D4090000}"/>
    <cellStyle name="_Book1_Interest working_Results  Format - Sep 30_IREL_3000_2009-29_July2009  Final Shahi_IBREAL_BS PACK-Version.02_IBREAL_BS PACK-Version.03_IBREAL_BS PACK-Version.07" xfId="2517" xr:uid="{00000000-0005-0000-0000-0000D5090000}"/>
    <cellStyle name="_Book1_Interest working_Results  Format - Sep 30_IREL_3000_2009-29_July2009  Final Shahi_IBREAL_BS PACK-Version.02_IBREAL_BS PACK-Version.03_IBREAL_BS PACK-Version.07 2" xfId="2518" xr:uid="{00000000-0005-0000-0000-0000D6090000}"/>
    <cellStyle name="_Book1_Interest working_Revised Consol Balance Sheet_Sophia_Jan09_10.02.2009" xfId="2519" xr:uid="{00000000-0005-0000-0000-0000D7090000}"/>
    <cellStyle name="_Book1_Interest working_Sophia Consol for Printout 22 Jun 09" xfId="2520" xr:uid="{00000000-0005-0000-0000-0000D8090000}"/>
    <cellStyle name="_Book1_Interest working_Sophia Consol_march_09_05 June  09_1" xfId="2521" xr:uid="{00000000-0005-0000-0000-0000D9090000}"/>
    <cellStyle name="_Book1_Interest working_Tax Audit Report  F.Y.08-09" xfId="2522" xr:uid="{00000000-0005-0000-0000-0000DA090000}"/>
    <cellStyle name="_Book1_Interest working_Tax Audit Report  ICSL F.Y.09-10" xfId="2523" xr:uid="{00000000-0005-0000-0000-0000DB090000}"/>
    <cellStyle name="_Book1_Interest working_Treasury ICD Interest_ MIS_ 23  09 2009(final)" xfId="2524" xr:uid="{00000000-0005-0000-0000-0000DC090000}"/>
    <cellStyle name="_Book1_Interest working_Treasury ICD Interest_ MIS_ 30. 06 2009(final)" xfId="2525" xr:uid="{00000000-0005-0000-0000-0000DD090000}"/>
    <cellStyle name="_Book1_Interest working_Treasury ICD Interest_ MIS_ 30. 09 2009(final)" xfId="2526" xr:uid="{00000000-0005-0000-0000-0000DE090000}"/>
    <cellStyle name="_Book1_Interest working_Treasury ICD Interest_ MIS_ 31 05 2009" xfId="2527" xr:uid="{00000000-0005-0000-0000-0000DF090000}"/>
    <cellStyle name="_Book1_Interest working_Treasury ICD Interest_ MIS_ 31 10 2009" xfId="2528" xr:uid="{00000000-0005-0000-0000-0000E0090000}"/>
    <cellStyle name="_Book1_Interest working_Treasury ICD Interest_ MIS_ 31.10.2009" xfId="2529" xr:uid="{00000000-0005-0000-0000-0000E1090000}"/>
    <cellStyle name="_Book1_Interest working_Treasury ICD Interest_ MIS_ 310309" xfId="2530" xr:uid="{00000000-0005-0000-0000-0000E2090000}"/>
    <cellStyle name="_Book1_IPGL_3355_2007-08" xfId="2531" xr:uid="{00000000-0005-0000-0000-0000E3090000}"/>
    <cellStyle name="_Book1_IPGL_3355_2007-08 2" xfId="2532" xr:uid="{00000000-0005-0000-0000-0000E4090000}"/>
    <cellStyle name="_Book1_IPSL_3371_2007-08" xfId="2533" xr:uid="{00000000-0005-0000-0000-0000E5090000}"/>
    <cellStyle name="_Book1_IPSL_3371_2007-08_Advance Tax Summary" xfId="2534" xr:uid="{00000000-0005-0000-0000-0000E6090000}"/>
    <cellStyle name="_Book1_IPSL_3371_2007-08_Advance Tax Summary 2" xfId="2535" xr:uid="{00000000-0005-0000-0000-0000E7090000}"/>
    <cellStyle name="_Book1_IPSL_3371_2007-08_ISL Group - Advance Tax working for 3rd Instalment" xfId="2536" xr:uid="{00000000-0005-0000-0000-0000E8090000}"/>
    <cellStyle name="_Book1_IPSL_3371_2007-08_Power Group - Advance Tax working for 3rd Installment" xfId="2537" xr:uid="{00000000-0005-0000-0000-0000E9090000}"/>
    <cellStyle name="_Book1_IPSL_3371_2007-08_Xl0000013" xfId="2538" xr:uid="{00000000-0005-0000-0000-0000EA090000}"/>
    <cellStyle name="_Book1_IPSL_Conso_2007-08(jan)" xfId="2539" xr:uid="{00000000-0005-0000-0000-0000EB090000}"/>
    <cellStyle name="_Book1_IPSL_Conso_2007-08(jan)_IEL_3210_ 2007-2008" xfId="2540" xr:uid="{00000000-0005-0000-0000-0000EC090000}"/>
    <cellStyle name="_Book1_IPSL_Conso_2007-08(jan)_IEL_3210_ 2007-2008_260508" xfId="2541" xr:uid="{00000000-0005-0000-0000-0000ED090000}"/>
    <cellStyle name="_Book1_IRECPL 31_12_06" xfId="2542" xr:uid="{00000000-0005-0000-0000-0000EE090000}"/>
    <cellStyle name="_Book1_IRECPL 31_12_06 2" xfId="2543" xr:uid="{00000000-0005-0000-0000-0000EF090000}"/>
    <cellStyle name="_Book1_IRECPL 31_12_06 3" xfId="2544" xr:uid="{00000000-0005-0000-0000-0000F0090000}"/>
    <cellStyle name="_Book1_IRECPL 31_12_06 4" xfId="2545" xr:uid="{00000000-0005-0000-0000-0000F1090000}"/>
    <cellStyle name="_Book1_IRECPL 31_12_06 5" xfId="2546" xr:uid="{00000000-0005-0000-0000-0000F2090000}"/>
    <cellStyle name="_Book1_IRECPL 31_12_06_Abstract-2007-08" xfId="2547" xr:uid="{00000000-0005-0000-0000-0000F3090000}"/>
    <cellStyle name="_Book1_IRECPL 31_12_06_Advance Tax Sophia Jun 09" xfId="2548" xr:uid="{00000000-0005-0000-0000-0000F4090000}"/>
    <cellStyle name="_Book1_IRECPL 31_12_06_Advance Tax Sophia Jun 09 2" xfId="2549" xr:uid="{00000000-0005-0000-0000-0000F5090000}"/>
    <cellStyle name="_Book1_IRECPL 31_12_06_Base File For Segment" xfId="2550" xr:uid="{00000000-0005-0000-0000-0000F6090000}"/>
    <cellStyle name="_Book1_IRECPL 31_12_06_Base File For Segment 2" xfId="2551" xr:uid="{00000000-0005-0000-0000-0000F7090000}"/>
    <cellStyle name="_Book1_IRECPL 31_12_06_Book1 (2)" xfId="2552" xr:uid="{00000000-0005-0000-0000-0000F8090000}"/>
    <cellStyle name="_Book1_IRECPL 31_12_06_CCL_3353_2007-08" xfId="2553" xr:uid="{00000000-0005-0000-0000-0000F9090000}"/>
    <cellStyle name="_Book1_IRECPL 31_12_06_CCL_3353_2007-08 2" xfId="2554" xr:uid="{00000000-0005-0000-0000-0000FA090000}"/>
    <cellStyle name="_Book1_IRECPL 31_12_06_ChlorisProperties_3351_Dec.08" xfId="2555" xr:uid="{00000000-0005-0000-0000-0000FB090000}"/>
    <cellStyle name="_Book1_IRECPL 31_12_06_ChlorisProperties_3351_Dec.08 2" xfId="2556" xr:uid="{00000000-0005-0000-0000-0000FC090000}"/>
    <cellStyle name="_Book1_IRECPL 31_12_06_Consol Balance Sheet_Sophia_Dec08_Ibrel_1.3" xfId="2557" xr:uid="{00000000-0005-0000-0000-0000FD090000}"/>
    <cellStyle name="_Book1_IRECPL 31_12_06_Consol Balance Sheet_Sophia_Dec08_Ibrel_1.3 2" xfId="2558" xr:uid="{00000000-0005-0000-0000-0000FE090000}"/>
    <cellStyle name="_Book1_IRECPL 31_12_06_detail (2)" xfId="2559" xr:uid="{00000000-0005-0000-0000-0000FF090000}"/>
    <cellStyle name="_Book1_IRECPL 31_12_06_detail (2) 2" xfId="2560" xr:uid="{00000000-0005-0000-0000-0000000A0000}"/>
    <cellStyle name="_Book1_IRECPL 31_12_06_Details" xfId="2561" xr:uid="{00000000-0005-0000-0000-0000010A0000}"/>
    <cellStyle name="_Book1_IRECPL 31_12_06_Details 2" xfId="2562" xr:uid="{00000000-0005-0000-0000-0000020A0000}"/>
    <cellStyle name="_Book1_IRECPL 31_12_06_EPL_3346_2007-08(C)" xfId="2563" xr:uid="{00000000-0005-0000-0000-0000030A0000}"/>
    <cellStyle name="_Book1_IRECPL 31_12_06_EPL_3346_2007-08(C) 2" xfId="2564" xr:uid="{00000000-0005-0000-0000-0000040A0000}"/>
    <cellStyle name="_Book1_IRECPL 31_12_06_Final Consol Balance Sheet_Sophia_Dec08_27.01.08" xfId="2565" xr:uid="{00000000-0005-0000-0000-0000050A0000}"/>
    <cellStyle name="_Book1_IRECPL 31_12_06_Final Consol Balance Sheet_Sophia_Dec08_27.01.08 2" xfId="2566" xr:uid="{00000000-0005-0000-0000-0000060A0000}"/>
    <cellStyle name="_Book1_IRECPL 31_12_06_Fixed Assets consolidated" xfId="2567" xr:uid="{00000000-0005-0000-0000-0000070A0000}"/>
    <cellStyle name="_Book1_IRECPL 31_12_06_Fixed Assets consolidated 2" xfId="2568" xr:uid="{00000000-0005-0000-0000-0000080A0000}"/>
    <cellStyle name="_Book1_IRECPL 31_12_06_IIDL_3227_2008_09" xfId="2569" xr:uid="{00000000-0005-0000-0000-0000090A0000}"/>
    <cellStyle name="_Book1_IRECPL 31_12_06_IIDL_3227_2008_09 2" xfId="2570" xr:uid="{00000000-0005-0000-0000-00000A0A0000}"/>
    <cellStyle name="_Book1_IRECPL 31_12_06_Revised Consol Balance Sheet_Sophia_Jan09_10.02.2009" xfId="2571" xr:uid="{00000000-0005-0000-0000-00000B0A0000}"/>
    <cellStyle name="_Book1_IRECPL 31_12_06_Revised Consol Balance Sheet_Sophia_Jan09_10.02.2009 2" xfId="2572" xr:uid="{00000000-0005-0000-0000-00000C0A0000}"/>
    <cellStyle name="_Book1_IRECPL 31_12_06_Sophia Consol for Printout 22 Jun 09" xfId="2573" xr:uid="{00000000-0005-0000-0000-00000D0A0000}"/>
    <cellStyle name="_Book1_IRECPL 31_12_06_Sophia Consol for Printout 22 Jun 09 2" xfId="2574" xr:uid="{00000000-0005-0000-0000-00000E0A0000}"/>
    <cellStyle name="_Book1_IRECPL 31_12_06_Sophia Consol_march_09_05 June  09_1" xfId="2575" xr:uid="{00000000-0005-0000-0000-00000F0A0000}"/>
    <cellStyle name="_Book1_IRECPL 31_12_06_Sophia Consol_march_09_05 June  09_1 2" xfId="2576" xr:uid="{00000000-0005-0000-0000-0000100A0000}"/>
    <cellStyle name="_Book1_IRECPL 31_12_06_Treasury ICD Interest_ MIS_ 23  09 2009(final)" xfId="2577" xr:uid="{00000000-0005-0000-0000-0000110A0000}"/>
    <cellStyle name="_Book1_IRECPL 31_12_06_Treasury ICD Interest_ MIS_ 23  09 2009(final) 2" xfId="2578" xr:uid="{00000000-0005-0000-0000-0000120A0000}"/>
    <cellStyle name="_Book1_IRECPL 31_12_06_Treasury ICD Interest_ MIS_ 30. 06 2009(final)" xfId="2579" xr:uid="{00000000-0005-0000-0000-0000130A0000}"/>
    <cellStyle name="_Book1_IRECPL 31_12_06_Treasury ICD Interest_ MIS_ 30. 06 2009(final) 2" xfId="2580" xr:uid="{00000000-0005-0000-0000-0000140A0000}"/>
    <cellStyle name="_Book1_IRECPL 31_12_06_Treasury ICD Interest_ MIS_ 30. 09 2009(final)" xfId="2581" xr:uid="{00000000-0005-0000-0000-0000150A0000}"/>
    <cellStyle name="_Book1_IRECPL 31_12_06_Treasury ICD Interest_ MIS_ 30. 09 2009(final) 2" xfId="2582" xr:uid="{00000000-0005-0000-0000-0000160A0000}"/>
    <cellStyle name="_Book1_IRECPL 31_12_06_Treasury ICD Interest_ MIS_ 31 05 2009" xfId="2583" xr:uid="{00000000-0005-0000-0000-0000170A0000}"/>
    <cellStyle name="_Book1_IRECPL 31_12_06_Treasury ICD Interest_ MIS_ 31 05 2009 2" xfId="2584" xr:uid="{00000000-0005-0000-0000-0000180A0000}"/>
    <cellStyle name="_Book1_IRECPL 31_12_06_Treasury ICD Interest_ MIS_ 31 10 2009" xfId="2585" xr:uid="{00000000-0005-0000-0000-0000190A0000}"/>
    <cellStyle name="_Book1_IRECPL 31_12_06_Treasury ICD Interest_ MIS_ 31 10 2009 2" xfId="2586" xr:uid="{00000000-0005-0000-0000-00001A0A0000}"/>
    <cellStyle name="_Book1_IRECPL 31_12_06_Treasury ICD Interest_ MIS_ 31.10.2009" xfId="2587" xr:uid="{00000000-0005-0000-0000-00001B0A0000}"/>
    <cellStyle name="_Book1_IRECPL 31_12_06_Treasury ICD Interest_ MIS_ 31.10.2009 2" xfId="2588" xr:uid="{00000000-0005-0000-0000-00001C0A0000}"/>
    <cellStyle name="_Book1_IRECPL 31_12_06_Treasury ICD Interest_ MIS_ 310309" xfId="2589" xr:uid="{00000000-0005-0000-0000-00001D0A0000}"/>
    <cellStyle name="_Book1_IRECPL 31_12_06_Treasury ICD Interest_ MIS_ 310309 2" xfId="2590" xr:uid="{00000000-0005-0000-0000-00001E0A0000}"/>
    <cellStyle name="_Book1_IRECPL_Himanshu Shah Bill" xfId="2591" xr:uid="{00000000-0005-0000-0000-00001F0A0000}"/>
    <cellStyle name="_Book1_IRECPL_Himanshu Shah Bill 2" xfId="2592" xr:uid="{00000000-0005-0000-0000-0000200A0000}"/>
    <cellStyle name="_Book1_IRL_3319_2007-08" xfId="2593" xr:uid="{00000000-0005-0000-0000-0000210A0000}"/>
    <cellStyle name="_Book1_IRL_3319_2007-08 2" xfId="2594" xr:uid="{00000000-0005-0000-0000-0000220A0000}"/>
    <cellStyle name="_Book1_IRL_3319_Oct 07_d" xfId="2595" xr:uid="{00000000-0005-0000-0000-0000230A0000}"/>
    <cellStyle name="_Book1_IRL_3319_Oct 07_d 2" xfId="2596" xr:uid="{00000000-0005-0000-0000-0000240A0000}"/>
    <cellStyle name="_Book1_IRL_3319_Oct 07_d_ACL_3402_2008-09" xfId="2597" xr:uid="{00000000-0005-0000-0000-0000250A0000}"/>
    <cellStyle name="_Book1_IRL_3319_Oct 07_d_ADL_3373_2008-09" xfId="2598" xr:uid="{00000000-0005-0000-0000-0000260A0000}"/>
    <cellStyle name="_Book1_IRL_3319_Oct 07_d_Advance Tax Summary" xfId="2599" xr:uid="{00000000-0005-0000-0000-0000270A0000}"/>
    <cellStyle name="_Book1_IRL_3319_Oct 07_d_Advance Tax Summary 2" xfId="2600" xr:uid="{00000000-0005-0000-0000-0000280A0000}"/>
    <cellStyle name="_Book1_IRL_3319_Oct 07_d_Base File For Segment" xfId="2601" xr:uid="{00000000-0005-0000-0000-0000290A0000}"/>
    <cellStyle name="_Book1_IRL_3319_Oct 07_d_CIL_3415_2008-09" xfId="2602" xr:uid="{00000000-0005-0000-0000-00002A0A0000}"/>
    <cellStyle name="_Book1_IRL_3319_Oct 07_d_detail" xfId="2603" xr:uid="{00000000-0005-0000-0000-00002B0A0000}"/>
    <cellStyle name="_Book1_IRL_3319_Oct 07_d_detail (2)" xfId="2604" xr:uid="{00000000-0005-0000-0000-00002C0A0000}"/>
    <cellStyle name="_Book1_IRL_3319_Oct 07_d_detail to be added in june,2008" xfId="2605" xr:uid="{00000000-0005-0000-0000-00002D0A0000}"/>
    <cellStyle name="_Book1_IRL_3319_Oct 07_d_IBL_3441_2008-09" xfId="2606" xr:uid="{00000000-0005-0000-0000-00002E0A0000}"/>
    <cellStyle name="_Book1_IRL_3319_Oct 07_d_IEL_3210_ 2007-2008" xfId="2607" xr:uid="{00000000-0005-0000-0000-00002F0A0000}"/>
    <cellStyle name="_Book1_IRL_3319_Oct 07_d_IEL_3210_ 2007-2008_260508" xfId="2608" xr:uid="{00000000-0005-0000-0000-0000300A0000}"/>
    <cellStyle name="_Book1_IRL_3319_Oct 07_d_ISL Group - Advance Tax working for 3rd Instalment" xfId="2609" xr:uid="{00000000-0005-0000-0000-0000310A0000}"/>
    <cellStyle name="_Book1_IRL_3319_Oct 07_d_Land  CWIP status" xfId="2610" xr:uid="{00000000-0005-0000-0000-0000320A0000}"/>
    <cellStyle name="_Book1_IRL_3319_Oct 07_d_Power Group - Advance Tax working for 3rd Installment" xfId="2611" xr:uid="{00000000-0005-0000-0000-0000330A0000}"/>
    <cellStyle name="_Book1_IRL_3319_Oct 07_d_Xl0000013" xfId="2612" xr:uid="{00000000-0005-0000-0000-0000340A0000}"/>
    <cellStyle name="_Book1_IRL_3321_2007-08" xfId="2613" xr:uid="{00000000-0005-0000-0000-0000350A0000}"/>
    <cellStyle name="_Book1_IRL_3321_2007-08 2" xfId="2614" xr:uid="{00000000-0005-0000-0000-0000360A0000}"/>
    <cellStyle name="_Book1_IRL_3321_Oct 07_d" xfId="2615" xr:uid="{00000000-0005-0000-0000-0000370A0000}"/>
    <cellStyle name="_Book1_IRL_3321_Oct 07_d 2" xfId="2616" xr:uid="{00000000-0005-0000-0000-0000380A0000}"/>
    <cellStyle name="_Book1_IRL_3321_Oct 07_d_ACL_3402_2008-09" xfId="2617" xr:uid="{00000000-0005-0000-0000-0000390A0000}"/>
    <cellStyle name="_Book1_IRL_3321_Oct 07_d_ADL_3373_2008-09" xfId="2618" xr:uid="{00000000-0005-0000-0000-00003A0A0000}"/>
    <cellStyle name="_Book1_IRL_3321_Oct 07_d_Advance Tax Summary" xfId="2619" xr:uid="{00000000-0005-0000-0000-00003B0A0000}"/>
    <cellStyle name="_Book1_IRL_3321_Oct 07_d_Advance Tax Summary 2" xfId="2620" xr:uid="{00000000-0005-0000-0000-00003C0A0000}"/>
    <cellStyle name="_Book1_IRL_3321_Oct 07_d_Base File For Segment" xfId="2621" xr:uid="{00000000-0005-0000-0000-00003D0A0000}"/>
    <cellStyle name="_Book1_IRL_3321_Oct 07_d_CIL_3415_2008-09" xfId="2622" xr:uid="{00000000-0005-0000-0000-00003E0A0000}"/>
    <cellStyle name="_Book1_IRL_3321_Oct 07_d_detail" xfId="2623" xr:uid="{00000000-0005-0000-0000-00003F0A0000}"/>
    <cellStyle name="_Book1_IRL_3321_Oct 07_d_detail (2)" xfId="2624" xr:uid="{00000000-0005-0000-0000-0000400A0000}"/>
    <cellStyle name="_Book1_IRL_3321_Oct 07_d_detail to be added in june,2008" xfId="2625" xr:uid="{00000000-0005-0000-0000-0000410A0000}"/>
    <cellStyle name="_Book1_IRL_3321_Oct 07_d_IBL_3441_2008-09" xfId="2626" xr:uid="{00000000-0005-0000-0000-0000420A0000}"/>
    <cellStyle name="_Book1_IRL_3321_Oct 07_d_IEL_3210_ 2007-2008" xfId="2627" xr:uid="{00000000-0005-0000-0000-0000430A0000}"/>
    <cellStyle name="_Book1_IRL_3321_Oct 07_d_IEL_3210_ 2007-2008_260508" xfId="2628" xr:uid="{00000000-0005-0000-0000-0000440A0000}"/>
    <cellStyle name="_Book1_IRL_3321_Oct 07_d_ISL Group - Advance Tax working for 3rd Instalment" xfId="2629" xr:uid="{00000000-0005-0000-0000-0000450A0000}"/>
    <cellStyle name="_Book1_IRL_3321_Oct 07_d_Land  CWIP status" xfId="2630" xr:uid="{00000000-0005-0000-0000-0000460A0000}"/>
    <cellStyle name="_Book1_IRL_3321_Oct 07_d_Power Group - Advance Tax working for 3rd Installment" xfId="2631" xr:uid="{00000000-0005-0000-0000-0000470A0000}"/>
    <cellStyle name="_Book1_IRL_3321_Oct 07_d_Xl0000013" xfId="2632" xr:uid="{00000000-0005-0000-0000-0000480A0000}"/>
    <cellStyle name="_Book1_isl interest" xfId="2633" xr:uid="{00000000-0005-0000-0000-0000490A0000}"/>
    <cellStyle name="_Book1_isl interest 10" xfId="2634" xr:uid="{00000000-0005-0000-0000-00004A0A0000}"/>
    <cellStyle name="_Book1_isl interest 10 2" xfId="2635" xr:uid="{00000000-0005-0000-0000-00004B0A0000}"/>
    <cellStyle name="_Book1_isl interest 11" xfId="2636" xr:uid="{00000000-0005-0000-0000-00004C0A0000}"/>
    <cellStyle name="_Book1_isl interest 11 2" xfId="2637" xr:uid="{00000000-0005-0000-0000-00004D0A0000}"/>
    <cellStyle name="_Book1_isl interest 12" xfId="2638" xr:uid="{00000000-0005-0000-0000-00004E0A0000}"/>
    <cellStyle name="_Book1_isl interest 12 2" xfId="2639" xr:uid="{00000000-0005-0000-0000-00004F0A0000}"/>
    <cellStyle name="_Book1_isl interest 13" xfId="2640" xr:uid="{00000000-0005-0000-0000-0000500A0000}"/>
    <cellStyle name="_Book1_isl interest 13 2" xfId="2641" xr:uid="{00000000-0005-0000-0000-0000510A0000}"/>
    <cellStyle name="_Book1_isl interest 14" xfId="2642" xr:uid="{00000000-0005-0000-0000-0000520A0000}"/>
    <cellStyle name="_Book1_isl interest 14 2" xfId="2643" xr:uid="{00000000-0005-0000-0000-0000530A0000}"/>
    <cellStyle name="_Book1_isl interest 15" xfId="2644" xr:uid="{00000000-0005-0000-0000-0000540A0000}"/>
    <cellStyle name="_Book1_isl interest 15 2" xfId="2645" xr:uid="{00000000-0005-0000-0000-0000550A0000}"/>
    <cellStyle name="_Book1_isl interest 16" xfId="2646" xr:uid="{00000000-0005-0000-0000-0000560A0000}"/>
    <cellStyle name="_Book1_isl interest 16 2" xfId="2647" xr:uid="{00000000-0005-0000-0000-0000570A0000}"/>
    <cellStyle name="_Book1_isl interest 17" xfId="2648" xr:uid="{00000000-0005-0000-0000-0000580A0000}"/>
    <cellStyle name="_Book1_isl interest 17 2" xfId="2649" xr:uid="{00000000-0005-0000-0000-0000590A0000}"/>
    <cellStyle name="_Book1_isl interest 18" xfId="2650" xr:uid="{00000000-0005-0000-0000-00005A0A0000}"/>
    <cellStyle name="_Book1_isl interest 18 2" xfId="2651" xr:uid="{00000000-0005-0000-0000-00005B0A0000}"/>
    <cellStyle name="_Book1_isl interest 19" xfId="2652" xr:uid="{00000000-0005-0000-0000-00005C0A0000}"/>
    <cellStyle name="_Book1_isl interest 19 2" xfId="2653" xr:uid="{00000000-0005-0000-0000-00005D0A0000}"/>
    <cellStyle name="_Book1_isl interest 2" xfId="2654" xr:uid="{00000000-0005-0000-0000-00005E0A0000}"/>
    <cellStyle name="_Book1_isl interest 2 2" xfId="2655" xr:uid="{00000000-0005-0000-0000-00005F0A0000}"/>
    <cellStyle name="_Book1_isl interest 20" xfId="2656" xr:uid="{00000000-0005-0000-0000-0000600A0000}"/>
    <cellStyle name="_Book1_isl interest 21" xfId="2657" xr:uid="{00000000-0005-0000-0000-0000610A0000}"/>
    <cellStyle name="_Book1_isl interest 22" xfId="2658" xr:uid="{00000000-0005-0000-0000-0000620A0000}"/>
    <cellStyle name="_Book1_isl interest 23" xfId="2659" xr:uid="{00000000-0005-0000-0000-0000630A0000}"/>
    <cellStyle name="_Book1_isl interest 3" xfId="2660" xr:uid="{00000000-0005-0000-0000-0000640A0000}"/>
    <cellStyle name="_Book1_isl interest 3 2" xfId="2661" xr:uid="{00000000-0005-0000-0000-0000650A0000}"/>
    <cellStyle name="_Book1_isl interest 4" xfId="2662" xr:uid="{00000000-0005-0000-0000-0000660A0000}"/>
    <cellStyle name="_Book1_isl interest 4 2" xfId="2663" xr:uid="{00000000-0005-0000-0000-0000670A0000}"/>
    <cellStyle name="_Book1_isl interest 5" xfId="2664" xr:uid="{00000000-0005-0000-0000-0000680A0000}"/>
    <cellStyle name="_Book1_isl interest 5 2" xfId="2665" xr:uid="{00000000-0005-0000-0000-0000690A0000}"/>
    <cellStyle name="_Book1_isl interest 6" xfId="2666" xr:uid="{00000000-0005-0000-0000-00006A0A0000}"/>
    <cellStyle name="_Book1_isl interest 6 2" xfId="2667" xr:uid="{00000000-0005-0000-0000-00006B0A0000}"/>
    <cellStyle name="_Book1_isl interest 7" xfId="2668" xr:uid="{00000000-0005-0000-0000-00006C0A0000}"/>
    <cellStyle name="_Book1_isl interest 7 2" xfId="2669" xr:uid="{00000000-0005-0000-0000-00006D0A0000}"/>
    <cellStyle name="_Book1_isl interest 8" xfId="2670" xr:uid="{00000000-0005-0000-0000-00006E0A0000}"/>
    <cellStyle name="_Book1_isl interest 8 2" xfId="2671" xr:uid="{00000000-0005-0000-0000-00006F0A0000}"/>
    <cellStyle name="_Book1_isl interest 9" xfId="2672" xr:uid="{00000000-0005-0000-0000-0000700A0000}"/>
    <cellStyle name="_Book1_isl interest 9 2" xfId="2673" xr:uid="{00000000-0005-0000-0000-0000710A0000}"/>
    <cellStyle name="_Book1_isl interest_Book1" xfId="2674" xr:uid="{00000000-0005-0000-0000-0000720A0000}"/>
    <cellStyle name="_Book1_isl interest_Book1 (2)" xfId="2675" xr:uid="{00000000-0005-0000-0000-0000730A0000}"/>
    <cellStyle name="_Book1_isl interest_Book1 (2) 2" xfId="2676" xr:uid="{00000000-0005-0000-0000-0000740A0000}"/>
    <cellStyle name="_Book1_isl interest_Book1 10" xfId="2677" xr:uid="{00000000-0005-0000-0000-0000750A0000}"/>
    <cellStyle name="_Book1_isl interest_Book1 11" xfId="2678" xr:uid="{00000000-0005-0000-0000-0000760A0000}"/>
    <cellStyle name="_Book1_isl interest_Book1 2" xfId="2679" xr:uid="{00000000-0005-0000-0000-0000770A0000}"/>
    <cellStyle name="_Book1_isl interest_Book1 3" xfId="2680" xr:uid="{00000000-0005-0000-0000-0000780A0000}"/>
    <cellStyle name="_Book1_isl interest_Book1 4" xfId="2681" xr:uid="{00000000-0005-0000-0000-0000790A0000}"/>
    <cellStyle name="_Book1_isl interest_Book1 5" xfId="2682" xr:uid="{00000000-0005-0000-0000-00007A0A0000}"/>
    <cellStyle name="_Book1_isl interest_Book1 6" xfId="2683" xr:uid="{00000000-0005-0000-0000-00007B0A0000}"/>
    <cellStyle name="_Book1_isl interest_Book1 7" xfId="2684" xr:uid="{00000000-0005-0000-0000-00007C0A0000}"/>
    <cellStyle name="_Book1_isl interest_Book1 8" xfId="2685" xr:uid="{00000000-0005-0000-0000-00007D0A0000}"/>
    <cellStyle name="_Book1_isl interest_Book1 9" xfId="2686" xr:uid="{00000000-0005-0000-0000-00007E0A0000}"/>
    <cellStyle name="_Book1_isl interest_Book1_ISL__3CD_FY2010-11" xfId="2687" xr:uid="{00000000-0005-0000-0000-00007F0A0000}"/>
    <cellStyle name="_Book1_isl interest_Book2" xfId="2688" xr:uid="{00000000-0005-0000-0000-0000800A0000}"/>
    <cellStyle name="_Book1_isl interest_Book2 2" xfId="2689" xr:uid="{00000000-0005-0000-0000-0000810A0000}"/>
    <cellStyle name="_Book1_isl interest_Book2_ISL__3CD_FY2010-11" xfId="2690" xr:uid="{00000000-0005-0000-0000-0000820A0000}"/>
    <cellStyle name="_Book1_isl interest_Book4" xfId="2691" xr:uid="{00000000-0005-0000-0000-0000830A0000}"/>
    <cellStyle name="_Book1_isl interest_Book4 2" xfId="2692" xr:uid="{00000000-0005-0000-0000-0000840A0000}"/>
    <cellStyle name="_Book1_isl interest_Book4_ISL__3CD_FY2010-11" xfId="2693" xr:uid="{00000000-0005-0000-0000-0000850A0000}"/>
    <cellStyle name="_Book1_isl interest_Detail of IPO funding" xfId="2694" xr:uid="{00000000-0005-0000-0000-0000860A0000}"/>
    <cellStyle name="_Book1_isl interest_FDR Int Calculation as per BS" xfId="2695" xr:uid="{00000000-0005-0000-0000-0000870A0000}"/>
    <cellStyle name="_Book1_isl interest_ICPL_BS_31.03.2009_new" xfId="2696" xr:uid="{00000000-0005-0000-0000-0000880A0000}"/>
    <cellStyle name="_Book1_isl interest_ICPL_BS_31.03.2009_new_ISL__3CD_FY2010-11" xfId="2697" xr:uid="{00000000-0005-0000-0000-0000890A0000}"/>
    <cellStyle name="_Book1_isl interest_IFCPL 31 03 2010 VER6 Final" xfId="2698" xr:uid="{00000000-0005-0000-0000-00008A0A0000}"/>
    <cellStyle name="_Book1_isl interest_ISL June 09" xfId="2699" xr:uid="{00000000-0005-0000-0000-00008B0A0000}"/>
    <cellStyle name="_Book1_isl interest_ISL June 09 2" xfId="2700" xr:uid="{00000000-0005-0000-0000-00008C0A0000}"/>
    <cellStyle name="_Book1_isl interest_ISL June 09_ISL__3CD_FY2010-11" xfId="2701" xr:uid="{00000000-0005-0000-0000-00008D0A0000}"/>
    <cellStyle name="_Book1_isl interest_ISL Rev" xfId="2702" xr:uid="{00000000-0005-0000-0000-00008E0A0000}"/>
    <cellStyle name="_Book1_isl interest_ISL Rev 2" xfId="2703" xr:uid="{00000000-0005-0000-0000-00008F0A0000}"/>
    <cellStyle name="_Book1_isl interest_ISL Rev_ISL__3CD_FY2010-11" xfId="2704" xr:uid="{00000000-0005-0000-0000-0000900A0000}"/>
    <cellStyle name="_Book1_isl interest_ISL Rev_Results" xfId="2705" xr:uid="{00000000-0005-0000-0000-0000910A0000}"/>
    <cellStyle name="_Book1_isl interest_ISL Rev_Results 2" xfId="2706" xr:uid="{00000000-0005-0000-0000-0000920A0000}"/>
    <cellStyle name="_Book1_isl interest_ISL Rev_Xl0000012" xfId="2707" xr:uid="{00000000-0005-0000-0000-0000930A0000}"/>
    <cellStyle name="_Book1_isl interest_ISL Rev_Xl0000012 2" xfId="2708" xr:uid="{00000000-0005-0000-0000-0000940A0000}"/>
    <cellStyle name="_Book1_isl interest_ISL_BS_03.03.2009" xfId="2709" xr:uid="{00000000-0005-0000-0000-0000950A0000}"/>
    <cellStyle name="_Book1_isl interest_ISL_BS_03.03.2009 2" xfId="2710" xr:uid="{00000000-0005-0000-0000-0000960A0000}"/>
    <cellStyle name="_Book1_isl interest_ISL_BS_03.03.2009_ISL__3CD_FY2010-11" xfId="2711" xr:uid="{00000000-0005-0000-0000-0000970A0000}"/>
    <cellStyle name="_Book1_isl interest_ISL_BS_08.03.2009" xfId="2712" xr:uid="{00000000-0005-0000-0000-0000980A0000}"/>
    <cellStyle name="_Book1_isl interest_ISL_BS_08.03.2009 2" xfId="2713" xr:uid="{00000000-0005-0000-0000-0000990A0000}"/>
    <cellStyle name="_Book1_isl interest_ISL_BS_08.03.2009_ISL__3CD_FY2010-11" xfId="2714" xr:uid="{00000000-0005-0000-0000-00009A0A0000}"/>
    <cellStyle name="_Book1_isl interest_ISL_BS_15.03.2009" xfId="2715" xr:uid="{00000000-0005-0000-0000-00009B0A0000}"/>
    <cellStyle name="_Book1_isl interest_ISL_BS_15.03.2009 2" xfId="2716" xr:uid="{00000000-0005-0000-0000-00009C0A0000}"/>
    <cellStyle name="_Book1_isl interest_ISL_BS_15.03.2009_ISL__3CD_FY2010-11" xfId="2717" xr:uid="{00000000-0005-0000-0000-00009D0A0000}"/>
    <cellStyle name="_Book1_isl interest_ISL_BS_2008-09- First Cut" xfId="2718" xr:uid="{00000000-0005-0000-0000-00009E0A0000}"/>
    <cellStyle name="_Book1_isl interest_ISL_BS_2008-09- First Cut 2" xfId="2719" xr:uid="{00000000-0005-0000-0000-00009F0A0000}"/>
    <cellStyle name="_Book1_isl interest_ISL_BS_2008-09- First Cut_ISL__3CD_FY2010-11" xfId="2720" xr:uid="{00000000-0005-0000-0000-0000A00A0000}"/>
    <cellStyle name="_Book1_isl interest_ISL_BS_21.09.2009" xfId="2721" xr:uid="{00000000-0005-0000-0000-0000A10A0000}"/>
    <cellStyle name="_Book1_isl interest_ISL_BS_21.09.2009 2" xfId="2722" xr:uid="{00000000-0005-0000-0000-0000A20A0000}"/>
    <cellStyle name="_Book1_isl interest_ISL_BS_23.02.2009" xfId="2723" xr:uid="{00000000-0005-0000-0000-0000A30A0000}"/>
    <cellStyle name="_Book1_isl interest_ISL_BS_23.02.2009 2" xfId="2724" xr:uid="{00000000-0005-0000-0000-0000A40A0000}"/>
    <cellStyle name="_Book1_isl interest_ISL_BS_23.02.2009_ISL__3CD_FY2010-11" xfId="2725" xr:uid="{00000000-0005-0000-0000-0000A50A0000}"/>
    <cellStyle name="_Book1_isl interest_ISL_BS_24.02.2009" xfId="2726" xr:uid="{00000000-0005-0000-0000-0000A60A0000}"/>
    <cellStyle name="_Book1_isl interest_ISL_BS_24.02.2009 2" xfId="2727" xr:uid="{00000000-0005-0000-0000-0000A70A0000}"/>
    <cellStyle name="_Book1_isl interest_ISL_BS_24.02.2009_ISL__3CD_FY2010-11" xfId="2728" xr:uid="{00000000-0005-0000-0000-0000A80A0000}"/>
    <cellStyle name="_Book1_isl interest_ISL_BS_Aug 09" xfId="2729" xr:uid="{00000000-0005-0000-0000-0000A90A0000}"/>
    <cellStyle name="_Book1_isl interest_ISL_BS_Aug 09 2" xfId="2730" xr:uid="{00000000-0005-0000-0000-0000AA0A0000}"/>
    <cellStyle name="_Book1_isl interest_ISL_BS_Aug 09.z" xfId="2731" xr:uid="{00000000-0005-0000-0000-0000AB0A0000}"/>
    <cellStyle name="_Book1_isl interest_ISL_BS_Aug 09.z 2" xfId="2732" xr:uid="{00000000-0005-0000-0000-0000AC0A0000}"/>
    <cellStyle name="_Book1_isl interest_ISL_BS_Aug 09.z_ISL__3CD_FY2010-11" xfId="2733" xr:uid="{00000000-0005-0000-0000-0000AD0A0000}"/>
    <cellStyle name="_Book1_isl interest_ISL_BS_Aug 09_ISL__3CD_FY2010-11" xfId="2734" xr:uid="{00000000-0005-0000-0000-0000AE0A0000}"/>
    <cellStyle name="_Book1_isl interest_ISL_Conso_09_10_Other working" xfId="2735" xr:uid="{00000000-0005-0000-0000-0000AF0A0000}"/>
    <cellStyle name="_Book1_isl interest_ISL_Conso_09_10_Other working 2" xfId="2736" xr:uid="{00000000-0005-0000-0000-0000B00A0000}"/>
    <cellStyle name="_Book1_isl interest_ISL_conso_August_09_10" xfId="2737" xr:uid="{00000000-0005-0000-0000-0000B10A0000}"/>
    <cellStyle name="_Book1_isl interest_ISL_conso_August_09_10 2" xfId="2738" xr:uid="{00000000-0005-0000-0000-0000B20A0000}"/>
    <cellStyle name="_Book1_isl interest_ISL_conso_August_09_10_ISL__3CD_FY2010-11" xfId="2739" xr:uid="{00000000-0005-0000-0000-0000B30A0000}"/>
    <cellStyle name="_Book1_isl interest_ISL_conso_August_10_11" xfId="2740" xr:uid="{00000000-0005-0000-0000-0000B40A0000}"/>
    <cellStyle name="_Book1_isl interest_ISL_conso_August_10_11 2" xfId="2741" xr:uid="{00000000-0005-0000-0000-0000B50A0000}"/>
    <cellStyle name="_Book1_isl interest_ISL_conso_December_08_09" xfId="2742" xr:uid="{00000000-0005-0000-0000-0000B60A0000}"/>
    <cellStyle name="_Book1_isl interest_ISL_conso_December_08_09 2" xfId="2743" xr:uid="{00000000-0005-0000-0000-0000B70A0000}"/>
    <cellStyle name="_Book1_isl interest_ISL_conso_December_08_09_ISL__3CD_FY2010-11" xfId="2744" xr:uid="{00000000-0005-0000-0000-0000B80A0000}"/>
    <cellStyle name="_Book1_isl interest_ISL_conso_December_08_09_Results" xfId="2745" xr:uid="{00000000-0005-0000-0000-0000B90A0000}"/>
    <cellStyle name="_Book1_isl interest_ISL_conso_December_08_09_Results 2" xfId="2746" xr:uid="{00000000-0005-0000-0000-0000BA0A0000}"/>
    <cellStyle name="_Book1_isl interest_ISL_conso_December_08_09_Xl0000012" xfId="2747" xr:uid="{00000000-0005-0000-0000-0000BB0A0000}"/>
    <cellStyle name="_Book1_isl interest_ISL_conso_December_08_09_Xl0000012 2" xfId="2748" xr:uid="{00000000-0005-0000-0000-0000BC0A0000}"/>
    <cellStyle name="_Book1_isl interest_ISL_conso_December_09_10" xfId="2749" xr:uid="{00000000-0005-0000-0000-0000BD0A0000}"/>
    <cellStyle name="_Book1_isl interest_ISL_conso_December_09_10 2" xfId="2750" xr:uid="{00000000-0005-0000-0000-0000BE0A0000}"/>
    <cellStyle name="_Book1_isl interest_ISL_conso_December_09_10_ISL__3CD_FY2010-11" xfId="2751" xr:uid="{00000000-0005-0000-0000-0000BF0A0000}"/>
    <cellStyle name="_Book1_isl interest_ISL_conso_December_10_11" xfId="2752" xr:uid="{00000000-0005-0000-0000-0000C00A0000}"/>
    <cellStyle name="_Book1_isl interest_ISL_conso_December_10_11 2" xfId="2753" xr:uid="{00000000-0005-0000-0000-0000C10A0000}"/>
    <cellStyle name="_Book1_isl interest_ISL_conso_February_09_10" xfId="2754" xr:uid="{00000000-0005-0000-0000-0000C20A0000}"/>
    <cellStyle name="_Book1_isl interest_ISL_conso_February_09_10 2" xfId="2755" xr:uid="{00000000-0005-0000-0000-0000C30A0000}"/>
    <cellStyle name="_Book1_isl interest_ISL_conso_January_09_10" xfId="2756" xr:uid="{00000000-0005-0000-0000-0000C40A0000}"/>
    <cellStyle name="_Book1_isl interest_ISL_conso_January_09_10 2" xfId="2757" xr:uid="{00000000-0005-0000-0000-0000C50A0000}"/>
    <cellStyle name="_Book1_isl interest_ISL_conso_July_08_09" xfId="2758" xr:uid="{00000000-0005-0000-0000-0000C60A0000}"/>
    <cellStyle name="_Book1_isl interest_ISL_conso_July_08_09 2" xfId="2759" xr:uid="{00000000-0005-0000-0000-0000C70A0000}"/>
    <cellStyle name="_Book1_isl interest_ISL_conso_July_08_09_ISL__3CD_FY2010-11" xfId="2760" xr:uid="{00000000-0005-0000-0000-0000C80A0000}"/>
    <cellStyle name="_Book1_isl interest_ISL_conso_July_08_09_Results" xfId="2761" xr:uid="{00000000-0005-0000-0000-0000C90A0000}"/>
    <cellStyle name="_Book1_isl interest_ISL_conso_July_08_09_Results 2" xfId="2762" xr:uid="{00000000-0005-0000-0000-0000CA0A0000}"/>
    <cellStyle name="_Book1_isl interest_ISL_conso_July_08_09_Xl0000012" xfId="2763" xr:uid="{00000000-0005-0000-0000-0000CB0A0000}"/>
    <cellStyle name="_Book1_isl interest_ISL_conso_July_08_09_Xl0000012 2" xfId="2764" xr:uid="{00000000-0005-0000-0000-0000CC0A0000}"/>
    <cellStyle name="_Book1_isl interest_ISL_conso_July_09_10" xfId="2765" xr:uid="{00000000-0005-0000-0000-0000CD0A0000}"/>
    <cellStyle name="_Book1_isl interest_ISL_conso_July_09_10 2" xfId="2766" xr:uid="{00000000-0005-0000-0000-0000CE0A0000}"/>
    <cellStyle name="_Book1_isl interest_ISL_conso_July_09_10_ISL__3CD_FY2010-11" xfId="2767" xr:uid="{00000000-0005-0000-0000-0000CF0A0000}"/>
    <cellStyle name="_Book1_isl interest_ISL_conso_July_10_11" xfId="2768" xr:uid="{00000000-0005-0000-0000-0000D00A0000}"/>
    <cellStyle name="_Book1_isl interest_ISL_conso_July_10_11 2" xfId="2769" xr:uid="{00000000-0005-0000-0000-0000D10A0000}"/>
    <cellStyle name="_Book1_isl interest_ISL_conso_June_09_10" xfId="2770" xr:uid="{00000000-0005-0000-0000-0000D20A0000}"/>
    <cellStyle name="_Book1_isl interest_ISL_conso_June_09_10 2" xfId="2771" xr:uid="{00000000-0005-0000-0000-0000D30A0000}"/>
    <cellStyle name="_Book1_isl interest_ISL_conso_June_09_10_ISL__3CD_FY2010-11" xfId="2772" xr:uid="{00000000-0005-0000-0000-0000D40A0000}"/>
    <cellStyle name="_Book1_isl interest_ISL_conso_June_10_11" xfId="2773" xr:uid="{00000000-0005-0000-0000-0000D50A0000}"/>
    <cellStyle name="_Book1_isl interest_ISL_conso_June_10_11 2" xfId="2774" xr:uid="{00000000-0005-0000-0000-0000D60A0000}"/>
    <cellStyle name="_Book1_isl interest_ISL_conso_March_08_09" xfId="2775" xr:uid="{00000000-0005-0000-0000-0000D70A0000}"/>
    <cellStyle name="_Book1_isl interest_ISL_conso_March_08_09 2" xfId="2776" xr:uid="{00000000-0005-0000-0000-0000D80A0000}"/>
    <cellStyle name="_Book1_isl interest_ISL_conso_March_08_09_ISL__3CD_FY2010-11" xfId="2777" xr:uid="{00000000-0005-0000-0000-0000D90A0000}"/>
    <cellStyle name="_Book1_isl interest_ISL_conso_March_09_10" xfId="2778" xr:uid="{00000000-0005-0000-0000-0000DA0A0000}"/>
    <cellStyle name="_Book1_isl interest_ISL_conso_March_09_10 2" xfId="2779" xr:uid="{00000000-0005-0000-0000-0000DB0A0000}"/>
    <cellStyle name="_Book1_isl interest_ISL_conso_May_09_10" xfId="2780" xr:uid="{00000000-0005-0000-0000-0000DC0A0000}"/>
    <cellStyle name="_Book1_isl interest_ISL_conso_May_09_10 2" xfId="2781" xr:uid="{00000000-0005-0000-0000-0000DD0A0000}"/>
    <cellStyle name="_Book1_isl interest_ISL_conso_May_09_10_ISL__3CD_FY2010-11" xfId="2782" xr:uid="{00000000-0005-0000-0000-0000DE0A0000}"/>
    <cellStyle name="_Book1_isl interest_ISL_conso_May_10_11" xfId="2783" xr:uid="{00000000-0005-0000-0000-0000DF0A0000}"/>
    <cellStyle name="_Book1_isl interest_ISL_conso_May_10_11 2" xfId="2784" xr:uid="{00000000-0005-0000-0000-0000E00A0000}"/>
    <cellStyle name="_Book1_isl interest_ISL_conso_November_09_10" xfId="2785" xr:uid="{00000000-0005-0000-0000-0000E10A0000}"/>
    <cellStyle name="_Book1_isl interest_ISL_conso_November_09_10 2" xfId="2786" xr:uid="{00000000-0005-0000-0000-0000E20A0000}"/>
    <cellStyle name="_Book1_isl interest_ISL_conso_November_09_10_ISL__3CD_FY2010-11" xfId="2787" xr:uid="{00000000-0005-0000-0000-0000E30A0000}"/>
    <cellStyle name="_Book1_isl interest_ISL_conso_November_10_11" xfId="2788" xr:uid="{00000000-0005-0000-0000-0000E40A0000}"/>
    <cellStyle name="_Book1_isl interest_ISL_conso_November_10_11 2" xfId="2789" xr:uid="{00000000-0005-0000-0000-0000E50A0000}"/>
    <cellStyle name="_Book1_isl interest_ISL_conso_October_09_10" xfId="2790" xr:uid="{00000000-0005-0000-0000-0000E60A0000}"/>
    <cellStyle name="_Book1_isl interest_ISL_conso_October_09_10 2" xfId="2791" xr:uid="{00000000-0005-0000-0000-0000E70A0000}"/>
    <cellStyle name="_Book1_isl interest_ISL_conso_October_09_10_ISL__3CD_FY2010-11" xfId="2792" xr:uid="{00000000-0005-0000-0000-0000E80A0000}"/>
    <cellStyle name="_Book1_isl interest_ISL_conso_October_10_11" xfId="2793" xr:uid="{00000000-0005-0000-0000-0000E90A0000}"/>
    <cellStyle name="_Book1_isl interest_ISL_conso_October_10_11 2" xfId="2794" xr:uid="{00000000-0005-0000-0000-0000EA0A0000}"/>
    <cellStyle name="_Book1_isl interest_ISL_conso_September_08_09" xfId="2795" xr:uid="{00000000-0005-0000-0000-0000EB0A0000}"/>
    <cellStyle name="_Book1_isl interest_ISL_conso_September_08_09 2" xfId="2796" xr:uid="{00000000-0005-0000-0000-0000EC0A0000}"/>
    <cellStyle name="_Book1_isl interest_ISL_conso_September_08_09_ISL__3CD_FY2010-11" xfId="2797" xr:uid="{00000000-0005-0000-0000-0000ED0A0000}"/>
    <cellStyle name="_Book1_isl interest_ISL_conso_September_08_09_Results" xfId="2798" xr:uid="{00000000-0005-0000-0000-0000EE0A0000}"/>
    <cellStyle name="_Book1_isl interest_ISL_conso_September_08_09_Results 2" xfId="2799" xr:uid="{00000000-0005-0000-0000-0000EF0A0000}"/>
    <cellStyle name="_Book1_isl interest_ISL_conso_September_08_09_Xl0000012" xfId="2800" xr:uid="{00000000-0005-0000-0000-0000F00A0000}"/>
    <cellStyle name="_Book1_isl interest_ISL_conso_September_08_09_Xl0000012 2" xfId="2801" xr:uid="{00000000-0005-0000-0000-0000F10A0000}"/>
    <cellStyle name="_Book1_isl interest_ISL_conso_September_09_10" xfId="2802" xr:uid="{00000000-0005-0000-0000-0000F20A0000}"/>
    <cellStyle name="_Book1_isl interest_ISL_conso_September_09_10 2" xfId="2803" xr:uid="{00000000-0005-0000-0000-0000F30A0000}"/>
    <cellStyle name="_Book1_isl interest_ISL_conso_September_09_10_ISL__3CD_FY2010-11" xfId="2804" xr:uid="{00000000-0005-0000-0000-0000F40A0000}"/>
    <cellStyle name="_Book1_isl interest_ISL_conso_September_10_11" xfId="2805" xr:uid="{00000000-0005-0000-0000-0000F50A0000}"/>
    <cellStyle name="_Book1_isl interest_ISL_conso_September_10_11 2" xfId="2806" xr:uid="{00000000-0005-0000-0000-0000F60A0000}"/>
    <cellStyle name="_Book1_isl interest_ISL_June_10" xfId="2807" xr:uid="{00000000-0005-0000-0000-0000F70A0000}"/>
    <cellStyle name="_Book1_isl interest_ISL_June_10 2" xfId="2808" xr:uid="{00000000-0005-0000-0000-0000F80A0000}"/>
    <cellStyle name="_Book1_isl interest_ISL_MAR_2008_09" xfId="2809" xr:uid="{00000000-0005-0000-0000-0000F90A0000}"/>
    <cellStyle name="_Book1_isl interest_ISL_March_08_09.final_11.12.2009" xfId="2810" xr:uid="{00000000-0005-0000-0000-0000FA0A0000}"/>
    <cellStyle name="_Book1_isl interest_ISL_March_08_09.final_11.12.2009_ISL__3CD_FY2010-11" xfId="2811" xr:uid="{00000000-0005-0000-0000-0000FB0A0000}"/>
    <cellStyle name="_Book1_isl interest_ISL_Provisions_30.09.2010" xfId="2812" xr:uid="{00000000-0005-0000-0000-0000FC0A0000}"/>
    <cellStyle name="_Book1_isl interest_ITR6_2009_10_ICPL1" xfId="2813" xr:uid="{00000000-0005-0000-0000-0000FD0A0000}"/>
    <cellStyle name="_Book1_isl interest_ITR6_2009_10_ICPL1_ISL__3CD_FY2010-11" xfId="2814" xr:uid="{00000000-0005-0000-0000-0000FE0A0000}"/>
    <cellStyle name="_Book1_isl interest_ITR6_2009_10_ISL_Vivek" xfId="2815" xr:uid="{00000000-0005-0000-0000-0000FF0A0000}"/>
    <cellStyle name="_Book1_isl interest_ITR6_2009_10_ISL_Vivek_ISL__3CD_FY2010-11" xfId="2816" xr:uid="{00000000-0005-0000-0000-0000000B0000}"/>
    <cellStyle name="_Book1_isl interest_loan" xfId="2817" xr:uid="{00000000-0005-0000-0000-0000010B0000}"/>
    <cellStyle name="_Book1_isl interest_loan_ISL__3CD_FY2010-11" xfId="2818" xr:uid="{00000000-0005-0000-0000-0000020B0000}"/>
    <cellStyle name="_Book1_isl interest_Provision" xfId="2819" xr:uid="{00000000-0005-0000-0000-0000030B0000}"/>
    <cellStyle name="_Book1_isl interest_Provision for Exp - FY 0809" xfId="2820" xr:uid="{00000000-0005-0000-0000-0000040B0000}"/>
    <cellStyle name="_Book1_isl interest_Provision for Exp - FY 0809_ISL__3CD_FY2010-11" xfId="2821" xr:uid="{00000000-0005-0000-0000-0000050B0000}"/>
    <cellStyle name="_Book1_isl interest_Provision March 09 (1)" xfId="2822" xr:uid="{00000000-0005-0000-0000-0000060B0000}"/>
    <cellStyle name="_Book1_isl interest_provisions q3" xfId="2823" xr:uid="{00000000-0005-0000-0000-0000070B0000}"/>
    <cellStyle name="_Book1_isl interest_Result" xfId="2824" xr:uid="{00000000-0005-0000-0000-0000080B0000}"/>
    <cellStyle name="_Book1_isl interest_Result 2" xfId="2825" xr:uid="{00000000-0005-0000-0000-0000090B0000}"/>
    <cellStyle name="_Book1_isl interest_Results" xfId="2826" xr:uid="{00000000-0005-0000-0000-00000A0B0000}"/>
    <cellStyle name="_Book1_isl interest_Results 2" xfId="2827" xr:uid="{00000000-0005-0000-0000-00000B0B0000}"/>
    <cellStyle name="_Book1_isl interest_Standalone Financials - March 31, 2010 - Printable" xfId="2828" xr:uid="{00000000-0005-0000-0000-00000C0B0000}"/>
    <cellStyle name="_Book1_isl interest_Standalone Financials - March 31, 2010 - Printable_ISL__3CD_FY2010-11" xfId="2829" xr:uid="{00000000-0005-0000-0000-00000D0B0000}"/>
    <cellStyle name="_Book1_isl interest_Xl0000012" xfId="2830" xr:uid="{00000000-0005-0000-0000-00000E0B0000}"/>
    <cellStyle name="_Book1_isl interest_Xl0000012 2" xfId="2831" xr:uid="{00000000-0005-0000-0000-00000F0B0000}"/>
    <cellStyle name="_Book1_ISL_ Adv Tax 2009-10 Q3" xfId="2832" xr:uid="{00000000-0005-0000-0000-0000100B0000}"/>
    <cellStyle name="_Book1_ISL_ Adv Tax 2009-10 Q3 2" xfId="2833" xr:uid="{00000000-0005-0000-0000-0000110B0000}"/>
    <cellStyle name="_Book1_ISL_conso_September_09_10" xfId="2834" xr:uid="{00000000-0005-0000-0000-0000120B0000}"/>
    <cellStyle name="_Book1_ISL_conso_September_09_10 2" xfId="2835" xr:uid="{00000000-0005-0000-0000-0000130B0000}"/>
    <cellStyle name="_Book1_ISL_Provisions_30.09.2010" xfId="2836" xr:uid="{00000000-0005-0000-0000-0000140B0000}"/>
    <cellStyle name="_Book1_July Consolidation" xfId="2837" xr:uid="{00000000-0005-0000-0000-0000150B0000}"/>
    <cellStyle name="_Book1_LBDPL_3267_Oct 07_y" xfId="2838" xr:uid="{00000000-0005-0000-0000-0000160B0000}"/>
    <cellStyle name="_Book1_LBDPL_3267_Oct 07_y 2" xfId="2839" xr:uid="{00000000-0005-0000-0000-0000170B0000}"/>
    <cellStyle name="_Book1_LBDPL_3267_Oct 07_y 3" xfId="2840" xr:uid="{00000000-0005-0000-0000-0000180B0000}"/>
    <cellStyle name="_Book1_LBDPL_3267_Oct 07_y 4" xfId="2841" xr:uid="{00000000-0005-0000-0000-0000190B0000}"/>
    <cellStyle name="_Book1_LBDPL_3267_Oct 07_y 5" xfId="2842" xr:uid="{00000000-0005-0000-0000-00001A0B0000}"/>
    <cellStyle name="_Book1_LBDPL_3267_Oct 07_y_detail" xfId="2843" xr:uid="{00000000-0005-0000-0000-00001B0B0000}"/>
    <cellStyle name="_Book1_LBDPL_3267_Oct 07_y_detail (2)" xfId="2844" xr:uid="{00000000-0005-0000-0000-00001C0B0000}"/>
    <cellStyle name="_Book1_LBDPL_3267_Oct 07_y_detail (2) 2" xfId="2845" xr:uid="{00000000-0005-0000-0000-00001D0B0000}"/>
    <cellStyle name="_Book1_LBDPL_3267_Oct 07_y_detail to be added in june,2008" xfId="2846" xr:uid="{00000000-0005-0000-0000-00001E0B0000}"/>
    <cellStyle name="_Book1_LBDPL_3267_Oct 07_y_detail to be added in june,2008 2" xfId="2847" xr:uid="{00000000-0005-0000-0000-00001F0B0000}"/>
    <cellStyle name="_Book1_LBDPL_3267_Oct 07_y_IEL_3210_ 2007-2008" xfId="2848" xr:uid="{00000000-0005-0000-0000-0000200B0000}"/>
    <cellStyle name="_Book1_LBDPL_3267_Oct 07_y_IEL_3210_ 2007-2008 2" xfId="2849" xr:uid="{00000000-0005-0000-0000-0000210B0000}"/>
    <cellStyle name="_Book1_LBDPL_3267_Oct 07_y_IEL_3210_ 2007-2008_260508" xfId="2850" xr:uid="{00000000-0005-0000-0000-0000220B0000}"/>
    <cellStyle name="_Book1_LBDPL_3267_Oct 07_y_IEL_3210_ 2007-2008_260508 2" xfId="2851" xr:uid="{00000000-0005-0000-0000-0000230B0000}"/>
    <cellStyle name="_Book1_LIPL_3265_2007-08" xfId="2852" xr:uid="{00000000-0005-0000-0000-0000240B0000}"/>
    <cellStyle name="_Book1_LIPL_3265_2007-08 2" xfId="2853" xr:uid="{00000000-0005-0000-0000-0000250B0000}"/>
    <cellStyle name="_Book1_LIPL_3265_2007-08 3" xfId="2854" xr:uid="{00000000-0005-0000-0000-0000260B0000}"/>
    <cellStyle name="_Book1_LIPL_3265_2007-08 4" xfId="2855" xr:uid="{00000000-0005-0000-0000-0000270B0000}"/>
    <cellStyle name="_Book1_LIPL_3265_2007-08 5" xfId="2856" xr:uid="{00000000-0005-0000-0000-0000280B0000}"/>
    <cellStyle name="_Book1_List of cases" xfId="2857" xr:uid="{00000000-0005-0000-0000-0000290B0000}"/>
    <cellStyle name="_Book1_LUCINA INFRA-INTEREST CAL " xfId="2858" xr:uid="{00000000-0005-0000-0000-00002A0B0000}"/>
    <cellStyle name="_Book1_LUCINA INFRA-INTEREST CAL  2" xfId="2859" xr:uid="{00000000-0005-0000-0000-00002B0B0000}"/>
    <cellStyle name="_Book1_LUCINA INFRA-INTEREST CAL  3" xfId="2860" xr:uid="{00000000-0005-0000-0000-00002C0B0000}"/>
    <cellStyle name="_Book1_LUCINA INFRA-INTEREST CAL  4" xfId="2861" xr:uid="{00000000-0005-0000-0000-00002D0B0000}"/>
    <cellStyle name="_Book1_LUCINA INFRA-INTEREST CAL  5" xfId="2862" xr:uid="{00000000-0005-0000-0000-00002E0B0000}"/>
    <cellStyle name="_Book1_may month interest -Big ticket" xfId="2863" xr:uid="{00000000-0005-0000-0000-00002F0B0000}"/>
    <cellStyle name="_Book1_may month interest -Big ticket 2" xfId="2864" xr:uid="{00000000-0005-0000-0000-0000300B0000}"/>
    <cellStyle name="_Book1_MFUNDDETAILS" xfId="2865" xr:uid="{00000000-0005-0000-0000-0000310B0000}"/>
    <cellStyle name="_Book1_mic repayment schedule" xfId="2866" xr:uid="{00000000-0005-0000-0000-0000320B0000}"/>
    <cellStyle name="_Book1_mic repayment schedule 2" xfId="2867" xr:uid="{00000000-0005-0000-0000-0000330B0000}"/>
    <cellStyle name="_Book1_Mutual Fund ICAPSL-RELIANCE" xfId="2868" xr:uid="{00000000-0005-0000-0000-0000340B0000}"/>
    <cellStyle name="_Book1_NFCL BS 31 03 2009" xfId="2869" xr:uid="{00000000-0005-0000-0000-0000350B0000}"/>
    <cellStyle name="_Book1_NFCL working file" xfId="2870" xr:uid="{00000000-0005-0000-0000-0000360B0000}"/>
    <cellStyle name="_Book1_NFCL_ Tax Audit Report FY08-09 " xfId="2871" xr:uid="{00000000-0005-0000-0000-0000370B0000}"/>
    <cellStyle name="_Book1_NFCL_ Tax Audit Report FY09-10 " xfId="2872" xr:uid="{00000000-0005-0000-0000-0000380B0000}"/>
    <cellStyle name="_Book1_NFCPL-30-Apr-08" xfId="2873" xr:uid="{00000000-0005-0000-0000-0000390B0000}"/>
    <cellStyle name="_Book1_NFCPL-30-Apr-08_Indiabulls Asset Management Company Limited printable" xfId="2874" xr:uid="{00000000-0005-0000-0000-00003A0B0000}"/>
    <cellStyle name="_Book1_NIDL-12.03.2007" xfId="2875" xr:uid="{00000000-0005-0000-0000-00003B0B0000}"/>
    <cellStyle name="_Book1_NIDL-12.03.2007 2" xfId="2876" xr:uid="{00000000-0005-0000-0000-00003C0B0000}"/>
    <cellStyle name="_Book1_NIDL-12.03.2007 3" xfId="2877" xr:uid="{00000000-0005-0000-0000-00003D0B0000}"/>
    <cellStyle name="_Book1_NIDL-12.03.2007_269SS &amp; T IIAPL 09-10" xfId="2878" xr:uid="{00000000-0005-0000-0000-00003E0B0000}"/>
    <cellStyle name="_Book1_NIDL-12.03.2007_Advance Tax Format_F.Y. 2010-11" xfId="2879" xr:uid="{00000000-0005-0000-0000-00003F0B0000}"/>
    <cellStyle name="_Book1_NIDL-12.03.2007_Asset Management Company Limited" xfId="2880" xr:uid="{00000000-0005-0000-0000-0000400B0000}"/>
    <cellStyle name="_Book1_NIDL-12.03.2007_BS _IB Asset Management _3103_ver5" xfId="2881" xr:uid="{00000000-0005-0000-0000-0000410B0000}"/>
    <cellStyle name="_Book1_NIDL-12.03.2007_BS _IB Asset Management _3103_ver5_IAMCL BS working -New format_31.03 V5" xfId="2882" xr:uid="{00000000-0005-0000-0000-0000420B0000}"/>
    <cellStyle name="_Book1_NIDL-12.03.2007_CRAR - dec- 10v-12" xfId="2883" xr:uid="{00000000-0005-0000-0000-0000430B0000}"/>
    <cellStyle name="_Book1_NIDL-12.03.2007_CRAR - dec- 10v-12 2" xfId="2884" xr:uid="{00000000-0005-0000-0000-0000440B0000}"/>
    <cellStyle name="_Book1_NIDL-12.03.2007_Detail of IPO funding" xfId="2885" xr:uid="{00000000-0005-0000-0000-0000450B0000}"/>
    <cellStyle name="_Book1_NIDL-12.03.2007_IAMCL BS working -New format_31.03 V5" xfId="2886" xr:uid="{00000000-0005-0000-0000-0000460B0000}"/>
    <cellStyle name="_Book1_NIDL-12.03.2007_IB Asset Management _2910" xfId="2887" xr:uid="{00000000-0005-0000-0000-0000470B0000}"/>
    <cellStyle name="_Book1_NIDL-12.03.2007_IB Asset Management _2910_IB Collection Agency_3103 V3" xfId="2888" xr:uid="{00000000-0005-0000-0000-0000480B0000}"/>
    <cellStyle name="_Book1_NIDL-12.03.2007_IB Asset Management _2910_IB Collection Agency_3103 V3_ICAL-New Format_31.03 V4" xfId="2889" xr:uid="{00000000-0005-0000-0000-0000490B0000}"/>
    <cellStyle name="_Book1_NIDL-12.03.2007_IB Asset Management _2910_ICAL-BS Final Working _New format" xfId="2890" xr:uid="{00000000-0005-0000-0000-00004A0B0000}"/>
    <cellStyle name="_Book1_NIDL-12.03.2007_IB Asset Management _3103_ver5" xfId="2891" xr:uid="{00000000-0005-0000-0000-00004B0B0000}"/>
    <cellStyle name="_Book1_NIDL-12.03.2007_IB Asset Management_3103 V2" xfId="2892" xr:uid="{00000000-0005-0000-0000-00004C0B0000}"/>
    <cellStyle name="_Book1_NIDL-12.03.2007_IB Asset Management_3103 V4" xfId="2893" xr:uid="{00000000-0005-0000-0000-00004D0B0000}"/>
    <cellStyle name="_Book1_NIDL-12.03.2007_IB Asset Management_3103 V5" xfId="2894" xr:uid="{00000000-0005-0000-0000-00004E0B0000}"/>
    <cellStyle name="_Book1_NIDL-12.03.2007_IB Collection Agency_3103 V3" xfId="2895" xr:uid="{00000000-0005-0000-0000-00004F0B0000}"/>
    <cellStyle name="_Book1_NIDL-12.03.2007_IB Collection Agency_3103 V3_ICAL-New Format_31.03 V4" xfId="2896" xr:uid="{00000000-0005-0000-0000-0000500B0000}"/>
    <cellStyle name="_Book1_NIDL-12.03.2007_IB Infrastructure Credit" xfId="2897" xr:uid="{00000000-0005-0000-0000-0000510B0000}"/>
    <cellStyle name="_Book1_NIDL-12.03.2007_IB Infrastructure Credit-3103_V6" xfId="2898" xr:uid="{00000000-0005-0000-0000-0000520B0000}"/>
    <cellStyle name="_Book1_NIDL-12.03.2007_IB Infrastructure Credit-3103_V7" xfId="2899" xr:uid="{00000000-0005-0000-0000-0000530B0000}"/>
    <cellStyle name="_Book1_NIDL-12.03.2007_IB Life Insurance_3103 V4" xfId="2900" xr:uid="{00000000-0005-0000-0000-0000540B0000}"/>
    <cellStyle name="_Book1_NIDL-12.03.2007_IB Trustee Company_3103 V4" xfId="2901" xr:uid="{00000000-0005-0000-0000-0000550B0000}"/>
    <cellStyle name="_Book1_NIDL-12.03.2007_IBFSL 30 Sep 11 V8" xfId="2902" xr:uid="{00000000-0005-0000-0000-0000560B0000}"/>
    <cellStyle name="_Book1_NIDL-12.03.2007_IBFSL_Conso_March_10_11" xfId="2903" xr:uid="{00000000-0005-0000-0000-0000570B0000}"/>
    <cellStyle name="_Book1_NIDL-12.03.2007_IBLIC_BS  Final working -New_Format_31.03 V5" xfId="2904" xr:uid="{00000000-0005-0000-0000-0000580B0000}"/>
    <cellStyle name="_Book1_NIDL-12.03.2007_Ibulls BS Final woirking -New format_31.03 V5" xfId="2905" xr:uid="{00000000-0005-0000-0000-0000590B0000}"/>
    <cellStyle name="_Book1_NIDL-12.03.2007_IbullsSales_3009V3 (3)" xfId="2906" xr:uid="{00000000-0005-0000-0000-00005A0B0000}"/>
    <cellStyle name="_Book1_NIDL-12.03.2007_IbullsSales_3103" xfId="2907" xr:uid="{00000000-0005-0000-0000-00005B0B0000}"/>
    <cellStyle name="_Book1_NIDL-12.03.2007_IbullsSales_3103 V2" xfId="2908" xr:uid="{00000000-0005-0000-0000-00005C0B0000}"/>
    <cellStyle name="_Book1_NIDL-12.03.2007_IbullsSales_3103 V5" xfId="2909" xr:uid="{00000000-0005-0000-0000-00005D0B0000}"/>
    <cellStyle name="_Book1_NIDL-12.03.2007_ICAL-BS Final Working _New format" xfId="2910" xr:uid="{00000000-0005-0000-0000-00005E0B0000}"/>
    <cellStyle name="_Book1_NIDL-12.03.2007_IFCPL 31 03 2010 VER6 Final" xfId="2911" xr:uid="{00000000-0005-0000-0000-00005F0B0000}"/>
    <cellStyle name="_Book1_NIDL-12.03.2007_IFCPL 31.03.09 ver 6 - RBI Return" xfId="2912" xr:uid="{00000000-0005-0000-0000-0000600B0000}"/>
    <cellStyle name="_Book1_NIDL-12.03.2007_IFCPL Financials - March 2009" xfId="2913" xr:uid="{00000000-0005-0000-0000-0000610B0000}"/>
    <cellStyle name="_Book1_NIDL-12.03.2007_IFCPL Financials - March 2009 2" xfId="2914" xr:uid="{00000000-0005-0000-0000-0000620B0000}"/>
    <cellStyle name="_Book1_NIDL-12.03.2007_IFCPL Financials - March 2009 With Computation" xfId="2915" xr:uid="{00000000-0005-0000-0000-0000630B0000}"/>
    <cellStyle name="_Book1_NIDL-12.03.2007_IFCPL Financials - March 2009 With Computation 2" xfId="2916" xr:uid="{00000000-0005-0000-0000-0000640B0000}"/>
    <cellStyle name="_Book1_NIDL-12.03.2007_IFCPL Financials - March 2009 With Computation_Detail of IPO funding" xfId="2917" xr:uid="{00000000-0005-0000-0000-0000650B0000}"/>
    <cellStyle name="_Book1_NIDL-12.03.2007_IFCPL Financials - March 2009 With Computation_IFCPL 31 03 2010 VER6 Final" xfId="2918" xr:uid="{00000000-0005-0000-0000-0000660B0000}"/>
    <cellStyle name="_Book1_NIDL-12.03.2007_IFCPL Financials - March 2009_FDR working" xfId="2919" xr:uid="{00000000-0005-0000-0000-0000670B0000}"/>
    <cellStyle name="_Book1_NIDL-12.03.2007_IFCPL Financials - March 2009_IFCPL 31 03 2010 VER6 Final" xfId="2920" xr:uid="{00000000-0005-0000-0000-0000680B0000}"/>
    <cellStyle name="_Book1_NIDL-12.03.2007_IHFL_SEP_30_2009 XIII AUDIT- Sch II" xfId="2921" xr:uid="{00000000-0005-0000-0000-0000690B0000}"/>
    <cellStyle name="_Book1_NIDL-12.03.2007_IIAL 31.03.2010 VER2" xfId="2922" xr:uid="{00000000-0005-0000-0000-00006A0B0000}"/>
    <cellStyle name="_Book1_NIDL-12.03.2007_IICL_March'11" xfId="2923" xr:uid="{00000000-0005-0000-0000-00006B0B0000}"/>
    <cellStyle name="_Book1_NIDL-12.03.2007_Indiabulls Asset Management Company Limited printable" xfId="2924" xr:uid="{00000000-0005-0000-0000-00006C0B0000}"/>
    <cellStyle name="_Book1_NIDL-12.03.2007_ITCL_BS working _New format_31.03 V7" xfId="2925" xr:uid="{00000000-0005-0000-0000-00006D0B0000}"/>
    <cellStyle name="_Book1_NIDL-12.03.2007_ITCL-New format_31.03 V6" xfId="2926" xr:uid="{00000000-0005-0000-0000-00006E0B0000}"/>
    <cellStyle name="_Book1_NIDL-12.03.2007_NFCL working file" xfId="2927" xr:uid="{00000000-0005-0000-0000-00006F0B0000}"/>
    <cellStyle name="_Book1_NIDL-12.03.2007_NFCL_ Tax Audit Report FY08-09 " xfId="2928" xr:uid="{00000000-0005-0000-0000-0000700B0000}"/>
    <cellStyle name="_Book1_NIDL-12.03.2007_Tax Audit Report  F.Y.08-09" xfId="2929" xr:uid="{00000000-0005-0000-0000-0000710B0000}"/>
    <cellStyle name="_Book1_NIDL-12.03.2007_Tax Audit Report  ICSL F.Y.09-10" xfId="2930" xr:uid="{00000000-0005-0000-0000-0000720B0000}"/>
    <cellStyle name="_Book1_NIDL-12.03.2007_Xl0000013" xfId="2931" xr:uid="{00000000-0005-0000-0000-0000730B0000}"/>
    <cellStyle name="_Book1_NIDL-INT" xfId="2932" xr:uid="{00000000-0005-0000-0000-0000740B0000}"/>
    <cellStyle name="_Book1_NIDL-INT 2" xfId="2933" xr:uid="{00000000-0005-0000-0000-0000750B0000}"/>
    <cellStyle name="_Book1_NIDL-INT_Advance Tax Summary" xfId="2934" xr:uid="{00000000-0005-0000-0000-0000760B0000}"/>
    <cellStyle name="_Book1_NIDL-INT_Advance Tax Summary 2" xfId="2935" xr:uid="{00000000-0005-0000-0000-0000770B0000}"/>
    <cellStyle name="_Book1_NIDL-INT_Entries Passed in Conso for profit on sale of invRevised 30.07.08" xfId="2936" xr:uid="{00000000-0005-0000-0000-0000780B0000}"/>
    <cellStyle name="_Book1_NIDL-INT_Entries Passed in Conso for profit on sale of invRevised 30.07.08_IREL_3000_08-09" xfId="2937" xr:uid="{00000000-0005-0000-0000-0000790B0000}"/>
    <cellStyle name="_Book1_NIDL-INT_Entries Passed in Conso for profit on sale of invRevised 30.07.08_IREL_3000_08-09 2" xfId="2938" xr:uid="{00000000-0005-0000-0000-00007A0B0000}"/>
    <cellStyle name="_Book1_NIDL-INT_Entries Passed in Conso for profit on sale of invRevised 30.07.08_IREL_3000_08-09 stage 3" xfId="2939" xr:uid="{00000000-0005-0000-0000-00007B0B0000}"/>
    <cellStyle name="_Book1_NIDL-INT_Entries Passed in Conso for profit on sale of invRevised 30.07.08_IREL_3000_08-09 stage 3_IREL_3000_08-09" xfId="2940" xr:uid="{00000000-0005-0000-0000-00007C0B0000}"/>
    <cellStyle name="_Book1_NIDL-INT_Entries Passed in Conso for profit on sale of invRevised 30.07.08_IREL_3000_08-09 stage 3_IREL_3000_08-09 2" xfId="2941" xr:uid="{00000000-0005-0000-0000-00007D0B0000}"/>
    <cellStyle name="_Book1_NIDL-INT_Entries Passed in Conso for profit on sale of invRevised 30.07.08_IREL_3000_08-09_IBREAL_BS PACK-Version.02" xfId="2942" xr:uid="{00000000-0005-0000-0000-00007E0B0000}"/>
    <cellStyle name="_Book1_NIDL-INT_Entries Passed in Conso for profit on sale of invRevised 30.07.08_IREL_3000_08-09_IBREAL_BS PACK-Version.02 2" xfId="2943" xr:uid="{00000000-0005-0000-0000-00007F0B0000}"/>
    <cellStyle name="_Book1_NIDL-INT_Entries Passed in Conso for profit on sale of invRevised 30.07.08_IREL_3000_08-09_IBREAL_BS PACK-Version.02_IBREAL_BS PACK-Version.03" xfId="2944" xr:uid="{00000000-0005-0000-0000-0000800B0000}"/>
    <cellStyle name="_Book1_NIDL-INT_Entries Passed in Conso for profit on sale of invRevised 30.07.08_IREL_3000_08-09_IBREAL_BS PACK-Version.02_IBREAL_BS PACK-Version.03 2" xfId="2945" xr:uid="{00000000-0005-0000-0000-0000810B0000}"/>
    <cellStyle name="_Book1_NIDL-INT_Entries Passed in Conso for profit on sale of invRevised 30.07.08_IREL_3000_08-09_IBREAL_BS PACK-Version.02_IBREAL_BS PACK-Version.03_IBREAL_BS PACK-Version.07" xfId="2946" xr:uid="{00000000-0005-0000-0000-0000820B0000}"/>
    <cellStyle name="_Book1_NIDL-INT_Entries Passed in Conso for profit on sale of invRevised 30.07.08_IREL_3000_08-09_IBREAL_BS PACK-Version.02_IBREAL_BS PACK-Version.03_IBREAL_BS PACK-Version.07 2" xfId="2947" xr:uid="{00000000-0005-0000-0000-0000830B0000}"/>
    <cellStyle name="_Book1_NIDL-INT_IREL_3000_08-09" xfId="2948" xr:uid="{00000000-0005-0000-0000-0000840B0000}"/>
    <cellStyle name="_Book1_NIDL-INT_ISL Group - Advance Tax working for 3rd Instalment" xfId="2949" xr:uid="{00000000-0005-0000-0000-0000850B0000}"/>
    <cellStyle name="_Book1_NIDL-INT_Xl0000013" xfId="2950" xr:uid="{00000000-0005-0000-0000-0000860B0000}"/>
    <cellStyle name="_Book1_Part IV" xfId="2951" xr:uid="{00000000-0005-0000-0000-0000870B0000}"/>
    <cellStyle name="_Book1_Part IV 2" xfId="2952" xr:uid="{00000000-0005-0000-0000-0000880B0000}"/>
    <cellStyle name="_Book1_Part IV_Abstract-2007-08" xfId="2953" xr:uid="{00000000-0005-0000-0000-0000890B0000}"/>
    <cellStyle name="_Book1_Part IV_Advance Tax Sophia Jun 09" xfId="2954" xr:uid="{00000000-0005-0000-0000-00008A0B0000}"/>
    <cellStyle name="_Book1_Part IV_Base File For Segment" xfId="2955" xr:uid="{00000000-0005-0000-0000-00008B0B0000}"/>
    <cellStyle name="_Book1_Part IV_Book1 (2)" xfId="2956" xr:uid="{00000000-0005-0000-0000-00008C0B0000}"/>
    <cellStyle name="_Book1_Part IV_CCL_3353_2007-08" xfId="2957" xr:uid="{00000000-0005-0000-0000-00008D0B0000}"/>
    <cellStyle name="_Book1_Part IV_ChlorisProperties_3351_Dec.08" xfId="2958" xr:uid="{00000000-0005-0000-0000-00008E0B0000}"/>
    <cellStyle name="_Book1_Part IV_Consol Balance Sheet_Sophia_Dec08_Ibrel_1.3" xfId="2959" xr:uid="{00000000-0005-0000-0000-00008F0B0000}"/>
    <cellStyle name="_Book1_Part IV_detail (2)" xfId="2960" xr:uid="{00000000-0005-0000-0000-0000900B0000}"/>
    <cellStyle name="_Book1_Part IV_Details" xfId="2961" xr:uid="{00000000-0005-0000-0000-0000910B0000}"/>
    <cellStyle name="_Book1_Part IV_Entries Passed in Conso for profit on sale of invRevised 30.07.08" xfId="2962" xr:uid="{00000000-0005-0000-0000-0000920B0000}"/>
    <cellStyle name="_Book1_Part IV_Entries Passed in Conso for profit on sale of invRevised 30.07.08_IREL_3000_08-09" xfId="2963" xr:uid="{00000000-0005-0000-0000-0000930B0000}"/>
    <cellStyle name="_Book1_Part IV_Entries Passed in Conso for profit on sale of invRevised 30.07.08_IREL_3000_08-09 2" xfId="2964" xr:uid="{00000000-0005-0000-0000-0000940B0000}"/>
    <cellStyle name="_Book1_Part IV_Entries Passed in Conso for profit on sale of invRevised 30.07.08_IREL_3000_08-09 stage 3" xfId="2965" xr:uid="{00000000-0005-0000-0000-0000950B0000}"/>
    <cellStyle name="_Book1_Part IV_Entries Passed in Conso for profit on sale of invRevised 30.07.08_IREL_3000_08-09 stage 3_IREL_3000_08-09" xfId="2966" xr:uid="{00000000-0005-0000-0000-0000960B0000}"/>
    <cellStyle name="_Book1_Part IV_Entries Passed in Conso for profit on sale of invRevised 30.07.08_IREL_3000_08-09 stage 3_IREL_3000_08-09 2" xfId="2967" xr:uid="{00000000-0005-0000-0000-0000970B0000}"/>
    <cellStyle name="_Book1_Part IV_Entries Passed in Conso for profit on sale of invRevised 30.07.08_IREL_3000_08-09_IBREAL_BS PACK-Version.02" xfId="2968" xr:uid="{00000000-0005-0000-0000-0000980B0000}"/>
    <cellStyle name="_Book1_Part IV_Entries Passed in Conso for profit on sale of invRevised 30.07.08_IREL_3000_08-09_IBREAL_BS PACK-Version.02 2" xfId="2969" xr:uid="{00000000-0005-0000-0000-0000990B0000}"/>
    <cellStyle name="_Book1_Part IV_Entries Passed in Conso for profit on sale of invRevised 30.07.08_IREL_3000_08-09_IBREAL_BS PACK-Version.02_IBREAL_BS PACK-Version.03" xfId="2970" xr:uid="{00000000-0005-0000-0000-00009A0B0000}"/>
    <cellStyle name="_Book1_Part IV_Entries Passed in Conso for profit on sale of invRevised 30.07.08_IREL_3000_08-09_IBREAL_BS PACK-Version.02_IBREAL_BS PACK-Version.03 2" xfId="2971" xr:uid="{00000000-0005-0000-0000-00009B0B0000}"/>
    <cellStyle name="_Book1_Part IV_Entries Passed in Conso for profit on sale of invRevised 30.07.08_IREL_3000_08-09_IBREAL_BS PACK-Version.02_IBREAL_BS PACK-Version.03_IBREAL_BS PACK-Version.07" xfId="2972" xr:uid="{00000000-0005-0000-0000-00009C0B0000}"/>
    <cellStyle name="_Book1_Part IV_Entries Passed in Conso for profit on sale of invRevised 30.07.08_IREL_3000_08-09_IBREAL_BS PACK-Version.02_IBREAL_BS PACK-Version.03_IBREAL_BS PACK-Version.07 2" xfId="2973" xr:uid="{00000000-0005-0000-0000-00009D0B0000}"/>
    <cellStyle name="_Book1_Part IV_EPL_3346_2007-08(C)" xfId="2974" xr:uid="{00000000-0005-0000-0000-00009E0B0000}"/>
    <cellStyle name="_Book1_Part IV_Final Consol Balance Sheet_Sophia_Dec08_27.01.08" xfId="2975" xr:uid="{00000000-0005-0000-0000-00009F0B0000}"/>
    <cellStyle name="_Book1_Part IV_Fixed Assets consolidated" xfId="2976" xr:uid="{00000000-0005-0000-0000-0000A00B0000}"/>
    <cellStyle name="_Book1_Part IV_IIDL_3227_2008_09" xfId="2977" xr:uid="{00000000-0005-0000-0000-0000A10B0000}"/>
    <cellStyle name="_Book1_Part IV_IIDL_3227_2008_09_Advance Tax Summary" xfId="2978" xr:uid="{00000000-0005-0000-0000-0000A20B0000}"/>
    <cellStyle name="_Book1_Part IV_IIDL_3227_2008_09_Advance Tax Summary 2" xfId="2979" xr:uid="{00000000-0005-0000-0000-0000A30B0000}"/>
    <cellStyle name="_Book1_Part IV_IIDL_3227_2008_09_ISL Group - Advance Tax working for 3rd Instalment" xfId="2980" xr:uid="{00000000-0005-0000-0000-0000A40B0000}"/>
    <cellStyle name="_Book1_Part IV_IIDL_3227_2008_09_Xl0000013" xfId="2981" xr:uid="{00000000-0005-0000-0000-0000A50B0000}"/>
    <cellStyle name="_Book1_Part IV_IREL_3000_08-09" xfId="2982" xr:uid="{00000000-0005-0000-0000-0000A60B0000}"/>
    <cellStyle name="_Book1_Part IV_Revised Consol Balance Sheet_Sophia_Jan09_10.02.2009" xfId="2983" xr:uid="{00000000-0005-0000-0000-0000A70B0000}"/>
    <cellStyle name="_Book1_Part IV_Sophia Consol for Printout 22 Jun 09" xfId="2984" xr:uid="{00000000-0005-0000-0000-0000A80B0000}"/>
    <cellStyle name="_Book1_Part IV_Sophia Consol_march_09_05 June  09_1" xfId="2985" xr:uid="{00000000-0005-0000-0000-0000A90B0000}"/>
    <cellStyle name="_Book1_Part IV_Treasury ICD Interest_ MIS_ 23  09 2009(final)" xfId="2986" xr:uid="{00000000-0005-0000-0000-0000AA0B0000}"/>
    <cellStyle name="_Book1_Part IV_Treasury ICD Interest_ MIS_ 30. 06 2009(final)" xfId="2987" xr:uid="{00000000-0005-0000-0000-0000AB0B0000}"/>
    <cellStyle name="_Book1_Part IV_Treasury ICD Interest_ MIS_ 30. 09 2009(final)" xfId="2988" xr:uid="{00000000-0005-0000-0000-0000AC0B0000}"/>
    <cellStyle name="_Book1_Part IV_Treasury ICD Interest_ MIS_ 31 05 2009" xfId="2989" xr:uid="{00000000-0005-0000-0000-0000AD0B0000}"/>
    <cellStyle name="_Book1_Part IV_Treasury ICD Interest_ MIS_ 31 10 2009" xfId="2990" xr:uid="{00000000-0005-0000-0000-0000AE0B0000}"/>
    <cellStyle name="_Book1_Part IV_Treasury ICD Interest_ MIS_ 31.10.2009" xfId="2991" xr:uid="{00000000-0005-0000-0000-0000AF0B0000}"/>
    <cellStyle name="_Book1_Part IV_Treasury ICD Interest_ MIS_ 310309" xfId="2992" xr:uid="{00000000-0005-0000-0000-0000B00B0000}"/>
    <cellStyle name="_Book1_PPL - Mar 08" xfId="2993" xr:uid="{00000000-0005-0000-0000-0000B10B0000}"/>
    <cellStyle name="_Book1_Product P&amp;L - Feb 08" xfId="2994" xr:uid="{00000000-0005-0000-0000-0000B20B0000}"/>
    <cellStyle name="_Book1_Product P&amp;L - Feb 08 2" xfId="2995" xr:uid="{00000000-0005-0000-0000-0000B30B0000}"/>
    <cellStyle name="_Book1_Profit on redemption of mutual fund" xfId="2996" xr:uid="{00000000-0005-0000-0000-0000B40B0000}"/>
    <cellStyle name="_Book1_projection may" xfId="2997" xr:uid="{00000000-0005-0000-0000-0000B50B0000}"/>
    <cellStyle name="_Book1_projection may 2" xfId="2998" xr:uid="{00000000-0005-0000-0000-0000B60B0000}"/>
    <cellStyle name="_Book1_Projection of Interest_Mar08_v3" xfId="2999" xr:uid="{00000000-0005-0000-0000-0000B70B0000}"/>
    <cellStyle name="_Book1_Projection of Interest_Mar08_v3 2" xfId="3000" xr:uid="{00000000-0005-0000-0000-0000B80B0000}"/>
    <cellStyle name="_Book1_Provision" xfId="3001" xr:uid="{00000000-0005-0000-0000-0000B90B0000}"/>
    <cellStyle name="_Book1_Provision for Contingency Feb 08" xfId="3002" xr:uid="{00000000-0005-0000-0000-0000BA0B0000}"/>
    <cellStyle name="_Book1_Provision for Contingency Feb 08 2" xfId="3003" xr:uid="{00000000-0005-0000-0000-0000BB0B0000}"/>
    <cellStyle name="_Book1_Provision for Exp - FY 0809" xfId="3004" xr:uid="{00000000-0005-0000-0000-0000BC0B0000}"/>
    <cellStyle name="_Book1_Provision Nov07" xfId="3005" xr:uid="{00000000-0005-0000-0000-0000BD0B0000}"/>
    <cellStyle name="_Book1_provisions q3" xfId="3006" xr:uid="{00000000-0005-0000-0000-0000BE0B0000}"/>
    <cellStyle name="_Book1_RECON  INSURANCE" xfId="3007" xr:uid="{00000000-0005-0000-0000-0000BF0B0000}"/>
    <cellStyle name="_Book1_RECON  INSURANCE 2" xfId="3008" xr:uid="{00000000-0005-0000-0000-0000C00B0000}"/>
    <cellStyle name="_Book1_RECON  INSURANCE_Indiabulls Asset Management Company Limited printable" xfId="3009" xr:uid="{00000000-0005-0000-0000-0000C10B0000}"/>
    <cellStyle name="_Book1_Repaymnet schedule of bigtickect loans version 2" xfId="3010" xr:uid="{00000000-0005-0000-0000-0000C20B0000}"/>
    <cellStyle name="_Book1_Results" xfId="3011" xr:uid="{00000000-0005-0000-0000-0000C30B0000}"/>
    <cellStyle name="_Book1_Results 2" xfId="3012" xr:uid="{00000000-0005-0000-0000-0000C40B0000}"/>
    <cellStyle name="_Book1_revenue break up (1)" xfId="3013" xr:uid="{00000000-0005-0000-0000-0000C50B0000}"/>
    <cellStyle name="_Book1_revenue break up (1) 10" xfId="3014" xr:uid="{00000000-0005-0000-0000-0000C60B0000}"/>
    <cellStyle name="_Book1_revenue break up (1) 10 2" xfId="3015" xr:uid="{00000000-0005-0000-0000-0000C70B0000}"/>
    <cellStyle name="_Book1_revenue break up (1) 11" xfId="3016" xr:uid="{00000000-0005-0000-0000-0000C80B0000}"/>
    <cellStyle name="_Book1_revenue break up (1) 11 2" xfId="3017" xr:uid="{00000000-0005-0000-0000-0000C90B0000}"/>
    <cellStyle name="_Book1_revenue break up (1) 12" xfId="3018" xr:uid="{00000000-0005-0000-0000-0000CA0B0000}"/>
    <cellStyle name="_Book1_revenue break up (1) 12 2" xfId="3019" xr:uid="{00000000-0005-0000-0000-0000CB0B0000}"/>
    <cellStyle name="_Book1_revenue break up (1) 13" xfId="3020" xr:uid="{00000000-0005-0000-0000-0000CC0B0000}"/>
    <cellStyle name="_Book1_revenue break up (1) 13 2" xfId="3021" xr:uid="{00000000-0005-0000-0000-0000CD0B0000}"/>
    <cellStyle name="_Book1_revenue break up (1) 14" xfId="3022" xr:uid="{00000000-0005-0000-0000-0000CE0B0000}"/>
    <cellStyle name="_Book1_revenue break up (1) 14 2" xfId="3023" xr:uid="{00000000-0005-0000-0000-0000CF0B0000}"/>
    <cellStyle name="_Book1_revenue break up (1) 15" xfId="3024" xr:uid="{00000000-0005-0000-0000-0000D00B0000}"/>
    <cellStyle name="_Book1_revenue break up (1) 15 2" xfId="3025" xr:uid="{00000000-0005-0000-0000-0000D10B0000}"/>
    <cellStyle name="_Book1_revenue break up (1) 16" xfId="3026" xr:uid="{00000000-0005-0000-0000-0000D20B0000}"/>
    <cellStyle name="_Book1_revenue break up (1) 16 2" xfId="3027" xr:uid="{00000000-0005-0000-0000-0000D30B0000}"/>
    <cellStyle name="_Book1_revenue break up (1) 17" xfId="3028" xr:uid="{00000000-0005-0000-0000-0000D40B0000}"/>
    <cellStyle name="_Book1_revenue break up (1) 17 2" xfId="3029" xr:uid="{00000000-0005-0000-0000-0000D50B0000}"/>
    <cellStyle name="_Book1_revenue break up (1) 18" xfId="3030" xr:uid="{00000000-0005-0000-0000-0000D60B0000}"/>
    <cellStyle name="_Book1_revenue break up (1) 18 2" xfId="3031" xr:uid="{00000000-0005-0000-0000-0000D70B0000}"/>
    <cellStyle name="_Book1_revenue break up (1) 19" xfId="3032" xr:uid="{00000000-0005-0000-0000-0000D80B0000}"/>
    <cellStyle name="_Book1_revenue break up (1) 19 2" xfId="3033" xr:uid="{00000000-0005-0000-0000-0000D90B0000}"/>
    <cellStyle name="_Book1_revenue break up (1) 2" xfId="3034" xr:uid="{00000000-0005-0000-0000-0000DA0B0000}"/>
    <cellStyle name="_Book1_revenue break up (1) 2 2" xfId="3035" xr:uid="{00000000-0005-0000-0000-0000DB0B0000}"/>
    <cellStyle name="_Book1_revenue break up (1) 20" xfId="3036" xr:uid="{00000000-0005-0000-0000-0000DC0B0000}"/>
    <cellStyle name="_Book1_revenue break up (1) 21" xfId="3037" xr:uid="{00000000-0005-0000-0000-0000DD0B0000}"/>
    <cellStyle name="_Book1_revenue break up (1) 22" xfId="3038" xr:uid="{00000000-0005-0000-0000-0000DE0B0000}"/>
    <cellStyle name="_Book1_revenue break up (1) 23" xfId="3039" xr:uid="{00000000-0005-0000-0000-0000DF0B0000}"/>
    <cellStyle name="_Book1_revenue break up (1) 3" xfId="3040" xr:uid="{00000000-0005-0000-0000-0000E00B0000}"/>
    <cellStyle name="_Book1_revenue break up (1) 3 2" xfId="3041" xr:uid="{00000000-0005-0000-0000-0000E10B0000}"/>
    <cellStyle name="_Book1_revenue break up (1) 4" xfId="3042" xr:uid="{00000000-0005-0000-0000-0000E20B0000}"/>
    <cellStyle name="_Book1_revenue break up (1) 4 2" xfId="3043" xr:uid="{00000000-0005-0000-0000-0000E30B0000}"/>
    <cellStyle name="_Book1_revenue break up (1) 5" xfId="3044" xr:uid="{00000000-0005-0000-0000-0000E40B0000}"/>
    <cellStyle name="_Book1_revenue break up (1) 5 2" xfId="3045" xr:uid="{00000000-0005-0000-0000-0000E50B0000}"/>
    <cellStyle name="_Book1_revenue break up (1) 6" xfId="3046" xr:uid="{00000000-0005-0000-0000-0000E60B0000}"/>
    <cellStyle name="_Book1_revenue break up (1) 6 2" xfId="3047" xr:uid="{00000000-0005-0000-0000-0000E70B0000}"/>
    <cellStyle name="_Book1_revenue break up (1) 7" xfId="3048" xr:uid="{00000000-0005-0000-0000-0000E80B0000}"/>
    <cellStyle name="_Book1_revenue break up (1) 7 2" xfId="3049" xr:uid="{00000000-0005-0000-0000-0000E90B0000}"/>
    <cellStyle name="_Book1_revenue break up (1) 8" xfId="3050" xr:uid="{00000000-0005-0000-0000-0000EA0B0000}"/>
    <cellStyle name="_Book1_revenue break up (1) 8 2" xfId="3051" xr:uid="{00000000-0005-0000-0000-0000EB0B0000}"/>
    <cellStyle name="_Book1_revenue break up (1) 9" xfId="3052" xr:uid="{00000000-0005-0000-0000-0000EC0B0000}"/>
    <cellStyle name="_Book1_revenue break up (1) 9 2" xfId="3053" xr:uid="{00000000-0005-0000-0000-0000ED0B0000}"/>
    <cellStyle name="_Book1_revenue break up (1)_Asset Management Company Limited" xfId="3054" xr:uid="{00000000-0005-0000-0000-0000EE0B0000}"/>
    <cellStyle name="_Book1_revenue break up (1)_Book1" xfId="3055" xr:uid="{00000000-0005-0000-0000-0000EF0B0000}"/>
    <cellStyle name="_Book1_revenue break up (1)_Book1 (2)" xfId="3056" xr:uid="{00000000-0005-0000-0000-0000F00B0000}"/>
    <cellStyle name="_Book1_revenue break up (1)_Book1 (2) 2" xfId="3057" xr:uid="{00000000-0005-0000-0000-0000F10B0000}"/>
    <cellStyle name="_Book1_revenue break up (1)_Book1 10" xfId="3058" xr:uid="{00000000-0005-0000-0000-0000F20B0000}"/>
    <cellStyle name="_Book1_revenue break up (1)_Book1 11" xfId="3059" xr:uid="{00000000-0005-0000-0000-0000F30B0000}"/>
    <cellStyle name="_Book1_revenue break up (1)_Book1 2" xfId="3060" xr:uid="{00000000-0005-0000-0000-0000F40B0000}"/>
    <cellStyle name="_Book1_revenue break up (1)_Book1 3" xfId="3061" xr:uid="{00000000-0005-0000-0000-0000F50B0000}"/>
    <cellStyle name="_Book1_revenue break up (1)_Book1 4" xfId="3062" xr:uid="{00000000-0005-0000-0000-0000F60B0000}"/>
    <cellStyle name="_Book1_revenue break up (1)_Book1 5" xfId="3063" xr:uid="{00000000-0005-0000-0000-0000F70B0000}"/>
    <cellStyle name="_Book1_revenue break up (1)_Book1 6" xfId="3064" xr:uid="{00000000-0005-0000-0000-0000F80B0000}"/>
    <cellStyle name="_Book1_revenue break up (1)_Book1 7" xfId="3065" xr:uid="{00000000-0005-0000-0000-0000F90B0000}"/>
    <cellStyle name="_Book1_revenue break up (1)_Book1 8" xfId="3066" xr:uid="{00000000-0005-0000-0000-0000FA0B0000}"/>
    <cellStyle name="_Book1_revenue break up (1)_Book1 9" xfId="3067" xr:uid="{00000000-0005-0000-0000-0000FB0B0000}"/>
    <cellStyle name="_Book1_revenue break up (1)_Book1_ISL__3CD_FY2010-11" xfId="3068" xr:uid="{00000000-0005-0000-0000-0000FC0B0000}"/>
    <cellStyle name="_Book1_revenue break up (1)_Book2" xfId="3069" xr:uid="{00000000-0005-0000-0000-0000FD0B0000}"/>
    <cellStyle name="_Book1_revenue break up (1)_Book2 2" xfId="3070" xr:uid="{00000000-0005-0000-0000-0000FE0B0000}"/>
    <cellStyle name="_Book1_revenue break up (1)_Book2_ISL__3CD_FY2010-11" xfId="3071" xr:uid="{00000000-0005-0000-0000-0000FF0B0000}"/>
    <cellStyle name="_Book1_revenue break up (1)_Book4" xfId="3072" xr:uid="{00000000-0005-0000-0000-0000000C0000}"/>
    <cellStyle name="_Book1_revenue break up (1)_Book4 2" xfId="3073" xr:uid="{00000000-0005-0000-0000-0000010C0000}"/>
    <cellStyle name="_Book1_revenue break up (1)_Book4_ISL__3CD_FY2010-11" xfId="3074" xr:uid="{00000000-0005-0000-0000-0000020C0000}"/>
    <cellStyle name="_Book1_revenue break up (1)_BS _IB Asset Management _3103_ver5" xfId="3075" xr:uid="{00000000-0005-0000-0000-0000030C0000}"/>
    <cellStyle name="_Book1_revenue break up (1)_BS _IB Asset Management _3103_ver5_IAMCL BS working -New format_31.03 V5" xfId="3076" xr:uid="{00000000-0005-0000-0000-0000040C0000}"/>
    <cellStyle name="_Book1_revenue break up (1)_Detail of IPO funding" xfId="3077" xr:uid="{00000000-0005-0000-0000-0000050C0000}"/>
    <cellStyle name="_Book1_revenue break up (1)_Details of Assets &amp; Liablilities" xfId="3078" xr:uid="{00000000-0005-0000-0000-0000060C0000}"/>
    <cellStyle name="_Book1_revenue break up (1)_FDR Int Calculation as per BS" xfId="3079" xr:uid="{00000000-0005-0000-0000-0000070C0000}"/>
    <cellStyle name="_Book1_revenue break up (1)_IAMCL BS working -New format_31.03 V5" xfId="3080" xr:uid="{00000000-0005-0000-0000-0000080C0000}"/>
    <cellStyle name="_Book1_revenue break up (1)_IB Asset Management _2910" xfId="3081" xr:uid="{00000000-0005-0000-0000-0000090C0000}"/>
    <cellStyle name="_Book1_revenue break up (1)_IB Asset Management _2910_IB Collection Agency_3103 V3" xfId="3082" xr:uid="{00000000-0005-0000-0000-00000A0C0000}"/>
    <cellStyle name="_Book1_revenue break up (1)_IB Asset Management _2910_IB Collection Agency_3103 V3_ICAL-New Format_31.03 V4" xfId="3083" xr:uid="{00000000-0005-0000-0000-00000B0C0000}"/>
    <cellStyle name="_Book1_revenue break up (1)_IB Asset Management _2910_ICAL-BS Final Working _New format" xfId="3084" xr:uid="{00000000-0005-0000-0000-00000C0C0000}"/>
    <cellStyle name="_Book1_revenue break up (1)_IB Asset Management _3103_ver5" xfId="3085" xr:uid="{00000000-0005-0000-0000-00000D0C0000}"/>
    <cellStyle name="_Book1_revenue break up (1)_IB Asset Management_3103 V2" xfId="3086" xr:uid="{00000000-0005-0000-0000-00000E0C0000}"/>
    <cellStyle name="_Book1_revenue break up (1)_IB Asset Management_3103 V4" xfId="3087" xr:uid="{00000000-0005-0000-0000-00000F0C0000}"/>
    <cellStyle name="_Book1_revenue break up (1)_IB Asset Management_3103 V5" xfId="3088" xr:uid="{00000000-0005-0000-0000-0000100C0000}"/>
    <cellStyle name="_Book1_revenue break up (1)_IB Collection Agency_3103 V3" xfId="3089" xr:uid="{00000000-0005-0000-0000-0000110C0000}"/>
    <cellStyle name="_Book1_revenue break up (1)_IB Collection Agency_3103 V3_ICAL-New Format_31.03 V4" xfId="3090" xr:uid="{00000000-0005-0000-0000-0000120C0000}"/>
    <cellStyle name="_Book1_revenue break up (1)_IB Infrastructure Credit" xfId="3091" xr:uid="{00000000-0005-0000-0000-0000130C0000}"/>
    <cellStyle name="_Book1_revenue break up (1)_IB Infrastructure Credit-3103_V6" xfId="3092" xr:uid="{00000000-0005-0000-0000-0000140C0000}"/>
    <cellStyle name="_Book1_revenue break up (1)_IB Infrastructure Credit-3103_V7" xfId="3093" xr:uid="{00000000-0005-0000-0000-0000150C0000}"/>
    <cellStyle name="_Book1_revenue break up (1)_IB Life Insurance_3103 V4" xfId="3094" xr:uid="{00000000-0005-0000-0000-0000160C0000}"/>
    <cellStyle name="_Book1_revenue break up (1)_IB Trustee Company_3103 V4" xfId="3095" xr:uid="{00000000-0005-0000-0000-0000170C0000}"/>
    <cellStyle name="_Book1_revenue break up (1)_IBFSL_Conso_June_09_10 " xfId="3096" xr:uid="{00000000-0005-0000-0000-0000180C0000}"/>
    <cellStyle name="_Book1_revenue break up (1)_IBFSL_Conso_June_09_10  2" xfId="3097" xr:uid="{00000000-0005-0000-0000-0000190C0000}"/>
    <cellStyle name="_Book1_revenue break up (1)_IBFSL_Conso_June_09_10 _Book1 (2)" xfId="3098" xr:uid="{00000000-0005-0000-0000-00001A0C0000}"/>
    <cellStyle name="_Book1_revenue break up (1)_IBFSL_Conso_June_09_10 _Book1 (2) 2" xfId="3099" xr:uid="{00000000-0005-0000-0000-00001B0C0000}"/>
    <cellStyle name="_Book1_revenue break up (1)_IBFSL_Conso_June_09_10 _ISL__3CD_FY2010-11" xfId="3100" xr:uid="{00000000-0005-0000-0000-00001C0C0000}"/>
    <cellStyle name="_Book1_revenue break up (1)_IBFSL_Conso_June_09_10 _ISL_Conso_09_10_Other working" xfId="3101" xr:uid="{00000000-0005-0000-0000-00001D0C0000}"/>
    <cellStyle name="_Book1_revenue break up (1)_IBFSL_Conso_June_09_10 _ISL_Conso_09_10_Other working 2" xfId="3102" xr:uid="{00000000-0005-0000-0000-00001E0C0000}"/>
    <cellStyle name="_Book1_revenue break up (1)_IBFSL_Conso_June_09_10 _ISL_Conso_09_10_Other working_Xl0000012" xfId="3103" xr:uid="{00000000-0005-0000-0000-00001F0C0000}"/>
    <cellStyle name="_Book1_revenue break up (1)_IBFSL_Conso_June_09_10 _ISL_Conso_09_10_Other working_Xl0000012 2" xfId="3104" xr:uid="{00000000-0005-0000-0000-0000200C0000}"/>
    <cellStyle name="_Book1_revenue break up (1)_IBFSL_Conso_June_09_10 _ISL_conso_August_10_11" xfId="3105" xr:uid="{00000000-0005-0000-0000-0000210C0000}"/>
    <cellStyle name="_Book1_revenue break up (1)_IBFSL_Conso_June_09_10 _ISL_conso_August_10_11 2" xfId="3106" xr:uid="{00000000-0005-0000-0000-0000220C0000}"/>
    <cellStyle name="_Book1_revenue break up (1)_IBFSL_Conso_June_09_10 _ISL_conso_December_10_11" xfId="3107" xr:uid="{00000000-0005-0000-0000-0000230C0000}"/>
    <cellStyle name="_Book1_revenue break up (1)_IBFSL_Conso_June_09_10 _ISL_conso_December_10_11 2" xfId="3108" xr:uid="{00000000-0005-0000-0000-0000240C0000}"/>
    <cellStyle name="_Book1_revenue break up (1)_IBFSL_Conso_June_09_10 _ISL_conso_July_10_11" xfId="3109" xr:uid="{00000000-0005-0000-0000-0000250C0000}"/>
    <cellStyle name="_Book1_revenue break up (1)_IBFSL_Conso_June_09_10 _ISL_conso_July_10_11 2" xfId="3110" xr:uid="{00000000-0005-0000-0000-0000260C0000}"/>
    <cellStyle name="_Book1_revenue break up (1)_IBFSL_Conso_June_09_10 _ISL_conso_June_10_11" xfId="3111" xr:uid="{00000000-0005-0000-0000-0000270C0000}"/>
    <cellStyle name="_Book1_revenue break up (1)_IBFSL_Conso_June_09_10 _ISL_conso_June_10_11 2" xfId="3112" xr:uid="{00000000-0005-0000-0000-0000280C0000}"/>
    <cellStyle name="_Book1_revenue break up (1)_IBFSL_Conso_June_09_10 _ISL_conso_March_09_10" xfId="3113" xr:uid="{00000000-0005-0000-0000-0000290C0000}"/>
    <cellStyle name="_Book1_revenue break up (1)_IBFSL_Conso_June_09_10 _ISL_conso_March_09_10 2" xfId="3114" xr:uid="{00000000-0005-0000-0000-00002A0C0000}"/>
    <cellStyle name="_Book1_revenue break up (1)_IBFSL_Conso_June_09_10 _ISL_conso_March_09_10_Xl0000012" xfId="3115" xr:uid="{00000000-0005-0000-0000-00002B0C0000}"/>
    <cellStyle name="_Book1_revenue break up (1)_IBFSL_Conso_June_09_10 _ISL_conso_March_09_10_Xl0000012 2" xfId="3116" xr:uid="{00000000-0005-0000-0000-00002C0C0000}"/>
    <cellStyle name="_Book1_revenue break up (1)_IBFSL_Conso_June_09_10 _ISL_conso_May_10_11" xfId="3117" xr:uid="{00000000-0005-0000-0000-00002D0C0000}"/>
    <cellStyle name="_Book1_revenue break up (1)_IBFSL_Conso_June_09_10 _ISL_conso_May_10_11 2" xfId="3118" xr:uid="{00000000-0005-0000-0000-00002E0C0000}"/>
    <cellStyle name="_Book1_revenue break up (1)_IBFSL_Conso_June_09_10 _ISL_conso_November_10_11" xfId="3119" xr:uid="{00000000-0005-0000-0000-00002F0C0000}"/>
    <cellStyle name="_Book1_revenue break up (1)_IBFSL_Conso_June_09_10 _ISL_conso_November_10_11 2" xfId="3120" xr:uid="{00000000-0005-0000-0000-0000300C0000}"/>
    <cellStyle name="_Book1_revenue break up (1)_IBFSL_Conso_June_09_10 _ISL_conso_October_10_11" xfId="3121" xr:uid="{00000000-0005-0000-0000-0000310C0000}"/>
    <cellStyle name="_Book1_revenue break up (1)_IBFSL_Conso_June_09_10 _ISL_conso_October_10_11 2" xfId="3122" xr:uid="{00000000-0005-0000-0000-0000320C0000}"/>
    <cellStyle name="_Book1_revenue break up (1)_IBFSL_Conso_June_09_10 _ISL_conso_September_10_11" xfId="3123" xr:uid="{00000000-0005-0000-0000-0000330C0000}"/>
    <cellStyle name="_Book1_revenue break up (1)_IBFSL_Conso_June_09_10 _ISL_conso_September_10_11 2" xfId="3124" xr:uid="{00000000-0005-0000-0000-0000340C0000}"/>
    <cellStyle name="_Book1_revenue break up (1)_IBFSL_Conso_June_09_10 _ISL_June_10" xfId="3125" xr:uid="{00000000-0005-0000-0000-0000350C0000}"/>
    <cellStyle name="_Book1_revenue break up (1)_IBFSL_Conso_June_09_10 _ISL_June_10 2" xfId="3126" xr:uid="{00000000-0005-0000-0000-0000360C0000}"/>
    <cellStyle name="_Book1_revenue break up (1)_IBFSL_Conso_June_09_10 _Results" xfId="3127" xr:uid="{00000000-0005-0000-0000-0000370C0000}"/>
    <cellStyle name="_Book1_revenue break up (1)_IBFSL_Conso_June_09_10 _Results 2" xfId="3128" xr:uid="{00000000-0005-0000-0000-0000380C0000}"/>
    <cellStyle name="_Book1_revenue break up (1)_IBFSL_Conso_June_09_10 _Xl0000012" xfId="3129" xr:uid="{00000000-0005-0000-0000-0000390C0000}"/>
    <cellStyle name="_Book1_revenue break up (1)_IBFSL_Conso_June_09_10 _Xl0000012 2" xfId="3130" xr:uid="{00000000-0005-0000-0000-00003A0C0000}"/>
    <cellStyle name="_Book1_revenue break up (1)_IBLIC_BS  Final working -New_Format_31.03 V5" xfId="3131" xr:uid="{00000000-0005-0000-0000-00003B0C0000}"/>
    <cellStyle name="_Book1_revenue break up (1)_Ibulls BS Final woirking -New format_31.03 V5" xfId="3132" xr:uid="{00000000-0005-0000-0000-00003C0C0000}"/>
    <cellStyle name="_Book1_revenue break up (1)_IbullsSales_3009V3 (3)" xfId="3133" xr:uid="{00000000-0005-0000-0000-00003D0C0000}"/>
    <cellStyle name="_Book1_revenue break up (1)_IbullsSales_3103" xfId="3134" xr:uid="{00000000-0005-0000-0000-00003E0C0000}"/>
    <cellStyle name="_Book1_revenue break up (1)_IbullsSales_3103 V2" xfId="3135" xr:uid="{00000000-0005-0000-0000-00003F0C0000}"/>
    <cellStyle name="_Book1_revenue break up (1)_IbullsSales_3103 V5" xfId="3136" xr:uid="{00000000-0005-0000-0000-0000400C0000}"/>
    <cellStyle name="_Book1_revenue break up (1)_ICAL-BS Final Working _New format" xfId="3137" xr:uid="{00000000-0005-0000-0000-0000410C0000}"/>
    <cellStyle name="_Book1_revenue break up (1)_ICL_BS_30.06.2009" xfId="3138" xr:uid="{00000000-0005-0000-0000-0000420C0000}"/>
    <cellStyle name="_Book1_revenue break up (1)_ICPL_BS_31.03.2009_new" xfId="3139" xr:uid="{00000000-0005-0000-0000-0000430C0000}"/>
    <cellStyle name="_Book1_revenue break up (1)_ICPL_BS_31.03.2009_new_ISL__3CD_FY2010-11" xfId="3140" xr:uid="{00000000-0005-0000-0000-0000440C0000}"/>
    <cellStyle name="_Book1_revenue break up (1)_IFCPL 31 03 2010 VER6 Final" xfId="3141" xr:uid="{00000000-0005-0000-0000-0000450C0000}"/>
    <cellStyle name="_Book1_revenue break up (1)_IHFL_September_30_2010 VERSION 10" xfId="3142" xr:uid="{00000000-0005-0000-0000-0000460C0000}"/>
    <cellStyle name="_Book1_revenue break up (1)_IICL_March'11" xfId="3143" xr:uid="{00000000-0005-0000-0000-0000470C0000}"/>
    <cellStyle name="_Book1_revenue break up (1)_Indiabulls Asset Management Company Limited printable" xfId="3144" xr:uid="{00000000-0005-0000-0000-0000480C0000}"/>
    <cellStyle name="_Book1_revenue break up (1)_ISL June 09" xfId="3145" xr:uid="{00000000-0005-0000-0000-0000490C0000}"/>
    <cellStyle name="_Book1_revenue break up (1)_ISL June 09 2" xfId="3146" xr:uid="{00000000-0005-0000-0000-00004A0C0000}"/>
    <cellStyle name="_Book1_revenue break up (1)_ISL June 09_ISL__3CD_FY2010-11" xfId="3147" xr:uid="{00000000-0005-0000-0000-00004B0C0000}"/>
    <cellStyle name="_Book1_revenue break up (1)_ISL Rev" xfId="3148" xr:uid="{00000000-0005-0000-0000-00004C0C0000}"/>
    <cellStyle name="_Book1_revenue break up (1)_ISL Rev 2" xfId="3149" xr:uid="{00000000-0005-0000-0000-00004D0C0000}"/>
    <cellStyle name="_Book1_revenue break up (1)_ISL Rev_ISL__3CD_FY2010-11" xfId="3150" xr:uid="{00000000-0005-0000-0000-00004E0C0000}"/>
    <cellStyle name="_Book1_revenue break up (1)_ISL Rev_Results" xfId="3151" xr:uid="{00000000-0005-0000-0000-00004F0C0000}"/>
    <cellStyle name="_Book1_revenue break up (1)_ISL Rev_Results 2" xfId="3152" xr:uid="{00000000-0005-0000-0000-0000500C0000}"/>
    <cellStyle name="_Book1_revenue break up (1)_ISL Rev_Xl0000012" xfId="3153" xr:uid="{00000000-0005-0000-0000-0000510C0000}"/>
    <cellStyle name="_Book1_revenue break up (1)_ISL Rev_Xl0000012 2" xfId="3154" xr:uid="{00000000-0005-0000-0000-0000520C0000}"/>
    <cellStyle name="_Book1_revenue break up (1)_ISL_BS_03.03.2009" xfId="3155" xr:uid="{00000000-0005-0000-0000-0000530C0000}"/>
    <cellStyle name="_Book1_revenue break up (1)_ISL_BS_03.03.2009 2" xfId="3156" xr:uid="{00000000-0005-0000-0000-0000540C0000}"/>
    <cellStyle name="_Book1_revenue break up (1)_ISL_BS_03.03.2009_ISL__3CD_FY2010-11" xfId="3157" xr:uid="{00000000-0005-0000-0000-0000550C0000}"/>
    <cellStyle name="_Book1_revenue break up (1)_ISL_BS_08.03.2009" xfId="3158" xr:uid="{00000000-0005-0000-0000-0000560C0000}"/>
    <cellStyle name="_Book1_revenue break up (1)_ISL_BS_08.03.2009 2" xfId="3159" xr:uid="{00000000-0005-0000-0000-0000570C0000}"/>
    <cellStyle name="_Book1_revenue break up (1)_ISL_BS_08.03.2009_ISL__3CD_FY2010-11" xfId="3160" xr:uid="{00000000-0005-0000-0000-0000580C0000}"/>
    <cellStyle name="_Book1_revenue break up (1)_ISL_BS_15.03.2009" xfId="3161" xr:uid="{00000000-0005-0000-0000-0000590C0000}"/>
    <cellStyle name="_Book1_revenue break up (1)_ISL_BS_15.03.2009 2" xfId="3162" xr:uid="{00000000-0005-0000-0000-00005A0C0000}"/>
    <cellStyle name="_Book1_revenue break up (1)_ISL_BS_15.03.2009_ISL__3CD_FY2010-11" xfId="3163" xr:uid="{00000000-0005-0000-0000-00005B0C0000}"/>
    <cellStyle name="_Book1_revenue break up (1)_ISL_BS_2008-09- First Cut" xfId="3164" xr:uid="{00000000-0005-0000-0000-00005C0C0000}"/>
    <cellStyle name="_Book1_revenue break up (1)_ISL_BS_2008-09- First Cut 2" xfId="3165" xr:uid="{00000000-0005-0000-0000-00005D0C0000}"/>
    <cellStyle name="_Book1_revenue break up (1)_ISL_BS_2008-09- First Cut_ISL__3CD_FY2010-11" xfId="3166" xr:uid="{00000000-0005-0000-0000-00005E0C0000}"/>
    <cellStyle name="_Book1_revenue break up (1)_ISL_BS_21.09.2009" xfId="3167" xr:uid="{00000000-0005-0000-0000-00005F0C0000}"/>
    <cellStyle name="_Book1_revenue break up (1)_ISL_BS_21.09.2009 2" xfId="3168" xr:uid="{00000000-0005-0000-0000-0000600C0000}"/>
    <cellStyle name="_Book1_revenue break up (1)_ISL_BS_23.02.2009" xfId="3169" xr:uid="{00000000-0005-0000-0000-0000610C0000}"/>
    <cellStyle name="_Book1_revenue break up (1)_ISL_BS_23.02.2009 2" xfId="3170" xr:uid="{00000000-0005-0000-0000-0000620C0000}"/>
    <cellStyle name="_Book1_revenue break up (1)_ISL_BS_23.02.2009_ISL__3CD_FY2010-11" xfId="3171" xr:uid="{00000000-0005-0000-0000-0000630C0000}"/>
    <cellStyle name="_Book1_revenue break up (1)_ISL_BS_24.02.2009" xfId="3172" xr:uid="{00000000-0005-0000-0000-0000640C0000}"/>
    <cellStyle name="_Book1_revenue break up (1)_ISL_BS_24.02.2009 2" xfId="3173" xr:uid="{00000000-0005-0000-0000-0000650C0000}"/>
    <cellStyle name="_Book1_revenue break up (1)_ISL_BS_24.02.2009_ISL__3CD_FY2010-11" xfId="3174" xr:uid="{00000000-0005-0000-0000-0000660C0000}"/>
    <cellStyle name="_Book1_revenue break up (1)_ISL_BS_Aug 09" xfId="3175" xr:uid="{00000000-0005-0000-0000-0000670C0000}"/>
    <cellStyle name="_Book1_revenue break up (1)_ISL_BS_Aug 09 2" xfId="3176" xr:uid="{00000000-0005-0000-0000-0000680C0000}"/>
    <cellStyle name="_Book1_revenue break up (1)_ISL_BS_Aug 09.z" xfId="3177" xr:uid="{00000000-0005-0000-0000-0000690C0000}"/>
    <cellStyle name="_Book1_revenue break up (1)_ISL_BS_Aug 09.z 2" xfId="3178" xr:uid="{00000000-0005-0000-0000-00006A0C0000}"/>
    <cellStyle name="_Book1_revenue break up (1)_ISL_BS_Aug 09.z_ISL__3CD_FY2010-11" xfId="3179" xr:uid="{00000000-0005-0000-0000-00006B0C0000}"/>
    <cellStyle name="_Book1_revenue break up (1)_ISL_BS_Aug 09_ISL__3CD_FY2010-11" xfId="3180" xr:uid="{00000000-0005-0000-0000-00006C0C0000}"/>
    <cellStyle name="_Book1_revenue break up (1)_ISL_Conso_09_10_Other working" xfId="3181" xr:uid="{00000000-0005-0000-0000-00006D0C0000}"/>
    <cellStyle name="_Book1_revenue break up (1)_ISL_Conso_09_10_Other working 2" xfId="3182" xr:uid="{00000000-0005-0000-0000-00006E0C0000}"/>
    <cellStyle name="_Book1_revenue break up (1)_ISL_conso_August_09_10" xfId="3183" xr:uid="{00000000-0005-0000-0000-00006F0C0000}"/>
    <cellStyle name="_Book1_revenue break up (1)_ISL_conso_August_09_10 2" xfId="3184" xr:uid="{00000000-0005-0000-0000-0000700C0000}"/>
    <cellStyle name="_Book1_revenue break up (1)_ISL_conso_August_09_10_ISL__3CD_FY2010-11" xfId="3185" xr:uid="{00000000-0005-0000-0000-0000710C0000}"/>
    <cellStyle name="_Book1_revenue break up (1)_ISL_conso_August_10_11" xfId="3186" xr:uid="{00000000-0005-0000-0000-0000720C0000}"/>
    <cellStyle name="_Book1_revenue break up (1)_ISL_conso_August_10_11 2" xfId="3187" xr:uid="{00000000-0005-0000-0000-0000730C0000}"/>
    <cellStyle name="_Book1_revenue break up (1)_ISL_conso_December_08_09" xfId="3188" xr:uid="{00000000-0005-0000-0000-0000740C0000}"/>
    <cellStyle name="_Book1_revenue break up (1)_ISL_conso_December_08_09 2" xfId="3189" xr:uid="{00000000-0005-0000-0000-0000750C0000}"/>
    <cellStyle name="_Book1_revenue break up (1)_ISL_conso_December_08_09_ISL__3CD_FY2010-11" xfId="3190" xr:uid="{00000000-0005-0000-0000-0000760C0000}"/>
    <cellStyle name="_Book1_revenue break up (1)_ISL_conso_December_08_09_Results" xfId="3191" xr:uid="{00000000-0005-0000-0000-0000770C0000}"/>
    <cellStyle name="_Book1_revenue break up (1)_ISL_conso_December_08_09_Results 2" xfId="3192" xr:uid="{00000000-0005-0000-0000-0000780C0000}"/>
    <cellStyle name="_Book1_revenue break up (1)_ISL_conso_December_08_09_Xl0000012" xfId="3193" xr:uid="{00000000-0005-0000-0000-0000790C0000}"/>
    <cellStyle name="_Book1_revenue break up (1)_ISL_conso_December_08_09_Xl0000012 2" xfId="3194" xr:uid="{00000000-0005-0000-0000-00007A0C0000}"/>
    <cellStyle name="_Book1_revenue break up (1)_ISL_conso_December_09_10" xfId="3195" xr:uid="{00000000-0005-0000-0000-00007B0C0000}"/>
    <cellStyle name="_Book1_revenue break up (1)_ISL_conso_December_09_10 2" xfId="3196" xr:uid="{00000000-0005-0000-0000-00007C0C0000}"/>
    <cellStyle name="_Book1_revenue break up (1)_ISL_conso_December_09_10_ISL__3CD_FY2010-11" xfId="3197" xr:uid="{00000000-0005-0000-0000-00007D0C0000}"/>
    <cellStyle name="_Book1_revenue break up (1)_ISL_conso_December_10_11" xfId="3198" xr:uid="{00000000-0005-0000-0000-00007E0C0000}"/>
    <cellStyle name="_Book1_revenue break up (1)_ISL_conso_December_10_11 2" xfId="3199" xr:uid="{00000000-0005-0000-0000-00007F0C0000}"/>
    <cellStyle name="_Book1_revenue break up (1)_ISL_conso_February_09_10" xfId="3200" xr:uid="{00000000-0005-0000-0000-0000800C0000}"/>
    <cellStyle name="_Book1_revenue break up (1)_ISL_conso_February_09_10 2" xfId="3201" xr:uid="{00000000-0005-0000-0000-0000810C0000}"/>
    <cellStyle name="_Book1_revenue break up (1)_ISL_conso_January_09_10" xfId="3202" xr:uid="{00000000-0005-0000-0000-0000820C0000}"/>
    <cellStyle name="_Book1_revenue break up (1)_ISL_conso_January_09_10 2" xfId="3203" xr:uid="{00000000-0005-0000-0000-0000830C0000}"/>
    <cellStyle name="_Book1_revenue break up (1)_ISL_conso_July_08_09" xfId="3204" xr:uid="{00000000-0005-0000-0000-0000840C0000}"/>
    <cellStyle name="_Book1_revenue break up (1)_ISL_conso_July_08_09 2" xfId="3205" xr:uid="{00000000-0005-0000-0000-0000850C0000}"/>
    <cellStyle name="_Book1_revenue break up (1)_ISL_conso_July_08_09_ISL__3CD_FY2010-11" xfId="3206" xr:uid="{00000000-0005-0000-0000-0000860C0000}"/>
    <cellStyle name="_Book1_revenue break up (1)_ISL_conso_July_08_09_Results" xfId="3207" xr:uid="{00000000-0005-0000-0000-0000870C0000}"/>
    <cellStyle name="_Book1_revenue break up (1)_ISL_conso_July_08_09_Results 2" xfId="3208" xr:uid="{00000000-0005-0000-0000-0000880C0000}"/>
    <cellStyle name="_Book1_revenue break up (1)_ISL_conso_July_08_09_Xl0000012" xfId="3209" xr:uid="{00000000-0005-0000-0000-0000890C0000}"/>
    <cellStyle name="_Book1_revenue break up (1)_ISL_conso_July_08_09_Xl0000012 2" xfId="3210" xr:uid="{00000000-0005-0000-0000-00008A0C0000}"/>
    <cellStyle name="_Book1_revenue break up (1)_ISL_conso_July_09_10" xfId="3211" xr:uid="{00000000-0005-0000-0000-00008B0C0000}"/>
    <cellStyle name="_Book1_revenue break up (1)_ISL_conso_July_09_10 2" xfId="3212" xr:uid="{00000000-0005-0000-0000-00008C0C0000}"/>
    <cellStyle name="_Book1_revenue break up (1)_ISL_conso_July_09_10_ISL__3CD_FY2010-11" xfId="3213" xr:uid="{00000000-0005-0000-0000-00008D0C0000}"/>
    <cellStyle name="_Book1_revenue break up (1)_ISL_conso_July_10_11" xfId="3214" xr:uid="{00000000-0005-0000-0000-00008E0C0000}"/>
    <cellStyle name="_Book1_revenue break up (1)_ISL_conso_July_10_11 2" xfId="3215" xr:uid="{00000000-0005-0000-0000-00008F0C0000}"/>
    <cellStyle name="_Book1_revenue break up (1)_ISL_conso_June_09_10" xfId="3216" xr:uid="{00000000-0005-0000-0000-0000900C0000}"/>
    <cellStyle name="_Book1_revenue break up (1)_ISL_conso_June_09_10 2" xfId="3217" xr:uid="{00000000-0005-0000-0000-0000910C0000}"/>
    <cellStyle name="_Book1_revenue break up (1)_ISL_conso_June_09_10_ISL__3CD_FY2010-11" xfId="3218" xr:uid="{00000000-0005-0000-0000-0000920C0000}"/>
    <cellStyle name="_Book1_revenue break up (1)_ISL_conso_June_10_11" xfId="3219" xr:uid="{00000000-0005-0000-0000-0000930C0000}"/>
    <cellStyle name="_Book1_revenue break up (1)_ISL_conso_June_10_11 2" xfId="3220" xr:uid="{00000000-0005-0000-0000-0000940C0000}"/>
    <cellStyle name="_Book1_revenue break up (1)_ISL_conso_March_08_09" xfId="3221" xr:uid="{00000000-0005-0000-0000-0000950C0000}"/>
    <cellStyle name="_Book1_revenue break up (1)_ISL_conso_March_08_09 2" xfId="3222" xr:uid="{00000000-0005-0000-0000-0000960C0000}"/>
    <cellStyle name="_Book1_revenue break up (1)_ISL_conso_March_08_09_ISL__3CD_FY2010-11" xfId="3223" xr:uid="{00000000-0005-0000-0000-0000970C0000}"/>
    <cellStyle name="_Book1_revenue break up (1)_ISL_conso_March_09_10" xfId="3224" xr:uid="{00000000-0005-0000-0000-0000980C0000}"/>
    <cellStyle name="_Book1_revenue break up (1)_ISL_conso_March_09_10 2" xfId="3225" xr:uid="{00000000-0005-0000-0000-0000990C0000}"/>
    <cellStyle name="_Book1_revenue break up (1)_ISL_conso_May_09_10" xfId="3226" xr:uid="{00000000-0005-0000-0000-00009A0C0000}"/>
    <cellStyle name="_Book1_revenue break up (1)_ISL_conso_May_09_10 2" xfId="3227" xr:uid="{00000000-0005-0000-0000-00009B0C0000}"/>
    <cellStyle name="_Book1_revenue break up (1)_ISL_conso_May_09_10_ISL__3CD_FY2010-11" xfId="3228" xr:uid="{00000000-0005-0000-0000-00009C0C0000}"/>
    <cellStyle name="_Book1_revenue break up (1)_ISL_conso_May_10_11" xfId="3229" xr:uid="{00000000-0005-0000-0000-00009D0C0000}"/>
    <cellStyle name="_Book1_revenue break up (1)_ISL_conso_May_10_11 2" xfId="3230" xr:uid="{00000000-0005-0000-0000-00009E0C0000}"/>
    <cellStyle name="_Book1_revenue break up (1)_ISL_conso_November_09_10" xfId="3231" xr:uid="{00000000-0005-0000-0000-00009F0C0000}"/>
    <cellStyle name="_Book1_revenue break up (1)_ISL_conso_November_09_10 2" xfId="3232" xr:uid="{00000000-0005-0000-0000-0000A00C0000}"/>
    <cellStyle name="_Book1_revenue break up (1)_ISL_conso_November_09_10_ISL__3CD_FY2010-11" xfId="3233" xr:uid="{00000000-0005-0000-0000-0000A10C0000}"/>
    <cellStyle name="_Book1_revenue break up (1)_ISL_conso_November_10_11" xfId="3234" xr:uid="{00000000-0005-0000-0000-0000A20C0000}"/>
    <cellStyle name="_Book1_revenue break up (1)_ISL_conso_November_10_11 2" xfId="3235" xr:uid="{00000000-0005-0000-0000-0000A30C0000}"/>
    <cellStyle name="_Book1_revenue break up (1)_ISL_conso_October_09_10" xfId="3236" xr:uid="{00000000-0005-0000-0000-0000A40C0000}"/>
    <cellStyle name="_Book1_revenue break up (1)_ISL_conso_October_09_10 2" xfId="3237" xr:uid="{00000000-0005-0000-0000-0000A50C0000}"/>
    <cellStyle name="_Book1_revenue break up (1)_ISL_conso_October_09_10_ISL__3CD_FY2010-11" xfId="3238" xr:uid="{00000000-0005-0000-0000-0000A60C0000}"/>
    <cellStyle name="_Book1_revenue break up (1)_ISL_conso_October_10_11" xfId="3239" xr:uid="{00000000-0005-0000-0000-0000A70C0000}"/>
    <cellStyle name="_Book1_revenue break up (1)_ISL_conso_October_10_11 2" xfId="3240" xr:uid="{00000000-0005-0000-0000-0000A80C0000}"/>
    <cellStyle name="_Book1_revenue break up (1)_ISL_conso_September_08_09" xfId="3241" xr:uid="{00000000-0005-0000-0000-0000A90C0000}"/>
    <cellStyle name="_Book1_revenue break up (1)_ISL_conso_September_08_09 2" xfId="3242" xr:uid="{00000000-0005-0000-0000-0000AA0C0000}"/>
    <cellStyle name="_Book1_revenue break up (1)_ISL_conso_September_08_09_ISL__3CD_FY2010-11" xfId="3243" xr:uid="{00000000-0005-0000-0000-0000AB0C0000}"/>
    <cellStyle name="_Book1_revenue break up (1)_ISL_conso_September_08_09_Results" xfId="3244" xr:uid="{00000000-0005-0000-0000-0000AC0C0000}"/>
    <cellStyle name="_Book1_revenue break up (1)_ISL_conso_September_08_09_Results 2" xfId="3245" xr:uid="{00000000-0005-0000-0000-0000AD0C0000}"/>
    <cellStyle name="_Book1_revenue break up (1)_ISL_conso_September_08_09_Xl0000012" xfId="3246" xr:uid="{00000000-0005-0000-0000-0000AE0C0000}"/>
    <cellStyle name="_Book1_revenue break up (1)_ISL_conso_September_08_09_Xl0000012 2" xfId="3247" xr:uid="{00000000-0005-0000-0000-0000AF0C0000}"/>
    <cellStyle name="_Book1_revenue break up (1)_ISL_conso_September_09_10" xfId="3248" xr:uid="{00000000-0005-0000-0000-0000B00C0000}"/>
    <cellStyle name="_Book1_revenue break up (1)_ISL_conso_September_09_10 2" xfId="3249" xr:uid="{00000000-0005-0000-0000-0000B10C0000}"/>
    <cellStyle name="_Book1_revenue break up (1)_ISL_conso_September_09_10_ISL__3CD_FY2010-11" xfId="3250" xr:uid="{00000000-0005-0000-0000-0000B20C0000}"/>
    <cellStyle name="_Book1_revenue break up (1)_ISL_conso_September_10_11" xfId="3251" xr:uid="{00000000-0005-0000-0000-0000B30C0000}"/>
    <cellStyle name="_Book1_revenue break up (1)_ISL_conso_September_10_11 2" xfId="3252" xr:uid="{00000000-0005-0000-0000-0000B40C0000}"/>
    <cellStyle name="_Book1_revenue break up (1)_ISL_June_10" xfId="3253" xr:uid="{00000000-0005-0000-0000-0000B50C0000}"/>
    <cellStyle name="_Book1_revenue break up (1)_ISL_June_10 2" xfId="3254" xr:uid="{00000000-0005-0000-0000-0000B60C0000}"/>
    <cellStyle name="_Book1_revenue break up (1)_ISL_MAR_2008_09" xfId="3255" xr:uid="{00000000-0005-0000-0000-0000B70C0000}"/>
    <cellStyle name="_Book1_revenue break up (1)_ISL_March_08_09.final_11.12.2009" xfId="3256" xr:uid="{00000000-0005-0000-0000-0000B80C0000}"/>
    <cellStyle name="_Book1_revenue break up (1)_ISL_March_08_09.final_11.12.2009_ISL__3CD_FY2010-11" xfId="3257" xr:uid="{00000000-0005-0000-0000-0000B90C0000}"/>
    <cellStyle name="_Book1_revenue break up (1)_ISL_Provisions_30.09.2010" xfId="3258" xr:uid="{00000000-0005-0000-0000-0000BA0C0000}"/>
    <cellStyle name="_Book1_revenue break up (1)_ITCL_BS working _New format_31.03 V7" xfId="3259" xr:uid="{00000000-0005-0000-0000-0000BB0C0000}"/>
    <cellStyle name="_Book1_revenue break up (1)_ITCL-New format_31.03 V6" xfId="3260" xr:uid="{00000000-0005-0000-0000-0000BC0C0000}"/>
    <cellStyle name="_Book1_revenue break up (1)_ITR6_2009_10_ICPL1" xfId="3261" xr:uid="{00000000-0005-0000-0000-0000BD0C0000}"/>
    <cellStyle name="_Book1_revenue break up (1)_ITR6_2009_10_ICPL1_ISL__3CD_FY2010-11" xfId="3262" xr:uid="{00000000-0005-0000-0000-0000BE0C0000}"/>
    <cellStyle name="_Book1_revenue break up (1)_ITR6_2009_10_ISL_Vivek" xfId="3263" xr:uid="{00000000-0005-0000-0000-0000BF0C0000}"/>
    <cellStyle name="_Book1_revenue break up (1)_ITR6_2009_10_ISL_Vivek_ISL__3CD_FY2010-11" xfId="3264" xr:uid="{00000000-0005-0000-0000-0000C00C0000}"/>
    <cellStyle name="_Book1_revenue break up (1)_loan" xfId="3265" xr:uid="{00000000-0005-0000-0000-0000C10C0000}"/>
    <cellStyle name="_Book1_revenue break up (1)_loan_ISL__3CD_FY2010-11" xfId="3266" xr:uid="{00000000-0005-0000-0000-0000C20C0000}"/>
    <cellStyle name="_Book1_revenue break up (1)_Provision" xfId="3267" xr:uid="{00000000-0005-0000-0000-0000C30C0000}"/>
    <cellStyle name="_Book1_revenue break up (1)_Provision for Exp - FY 0809" xfId="3268" xr:uid="{00000000-0005-0000-0000-0000C40C0000}"/>
    <cellStyle name="_Book1_revenue break up (1)_Provision for Exp - FY 0809_ISL__3CD_FY2010-11" xfId="3269" xr:uid="{00000000-0005-0000-0000-0000C50C0000}"/>
    <cellStyle name="_Book1_revenue break up (1)_Provision March 09 (1)" xfId="3270" xr:uid="{00000000-0005-0000-0000-0000C60C0000}"/>
    <cellStyle name="_Book1_revenue break up (1)_provisions q3" xfId="3271" xr:uid="{00000000-0005-0000-0000-0000C70C0000}"/>
    <cellStyle name="_Book1_revenue break up (1)_Result" xfId="3272" xr:uid="{00000000-0005-0000-0000-0000C80C0000}"/>
    <cellStyle name="_Book1_revenue break up (1)_Result 2" xfId="3273" xr:uid="{00000000-0005-0000-0000-0000C90C0000}"/>
    <cellStyle name="_Book1_revenue break up (1)_Results" xfId="3274" xr:uid="{00000000-0005-0000-0000-0000CA0C0000}"/>
    <cellStyle name="_Book1_revenue break up (1)_Results 2" xfId="3275" xr:uid="{00000000-0005-0000-0000-0000CB0C0000}"/>
    <cellStyle name="_Book1_revenue break up (1)_Standalone Financials - March 31, 2010 - Printable" xfId="3276" xr:uid="{00000000-0005-0000-0000-0000CC0C0000}"/>
    <cellStyle name="_Book1_revenue break up (1)_Standalone Financials - March 31, 2010 - Printable_ISL__3CD_FY2010-11" xfId="3277" xr:uid="{00000000-0005-0000-0000-0000CD0C0000}"/>
    <cellStyle name="_Book1_revenue break up (1)_Xl0000012" xfId="3278" xr:uid="{00000000-0005-0000-0000-0000CE0C0000}"/>
    <cellStyle name="_Book1_revenue break up (1)_Xl0000012 2" xfId="3279" xr:uid="{00000000-0005-0000-0000-0000CF0C0000}"/>
    <cellStyle name="_Book1_revenue break up (1)_Xl0000013" xfId="3280" xr:uid="{00000000-0005-0000-0000-0000D00C0000}"/>
    <cellStyle name="_Book1_revenue break up_IFSL" xfId="3281" xr:uid="{00000000-0005-0000-0000-0000D10C0000}"/>
    <cellStyle name="_Book1_revenue break up_IFSL 10" xfId="3282" xr:uid="{00000000-0005-0000-0000-0000D20C0000}"/>
    <cellStyle name="_Book1_revenue break up_IFSL 10 2" xfId="3283" xr:uid="{00000000-0005-0000-0000-0000D30C0000}"/>
    <cellStyle name="_Book1_revenue break up_IFSL 11" xfId="3284" xr:uid="{00000000-0005-0000-0000-0000D40C0000}"/>
    <cellStyle name="_Book1_revenue break up_IFSL 11 2" xfId="3285" xr:uid="{00000000-0005-0000-0000-0000D50C0000}"/>
    <cellStyle name="_Book1_revenue break up_IFSL 12" xfId="3286" xr:uid="{00000000-0005-0000-0000-0000D60C0000}"/>
    <cellStyle name="_Book1_revenue break up_IFSL 12 2" xfId="3287" xr:uid="{00000000-0005-0000-0000-0000D70C0000}"/>
    <cellStyle name="_Book1_revenue break up_IFSL 13" xfId="3288" xr:uid="{00000000-0005-0000-0000-0000D80C0000}"/>
    <cellStyle name="_Book1_revenue break up_IFSL 13 2" xfId="3289" xr:uid="{00000000-0005-0000-0000-0000D90C0000}"/>
    <cellStyle name="_Book1_revenue break up_IFSL 14" xfId="3290" xr:uid="{00000000-0005-0000-0000-0000DA0C0000}"/>
    <cellStyle name="_Book1_revenue break up_IFSL 14 2" xfId="3291" xr:uid="{00000000-0005-0000-0000-0000DB0C0000}"/>
    <cellStyle name="_Book1_revenue break up_IFSL 15" xfId="3292" xr:uid="{00000000-0005-0000-0000-0000DC0C0000}"/>
    <cellStyle name="_Book1_revenue break up_IFSL 15 2" xfId="3293" xr:uid="{00000000-0005-0000-0000-0000DD0C0000}"/>
    <cellStyle name="_Book1_revenue break up_IFSL 16" xfId="3294" xr:uid="{00000000-0005-0000-0000-0000DE0C0000}"/>
    <cellStyle name="_Book1_revenue break up_IFSL 16 2" xfId="3295" xr:uid="{00000000-0005-0000-0000-0000DF0C0000}"/>
    <cellStyle name="_Book1_revenue break up_IFSL 17" xfId="3296" xr:uid="{00000000-0005-0000-0000-0000E00C0000}"/>
    <cellStyle name="_Book1_revenue break up_IFSL 17 2" xfId="3297" xr:uid="{00000000-0005-0000-0000-0000E10C0000}"/>
    <cellStyle name="_Book1_revenue break up_IFSL 18" xfId="3298" xr:uid="{00000000-0005-0000-0000-0000E20C0000}"/>
    <cellStyle name="_Book1_revenue break up_IFSL 18 2" xfId="3299" xr:uid="{00000000-0005-0000-0000-0000E30C0000}"/>
    <cellStyle name="_Book1_revenue break up_IFSL 19" xfId="3300" xr:uid="{00000000-0005-0000-0000-0000E40C0000}"/>
    <cellStyle name="_Book1_revenue break up_IFSL 19 2" xfId="3301" xr:uid="{00000000-0005-0000-0000-0000E50C0000}"/>
    <cellStyle name="_Book1_revenue break up_IFSL 2" xfId="3302" xr:uid="{00000000-0005-0000-0000-0000E60C0000}"/>
    <cellStyle name="_Book1_revenue break up_IFSL 2 2" xfId="3303" xr:uid="{00000000-0005-0000-0000-0000E70C0000}"/>
    <cellStyle name="_Book1_revenue break up_IFSL 20" xfId="3304" xr:uid="{00000000-0005-0000-0000-0000E80C0000}"/>
    <cellStyle name="_Book1_revenue break up_IFSL 21" xfId="3305" xr:uid="{00000000-0005-0000-0000-0000E90C0000}"/>
    <cellStyle name="_Book1_revenue break up_IFSL 22" xfId="3306" xr:uid="{00000000-0005-0000-0000-0000EA0C0000}"/>
    <cellStyle name="_Book1_revenue break up_IFSL 23" xfId="3307" xr:uid="{00000000-0005-0000-0000-0000EB0C0000}"/>
    <cellStyle name="_Book1_revenue break up_IFSL 3" xfId="3308" xr:uid="{00000000-0005-0000-0000-0000EC0C0000}"/>
    <cellStyle name="_Book1_revenue break up_IFSL 3 2" xfId="3309" xr:uid="{00000000-0005-0000-0000-0000ED0C0000}"/>
    <cellStyle name="_Book1_revenue break up_IFSL 4" xfId="3310" xr:uid="{00000000-0005-0000-0000-0000EE0C0000}"/>
    <cellStyle name="_Book1_revenue break up_IFSL 4 2" xfId="3311" xr:uid="{00000000-0005-0000-0000-0000EF0C0000}"/>
    <cellStyle name="_Book1_revenue break up_IFSL 5" xfId="3312" xr:uid="{00000000-0005-0000-0000-0000F00C0000}"/>
    <cellStyle name="_Book1_revenue break up_IFSL 5 2" xfId="3313" xr:uid="{00000000-0005-0000-0000-0000F10C0000}"/>
    <cellStyle name="_Book1_revenue break up_IFSL 6" xfId="3314" xr:uid="{00000000-0005-0000-0000-0000F20C0000}"/>
    <cellStyle name="_Book1_revenue break up_IFSL 6 2" xfId="3315" xr:uid="{00000000-0005-0000-0000-0000F30C0000}"/>
    <cellStyle name="_Book1_revenue break up_IFSL 7" xfId="3316" xr:uid="{00000000-0005-0000-0000-0000F40C0000}"/>
    <cellStyle name="_Book1_revenue break up_IFSL 7 2" xfId="3317" xr:uid="{00000000-0005-0000-0000-0000F50C0000}"/>
    <cellStyle name="_Book1_revenue break up_IFSL 8" xfId="3318" xr:uid="{00000000-0005-0000-0000-0000F60C0000}"/>
    <cellStyle name="_Book1_revenue break up_IFSL 8 2" xfId="3319" xr:uid="{00000000-0005-0000-0000-0000F70C0000}"/>
    <cellStyle name="_Book1_revenue break up_IFSL 9" xfId="3320" xr:uid="{00000000-0005-0000-0000-0000F80C0000}"/>
    <cellStyle name="_Book1_revenue break up_IFSL 9 2" xfId="3321" xr:uid="{00000000-0005-0000-0000-0000F90C0000}"/>
    <cellStyle name="_Book1_revenue break up_IFSL_Asset Management Company Limited" xfId="3322" xr:uid="{00000000-0005-0000-0000-0000FA0C0000}"/>
    <cellStyle name="_Book1_revenue break up_IFSL_Book1" xfId="3323" xr:uid="{00000000-0005-0000-0000-0000FB0C0000}"/>
    <cellStyle name="_Book1_revenue break up_IFSL_Book1 (2)" xfId="3324" xr:uid="{00000000-0005-0000-0000-0000FC0C0000}"/>
    <cellStyle name="_Book1_revenue break up_IFSL_Book1 (2) 2" xfId="3325" xr:uid="{00000000-0005-0000-0000-0000FD0C0000}"/>
    <cellStyle name="_Book1_revenue break up_IFSL_Book1 10" xfId="3326" xr:uid="{00000000-0005-0000-0000-0000FE0C0000}"/>
    <cellStyle name="_Book1_revenue break up_IFSL_Book1 11" xfId="3327" xr:uid="{00000000-0005-0000-0000-0000FF0C0000}"/>
    <cellStyle name="_Book1_revenue break up_IFSL_Book1 2" xfId="3328" xr:uid="{00000000-0005-0000-0000-0000000D0000}"/>
    <cellStyle name="_Book1_revenue break up_IFSL_Book1 3" xfId="3329" xr:uid="{00000000-0005-0000-0000-0000010D0000}"/>
    <cellStyle name="_Book1_revenue break up_IFSL_Book1 4" xfId="3330" xr:uid="{00000000-0005-0000-0000-0000020D0000}"/>
    <cellStyle name="_Book1_revenue break up_IFSL_Book1 5" xfId="3331" xr:uid="{00000000-0005-0000-0000-0000030D0000}"/>
    <cellStyle name="_Book1_revenue break up_IFSL_Book1 6" xfId="3332" xr:uid="{00000000-0005-0000-0000-0000040D0000}"/>
    <cellStyle name="_Book1_revenue break up_IFSL_Book1 7" xfId="3333" xr:uid="{00000000-0005-0000-0000-0000050D0000}"/>
    <cellStyle name="_Book1_revenue break up_IFSL_Book1 8" xfId="3334" xr:uid="{00000000-0005-0000-0000-0000060D0000}"/>
    <cellStyle name="_Book1_revenue break up_IFSL_Book1 9" xfId="3335" xr:uid="{00000000-0005-0000-0000-0000070D0000}"/>
    <cellStyle name="_Book1_revenue break up_IFSL_Book1_ISL__3CD_FY2010-11" xfId="3336" xr:uid="{00000000-0005-0000-0000-0000080D0000}"/>
    <cellStyle name="_Book1_revenue break up_IFSL_Book2" xfId="3337" xr:uid="{00000000-0005-0000-0000-0000090D0000}"/>
    <cellStyle name="_Book1_revenue break up_IFSL_Book2 2" xfId="3338" xr:uid="{00000000-0005-0000-0000-00000A0D0000}"/>
    <cellStyle name="_Book1_revenue break up_IFSL_Book2_ISL__3CD_FY2010-11" xfId="3339" xr:uid="{00000000-0005-0000-0000-00000B0D0000}"/>
    <cellStyle name="_Book1_revenue break up_IFSL_Book4" xfId="3340" xr:uid="{00000000-0005-0000-0000-00000C0D0000}"/>
    <cellStyle name="_Book1_revenue break up_IFSL_Book4 2" xfId="3341" xr:uid="{00000000-0005-0000-0000-00000D0D0000}"/>
    <cellStyle name="_Book1_revenue break up_IFSL_Book4_ISL__3CD_FY2010-11" xfId="3342" xr:uid="{00000000-0005-0000-0000-00000E0D0000}"/>
    <cellStyle name="_Book1_revenue break up_IFSL_BS _IB Asset Management _3103_ver5" xfId="3343" xr:uid="{00000000-0005-0000-0000-00000F0D0000}"/>
    <cellStyle name="_Book1_revenue break up_IFSL_BS _IB Asset Management _3103_ver5_IAMCL BS working -New format_31.03 V5" xfId="3344" xr:uid="{00000000-0005-0000-0000-0000100D0000}"/>
    <cellStyle name="_Book1_revenue break up_IFSL_Detail of IPO funding" xfId="3345" xr:uid="{00000000-0005-0000-0000-0000110D0000}"/>
    <cellStyle name="_Book1_revenue break up_IFSL_Details of Assets &amp; Liablilities" xfId="3346" xr:uid="{00000000-0005-0000-0000-0000120D0000}"/>
    <cellStyle name="_Book1_revenue break up_IFSL_FDR Int Calculation as per BS" xfId="3347" xr:uid="{00000000-0005-0000-0000-0000130D0000}"/>
    <cellStyle name="_Book1_revenue break up_IFSL_IAMCL BS working -New format_31.03 V5" xfId="3348" xr:uid="{00000000-0005-0000-0000-0000140D0000}"/>
    <cellStyle name="_Book1_revenue break up_IFSL_IB Asset Management _2910" xfId="3349" xr:uid="{00000000-0005-0000-0000-0000150D0000}"/>
    <cellStyle name="_Book1_revenue break up_IFSL_IB Asset Management _2910_IB Collection Agency_3103 V3" xfId="3350" xr:uid="{00000000-0005-0000-0000-0000160D0000}"/>
    <cellStyle name="_Book1_revenue break up_IFSL_IB Asset Management _2910_IB Collection Agency_3103 V3_ICAL-New Format_31.03 V4" xfId="3351" xr:uid="{00000000-0005-0000-0000-0000170D0000}"/>
    <cellStyle name="_Book1_revenue break up_IFSL_IB Asset Management _2910_ICAL-BS Final Working _New format" xfId="3352" xr:uid="{00000000-0005-0000-0000-0000180D0000}"/>
    <cellStyle name="_Book1_revenue break up_IFSL_IB Asset Management _3103_ver5" xfId="3353" xr:uid="{00000000-0005-0000-0000-0000190D0000}"/>
    <cellStyle name="_Book1_revenue break up_IFSL_IB Asset Management_3103 V2" xfId="3354" xr:uid="{00000000-0005-0000-0000-00001A0D0000}"/>
    <cellStyle name="_Book1_revenue break up_IFSL_IB Asset Management_3103 V4" xfId="3355" xr:uid="{00000000-0005-0000-0000-00001B0D0000}"/>
    <cellStyle name="_Book1_revenue break up_IFSL_IB Asset Management_3103 V5" xfId="3356" xr:uid="{00000000-0005-0000-0000-00001C0D0000}"/>
    <cellStyle name="_Book1_revenue break up_IFSL_IB Collection Agency_3103 V3" xfId="3357" xr:uid="{00000000-0005-0000-0000-00001D0D0000}"/>
    <cellStyle name="_Book1_revenue break up_IFSL_IB Collection Agency_3103 V3_ICAL-New Format_31.03 V4" xfId="3358" xr:uid="{00000000-0005-0000-0000-00001E0D0000}"/>
    <cellStyle name="_Book1_revenue break up_IFSL_IB Infrastructure Credit" xfId="3359" xr:uid="{00000000-0005-0000-0000-00001F0D0000}"/>
    <cellStyle name="_Book1_revenue break up_IFSL_IB Infrastructure Credit-3103_V6" xfId="3360" xr:uid="{00000000-0005-0000-0000-0000200D0000}"/>
    <cellStyle name="_Book1_revenue break up_IFSL_IB Infrastructure Credit-3103_V7" xfId="3361" xr:uid="{00000000-0005-0000-0000-0000210D0000}"/>
    <cellStyle name="_Book1_revenue break up_IFSL_IB Life Insurance_3103 V4" xfId="3362" xr:uid="{00000000-0005-0000-0000-0000220D0000}"/>
    <cellStyle name="_Book1_revenue break up_IFSL_IB Trustee Company_3103 V4" xfId="3363" xr:uid="{00000000-0005-0000-0000-0000230D0000}"/>
    <cellStyle name="_Book1_revenue break up_IFSL_IBFSL_Conso_June_09_10 " xfId="3364" xr:uid="{00000000-0005-0000-0000-0000240D0000}"/>
    <cellStyle name="_Book1_revenue break up_IFSL_IBFSL_Conso_June_09_10  2" xfId="3365" xr:uid="{00000000-0005-0000-0000-0000250D0000}"/>
    <cellStyle name="_Book1_revenue break up_IFSL_IBFSL_Conso_June_09_10 _Book1 (2)" xfId="3366" xr:uid="{00000000-0005-0000-0000-0000260D0000}"/>
    <cellStyle name="_Book1_revenue break up_IFSL_IBFSL_Conso_June_09_10 _Book1 (2) 2" xfId="3367" xr:uid="{00000000-0005-0000-0000-0000270D0000}"/>
    <cellStyle name="_Book1_revenue break up_IFSL_IBFSL_Conso_June_09_10 _ISL__3CD_FY2010-11" xfId="3368" xr:uid="{00000000-0005-0000-0000-0000280D0000}"/>
    <cellStyle name="_Book1_revenue break up_IFSL_IBFSL_Conso_June_09_10 _ISL_Conso_09_10_Other working" xfId="3369" xr:uid="{00000000-0005-0000-0000-0000290D0000}"/>
    <cellStyle name="_Book1_revenue break up_IFSL_IBFSL_Conso_June_09_10 _ISL_Conso_09_10_Other working 2" xfId="3370" xr:uid="{00000000-0005-0000-0000-00002A0D0000}"/>
    <cellStyle name="_Book1_revenue break up_IFSL_IBFSL_Conso_June_09_10 _ISL_Conso_09_10_Other working_Xl0000012" xfId="3371" xr:uid="{00000000-0005-0000-0000-00002B0D0000}"/>
    <cellStyle name="_Book1_revenue break up_IFSL_IBFSL_Conso_June_09_10 _ISL_Conso_09_10_Other working_Xl0000012 2" xfId="3372" xr:uid="{00000000-0005-0000-0000-00002C0D0000}"/>
    <cellStyle name="_Book1_revenue break up_IFSL_IBFSL_Conso_June_09_10 _ISL_conso_August_10_11" xfId="3373" xr:uid="{00000000-0005-0000-0000-00002D0D0000}"/>
    <cellStyle name="_Book1_revenue break up_IFSL_IBFSL_Conso_June_09_10 _ISL_conso_August_10_11 2" xfId="3374" xr:uid="{00000000-0005-0000-0000-00002E0D0000}"/>
    <cellStyle name="_Book1_revenue break up_IFSL_IBFSL_Conso_June_09_10 _ISL_conso_December_10_11" xfId="3375" xr:uid="{00000000-0005-0000-0000-00002F0D0000}"/>
    <cellStyle name="_Book1_revenue break up_IFSL_IBFSL_Conso_June_09_10 _ISL_conso_December_10_11 2" xfId="3376" xr:uid="{00000000-0005-0000-0000-0000300D0000}"/>
    <cellStyle name="_Book1_revenue break up_IFSL_IBFSL_Conso_June_09_10 _ISL_conso_July_10_11" xfId="3377" xr:uid="{00000000-0005-0000-0000-0000310D0000}"/>
    <cellStyle name="_Book1_revenue break up_IFSL_IBFSL_Conso_June_09_10 _ISL_conso_July_10_11 2" xfId="3378" xr:uid="{00000000-0005-0000-0000-0000320D0000}"/>
    <cellStyle name="_Book1_revenue break up_IFSL_IBFSL_Conso_June_09_10 _ISL_conso_June_10_11" xfId="3379" xr:uid="{00000000-0005-0000-0000-0000330D0000}"/>
    <cellStyle name="_Book1_revenue break up_IFSL_IBFSL_Conso_June_09_10 _ISL_conso_June_10_11 2" xfId="3380" xr:uid="{00000000-0005-0000-0000-0000340D0000}"/>
    <cellStyle name="_Book1_revenue break up_IFSL_IBFSL_Conso_June_09_10 _ISL_conso_March_09_10" xfId="3381" xr:uid="{00000000-0005-0000-0000-0000350D0000}"/>
    <cellStyle name="_Book1_revenue break up_IFSL_IBFSL_Conso_June_09_10 _ISL_conso_March_09_10 2" xfId="3382" xr:uid="{00000000-0005-0000-0000-0000360D0000}"/>
    <cellStyle name="_Book1_revenue break up_IFSL_IBFSL_Conso_June_09_10 _ISL_conso_March_09_10_Xl0000012" xfId="3383" xr:uid="{00000000-0005-0000-0000-0000370D0000}"/>
    <cellStyle name="_Book1_revenue break up_IFSL_IBFSL_Conso_June_09_10 _ISL_conso_March_09_10_Xl0000012 2" xfId="3384" xr:uid="{00000000-0005-0000-0000-0000380D0000}"/>
    <cellStyle name="_Book1_revenue break up_IFSL_IBFSL_Conso_June_09_10 _ISL_conso_May_10_11" xfId="3385" xr:uid="{00000000-0005-0000-0000-0000390D0000}"/>
    <cellStyle name="_Book1_revenue break up_IFSL_IBFSL_Conso_June_09_10 _ISL_conso_May_10_11 2" xfId="3386" xr:uid="{00000000-0005-0000-0000-00003A0D0000}"/>
    <cellStyle name="_Book1_revenue break up_IFSL_IBFSL_Conso_June_09_10 _ISL_conso_November_10_11" xfId="3387" xr:uid="{00000000-0005-0000-0000-00003B0D0000}"/>
    <cellStyle name="_Book1_revenue break up_IFSL_IBFSL_Conso_June_09_10 _ISL_conso_November_10_11 2" xfId="3388" xr:uid="{00000000-0005-0000-0000-00003C0D0000}"/>
    <cellStyle name="_Book1_revenue break up_IFSL_IBFSL_Conso_June_09_10 _ISL_conso_October_10_11" xfId="3389" xr:uid="{00000000-0005-0000-0000-00003D0D0000}"/>
    <cellStyle name="_Book1_revenue break up_IFSL_IBFSL_Conso_June_09_10 _ISL_conso_October_10_11 2" xfId="3390" xr:uid="{00000000-0005-0000-0000-00003E0D0000}"/>
    <cellStyle name="_Book1_revenue break up_IFSL_IBFSL_Conso_June_09_10 _ISL_conso_September_10_11" xfId="3391" xr:uid="{00000000-0005-0000-0000-00003F0D0000}"/>
    <cellStyle name="_Book1_revenue break up_IFSL_IBFSL_Conso_June_09_10 _ISL_conso_September_10_11 2" xfId="3392" xr:uid="{00000000-0005-0000-0000-0000400D0000}"/>
    <cellStyle name="_Book1_revenue break up_IFSL_IBFSL_Conso_June_09_10 _ISL_June_10" xfId="3393" xr:uid="{00000000-0005-0000-0000-0000410D0000}"/>
    <cellStyle name="_Book1_revenue break up_IFSL_IBFSL_Conso_June_09_10 _ISL_June_10 2" xfId="3394" xr:uid="{00000000-0005-0000-0000-0000420D0000}"/>
    <cellStyle name="_Book1_revenue break up_IFSL_IBFSL_Conso_June_09_10 _Results" xfId="3395" xr:uid="{00000000-0005-0000-0000-0000430D0000}"/>
    <cellStyle name="_Book1_revenue break up_IFSL_IBFSL_Conso_June_09_10 _Results 2" xfId="3396" xr:uid="{00000000-0005-0000-0000-0000440D0000}"/>
    <cellStyle name="_Book1_revenue break up_IFSL_IBFSL_Conso_June_09_10 _Xl0000012" xfId="3397" xr:uid="{00000000-0005-0000-0000-0000450D0000}"/>
    <cellStyle name="_Book1_revenue break up_IFSL_IBFSL_Conso_June_09_10 _Xl0000012 2" xfId="3398" xr:uid="{00000000-0005-0000-0000-0000460D0000}"/>
    <cellStyle name="_Book1_revenue break up_IFSL_IBLIC_BS  Final working -New_Format_31.03 V5" xfId="3399" xr:uid="{00000000-0005-0000-0000-0000470D0000}"/>
    <cellStyle name="_Book1_revenue break up_IFSL_Ibulls BS Final woirking -New format_31.03 V5" xfId="3400" xr:uid="{00000000-0005-0000-0000-0000480D0000}"/>
    <cellStyle name="_Book1_revenue break up_IFSL_IbullsSales_3009V3 (3)" xfId="3401" xr:uid="{00000000-0005-0000-0000-0000490D0000}"/>
    <cellStyle name="_Book1_revenue break up_IFSL_IbullsSales_3103" xfId="3402" xr:uid="{00000000-0005-0000-0000-00004A0D0000}"/>
    <cellStyle name="_Book1_revenue break up_IFSL_IbullsSales_3103 V2" xfId="3403" xr:uid="{00000000-0005-0000-0000-00004B0D0000}"/>
    <cellStyle name="_Book1_revenue break up_IFSL_IbullsSales_3103 V5" xfId="3404" xr:uid="{00000000-0005-0000-0000-00004C0D0000}"/>
    <cellStyle name="_Book1_revenue break up_IFSL_ICAL-BS Final Working _New format" xfId="3405" xr:uid="{00000000-0005-0000-0000-00004D0D0000}"/>
    <cellStyle name="_Book1_revenue break up_IFSL_ICL_BS_30.06.2009" xfId="3406" xr:uid="{00000000-0005-0000-0000-00004E0D0000}"/>
    <cellStyle name="_Book1_revenue break up_IFSL_ICPL_BS_31.03.2009_new" xfId="3407" xr:uid="{00000000-0005-0000-0000-00004F0D0000}"/>
    <cellStyle name="_Book1_revenue break up_IFSL_ICPL_BS_31.03.2009_new_ISL__3CD_FY2010-11" xfId="3408" xr:uid="{00000000-0005-0000-0000-0000500D0000}"/>
    <cellStyle name="_Book1_revenue break up_IFSL_IFCPL 31 03 2010 VER6 Final" xfId="3409" xr:uid="{00000000-0005-0000-0000-0000510D0000}"/>
    <cellStyle name="_Book1_revenue break up_IFSL_IHFL_September_30_2010 VERSION 10" xfId="3410" xr:uid="{00000000-0005-0000-0000-0000520D0000}"/>
    <cellStyle name="_Book1_revenue break up_IFSL_IICL_March'11" xfId="3411" xr:uid="{00000000-0005-0000-0000-0000530D0000}"/>
    <cellStyle name="_Book1_revenue break up_IFSL_Indiabulls Asset Management Company Limited printable" xfId="3412" xr:uid="{00000000-0005-0000-0000-0000540D0000}"/>
    <cellStyle name="_Book1_revenue break up_IFSL_ISL June 09" xfId="3413" xr:uid="{00000000-0005-0000-0000-0000550D0000}"/>
    <cellStyle name="_Book1_revenue break up_IFSL_ISL June 09 2" xfId="3414" xr:uid="{00000000-0005-0000-0000-0000560D0000}"/>
    <cellStyle name="_Book1_revenue break up_IFSL_ISL June 09_ISL__3CD_FY2010-11" xfId="3415" xr:uid="{00000000-0005-0000-0000-0000570D0000}"/>
    <cellStyle name="_Book1_revenue break up_IFSL_ISL Rev" xfId="3416" xr:uid="{00000000-0005-0000-0000-0000580D0000}"/>
    <cellStyle name="_Book1_revenue break up_IFSL_ISL Rev 2" xfId="3417" xr:uid="{00000000-0005-0000-0000-0000590D0000}"/>
    <cellStyle name="_Book1_revenue break up_IFSL_ISL Rev_ISL__3CD_FY2010-11" xfId="3418" xr:uid="{00000000-0005-0000-0000-00005A0D0000}"/>
    <cellStyle name="_Book1_revenue break up_IFSL_ISL Rev_Results" xfId="3419" xr:uid="{00000000-0005-0000-0000-00005B0D0000}"/>
    <cellStyle name="_Book1_revenue break up_IFSL_ISL Rev_Results 2" xfId="3420" xr:uid="{00000000-0005-0000-0000-00005C0D0000}"/>
    <cellStyle name="_Book1_revenue break up_IFSL_ISL Rev_Xl0000012" xfId="3421" xr:uid="{00000000-0005-0000-0000-00005D0D0000}"/>
    <cellStyle name="_Book1_revenue break up_IFSL_ISL Rev_Xl0000012 2" xfId="3422" xr:uid="{00000000-0005-0000-0000-00005E0D0000}"/>
    <cellStyle name="_Book1_revenue break up_IFSL_ISL_BS_03.03.2009" xfId="3423" xr:uid="{00000000-0005-0000-0000-00005F0D0000}"/>
    <cellStyle name="_Book1_revenue break up_IFSL_ISL_BS_03.03.2009 2" xfId="3424" xr:uid="{00000000-0005-0000-0000-0000600D0000}"/>
    <cellStyle name="_Book1_revenue break up_IFSL_ISL_BS_03.03.2009_ISL__3CD_FY2010-11" xfId="3425" xr:uid="{00000000-0005-0000-0000-0000610D0000}"/>
    <cellStyle name="_Book1_revenue break up_IFSL_ISL_BS_08.03.2009" xfId="3426" xr:uid="{00000000-0005-0000-0000-0000620D0000}"/>
    <cellStyle name="_Book1_revenue break up_IFSL_ISL_BS_08.03.2009 2" xfId="3427" xr:uid="{00000000-0005-0000-0000-0000630D0000}"/>
    <cellStyle name="_Book1_revenue break up_IFSL_ISL_BS_08.03.2009_ISL__3CD_FY2010-11" xfId="3428" xr:uid="{00000000-0005-0000-0000-0000640D0000}"/>
    <cellStyle name="_Book1_revenue break up_IFSL_ISL_BS_15.03.2009" xfId="3429" xr:uid="{00000000-0005-0000-0000-0000650D0000}"/>
    <cellStyle name="_Book1_revenue break up_IFSL_ISL_BS_15.03.2009 2" xfId="3430" xr:uid="{00000000-0005-0000-0000-0000660D0000}"/>
    <cellStyle name="_Book1_revenue break up_IFSL_ISL_BS_15.03.2009_ISL__3CD_FY2010-11" xfId="3431" xr:uid="{00000000-0005-0000-0000-0000670D0000}"/>
    <cellStyle name="_Book1_revenue break up_IFSL_ISL_BS_2008-09- First Cut" xfId="3432" xr:uid="{00000000-0005-0000-0000-0000680D0000}"/>
    <cellStyle name="_Book1_revenue break up_IFSL_ISL_BS_2008-09- First Cut 2" xfId="3433" xr:uid="{00000000-0005-0000-0000-0000690D0000}"/>
    <cellStyle name="_Book1_revenue break up_IFSL_ISL_BS_2008-09- First Cut_ISL__3CD_FY2010-11" xfId="3434" xr:uid="{00000000-0005-0000-0000-00006A0D0000}"/>
    <cellStyle name="_Book1_revenue break up_IFSL_ISL_BS_21.09.2009" xfId="3435" xr:uid="{00000000-0005-0000-0000-00006B0D0000}"/>
    <cellStyle name="_Book1_revenue break up_IFSL_ISL_BS_21.09.2009 2" xfId="3436" xr:uid="{00000000-0005-0000-0000-00006C0D0000}"/>
    <cellStyle name="_Book1_revenue break up_IFSL_ISL_BS_23.02.2009" xfId="3437" xr:uid="{00000000-0005-0000-0000-00006D0D0000}"/>
    <cellStyle name="_Book1_revenue break up_IFSL_ISL_BS_23.02.2009 2" xfId="3438" xr:uid="{00000000-0005-0000-0000-00006E0D0000}"/>
    <cellStyle name="_Book1_revenue break up_IFSL_ISL_BS_23.02.2009_ISL__3CD_FY2010-11" xfId="3439" xr:uid="{00000000-0005-0000-0000-00006F0D0000}"/>
    <cellStyle name="_Book1_revenue break up_IFSL_ISL_BS_24.02.2009" xfId="3440" xr:uid="{00000000-0005-0000-0000-0000700D0000}"/>
    <cellStyle name="_Book1_revenue break up_IFSL_ISL_BS_24.02.2009 2" xfId="3441" xr:uid="{00000000-0005-0000-0000-0000710D0000}"/>
    <cellStyle name="_Book1_revenue break up_IFSL_ISL_BS_24.02.2009_ISL__3CD_FY2010-11" xfId="3442" xr:uid="{00000000-0005-0000-0000-0000720D0000}"/>
    <cellStyle name="_Book1_revenue break up_IFSL_ISL_BS_Aug 09" xfId="3443" xr:uid="{00000000-0005-0000-0000-0000730D0000}"/>
    <cellStyle name="_Book1_revenue break up_IFSL_ISL_BS_Aug 09 2" xfId="3444" xr:uid="{00000000-0005-0000-0000-0000740D0000}"/>
    <cellStyle name="_Book1_revenue break up_IFSL_ISL_BS_Aug 09.z" xfId="3445" xr:uid="{00000000-0005-0000-0000-0000750D0000}"/>
    <cellStyle name="_Book1_revenue break up_IFSL_ISL_BS_Aug 09.z 2" xfId="3446" xr:uid="{00000000-0005-0000-0000-0000760D0000}"/>
    <cellStyle name="_Book1_revenue break up_IFSL_ISL_BS_Aug 09.z_ISL__3CD_FY2010-11" xfId="3447" xr:uid="{00000000-0005-0000-0000-0000770D0000}"/>
    <cellStyle name="_Book1_revenue break up_IFSL_ISL_BS_Aug 09_ISL__3CD_FY2010-11" xfId="3448" xr:uid="{00000000-0005-0000-0000-0000780D0000}"/>
    <cellStyle name="_Book1_revenue break up_IFSL_ISL_Conso_09_10_Other working" xfId="3449" xr:uid="{00000000-0005-0000-0000-0000790D0000}"/>
    <cellStyle name="_Book1_revenue break up_IFSL_ISL_Conso_09_10_Other working 2" xfId="3450" xr:uid="{00000000-0005-0000-0000-00007A0D0000}"/>
    <cellStyle name="_Book1_revenue break up_IFSL_ISL_conso_August_09_10" xfId="3451" xr:uid="{00000000-0005-0000-0000-00007B0D0000}"/>
    <cellStyle name="_Book1_revenue break up_IFSL_ISL_conso_August_09_10 2" xfId="3452" xr:uid="{00000000-0005-0000-0000-00007C0D0000}"/>
    <cellStyle name="_Book1_revenue break up_IFSL_ISL_conso_August_09_10_ISL__3CD_FY2010-11" xfId="3453" xr:uid="{00000000-0005-0000-0000-00007D0D0000}"/>
    <cellStyle name="_Book1_revenue break up_IFSL_ISL_conso_August_10_11" xfId="3454" xr:uid="{00000000-0005-0000-0000-00007E0D0000}"/>
    <cellStyle name="_Book1_revenue break up_IFSL_ISL_conso_August_10_11 2" xfId="3455" xr:uid="{00000000-0005-0000-0000-00007F0D0000}"/>
    <cellStyle name="_Book1_revenue break up_IFSL_ISL_conso_December_08_09" xfId="3456" xr:uid="{00000000-0005-0000-0000-0000800D0000}"/>
    <cellStyle name="_Book1_revenue break up_IFSL_ISL_conso_December_08_09 2" xfId="3457" xr:uid="{00000000-0005-0000-0000-0000810D0000}"/>
    <cellStyle name="_Book1_revenue break up_IFSL_ISL_conso_December_08_09_ISL__3CD_FY2010-11" xfId="3458" xr:uid="{00000000-0005-0000-0000-0000820D0000}"/>
    <cellStyle name="_Book1_revenue break up_IFSL_ISL_conso_December_08_09_Results" xfId="3459" xr:uid="{00000000-0005-0000-0000-0000830D0000}"/>
    <cellStyle name="_Book1_revenue break up_IFSL_ISL_conso_December_08_09_Results 2" xfId="3460" xr:uid="{00000000-0005-0000-0000-0000840D0000}"/>
    <cellStyle name="_Book1_revenue break up_IFSL_ISL_conso_December_08_09_Xl0000012" xfId="3461" xr:uid="{00000000-0005-0000-0000-0000850D0000}"/>
    <cellStyle name="_Book1_revenue break up_IFSL_ISL_conso_December_08_09_Xl0000012 2" xfId="3462" xr:uid="{00000000-0005-0000-0000-0000860D0000}"/>
    <cellStyle name="_Book1_revenue break up_IFSL_ISL_conso_December_09_10" xfId="3463" xr:uid="{00000000-0005-0000-0000-0000870D0000}"/>
    <cellStyle name="_Book1_revenue break up_IFSL_ISL_conso_December_09_10 2" xfId="3464" xr:uid="{00000000-0005-0000-0000-0000880D0000}"/>
    <cellStyle name="_Book1_revenue break up_IFSL_ISL_conso_December_09_10_ISL__3CD_FY2010-11" xfId="3465" xr:uid="{00000000-0005-0000-0000-0000890D0000}"/>
    <cellStyle name="_Book1_revenue break up_IFSL_ISL_conso_December_10_11" xfId="3466" xr:uid="{00000000-0005-0000-0000-00008A0D0000}"/>
    <cellStyle name="_Book1_revenue break up_IFSL_ISL_conso_December_10_11 2" xfId="3467" xr:uid="{00000000-0005-0000-0000-00008B0D0000}"/>
    <cellStyle name="_Book1_revenue break up_IFSL_ISL_conso_February_09_10" xfId="3468" xr:uid="{00000000-0005-0000-0000-00008C0D0000}"/>
    <cellStyle name="_Book1_revenue break up_IFSL_ISL_conso_February_09_10 2" xfId="3469" xr:uid="{00000000-0005-0000-0000-00008D0D0000}"/>
    <cellStyle name="_Book1_revenue break up_IFSL_ISL_conso_January_09_10" xfId="3470" xr:uid="{00000000-0005-0000-0000-00008E0D0000}"/>
    <cellStyle name="_Book1_revenue break up_IFSL_ISL_conso_January_09_10 2" xfId="3471" xr:uid="{00000000-0005-0000-0000-00008F0D0000}"/>
    <cellStyle name="_Book1_revenue break up_IFSL_ISL_conso_July_08_09" xfId="3472" xr:uid="{00000000-0005-0000-0000-0000900D0000}"/>
    <cellStyle name="_Book1_revenue break up_IFSL_ISL_conso_July_08_09 2" xfId="3473" xr:uid="{00000000-0005-0000-0000-0000910D0000}"/>
    <cellStyle name="_Book1_revenue break up_IFSL_ISL_conso_July_08_09_ISL__3CD_FY2010-11" xfId="3474" xr:uid="{00000000-0005-0000-0000-0000920D0000}"/>
    <cellStyle name="_Book1_revenue break up_IFSL_ISL_conso_July_08_09_Results" xfId="3475" xr:uid="{00000000-0005-0000-0000-0000930D0000}"/>
    <cellStyle name="_Book1_revenue break up_IFSL_ISL_conso_July_08_09_Results 2" xfId="3476" xr:uid="{00000000-0005-0000-0000-0000940D0000}"/>
    <cellStyle name="_Book1_revenue break up_IFSL_ISL_conso_July_08_09_Xl0000012" xfId="3477" xr:uid="{00000000-0005-0000-0000-0000950D0000}"/>
    <cellStyle name="_Book1_revenue break up_IFSL_ISL_conso_July_08_09_Xl0000012 2" xfId="3478" xr:uid="{00000000-0005-0000-0000-0000960D0000}"/>
    <cellStyle name="_Book1_revenue break up_IFSL_ISL_conso_July_09_10" xfId="3479" xr:uid="{00000000-0005-0000-0000-0000970D0000}"/>
    <cellStyle name="_Book1_revenue break up_IFSL_ISL_conso_July_09_10 2" xfId="3480" xr:uid="{00000000-0005-0000-0000-0000980D0000}"/>
    <cellStyle name="_Book1_revenue break up_IFSL_ISL_conso_July_09_10_ISL__3CD_FY2010-11" xfId="3481" xr:uid="{00000000-0005-0000-0000-0000990D0000}"/>
    <cellStyle name="_Book1_revenue break up_IFSL_ISL_conso_July_10_11" xfId="3482" xr:uid="{00000000-0005-0000-0000-00009A0D0000}"/>
    <cellStyle name="_Book1_revenue break up_IFSL_ISL_conso_July_10_11 2" xfId="3483" xr:uid="{00000000-0005-0000-0000-00009B0D0000}"/>
    <cellStyle name="_Book1_revenue break up_IFSL_ISL_conso_June_09_10" xfId="3484" xr:uid="{00000000-0005-0000-0000-00009C0D0000}"/>
    <cellStyle name="_Book1_revenue break up_IFSL_ISL_conso_June_09_10 2" xfId="3485" xr:uid="{00000000-0005-0000-0000-00009D0D0000}"/>
    <cellStyle name="_Book1_revenue break up_IFSL_ISL_conso_June_09_10_ISL__3CD_FY2010-11" xfId="3486" xr:uid="{00000000-0005-0000-0000-00009E0D0000}"/>
    <cellStyle name="_Book1_revenue break up_IFSL_ISL_conso_June_10_11" xfId="3487" xr:uid="{00000000-0005-0000-0000-00009F0D0000}"/>
    <cellStyle name="_Book1_revenue break up_IFSL_ISL_conso_June_10_11 2" xfId="3488" xr:uid="{00000000-0005-0000-0000-0000A00D0000}"/>
    <cellStyle name="_Book1_revenue break up_IFSL_ISL_conso_March_08_09" xfId="3489" xr:uid="{00000000-0005-0000-0000-0000A10D0000}"/>
    <cellStyle name="_Book1_revenue break up_IFSL_ISL_conso_March_08_09 2" xfId="3490" xr:uid="{00000000-0005-0000-0000-0000A20D0000}"/>
    <cellStyle name="_Book1_revenue break up_IFSL_ISL_conso_March_08_09_ISL__3CD_FY2010-11" xfId="3491" xr:uid="{00000000-0005-0000-0000-0000A30D0000}"/>
    <cellStyle name="_Book1_revenue break up_IFSL_ISL_conso_March_09_10" xfId="3492" xr:uid="{00000000-0005-0000-0000-0000A40D0000}"/>
    <cellStyle name="_Book1_revenue break up_IFSL_ISL_conso_March_09_10 2" xfId="3493" xr:uid="{00000000-0005-0000-0000-0000A50D0000}"/>
    <cellStyle name="_Book1_revenue break up_IFSL_ISL_conso_May_09_10" xfId="3494" xr:uid="{00000000-0005-0000-0000-0000A60D0000}"/>
    <cellStyle name="_Book1_revenue break up_IFSL_ISL_conso_May_09_10 2" xfId="3495" xr:uid="{00000000-0005-0000-0000-0000A70D0000}"/>
    <cellStyle name="_Book1_revenue break up_IFSL_ISL_conso_May_09_10_ISL__3CD_FY2010-11" xfId="3496" xr:uid="{00000000-0005-0000-0000-0000A80D0000}"/>
    <cellStyle name="_Book1_revenue break up_IFSL_ISL_conso_May_10_11" xfId="3497" xr:uid="{00000000-0005-0000-0000-0000A90D0000}"/>
    <cellStyle name="_Book1_revenue break up_IFSL_ISL_conso_May_10_11 2" xfId="3498" xr:uid="{00000000-0005-0000-0000-0000AA0D0000}"/>
    <cellStyle name="_Book1_revenue break up_IFSL_ISL_conso_November_09_10" xfId="3499" xr:uid="{00000000-0005-0000-0000-0000AB0D0000}"/>
    <cellStyle name="_Book1_revenue break up_IFSL_ISL_conso_November_09_10 2" xfId="3500" xr:uid="{00000000-0005-0000-0000-0000AC0D0000}"/>
    <cellStyle name="_Book1_revenue break up_IFSL_ISL_conso_November_09_10_ISL__3CD_FY2010-11" xfId="3501" xr:uid="{00000000-0005-0000-0000-0000AD0D0000}"/>
    <cellStyle name="_Book1_revenue break up_IFSL_ISL_conso_November_10_11" xfId="3502" xr:uid="{00000000-0005-0000-0000-0000AE0D0000}"/>
    <cellStyle name="_Book1_revenue break up_IFSL_ISL_conso_November_10_11 2" xfId="3503" xr:uid="{00000000-0005-0000-0000-0000AF0D0000}"/>
    <cellStyle name="_Book1_revenue break up_IFSL_ISL_conso_October_09_10" xfId="3504" xr:uid="{00000000-0005-0000-0000-0000B00D0000}"/>
    <cellStyle name="_Book1_revenue break up_IFSL_ISL_conso_October_09_10 2" xfId="3505" xr:uid="{00000000-0005-0000-0000-0000B10D0000}"/>
    <cellStyle name="_Book1_revenue break up_IFSL_ISL_conso_October_09_10_ISL__3CD_FY2010-11" xfId="3506" xr:uid="{00000000-0005-0000-0000-0000B20D0000}"/>
    <cellStyle name="_Book1_revenue break up_IFSL_ISL_conso_October_10_11" xfId="3507" xr:uid="{00000000-0005-0000-0000-0000B30D0000}"/>
    <cellStyle name="_Book1_revenue break up_IFSL_ISL_conso_October_10_11 2" xfId="3508" xr:uid="{00000000-0005-0000-0000-0000B40D0000}"/>
    <cellStyle name="_Book1_revenue break up_IFSL_ISL_conso_September_08_09" xfId="3509" xr:uid="{00000000-0005-0000-0000-0000B50D0000}"/>
    <cellStyle name="_Book1_revenue break up_IFSL_ISL_conso_September_08_09 2" xfId="3510" xr:uid="{00000000-0005-0000-0000-0000B60D0000}"/>
    <cellStyle name="_Book1_revenue break up_IFSL_ISL_conso_September_08_09_ISL__3CD_FY2010-11" xfId="3511" xr:uid="{00000000-0005-0000-0000-0000B70D0000}"/>
    <cellStyle name="_Book1_revenue break up_IFSL_ISL_conso_September_08_09_Results" xfId="3512" xr:uid="{00000000-0005-0000-0000-0000B80D0000}"/>
    <cellStyle name="_Book1_revenue break up_IFSL_ISL_conso_September_08_09_Results 2" xfId="3513" xr:uid="{00000000-0005-0000-0000-0000B90D0000}"/>
    <cellStyle name="_Book1_revenue break up_IFSL_ISL_conso_September_08_09_Xl0000012" xfId="3514" xr:uid="{00000000-0005-0000-0000-0000BA0D0000}"/>
    <cellStyle name="_Book1_revenue break up_IFSL_ISL_conso_September_08_09_Xl0000012 2" xfId="3515" xr:uid="{00000000-0005-0000-0000-0000BB0D0000}"/>
    <cellStyle name="_Book1_revenue break up_IFSL_ISL_conso_September_09_10" xfId="3516" xr:uid="{00000000-0005-0000-0000-0000BC0D0000}"/>
    <cellStyle name="_Book1_revenue break up_IFSL_ISL_conso_September_09_10 2" xfId="3517" xr:uid="{00000000-0005-0000-0000-0000BD0D0000}"/>
    <cellStyle name="_Book1_revenue break up_IFSL_ISL_conso_September_09_10_ISL__3CD_FY2010-11" xfId="3518" xr:uid="{00000000-0005-0000-0000-0000BE0D0000}"/>
    <cellStyle name="_Book1_revenue break up_IFSL_ISL_conso_September_10_11" xfId="3519" xr:uid="{00000000-0005-0000-0000-0000BF0D0000}"/>
    <cellStyle name="_Book1_revenue break up_IFSL_ISL_conso_September_10_11 2" xfId="3520" xr:uid="{00000000-0005-0000-0000-0000C00D0000}"/>
    <cellStyle name="_Book1_revenue break up_IFSL_ISL_June_10" xfId="3521" xr:uid="{00000000-0005-0000-0000-0000C10D0000}"/>
    <cellStyle name="_Book1_revenue break up_IFSL_ISL_June_10 2" xfId="3522" xr:uid="{00000000-0005-0000-0000-0000C20D0000}"/>
    <cellStyle name="_Book1_revenue break up_IFSL_ISL_MAR_2008_09" xfId="3523" xr:uid="{00000000-0005-0000-0000-0000C30D0000}"/>
    <cellStyle name="_Book1_revenue break up_IFSL_ISL_March_08_09.final_11.12.2009" xfId="3524" xr:uid="{00000000-0005-0000-0000-0000C40D0000}"/>
    <cellStyle name="_Book1_revenue break up_IFSL_ISL_March_08_09.final_11.12.2009_ISL__3CD_FY2010-11" xfId="3525" xr:uid="{00000000-0005-0000-0000-0000C50D0000}"/>
    <cellStyle name="_Book1_revenue break up_IFSL_ISL_Provisions_30.09.2010" xfId="3526" xr:uid="{00000000-0005-0000-0000-0000C60D0000}"/>
    <cellStyle name="_Book1_revenue break up_IFSL_ITCL_BS working _New format_31.03 V7" xfId="3527" xr:uid="{00000000-0005-0000-0000-0000C70D0000}"/>
    <cellStyle name="_Book1_revenue break up_IFSL_ITCL-New format_31.03 V6" xfId="3528" xr:uid="{00000000-0005-0000-0000-0000C80D0000}"/>
    <cellStyle name="_Book1_revenue break up_IFSL_ITR6_2009_10_ICPL1" xfId="3529" xr:uid="{00000000-0005-0000-0000-0000C90D0000}"/>
    <cellStyle name="_Book1_revenue break up_IFSL_ITR6_2009_10_ICPL1_ISL__3CD_FY2010-11" xfId="3530" xr:uid="{00000000-0005-0000-0000-0000CA0D0000}"/>
    <cellStyle name="_Book1_revenue break up_IFSL_ITR6_2009_10_ISL_Vivek" xfId="3531" xr:uid="{00000000-0005-0000-0000-0000CB0D0000}"/>
    <cellStyle name="_Book1_revenue break up_IFSL_ITR6_2009_10_ISL_Vivek_ISL__3CD_FY2010-11" xfId="3532" xr:uid="{00000000-0005-0000-0000-0000CC0D0000}"/>
    <cellStyle name="_Book1_revenue break up_IFSL_loan" xfId="3533" xr:uid="{00000000-0005-0000-0000-0000CD0D0000}"/>
    <cellStyle name="_Book1_revenue break up_IFSL_loan_ISL__3CD_FY2010-11" xfId="3534" xr:uid="{00000000-0005-0000-0000-0000CE0D0000}"/>
    <cellStyle name="_Book1_revenue break up_IFSL_Provision" xfId="3535" xr:uid="{00000000-0005-0000-0000-0000CF0D0000}"/>
    <cellStyle name="_Book1_revenue break up_IFSL_Provision for Exp - FY 0809" xfId="3536" xr:uid="{00000000-0005-0000-0000-0000D00D0000}"/>
    <cellStyle name="_Book1_revenue break up_IFSL_Provision for Exp - FY 0809_ISL__3CD_FY2010-11" xfId="3537" xr:uid="{00000000-0005-0000-0000-0000D10D0000}"/>
    <cellStyle name="_Book1_revenue break up_IFSL_Provision March 09 (1)" xfId="3538" xr:uid="{00000000-0005-0000-0000-0000D20D0000}"/>
    <cellStyle name="_Book1_revenue break up_IFSL_provisions q3" xfId="3539" xr:uid="{00000000-0005-0000-0000-0000D30D0000}"/>
    <cellStyle name="_Book1_revenue break up_IFSL_Result" xfId="3540" xr:uid="{00000000-0005-0000-0000-0000D40D0000}"/>
    <cellStyle name="_Book1_revenue break up_IFSL_Result 2" xfId="3541" xr:uid="{00000000-0005-0000-0000-0000D50D0000}"/>
    <cellStyle name="_Book1_revenue break up_IFSL_Results" xfId="3542" xr:uid="{00000000-0005-0000-0000-0000D60D0000}"/>
    <cellStyle name="_Book1_revenue break up_IFSL_Results 2" xfId="3543" xr:uid="{00000000-0005-0000-0000-0000D70D0000}"/>
    <cellStyle name="_Book1_revenue break up_IFSL_Standalone Financials - March 31, 2010 - Printable" xfId="3544" xr:uid="{00000000-0005-0000-0000-0000D80D0000}"/>
    <cellStyle name="_Book1_revenue break up_IFSL_Standalone Financials - March 31, 2010 - Printable_ISL__3CD_FY2010-11" xfId="3545" xr:uid="{00000000-0005-0000-0000-0000D90D0000}"/>
    <cellStyle name="_Book1_revenue break up_IFSL_Xl0000012" xfId="3546" xr:uid="{00000000-0005-0000-0000-0000DA0D0000}"/>
    <cellStyle name="_Book1_revenue break up_IFSL_Xl0000012 2" xfId="3547" xr:uid="{00000000-0005-0000-0000-0000DB0D0000}"/>
    <cellStyle name="_Book1_revenue break up_IFSL_Xl0000013" xfId="3548" xr:uid="{00000000-0005-0000-0000-0000DC0D0000}"/>
    <cellStyle name="_Book1_Salary Details - Feb 08" xfId="3549" xr:uid="{00000000-0005-0000-0000-0000DD0D0000}"/>
    <cellStyle name="_Book1_Salary Details - Feb 08 2" xfId="3550" xr:uid="{00000000-0005-0000-0000-0000DE0D0000}"/>
    <cellStyle name="_Book1_SCH" xfId="3551" xr:uid="{00000000-0005-0000-0000-0000DF0D0000}"/>
    <cellStyle name="_Book1_SCH_Tax Audit Report  ICSL F.Y.09-10" xfId="3552" xr:uid="{00000000-0005-0000-0000-0000E00D0000}"/>
    <cellStyle name="_Book1_Sept 07" xfId="3553" xr:uid="{00000000-0005-0000-0000-0000E10D0000}"/>
    <cellStyle name="_Book1_Sept 07 2" xfId="3554" xr:uid="{00000000-0005-0000-0000-0000E20D0000}"/>
    <cellStyle name="_Book1_SHHEET 4" xfId="3555" xr:uid="{00000000-0005-0000-0000-0000E30D0000}"/>
    <cellStyle name="_Book1_SHHEET 4_Advance Tax Summary" xfId="3556" xr:uid="{00000000-0005-0000-0000-0000E40D0000}"/>
    <cellStyle name="_Book1_SHHEET 4_Advance Tax Summary 2" xfId="3557" xr:uid="{00000000-0005-0000-0000-0000E50D0000}"/>
    <cellStyle name="_Book1_SHHEET 4_IBREL Adv Tax Q2 08" xfId="3558" xr:uid="{00000000-0005-0000-0000-0000E60D0000}"/>
    <cellStyle name="_Book1_SHHEET 4_IEL_3210_ 2007-2008" xfId="3559" xr:uid="{00000000-0005-0000-0000-0000E70D0000}"/>
    <cellStyle name="_Book1_SHHEET 4_IEL_3210_ 2007-2008_260508" xfId="3560" xr:uid="{00000000-0005-0000-0000-0000E80D0000}"/>
    <cellStyle name="_Book1_SHHEET 4_ISL Group - Advance Tax working for 3rd Instalment" xfId="3561" xr:uid="{00000000-0005-0000-0000-0000E90D0000}"/>
    <cellStyle name="_Book1_SHHEET 4_Power Group - Advance Tax working for 3rd Installment" xfId="3562" xr:uid="{00000000-0005-0000-0000-0000EA0D0000}"/>
    <cellStyle name="_Book1_SHHEET 4_Xl0000013" xfId="3563" xr:uid="{00000000-0005-0000-0000-0000EB0D0000}"/>
    <cellStyle name="_Book1_Sophia Dep Chart" xfId="3564" xr:uid="{00000000-0005-0000-0000-0000EC0D0000}"/>
    <cellStyle name="_Book1_TAR WORKING" xfId="3565" xr:uid="{00000000-0005-0000-0000-0000ED0D0000}"/>
    <cellStyle name="_Book1_Tax Audit Report  F.Y.08-09" xfId="3566" xr:uid="{00000000-0005-0000-0000-0000EE0D0000}"/>
    <cellStyle name="_Book1_Tax Audit Report  F.Y.09-10" xfId="3567" xr:uid="{00000000-0005-0000-0000-0000EF0D0000}"/>
    <cellStyle name="_Book1_Tax Audit Report  ICSL F.Y.09-10" xfId="3568" xr:uid="{00000000-0005-0000-0000-0000F00D0000}"/>
    <cellStyle name="_Book1_Tax audit requirements DSTSL" xfId="3569" xr:uid="{00000000-0005-0000-0000-0000F10D0000}"/>
    <cellStyle name="_Book1_TB Sept" xfId="3570" xr:uid="{00000000-0005-0000-0000-0000F20D0000}"/>
    <cellStyle name="_Book1_TB Sept_Tax Audit Report  ICSL F.Y.09-10" xfId="3571" xr:uid="{00000000-0005-0000-0000-0000F30D0000}"/>
    <cellStyle name="_Book1_TEL_3416_2007-08" xfId="3572" xr:uid="{00000000-0005-0000-0000-0000F40D0000}"/>
    <cellStyle name="_Book1_TEL_3416_2007-08 2" xfId="3573" xr:uid="{00000000-0005-0000-0000-0000F50D0000}"/>
    <cellStyle name="_Book1_TEL_3416_2007-08 3" xfId="3574" xr:uid="{00000000-0005-0000-0000-0000F60D0000}"/>
    <cellStyle name="_Book1_TEL_3416_2007-08 4" xfId="3575" xr:uid="{00000000-0005-0000-0000-0000F70D0000}"/>
    <cellStyle name="_Book1_TEL_3416_2007-08 5" xfId="3576" xr:uid="{00000000-0005-0000-0000-0000F80D0000}"/>
    <cellStyle name="_Book1_TEL_3416_2007-08_detail" xfId="3577" xr:uid="{00000000-0005-0000-0000-0000F90D0000}"/>
    <cellStyle name="_Book1_TEL_3416_2007-08_detail (2)" xfId="3578" xr:uid="{00000000-0005-0000-0000-0000FA0D0000}"/>
    <cellStyle name="_Book1_TEL_3416_2007-08_detail (2) 2" xfId="3579" xr:uid="{00000000-0005-0000-0000-0000FB0D0000}"/>
    <cellStyle name="_Book1_TEL_3416_2007-08_detail to be added in june,2008" xfId="3580" xr:uid="{00000000-0005-0000-0000-0000FC0D0000}"/>
    <cellStyle name="_Book1_TEL_3416_2007-08_detail to be added in june,2008 2" xfId="3581" xr:uid="{00000000-0005-0000-0000-0000FD0D0000}"/>
    <cellStyle name="_Book1_TEL_3416_2007-08_IEL_3210_ 2007-2008" xfId="3582" xr:uid="{00000000-0005-0000-0000-0000FE0D0000}"/>
    <cellStyle name="_Book1_TEL_3416_2007-08_IEL_3210_ 2007-2008 2" xfId="3583" xr:uid="{00000000-0005-0000-0000-0000FF0D0000}"/>
    <cellStyle name="_Book1_TEL_3416_2007-08_IEL_3210_ 2007-2008_260508" xfId="3584" xr:uid="{00000000-0005-0000-0000-0000000E0000}"/>
    <cellStyle name="_Book1_TEL_3416_2007-08_IEL_3210_ 2007-2008_260508 2" xfId="3585" xr:uid="{00000000-0005-0000-0000-0000010E0000}"/>
    <cellStyle name="_Book1_Trial Balance - Daily 30.11.07" xfId="3586" xr:uid="{00000000-0005-0000-0000-0000020E0000}"/>
    <cellStyle name="_Book1_Trial Balance - Daily 30.11.07 2" xfId="3587" xr:uid="{00000000-0005-0000-0000-0000030E0000}"/>
    <cellStyle name="_Book1_Trial Balance - Daily 30.11.07 3" xfId="3588" xr:uid="{00000000-0005-0000-0000-0000040E0000}"/>
    <cellStyle name="_Book1_Trial Balance - Daily 30.11.07 4" xfId="3589" xr:uid="{00000000-0005-0000-0000-0000050E0000}"/>
    <cellStyle name="_Book1_Trial Balance - Daily 30.11.07 5" xfId="3590" xr:uid="{00000000-0005-0000-0000-0000060E0000}"/>
    <cellStyle name="_Book1_Trial Balance - Daily 30.11.07_detail" xfId="3591" xr:uid="{00000000-0005-0000-0000-0000070E0000}"/>
    <cellStyle name="_Book1_Trial Balance - Daily 30.11.07_detail (2)" xfId="3592" xr:uid="{00000000-0005-0000-0000-0000080E0000}"/>
    <cellStyle name="_Book1_Trial Balance - Daily 30.11.07_detail (2) 2" xfId="3593" xr:uid="{00000000-0005-0000-0000-0000090E0000}"/>
    <cellStyle name="_Book1_Trial Balance - Daily 30.11.07_IBREL Adv Tax Q2 08" xfId="3594" xr:uid="{00000000-0005-0000-0000-00000A0E0000}"/>
    <cellStyle name="_Book1_Trial Balance - Daily 30.11.07_IBREL Adv Tax Q2 08 2" xfId="3595" xr:uid="{00000000-0005-0000-0000-00000B0E0000}"/>
    <cellStyle name="_Book1_Trial Balance - Daily 30.11.07_IEL_3210_ 2007-2008" xfId="3596" xr:uid="{00000000-0005-0000-0000-00000C0E0000}"/>
    <cellStyle name="_Book1_Trial Balance - Daily 30.11.07_IEL_3210_ 2007-2008 2" xfId="3597" xr:uid="{00000000-0005-0000-0000-00000D0E0000}"/>
    <cellStyle name="_Book1_Trial Balance - Daily 30.11.07_IEL_3210_ 2007-2008_260508" xfId="3598" xr:uid="{00000000-0005-0000-0000-00000E0E0000}"/>
    <cellStyle name="_Book1_Trial Balance - Daily 30.11.07_IEL_3210_ 2007-2008_260508 2" xfId="3599" xr:uid="{00000000-0005-0000-0000-00000F0E0000}"/>
    <cellStyle name="_Book1_Trial Balance - Daily 30.11.07_IIDL_3227_2008_09" xfId="3600" xr:uid="{00000000-0005-0000-0000-0000100E0000}"/>
    <cellStyle name="_Book1_Trial Balance - Daily 30.11.07_IIDL_3227_2008_09 2" xfId="3601" xr:uid="{00000000-0005-0000-0000-0000110E0000}"/>
    <cellStyle name="_Book1_UTV calculations final" xfId="3602" xr:uid="{00000000-0005-0000-0000-0000120E0000}"/>
    <cellStyle name="_Book1_UTV calculations final 2" xfId="3603" xr:uid="{00000000-0005-0000-0000-0000130E0000}"/>
    <cellStyle name="_Book1_utv final" xfId="3604" xr:uid="{00000000-0005-0000-0000-0000140E0000}"/>
    <cellStyle name="_Book1_utv final 2" xfId="3605" xr:uid="{00000000-0005-0000-0000-0000150E0000}"/>
    <cellStyle name="_Book1_weekly balance sheet" xfId="3606" xr:uid="{00000000-0005-0000-0000-0000160E0000}"/>
    <cellStyle name="_Book1_weekly balance sheet 10" xfId="3607" xr:uid="{00000000-0005-0000-0000-0000170E0000}"/>
    <cellStyle name="_Book1_weekly balance sheet 10 2" xfId="3608" xr:uid="{00000000-0005-0000-0000-0000180E0000}"/>
    <cellStyle name="_Book1_weekly balance sheet 11" xfId="3609" xr:uid="{00000000-0005-0000-0000-0000190E0000}"/>
    <cellStyle name="_Book1_weekly balance sheet 11 2" xfId="3610" xr:uid="{00000000-0005-0000-0000-00001A0E0000}"/>
    <cellStyle name="_Book1_weekly balance sheet 12" xfId="3611" xr:uid="{00000000-0005-0000-0000-00001B0E0000}"/>
    <cellStyle name="_Book1_weekly balance sheet 12 2" xfId="3612" xr:uid="{00000000-0005-0000-0000-00001C0E0000}"/>
    <cellStyle name="_Book1_weekly balance sheet 13" xfId="3613" xr:uid="{00000000-0005-0000-0000-00001D0E0000}"/>
    <cellStyle name="_Book1_weekly balance sheet 13 2" xfId="3614" xr:uid="{00000000-0005-0000-0000-00001E0E0000}"/>
    <cellStyle name="_Book1_weekly balance sheet 14" xfId="3615" xr:uid="{00000000-0005-0000-0000-00001F0E0000}"/>
    <cellStyle name="_Book1_weekly balance sheet 14 2" xfId="3616" xr:uid="{00000000-0005-0000-0000-0000200E0000}"/>
    <cellStyle name="_Book1_weekly balance sheet 15" xfId="3617" xr:uid="{00000000-0005-0000-0000-0000210E0000}"/>
    <cellStyle name="_Book1_weekly balance sheet 15 2" xfId="3618" xr:uid="{00000000-0005-0000-0000-0000220E0000}"/>
    <cellStyle name="_Book1_weekly balance sheet 16" xfId="3619" xr:uid="{00000000-0005-0000-0000-0000230E0000}"/>
    <cellStyle name="_Book1_weekly balance sheet 16 2" xfId="3620" xr:uid="{00000000-0005-0000-0000-0000240E0000}"/>
    <cellStyle name="_Book1_weekly balance sheet 17" xfId="3621" xr:uid="{00000000-0005-0000-0000-0000250E0000}"/>
    <cellStyle name="_Book1_weekly balance sheet 17 2" xfId="3622" xr:uid="{00000000-0005-0000-0000-0000260E0000}"/>
    <cellStyle name="_Book1_weekly balance sheet 18" xfId="3623" xr:uid="{00000000-0005-0000-0000-0000270E0000}"/>
    <cellStyle name="_Book1_weekly balance sheet 18 2" xfId="3624" xr:uid="{00000000-0005-0000-0000-0000280E0000}"/>
    <cellStyle name="_Book1_weekly balance sheet 19" xfId="3625" xr:uid="{00000000-0005-0000-0000-0000290E0000}"/>
    <cellStyle name="_Book1_weekly balance sheet 19 2" xfId="3626" xr:uid="{00000000-0005-0000-0000-00002A0E0000}"/>
    <cellStyle name="_Book1_weekly balance sheet 2" xfId="3627" xr:uid="{00000000-0005-0000-0000-00002B0E0000}"/>
    <cellStyle name="_Book1_weekly balance sheet 2 2" xfId="3628" xr:uid="{00000000-0005-0000-0000-00002C0E0000}"/>
    <cellStyle name="_Book1_weekly balance sheet 20" xfId="3629" xr:uid="{00000000-0005-0000-0000-00002D0E0000}"/>
    <cellStyle name="_Book1_weekly balance sheet 21" xfId="3630" xr:uid="{00000000-0005-0000-0000-00002E0E0000}"/>
    <cellStyle name="_Book1_weekly balance sheet 22" xfId="3631" xr:uid="{00000000-0005-0000-0000-00002F0E0000}"/>
    <cellStyle name="_Book1_weekly balance sheet 23" xfId="3632" xr:uid="{00000000-0005-0000-0000-0000300E0000}"/>
    <cellStyle name="_Book1_weekly balance sheet 3" xfId="3633" xr:uid="{00000000-0005-0000-0000-0000310E0000}"/>
    <cellStyle name="_Book1_weekly balance sheet 3 2" xfId="3634" xr:uid="{00000000-0005-0000-0000-0000320E0000}"/>
    <cellStyle name="_Book1_weekly balance sheet 4" xfId="3635" xr:uid="{00000000-0005-0000-0000-0000330E0000}"/>
    <cellStyle name="_Book1_weekly balance sheet 4 2" xfId="3636" xr:uid="{00000000-0005-0000-0000-0000340E0000}"/>
    <cellStyle name="_Book1_weekly balance sheet 5" xfId="3637" xr:uid="{00000000-0005-0000-0000-0000350E0000}"/>
    <cellStyle name="_Book1_weekly balance sheet 5 2" xfId="3638" xr:uid="{00000000-0005-0000-0000-0000360E0000}"/>
    <cellStyle name="_Book1_weekly balance sheet 6" xfId="3639" xr:uid="{00000000-0005-0000-0000-0000370E0000}"/>
    <cellStyle name="_Book1_weekly balance sheet 6 2" xfId="3640" xr:uid="{00000000-0005-0000-0000-0000380E0000}"/>
    <cellStyle name="_Book1_weekly balance sheet 7" xfId="3641" xr:uid="{00000000-0005-0000-0000-0000390E0000}"/>
    <cellStyle name="_Book1_weekly balance sheet 7 2" xfId="3642" xr:uid="{00000000-0005-0000-0000-00003A0E0000}"/>
    <cellStyle name="_Book1_weekly balance sheet 8" xfId="3643" xr:uid="{00000000-0005-0000-0000-00003B0E0000}"/>
    <cellStyle name="_Book1_weekly balance sheet 8 2" xfId="3644" xr:uid="{00000000-0005-0000-0000-00003C0E0000}"/>
    <cellStyle name="_Book1_weekly balance sheet 9" xfId="3645" xr:uid="{00000000-0005-0000-0000-00003D0E0000}"/>
    <cellStyle name="_Book1_weekly balance sheet 9 2" xfId="3646" xr:uid="{00000000-0005-0000-0000-00003E0E0000}"/>
    <cellStyle name="_Book1_weekly balance sheet_Book1" xfId="3647" xr:uid="{00000000-0005-0000-0000-00003F0E0000}"/>
    <cellStyle name="_Book1_weekly balance sheet_Book1 (2)" xfId="3648" xr:uid="{00000000-0005-0000-0000-0000400E0000}"/>
    <cellStyle name="_Book1_weekly balance sheet_Book1 (2) 2" xfId="3649" xr:uid="{00000000-0005-0000-0000-0000410E0000}"/>
    <cellStyle name="_Book1_weekly balance sheet_Book1 10" xfId="3650" xr:uid="{00000000-0005-0000-0000-0000420E0000}"/>
    <cellStyle name="_Book1_weekly balance sheet_Book1 11" xfId="3651" xr:uid="{00000000-0005-0000-0000-0000430E0000}"/>
    <cellStyle name="_Book1_weekly balance sheet_Book1 2" xfId="3652" xr:uid="{00000000-0005-0000-0000-0000440E0000}"/>
    <cellStyle name="_Book1_weekly balance sheet_Book1 3" xfId="3653" xr:uid="{00000000-0005-0000-0000-0000450E0000}"/>
    <cellStyle name="_Book1_weekly balance sheet_Book1 4" xfId="3654" xr:uid="{00000000-0005-0000-0000-0000460E0000}"/>
    <cellStyle name="_Book1_weekly balance sheet_Book1 5" xfId="3655" xr:uid="{00000000-0005-0000-0000-0000470E0000}"/>
    <cellStyle name="_Book1_weekly balance sheet_Book1 6" xfId="3656" xr:uid="{00000000-0005-0000-0000-0000480E0000}"/>
    <cellStyle name="_Book1_weekly balance sheet_Book1 7" xfId="3657" xr:uid="{00000000-0005-0000-0000-0000490E0000}"/>
    <cellStyle name="_Book1_weekly balance sheet_Book1 8" xfId="3658" xr:uid="{00000000-0005-0000-0000-00004A0E0000}"/>
    <cellStyle name="_Book1_weekly balance sheet_Book1 9" xfId="3659" xr:uid="{00000000-0005-0000-0000-00004B0E0000}"/>
    <cellStyle name="_Book1_weekly balance sheet_Book1_ISL__3CD_FY2010-11" xfId="3660" xr:uid="{00000000-0005-0000-0000-00004C0E0000}"/>
    <cellStyle name="_Book1_weekly balance sheet_Book2" xfId="3661" xr:uid="{00000000-0005-0000-0000-00004D0E0000}"/>
    <cellStyle name="_Book1_weekly balance sheet_Book2 2" xfId="3662" xr:uid="{00000000-0005-0000-0000-00004E0E0000}"/>
    <cellStyle name="_Book1_weekly balance sheet_Book2_ISL__3CD_FY2010-11" xfId="3663" xr:uid="{00000000-0005-0000-0000-00004F0E0000}"/>
    <cellStyle name="_Book1_weekly balance sheet_Book4" xfId="3664" xr:uid="{00000000-0005-0000-0000-0000500E0000}"/>
    <cellStyle name="_Book1_weekly balance sheet_Book4 2" xfId="3665" xr:uid="{00000000-0005-0000-0000-0000510E0000}"/>
    <cellStyle name="_Book1_weekly balance sheet_Book4_ISL__3CD_FY2010-11" xfId="3666" xr:uid="{00000000-0005-0000-0000-0000520E0000}"/>
    <cellStyle name="_Book1_weekly balance sheet_IBFSL_Conso_June_09_10 " xfId="3667" xr:uid="{00000000-0005-0000-0000-0000530E0000}"/>
    <cellStyle name="_Book1_weekly balance sheet_IBFSL_Conso_June_09_10  2" xfId="3668" xr:uid="{00000000-0005-0000-0000-0000540E0000}"/>
    <cellStyle name="_Book1_weekly balance sheet_IBFSL_Conso_June_09_10 _Book1 (2)" xfId="3669" xr:uid="{00000000-0005-0000-0000-0000550E0000}"/>
    <cellStyle name="_Book1_weekly balance sheet_IBFSL_Conso_June_09_10 _Book1 (2) 2" xfId="3670" xr:uid="{00000000-0005-0000-0000-0000560E0000}"/>
    <cellStyle name="_Book1_weekly balance sheet_IBFSL_Conso_June_09_10 _ISL__3CD_FY2010-11" xfId="3671" xr:uid="{00000000-0005-0000-0000-0000570E0000}"/>
    <cellStyle name="_Book1_weekly balance sheet_IBFSL_Conso_June_09_10 _ISL_Conso_09_10_Other working" xfId="3672" xr:uid="{00000000-0005-0000-0000-0000580E0000}"/>
    <cellStyle name="_Book1_weekly balance sheet_IBFSL_Conso_June_09_10 _ISL_Conso_09_10_Other working 2" xfId="3673" xr:uid="{00000000-0005-0000-0000-0000590E0000}"/>
    <cellStyle name="_Book1_weekly balance sheet_IBFSL_Conso_June_09_10 _ISL_Conso_09_10_Other working_Xl0000012" xfId="3674" xr:uid="{00000000-0005-0000-0000-00005A0E0000}"/>
    <cellStyle name="_Book1_weekly balance sheet_IBFSL_Conso_June_09_10 _ISL_Conso_09_10_Other working_Xl0000012 2" xfId="3675" xr:uid="{00000000-0005-0000-0000-00005B0E0000}"/>
    <cellStyle name="_Book1_weekly balance sheet_IBFSL_Conso_June_09_10 _ISL_conso_August_10_11" xfId="3676" xr:uid="{00000000-0005-0000-0000-00005C0E0000}"/>
    <cellStyle name="_Book1_weekly balance sheet_IBFSL_Conso_June_09_10 _ISL_conso_August_10_11 2" xfId="3677" xr:uid="{00000000-0005-0000-0000-00005D0E0000}"/>
    <cellStyle name="_Book1_weekly balance sheet_IBFSL_Conso_June_09_10 _ISL_conso_December_10_11" xfId="3678" xr:uid="{00000000-0005-0000-0000-00005E0E0000}"/>
    <cellStyle name="_Book1_weekly balance sheet_IBFSL_Conso_June_09_10 _ISL_conso_December_10_11 2" xfId="3679" xr:uid="{00000000-0005-0000-0000-00005F0E0000}"/>
    <cellStyle name="_Book1_weekly balance sheet_IBFSL_Conso_June_09_10 _ISL_conso_July_10_11" xfId="3680" xr:uid="{00000000-0005-0000-0000-0000600E0000}"/>
    <cellStyle name="_Book1_weekly balance sheet_IBFSL_Conso_June_09_10 _ISL_conso_July_10_11 2" xfId="3681" xr:uid="{00000000-0005-0000-0000-0000610E0000}"/>
    <cellStyle name="_Book1_weekly balance sheet_IBFSL_Conso_June_09_10 _ISL_conso_June_10_11" xfId="3682" xr:uid="{00000000-0005-0000-0000-0000620E0000}"/>
    <cellStyle name="_Book1_weekly balance sheet_IBFSL_Conso_June_09_10 _ISL_conso_June_10_11 2" xfId="3683" xr:uid="{00000000-0005-0000-0000-0000630E0000}"/>
    <cellStyle name="_Book1_weekly balance sheet_IBFSL_Conso_June_09_10 _ISL_conso_March_09_10" xfId="3684" xr:uid="{00000000-0005-0000-0000-0000640E0000}"/>
    <cellStyle name="_Book1_weekly balance sheet_IBFSL_Conso_June_09_10 _ISL_conso_March_09_10 2" xfId="3685" xr:uid="{00000000-0005-0000-0000-0000650E0000}"/>
    <cellStyle name="_Book1_weekly balance sheet_IBFSL_Conso_June_09_10 _ISL_conso_March_09_10_Xl0000012" xfId="3686" xr:uid="{00000000-0005-0000-0000-0000660E0000}"/>
    <cellStyle name="_Book1_weekly balance sheet_IBFSL_Conso_June_09_10 _ISL_conso_March_09_10_Xl0000012 2" xfId="3687" xr:uid="{00000000-0005-0000-0000-0000670E0000}"/>
    <cellStyle name="_Book1_weekly balance sheet_IBFSL_Conso_June_09_10 _ISL_conso_May_10_11" xfId="3688" xr:uid="{00000000-0005-0000-0000-0000680E0000}"/>
    <cellStyle name="_Book1_weekly balance sheet_IBFSL_Conso_June_09_10 _ISL_conso_May_10_11 2" xfId="3689" xr:uid="{00000000-0005-0000-0000-0000690E0000}"/>
    <cellStyle name="_Book1_weekly balance sheet_IBFSL_Conso_June_09_10 _ISL_conso_November_10_11" xfId="3690" xr:uid="{00000000-0005-0000-0000-00006A0E0000}"/>
    <cellStyle name="_Book1_weekly balance sheet_IBFSL_Conso_June_09_10 _ISL_conso_November_10_11 2" xfId="3691" xr:uid="{00000000-0005-0000-0000-00006B0E0000}"/>
    <cellStyle name="_Book1_weekly balance sheet_IBFSL_Conso_June_09_10 _ISL_conso_October_10_11" xfId="3692" xr:uid="{00000000-0005-0000-0000-00006C0E0000}"/>
    <cellStyle name="_Book1_weekly balance sheet_IBFSL_Conso_June_09_10 _ISL_conso_October_10_11 2" xfId="3693" xr:uid="{00000000-0005-0000-0000-00006D0E0000}"/>
    <cellStyle name="_Book1_weekly balance sheet_IBFSL_Conso_June_09_10 _ISL_conso_September_10_11" xfId="3694" xr:uid="{00000000-0005-0000-0000-00006E0E0000}"/>
    <cellStyle name="_Book1_weekly balance sheet_IBFSL_Conso_June_09_10 _ISL_conso_September_10_11 2" xfId="3695" xr:uid="{00000000-0005-0000-0000-00006F0E0000}"/>
    <cellStyle name="_Book1_weekly balance sheet_IBFSL_Conso_June_09_10 _ISL_June_10" xfId="3696" xr:uid="{00000000-0005-0000-0000-0000700E0000}"/>
    <cellStyle name="_Book1_weekly balance sheet_IBFSL_Conso_June_09_10 _ISL_June_10 2" xfId="3697" xr:uid="{00000000-0005-0000-0000-0000710E0000}"/>
    <cellStyle name="_Book1_weekly balance sheet_IBFSL_Conso_June_09_10 _Results" xfId="3698" xr:uid="{00000000-0005-0000-0000-0000720E0000}"/>
    <cellStyle name="_Book1_weekly balance sheet_IBFSL_Conso_June_09_10 _Results 2" xfId="3699" xr:uid="{00000000-0005-0000-0000-0000730E0000}"/>
    <cellStyle name="_Book1_weekly balance sheet_IBFSL_Conso_June_09_10 _Xl0000012" xfId="3700" xr:uid="{00000000-0005-0000-0000-0000740E0000}"/>
    <cellStyle name="_Book1_weekly balance sheet_IBFSL_Conso_June_09_10 _Xl0000012 2" xfId="3701" xr:uid="{00000000-0005-0000-0000-0000750E0000}"/>
    <cellStyle name="_Book1_weekly balance sheet_ISL June 09" xfId="3702" xr:uid="{00000000-0005-0000-0000-0000760E0000}"/>
    <cellStyle name="_Book1_weekly balance sheet_ISL June 09 2" xfId="3703" xr:uid="{00000000-0005-0000-0000-0000770E0000}"/>
    <cellStyle name="_Book1_weekly balance sheet_ISL June 09_ISL__3CD_FY2010-11" xfId="3704" xr:uid="{00000000-0005-0000-0000-0000780E0000}"/>
    <cellStyle name="_Book1_weekly balance sheet_ISL Rev" xfId="3705" xr:uid="{00000000-0005-0000-0000-0000790E0000}"/>
    <cellStyle name="_Book1_weekly balance sheet_ISL Rev 2" xfId="3706" xr:uid="{00000000-0005-0000-0000-00007A0E0000}"/>
    <cellStyle name="_Book1_weekly balance sheet_ISL Rev_ISL__3CD_FY2010-11" xfId="3707" xr:uid="{00000000-0005-0000-0000-00007B0E0000}"/>
    <cellStyle name="_Book1_weekly balance sheet_ISL Rev_Results" xfId="3708" xr:uid="{00000000-0005-0000-0000-00007C0E0000}"/>
    <cellStyle name="_Book1_weekly balance sheet_ISL Rev_Results 2" xfId="3709" xr:uid="{00000000-0005-0000-0000-00007D0E0000}"/>
    <cellStyle name="_Book1_weekly balance sheet_ISL Rev_Xl0000012" xfId="3710" xr:uid="{00000000-0005-0000-0000-00007E0E0000}"/>
    <cellStyle name="_Book1_weekly balance sheet_ISL Rev_Xl0000012 2" xfId="3711" xr:uid="{00000000-0005-0000-0000-00007F0E0000}"/>
    <cellStyle name="_Book1_weekly balance sheet_ISL__3CD_FY2010-11" xfId="3712" xr:uid="{00000000-0005-0000-0000-0000800E0000}"/>
    <cellStyle name="_Book1_weekly balance sheet_ISL_BS_03.03.2009" xfId="3713" xr:uid="{00000000-0005-0000-0000-0000810E0000}"/>
    <cellStyle name="_Book1_weekly balance sheet_ISL_BS_03.03.2009 2" xfId="3714" xr:uid="{00000000-0005-0000-0000-0000820E0000}"/>
    <cellStyle name="_Book1_weekly balance sheet_ISL_BS_03.03.2009_ISL__3CD_FY2010-11" xfId="3715" xr:uid="{00000000-0005-0000-0000-0000830E0000}"/>
    <cellStyle name="_Book1_weekly balance sheet_ISL_BS_08.03.2009" xfId="3716" xr:uid="{00000000-0005-0000-0000-0000840E0000}"/>
    <cellStyle name="_Book1_weekly balance sheet_ISL_BS_08.03.2009 2" xfId="3717" xr:uid="{00000000-0005-0000-0000-0000850E0000}"/>
    <cellStyle name="_Book1_weekly balance sheet_ISL_BS_08.03.2009_ISL__3CD_FY2010-11" xfId="3718" xr:uid="{00000000-0005-0000-0000-0000860E0000}"/>
    <cellStyle name="_Book1_weekly balance sheet_ISL_BS_15.03.2009" xfId="3719" xr:uid="{00000000-0005-0000-0000-0000870E0000}"/>
    <cellStyle name="_Book1_weekly balance sheet_ISL_BS_15.03.2009 2" xfId="3720" xr:uid="{00000000-0005-0000-0000-0000880E0000}"/>
    <cellStyle name="_Book1_weekly balance sheet_ISL_BS_15.03.2009_ISL__3CD_FY2010-11" xfId="3721" xr:uid="{00000000-0005-0000-0000-0000890E0000}"/>
    <cellStyle name="_Book1_weekly balance sheet_ISL_BS_2008-09- First Cut" xfId="3722" xr:uid="{00000000-0005-0000-0000-00008A0E0000}"/>
    <cellStyle name="_Book1_weekly balance sheet_ISL_BS_2008-09- First Cut 2" xfId="3723" xr:uid="{00000000-0005-0000-0000-00008B0E0000}"/>
    <cellStyle name="_Book1_weekly balance sheet_ISL_BS_2008-09- First Cut_ISL__3CD_FY2010-11" xfId="3724" xr:uid="{00000000-0005-0000-0000-00008C0E0000}"/>
    <cellStyle name="_Book1_weekly balance sheet_ISL_BS_21.09.2009" xfId="3725" xr:uid="{00000000-0005-0000-0000-00008D0E0000}"/>
    <cellStyle name="_Book1_weekly balance sheet_ISL_BS_21.09.2009 2" xfId="3726" xr:uid="{00000000-0005-0000-0000-00008E0E0000}"/>
    <cellStyle name="_Book1_weekly balance sheet_ISL_BS_23.02.2009" xfId="3727" xr:uid="{00000000-0005-0000-0000-00008F0E0000}"/>
    <cellStyle name="_Book1_weekly balance sheet_ISL_BS_23.02.2009 2" xfId="3728" xr:uid="{00000000-0005-0000-0000-0000900E0000}"/>
    <cellStyle name="_Book1_weekly balance sheet_ISL_BS_23.02.2009_ISL__3CD_FY2010-11" xfId="3729" xr:uid="{00000000-0005-0000-0000-0000910E0000}"/>
    <cellStyle name="_Book1_weekly balance sheet_ISL_BS_24.02.2009" xfId="3730" xr:uid="{00000000-0005-0000-0000-0000920E0000}"/>
    <cellStyle name="_Book1_weekly balance sheet_ISL_BS_24.02.2009 2" xfId="3731" xr:uid="{00000000-0005-0000-0000-0000930E0000}"/>
    <cellStyle name="_Book1_weekly balance sheet_ISL_BS_24.02.2009_ISL__3CD_FY2010-11" xfId="3732" xr:uid="{00000000-0005-0000-0000-0000940E0000}"/>
    <cellStyle name="_Book1_weekly balance sheet_ISL_BS_Aug 09" xfId="3733" xr:uid="{00000000-0005-0000-0000-0000950E0000}"/>
    <cellStyle name="_Book1_weekly balance sheet_ISL_BS_Aug 09 2" xfId="3734" xr:uid="{00000000-0005-0000-0000-0000960E0000}"/>
    <cellStyle name="_Book1_weekly balance sheet_ISL_BS_Aug 09.z" xfId="3735" xr:uid="{00000000-0005-0000-0000-0000970E0000}"/>
    <cellStyle name="_Book1_weekly balance sheet_ISL_BS_Aug 09.z 2" xfId="3736" xr:uid="{00000000-0005-0000-0000-0000980E0000}"/>
    <cellStyle name="_Book1_weekly balance sheet_ISL_BS_Aug 09.z_ISL__3CD_FY2010-11" xfId="3737" xr:uid="{00000000-0005-0000-0000-0000990E0000}"/>
    <cellStyle name="_Book1_weekly balance sheet_ISL_BS_Aug 09_ISL__3CD_FY2010-11" xfId="3738" xr:uid="{00000000-0005-0000-0000-00009A0E0000}"/>
    <cellStyle name="_Book1_weekly balance sheet_ISL_Conso_09_10_Other working" xfId="3739" xr:uid="{00000000-0005-0000-0000-00009B0E0000}"/>
    <cellStyle name="_Book1_weekly balance sheet_ISL_Conso_09_10_Other working 2" xfId="3740" xr:uid="{00000000-0005-0000-0000-00009C0E0000}"/>
    <cellStyle name="_Book1_weekly balance sheet_ISL_conso_August_09_10" xfId="3741" xr:uid="{00000000-0005-0000-0000-00009D0E0000}"/>
    <cellStyle name="_Book1_weekly balance sheet_ISL_conso_August_09_10 2" xfId="3742" xr:uid="{00000000-0005-0000-0000-00009E0E0000}"/>
    <cellStyle name="_Book1_weekly balance sheet_ISL_conso_August_09_10_ISL__3CD_FY2010-11" xfId="3743" xr:uid="{00000000-0005-0000-0000-00009F0E0000}"/>
    <cellStyle name="_Book1_weekly balance sheet_ISL_conso_August_10_11" xfId="3744" xr:uid="{00000000-0005-0000-0000-0000A00E0000}"/>
    <cellStyle name="_Book1_weekly balance sheet_ISL_conso_August_10_11 2" xfId="3745" xr:uid="{00000000-0005-0000-0000-0000A10E0000}"/>
    <cellStyle name="_Book1_weekly balance sheet_ISL_conso_December_08_09" xfId="3746" xr:uid="{00000000-0005-0000-0000-0000A20E0000}"/>
    <cellStyle name="_Book1_weekly balance sheet_ISL_conso_December_08_09 2" xfId="3747" xr:uid="{00000000-0005-0000-0000-0000A30E0000}"/>
    <cellStyle name="_Book1_weekly balance sheet_ISL_conso_December_08_09_ISL__3CD_FY2010-11" xfId="3748" xr:uid="{00000000-0005-0000-0000-0000A40E0000}"/>
    <cellStyle name="_Book1_weekly balance sheet_ISL_conso_December_08_09_Results" xfId="3749" xr:uid="{00000000-0005-0000-0000-0000A50E0000}"/>
    <cellStyle name="_Book1_weekly balance sheet_ISL_conso_December_08_09_Results 2" xfId="3750" xr:uid="{00000000-0005-0000-0000-0000A60E0000}"/>
    <cellStyle name="_Book1_weekly balance sheet_ISL_conso_December_08_09_Xl0000012" xfId="3751" xr:uid="{00000000-0005-0000-0000-0000A70E0000}"/>
    <cellStyle name="_Book1_weekly balance sheet_ISL_conso_December_08_09_Xl0000012 2" xfId="3752" xr:uid="{00000000-0005-0000-0000-0000A80E0000}"/>
    <cellStyle name="_Book1_weekly balance sheet_ISL_conso_December_09_10" xfId="3753" xr:uid="{00000000-0005-0000-0000-0000A90E0000}"/>
    <cellStyle name="_Book1_weekly balance sheet_ISL_conso_December_09_10 2" xfId="3754" xr:uid="{00000000-0005-0000-0000-0000AA0E0000}"/>
    <cellStyle name="_Book1_weekly balance sheet_ISL_conso_December_09_10_ISL__3CD_FY2010-11" xfId="3755" xr:uid="{00000000-0005-0000-0000-0000AB0E0000}"/>
    <cellStyle name="_Book1_weekly balance sheet_ISL_conso_December_10_11" xfId="3756" xr:uid="{00000000-0005-0000-0000-0000AC0E0000}"/>
    <cellStyle name="_Book1_weekly balance sheet_ISL_conso_December_10_11 2" xfId="3757" xr:uid="{00000000-0005-0000-0000-0000AD0E0000}"/>
    <cellStyle name="_Book1_weekly balance sheet_ISL_conso_February_09_10" xfId="3758" xr:uid="{00000000-0005-0000-0000-0000AE0E0000}"/>
    <cellStyle name="_Book1_weekly balance sheet_ISL_conso_February_09_10 2" xfId="3759" xr:uid="{00000000-0005-0000-0000-0000AF0E0000}"/>
    <cellStyle name="_Book1_weekly balance sheet_ISL_conso_January_09_10" xfId="3760" xr:uid="{00000000-0005-0000-0000-0000B00E0000}"/>
    <cellStyle name="_Book1_weekly balance sheet_ISL_conso_January_09_10 2" xfId="3761" xr:uid="{00000000-0005-0000-0000-0000B10E0000}"/>
    <cellStyle name="_Book1_weekly balance sheet_ISL_conso_July_09_10" xfId="3762" xr:uid="{00000000-0005-0000-0000-0000B20E0000}"/>
    <cellStyle name="_Book1_weekly balance sheet_ISL_conso_July_09_10 2" xfId="3763" xr:uid="{00000000-0005-0000-0000-0000B30E0000}"/>
    <cellStyle name="_Book1_weekly balance sheet_ISL_conso_July_09_10_ISL__3CD_FY2010-11" xfId="3764" xr:uid="{00000000-0005-0000-0000-0000B40E0000}"/>
    <cellStyle name="_Book1_weekly balance sheet_ISL_conso_July_10_11" xfId="3765" xr:uid="{00000000-0005-0000-0000-0000B50E0000}"/>
    <cellStyle name="_Book1_weekly balance sheet_ISL_conso_July_10_11 2" xfId="3766" xr:uid="{00000000-0005-0000-0000-0000B60E0000}"/>
    <cellStyle name="_Book1_weekly balance sheet_ISL_conso_June_09_10" xfId="3767" xr:uid="{00000000-0005-0000-0000-0000B70E0000}"/>
    <cellStyle name="_Book1_weekly balance sheet_ISL_conso_June_09_10 2" xfId="3768" xr:uid="{00000000-0005-0000-0000-0000B80E0000}"/>
    <cellStyle name="_Book1_weekly balance sheet_ISL_conso_June_09_10_ISL__3CD_FY2010-11" xfId="3769" xr:uid="{00000000-0005-0000-0000-0000B90E0000}"/>
    <cellStyle name="_Book1_weekly balance sheet_ISL_conso_June_10_11" xfId="3770" xr:uid="{00000000-0005-0000-0000-0000BA0E0000}"/>
    <cellStyle name="_Book1_weekly balance sheet_ISL_conso_June_10_11 2" xfId="3771" xr:uid="{00000000-0005-0000-0000-0000BB0E0000}"/>
    <cellStyle name="_Book1_weekly balance sheet_ISL_conso_March_08_09" xfId="3772" xr:uid="{00000000-0005-0000-0000-0000BC0E0000}"/>
    <cellStyle name="_Book1_weekly balance sheet_ISL_conso_March_08_09 2" xfId="3773" xr:uid="{00000000-0005-0000-0000-0000BD0E0000}"/>
    <cellStyle name="_Book1_weekly balance sheet_ISL_conso_March_08_09_ISL__3CD_FY2010-11" xfId="3774" xr:uid="{00000000-0005-0000-0000-0000BE0E0000}"/>
    <cellStyle name="_Book1_weekly balance sheet_ISL_conso_March_09_10" xfId="3775" xr:uid="{00000000-0005-0000-0000-0000BF0E0000}"/>
    <cellStyle name="_Book1_weekly balance sheet_ISL_conso_March_09_10 2" xfId="3776" xr:uid="{00000000-0005-0000-0000-0000C00E0000}"/>
    <cellStyle name="_Book1_weekly balance sheet_ISL_conso_May_09_10" xfId="3777" xr:uid="{00000000-0005-0000-0000-0000C10E0000}"/>
    <cellStyle name="_Book1_weekly balance sheet_ISL_conso_May_09_10 2" xfId="3778" xr:uid="{00000000-0005-0000-0000-0000C20E0000}"/>
    <cellStyle name="_Book1_weekly balance sheet_ISL_conso_May_09_10_ISL__3CD_FY2010-11" xfId="3779" xr:uid="{00000000-0005-0000-0000-0000C30E0000}"/>
    <cellStyle name="_Book1_weekly balance sheet_ISL_conso_May_10_11" xfId="3780" xr:uid="{00000000-0005-0000-0000-0000C40E0000}"/>
    <cellStyle name="_Book1_weekly balance sheet_ISL_conso_May_10_11 2" xfId="3781" xr:uid="{00000000-0005-0000-0000-0000C50E0000}"/>
    <cellStyle name="_Book1_weekly balance sheet_ISL_conso_November_09_10" xfId="3782" xr:uid="{00000000-0005-0000-0000-0000C60E0000}"/>
    <cellStyle name="_Book1_weekly balance sheet_ISL_conso_November_09_10 2" xfId="3783" xr:uid="{00000000-0005-0000-0000-0000C70E0000}"/>
    <cellStyle name="_Book1_weekly balance sheet_ISL_conso_November_09_10_ISL__3CD_FY2010-11" xfId="3784" xr:uid="{00000000-0005-0000-0000-0000C80E0000}"/>
    <cellStyle name="_Book1_weekly balance sheet_ISL_conso_November_10_11" xfId="3785" xr:uid="{00000000-0005-0000-0000-0000C90E0000}"/>
    <cellStyle name="_Book1_weekly balance sheet_ISL_conso_November_10_11 2" xfId="3786" xr:uid="{00000000-0005-0000-0000-0000CA0E0000}"/>
    <cellStyle name="_Book1_weekly balance sheet_ISL_conso_October_09_10" xfId="3787" xr:uid="{00000000-0005-0000-0000-0000CB0E0000}"/>
    <cellStyle name="_Book1_weekly balance sheet_ISL_conso_October_09_10 2" xfId="3788" xr:uid="{00000000-0005-0000-0000-0000CC0E0000}"/>
    <cellStyle name="_Book1_weekly balance sheet_ISL_conso_October_09_10_ISL__3CD_FY2010-11" xfId="3789" xr:uid="{00000000-0005-0000-0000-0000CD0E0000}"/>
    <cellStyle name="_Book1_weekly balance sheet_ISL_conso_October_10_11" xfId="3790" xr:uid="{00000000-0005-0000-0000-0000CE0E0000}"/>
    <cellStyle name="_Book1_weekly balance sheet_ISL_conso_October_10_11 2" xfId="3791" xr:uid="{00000000-0005-0000-0000-0000CF0E0000}"/>
    <cellStyle name="_Book1_weekly balance sheet_ISL_conso_September_08_09" xfId="3792" xr:uid="{00000000-0005-0000-0000-0000D00E0000}"/>
    <cellStyle name="_Book1_weekly balance sheet_ISL_conso_September_08_09 2" xfId="3793" xr:uid="{00000000-0005-0000-0000-0000D10E0000}"/>
    <cellStyle name="_Book1_weekly balance sheet_ISL_conso_September_08_09_ISL__3CD_FY2010-11" xfId="3794" xr:uid="{00000000-0005-0000-0000-0000D20E0000}"/>
    <cellStyle name="_Book1_weekly balance sheet_ISL_conso_September_08_09_Results" xfId="3795" xr:uid="{00000000-0005-0000-0000-0000D30E0000}"/>
    <cellStyle name="_Book1_weekly balance sheet_ISL_conso_September_08_09_Results 2" xfId="3796" xr:uid="{00000000-0005-0000-0000-0000D40E0000}"/>
    <cellStyle name="_Book1_weekly balance sheet_ISL_conso_September_08_09_Xl0000012" xfId="3797" xr:uid="{00000000-0005-0000-0000-0000D50E0000}"/>
    <cellStyle name="_Book1_weekly balance sheet_ISL_conso_September_08_09_Xl0000012 2" xfId="3798" xr:uid="{00000000-0005-0000-0000-0000D60E0000}"/>
    <cellStyle name="_Book1_weekly balance sheet_ISL_conso_September_09_10" xfId="3799" xr:uid="{00000000-0005-0000-0000-0000D70E0000}"/>
    <cellStyle name="_Book1_weekly balance sheet_ISL_conso_September_09_10 2" xfId="3800" xr:uid="{00000000-0005-0000-0000-0000D80E0000}"/>
    <cellStyle name="_Book1_weekly balance sheet_ISL_conso_September_09_10_ISL__3CD_FY2010-11" xfId="3801" xr:uid="{00000000-0005-0000-0000-0000D90E0000}"/>
    <cellStyle name="_Book1_weekly balance sheet_ISL_conso_September_10_11" xfId="3802" xr:uid="{00000000-0005-0000-0000-0000DA0E0000}"/>
    <cellStyle name="_Book1_weekly balance sheet_ISL_conso_September_10_11 2" xfId="3803" xr:uid="{00000000-0005-0000-0000-0000DB0E0000}"/>
    <cellStyle name="_Book1_weekly balance sheet_ISL_June_10" xfId="3804" xr:uid="{00000000-0005-0000-0000-0000DC0E0000}"/>
    <cellStyle name="_Book1_weekly balance sheet_ISL_June_10 2" xfId="3805" xr:uid="{00000000-0005-0000-0000-0000DD0E0000}"/>
    <cellStyle name="_Book1_weekly balance sheet_ITR6_2009_10_ISL_Vivek" xfId="3806" xr:uid="{00000000-0005-0000-0000-0000DE0E0000}"/>
    <cellStyle name="_Book1_weekly balance sheet_ITR6_2009_10_ISL_Vivek_ISL__3CD_FY2010-11" xfId="3807" xr:uid="{00000000-0005-0000-0000-0000DF0E0000}"/>
    <cellStyle name="_Book1_weekly balance sheet_Provision for Exp - FY 0809" xfId="3808" xr:uid="{00000000-0005-0000-0000-0000E00E0000}"/>
    <cellStyle name="_Book1_weekly balance sheet_Provision for Exp - FY 0809_ISL__3CD_FY2010-11" xfId="3809" xr:uid="{00000000-0005-0000-0000-0000E10E0000}"/>
    <cellStyle name="_Book1_weekly balance sheet_Result" xfId="3810" xr:uid="{00000000-0005-0000-0000-0000E20E0000}"/>
    <cellStyle name="_Book1_weekly balance sheet_Result 2" xfId="3811" xr:uid="{00000000-0005-0000-0000-0000E30E0000}"/>
    <cellStyle name="_Book1_weekly balance sheet_Results" xfId="3812" xr:uid="{00000000-0005-0000-0000-0000E40E0000}"/>
    <cellStyle name="_Book1_weekly balance sheet_Results 2" xfId="3813" xr:uid="{00000000-0005-0000-0000-0000E50E0000}"/>
    <cellStyle name="_Book1_weekly balance sheet_Xl0000012" xfId="3814" xr:uid="{00000000-0005-0000-0000-0000E60E0000}"/>
    <cellStyle name="_Book1_weekly balance sheet_Xl0000012 2" xfId="3815" xr:uid="{00000000-0005-0000-0000-0000E70E0000}"/>
    <cellStyle name="_Book1_weekly balance sheet_Xl0000013" xfId="3816" xr:uid="{00000000-0005-0000-0000-0000E80E0000}"/>
    <cellStyle name="_Book1_Working File_ITCL" xfId="3817" xr:uid="{00000000-0005-0000-0000-0000E90E0000}"/>
    <cellStyle name="_Book1_Working IFCPL" xfId="3818" xr:uid="{00000000-0005-0000-0000-0000EA0E0000}"/>
    <cellStyle name="_Book2" xfId="3819" xr:uid="{00000000-0005-0000-0000-0000EB0E0000}"/>
    <cellStyle name="_Book2 2" xfId="3820" xr:uid="{00000000-0005-0000-0000-0000EC0E0000}"/>
    <cellStyle name="_Book2 3" xfId="3821" xr:uid="{00000000-0005-0000-0000-0000ED0E0000}"/>
    <cellStyle name="_Book2_269SS &amp; T IIAPL 09-10" xfId="3822" xr:uid="{00000000-0005-0000-0000-0000EE0E0000}"/>
    <cellStyle name="_Book2_Abstract-2007-08" xfId="3823" xr:uid="{00000000-0005-0000-0000-0000EF0E0000}"/>
    <cellStyle name="_Book2_Advance Tax Summary" xfId="3824" xr:uid="{00000000-0005-0000-0000-0000F00E0000}"/>
    <cellStyle name="_Book2_Advance Tax Summary 2" xfId="3825" xr:uid="{00000000-0005-0000-0000-0000F10E0000}"/>
    <cellStyle name="_Book2_Asset Management Company Limited" xfId="3826" xr:uid="{00000000-0005-0000-0000-0000F20E0000}"/>
    <cellStyle name="_Book2_attachment-2  Power Companies" xfId="3827" xr:uid="{00000000-0005-0000-0000-0000F30E0000}"/>
    <cellStyle name="_Book2_Aug consl backup-land adv &amp; Ext ICD" xfId="3828" xr:uid="{00000000-0005-0000-0000-0000F40E0000}"/>
    <cellStyle name="_Book2_Book1" xfId="3829" xr:uid="{00000000-0005-0000-0000-0000F50E0000}"/>
    <cellStyle name="_Book2_Book1_EPS working" xfId="3830" xr:uid="{00000000-0005-0000-0000-0000F60E0000}"/>
    <cellStyle name="_Book2_Book1_EPS working 2" xfId="3831" xr:uid="{00000000-0005-0000-0000-0000F70E0000}"/>
    <cellStyle name="_Book2_Book1_IREL_3000_08-09" xfId="3832" xr:uid="{00000000-0005-0000-0000-0000F80E0000}"/>
    <cellStyle name="_Book2_Book1_IREL_3000_08-09 2" xfId="3833" xr:uid="{00000000-0005-0000-0000-0000F90E0000}"/>
    <cellStyle name="_Book2_Book1_IREL_3000_2009-29_July2009  Final Shahi" xfId="3834" xr:uid="{00000000-0005-0000-0000-0000FA0E0000}"/>
    <cellStyle name="_Book2_Book1_IREL_3000_2009-29_July2009  Final Shahi 2" xfId="3835" xr:uid="{00000000-0005-0000-0000-0000FB0E0000}"/>
    <cellStyle name="_Book2_Book2" xfId="3836" xr:uid="{00000000-0005-0000-0000-0000FC0E0000}"/>
    <cellStyle name="_Book2_BS" xfId="3837" xr:uid="{00000000-0005-0000-0000-0000FD0E0000}"/>
    <cellStyle name="_Book2_BS _IB Asset Management _3103_ver5" xfId="3838" xr:uid="{00000000-0005-0000-0000-0000FE0E0000}"/>
    <cellStyle name="_Book2_BS _IB Asset Management _3103_ver5_IAMCL BS working -New format_31.03 V5" xfId="3839" xr:uid="{00000000-0005-0000-0000-0000FF0E0000}"/>
    <cellStyle name="_Book2_BS_Tax Audit Report  ICSL F.Y.09-10" xfId="3840" xr:uid="{00000000-0005-0000-0000-0000000F0000}"/>
    <cellStyle name="_Book2_ChlorisProperties_3351_Dec.08" xfId="3841" xr:uid="{00000000-0005-0000-0000-0000010F0000}"/>
    <cellStyle name="_Book2_Consol Balance Sheet_Sophia_Dec08_Ibrel_1.3" xfId="3842" xr:uid="{00000000-0005-0000-0000-0000020F0000}"/>
    <cellStyle name="_Book2_Consol_sophia _Ipsl_Nov" xfId="3843" xr:uid="{00000000-0005-0000-0000-0000030F0000}"/>
    <cellStyle name="_Book2_CRAR - dec- 10v-12" xfId="3844" xr:uid="{00000000-0005-0000-0000-0000040F0000}"/>
    <cellStyle name="_Book2_CRAR - dec- 10v-12 2" xfId="3845" xr:uid="{00000000-0005-0000-0000-0000050F0000}"/>
    <cellStyle name="_Book2_detail" xfId="3846" xr:uid="{00000000-0005-0000-0000-0000060F0000}"/>
    <cellStyle name="_Book2_detail (2)" xfId="3847" xr:uid="{00000000-0005-0000-0000-0000070F0000}"/>
    <cellStyle name="_Book2_Detail of IPO funding" xfId="3848" xr:uid="{00000000-0005-0000-0000-0000080F0000}"/>
    <cellStyle name="_Book2_detail to be added in june,2008" xfId="3849" xr:uid="{00000000-0005-0000-0000-0000090F0000}"/>
    <cellStyle name="_Book2_Details" xfId="3850" xr:uid="{00000000-0005-0000-0000-00000A0F0000}"/>
    <cellStyle name="_Book2_Details of Assets &amp; Liablilities" xfId="3851" xr:uid="{00000000-0005-0000-0000-00000B0F0000}"/>
    <cellStyle name="_Book2_EPL_3346_2007-08" xfId="3852" xr:uid="{00000000-0005-0000-0000-00000C0F0000}"/>
    <cellStyle name="_Book2_EPL_3346_2007-08(C)" xfId="3853" xr:uid="{00000000-0005-0000-0000-00000D0F0000}"/>
    <cellStyle name="_Book2_Final Consol Balance Sheet_Sophia_Dec08_27.01.08" xfId="3854" xr:uid="{00000000-0005-0000-0000-00000E0F0000}"/>
    <cellStyle name="_Book2_Fixed Assets consolidated" xfId="3855" xr:uid="{00000000-0005-0000-0000-00000F0F0000}"/>
    <cellStyle name="_Book2_Fornax" xfId="3856" xr:uid="{00000000-0005-0000-0000-0000100F0000}"/>
    <cellStyle name="_Book2_IAMCL BS working -New format_31.03 V5" xfId="3857" xr:uid="{00000000-0005-0000-0000-0000110F0000}"/>
    <cellStyle name="_Book2_IB Asset Management _2910" xfId="3858" xr:uid="{00000000-0005-0000-0000-0000120F0000}"/>
    <cellStyle name="_Book2_IB Asset Management _2910_IB Collection Agency_3103 V3" xfId="3859" xr:uid="{00000000-0005-0000-0000-0000130F0000}"/>
    <cellStyle name="_Book2_IB Asset Management _2910_IB Collection Agency_3103 V3_ICAL-New Format_31.03 V4" xfId="3860" xr:uid="{00000000-0005-0000-0000-0000140F0000}"/>
    <cellStyle name="_Book2_IB Asset Management _2910_ICAL-BS Final Working _New format" xfId="3861" xr:uid="{00000000-0005-0000-0000-0000150F0000}"/>
    <cellStyle name="_Book2_IB Asset Management _3103_ver5" xfId="3862" xr:uid="{00000000-0005-0000-0000-0000160F0000}"/>
    <cellStyle name="_Book2_IB Asset Management_3103 V2" xfId="3863" xr:uid="{00000000-0005-0000-0000-0000170F0000}"/>
    <cellStyle name="_Book2_IB Asset Management_3103 V4" xfId="3864" xr:uid="{00000000-0005-0000-0000-0000180F0000}"/>
    <cellStyle name="_Book2_IB Asset Management_3103 V5" xfId="3865" xr:uid="{00000000-0005-0000-0000-0000190F0000}"/>
    <cellStyle name="_Book2_IB Collection Agency_3103 V3" xfId="3866" xr:uid="{00000000-0005-0000-0000-00001A0F0000}"/>
    <cellStyle name="_Book2_IB Collection Agency_3103 V3_ICAL-New Format_31.03 V4" xfId="3867" xr:uid="{00000000-0005-0000-0000-00001B0F0000}"/>
    <cellStyle name="_Book2_IB Infrastructure Credit" xfId="3868" xr:uid="{00000000-0005-0000-0000-00001C0F0000}"/>
    <cellStyle name="_Book2_IB Infrastructure Credit-3103_V6" xfId="3869" xr:uid="{00000000-0005-0000-0000-00001D0F0000}"/>
    <cellStyle name="_Book2_IB Infrastructure Credit-3103_V7" xfId="3870" xr:uid="{00000000-0005-0000-0000-00001E0F0000}"/>
    <cellStyle name="_Book2_IB Life Insurance_3103 V4" xfId="3871" xr:uid="{00000000-0005-0000-0000-00001F0F0000}"/>
    <cellStyle name="_Book2_IB Trustee Company_3103 V4" xfId="3872" xr:uid="{00000000-0005-0000-0000-0000200F0000}"/>
    <cellStyle name="_Book2_IBFSL 30 Sep 11 V8" xfId="3873" xr:uid="{00000000-0005-0000-0000-0000210F0000}"/>
    <cellStyle name="_Book2_IBFSL_Conso_March_10_11" xfId="3874" xr:uid="{00000000-0005-0000-0000-0000220F0000}"/>
    <cellStyle name="_Book2_IBL_09.12.2009" xfId="3875" xr:uid="{00000000-0005-0000-0000-0000230F0000}"/>
    <cellStyle name="_Book2_IBLIC_BS  Final working -New_Format_31.03 V5" xfId="3876" xr:uid="{00000000-0005-0000-0000-0000240F0000}"/>
    <cellStyle name="_Book2_Ibulls BS Final woirking -New format_31.03 V5" xfId="3877" xr:uid="{00000000-0005-0000-0000-0000250F0000}"/>
    <cellStyle name="_Book2_IbullsSales_3009V3 (3)" xfId="3878" xr:uid="{00000000-0005-0000-0000-0000260F0000}"/>
    <cellStyle name="_Book2_IbullsSales_3103" xfId="3879" xr:uid="{00000000-0005-0000-0000-0000270F0000}"/>
    <cellStyle name="_Book2_IbullsSales_3103 V2" xfId="3880" xr:uid="{00000000-0005-0000-0000-0000280F0000}"/>
    <cellStyle name="_Book2_IbullsSales_3103 V5" xfId="3881" xr:uid="{00000000-0005-0000-0000-0000290F0000}"/>
    <cellStyle name="_Book2_ICAL-BS Final Working _New format" xfId="3882" xr:uid="{00000000-0005-0000-0000-00002A0F0000}"/>
    <cellStyle name="_Book2_ICD Detail External from IBREL 23Jun'08" xfId="3883" xr:uid="{00000000-0005-0000-0000-00002B0F0000}"/>
    <cellStyle name="_Book2_ICD Detail External from IBREL 23Jun'08 2" xfId="3884" xr:uid="{00000000-0005-0000-0000-00002C0F0000}"/>
    <cellStyle name="_Book2_ICD_Int Working" xfId="3885" xr:uid="{00000000-0005-0000-0000-00002D0F0000}"/>
    <cellStyle name="_Book2_ICD_Int Working_EPS working" xfId="3886" xr:uid="{00000000-0005-0000-0000-00002E0F0000}"/>
    <cellStyle name="_Book2_ICD_Int Working_EPS working 2" xfId="3887" xr:uid="{00000000-0005-0000-0000-00002F0F0000}"/>
    <cellStyle name="_Book2_ICD_Int Working_EPS working_IBREAL_BS PACK-Version.02" xfId="3888" xr:uid="{00000000-0005-0000-0000-0000300F0000}"/>
    <cellStyle name="_Book2_ICD_Int Working_EPS working_IBREAL_BS PACK-Version.02 2" xfId="3889" xr:uid="{00000000-0005-0000-0000-0000310F0000}"/>
    <cellStyle name="_Book2_ICD_Int Working_EPS working_IBREAL_BS PACK-Version.02_IBREAL_BS PACK-Version.03" xfId="3890" xr:uid="{00000000-0005-0000-0000-0000320F0000}"/>
    <cellStyle name="_Book2_ICD_Int Working_EPS working_IBREAL_BS PACK-Version.02_IBREAL_BS PACK-Version.03 2" xfId="3891" xr:uid="{00000000-0005-0000-0000-0000330F0000}"/>
    <cellStyle name="_Book2_ICD_Int Working_EPS working_IBREAL_BS PACK-Version.02_IBREAL_BS PACK-Version.03_IBREAL_BS PACK-Version.07" xfId="3892" xr:uid="{00000000-0005-0000-0000-0000340F0000}"/>
    <cellStyle name="_Book2_ICD_Int Working_EPS working_IBREAL_BS PACK-Version.02_IBREAL_BS PACK-Version.03_IBREAL_BS PACK-Version.07 2" xfId="3893" xr:uid="{00000000-0005-0000-0000-0000350F0000}"/>
    <cellStyle name="_Book2_ICD_Int Working_IREL_3000_08-09" xfId="3894" xr:uid="{00000000-0005-0000-0000-0000360F0000}"/>
    <cellStyle name="_Book2_ICD_Int Working_IREL_3000_08-09 2" xfId="3895" xr:uid="{00000000-0005-0000-0000-0000370F0000}"/>
    <cellStyle name="_Book2_ICD_Int Working_IREL_3000_08-09 stage 3" xfId="3896" xr:uid="{00000000-0005-0000-0000-0000380F0000}"/>
    <cellStyle name="_Book2_ICD_Int Working_IREL_3000_08-09 stage 3_IREL_3000_08-09" xfId="3897" xr:uid="{00000000-0005-0000-0000-0000390F0000}"/>
    <cellStyle name="_Book2_ICD_Int Working_IREL_3000_08-09 stage 3_IREL_3000_08-09 2" xfId="3898" xr:uid="{00000000-0005-0000-0000-00003A0F0000}"/>
    <cellStyle name="_Book2_ICD_Int Working_IREL_3000_08-09_IBREAL_BS PACK-Version.02" xfId="3899" xr:uid="{00000000-0005-0000-0000-00003B0F0000}"/>
    <cellStyle name="_Book2_ICD_Int Working_IREL_3000_08-09_IBREAL_BS PACK-Version.02 2" xfId="3900" xr:uid="{00000000-0005-0000-0000-00003C0F0000}"/>
    <cellStyle name="_Book2_ICD_Int Working_IREL_3000_08-09_IBREAL_BS PACK-Version.02_IBREAL_BS PACK-Version.03" xfId="3901" xr:uid="{00000000-0005-0000-0000-00003D0F0000}"/>
    <cellStyle name="_Book2_ICD_Int Working_IREL_3000_08-09_IBREAL_BS PACK-Version.02_IBREAL_BS PACK-Version.03 2" xfId="3902" xr:uid="{00000000-0005-0000-0000-00003E0F0000}"/>
    <cellStyle name="_Book2_ICD_Int Working_IREL_3000_08-09_IBREAL_BS PACK-Version.02_IBREAL_BS PACK-Version.03_IBREAL_BS PACK-Version.07" xfId="3903" xr:uid="{00000000-0005-0000-0000-00003F0F0000}"/>
    <cellStyle name="_Book2_ICD_Int Working_IREL_3000_08-09_IBREAL_BS PACK-Version.02_IBREAL_BS PACK-Version.03_IBREAL_BS PACK-Version.07 2" xfId="3904" xr:uid="{00000000-0005-0000-0000-0000400F0000}"/>
    <cellStyle name="_Book2_ICD_Int Working_IREL_3000_2009-29_July2009  Final Shahi" xfId="3905" xr:uid="{00000000-0005-0000-0000-0000410F0000}"/>
    <cellStyle name="_Book2_ICD_Int Working_IREL_3000_2009-29_July2009  Final Shahi 2" xfId="3906" xr:uid="{00000000-0005-0000-0000-0000420F0000}"/>
    <cellStyle name="_Book2_ICD_Int Working_IREL_3000_2009-29_July2009  Final Shahi_IBREAL_BS PACK-Version.02" xfId="3907" xr:uid="{00000000-0005-0000-0000-0000430F0000}"/>
    <cellStyle name="_Book2_ICD_Int Working_IREL_3000_2009-29_July2009  Final Shahi_IBREAL_BS PACK-Version.02 2" xfId="3908" xr:uid="{00000000-0005-0000-0000-0000440F0000}"/>
    <cellStyle name="_Book2_ICD_Int Working_IREL_3000_2009-29_July2009  Final Shahi_IBREAL_BS PACK-Version.02_IBREAL_BS PACK-Version.03" xfId="3909" xr:uid="{00000000-0005-0000-0000-0000450F0000}"/>
    <cellStyle name="_Book2_ICD_Int Working_IREL_3000_2009-29_July2009  Final Shahi_IBREAL_BS PACK-Version.02_IBREAL_BS PACK-Version.03 2" xfId="3910" xr:uid="{00000000-0005-0000-0000-0000460F0000}"/>
    <cellStyle name="_Book2_ICD_Int Working_IREL_3000_2009-29_July2009  Final Shahi_IBREAL_BS PACK-Version.02_IBREAL_BS PACK-Version.03_IBREAL_BS PACK-Version.07" xfId="3911" xr:uid="{00000000-0005-0000-0000-0000470F0000}"/>
    <cellStyle name="_Book2_ICD_Int Working_IREL_3000_2009-29_July2009  Final Shahi_IBREAL_BS PACK-Version.02_IBREAL_BS PACK-Version.03_IBREAL_BS PACK-Version.07 2" xfId="3912" xr:uid="{00000000-0005-0000-0000-0000480F0000}"/>
    <cellStyle name="_Book2_ICL_09 12 2009" xfId="3913" xr:uid="{00000000-0005-0000-0000-0000490F0000}"/>
    <cellStyle name="_Book2_ICL_BS_30.06.2009" xfId="3914" xr:uid="{00000000-0005-0000-0000-00004A0F0000}"/>
    <cellStyle name="_Book2_ICPL_ 3CD" xfId="3915" xr:uid="{00000000-0005-0000-0000-00004B0F0000}"/>
    <cellStyle name="_Book2_ICPL_ 3CD 2" xfId="3916" xr:uid="{00000000-0005-0000-0000-00004C0F0000}"/>
    <cellStyle name="_Book2_ICPL_ 3CD_Detail of IPO funding" xfId="3917" xr:uid="{00000000-0005-0000-0000-00004D0F0000}"/>
    <cellStyle name="_Book2_ICPL_ 3CD_IFCPL 31 03 2010 VER6 Final" xfId="3918" xr:uid="{00000000-0005-0000-0000-00004E0F0000}"/>
    <cellStyle name="_Book2_ICPL_ 3CD_ISL_March_08_09.final_11.12.2009" xfId="3919" xr:uid="{00000000-0005-0000-0000-00004F0F0000}"/>
    <cellStyle name="_Book2_ICPL_ 3CD_ISL_March_08_09.final_11.12.2009_ISL__3CD_FY2010-11" xfId="3920" xr:uid="{00000000-0005-0000-0000-0000500F0000}"/>
    <cellStyle name="_Book2_ICPL_BS_31.03.2009" xfId="3921" xr:uid="{00000000-0005-0000-0000-0000510F0000}"/>
    <cellStyle name="_Book2_ICPL_BS_31.03.2009 2" xfId="3922" xr:uid="{00000000-0005-0000-0000-0000520F0000}"/>
    <cellStyle name="_Book2_ICPL_BS_31.03.2009_Detail of IPO funding" xfId="3923" xr:uid="{00000000-0005-0000-0000-0000530F0000}"/>
    <cellStyle name="_Book2_ICPL_BS_31.03.2009_IFCPL 31 03 2010 VER6 Final" xfId="3924" xr:uid="{00000000-0005-0000-0000-0000540F0000}"/>
    <cellStyle name="_Book2_ICPL_BS_31.03.2009_new" xfId="3925" xr:uid="{00000000-0005-0000-0000-0000550F0000}"/>
    <cellStyle name="_Book2_ICPL_BS_31.03.2009_new_ISL__3CD_FY2010-11" xfId="3926" xr:uid="{00000000-0005-0000-0000-0000560F0000}"/>
    <cellStyle name="_Book2_IDSL_31.03.2010" xfId="3927" xr:uid="{00000000-0005-0000-0000-0000570F0000}"/>
    <cellStyle name="_Book2_IEL net worth as on 31st March 2007." xfId="3928" xr:uid="{00000000-0005-0000-0000-0000580F0000}"/>
    <cellStyle name="_Book2_IEL_3210_ 2007-2008" xfId="3929" xr:uid="{00000000-0005-0000-0000-0000590F0000}"/>
    <cellStyle name="_Book2_IEL_3210_ 2007-2008_260508" xfId="3930" xr:uid="{00000000-0005-0000-0000-00005A0F0000}"/>
    <cellStyle name="_Book2_IESL_09.12.2009" xfId="3931" xr:uid="{00000000-0005-0000-0000-00005B0F0000}"/>
    <cellStyle name="_Book2_IFCPL 31 03 2010 VER6 Final" xfId="3932" xr:uid="{00000000-0005-0000-0000-00005C0F0000}"/>
    <cellStyle name="_Book2_IFCPL 31.03.09 ver 6 - RBI Return" xfId="3933" xr:uid="{00000000-0005-0000-0000-00005D0F0000}"/>
    <cellStyle name="_Book2_IFCPL Financials - March 2009" xfId="3934" xr:uid="{00000000-0005-0000-0000-00005E0F0000}"/>
    <cellStyle name="_Book2_IFCPL Financials - March 2009 2" xfId="3935" xr:uid="{00000000-0005-0000-0000-00005F0F0000}"/>
    <cellStyle name="_Book2_IFCPL Financials - March 2009 With Computation" xfId="3936" xr:uid="{00000000-0005-0000-0000-0000600F0000}"/>
    <cellStyle name="_Book2_IFCPL Financials - March 2009 With Computation 2" xfId="3937" xr:uid="{00000000-0005-0000-0000-0000610F0000}"/>
    <cellStyle name="_Book2_IFCPL Financials - March 2009 With Computation_Detail of IPO funding" xfId="3938" xr:uid="{00000000-0005-0000-0000-0000620F0000}"/>
    <cellStyle name="_Book2_IFCPL Financials - March 2009 With Computation_IFCPL 31 03 2010 VER6 Final" xfId="3939" xr:uid="{00000000-0005-0000-0000-0000630F0000}"/>
    <cellStyle name="_Book2_IFCPL Financials - March 2009_FDR working" xfId="3940" xr:uid="{00000000-0005-0000-0000-0000640F0000}"/>
    <cellStyle name="_Book2_IFCPL Financials - March 2009_IFCPL 31 03 2010 VER6 Final" xfId="3941" xr:uid="{00000000-0005-0000-0000-0000650F0000}"/>
    <cellStyle name="_Book2_IHFL_SEP_30_2009 XIII AUDIT- Sch II" xfId="3942" xr:uid="{00000000-0005-0000-0000-0000660F0000}"/>
    <cellStyle name="_Book2_IIAL 31.03.2010 VER2" xfId="3943" xr:uid="{00000000-0005-0000-0000-0000670F0000}"/>
    <cellStyle name="_Book2_IICL_March'11" xfId="3944" xr:uid="{00000000-0005-0000-0000-0000680F0000}"/>
    <cellStyle name="_Book2_IIDL_3227_2007-08" xfId="3945" xr:uid="{00000000-0005-0000-0000-0000690F0000}"/>
    <cellStyle name="_Book2_IIL_3220_2007-08" xfId="3946" xr:uid="{00000000-0005-0000-0000-00006A0F0000}"/>
    <cellStyle name="_Book2_Indiabulls Asset Management Company Limited printable" xfId="3947" xr:uid="{00000000-0005-0000-0000-00006B0F0000}"/>
    <cellStyle name="_Book2_Interest receivable from Divya Shakti" xfId="3948" xr:uid="{00000000-0005-0000-0000-00006C0F0000}"/>
    <cellStyle name="_Book2_IPGL_3355_2007-08" xfId="3949" xr:uid="{00000000-0005-0000-0000-00006D0F0000}"/>
    <cellStyle name="_Book2_Ipsl_Nov_1 1" xfId="3950" xr:uid="{00000000-0005-0000-0000-00006E0F0000}"/>
    <cellStyle name="_Book2_IRECPL_Himanshu Shah Bill" xfId="3951" xr:uid="{00000000-0005-0000-0000-00006F0F0000}"/>
    <cellStyle name="_Book2_IREL(Conso)_2007-08_March_Revised" xfId="3952" xr:uid="{00000000-0005-0000-0000-0000700F0000}"/>
    <cellStyle name="_Book2_IREL(Conso)_2007-08_March_Revised_IREL_3000_08-09" xfId="3953" xr:uid="{00000000-0005-0000-0000-0000710F0000}"/>
    <cellStyle name="_Book2_IREL(Conso)_2007-08_March_Revised_IREL_3000_08-09 2" xfId="3954" xr:uid="{00000000-0005-0000-0000-0000720F0000}"/>
    <cellStyle name="_Book2_IREL(Conso)_2007-08_March_Revised_IREL_3000_08-09 stage 3" xfId="3955" xr:uid="{00000000-0005-0000-0000-0000730F0000}"/>
    <cellStyle name="_Book2_IREL(Conso)_2007-08_March_Revised_IREL_3000_08-09 stage 3_IREL_3000_08-09" xfId="3956" xr:uid="{00000000-0005-0000-0000-0000740F0000}"/>
    <cellStyle name="_Book2_IREL(Conso)_2007-08_March_Revised_IREL_3000_08-09 stage 3_IREL_3000_08-09 2" xfId="3957" xr:uid="{00000000-0005-0000-0000-0000750F0000}"/>
    <cellStyle name="_Book2_IREL(Conso)_2007-08_March_Revised_IREL_3000_08-09_IBREAL_BS PACK-Version.02" xfId="3958" xr:uid="{00000000-0005-0000-0000-0000760F0000}"/>
    <cellStyle name="_Book2_IREL(Conso)_2007-08_March_Revised_IREL_3000_08-09_IBREAL_BS PACK-Version.02 2" xfId="3959" xr:uid="{00000000-0005-0000-0000-0000770F0000}"/>
    <cellStyle name="_Book2_IREL(Conso)_2007-08_March_Revised_IREL_3000_08-09_IBREAL_BS PACK-Version.02_IBREAL_BS PACK-Version.03" xfId="3960" xr:uid="{00000000-0005-0000-0000-0000780F0000}"/>
    <cellStyle name="_Book2_IREL(Conso)_2007-08_March_Revised_IREL_3000_08-09_IBREAL_BS PACK-Version.02_IBREAL_BS PACK-Version.03 2" xfId="3961" xr:uid="{00000000-0005-0000-0000-0000790F0000}"/>
    <cellStyle name="_Book2_IREL(Conso)_2007-08_March_Revised_IREL_3000_08-09_IBREAL_BS PACK-Version.02_IBREAL_BS PACK-Version.03_IBREAL_BS PACK-Version.07" xfId="3962" xr:uid="{00000000-0005-0000-0000-00007A0F0000}"/>
    <cellStyle name="_Book2_IREL(Conso)_2007-08_March_Revised_IREL_3000_08-09_IBREAL_BS PACK-Version.02_IBREAL_BS PACK-Version.03_IBREAL_BS PACK-Version.07 2" xfId="3963" xr:uid="{00000000-0005-0000-0000-00007B0F0000}"/>
    <cellStyle name="_Book2_IREL(Conso)_2007-08_November-1" xfId="3964" xr:uid="{00000000-0005-0000-0000-00007C0F0000}"/>
    <cellStyle name="_Book2_IREL(Conso)_2007-08_November-1 2" xfId="3965" xr:uid="{00000000-0005-0000-0000-00007D0F0000}"/>
    <cellStyle name="_Book2_IREL(Conso)_2007-08_November-1_Abstract-2007-08" xfId="3966" xr:uid="{00000000-0005-0000-0000-00007E0F0000}"/>
    <cellStyle name="_Book2_IREL(Conso)_2007-08_November-1_Aug consl backup-land adv &amp; Ext ICD" xfId="3967" xr:uid="{00000000-0005-0000-0000-00007F0F0000}"/>
    <cellStyle name="_Book2_IREL(Conso)_2007-08_November-1_Fornax" xfId="3968" xr:uid="{00000000-0005-0000-0000-0000800F0000}"/>
    <cellStyle name="_Book2_IREL(Conso)_2007-08_November-1_IREL_3000_08-09" xfId="3969" xr:uid="{00000000-0005-0000-0000-0000810F0000}"/>
    <cellStyle name="_Book2_IREL(Conso)_2007-08_November-1_ISL Group - Advance Tax working for 3rd Instalment" xfId="3970" xr:uid="{00000000-0005-0000-0000-0000820F0000}"/>
    <cellStyle name="_Book2_IREL(Conso)_June_07-08_30-07-08" xfId="3971" xr:uid="{00000000-0005-0000-0000-0000830F0000}"/>
    <cellStyle name="_Book2_IREL(Conso)_June_07-08_30-07-08_IREL_3000_08-09" xfId="3972" xr:uid="{00000000-0005-0000-0000-0000840F0000}"/>
    <cellStyle name="_Book2_IREL(Conso)_June_07-08_30-07-08_IREL_3000_08-09 2" xfId="3973" xr:uid="{00000000-0005-0000-0000-0000850F0000}"/>
    <cellStyle name="_Book2_IREL(Conso)_June_07-08_30-07-08_IREL_3000_08-09 stage 3" xfId="3974" xr:uid="{00000000-0005-0000-0000-0000860F0000}"/>
    <cellStyle name="_Book2_IREL(Conso)_June_07-08_30-07-08_IREL_3000_08-09 stage 3_IREL_3000_08-09" xfId="3975" xr:uid="{00000000-0005-0000-0000-0000870F0000}"/>
    <cellStyle name="_Book2_IREL(Conso)_June_07-08_30-07-08_IREL_3000_08-09 stage 3_IREL_3000_08-09 2" xfId="3976" xr:uid="{00000000-0005-0000-0000-0000880F0000}"/>
    <cellStyle name="_Book2_IREL(Conso)_June_07-08_30-07-08_IREL_3000_08-09_IBREAL_BS PACK-Version.02" xfId="3977" xr:uid="{00000000-0005-0000-0000-0000890F0000}"/>
    <cellStyle name="_Book2_IREL(Conso)_June_07-08_30-07-08_IREL_3000_08-09_IBREAL_BS PACK-Version.02 2" xfId="3978" xr:uid="{00000000-0005-0000-0000-00008A0F0000}"/>
    <cellStyle name="_Book2_IREL(Conso)_June_07-08_30-07-08_IREL_3000_08-09_IBREAL_BS PACK-Version.02_IBREAL_BS PACK-Version.03" xfId="3979" xr:uid="{00000000-0005-0000-0000-00008B0F0000}"/>
    <cellStyle name="_Book2_IREL(Conso)_June_07-08_30-07-08_IREL_3000_08-09_IBREAL_BS PACK-Version.02_IBREAL_BS PACK-Version.03 2" xfId="3980" xr:uid="{00000000-0005-0000-0000-00008C0F0000}"/>
    <cellStyle name="_Book2_IREL(Conso)_June_07-08_30-07-08_IREL_3000_08-09_IBREAL_BS PACK-Version.02_IBREAL_BS PACK-Version.03_IBREAL_BS PACK-Version.07" xfId="3981" xr:uid="{00000000-0005-0000-0000-00008D0F0000}"/>
    <cellStyle name="_Book2_IREL(Conso)_June_07-08_30-07-08_IREL_3000_08-09_IBREAL_BS PACK-Version.02_IBREAL_BS PACK-Version.03_IBREAL_BS PACK-Version.07 2" xfId="3982" xr:uid="{00000000-0005-0000-0000-00008E0F0000}"/>
    <cellStyle name="_Book2_IREL_3000_08-09" xfId="3983" xr:uid="{00000000-0005-0000-0000-00008F0F0000}"/>
    <cellStyle name="_Book2_IREL_3000_2007-08" xfId="3984" xr:uid="{00000000-0005-0000-0000-0000900F0000}"/>
    <cellStyle name="_Book2_IREL_3000_2007-08 2" xfId="3985" xr:uid="{00000000-0005-0000-0000-0000910F0000}"/>
    <cellStyle name="_Book2_IREL_3000_2007-08_IREL_3000_08-09" xfId="3986" xr:uid="{00000000-0005-0000-0000-0000920F0000}"/>
    <cellStyle name="_Book2_IRL_5002_2007-08" xfId="3987" xr:uid="{00000000-0005-0000-0000-0000930F0000}"/>
    <cellStyle name="_Book2_IRL_5002_2008-09" xfId="3988" xr:uid="{00000000-0005-0000-0000-0000940F0000}"/>
    <cellStyle name="_Book2_IRL_October" xfId="3989" xr:uid="{00000000-0005-0000-0000-0000950F0000}"/>
    <cellStyle name="_Book2_ISL Group - Advance Tax working for 3rd Instalment" xfId="3990" xr:uid="{00000000-0005-0000-0000-0000960F0000}"/>
    <cellStyle name="_Book2_ISL Template-Form 3CD" xfId="3991" xr:uid="{00000000-0005-0000-0000-0000970F0000}"/>
    <cellStyle name="_Book2_ISL Template-Form 3CD 2" xfId="3992" xr:uid="{00000000-0005-0000-0000-0000980F0000}"/>
    <cellStyle name="_Book2_ISL_March_08_09.final_11.12.2009" xfId="3993" xr:uid="{00000000-0005-0000-0000-0000990F0000}"/>
    <cellStyle name="_Book2_ISL_March_08_09.final_11.12.2009_ISL__3CD_FY2010-11" xfId="3994" xr:uid="{00000000-0005-0000-0000-00009A0F0000}"/>
    <cellStyle name="_Book2_ISL_TAX AUDIT_FY2007-08" xfId="3995" xr:uid="{00000000-0005-0000-0000-00009B0F0000}"/>
    <cellStyle name="_Book2_ITCL_BS working _New format_31.03 V7" xfId="3996" xr:uid="{00000000-0005-0000-0000-00009C0F0000}"/>
    <cellStyle name="_Book2_ITCL-New format_31.03 V6" xfId="3997" xr:uid="{00000000-0005-0000-0000-00009D0F0000}"/>
    <cellStyle name="_Book2_July Consolidation" xfId="3998" xr:uid="{00000000-0005-0000-0000-00009E0F0000}"/>
    <cellStyle name="_Book2_Land  CWIP status" xfId="3999" xr:uid="{00000000-0005-0000-0000-00009F0F0000}"/>
    <cellStyle name="_Book2_NFCL working file" xfId="4000" xr:uid="{00000000-0005-0000-0000-0000A00F0000}"/>
    <cellStyle name="_Book2_NFCL_ Tax Audit Report FY08-09 " xfId="4001" xr:uid="{00000000-0005-0000-0000-0000A10F0000}"/>
    <cellStyle name="_Book2_Power Group - Advance Tax working for 3rd Installment" xfId="4002" xr:uid="{00000000-0005-0000-0000-0000A20F0000}"/>
    <cellStyle name="_Book2_Results  Format - Sep 30" xfId="4003" xr:uid="{00000000-0005-0000-0000-0000A30F0000}"/>
    <cellStyle name="_Book2_Results  Format - Sep 30_EPS working" xfId="4004" xr:uid="{00000000-0005-0000-0000-0000A40F0000}"/>
    <cellStyle name="_Book2_Results  Format - Sep 30_EPS working 2" xfId="4005" xr:uid="{00000000-0005-0000-0000-0000A50F0000}"/>
    <cellStyle name="_Book2_Results  Format - Sep 30_EPS working_IBREAL_BS PACK-Version.02" xfId="4006" xr:uid="{00000000-0005-0000-0000-0000A60F0000}"/>
    <cellStyle name="_Book2_Results  Format - Sep 30_EPS working_IBREAL_BS PACK-Version.02 2" xfId="4007" xr:uid="{00000000-0005-0000-0000-0000A70F0000}"/>
    <cellStyle name="_Book2_Results  Format - Sep 30_EPS working_IBREAL_BS PACK-Version.02_IBREAL_BS PACK-Version.03" xfId="4008" xr:uid="{00000000-0005-0000-0000-0000A80F0000}"/>
    <cellStyle name="_Book2_Results  Format - Sep 30_EPS working_IBREAL_BS PACK-Version.02_IBREAL_BS PACK-Version.03 2" xfId="4009" xr:uid="{00000000-0005-0000-0000-0000A90F0000}"/>
    <cellStyle name="_Book2_Results  Format - Sep 30_EPS working_IBREAL_BS PACK-Version.02_IBREAL_BS PACK-Version.03_IBREAL_BS PACK-Version.07" xfId="4010" xr:uid="{00000000-0005-0000-0000-0000AA0F0000}"/>
    <cellStyle name="_Book2_Results  Format - Sep 30_EPS working_IBREAL_BS PACK-Version.02_IBREAL_BS PACK-Version.03_IBREAL_BS PACK-Version.07 2" xfId="4011" xr:uid="{00000000-0005-0000-0000-0000AB0F0000}"/>
    <cellStyle name="_Book2_Results  Format - Sep 30_IREL_3000_08-09" xfId="4012" xr:uid="{00000000-0005-0000-0000-0000AC0F0000}"/>
    <cellStyle name="_Book2_Results  Format - Sep 30_IREL_3000_08-09 2" xfId="4013" xr:uid="{00000000-0005-0000-0000-0000AD0F0000}"/>
    <cellStyle name="_Book2_Results  Format - Sep 30_IREL_3000_08-09 stage 3" xfId="4014" xr:uid="{00000000-0005-0000-0000-0000AE0F0000}"/>
    <cellStyle name="_Book2_Results  Format - Sep 30_IREL_3000_08-09 stage 3_IREL_3000_08-09" xfId="4015" xr:uid="{00000000-0005-0000-0000-0000AF0F0000}"/>
    <cellStyle name="_Book2_Results  Format - Sep 30_IREL_3000_08-09 stage 3_IREL_3000_08-09 2" xfId="4016" xr:uid="{00000000-0005-0000-0000-0000B00F0000}"/>
    <cellStyle name="_Book2_Results  Format - Sep 30_IREL_3000_08-09 s塅䕃⹌塅E3_IREL_3000_08-09" xfId="4017" xr:uid="{00000000-0005-0000-0000-0000B10F0000}"/>
    <cellStyle name="_Book2_Results  Format - Sep 30_IREL_3000_08-09_IBREAL_BS PACK-Version.02" xfId="4018" xr:uid="{00000000-0005-0000-0000-0000B20F0000}"/>
    <cellStyle name="_Book2_Results  Format - Sep 30_IREL_3000_08-09_IBREAL_BS PACK-Version.02 2" xfId="4019" xr:uid="{00000000-0005-0000-0000-0000B30F0000}"/>
    <cellStyle name="_Book2_Results  Format - Sep 30_IREL_3000_08-09_IBREAL_BS PACK-Version.02_IBREAL_BS PACK-Version.03" xfId="4020" xr:uid="{00000000-0005-0000-0000-0000B40F0000}"/>
    <cellStyle name="_Book2_Results  Format - Sep 30_IREL_3000_08-09_IBREAL_BS PACK-Version.02_IBREAL_BS PACK-Version.03 2" xfId="4021" xr:uid="{00000000-0005-0000-0000-0000B50F0000}"/>
    <cellStyle name="_Book2_Results  Format - Sep 30_IREL_3000_08-09_IBREAL_BS PACK-Version.02_IBREAL_BS PACK-Version.03_IBREAL_BS PACK-Version.07" xfId="4022" xr:uid="{00000000-0005-0000-0000-0000B60F0000}"/>
    <cellStyle name="_Book2_Results  Format - Sep 30_IREL_3000_08-09_IBREAL_BS PACK-Version.02_IBREAL_BS PACK-Version.03_IBREAL_BS PACK-Version.07 2" xfId="4023" xr:uid="{00000000-0005-0000-0000-0000B70F0000}"/>
    <cellStyle name="_Book2_Results  Format - Sep 30_IREL_3000_2009-29_July2009  Final Shahi" xfId="4024" xr:uid="{00000000-0005-0000-0000-0000B80F0000}"/>
    <cellStyle name="_Book2_Results  Format - Sep 30_IREL_3000_2009-29_July2009  Final Shahi 2" xfId="4025" xr:uid="{00000000-0005-0000-0000-0000B90F0000}"/>
    <cellStyle name="_Book2_Results  Format - Sep 30_IREL_3000_2009-29_July2009  Final Shahi_IBREAL_BS PACK-Version.02" xfId="4026" xr:uid="{00000000-0005-0000-0000-0000BA0F0000}"/>
    <cellStyle name="_Book2_Results  Format - Sep 30_IREL_3000_2009-29_July2009  Final Shahi_IBREAL_BS PACK-Version.02 2" xfId="4027" xr:uid="{00000000-0005-0000-0000-0000BB0F0000}"/>
    <cellStyle name="_Book2_Results  Format - Sep 30_IREL_3000_2009-29_July2009  Final Shahi_IBREAL_BS PACK-Version.02_IBREAL_BS PACK-Version.03" xfId="4028" xr:uid="{00000000-0005-0000-0000-0000BC0F0000}"/>
    <cellStyle name="_Book2_Results  Format - Sep 30_IREL_3000_2009-29_July2009  Final Shahi_IBREAL_BS PACK-Version.02_IBREAL_BS PACK-Version.03 2" xfId="4029" xr:uid="{00000000-0005-0000-0000-0000BD0F0000}"/>
    <cellStyle name="_Book2_Results  Format - Sep 30_IREL_3000_2009-29_July2009  Final Shahi_IBREAL_BS PACK-Version.02_IBREAL_BS PACK-Version.03_IBREAL_BS PACK-Version.07" xfId="4030" xr:uid="{00000000-0005-0000-0000-0000BE0F0000}"/>
    <cellStyle name="_Book2_Results  Format - Sep 30_IREL_3000_2009-29_July2009  Final Shahi_IBREAL_BS PACK-Version.02_IBREAL_BS PACK-Version.03_IBREAL_BS PACK-Version.07 2" xfId="4031" xr:uid="{00000000-0005-0000-0000-0000BF0F0000}"/>
    <cellStyle name="_Book2_Revised Consol Balance Sheet_Sophia_Jan09_10.02.2009" xfId="4032" xr:uid="{00000000-0005-0000-0000-0000C00F0000}"/>
    <cellStyle name="_Book2_SCH" xfId="4033" xr:uid="{00000000-0005-0000-0000-0000C10F0000}"/>
    <cellStyle name="_Book2_SCH_Tax Audit Report  ICSL F.Y.09-10" xfId="4034" xr:uid="{00000000-0005-0000-0000-0000C20F0000}"/>
    <cellStyle name="_Book2_Sheet2" xfId="4035" xr:uid="{00000000-0005-0000-0000-0000C30F0000}"/>
    <cellStyle name="_Book2_Sheet4" xfId="4036" xr:uid="{00000000-0005-0000-0000-0000C40F0000}"/>
    <cellStyle name="_Book2_Sophia Consol for Printout 22 Jun 09" xfId="4037" xr:uid="{00000000-0005-0000-0000-0000C50F0000}"/>
    <cellStyle name="_Book2_Sophia Consol_march_09_05 June  09_1" xfId="4038" xr:uid="{00000000-0005-0000-0000-0000C60F0000}"/>
    <cellStyle name="_Book2_sophia_Nov08" xfId="4039" xr:uid="{00000000-0005-0000-0000-0000C70F0000}"/>
    <cellStyle name="_Book2_Tax Audit Report  F.Y.08-09" xfId="4040" xr:uid="{00000000-0005-0000-0000-0000C80F0000}"/>
    <cellStyle name="_Book2_Tax Audit Report  ICSL F.Y.09-10" xfId="4041" xr:uid="{00000000-0005-0000-0000-0000C90F0000}"/>
    <cellStyle name="_Book2_TB Sept" xfId="4042" xr:uid="{00000000-0005-0000-0000-0000CA0F0000}"/>
    <cellStyle name="_Book2_TB Sept_Tax Audit Report  ICSL F.Y.09-10" xfId="4043" xr:uid="{00000000-0005-0000-0000-0000CB0F0000}"/>
    <cellStyle name="_Book2_Treasury ICD Interest_ MIS_ 23  09 2009(final)" xfId="4044" xr:uid="{00000000-0005-0000-0000-0000CC0F0000}"/>
    <cellStyle name="_Book2_Treasury ICD Interest_ MIS_ 30. 06 2009(final)" xfId="4045" xr:uid="{00000000-0005-0000-0000-0000CD0F0000}"/>
    <cellStyle name="_Book2_Treasury ICD Interest_ MIS_ 30. 09 2009(final)" xfId="4046" xr:uid="{00000000-0005-0000-0000-0000CE0F0000}"/>
    <cellStyle name="_Book2_Treasury ICD Interest_ MIS_ 31 05 2009" xfId="4047" xr:uid="{00000000-0005-0000-0000-0000CF0F0000}"/>
    <cellStyle name="_Book2_Treasury ICD Interest_ MIS_ 31 10 2009" xfId="4048" xr:uid="{00000000-0005-0000-0000-0000D00F0000}"/>
    <cellStyle name="_Book2_Treasury ICD Interest_ MIS_ 31.10.2009" xfId="4049" xr:uid="{00000000-0005-0000-0000-0000D10F0000}"/>
    <cellStyle name="_Book2_Treasury ICD Interest_ MIS_ 310309" xfId="4050" xr:uid="{00000000-0005-0000-0000-0000D20F0000}"/>
    <cellStyle name="_Book2_Xl0000013" xfId="4051" xr:uid="{00000000-0005-0000-0000-0000D30F0000}"/>
    <cellStyle name="_Book3" xfId="4052" xr:uid="{00000000-0005-0000-0000-0000D40F0000}"/>
    <cellStyle name="_Book3 (4)" xfId="4053" xr:uid="{00000000-0005-0000-0000-0000D50F0000}"/>
    <cellStyle name="_Book3 (4) 2" xfId="4054" xr:uid="{00000000-0005-0000-0000-0000D60F0000}"/>
    <cellStyle name="_Book3 (4)_Indiabulls Asset Management Company Limited printable" xfId="4055" xr:uid="{00000000-0005-0000-0000-0000D70F0000}"/>
    <cellStyle name="_Book3 2" xfId="4056" xr:uid="{00000000-0005-0000-0000-0000D80F0000}"/>
    <cellStyle name="_Book3 2 2" xfId="4057" xr:uid="{00000000-0005-0000-0000-0000D90F0000}"/>
    <cellStyle name="_Book3 3" xfId="4058" xr:uid="{00000000-0005-0000-0000-0000DA0F0000}"/>
    <cellStyle name="_Book3 4" xfId="4059" xr:uid="{00000000-0005-0000-0000-0000DB0F0000}"/>
    <cellStyle name="_Book3 5" xfId="4060" xr:uid="{00000000-0005-0000-0000-0000DC0F0000}"/>
    <cellStyle name="_Book3 6" xfId="4061" xr:uid="{00000000-0005-0000-0000-0000DD0F0000}"/>
    <cellStyle name="_Book3 7" xfId="4062" xr:uid="{00000000-0005-0000-0000-0000DE0F0000}"/>
    <cellStyle name="_Book3 8" xfId="4063" xr:uid="{00000000-0005-0000-0000-0000DF0F0000}"/>
    <cellStyle name="_Book3 9" xfId="4064" xr:uid="{00000000-0005-0000-0000-0000E00F0000}"/>
    <cellStyle name="_Book3_IHFL_September_30_2010 VERSION 10" xfId="4065" xr:uid="{00000000-0005-0000-0000-0000E10F0000}"/>
    <cellStyle name="_Book4" xfId="4066" xr:uid="{00000000-0005-0000-0000-0000E20F0000}"/>
    <cellStyle name="_Book4 (8)" xfId="4067" xr:uid="{00000000-0005-0000-0000-0000E30F0000}"/>
    <cellStyle name="_Book4 (8) 2" xfId="4068" xr:uid="{00000000-0005-0000-0000-0000E40F0000}"/>
    <cellStyle name="_Book4 2" xfId="4069" xr:uid="{00000000-0005-0000-0000-0000E50F0000}"/>
    <cellStyle name="_Book4 3" xfId="4070" xr:uid="{00000000-0005-0000-0000-0000E60F0000}"/>
    <cellStyle name="_Book4 4" xfId="4071" xr:uid="{00000000-0005-0000-0000-0000E70F0000}"/>
    <cellStyle name="_Book4 5" xfId="4072" xr:uid="{00000000-0005-0000-0000-0000E80F0000}"/>
    <cellStyle name="_Book4 6" xfId="4073" xr:uid="{00000000-0005-0000-0000-0000E90F0000}"/>
    <cellStyle name="_Book4_CCL_3353_2007-08" xfId="4074" xr:uid="{00000000-0005-0000-0000-0000EA0F0000}"/>
    <cellStyle name="_Book4_CCL_3353_2007-08 2" xfId="4075" xr:uid="{00000000-0005-0000-0000-0000EB0F0000}"/>
    <cellStyle name="_Book4_detail" xfId="4076" xr:uid="{00000000-0005-0000-0000-0000EC0F0000}"/>
    <cellStyle name="_Book4_detail (2)" xfId="4077" xr:uid="{00000000-0005-0000-0000-0000ED0F0000}"/>
    <cellStyle name="_Book4_detail (2) 2" xfId="4078" xr:uid="{00000000-0005-0000-0000-0000EE0F0000}"/>
    <cellStyle name="_Book4_detail to be added in june,2008" xfId="4079" xr:uid="{00000000-0005-0000-0000-0000EF0F0000}"/>
    <cellStyle name="_Book4_detail to be added in june,2008 2" xfId="4080" xr:uid="{00000000-0005-0000-0000-0000F00F0000}"/>
    <cellStyle name="_Book4_EPL_3346_2007-08(C)" xfId="4081" xr:uid="{00000000-0005-0000-0000-0000F10F0000}"/>
    <cellStyle name="_Book4_EPL_3346_2007-08(C) 2" xfId="4082" xr:uid="{00000000-0005-0000-0000-0000F20F0000}"/>
    <cellStyle name="_Book4_IHFL_September_30_2010 VERSION 10" xfId="4083" xr:uid="{00000000-0005-0000-0000-0000F30F0000}"/>
    <cellStyle name="_Book4_IIDL_3227_2007-08" xfId="4084" xr:uid="{00000000-0005-0000-0000-0000F40F0000}"/>
    <cellStyle name="_Book4_IIDL_3227_2007-08 2" xfId="4085" xr:uid="{00000000-0005-0000-0000-0000F50F0000}"/>
    <cellStyle name="_Book4_Indiabulls Asset Management Company Limited printable" xfId="4086" xr:uid="{00000000-0005-0000-0000-0000F60F0000}"/>
    <cellStyle name="_Book4_IPGL_3355_2007-08" xfId="4087" xr:uid="{00000000-0005-0000-0000-0000F70F0000}"/>
    <cellStyle name="_Book4_IPGL_3355_2007-08 2" xfId="4088" xr:uid="{00000000-0005-0000-0000-0000F80F0000}"/>
    <cellStyle name="_Book5" xfId="4089" xr:uid="{00000000-0005-0000-0000-0000F90F0000}"/>
    <cellStyle name="_Book5 (2)" xfId="4090" xr:uid="{00000000-0005-0000-0000-0000FA0F0000}"/>
    <cellStyle name="_Book5 (2) 2" xfId="4091" xr:uid="{00000000-0005-0000-0000-0000FB0F0000}"/>
    <cellStyle name="_Book5 2" xfId="4092" xr:uid="{00000000-0005-0000-0000-0000FC0F0000}"/>
    <cellStyle name="_Book5_1" xfId="4093" xr:uid="{00000000-0005-0000-0000-0000FD0F0000}"/>
    <cellStyle name="_Book5_1 2" xfId="4094" xr:uid="{00000000-0005-0000-0000-0000FE0F0000}"/>
    <cellStyle name="_Book5_1_Indiabulls Asset Management Company Limited printable" xfId="4095" xr:uid="{00000000-0005-0000-0000-0000FF0F0000}"/>
    <cellStyle name="_Book5_Details of Assets &amp; Liablilities" xfId="4096" xr:uid="{00000000-0005-0000-0000-000000100000}"/>
    <cellStyle name="_Book5_Details of Assets &amp; Liablilities 2" xfId="4097" xr:uid="{00000000-0005-0000-0000-000001100000}"/>
    <cellStyle name="_Book5_Details of Assets &amp; Liablilities 3" xfId="4098" xr:uid="{00000000-0005-0000-0000-000002100000}"/>
    <cellStyle name="_Book5_IBL_09.12.2009" xfId="4099" xr:uid="{00000000-0005-0000-0000-000003100000}"/>
    <cellStyle name="_Book5_IBL_09.12.2009 2" xfId="4100" xr:uid="{00000000-0005-0000-0000-000004100000}"/>
    <cellStyle name="_Book5_ICL_22 12 2009" xfId="4101" xr:uid="{00000000-0005-0000-0000-000005100000}"/>
    <cellStyle name="_Book5_ICL_22 12 2009 2" xfId="4102" xr:uid="{00000000-0005-0000-0000-000006100000}"/>
    <cellStyle name="_Book5_Indiabulls Asset Management Company Limited printable" xfId="4103" xr:uid="{00000000-0005-0000-0000-000007100000}"/>
    <cellStyle name="_Book5_ISL Caro Checklist Annexure 08-09" xfId="4104" xr:uid="{00000000-0005-0000-0000-000008100000}"/>
    <cellStyle name="_Branch Count June,2007" xfId="4105" xr:uid="{00000000-0005-0000-0000-000009100000}"/>
    <cellStyle name="_Branch Count June,2007 2" xfId="4106" xr:uid="{00000000-0005-0000-0000-00000A100000}"/>
    <cellStyle name="_Branch Count June,2007_Details of Assets &amp; Liablilities" xfId="4107" xr:uid="{00000000-0005-0000-0000-00000B100000}"/>
    <cellStyle name="_Branch Count June,2007_Details of Assets &amp; Liablilities 2" xfId="4108" xr:uid="{00000000-0005-0000-0000-00000C100000}"/>
    <cellStyle name="_Branch Count June,2007_Details of Assets &amp; Liablilities 3" xfId="4109" xr:uid="{00000000-0005-0000-0000-00000D100000}"/>
    <cellStyle name="_Branch Count June,2007_IBL_09.12.2009" xfId="4110" xr:uid="{00000000-0005-0000-0000-00000E100000}"/>
    <cellStyle name="_Branch Count June,2007_IBL_09.12.2009 2" xfId="4111" xr:uid="{00000000-0005-0000-0000-00000F100000}"/>
    <cellStyle name="_Branch Count June,2007_ICL_22 12 2009" xfId="4112" xr:uid="{00000000-0005-0000-0000-000010100000}"/>
    <cellStyle name="_Branch Count June,2007_ICL_22 12 2009 2" xfId="4113" xr:uid="{00000000-0005-0000-0000-000011100000}"/>
    <cellStyle name="_Branch Count June,2007_IHFL_September_30_2010 VERSION 10" xfId="4114" xr:uid="{00000000-0005-0000-0000-000012100000}"/>
    <cellStyle name="_Branch Count June,2007_Indiabulls Asset Management Company Limited printable" xfId="4115" xr:uid="{00000000-0005-0000-0000-000013100000}"/>
    <cellStyle name="_Branch Count June,2007_ISL_ Adv Tax 2009-10 Q3" xfId="4116" xr:uid="{00000000-0005-0000-0000-000014100000}"/>
    <cellStyle name="_Branch Count June,2007_ISL_ Adv Tax 2009-10 Q3 2" xfId="4117" xr:uid="{00000000-0005-0000-0000-000015100000}"/>
    <cellStyle name="_Branch Count June,2007_ISL_conso_September_09_10" xfId="4118" xr:uid="{00000000-0005-0000-0000-000016100000}"/>
    <cellStyle name="_Branch Count June,2007_ISL_conso_September_09_10 2" xfId="4119" xr:uid="{00000000-0005-0000-0000-000017100000}"/>
    <cellStyle name="_Branch Count June,2007_ISL_Provisions_30.09.2010" xfId="4120" xr:uid="{00000000-0005-0000-0000-000018100000}"/>
    <cellStyle name="_Branch Count June,2007_Provision" xfId="4121" xr:uid="{00000000-0005-0000-0000-000019100000}"/>
    <cellStyle name="_Branch Count June,2007_Provision for Exp - FY 0809" xfId="4122" xr:uid="{00000000-0005-0000-0000-00001A100000}"/>
    <cellStyle name="_Branch Count June,2007_provisions q3" xfId="4123" xr:uid="{00000000-0005-0000-0000-00001B100000}"/>
    <cellStyle name="_Branch Count June,2007_Results" xfId="4124" xr:uid="{00000000-0005-0000-0000-00001C100000}"/>
    <cellStyle name="_Branch Count June,2007_Results 2" xfId="4125" xr:uid="{00000000-0005-0000-0000-00001D100000}"/>
    <cellStyle name="_BS_DTL_10.02.2009_CM" xfId="4126" xr:uid="{00000000-0005-0000-0000-00001E100000}"/>
    <cellStyle name="_BS_DTL_18.03.2009" xfId="4127" xr:uid="{00000000-0005-0000-0000-00001F100000}"/>
    <cellStyle name="_BS_DTL_31.03.2009_Final" xfId="4128" xr:uid="{00000000-0005-0000-0000-000020100000}"/>
    <cellStyle name="_BS_IIAPL- 30 Apr_08 (070508)-1" xfId="4129" xr:uid="{00000000-0005-0000-0000-000021100000}"/>
    <cellStyle name="_BS_IIAPL- 30 Apr_08 (070508)-1_Asset Management Company Limited" xfId="4130" xr:uid="{00000000-0005-0000-0000-000022100000}"/>
    <cellStyle name="_BS_IIAPL- 30 Apr_08 (070508)-1_BS _IB Asset Management _3103_ver5" xfId="4131" xr:uid="{00000000-0005-0000-0000-000023100000}"/>
    <cellStyle name="_BS_IIAPL- 30 Apr_08 (070508)-1_BS _IB Asset Management _3103_ver5_IAMCL BS working -New format_31.03 V5" xfId="4132" xr:uid="{00000000-0005-0000-0000-000024100000}"/>
    <cellStyle name="_BS_IIAPL- 30 Apr_08 (070508)-1_IAMCL BS working -New format_31.03 V5" xfId="4133" xr:uid="{00000000-0005-0000-0000-000025100000}"/>
    <cellStyle name="_BS_IIAPL- 30 Apr_08 (070508)-1_IB Asset Management _2910" xfId="4134" xr:uid="{00000000-0005-0000-0000-000026100000}"/>
    <cellStyle name="_BS_IIAPL- 30 Apr_08 (070508)-1_IB Asset Management _2910_IB Collection Agency_3103 V3" xfId="4135" xr:uid="{00000000-0005-0000-0000-000027100000}"/>
    <cellStyle name="_BS_IIAPL- 30 Apr_08 (070508)-1_IB Asset Management _2910_IB Collection Agency_3103 V3_ICAL-New Format_31.03 V4" xfId="4136" xr:uid="{00000000-0005-0000-0000-000028100000}"/>
    <cellStyle name="_BS_IIAPL- 30 Apr_08 (070508)-1_IB Asset Management _2910_ICAL-BS Final Working _New format" xfId="4137" xr:uid="{00000000-0005-0000-0000-000029100000}"/>
    <cellStyle name="_BS_IIAPL- 30 Apr_08 (070508)-1_IB Asset Management _3103_ver5" xfId="4138" xr:uid="{00000000-0005-0000-0000-00002A100000}"/>
    <cellStyle name="_BS_IIAPL- 30 Apr_08 (070508)-1_IB Asset Management_3103 V2" xfId="4139" xr:uid="{00000000-0005-0000-0000-00002B100000}"/>
    <cellStyle name="_BS_IIAPL- 30 Apr_08 (070508)-1_IB Asset Management_3103 V4" xfId="4140" xr:uid="{00000000-0005-0000-0000-00002C100000}"/>
    <cellStyle name="_BS_IIAPL- 30 Apr_08 (070508)-1_IB Asset Management_3103 V5" xfId="4141" xr:uid="{00000000-0005-0000-0000-00002D100000}"/>
    <cellStyle name="_BS_IIAPL- 30 Apr_08 (070508)-1_IB Collection Agency_3103 V3" xfId="4142" xr:uid="{00000000-0005-0000-0000-00002E100000}"/>
    <cellStyle name="_BS_IIAPL- 30 Apr_08 (070508)-1_IB Collection Agency_3103 V3_ICAL-New Format_31.03 V4" xfId="4143" xr:uid="{00000000-0005-0000-0000-00002F100000}"/>
    <cellStyle name="_BS_IIAPL- 30 Apr_08 (070508)-1_IB Infrastructure Credit" xfId="4144" xr:uid="{00000000-0005-0000-0000-000030100000}"/>
    <cellStyle name="_BS_IIAPL- 30 Apr_08 (070508)-1_IB Infrastructure Credit-3103_V6" xfId="4145" xr:uid="{00000000-0005-0000-0000-000031100000}"/>
    <cellStyle name="_BS_IIAPL- 30 Apr_08 (070508)-1_IB Infrastructure Credit-3103_V7" xfId="4146" xr:uid="{00000000-0005-0000-0000-000032100000}"/>
    <cellStyle name="_BS_IIAPL- 30 Apr_08 (070508)-1_IB Life Insurance_3103 V4" xfId="4147" xr:uid="{00000000-0005-0000-0000-000033100000}"/>
    <cellStyle name="_BS_IIAPL- 30 Apr_08 (070508)-1_IB Trustee Company_3103 V4" xfId="4148" xr:uid="{00000000-0005-0000-0000-000034100000}"/>
    <cellStyle name="_BS_IIAPL- 30 Apr_08 (070508)-1_IBLIC_BS  Final working -New_Format_31.03 V5" xfId="4149" xr:uid="{00000000-0005-0000-0000-000035100000}"/>
    <cellStyle name="_BS_IIAPL- 30 Apr_08 (070508)-1_Ibulls BS Final woirking -New format_31.03 V5" xfId="4150" xr:uid="{00000000-0005-0000-0000-000036100000}"/>
    <cellStyle name="_BS_IIAPL- 30 Apr_08 (070508)-1_IbullsSales_3009V3 (3)" xfId="4151" xr:uid="{00000000-0005-0000-0000-000037100000}"/>
    <cellStyle name="_BS_IIAPL- 30 Apr_08 (070508)-1_IbullsSales_3103" xfId="4152" xr:uid="{00000000-0005-0000-0000-000038100000}"/>
    <cellStyle name="_BS_IIAPL- 30 Apr_08 (070508)-1_IbullsSales_3103 V2" xfId="4153" xr:uid="{00000000-0005-0000-0000-000039100000}"/>
    <cellStyle name="_BS_IIAPL- 30 Apr_08 (070508)-1_IbullsSales_3103 V5" xfId="4154" xr:uid="{00000000-0005-0000-0000-00003A100000}"/>
    <cellStyle name="_BS_IIAPL- 30 Apr_08 (070508)-1_ICAL-BS Final Working _New format" xfId="4155" xr:uid="{00000000-0005-0000-0000-00003B100000}"/>
    <cellStyle name="_BS_IIAPL- 30 Apr_08 (070508)-1_IICL_March'11" xfId="4156" xr:uid="{00000000-0005-0000-0000-00003C100000}"/>
    <cellStyle name="_BS_IIAPL- 30 Apr_08 (070508)-1_Indiabulls Asset Management Company Limited printable" xfId="4157" xr:uid="{00000000-0005-0000-0000-00003D100000}"/>
    <cellStyle name="_BS_IIAPL- 30 Apr_08 (070508)-1_ITCL_BS working _New format_31.03 V7" xfId="4158" xr:uid="{00000000-0005-0000-0000-00003E100000}"/>
    <cellStyle name="_BS_IIAPL- 30 Apr_08 (070508)-1_ITCL-New format_31.03 V6" xfId="4159" xr:uid="{00000000-0005-0000-0000-00003F100000}"/>
    <cellStyle name="_BS_IIAPL- 30 Apr_08 (070508)-1_Xl0000013" xfId="4160" xr:uid="{00000000-0005-0000-0000-000040100000}"/>
    <cellStyle name="_BSFORMAT" xfId="4161" xr:uid="{00000000-0005-0000-0000-000041100000}"/>
    <cellStyle name="_BSFORMAT 10" xfId="4162" xr:uid="{00000000-0005-0000-0000-000042100000}"/>
    <cellStyle name="_BSFORMAT 10 2" xfId="4163" xr:uid="{00000000-0005-0000-0000-000043100000}"/>
    <cellStyle name="_BSFORMAT 11" xfId="4164" xr:uid="{00000000-0005-0000-0000-000044100000}"/>
    <cellStyle name="_BSFORMAT 11 2" xfId="4165" xr:uid="{00000000-0005-0000-0000-000045100000}"/>
    <cellStyle name="_BSFORMAT 12" xfId="4166" xr:uid="{00000000-0005-0000-0000-000046100000}"/>
    <cellStyle name="_BSFORMAT 12 2" xfId="4167" xr:uid="{00000000-0005-0000-0000-000047100000}"/>
    <cellStyle name="_BSFORMAT 13" xfId="4168" xr:uid="{00000000-0005-0000-0000-000048100000}"/>
    <cellStyle name="_BSFORMAT 13 2" xfId="4169" xr:uid="{00000000-0005-0000-0000-000049100000}"/>
    <cellStyle name="_BSFORMAT 14" xfId="4170" xr:uid="{00000000-0005-0000-0000-00004A100000}"/>
    <cellStyle name="_BSFORMAT 14 2" xfId="4171" xr:uid="{00000000-0005-0000-0000-00004B100000}"/>
    <cellStyle name="_BSFORMAT 15" xfId="4172" xr:uid="{00000000-0005-0000-0000-00004C100000}"/>
    <cellStyle name="_BSFORMAT 15 2" xfId="4173" xr:uid="{00000000-0005-0000-0000-00004D100000}"/>
    <cellStyle name="_BSFORMAT 16" xfId="4174" xr:uid="{00000000-0005-0000-0000-00004E100000}"/>
    <cellStyle name="_BSFORMAT 16 2" xfId="4175" xr:uid="{00000000-0005-0000-0000-00004F100000}"/>
    <cellStyle name="_BSFORMAT 17" xfId="4176" xr:uid="{00000000-0005-0000-0000-000050100000}"/>
    <cellStyle name="_BSFORMAT 17 2" xfId="4177" xr:uid="{00000000-0005-0000-0000-000051100000}"/>
    <cellStyle name="_BSFORMAT 18" xfId="4178" xr:uid="{00000000-0005-0000-0000-000052100000}"/>
    <cellStyle name="_BSFORMAT 18 2" xfId="4179" xr:uid="{00000000-0005-0000-0000-000053100000}"/>
    <cellStyle name="_BSFORMAT 19" xfId="4180" xr:uid="{00000000-0005-0000-0000-000054100000}"/>
    <cellStyle name="_BSFORMAT 19 2" xfId="4181" xr:uid="{00000000-0005-0000-0000-000055100000}"/>
    <cellStyle name="_BSFORMAT 2" xfId="4182" xr:uid="{00000000-0005-0000-0000-000056100000}"/>
    <cellStyle name="_BSFORMAT 2 2" xfId="4183" xr:uid="{00000000-0005-0000-0000-000057100000}"/>
    <cellStyle name="_BSFORMAT 20" xfId="4184" xr:uid="{00000000-0005-0000-0000-000058100000}"/>
    <cellStyle name="_BSFORMAT 21" xfId="4185" xr:uid="{00000000-0005-0000-0000-000059100000}"/>
    <cellStyle name="_BSFORMAT 22" xfId="4186" xr:uid="{00000000-0005-0000-0000-00005A100000}"/>
    <cellStyle name="_BSFORMAT 23" xfId="4187" xr:uid="{00000000-0005-0000-0000-00005B100000}"/>
    <cellStyle name="_BSFORMAT 3" xfId="4188" xr:uid="{00000000-0005-0000-0000-00005C100000}"/>
    <cellStyle name="_BSFORMAT 3 2" xfId="4189" xr:uid="{00000000-0005-0000-0000-00005D100000}"/>
    <cellStyle name="_BSFORMAT 4" xfId="4190" xr:uid="{00000000-0005-0000-0000-00005E100000}"/>
    <cellStyle name="_BSFORMAT 4 2" xfId="4191" xr:uid="{00000000-0005-0000-0000-00005F100000}"/>
    <cellStyle name="_BSFORMAT 5" xfId="4192" xr:uid="{00000000-0005-0000-0000-000060100000}"/>
    <cellStyle name="_BSFORMAT 5 2" xfId="4193" xr:uid="{00000000-0005-0000-0000-000061100000}"/>
    <cellStyle name="_BSFORMAT 6" xfId="4194" xr:uid="{00000000-0005-0000-0000-000062100000}"/>
    <cellStyle name="_BSFORMAT 6 2" xfId="4195" xr:uid="{00000000-0005-0000-0000-000063100000}"/>
    <cellStyle name="_BSFORMAT 7" xfId="4196" xr:uid="{00000000-0005-0000-0000-000064100000}"/>
    <cellStyle name="_BSFORMAT 7 2" xfId="4197" xr:uid="{00000000-0005-0000-0000-000065100000}"/>
    <cellStyle name="_BSFORMAT 8" xfId="4198" xr:uid="{00000000-0005-0000-0000-000066100000}"/>
    <cellStyle name="_BSFORMAT 8 2" xfId="4199" xr:uid="{00000000-0005-0000-0000-000067100000}"/>
    <cellStyle name="_BSFORMAT 9" xfId="4200" xr:uid="{00000000-0005-0000-0000-000068100000}"/>
    <cellStyle name="_BSFORMAT 9 2" xfId="4201" xr:uid="{00000000-0005-0000-0000-000069100000}"/>
    <cellStyle name="_BSFORMAT_269SS &amp; T IIAPL 09-10" xfId="4202" xr:uid="{00000000-0005-0000-0000-00006A100000}"/>
    <cellStyle name="_BSFORMAT_Abstract-2007-08" xfId="4203" xr:uid="{00000000-0005-0000-0000-00006B100000}"/>
    <cellStyle name="_BSFORMAT_Advance Tax Summary" xfId="4204" xr:uid="{00000000-0005-0000-0000-00006C100000}"/>
    <cellStyle name="_BSFORMAT_Advance Tax Summary 2" xfId="4205" xr:uid="{00000000-0005-0000-0000-00006D100000}"/>
    <cellStyle name="_BSFORMAT_Asset Management Company Limited" xfId="4206" xr:uid="{00000000-0005-0000-0000-00006E100000}"/>
    <cellStyle name="_BSFORMAT_attachment-2  Power Companies" xfId="4207" xr:uid="{00000000-0005-0000-0000-00006F100000}"/>
    <cellStyle name="_BSFORMAT_Aug consl backup-land adv &amp; Ext ICD" xfId="4208" xr:uid="{00000000-0005-0000-0000-000070100000}"/>
    <cellStyle name="_BSFORMAT_Book1" xfId="4209" xr:uid="{00000000-0005-0000-0000-000071100000}"/>
    <cellStyle name="_BSFORMAT_Book1 (2)" xfId="4210" xr:uid="{00000000-0005-0000-0000-000072100000}"/>
    <cellStyle name="_BSFORMAT_Book1 (2) 2" xfId="4211" xr:uid="{00000000-0005-0000-0000-000073100000}"/>
    <cellStyle name="_BSFORMAT_Book1 10" xfId="4212" xr:uid="{00000000-0005-0000-0000-000074100000}"/>
    <cellStyle name="_BSFORMAT_Book1 11" xfId="4213" xr:uid="{00000000-0005-0000-0000-000075100000}"/>
    <cellStyle name="_BSFORMAT_Book1 2" xfId="4214" xr:uid="{00000000-0005-0000-0000-000076100000}"/>
    <cellStyle name="_BSFORMAT_Book1 3" xfId="4215" xr:uid="{00000000-0005-0000-0000-000077100000}"/>
    <cellStyle name="_BSFORMAT_Book1 4" xfId="4216" xr:uid="{00000000-0005-0000-0000-000078100000}"/>
    <cellStyle name="_BSFORMAT_Book1 5" xfId="4217" xr:uid="{00000000-0005-0000-0000-000079100000}"/>
    <cellStyle name="_BSFORMAT_Book1 6" xfId="4218" xr:uid="{00000000-0005-0000-0000-00007A100000}"/>
    <cellStyle name="_BSFORMAT_Book1 7" xfId="4219" xr:uid="{00000000-0005-0000-0000-00007B100000}"/>
    <cellStyle name="_BSFORMAT_Book1 8" xfId="4220" xr:uid="{00000000-0005-0000-0000-00007C100000}"/>
    <cellStyle name="_BSFORMAT_Book1 9" xfId="4221" xr:uid="{00000000-0005-0000-0000-00007D100000}"/>
    <cellStyle name="_BSFORMAT_Book1_EPS working" xfId="4222" xr:uid="{00000000-0005-0000-0000-00007E100000}"/>
    <cellStyle name="_BSFORMAT_Book1_EPS working 2" xfId="4223" xr:uid="{00000000-0005-0000-0000-00007F100000}"/>
    <cellStyle name="_BSFORMAT_Book1_IREL_3000_08-09" xfId="4224" xr:uid="{00000000-0005-0000-0000-000080100000}"/>
    <cellStyle name="_BSFORMAT_Book1_IREL_3000_08-09 2" xfId="4225" xr:uid="{00000000-0005-0000-0000-000081100000}"/>
    <cellStyle name="_BSFORMAT_Book1_IREL_3000_2009-29_July2009  Final Shahi" xfId="4226" xr:uid="{00000000-0005-0000-0000-000082100000}"/>
    <cellStyle name="_BSFORMAT_Book1_IREL_3000_2009-29_July2009  Final Shahi 2" xfId="4227" xr:uid="{00000000-0005-0000-0000-000083100000}"/>
    <cellStyle name="_BSFORMAT_Book1_ISL Group - Advance Tax working for 3rd Instalment" xfId="4228" xr:uid="{00000000-0005-0000-0000-000084100000}"/>
    <cellStyle name="_BSFORMAT_Book1_ISL_ Adv Tax 2009-10 Q3" xfId="4229" xr:uid="{00000000-0005-0000-0000-000085100000}"/>
    <cellStyle name="_BSFORMAT_Book1_ISL__3CD_FY2010-11" xfId="4230" xr:uid="{00000000-0005-0000-0000-000086100000}"/>
    <cellStyle name="_BSFORMAT_Book2" xfId="4231" xr:uid="{00000000-0005-0000-0000-000087100000}"/>
    <cellStyle name="_BSFORMAT_Book2 2" xfId="4232" xr:uid="{00000000-0005-0000-0000-000088100000}"/>
    <cellStyle name="_BSFORMAT_Book2_ISL__3CD_FY2010-11" xfId="4233" xr:uid="{00000000-0005-0000-0000-000089100000}"/>
    <cellStyle name="_BSFORMAT_Book4" xfId="4234" xr:uid="{00000000-0005-0000-0000-00008A100000}"/>
    <cellStyle name="_BSFORMAT_Book4 2" xfId="4235" xr:uid="{00000000-0005-0000-0000-00008B100000}"/>
    <cellStyle name="_BSFORMAT_Book4_ISL__3CD_FY2010-11" xfId="4236" xr:uid="{00000000-0005-0000-0000-00008C100000}"/>
    <cellStyle name="_BSFORMAT_BS" xfId="4237" xr:uid="{00000000-0005-0000-0000-00008D100000}"/>
    <cellStyle name="_BSFORMAT_BS _IB Asset Management _3103_ver5" xfId="4238" xr:uid="{00000000-0005-0000-0000-00008E100000}"/>
    <cellStyle name="_BSFORMAT_BS _IB Asset Management _3103_ver5_IAMCL BS working -New format_31.03 V5" xfId="4239" xr:uid="{00000000-0005-0000-0000-00008F100000}"/>
    <cellStyle name="_BSFORMAT_BS_Tax Audit Report  ICSL F.Y.09-10" xfId="4240" xr:uid="{00000000-0005-0000-0000-000090100000}"/>
    <cellStyle name="_BSFORMAT_ChlorisProperties_3351_Dec.08" xfId="4241" xr:uid="{00000000-0005-0000-0000-000091100000}"/>
    <cellStyle name="_BSFORMAT_Consol Balance Sheet_Sophia_Dec08_Ibrel_1.3" xfId="4242" xr:uid="{00000000-0005-0000-0000-000092100000}"/>
    <cellStyle name="_BSFORMAT_Consol_sophia _Ipsl_Nov" xfId="4243" xr:uid="{00000000-0005-0000-0000-000093100000}"/>
    <cellStyle name="_BSFORMAT_CRAR - dec- 10v-12" xfId="4244" xr:uid="{00000000-0005-0000-0000-000094100000}"/>
    <cellStyle name="_BSFORMAT_CRAR - dec- 10v-12 2" xfId="4245" xr:uid="{00000000-0005-0000-0000-000095100000}"/>
    <cellStyle name="_BSFORMAT_detail" xfId="4246" xr:uid="{00000000-0005-0000-0000-000096100000}"/>
    <cellStyle name="_BSFORMAT_detail (2)" xfId="4247" xr:uid="{00000000-0005-0000-0000-000097100000}"/>
    <cellStyle name="_BSFORMAT_Detail of IPO funding" xfId="4248" xr:uid="{00000000-0005-0000-0000-000098100000}"/>
    <cellStyle name="_BSFORMAT_detail to be added in june,2008" xfId="4249" xr:uid="{00000000-0005-0000-0000-000099100000}"/>
    <cellStyle name="_BSFORMAT_Details" xfId="4250" xr:uid="{00000000-0005-0000-0000-00009A100000}"/>
    <cellStyle name="_BSFORMAT_Details of Assets &amp; Liablilities" xfId="4251" xr:uid="{00000000-0005-0000-0000-00009B100000}"/>
    <cellStyle name="_BSFORMAT_Dividend working" xfId="4252" xr:uid="{00000000-0005-0000-0000-00009C100000}"/>
    <cellStyle name="_BSFORMAT_Dividend working 2" xfId="4253" xr:uid="{00000000-0005-0000-0000-00009D100000}"/>
    <cellStyle name="_BSFORMAT_Dividend working_EPS working" xfId="4254" xr:uid="{00000000-0005-0000-0000-00009E100000}"/>
    <cellStyle name="_BSFORMAT_Dividend working_EPS working 2" xfId="4255" xr:uid="{00000000-0005-0000-0000-00009F100000}"/>
    <cellStyle name="_BSFORMAT_Dividend working_EPS working_IBREAL_BS PACK-Version.02" xfId="4256" xr:uid="{00000000-0005-0000-0000-0000A0100000}"/>
    <cellStyle name="_BSFORMAT_Dividend working_EPS working_IBREAL_BS PACK-Version.02 2" xfId="4257" xr:uid="{00000000-0005-0000-0000-0000A1100000}"/>
    <cellStyle name="_BSFORMAT_Dividend working_EPS working_IBREAL_BS PACK-Version.02_IBREAL_BS PACK-Version.03" xfId="4258" xr:uid="{00000000-0005-0000-0000-0000A2100000}"/>
    <cellStyle name="_BSFORMAT_Dividend working_EPS working_IBREAL_BS PACK-Version.02_IBREAL_BS PACK-Version.03 2" xfId="4259" xr:uid="{00000000-0005-0000-0000-0000A3100000}"/>
    <cellStyle name="_BSFORMAT_Dividend working_EPS working_IBREAL_BS PACK-Version.02_IBREAL_BS PACK-Version.03_IBREAL_BS PACK-Version.07" xfId="4260" xr:uid="{00000000-0005-0000-0000-0000A4100000}"/>
    <cellStyle name="_BSFORMAT_Dividend working_EPS working_IBREAL_BS PACK-Version.02_IBREAL_BS PACK-Version.03_IBREAL_BS PACK-Version.07 2" xfId="4261" xr:uid="{00000000-0005-0000-0000-0000A5100000}"/>
    <cellStyle name="_BSFORMAT_Dividend working_IREL_3000_08-09" xfId="4262" xr:uid="{00000000-0005-0000-0000-0000A6100000}"/>
    <cellStyle name="_BSFORMAT_Dividend working_IREL_3000_08-09 stage 3" xfId="4263" xr:uid="{00000000-0005-0000-0000-0000A7100000}"/>
    <cellStyle name="_BSFORMAT_Dividend working_IREL_3000_08-09 stage 3_IREL_3000_08-09" xfId="4264" xr:uid="{00000000-0005-0000-0000-0000A8100000}"/>
    <cellStyle name="_BSFORMAT_Dividend working_IREL_3000_08-09 stage 3_IREL_3000_08-09 2" xfId="4265" xr:uid="{00000000-0005-0000-0000-0000A9100000}"/>
    <cellStyle name="_BSFORMAT_Dividend working_IREL_3000_08-09_1" xfId="4266" xr:uid="{00000000-0005-0000-0000-0000AA100000}"/>
    <cellStyle name="_BSFORMAT_Dividend working_IREL_3000_08-09_1 2" xfId="4267" xr:uid="{00000000-0005-0000-0000-0000AB100000}"/>
    <cellStyle name="_BSFORMAT_Dividend working_IREL_3000_08-09_1_IBREAL_BS PACK-Version.02" xfId="4268" xr:uid="{00000000-0005-0000-0000-0000AC100000}"/>
    <cellStyle name="_BSFORMAT_Dividend working_IREL_3000_08-09_1_IBREAL_BS PACK-Version.02 2" xfId="4269" xr:uid="{00000000-0005-0000-0000-0000AD100000}"/>
    <cellStyle name="_BSFORMAT_Dividend working_IREL_3000_08-09_1_IBREAL_BS PACK-Version.02_IBREAL_BS PACK-Version.03" xfId="4270" xr:uid="{00000000-0005-0000-0000-0000AE100000}"/>
    <cellStyle name="_BSFORMAT_Dividend working_IREL_3000_08-09_1_IBREAL_BS PACK-Version.02_IBREAL_BS PACK-Version.03 2" xfId="4271" xr:uid="{00000000-0005-0000-0000-0000AF100000}"/>
    <cellStyle name="_BSFORMAT_Dividend working_IREL_3000_08-09_1_IBREAL_BS PACK-Version.02_IBREAL_BS PACK-Version.03_IBREAL_BS PACK-Version.07" xfId="4272" xr:uid="{00000000-0005-0000-0000-0000B0100000}"/>
    <cellStyle name="_BSFORMAT_Dividend working_IREL_3000_08-09_1_IBREAL_BS PACK-Version.02_IBREAL_BS PACK-Version.03_IBREAL_BS PACK-Version.07 2" xfId="4273" xr:uid="{00000000-0005-0000-0000-0000B1100000}"/>
    <cellStyle name="_BSFORMAT_Dividend working_IREL_3000_2009-29_July2009  Final Shahi" xfId="4274" xr:uid="{00000000-0005-0000-0000-0000B2100000}"/>
    <cellStyle name="_BSFORMAT_Dividend working_IREL_3000_2009-29_July2009  Final Shahi 2" xfId="4275" xr:uid="{00000000-0005-0000-0000-0000B3100000}"/>
    <cellStyle name="_BSFORMAT_Dividend working_IREL_3000_2009-29_July2009  Final Shahi_IBREAL_BS PACK-Version.02" xfId="4276" xr:uid="{00000000-0005-0000-0000-0000B4100000}"/>
    <cellStyle name="_BSFORMAT_Dividend working_IREL_3000_2009-29_July2009  Final Shahi_IBREAL_BS PACK-Version.02 2" xfId="4277" xr:uid="{00000000-0005-0000-0000-0000B5100000}"/>
    <cellStyle name="_BSFORMAT_Dividend working_IREL_3000_2009-29_July2009  Final Shahi_IBREAL_BS PACK-Version.02_IBREAL_BS PACK-Version.03" xfId="4278" xr:uid="{00000000-0005-0000-0000-0000B6100000}"/>
    <cellStyle name="_BSFORMAT_Dividend working_IREL_3000_2009-29_July2009  Final Shahi_IBREAL_BS PACK-Version.02_IBREAL_BS PACK-Version.03 2" xfId="4279" xr:uid="{00000000-0005-0000-0000-0000B7100000}"/>
    <cellStyle name="_BSFORMAT_Dividend working_IREL_3000_2009-29_July2009  Final Shahi_IBREAL_BS PACK-Version.02_IBREAL_BS PACK-Version.03_IBREAL_BS PACK-Version.07" xfId="4280" xr:uid="{00000000-0005-0000-0000-0000B8100000}"/>
    <cellStyle name="_BSFORMAT_Dividend working_IREL_3000_2009-29_July2009  Final Shahi_IBREAL_BS PACK-Version.02_IBREAL_BS PACK-Version.03_IBREAL_BS PACK-Version.07 2" xfId="4281" xr:uid="{00000000-0005-0000-0000-0000B9100000}"/>
    <cellStyle name="_BSFORMAT_EPL_3346_2007-08" xfId="4282" xr:uid="{00000000-0005-0000-0000-0000BA100000}"/>
    <cellStyle name="_BSFORMAT_EPL_3346_2007-08(C)" xfId="4283" xr:uid="{00000000-0005-0000-0000-0000BB100000}"/>
    <cellStyle name="_BSFORMAT_Final Consol Balance Sheet_Sophia_Dec08_27.01.08" xfId="4284" xr:uid="{00000000-0005-0000-0000-0000BC100000}"/>
    <cellStyle name="_BSFORMAT_Fixed Assets consolidated" xfId="4285" xr:uid="{00000000-0005-0000-0000-0000BD100000}"/>
    <cellStyle name="_BSFORMAT_Fornax" xfId="4286" xr:uid="{00000000-0005-0000-0000-0000BE100000}"/>
    <cellStyle name="_BSFORMAT_IAMCL BS working -New format_31.03 V5" xfId="4287" xr:uid="{00000000-0005-0000-0000-0000BF100000}"/>
    <cellStyle name="_BSFORMAT_IB Asset Management _2910" xfId="4288" xr:uid="{00000000-0005-0000-0000-0000C0100000}"/>
    <cellStyle name="_BSFORMAT_IB Asset Management _2910_IB Collection Agency_3103 V3" xfId="4289" xr:uid="{00000000-0005-0000-0000-0000C1100000}"/>
    <cellStyle name="_BSFORMAT_IB Asset Management _2910_IB Collection Agency_3103 V3_ICAL-New Format_31.03 V4" xfId="4290" xr:uid="{00000000-0005-0000-0000-0000C2100000}"/>
    <cellStyle name="_BSFORMAT_IB Asset Management _2910_ICAL-BS Final Working _New format" xfId="4291" xr:uid="{00000000-0005-0000-0000-0000C3100000}"/>
    <cellStyle name="_BSFORMAT_IB Asset Management _3103_ver5" xfId="4292" xr:uid="{00000000-0005-0000-0000-0000C4100000}"/>
    <cellStyle name="_BSFORMAT_IB Asset Management_3103 V2" xfId="4293" xr:uid="{00000000-0005-0000-0000-0000C5100000}"/>
    <cellStyle name="_BSFORMAT_IB Asset Management_3103 V4" xfId="4294" xr:uid="{00000000-0005-0000-0000-0000C6100000}"/>
    <cellStyle name="_BSFORMAT_IB Asset Management_3103 V5" xfId="4295" xr:uid="{00000000-0005-0000-0000-0000C7100000}"/>
    <cellStyle name="_BSFORMAT_IB Collection Agency_3103 V3" xfId="4296" xr:uid="{00000000-0005-0000-0000-0000C8100000}"/>
    <cellStyle name="_BSFORMAT_IB Collection Agency_3103 V3_ICAL-New Format_31.03 V4" xfId="4297" xr:uid="{00000000-0005-0000-0000-0000C9100000}"/>
    <cellStyle name="_BSFORMAT_IB Infrastructure Credit" xfId="4298" xr:uid="{00000000-0005-0000-0000-0000CA100000}"/>
    <cellStyle name="_BSFORMAT_IB Infrastructure Credit-3103_V6" xfId="4299" xr:uid="{00000000-0005-0000-0000-0000CB100000}"/>
    <cellStyle name="_BSFORMAT_IB Infrastructure Credit-3103_V7" xfId="4300" xr:uid="{00000000-0005-0000-0000-0000CC100000}"/>
    <cellStyle name="_BSFORMAT_IB Life Insurance_3103 V4" xfId="4301" xr:uid="{00000000-0005-0000-0000-0000CD100000}"/>
    <cellStyle name="_BSFORMAT_IB Trustee Company_3103 V4" xfId="4302" xr:uid="{00000000-0005-0000-0000-0000CE100000}"/>
    <cellStyle name="_BSFORMAT_IBFSL 30 Sep 11 V8" xfId="4303" xr:uid="{00000000-0005-0000-0000-0000CF100000}"/>
    <cellStyle name="_BSFORMAT_IBFSL_Conso_June_09_10 " xfId="4304" xr:uid="{00000000-0005-0000-0000-0000D0100000}"/>
    <cellStyle name="_BSFORMAT_IBFSL_Conso_June_09_10  2" xfId="4305" xr:uid="{00000000-0005-0000-0000-0000D1100000}"/>
    <cellStyle name="_BSFORMAT_IBFSL_Conso_June_09_10 _Book1 (2)" xfId="4306" xr:uid="{00000000-0005-0000-0000-0000D2100000}"/>
    <cellStyle name="_BSFORMAT_IBFSL_Conso_June_09_10 _Book1 (2) 2" xfId="4307" xr:uid="{00000000-0005-0000-0000-0000D3100000}"/>
    <cellStyle name="_BSFORMAT_IBFSL_Conso_June_09_10 _ISL__3CD_FY2010-11" xfId="4308" xr:uid="{00000000-0005-0000-0000-0000D4100000}"/>
    <cellStyle name="_BSFORMAT_IBFSL_Conso_June_09_10 _ISL_Conso_09_10_Other working" xfId="4309" xr:uid="{00000000-0005-0000-0000-0000D5100000}"/>
    <cellStyle name="_BSFORMAT_IBFSL_Conso_June_09_10 _ISL_Conso_09_10_Other working 2" xfId="4310" xr:uid="{00000000-0005-0000-0000-0000D6100000}"/>
    <cellStyle name="_BSFORMAT_IBFSL_Conso_June_09_10 _ISL_Conso_09_10_Other working_Xl0000012" xfId="4311" xr:uid="{00000000-0005-0000-0000-0000D7100000}"/>
    <cellStyle name="_BSFORMAT_IBFSL_Conso_June_09_10 _ISL_Conso_09_10_Other working_Xl0000012 2" xfId="4312" xr:uid="{00000000-0005-0000-0000-0000D8100000}"/>
    <cellStyle name="_BSFORMAT_IBFSL_Conso_June_09_10 _ISL_conso_August_10_11" xfId="4313" xr:uid="{00000000-0005-0000-0000-0000D9100000}"/>
    <cellStyle name="_BSFORMAT_IBFSL_Conso_June_09_10 _ISL_conso_August_10_11 2" xfId="4314" xr:uid="{00000000-0005-0000-0000-0000DA100000}"/>
    <cellStyle name="_BSFORMAT_IBFSL_Conso_June_09_10 _ISL_conso_December_10_11" xfId="4315" xr:uid="{00000000-0005-0000-0000-0000DB100000}"/>
    <cellStyle name="_BSFORMAT_IBFSL_Conso_June_09_10 _ISL_conso_December_10_11 2" xfId="4316" xr:uid="{00000000-0005-0000-0000-0000DC100000}"/>
    <cellStyle name="_BSFORMAT_IBFSL_Conso_June_09_10 _ISL_conso_July_10_11" xfId="4317" xr:uid="{00000000-0005-0000-0000-0000DD100000}"/>
    <cellStyle name="_BSFORMAT_IBFSL_Conso_June_09_10 _ISL_conso_July_10_11 2" xfId="4318" xr:uid="{00000000-0005-0000-0000-0000DE100000}"/>
    <cellStyle name="_BSFORMAT_IBFSL_Conso_June_09_10 _ISL_conso_June_10_11" xfId="4319" xr:uid="{00000000-0005-0000-0000-0000DF100000}"/>
    <cellStyle name="_BSFORMAT_IBFSL_Conso_June_09_10 _ISL_conso_June_10_11 2" xfId="4320" xr:uid="{00000000-0005-0000-0000-0000E0100000}"/>
    <cellStyle name="_BSFORMAT_IBFSL_Conso_June_09_10 _ISL_conso_March_09_10" xfId="4321" xr:uid="{00000000-0005-0000-0000-0000E1100000}"/>
    <cellStyle name="_BSFORMAT_IBFSL_Conso_June_09_10 _ISL_conso_March_09_10 2" xfId="4322" xr:uid="{00000000-0005-0000-0000-0000E2100000}"/>
    <cellStyle name="_BSFORMAT_IBFSL_Conso_June_09_10 _ISL_conso_March_09_10_Xl0000012" xfId="4323" xr:uid="{00000000-0005-0000-0000-0000E3100000}"/>
    <cellStyle name="_BSFORMAT_IBFSL_Conso_June_09_10 _ISL_conso_March_09_10_Xl0000012 2" xfId="4324" xr:uid="{00000000-0005-0000-0000-0000E4100000}"/>
    <cellStyle name="_BSFORMAT_IBFSL_Conso_June_09_10 _ISL_conso_May_10_11" xfId="4325" xr:uid="{00000000-0005-0000-0000-0000E5100000}"/>
    <cellStyle name="_BSFORMAT_IBFSL_Conso_June_09_10 _ISL_conso_May_10_11 2" xfId="4326" xr:uid="{00000000-0005-0000-0000-0000E6100000}"/>
    <cellStyle name="_BSFORMAT_IBFSL_Conso_June_09_10 _ISL_conso_November_10_11" xfId="4327" xr:uid="{00000000-0005-0000-0000-0000E7100000}"/>
    <cellStyle name="_BSFORMAT_IBFSL_Conso_June_09_10 _ISL_conso_November_10_11 2" xfId="4328" xr:uid="{00000000-0005-0000-0000-0000E8100000}"/>
    <cellStyle name="_BSFORMAT_IBFSL_Conso_June_09_10 _ISL_conso_October_10_11" xfId="4329" xr:uid="{00000000-0005-0000-0000-0000E9100000}"/>
    <cellStyle name="_BSFORMAT_IBFSL_Conso_June_09_10 _ISL_conso_October_10_11 2" xfId="4330" xr:uid="{00000000-0005-0000-0000-0000EA100000}"/>
    <cellStyle name="_BSFORMAT_IBFSL_Conso_June_09_10 _ISL_conso_September_10_11" xfId="4331" xr:uid="{00000000-0005-0000-0000-0000EB100000}"/>
    <cellStyle name="_BSFORMAT_IBFSL_Conso_June_09_10 _ISL_conso_September_10_11 2" xfId="4332" xr:uid="{00000000-0005-0000-0000-0000EC100000}"/>
    <cellStyle name="_BSFORMAT_IBFSL_Conso_June_09_10 _ISL_June_10" xfId="4333" xr:uid="{00000000-0005-0000-0000-0000ED100000}"/>
    <cellStyle name="_BSFORMAT_IBFSL_Conso_June_09_10 _ISL_June_10 2" xfId="4334" xr:uid="{00000000-0005-0000-0000-0000EE100000}"/>
    <cellStyle name="_BSFORMAT_IBFSL_Conso_June_09_10 _Results" xfId="4335" xr:uid="{00000000-0005-0000-0000-0000EF100000}"/>
    <cellStyle name="_BSFORMAT_IBFSL_Conso_June_09_10 _Results 2" xfId="4336" xr:uid="{00000000-0005-0000-0000-0000F0100000}"/>
    <cellStyle name="_BSFORMAT_IBFSL_Conso_June_09_10 _Xl0000012" xfId="4337" xr:uid="{00000000-0005-0000-0000-0000F1100000}"/>
    <cellStyle name="_BSFORMAT_IBFSL_Conso_June_09_10 _Xl0000012 2" xfId="4338" xr:uid="{00000000-0005-0000-0000-0000F2100000}"/>
    <cellStyle name="_BSFORMAT_IBFSL_Conso_March_10_11" xfId="4339" xr:uid="{00000000-0005-0000-0000-0000F3100000}"/>
    <cellStyle name="_BSFORMAT_IBL_09.12.2009" xfId="4340" xr:uid="{00000000-0005-0000-0000-0000F4100000}"/>
    <cellStyle name="_BSFORMAT_IBLIC_BS  Final working -New_Format_31.03 V5" xfId="4341" xr:uid="{00000000-0005-0000-0000-0000F5100000}"/>
    <cellStyle name="_BSFORMAT_Ibulls BS Final woirking -New format_31.03 V5" xfId="4342" xr:uid="{00000000-0005-0000-0000-0000F6100000}"/>
    <cellStyle name="_BSFORMAT_IbullsSales_3009V3 (3)" xfId="4343" xr:uid="{00000000-0005-0000-0000-0000F7100000}"/>
    <cellStyle name="_BSFORMAT_IbullsSales_3103" xfId="4344" xr:uid="{00000000-0005-0000-0000-0000F8100000}"/>
    <cellStyle name="_BSFORMAT_IbullsSales_3103 V2" xfId="4345" xr:uid="{00000000-0005-0000-0000-0000F9100000}"/>
    <cellStyle name="_BSFORMAT_IbullsSales_3103 V5" xfId="4346" xr:uid="{00000000-0005-0000-0000-0000FA100000}"/>
    <cellStyle name="_BSFORMAT_ICAL-BS Final Working _New format" xfId="4347" xr:uid="{00000000-0005-0000-0000-0000FB100000}"/>
    <cellStyle name="_BSFORMAT_ICD Detail External from IBREL 23Jun'08" xfId="4348" xr:uid="{00000000-0005-0000-0000-0000FC100000}"/>
    <cellStyle name="_BSFORMAT_ICD Detail External from IBREL 23Jun'08 2" xfId="4349" xr:uid="{00000000-0005-0000-0000-0000FD100000}"/>
    <cellStyle name="_BSFORMAT_ICD_Int Working" xfId="4350" xr:uid="{00000000-0005-0000-0000-0000FE100000}"/>
    <cellStyle name="_BSFORMAT_ICD_Int Working_EPS working" xfId="4351" xr:uid="{00000000-0005-0000-0000-0000FF100000}"/>
    <cellStyle name="_BSFORMAT_ICD_Int Working_EPS working 2" xfId="4352" xr:uid="{00000000-0005-0000-0000-000000110000}"/>
    <cellStyle name="_BSFORMAT_ICD_Int Working_EPS working_IBREAL_BS PACK-Version.02" xfId="4353" xr:uid="{00000000-0005-0000-0000-000001110000}"/>
    <cellStyle name="_BSFORMAT_ICD_Int Working_EPS working_IBREAL_BS PACK-Version.02 2" xfId="4354" xr:uid="{00000000-0005-0000-0000-000002110000}"/>
    <cellStyle name="_BSFORMAT_ICD_Int Working_EPS working_IBREAL_BS PACK-Version.02_IBREAL_BS PACK-Version.03" xfId="4355" xr:uid="{00000000-0005-0000-0000-000003110000}"/>
    <cellStyle name="_BSFORMAT_ICD_Int Working_EPS working_IBREAL_BS PACK-Version.02_IBREAL_BS PACK-Version.03 2" xfId="4356" xr:uid="{00000000-0005-0000-0000-000004110000}"/>
    <cellStyle name="_BSFORMAT_ICD_Int Working_EPS working_IBREAL_BS PACK-Version.02_IBREAL_BS PACK-Version.03_IBREAL_BS PACK-Version.07" xfId="4357" xr:uid="{00000000-0005-0000-0000-000005110000}"/>
    <cellStyle name="_BSFORMAT_ICD_Int Working_EPS working_IBREAL_BS PACK-Version.02_IBREAL_BS PACK-Version.03_IBREAL_BS PACK-Version.07 2" xfId="4358" xr:uid="{00000000-0005-0000-0000-000006110000}"/>
    <cellStyle name="_BSFORMAT_ICD_Int Working_IREL_3000_08-09" xfId="4359" xr:uid="{00000000-0005-0000-0000-000007110000}"/>
    <cellStyle name="_BSFORMAT_ICD_Int Working_IREL_3000_08-09 2" xfId="4360" xr:uid="{00000000-0005-0000-0000-000008110000}"/>
    <cellStyle name="_BSFORMAT_ICD_Int Working_IREL_3000_08-09 stage 3" xfId="4361" xr:uid="{00000000-0005-0000-0000-000009110000}"/>
    <cellStyle name="_BSFORMAT_ICD_Int Working_IREL_3000_08-09 stage 3_IREL_3000_08-09" xfId="4362" xr:uid="{00000000-0005-0000-0000-00000A110000}"/>
    <cellStyle name="_BSFORMAT_ICD_Int Working_IREL_3000_08-09 stage 3_IREL_3000_08-09 2" xfId="4363" xr:uid="{00000000-0005-0000-0000-00000B110000}"/>
    <cellStyle name="_BSFORMAT_ICD_Int Working_IREL_3000_08-09_IBREAL_BS PACK-Version.02" xfId="4364" xr:uid="{00000000-0005-0000-0000-00000C110000}"/>
    <cellStyle name="_BSFORMAT_ICD_Int Working_IREL_3000_08-09_IBREAL_BS PACK-Version.02 2" xfId="4365" xr:uid="{00000000-0005-0000-0000-00000D110000}"/>
    <cellStyle name="_BSFORMAT_ICD_Int Working_IREL_3000_08-09_IBREAL_BS PACK-Version.02_IBREAL_BS PACK-Version.03" xfId="4366" xr:uid="{00000000-0005-0000-0000-00000E110000}"/>
    <cellStyle name="_BSFORMAT_ICD_Int Working_IREL_3000_08-09_IBREAL_BS PACK-Version.02_IBREAL_BS PACK-Version.03 2" xfId="4367" xr:uid="{00000000-0005-0000-0000-00000F110000}"/>
    <cellStyle name="_BSFORMAT_ICD_Int Working_IREL_3000_08-09_IBREAL_BS PACK-Version.02_IBREAL_BS PACK-Version.03_IBREAL_BS PACK-Version.07" xfId="4368" xr:uid="{00000000-0005-0000-0000-000010110000}"/>
    <cellStyle name="_BSFORMAT_ICD_Int Working_IREL_3000_08-09_IBREAL_BS PACK-Version.02_IBREAL_BS PACK-Version.03_IBREAL_BS PACK-Version.07 2" xfId="4369" xr:uid="{00000000-0005-0000-0000-000011110000}"/>
    <cellStyle name="_BSFORMAT_ICD_Int Working_IREL_3000_2009-29_July2009  Final Shahi" xfId="4370" xr:uid="{00000000-0005-0000-0000-000012110000}"/>
    <cellStyle name="_BSFORMAT_ICD_Int Working_IREL_3000_2009-29_July2009  Final Shahi 2" xfId="4371" xr:uid="{00000000-0005-0000-0000-000013110000}"/>
    <cellStyle name="_BSFORMAT_ICD_Int Working_IREL_3000_2009-29_July2009  Final Shahi_IBREAL_BS PACK-Version.02" xfId="4372" xr:uid="{00000000-0005-0000-0000-000014110000}"/>
    <cellStyle name="_BSFORMAT_ICD_Int Working_IREL_3000_2009-29_July2009  Final Shahi_IBREAL_BS PACK-Version.02 2" xfId="4373" xr:uid="{00000000-0005-0000-0000-000015110000}"/>
    <cellStyle name="_BSFORMAT_ICD_Int Working_IREL_3000_2009-29_July2009  Final Shahi_IBREAL_BS PACK-Version.02_IBREAL_BS PACK-Version.03" xfId="4374" xr:uid="{00000000-0005-0000-0000-000016110000}"/>
    <cellStyle name="_BSFORMAT_ICD_Int Working_IREL_3000_2009-29_July2009  Final Shahi_IBREAL_BS PACK-Version.02_IBREAL_BS PACK-Version.03 2" xfId="4375" xr:uid="{00000000-0005-0000-0000-000017110000}"/>
    <cellStyle name="_BSFORMAT_ICD_Int Working_IREL_3000_2009-29_July2009  Final Shahi_IBREAL_BS PACK-Version.02_IBREAL_BS PACK-Version.03_IBREAL_BS PACK-Version.07" xfId="4376" xr:uid="{00000000-0005-0000-0000-000018110000}"/>
    <cellStyle name="_BSFORMAT_ICD_Int Working_IREL_3000_2009-29_July2009  Final Shahi_IBREAL_BS PACK-Version.02_IBREAL_BS PACK-Version.03_IBREAL_BS PACK-Version.07 2" xfId="4377" xr:uid="{00000000-0005-0000-0000-000019110000}"/>
    <cellStyle name="_BSFORMAT_ICL_09 12 2009" xfId="4378" xr:uid="{00000000-0005-0000-0000-00001A110000}"/>
    <cellStyle name="_BSFORMAT_ICL_BS_30.06.2009" xfId="4379" xr:uid="{00000000-0005-0000-0000-00001B110000}"/>
    <cellStyle name="_BSFORMAT_ICPL_BS_31.03.2009" xfId="4380" xr:uid="{00000000-0005-0000-0000-00001C110000}"/>
    <cellStyle name="_BSFORMAT_ICPL_BS_31.03.2009 2" xfId="4381" xr:uid="{00000000-0005-0000-0000-00001D110000}"/>
    <cellStyle name="_BSFORMAT_ICPL_BS_31.03.2009_Detail of IPO funding" xfId="4382" xr:uid="{00000000-0005-0000-0000-00001E110000}"/>
    <cellStyle name="_BSFORMAT_ICPL_BS_31.03.2009_IFCPL 31 03 2010 VER6 Final" xfId="4383" xr:uid="{00000000-0005-0000-0000-00001F110000}"/>
    <cellStyle name="_BSFORMAT_ICPL_BS_31.03.2009_new" xfId="4384" xr:uid="{00000000-0005-0000-0000-000020110000}"/>
    <cellStyle name="_BSFORMAT_ICPL_BS_31.03.2009_new_ISL__3CD_FY2010-11" xfId="4385" xr:uid="{00000000-0005-0000-0000-000021110000}"/>
    <cellStyle name="_BSFORMAT_IDSL_31.03.2010" xfId="4386" xr:uid="{00000000-0005-0000-0000-000022110000}"/>
    <cellStyle name="_BSFORMAT_IEL net worth as on 31st March 2007." xfId="4387" xr:uid="{00000000-0005-0000-0000-000023110000}"/>
    <cellStyle name="_BSFORMAT_IEL_3210_ 2007-2008" xfId="4388" xr:uid="{00000000-0005-0000-0000-000024110000}"/>
    <cellStyle name="_BSFORMAT_IEL_3210_ 2007-2008_260508" xfId="4389" xr:uid="{00000000-0005-0000-0000-000025110000}"/>
    <cellStyle name="_BSFORMAT_IESL_09.12.2009" xfId="4390" xr:uid="{00000000-0005-0000-0000-000026110000}"/>
    <cellStyle name="_BSFORMAT_IFCPL 31 03 2010 VER6 Final" xfId="4391" xr:uid="{00000000-0005-0000-0000-000027110000}"/>
    <cellStyle name="_BSFORMAT_IFCPL 31.03.09 ver 6 - RBI Return" xfId="4392" xr:uid="{00000000-0005-0000-0000-000028110000}"/>
    <cellStyle name="_BSFORMAT_IFCPL Financials - March 2009" xfId="4393" xr:uid="{00000000-0005-0000-0000-000029110000}"/>
    <cellStyle name="_BSFORMAT_IFCPL Financials - March 2009 2" xfId="4394" xr:uid="{00000000-0005-0000-0000-00002A110000}"/>
    <cellStyle name="_BSFORMAT_IFCPL Financials - March 2009 With Computation" xfId="4395" xr:uid="{00000000-0005-0000-0000-00002B110000}"/>
    <cellStyle name="_BSFORMAT_IFCPL Financials - March 2009 With Computation 2" xfId="4396" xr:uid="{00000000-0005-0000-0000-00002C110000}"/>
    <cellStyle name="_BSFORMAT_IFCPL Financials - March 2009 With Computation_Detail of IPO funding" xfId="4397" xr:uid="{00000000-0005-0000-0000-00002D110000}"/>
    <cellStyle name="_BSFORMAT_IFCPL Financials - March 2009 With Computation_IFCPL 31 03 2010 VER6 Final" xfId="4398" xr:uid="{00000000-0005-0000-0000-00002E110000}"/>
    <cellStyle name="_BSFORMAT_IFCPL Financials - March 2009_FDR working" xfId="4399" xr:uid="{00000000-0005-0000-0000-00002F110000}"/>
    <cellStyle name="_BSFORMAT_IFCPL Financials - March 2009_IFCPL 31 03 2010 VER6 Final" xfId="4400" xr:uid="{00000000-0005-0000-0000-000030110000}"/>
    <cellStyle name="_BSFORMAT_IHFL_SEP_30_2009 XIII AUDIT- Sch II" xfId="4401" xr:uid="{00000000-0005-0000-0000-000031110000}"/>
    <cellStyle name="_BSFORMAT_IIAL 31.03.2010 VER2" xfId="4402" xr:uid="{00000000-0005-0000-0000-000032110000}"/>
    <cellStyle name="_BSFORMAT_IICL_March'11" xfId="4403" xr:uid="{00000000-0005-0000-0000-000033110000}"/>
    <cellStyle name="_BSFORMAT_IIDL_3227_2007-08" xfId="4404" xr:uid="{00000000-0005-0000-0000-000034110000}"/>
    <cellStyle name="_BSFORMAT_IIL_3220_2007-08" xfId="4405" xr:uid="{00000000-0005-0000-0000-000035110000}"/>
    <cellStyle name="_BSFORMAT_Indiabulls Asset Management Company Limited printable" xfId="4406" xr:uid="{00000000-0005-0000-0000-000036110000}"/>
    <cellStyle name="_BSFORMAT_Interest receivable from Divya Shakti" xfId="4407" xr:uid="{00000000-0005-0000-0000-000037110000}"/>
    <cellStyle name="_BSFORMAT_IPGL_3355_2007-08" xfId="4408" xr:uid="{00000000-0005-0000-0000-000038110000}"/>
    <cellStyle name="_BSFORMAT_Ipsl_Nov_1 1" xfId="4409" xr:uid="{00000000-0005-0000-0000-000039110000}"/>
    <cellStyle name="_BSFORMAT_IRECPL_Himanshu Shah Bill" xfId="4410" xr:uid="{00000000-0005-0000-0000-00003A110000}"/>
    <cellStyle name="_BSFORMAT_IREL(Conso)_2007-08_March_Revised" xfId="4411" xr:uid="{00000000-0005-0000-0000-00003B110000}"/>
    <cellStyle name="_BSFORMAT_IREL(Conso)_2007-08_March_Revised_IREL_3000_08-09" xfId="4412" xr:uid="{00000000-0005-0000-0000-00003C110000}"/>
    <cellStyle name="_BSFORMAT_IREL(Conso)_2007-08_March_Revised_IREL_3000_08-09 2" xfId="4413" xr:uid="{00000000-0005-0000-0000-00003D110000}"/>
    <cellStyle name="_BSFORMAT_IREL(Conso)_2007-08_March_Revised_IREL_3000_08-09 stage 3" xfId="4414" xr:uid="{00000000-0005-0000-0000-00003E110000}"/>
    <cellStyle name="_BSFORMAT_IREL(Conso)_2007-08_March_Revised_IREL_3000_08-09 stage 3_IREL_3000_08-09" xfId="4415" xr:uid="{00000000-0005-0000-0000-00003F110000}"/>
    <cellStyle name="_BSFORMAT_IREL(Conso)_2007-08_March_Revised_IREL_3000_08-09 stage 3_IREL_3000_08-09 2" xfId="4416" xr:uid="{00000000-0005-0000-0000-000040110000}"/>
    <cellStyle name="_BSFORMAT_IREL(Conso)_2007-08_March_Revised_IREL_3000_08-09_IBREAL_BS PACK-Version.02" xfId="4417" xr:uid="{00000000-0005-0000-0000-000041110000}"/>
    <cellStyle name="_BSFORMAT_IREL(Conso)_2007-08_March_Revised_IREL_3000_08-09_IBREAL_BS PACK-Version.02 2" xfId="4418" xr:uid="{00000000-0005-0000-0000-000042110000}"/>
    <cellStyle name="_BSFORMAT_IREL(Conso)_2007-08_March_Revised_IREL_3000_08-09_IBREAL_BS PACK-Version.02_IBREAL_BS PACK-Version.03" xfId="4419" xr:uid="{00000000-0005-0000-0000-000043110000}"/>
    <cellStyle name="_BSFORMAT_IREL(Conso)_2007-08_March_Revised_IREL_3000_08-09_IBREAL_BS PACK-Version.02_IBREAL_BS PACK-Version.03 2" xfId="4420" xr:uid="{00000000-0005-0000-0000-000044110000}"/>
    <cellStyle name="_BSFORMAT_IREL(Conso)_2007-08_March_Revised_IREL_3000_08-09_IBREAL_BS PACK-Version.02_IBREAL_BS PACK-Version.03_IBREAL_BS PACK-Version.07" xfId="4421" xr:uid="{00000000-0005-0000-0000-000045110000}"/>
    <cellStyle name="_BSFORMAT_IREL(Conso)_2007-08_March_Revised_IREL_3000_08-09_IBREAL_BS PACK-Version.02_IBREAL_BS PACK-Version.03_IBREAL_BS PACK-Version.07 2" xfId="4422" xr:uid="{00000000-0005-0000-0000-000046110000}"/>
    <cellStyle name="_BSFORMAT_IREL(Conso)_2007-08_November-1" xfId="4423" xr:uid="{00000000-0005-0000-0000-000047110000}"/>
    <cellStyle name="_BSFORMAT_IREL(Conso)_2007-08_November-1 2" xfId="4424" xr:uid="{00000000-0005-0000-0000-000048110000}"/>
    <cellStyle name="_BSFORMAT_IREL(Conso)_2007-08_November-1_Abstract-2007-08" xfId="4425" xr:uid="{00000000-0005-0000-0000-000049110000}"/>
    <cellStyle name="_BSFORMAT_IREL(Conso)_2007-08_November-1_Aug consl backup-land adv &amp; Ext ICD" xfId="4426" xr:uid="{00000000-0005-0000-0000-00004A110000}"/>
    <cellStyle name="_BSFORMAT_IREL(Conso)_2007-08_November-1_Fornax" xfId="4427" xr:uid="{00000000-0005-0000-0000-00004B110000}"/>
    <cellStyle name="_BSFORMAT_IREL(Conso)_2007-08_November-1_IREL_3000_08-09" xfId="4428" xr:uid="{00000000-0005-0000-0000-00004C110000}"/>
    <cellStyle name="_BSFORMAT_IREL(Conso)_2007-08_November-1_ISL Group - Advance Tax working for 3rd Instalment" xfId="4429" xr:uid="{00000000-0005-0000-0000-00004D110000}"/>
    <cellStyle name="_BSFORMAT_IREL(Conso)_June_07-08_30-07-08" xfId="4430" xr:uid="{00000000-0005-0000-0000-00004E110000}"/>
    <cellStyle name="_BSFORMAT_IREL(Conso)_June_07-08_30-07-08_IREL_3000_08-09" xfId="4431" xr:uid="{00000000-0005-0000-0000-00004F110000}"/>
    <cellStyle name="_BSFORMAT_IREL(Conso)_June_07-08_30-07-08_IREL_3000_08-09 2" xfId="4432" xr:uid="{00000000-0005-0000-0000-000050110000}"/>
    <cellStyle name="_BSFORMAT_IREL(Conso)_June_07-08_30-07-08_IREL_3000_08-09 stage 3" xfId="4433" xr:uid="{00000000-0005-0000-0000-000051110000}"/>
    <cellStyle name="_BSFORMAT_IREL(Conso)_June_07-08_30-07-08_IREL_3000_08-09 stage 3_IREL_3000_08-09" xfId="4434" xr:uid="{00000000-0005-0000-0000-000052110000}"/>
    <cellStyle name="_BSFORMAT_IREL(Conso)_June_07-08_30-07-08_IREL_3000_08-09 stage 3_IREL_3000_08-09 2" xfId="4435" xr:uid="{00000000-0005-0000-0000-000053110000}"/>
    <cellStyle name="_BSFORMAT_IREL(Conso)_June_07-08_30-07-08_IREL_3000_08-09_IBREAL_BS PACK-Version.02" xfId="4436" xr:uid="{00000000-0005-0000-0000-000054110000}"/>
    <cellStyle name="_BSFORMAT_IREL(Conso)_June_07-08_30-07-08_IREL_3000_08-09_IBREAL_BS PACK-Version.02 2" xfId="4437" xr:uid="{00000000-0005-0000-0000-000055110000}"/>
    <cellStyle name="_BSFORMAT_IREL(Conso)_June_07-08_30-07-08_IREL_3000_08-09_IBREAL_BS PACK-Version.02_IBREAL_BS PACK-Version.03" xfId="4438" xr:uid="{00000000-0005-0000-0000-000056110000}"/>
    <cellStyle name="_BSFORMAT_IREL(Conso)_June_07-08_30-07-08_IREL_3000_08-09_IBREAL_BS PACK-Version.02_IBREAL_BS PACK-Version.03 2" xfId="4439" xr:uid="{00000000-0005-0000-0000-000057110000}"/>
    <cellStyle name="_BSFORMAT_IREL(Conso)_June_07-08_30-07-08_IREL_3000_08-09_IBREAL_BS PACK-Version.02_IBREAL_BS PACK-Version.03_IBREAL_BS PACK-Version.07" xfId="4440" xr:uid="{00000000-0005-0000-0000-000058110000}"/>
    <cellStyle name="_BSFORMAT_IREL(Conso)_June_07-08_30-07-08_IREL_3000_08-09_IBREAL_BS PACK-Version.02_IBREAL_BS PACK-Version.03_IBREAL_BS PACK-Version.07 2" xfId="4441" xr:uid="{00000000-0005-0000-0000-000059110000}"/>
    <cellStyle name="_BSFORMAT_IREL_3000_08-09" xfId="4442" xr:uid="{00000000-0005-0000-0000-00005A110000}"/>
    <cellStyle name="_BSFORMAT_IREL_3000_2007-08" xfId="4443" xr:uid="{00000000-0005-0000-0000-00005B110000}"/>
    <cellStyle name="_BSFORMAT_IREL_3000_2007-08 2" xfId="4444" xr:uid="{00000000-0005-0000-0000-00005C110000}"/>
    <cellStyle name="_BSFORMAT_IREL_3000_2007-08_IREL_3000_08-09" xfId="4445" xr:uid="{00000000-0005-0000-0000-00005D110000}"/>
    <cellStyle name="_BSFORMAT_IRL_5002_2007-08" xfId="4446" xr:uid="{00000000-0005-0000-0000-00005E110000}"/>
    <cellStyle name="_BSFORMAT_IRL_5002_2008-09" xfId="4447" xr:uid="{00000000-0005-0000-0000-00005F110000}"/>
    <cellStyle name="_BSFORMAT_IRL_October" xfId="4448" xr:uid="{00000000-0005-0000-0000-000060110000}"/>
    <cellStyle name="_BSFORMAT_ISL Group - Advance Tax working for 3rd Instalment" xfId="4449" xr:uid="{00000000-0005-0000-0000-000061110000}"/>
    <cellStyle name="_BSFORMAT_ISL June 09" xfId="4450" xr:uid="{00000000-0005-0000-0000-000062110000}"/>
    <cellStyle name="_BSFORMAT_ISL June 09 2" xfId="4451" xr:uid="{00000000-0005-0000-0000-000063110000}"/>
    <cellStyle name="_BSFORMAT_ISL June 09_ISL__3CD_FY2010-11" xfId="4452" xr:uid="{00000000-0005-0000-0000-000064110000}"/>
    <cellStyle name="_BSFORMAT_ISL Rev" xfId="4453" xr:uid="{00000000-0005-0000-0000-000065110000}"/>
    <cellStyle name="_BSFORMAT_ISL Rev 2" xfId="4454" xr:uid="{00000000-0005-0000-0000-000066110000}"/>
    <cellStyle name="_BSFORMAT_ISL Rev_ISL__3CD_FY2010-11" xfId="4455" xr:uid="{00000000-0005-0000-0000-000067110000}"/>
    <cellStyle name="_BSFORMAT_ISL Rev_Results" xfId="4456" xr:uid="{00000000-0005-0000-0000-000068110000}"/>
    <cellStyle name="_BSFORMAT_ISL Rev_Results 2" xfId="4457" xr:uid="{00000000-0005-0000-0000-000069110000}"/>
    <cellStyle name="_BSFORMAT_ISL Rev_Xl0000012" xfId="4458" xr:uid="{00000000-0005-0000-0000-00006A110000}"/>
    <cellStyle name="_BSFORMAT_ISL Rev_Xl0000012 2" xfId="4459" xr:uid="{00000000-0005-0000-0000-00006B110000}"/>
    <cellStyle name="_BSFORMAT_ISL_ Adv Tax 2009-10 Q3" xfId="4460" xr:uid="{00000000-0005-0000-0000-00006C110000}"/>
    <cellStyle name="_BSFORMAT_ISL_BS_03.03.2009" xfId="4461" xr:uid="{00000000-0005-0000-0000-00006D110000}"/>
    <cellStyle name="_BSFORMAT_ISL_BS_03.03.2009 2" xfId="4462" xr:uid="{00000000-0005-0000-0000-00006E110000}"/>
    <cellStyle name="_BSFORMAT_ISL_BS_03.03.2009_ISL__3CD_FY2010-11" xfId="4463" xr:uid="{00000000-0005-0000-0000-00006F110000}"/>
    <cellStyle name="_BSFORMAT_ISL_BS_08.03.2009" xfId="4464" xr:uid="{00000000-0005-0000-0000-000070110000}"/>
    <cellStyle name="_BSFORMAT_ISL_BS_08.03.2009 2" xfId="4465" xr:uid="{00000000-0005-0000-0000-000071110000}"/>
    <cellStyle name="_BSFORMAT_ISL_BS_08.03.2009_ISL__3CD_FY2010-11" xfId="4466" xr:uid="{00000000-0005-0000-0000-000072110000}"/>
    <cellStyle name="_BSFORMAT_ISL_BS_15.03.2009" xfId="4467" xr:uid="{00000000-0005-0000-0000-000073110000}"/>
    <cellStyle name="_BSFORMAT_ISL_BS_15.03.2009 2" xfId="4468" xr:uid="{00000000-0005-0000-0000-000074110000}"/>
    <cellStyle name="_BSFORMAT_ISL_BS_15.03.2009_ISL__3CD_FY2010-11" xfId="4469" xr:uid="{00000000-0005-0000-0000-000075110000}"/>
    <cellStyle name="_BSFORMAT_ISL_BS_2008-09- First Cut" xfId="4470" xr:uid="{00000000-0005-0000-0000-000076110000}"/>
    <cellStyle name="_BSFORMAT_ISL_BS_2008-09- First Cut 2" xfId="4471" xr:uid="{00000000-0005-0000-0000-000077110000}"/>
    <cellStyle name="_BSFORMAT_ISL_BS_2008-09- First Cut_ISL__3CD_FY2010-11" xfId="4472" xr:uid="{00000000-0005-0000-0000-000078110000}"/>
    <cellStyle name="_BSFORMAT_ISL_BS_21.09.2009" xfId="4473" xr:uid="{00000000-0005-0000-0000-000079110000}"/>
    <cellStyle name="_BSFORMAT_ISL_BS_21.09.2009 2" xfId="4474" xr:uid="{00000000-0005-0000-0000-00007A110000}"/>
    <cellStyle name="_BSFORMAT_ISL_BS_23.02.2009" xfId="4475" xr:uid="{00000000-0005-0000-0000-00007B110000}"/>
    <cellStyle name="_BSFORMAT_ISL_BS_23.02.2009 2" xfId="4476" xr:uid="{00000000-0005-0000-0000-00007C110000}"/>
    <cellStyle name="_BSFORMAT_ISL_BS_23.02.2009_ISL__3CD_FY2010-11" xfId="4477" xr:uid="{00000000-0005-0000-0000-00007D110000}"/>
    <cellStyle name="_BSFORMAT_ISL_BS_24.02.2009" xfId="4478" xr:uid="{00000000-0005-0000-0000-00007E110000}"/>
    <cellStyle name="_BSFORMAT_ISL_BS_24.02.2009 2" xfId="4479" xr:uid="{00000000-0005-0000-0000-00007F110000}"/>
    <cellStyle name="_BSFORMAT_ISL_BS_24.02.2009_ISL__3CD_FY2010-11" xfId="4480" xr:uid="{00000000-0005-0000-0000-000080110000}"/>
    <cellStyle name="_BSFORMAT_ISL_BS_Aug 09" xfId="4481" xr:uid="{00000000-0005-0000-0000-000081110000}"/>
    <cellStyle name="_BSFORMAT_ISL_BS_Aug 09 2" xfId="4482" xr:uid="{00000000-0005-0000-0000-000082110000}"/>
    <cellStyle name="_BSFORMAT_ISL_BS_Aug 09.z" xfId="4483" xr:uid="{00000000-0005-0000-0000-000083110000}"/>
    <cellStyle name="_BSFORMAT_ISL_BS_Aug 09.z 2" xfId="4484" xr:uid="{00000000-0005-0000-0000-000084110000}"/>
    <cellStyle name="_BSFORMAT_ISL_BS_Aug 09.z_ISL__3CD_FY2010-11" xfId="4485" xr:uid="{00000000-0005-0000-0000-000085110000}"/>
    <cellStyle name="_BSFORMAT_ISL_BS_Aug 09_ISL__3CD_FY2010-11" xfId="4486" xr:uid="{00000000-0005-0000-0000-000086110000}"/>
    <cellStyle name="_BSFORMAT_ISL_Conso_09_10_Other working" xfId="4487" xr:uid="{00000000-0005-0000-0000-000087110000}"/>
    <cellStyle name="_BSFORMAT_ISL_Conso_09_10_Other working 2" xfId="4488" xr:uid="{00000000-0005-0000-0000-000088110000}"/>
    <cellStyle name="_BSFORMAT_ISL_conso_August_09_10" xfId="4489" xr:uid="{00000000-0005-0000-0000-000089110000}"/>
    <cellStyle name="_BSFORMAT_ISL_conso_August_09_10 2" xfId="4490" xr:uid="{00000000-0005-0000-0000-00008A110000}"/>
    <cellStyle name="_BSFORMAT_ISL_conso_August_09_10_ISL__3CD_FY2010-11" xfId="4491" xr:uid="{00000000-0005-0000-0000-00008B110000}"/>
    <cellStyle name="_BSFORMAT_ISL_conso_August_10_11" xfId="4492" xr:uid="{00000000-0005-0000-0000-00008C110000}"/>
    <cellStyle name="_BSFORMAT_ISL_conso_August_10_11 2" xfId="4493" xr:uid="{00000000-0005-0000-0000-00008D110000}"/>
    <cellStyle name="_BSFORMAT_ISL_conso_December_08_09" xfId="4494" xr:uid="{00000000-0005-0000-0000-00008E110000}"/>
    <cellStyle name="_BSFORMAT_ISL_conso_December_08_09 2" xfId="4495" xr:uid="{00000000-0005-0000-0000-00008F110000}"/>
    <cellStyle name="_BSFORMAT_ISL_conso_December_08_09_ISL__3CD_FY2010-11" xfId="4496" xr:uid="{00000000-0005-0000-0000-000090110000}"/>
    <cellStyle name="_BSFORMAT_ISL_conso_December_08_09_Results" xfId="4497" xr:uid="{00000000-0005-0000-0000-000091110000}"/>
    <cellStyle name="_BSFORMAT_ISL_conso_December_08_09_Results 2" xfId="4498" xr:uid="{00000000-0005-0000-0000-000092110000}"/>
    <cellStyle name="_BSFORMAT_ISL_conso_December_08_09_Xl0000012" xfId="4499" xr:uid="{00000000-0005-0000-0000-000093110000}"/>
    <cellStyle name="_BSFORMAT_ISL_conso_December_08_09_Xl0000012 2" xfId="4500" xr:uid="{00000000-0005-0000-0000-000094110000}"/>
    <cellStyle name="_BSFORMAT_ISL_conso_December_09_10" xfId="4501" xr:uid="{00000000-0005-0000-0000-000095110000}"/>
    <cellStyle name="_BSFORMAT_ISL_conso_December_09_10 2" xfId="4502" xr:uid="{00000000-0005-0000-0000-000096110000}"/>
    <cellStyle name="_BSFORMAT_ISL_conso_December_09_10_ISL__3CD_FY2010-11" xfId="4503" xr:uid="{00000000-0005-0000-0000-000097110000}"/>
    <cellStyle name="_BSFORMAT_ISL_conso_December_10_11" xfId="4504" xr:uid="{00000000-0005-0000-0000-000098110000}"/>
    <cellStyle name="_BSFORMAT_ISL_conso_December_10_11 2" xfId="4505" xr:uid="{00000000-0005-0000-0000-000099110000}"/>
    <cellStyle name="_BSFORMAT_ISL_conso_February_09_10" xfId="4506" xr:uid="{00000000-0005-0000-0000-00009A110000}"/>
    <cellStyle name="_BSFORMAT_ISL_conso_February_09_10 2" xfId="4507" xr:uid="{00000000-0005-0000-0000-00009B110000}"/>
    <cellStyle name="_BSFORMAT_ISL_conso_January_09_10" xfId="4508" xr:uid="{00000000-0005-0000-0000-00009C110000}"/>
    <cellStyle name="_BSFORMAT_ISL_conso_January_09_10 2" xfId="4509" xr:uid="{00000000-0005-0000-0000-00009D110000}"/>
    <cellStyle name="_BSFORMAT_ISL_conso_July_08_09" xfId="4510" xr:uid="{00000000-0005-0000-0000-00009E110000}"/>
    <cellStyle name="_BSFORMAT_ISL_conso_July_08_09 2" xfId="4511" xr:uid="{00000000-0005-0000-0000-00009F110000}"/>
    <cellStyle name="_BSFORMAT_ISL_conso_July_08_09_ISL__3CD_FY2010-11" xfId="4512" xr:uid="{00000000-0005-0000-0000-0000A0110000}"/>
    <cellStyle name="_BSFORMAT_ISL_conso_July_08_09_Results" xfId="4513" xr:uid="{00000000-0005-0000-0000-0000A1110000}"/>
    <cellStyle name="_BSFORMAT_ISL_conso_July_08_09_Results 2" xfId="4514" xr:uid="{00000000-0005-0000-0000-0000A2110000}"/>
    <cellStyle name="_BSFORMAT_ISL_conso_July_08_09_Xl0000012" xfId="4515" xr:uid="{00000000-0005-0000-0000-0000A3110000}"/>
    <cellStyle name="_BSFORMAT_ISL_conso_July_08_09_Xl0000012 2" xfId="4516" xr:uid="{00000000-0005-0000-0000-0000A4110000}"/>
    <cellStyle name="_BSFORMAT_ISL_conso_July_09_10" xfId="4517" xr:uid="{00000000-0005-0000-0000-0000A5110000}"/>
    <cellStyle name="_BSFORMAT_ISL_conso_July_09_10 2" xfId="4518" xr:uid="{00000000-0005-0000-0000-0000A6110000}"/>
    <cellStyle name="_BSFORMAT_ISL_conso_July_09_10_ISL__3CD_FY2010-11" xfId="4519" xr:uid="{00000000-0005-0000-0000-0000A7110000}"/>
    <cellStyle name="_BSFORMAT_ISL_conso_July_10_11" xfId="4520" xr:uid="{00000000-0005-0000-0000-0000A8110000}"/>
    <cellStyle name="_BSFORMAT_ISL_conso_July_10_11 2" xfId="4521" xr:uid="{00000000-0005-0000-0000-0000A9110000}"/>
    <cellStyle name="_BSFORMAT_ISL_conso_June_09_10" xfId="4522" xr:uid="{00000000-0005-0000-0000-0000AA110000}"/>
    <cellStyle name="_BSFORMAT_ISL_conso_June_09_10 2" xfId="4523" xr:uid="{00000000-0005-0000-0000-0000AB110000}"/>
    <cellStyle name="_BSFORMAT_ISL_conso_June_09_10_ISL__3CD_FY2010-11" xfId="4524" xr:uid="{00000000-0005-0000-0000-0000AC110000}"/>
    <cellStyle name="_BSFORMAT_ISL_conso_June_10_11" xfId="4525" xr:uid="{00000000-0005-0000-0000-0000AD110000}"/>
    <cellStyle name="_BSFORMAT_ISL_conso_June_10_11 2" xfId="4526" xr:uid="{00000000-0005-0000-0000-0000AE110000}"/>
    <cellStyle name="_BSFORMAT_ISL_conso_March_08_09" xfId="4527" xr:uid="{00000000-0005-0000-0000-0000AF110000}"/>
    <cellStyle name="_BSFORMAT_ISL_conso_March_08_09 2" xfId="4528" xr:uid="{00000000-0005-0000-0000-0000B0110000}"/>
    <cellStyle name="_BSFORMAT_ISL_conso_March_08_09_ISL__3CD_FY2010-11" xfId="4529" xr:uid="{00000000-0005-0000-0000-0000B1110000}"/>
    <cellStyle name="_BSFORMAT_ISL_conso_March_09_10" xfId="4530" xr:uid="{00000000-0005-0000-0000-0000B2110000}"/>
    <cellStyle name="_BSFORMAT_ISL_conso_March_09_10 2" xfId="4531" xr:uid="{00000000-0005-0000-0000-0000B3110000}"/>
    <cellStyle name="_BSFORMAT_ISL_conso_May_09_10" xfId="4532" xr:uid="{00000000-0005-0000-0000-0000B4110000}"/>
    <cellStyle name="_BSFORMAT_ISL_conso_May_09_10 2" xfId="4533" xr:uid="{00000000-0005-0000-0000-0000B5110000}"/>
    <cellStyle name="_BSFORMAT_ISL_conso_May_09_10_ISL__3CD_FY2010-11" xfId="4534" xr:uid="{00000000-0005-0000-0000-0000B6110000}"/>
    <cellStyle name="_BSFORMAT_ISL_conso_May_10_11" xfId="4535" xr:uid="{00000000-0005-0000-0000-0000B7110000}"/>
    <cellStyle name="_BSFORMAT_ISL_conso_May_10_11 2" xfId="4536" xr:uid="{00000000-0005-0000-0000-0000B8110000}"/>
    <cellStyle name="_BSFORMAT_ISL_conso_November_09_10" xfId="4537" xr:uid="{00000000-0005-0000-0000-0000B9110000}"/>
    <cellStyle name="_BSFORMAT_ISL_conso_November_09_10 2" xfId="4538" xr:uid="{00000000-0005-0000-0000-0000BA110000}"/>
    <cellStyle name="_BSFORMAT_ISL_conso_November_09_10_ISL__3CD_FY2010-11" xfId="4539" xr:uid="{00000000-0005-0000-0000-0000BB110000}"/>
    <cellStyle name="_BSFORMAT_ISL_conso_November_10_11" xfId="4540" xr:uid="{00000000-0005-0000-0000-0000BC110000}"/>
    <cellStyle name="_BSFORMAT_ISL_conso_November_10_11 2" xfId="4541" xr:uid="{00000000-0005-0000-0000-0000BD110000}"/>
    <cellStyle name="_BSFORMAT_ISL_conso_October_09_10" xfId="4542" xr:uid="{00000000-0005-0000-0000-0000BE110000}"/>
    <cellStyle name="_BSFORMAT_ISL_conso_October_09_10 2" xfId="4543" xr:uid="{00000000-0005-0000-0000-0000BF110000}"/>
    <cellStyle name="_BSFORMAT_ISL_conso_October_09_10_ISL__3CD_FY2010-11" xfId="4544" xr:uid="{00000000-0005-0000-0000-0000C0110000}"/>
    <cellStyle name="_BSFORMAT_ISL_conso_October_10_11" xfId="4545" xr:uid="{00000000-0005-0000-0000-0000C1110000}"/>
    <cellStyle name="_BSFORMAT_ISL_conso_October_10_11 2" xfId="4546" xr:uid="{00000000-0005-0000-0000-0000C2110000}"/>
    <cellStyle name="_BSFORMAT_ISL_conso_September_08_09" xfId="4547" xr:uid="{00000000-0005-0000-0000-0000C3110000}"/>
    <cellStyle name="_BSFORMAT_ISL_conso_September_08_09 2" xfId="4548" xr:uid="{00000000-0005-0000-0000-0000C4110000}"/>
    <cellStyle name="_BSFORMAT_ISL_conso_September_08_09_ISL__3CD_FY2010-11" xfId="4549" xr:uid="{00000000-0005-0000-0000-0000C5110000}"/>
    <cellStyle name="_BSFORMAT_ISL_conso_September_08_09_Results" xfId="4550" xr:uid="{00000000-0005-0000-0000-0000C6110000}"/>
    <cellStyle name="_BSFORMAT_ISL_conso_September_08_09_Results 2" xfId="4551" xr:uid="{00000000-0005-0000-0000-0000C7110000}"/>
    <cellStyle name="_BSFORMAT_ISL_conso_September_08_09_Xl0000012" xfId="4552" xr:uid="{00000000-0005-0000-0000-0000C8110000}"/>
    <cellStyle name="_BSFORMAT_ISL_conso_September_08_09_Xl0000012 2" xfId="4553" xr:uid="{00000000-0005-0000-0000-0000C9110000}"/>
    <cellStyle name="_BSFORMAT_ISL_conso_September_09_10" xfId="4554" xr:uid="{00000000-0005-0000-0000-0000CA110000}"/>
    <cellStyle name="_BSFORMAT_ISL_conso_September_09_10 2" xfId="4555" xr:uid="{00000000-0005-0000-0000-0000CB110000}"/>
    <cellStyle name="_BSFORMAT_ISL_conso_September_09_10_ISL__3CD_FY2010-11" xfId="4556" xr:uid="{00000000-0005-0000-0000-0000CC110000}"/>
    <cellStyle name="_BSFORMAT_ISL_conso_September_10_11" xfId="4557" xr:uid="{00000000-0005-0000-0000-0000CD110000}"/>
    <cellStyle name="_BSFORMAT_ISL_conso_September_10_11 2" xfId="4558" xr:uid="{00000000-0005-0000-0000-0000CE110000}"/>
    <cellStyle name="_BSFORMAT_ISL_June_10" xfId="4559" xr:uid="{00000000-0005-0000-0000-0000CF110000}"/>
    <cellStyle name="_BSFORMAT_ISL_June_10 2" xfId="4560" xr:uid="{00000000-0005-0000-0000-0000D0110000}"/>
    <cellStyle name="_BSFORMAT_ISL_MAR_2008_09" xfId="4561" xr:uid="{00000000-0005-0000-0000-0000D1110000}"/>
    <cellStyle name="_BSFORMAT_ISL_March_08_09.final_11.12.2009" xfId="4562" xr:uid="{00000000-0005-0000-0000-0000D2110000}"/>
    <cellStyle name="_BSFORMAT_ISL_March_08_09.final_11.12.2009_ISL__3CD_FY2010-11" xfId="4563" xr:uid="{00000000-0005-0000-0000-0000D3110000}"/>
    <cellStyle name="_BSFORMAT_ISL_Provisions_30.09.2010" xfId="4564" xr:uid="{00000000-0005-0000-0000-0000D4110000}"/>
    <cellStyle name="_BSFORMAT_ITCL_BS working _New format_31.03 V7" xfId="4565" xr:uid="{00000000-0005-0000-0000-0000D5110000}"/>
    <cellStyle name="_BSFORMAT_ITCL-New format_31.03 V6" xfId="4566" xr:uid="{00000000-0005-0000-0000-0000D6110000}"/>
    <cellStyle name="_BSFORMAT_ITR6_2009_10_ICPL1" xfId="4567" xr:uid="{00000000-0005-0000-0000-0000D7110000}"/>
    <cellStyle name="_BSFORMAT_ITR6_2009_10_ICPL1_ISL__3CD_FY2010-11" xfId="4568" xr:uid="{00000000-0005-0000-0000-0000D8110000}"/>
    <cellStyle name="_BSFORMAT_ITR6_2009_10_ISL_Vivek" xfId="4569" xr:uid="{00000000-0005-0000-0000-0000D9110000}"/>
    <cellStyle name="_BSFORMAT_ITR6_2009_10_ISL_Vivek_ISL__3CD_FY2010-11" xfId="4570" xr:uid="{00000000-0005-0000-0000-0000DA110000}"/>
    <cellStyle name="_BSFORMAT_July Consolidation" xfId="4571" xr:uid="{00000000-0005-0000-0000-0000DB110000}"/>
    <cellStyle name="_BSFORMAT_Land  CWIP status" xfId="4572" xr:uid="{00000000-0005-0000-0000-0000DC110000}"/>
    <cellStyle name="_BSFORMAT_Land Control Sheet Aug 31.08 - Recon" xfId="4573" xr:uid="{00000000-0005-0000-0000-0000DD110000}"/>
    <cellStyle name="_BSFORMAT_Land Control Sheet Sep 26.08" xfId="4574" xr:uid="{00000000-0005-0000-0000-0000DE110000}"/>
    <cellStyle name="_BSFORMAT_loan" xfId="4575" xr:uid="{00000000-0005-0000-0000-0000DF110000}"/>
    <cellStyle name="_BSFORMAT_loan_ISL__3CD_FY2010-11" xfId="4576" xr:uid="{00000000-0005-0000-0000-0000E0110000}"/>
    <cellStyle name="_BSFORMAT_NFCL working file" xfId="4577" xr:uid="{00000000-0005-0000-0000-0000E1110000}"/>
    <cellStyle name="_BSFORMAT_NFCL_ Tax Audit Report FY08-09 " xfId="4578" xr:uid="{00000000-0005-0000-0000-0000E2110000}"/>
    <cellStyle name="_BSFORMAT_Power Group - Advance Tax working for 3rd Installment" xfId="4579" xr:uid="{00000000-0005-0000-0000-0000E3110000}"/>
    <cellStyle name="_BSFORMAT_Provision" xfId="4580" xr:uid="{00000000-0005-0000-0000-0000E4110000}"/>
    <cellStyle name="_BSFORMAT_Provision for Exp - FY 0809" xfId="4581" xr:uid="{00000000-0005-0000-0000-0000E5110000}"/>
    <cellStyle name="_BSFORMAT_Provision for Exp - FY 0809_ISL__3CD_FY2010-11" xfId="4582" xr:uid="{00000000-0005-0000-0000-0000E6110000}"/>
    <cellStyle name="_BSFORMAT_Provision March 09 (1)" xfId="4583" xr:uid="{00000000-0005-0000-0000-0000E7110000}"/>
    <cellStyle name="_BSFORMAT_provisions q3" xfId="4584" xr:uid="{00000000-0005-0000-0000-0000E8110000}"/>
    <cellStyle name="_BSFORMAT_Result" xfId="4585" xr:uid="{00000000-0005-0000-0000-0000E9110000}"/>
    <cellStyle name="_BSFORMAT_Result 2" xfId="4586" xr:uid="{00000000-0005-0000-0000-0000EA110000}"/>
    <cellStyle name="_BSFORMAT_Results" xfId="4587" xr:uid="{00000000-0005-0000-0000-0000EB110000}"/>
    <cellStyle name="_BSFORMAT_Results  Format - Sep 30" xfId="4588" xr:uid="{00000000-0005-0000-0000-0000EC110000}"/>
    <cellStyle name="_BSFORMAT_Results  Format - Sep 30_EPS working" xfId="4589" xr:uid="{00000000-0005-0000-0000-0000ED110000}"/>
    <cellStyle name="_BSFORMAT_Results  Format - Sep 30_EPS working 2" xfId="4590" xr:uid="{00000000-0005-0000-0000-0000EE110000}"/>
    <cellStyle name="_BSFORMAT_Results  Format - Sep 30_EPS working_IBREAL_BS PACK-Version.02" xfId="4591" xr:uid="{00000000-0005-0000-0000-0000EF110000}"/>
    <cellStyle name="_BSFORMAT_Results  Format - Sep 30_EPS working_IBREAL_BS PACK-Version.02 2" xfId="4592" xr:uid="{00000000-0005-0000-0000-0000F0110000}"/>
    <cellStyle name="_BSFORMAT_Results  Format - Sep 30_EPS working_IBREAL_BS PACK-Version.02_IBREAL_BS PACK-Version.03" xfId="4593" xr:uid="{00000000-0005-0000-0000-0000F1110000}"/>
    <cellStyle name="_BSFORMAT_Results  Format - Sep 30_EPS working_IBREAL_BS PACK-Version.02_IBREAL_BS PACK-Version.03 2" xfId="4594" xr:uid="{00000000-0005-0000-0000-0000F2110000}"/>
    <cellStyle name="_BSFORMAT_Results  Format - Sep 30_EPS working_IBREAL_BS PACK-Version.02_IBREAL_BS PACK-Version.03_IBREAL_BS PACK-Version.07" xfId="4595" xr:uid="{00000000-0005-0000-0000-0000F3110000}"/>
    <cellStyle name="_BSFORMAT_Results  Format - Sep 30_EPS working_IBREAL_BS PACK-Version.02_IBREAL_BS PACK-Version.03_IBREAL_BS PACK-Version.07 2" xfId="4596" xr:uid="{00000000-0005-0000-0000-0000F4110000}"/>
    <cellStyle name="_BSFORMAT_Results  Format - Sep 30_IREL_3000_08-09" xfId="4597" xr:uid="{00000000-0005-0000-0000-0000F5110000}"/>
    <cellStyle name="_BSFORMAT_Results  Format - Sep 30_IREL_3000_08-09 2" xfId="4598" xr:uid="{00000000-0005-0000-0000-0000F6110000}"/>
    <cellStyle name="_BSFORMAT_Results  Format - Sep 30_IREL_3000_08-09 stage 3" xfId="4599" xr:uid="{00000000-0005-0000-0000-0000F7110000}"/>
    <cellStyle name="_BSFORMAT_Results  Format - Sep 30_IREL_3000_08-09 stage 3_IREL_3000_08-09" xfId="4600" xr:uid="{00000000-0005-0000-0000-0000F8110000}"/>
    <cellStyle name="_BSFORMAT_Results  Format - Sep 30_IREL_3000_08-09 stage 3_IREL_3000_08-09 2" xfId="4601" xr:uid="{00000000-0005-0000-0000-0000F9110000}"/>
    <cellStyle name="_BSFORMAT_Results  Format - Sep 30_IREL_3000_08-09_IBREAL_BS PACK-Version.02" xfId="4602" xr:uid="{00000000-0005-0000-0000-0000FA110000}"/>
    <cellStyle name="_BSFORMAT_Results  Format - Sep 30_IREL_3000_08-09_IBREAL_BS PACK-Version.02 2" xfId="4603" xr:uid="{00000000-0005-0000-0000-0000FB110000}"/>
    <cellStyle name="_BSFORMAT_Results  Format - Sep 30_IREL_3000_08-09_IBREAL_BS PACK-Version.02_IBREAL_BS PACK-Version.03" xfId="4604" xr:uid="{00000000-0005-0000-0000-0000FC110000}"/>
    <cellStyle name="_BSFORMAT_Results  Format - Sep 30_IREL_3000_08-09_IBREAL_BS PACK-Version.02_IBREAL_BS PACK-Version.03 2" xfId="4605" xr:uid="{00000000-0005-0000-0000-0000FD110000}"/>
    <cellStyle name="_BSFORMAT_Results  Format - Sep 30_IREL_3000_08-09_IBREAL_BS PACK-Version.02_IBREAL_BS PACK-Version.03_IBREAL_BS PACK-Version.07" xfId="4606" xr:uid="{00000000-0005-0000-0000-0000FE110000}"/>
    <cellStyle name="_BSFORMAT_Results  Format - Sep 30_IREL_3000_08-09_IBREAL_BS PACK-Version.02_IBREAL_BS PACK-Version.03_IBREAL_BS PACK-Version.07 2" xfId="4607" xr:uid="{00000000-0005-0000-0000-0000FF110000}"/>
    <cellStyle name="_BSFORMAT_Results  Format - Sep 30_IREL_3000_2009-29_July2009  Final Shahi" xfId="4608" xr:uid="{00000000-0005-0000-0000-000000120000}"/>
    <cellStyle name="_BSFORMAT_Results  Format - Sep 30_IREL_3000_2009-29_July2009  Final Shahi 2" xfId="4609" xr:uid="{00000000-0005-0000-0000-000001120000}"/>
    <cellStyle name="_BSFORMAT_Results  Format - Sep 30_IREL_3000_2009-29_July2009  Final Shahi_IBREAL_BS PACK-Version.02" xfId="4610" xr:uid="{00000000-0005-0000-0000-000002120000}"/>
    <cellStyle name="_BSFORMAT_Results  Format - Sep 30_IREL_3000_2009-29_July2009  Final Shahi_IBREAL_BS PACK-Version.02 2" xfId="4611" xr:uid="{00000000-0005-0000-0000-000003120000}"/>
    <cellStyle name="_BSFORMAT_Results  Format - Sep 30_IREL_3000_2009-29_July2009  Final Shahi_IBREAL_BS PACK-Version.02_IBREAL_BS PACK-Version.03" xfId="4612" xr:uid="{00000000-0005-0000-0000-000004120000}"/>
    <cellStyle name="_BSFORMAT_Results  Format - Sep 30_IREL_3000_2009-29_July2009  Final Shahi_IBREAL_BS PACK-Version.02_IBREAL_BS PACK-Version.03 2" xfId="4613" xr:uid="{00000000-0005-0000-0000-000005120000}"/>
    <cellStyle name="_BSFORMAT_Results  Format - Sep 30_IREL_3000_2009-29_July2009  Final Shahi_IBREAL_BS PACK-Version.02_IBREAL_BS PACK-Version.03_IBREAL_BS PACK-Version.07" xfId="4614" xr:uid="{00000000-0005-0000-0000-000006120000}"/>
    <cellStyle name="_BSFORMAT_Results  Format - Sep 30_IREL_3000_2009-29_July2009  Final Shahi_IBREAL_BS PACK-Version.02_IBREAL_BS PACK-Version.03_IBREAL_BS PACK-Version.07 2" xfId="4615" xr:uid="{00000000-0005-0000-0000-000007120000}"/>
    <cellStyle name="_BSFORMAT_Results 2" xfId="4616" xr:uid="{00000000-0005-0000-0000-000008120000}"/>
    <cellStyle name="_BSFORMAT_Results 3" xfId="4617" xr:uid="{00000000-0005-0000-0000-000009120000}"/>
    <cellStyle name="_BSFORMAT_Results 4" xfId="4618" xr:uid="{00000000-0005-0000-0000-00000A120000}"/>
    <cellStyle name="_BSFORMAT_Results 5" xfId="4619" xr:uid="{00000000-0005-0000-0000-00000B120000}"/>
    <cellStyle name="_BSFORMAT_Results 6" xfId="4620" xr:uid="{00000000-0005-0000-0000-00000C120000}"/>
    <cellStyle name="_BSFORMAT_Results 7" xfId="4621" xr:uid="{00000000-0005-0000-0000-00000D120000}"/>
    <cellStyle name="_BSFORMAT_Results 8" xfId="4622" xr:uid="{00000000-0005-0000-0000-00000E120000}"/>
    <cellStyle name="_BSFORMAT_Results 9" xfId="4623" xr:uid="{00000000-0005-0000-0000-00000F120000}"/>
    <cellStyle name="_BSFORMAT_Revised Consol Balance Sheet_Sophia_Jan09_10.02.2009" xfId="4624" xr:uid="{00000000-0005-0000-0000-000010120000}"/>
    <cellStyle name="_BSFORMAT_SCH" xfId="4625" xr:uid="{00000000-0005-0000-0000-000011120000}"/>
    <cellStyle name="_BSFORMAT_SCH_Tax Audit Report  ICSL F.Y.09-10" xfId="4626" xr:uid="{00000000-0005-0000-0000-000012120000}"/>
    <cellStyle name="_BSFORMAT_Sheet2" xfId="4627" xr:uid="{00000000-0005-0000-0000-000013120000}"/>
    <cellStyle name="_BSFORMAT_Sheet4" xfId="4628" xr:uid="{00000000-0005-0000-0000-000014120000}"/>
    <cellStyle name="_BSFORMAT_Sophia Consol for Printout 22 Jun 09" xfId="4629" xr:uid="{00000000-0005-0000-0000-000015120000}"/>
    <cellStyle name="_BSFORMAT_Sophia Consol_march_09_05 June  09_1" xfId="4630" xr:uid="{00000000-0005-0000-0000-000016120000}"/>
    <cellStyle name="_BSFORMAT_sophia_Nov08" xfId="4631" xr:uid="{00000000-0005-0000-0000-000017120000}"/>
    <cellStyle name="_BSFORMAT_Standalone Financials - March 31, 2010 - Printable" xfId="4632" xr:uid="{00000000-0005-0000-0000-000018120000}"/>
    <cellStyle name="_BSFORMAT_Standalone Financials - March 31, 2010 - Printable_ISL__3CD_FY2010-11" xfId="4633" xr:uid="{00000000-0005-0000-0000-000019120000}"/>
    <cellStyle name="_BSFORMAT_Tax Audit Report  F.Y.08-09" xfId="4634" xr:uid="{00000000-0005-0000-0000-00001A120000}"/>
    <cellStyle name="_BSFORMAT_Tax Audit Report  ICSL F.Y.09-10" xfId="4635" xr:uid="{00000000-0005-0000-0000-00001B120000}"/>
    <cellStyle name="_BSFORMAT_TB Sept" xfId="4636" xr:uid="{00000000-0005-0000-0000-00001C120000}"/>
    <cellStyle name="_BSFORMAT_TB Sept_Tax Audit Report  ICSL F.Y.09-10" xfId="4637" xr:uid="{00000000-0005-0000-0000-00001D120000}"/>
    <cellStyle name="_BSFORMAT_Treasury ICD Interest_ MIS_ 23  09 2009(final)" xfId="4638" xr:uid="{00000000-0005-0000-0000-00001E120000}"/>
    <cellStyle name="_BSFORMAT_Treasury ICD Interest_ MIS_ 30. 06 2009(final)" xfId="4639" xr:uid="{00000000-0005-0000-0000-00001F120000}"/>
    <cellStyle name="_BSFORMAT_Treasury ICD Interest_ MIS_ 30. 09 2009(final)" xfId="4640" xr:uid="{00000000-0005-0000-0000-000020120000}"/>
    <cellStyle name="_BSFORMAT_Treasury ICD Interest_ MIS_ 31 05 2009" xfId="4641" xr:uid="{00000000-0005-0000-0000-000021120000}"/>
    <cellStyle name="_BSFORMAT_Treasury ICD Interest_ MIS_ 31 10 2009" xfId="4642" xr:uid="{00000000-0005-0000-0000-000022120000}"/>
    <cellStyle name="_BSFORMAT_Treasury ICD Interest_ MIS_ 31.10.2009" xfId="4643" xr:uid="{00000000-0005-0000-0000-000023120000}"/>
    <cellStyle name="_BSFORMAT_Treasury ICD Interest_ MIS_ 310309" xfId="4644" xr:uid="{00000000-0005-0000-0000-000024120000}"/>
    <cellStyle name="_BSFORMAT_Xl0000012" xfId="4645" xr:uid="{00000000-0005-0000-0000-000025120000}"/>
    <cellStyle name="_BSFORMAT_Xl0000012 2" xfId="4646" xr:uid="{00000000-0005-0000-0000-000026120000}"/>
    <cellStyle name="_BSFORMAT_Xl0000013" xfId="4647" xr:uid="{00000000-0005-0000-0000-000027120000}"/>
    <cellStyle name="_BS-ISL- 31.05.08 - GS-3" xfId="4648" xr:uid="{00000000-0005-0000-0000-000028120000}"/>
    <cellStyle name="_BS-ISL- 31.05.08 - GS-3 2" xfId="4649" xr:uid="{00000000-0005-0000-0000-000029120000}"/>
    <cellStyle name="_bt included in las" xfId="4650" xr:uid="{00000000-0005-0000-0000-00002A120000}"/>
    <cellStyle name="_bt included in las 2" xfId="4651" xr:uid="{00000000-0005-0000-0000-00002B120000}"/>
    <cellStyle name="_capital 10.03.2006" xfId="4652" xr:uid="{00000000-0005-0000-0000-00002C120000}"/>
    <cellStyle name="_capital 10.03.2006 2" xfId="4653" xr:uid="{00000000-0005-0000-0000-00002D120000}"/>
    <cellStyle name="_capital 10.03.2006 3" xfId="4654" xr:uid="{00000000-0005-0000-0000-00002E120000}"/>
    <cellStyle name="_capital 10.03.2006_269SS &amp; T IIAPL 09-10" xfId="4655" xr:uid="{00000000-0005-0000-0000-00002F120000}"/>
    <cellStyle name="_capital 10.03.2006_Abstract-2007-08" xfId="4656" xr:uid="{00000000-0005-0000-0000-000030120000}"/>
    <cellStyle name="_capital 10.03.2006_Advance Tax Format_F.Y. 2010-11" xfId="4657" xr:uid="{00000000-0005-0000-0000-000031120000}"/>
    <cellStyle name="_capital 10.03.2006_Advance Tax Sophia Jun 09" xfId="4658" xr:uid="{00000000-0005-0000-0000-000032120000}"/>
    <cellStyle name="_capital 10.03.2006_Asset Management Company Limited" xfId="4659" xr:uid="{00000000-0005-0000-0000-000033120000}"/>
    <cellStyle name="_capital 10.03.2006_Base File For Segment" xfId="4660" xr:uid="{00000000-0005-0000-0000-000034120000}"/>
    <cellStyle name="_capital 10.03.2006_Book1" xfId="4661" xr:uid="{00000000-0005-0000-0000-000035120000}"/>
    <cellStyle name="_capital 10.03.2006_Book1 (2)" xfId="4662" xr:uid="{00000000-0005-0000-0000-000036120000}"/>
    <cellStyle name="_capital 10.03.2006_Bracond Balance Sheet  PL_301108_krishanu" xfId="4663" xr:uid="{00000000-0005-0000-0000-000037120000}"/>
    <cellStyle name="_capital 10.03.2006_BS _IB Asset Management _3103_ver5" xfId="4664" xr:uid="{00000000-0005-0000-0000-000038120000}"/>
    <cellStyle name="_capital 10.03.2006_BS _IB Asset Management _3103_ver5_IAMCL BS working -New format_31.03 V5" xfId="4665" xr:uid="{00000000-0005-0000-0000-000039120000}"/>
    <cellStyle name="_capital 10.03.2006_CCL_3353_2007-08" xfId="4666" xr:uid="{00000000-0005-0000-0000-00003A120000}"/>
    <cellStyle name="_capital 10.03.2006_ChlorisProperties_3351_Dec.08" xfId="4667" xr:uid="{00000000-0005-0000-0000-00003B120000}"/>
    <cellStyle name="_capital 10.03.2006_Consol Balance Sheet_Sophia_Dec08_Ibrel_1.3" xfId="4668" xr:uid="{00000000-0005-0000-0000-00003C120000}"/>
    <cellStyle name="_capital 10.03.2006_CRAR - dec- 10v-12" xfId="4669" xr:uid="{00000000-0005-0000-0000-00003D120000}"/>
    <cellStyle name="_capital 10.03.2006_CRAR - dec- 10v-12 2" xfId="4670" xr:uid="{00000000-0005-0000-0000-00003E120000}"/>
    <cellStyle name="_capital 10.03.2006_detail (2)" xfId="4671" xr:uid="{00000000-0005-0000-0000-00003F120000}"/>
    <cellStyle name="_capital 10.03.2006_Detail of IPO funding" xfId="4672" xr:uid="{00000000-0005-0000-0000-000040120000}"/>
    <cellStyle name="_capital 10.03.2006_Details" xfId="4673" xr:uid="{00000000-0005-0000-0000-000041120000}"/>
    <cellStyle name="_capital 10.03.2006_Entries Passed in Conso for profit on sale of invRevised 30.07.08" xfId="4674" xr:uid="{00000000-0005-0000-0000-000042120000}"/>
    <cellStyle name="_capital 10.03.2006_Entries Passed in Conso for profit on sale of invRevised 30.07.08_IREL_3000_08-09" xfId="4675" xr:uid="{00000000-0005-0000-0000-000043120000}"/>
    <cellStyle name="_capital 10.03.2006_Entries Passed in Conso for profit on sale of invRevised 30.07.08_IREL_3000_08-09 2" xfId="4676" xr:uid="{00000000-0005-0000-0000-000044120000}"/>
    <cellStyle name="_capital 10.03.2006_Entries Passed in Conso for profit on sale of invRevised 30.07.08_IREL_3000_08-09 stage 3" xfId="4677" xr:uid="{00000000-0005-0000-0000-000045120000}"/>
    <cellStyle name="_capital 10.03.2006_Entries Passed in Conso for profit on sale of invRevised 30.07.08_IREL_3000_08-09 stage 3_IREL_3000_08-09" xfId="4678" xr:uid="{00000000-0005-0000-0000-000046120000}"/>
    <cellStyle name="_capital 10.03.2006_Entries Passed in Conso for profit on sale of invRevised 30.07.08_IREL_3000_08-09 stage 3_IREL_3000_08-09 2" xfId="4679" xr:uid="{00000000-0005-0000-0000-000047120000}"/>
    <cellStyle name="_capital 10.03.2006_Entries Passed in Conso for profit on sale of invRevised 30.07.08_IREL_3000_08-09_IBREAL_BS PACK-Version.02" xfId="4680" xr:uid="{00000000-0005-0000-0000-000048120000}"/>
    <cellStyle name="_capital 10.03.2006_Entries Passed in Conso for profit on sale of invRevised 30.07.08_IREL_3000_08-09_IBREAL_BS PACK-Version.02 2" xfId="4681" xr:uid="{00000000-0005-0000-0000-000049120000}"/>
    <cellStyle name="_capital 10.03.2006_Entries Passed in Conso for profit on sale of invRevised 30.07.08_IREL_3000_08-09_IBREAL_BS PACK-Version.02_IBREAL_BS PACK-Version.03" xfId="4682" xr:uid="{00000000-0005-0000-0000-00004A120000}"/>
    <cellStyle name="_capital 10.03.2006_Entries Passed in Conso for profit on sale of invRevised 30.07.08_IREL_3000_08-09_IBREAL_BS PACK-Version.02_IBREAL_BS PACK-Version.03 2" xfId="4683" xr:uid="{00000000-0005-0000-0000-00004B120000}"/>
    <cellStyle name="_capital 10.03.2006_Entries Passed in Conso for profit on sale of invRevised 30.07.08_IREL_3000_08-09_IBREAL_BS PACK-Version.02_IBREAL_BS PACK-Version.03_IBREAL_BS PACK-Version.07" xfId="4684" xr:uid="{00000000-0005-0000-0000-00004C120000}"/>
    <cellStyle name="_capital 10.03.2006_Entries Passed in Conso for profit on sale of invRevised 30.07.08_IREL_3000_08-09_IBREAL_BS PACK-Version.02_IBREAL_BS PACK-Version.03_IBREAL_BS PACK-Version.07 2" xfId="4685" xr:uid="{00000000-0005-0000-0000-00004D120000}"/>
    <cellStyle name="_capital 10.03.2006_EPL_3346_2007-08(C)" xfId="4686" xr:uid="{00000000-0005-0000-0000-00004E120000}"/>
    <cellStyle name="_capital 10.03.2006_FD Detail" xfId="4687" xr:uid="{00000000-0005-0000-0000-00004F120000}"/>
    <cellStyle name="_capital 10.03.2006_FD Detail_Xl0000013" xfId="4688" xr:uid="{00000000-0005-0000-0000-000050120000}"/>
    <cellStyle name="_capital 10.03.2006_Final Consol Balance Sheet_Sophia_Dec08_27.01.08" xfId="4689" xr:uid="{00000000-0005-0000-0000-000051120000}"/>
    <cellStyle name="_capital 10.03.2006_Fixed Assets consolidated" xfId="4690" xr:uid="{00000000-0005-0000-0000-000052120000}"/>
    <cellStyle name="_capital 10.03.2006_IAMCL BS working -New format_31.03 V5" xfId="4691" xr:uid="{00000000-0005-0000-0000-000053120000}"/>
    <cellStyle name="_capital 10.03.2006_IB Asset Management _2910" xfId="4692" xr:uid="{00000000-0005-0000-0000-000054120000}"/>
    <cellStyle name="_capital 10.03.2006_IB Asset Management _2910_IB Collection Agency_3103 V3" xfId="4693" xr:uid="{00000000-0005-0000-0000-000055120000}"/>
    <cellStyle name="_capital 10.03.2006_IB Asset Management _2910_IB Collection Agency_3103 V3_ICAL-New Format_31.03 V4" xfId="4694" xr:uid="{00000000-0005-0000-0000-000056120000}"/>
    <cellStyle name="_capital 10.03.2006_IB Asset Management _2910_ICAL-BS Final Working _New format" xfId="4695" xr:uid="{00000000-0005-0000-0000-000057120000}"/>
    <cellStyle name="_capital 10.03.2006_IB Asset Management _3103_ver5" xfId="4696" xr:uid="{00000000-0005-0000-0000-000058120000}"/>
    <cellStyle name="_capital 10.03.2006_IB Asset Management_3103 V2" xfId="4697" xr:uid="{00000000-0005-0000-0000-000059120000}"/>
    <cellStyle name="_capital 10.03.2006_IB Asset Management_3103 V4" xfId="4698" xr:uid="{00000000-0005-0000-0000-00005A120000}"/>
    <cellStyle name="_capital 10.03.2006_IB Asset Management_3103 V5" xfId="4699" xr:uid="{00000000-0005-0000-0000-00005B120000}"/>
    <cellStyle name="_capital 10.03.2006_IB Collection Agency_3103 V3" xfId="4700" xr:uid="{00000000-0005-0000-0000-00005C120000}"/>
    <cellStyle name="_capital 10.03.2006_IB Collection Agency_3103 V3_ICAL-New Format_31.03 V4" xfId="4701" xr:uid="{00000000-0005-0000-0000-00005D120000}"/>
    <cellStyle name="_capital 10.03.2006_IB Infrastructure Credit" xfId="4702" xr:uid="{00000000-0005-0000-0000-00005E120000}"/>
    <cellStyle name="_capital 10.03.2006_IB Infrastructure Credit-3103_V6" xfId="4703" xr:uid="{00000000-0005-0000-0000-00005F120000}"/>
    <cellStyle name="_capital 10.03.2006_IB Infrastructure Credit-3103_V7" xfId="4704" xr:uid="{00000000-0005-0000-0000-000060120000}"/>
    <cellStyle name="_capital 10.03.2006_IB Life Insurance_3103 V4" xfId="4705" xr:uid="{00000000-0005-0000-0000-000061120000}"/>
    <cellStyle name="_capital 10.03.2006_IB Trustee Company_3103 V4" xfId="4706" xr:uid="{00000000-0005-0000-0000-000062120000}"/>
    <cellStyle name="_capital 10.03.2006_IBFSL 30 Sep 11 V8" xfId="4707" xr:uid="{00000000-0005-0000-0000-000063120000}"/>
    <cellStyle name="_capital 10.03.2006_IBFSL 31 May V1" xfId="4708" xr:uid="{00000000-0005-0000-0000-000064120000}"/>
    <cellStyle name="_capital 10.03.2006_IBFSL 31 May V1_Xl0000013" xfId="4709" xr:uid="{00000000-0005-0000-0000-000065120000}"/>
    <cellStyle name="_capital 10.03.2006_IBFSL_Conso_March_10_11" xfId="4710" xr:uid="{00000000-0005-0000-0000-000066120000}"/>
    <cellStyle name="_capital 10.03.2006_IBLIC_BS  Final working -New_Format_31.03 V5" xfId="4711" xr:uid="{00000000-0005-0000-0000-000067120000}"/>
    <cellStyle name="_capital 10.03.2006_Ibulls BS Final woirking -New format_31.03 V5" xfId="4712" xr:uid="{00000000-0005-0000-0000-000068120000}"/>
    <cellStyle name="_capital 10.03.2006_IbullsSales_3009V3 (3)" xfId="4713" xr:uid="{00000000-0005-0000-0000-000069120000}"/>
    <cellStyle name="_capital 10.03.2006_IbullsSales_3103" xfId="4714" xr:uid="{00000000-0005-0000-0000-00006A120000}"/>
    <cellStyle name="_capital 10.03.2006_IbullsSales_3103 V2" xfId="4715" xr:uid="{00000000-0005-0000-0000-00006B120000}"/>
    <cellStyle name="_capital 10.03.2006_IbullsSales_3103 V5" xfId="4716" xr:uid="{00000000-0005-0000-0000-00006C120000}"/>
    <cellStyle name="_capital 10.03.2006_ICAL-BS Final Working _New format" xfId="4717" xr:uid="{00000000-0005-0000-0000-00006D120000}"/>
    <cellStyle name="_capital 10.03.2006_ICL_BS_30.06.2009" xfId="4718" xr:uid="{00000000-0005-0000-0000-00006E120000}"/>
    <cellStyle name="_capital 10.03.2006_ICPL_BS_31.03.2009_new" xfId="4719" xr:uid="{00000000-0005-0000-0000-00006F120000}"/>
    <cellStyle name="_capital 10.03.2006_ICPL_BS_31.03.2009_new_ISL__3CD_FY2010-11" xfId="4720" xr:uid="{00000000-0005-0000-0000-000070120000}"/>
    <cellStyle name="_capital 10.03.2006_IDSL_31.03.2010" xfId="4721" xr:uid="{00000000-0005-0000-0000-000071120000}"/>
    <cellStyle name="_capital 10.03.2006_IFCPL 31 03 2010 VER6 Final" xfId="4722" xr:uid="{00000000-0005-0000-0000-000072120000}"/>
    <cellStyle name="_capital 10.03.2006_IHFL_Dec_23_2008" xfId="4723" xr:uid="{00000000-0005-0000-0000-000073120000}"/>
    <cellStyle name="_capital 10.03.2006_IHFL_Dec_23_2008_Xl0000013" xfId="4724" xr:uid="{00000000-0005-0000-0000-000074120000}"/>
    <cellStyle name="_capital 10.03.2006_IHFL_SEP_30_2009 XIII AUDIT- Sch II" xfId="4725" xr:uid="{00000000-0005-0000-0000-000075120000}"/>
    <cellStyle name="_capital 10.03.2006_IIAL 31.03.2010 VER2" xfId="4726" xr:uid="{00000000-0005-0000-0000-000076120000}"/>
    <cellStyle name="_capital 10.03.2006_IICL_March'11" xfId="4727" xr:uid="{00000000-0005-0000-0000-000077120000}"/>
    <cellStyle name="_capital 10.03.2006_IIDL_3227_2008_09" xfId="4728" xr:uid="{00000000-0005-0000-0000-000078120000}"/>
    <cellStyle name="_capital 10.03.2006_IIDL_3227_2008_09_Advance Tax Summary" xfId="4729" xr:uid="{00000000-0005-0000-0000-000079120000}"/>
    <cellStyle name="_capital 10.03.2006_IIDL_3227_2008_09_Advance Tax Summary 2" xfId="4730" xr:uid="{00000000-0005-0000-0000-00007A120000}"/>
    <cellStyle name="_capital 10.03.2006_IIDL_3227_2008_09_ISL Group - Advance Tax working for 3rd Instalment" xfId="4731" xr:uid="{00000000-0005-0000-0000-00007B120000}"/>
    <cellStyle name="_capital 10.03.2006_IIDL_3227_2008_09_Xl0000013" xfId="4732" xr:uid="{00000000-0005-0000-0000-00007C120000}"/>
    <cellStyle name="_capital 10.03.2006_Indiabulls Asset Management Company Limited printable" xfId="4733" xr:uid="{00000000-0005-0000-0000-00007D120000}"/>
    <cellStyle name="_capital 10.03.2006_IREL_3000_08-09" xfId="4734" xr:uid="{00000000-0005-0000-0000-00007E120000}"/>
    <cellStyle name="_capital 10.03.2006_ISL_March_08_09.final_11.12.2009" xfId="4735" xr:uid="{00000000-0005-0000-0000-00007F120000}"/>
    <cellStyle name="_capital 10.03.2006_ISL_March_08_09.final_11.12.2009_ISL__3CD_FY2010-11" xfId="4736" xr:uid="{00000000-0005-0000-0000-000080120000}"/>
    <cellStyle name="_capital 10.03.2006_ITCL_BS working _New format_31.03 V7" xfId="4737" xr:uid="{00000000-0005-0000-0000-000081120000}"/>
    <cellStyle name="_capital 10.03.2006_ITCL-New format_31.03 V6" xfId="4738" xr:uid="{00000000-0005-0000-0000-000082120000}"/>
    <cellStyle name="_capital 10.03.2006_NFCL working file" xfId="4739" xr:uid="{00000000-0005-0000-0000-000083120000}"/>
    <cellStyle name="_capital 10.03.2006_NFCL_ Tax Audit Report FY08-09 " xfId="4740" xr:uid="{00000000-0005-0000-0000-000084120000}"/>
    <cellStyle name="_capital 10.03.2006_Revised Consol Balance Sheet_Sophia_Jan09_10.02.2009" xfId="4741" xr:uid="{00000000-0005-0000-0000-000085120000}"/>
    <cellStyle name="_capital 10.03.2006_Sophia Consol for Printout 22 Jun 09" xfId="4742" xr:uid="{00000000-0005-0000-0000-000086120000}"/>
    <cellStyle name="_capital 10.03.2006_Sophia Consol_march_09_05 June  09_1" xfId="4743" xr:uid="{00000000-0005-0000-0000-000087120000}"/>
    <cellStyle name="_capital 10.03.2006_Tax Audit Report  F.Y.08-09" xfId="4744" xr:uid="{00000000-0005-0000-0000-000088120000}"/>
    <cellStyle name="_capital 10.03.2006_Tax Audit Report  ICSL F.Y.09-10" xfId="4745" xr:uid="{00000000-0005-0000-0000-000089120000}"/>
    <cellStyle name="_capital 10.03.2006_Treasury ICD Interest_ MIS_ 23  09 2009(final)" xfId="4746" xr:uid="{00000000-0005-0000-0000-00008A120000}"/>
    <cellStyle name="_capital 10.03.2006_Treasury ICD Interest_ MIS_ 30. 06 2009(final)" xfId="4747" xr:uid="{00000000-0005-0000-0000-00008B120000}"/>
    <cellStyle name="_capital 10.03.2006_Treasury ICD Interest_ MIS_ 30. 09 2009(final)" xfId="4748" xr:uid="{00000000-0005-0000-0000-00008C120000}"/>
    <cellStyle name="_capital 10.03.2006_Treasury ICD Interest_ MIS_ 31 05 2009" xfId="4749" xr:uid="{00000000-0005-0000-0000-00008D120000}"/>
    <cellStyle name="_capital 10.03.2006_Treasury ICD Interest_ MIS_ 31 10 2009" xfId="4750" xr:uid="{00000000-0005-0000-0000-00008E120000}"/>
    <cellStyle name="_capital 10.03.2006_Treasury ICD Interest_ MIS_ 31.10.2009" xfId="4751" xr:uid="{00000000-0005-0000-0000-00008F120000}"/>
    <cellStyle name="_capital 10.03.2006_Treasury ICD Interest_ MIS_ 310309" xfId="4752" xr:uid="{00000000-0005-0000-0000-000090120000}"/>
    <cellStyle name="_Capital Commitment IHFL-30-09-2008" xfId="4753" xr:uid="{00000000-0005-0000-0000-000091120000}"/>
    <cellStyle name="_Capital Commitment IHFL-30-09-2008 2" xfId="4754" xr:uid="{00000000-0005-0000-0000-000092120000}"/>
    <cellStyle name="_Capital Commitment IHFL-30-09-2008_Indiabulls Asset Management Company Limited printable" xfId="4755" xr:uid="{00000000-0005-0000-0000-000093120000}"/>
    <cellStyle name="_Capital Commitment IHFL-30-09-2009-Final" xfId="4756" xr:uid="{00000000-0005-0000-0000-000094120000}"/>
    <cellStyle name="_Cash Flow SPCL standalone_30 06 2009" xfId="4757" xr:uid="{00000000-0005-0000-0000-000095120000}"/>
    <cellStyle name="_Cash Flow SPCL standalone_30 06 2009 2" xfId="4758" xr:uid="{00000000-0005-0000-0000-000096120000}"/>
    <cellStyle name="_Challan details form 16 isl" xfId="4759" xr:uid="{00000000-0005-0000-0000-000097120000}"/>
    <cellStyle name="_Challan details form 16 isl 2" xfId="4760" xr:uid="{00000000-0005-0000-0000-000098120000}"/>
    <cellStyle name="_Co. Allocation Oct 2007" xfId="4761" xr:uid="{00000000-0005-0000-0000-000099120000}"/>
    <cellStyle name="_Coal BG calculation " xfId="4762" xr:uid="{00000000-0005-0000-0000-00009A120000}"/>
    <cellStyle name="_Coal BG calculation  2" xfId="4763" xr:uid="{00000000-0005-0000-0000-00009B120000}"/>
    <cellStyle name="_Comm_Mutual Fund Detail_ fy2008-09" xfId="4764" xr:uid="{00000000-0005-0000-0000-00009C120000}"/>
    <cellStyle name="_Comm_Mutual Fund Detail_ fy2008-09 2" xfId="4765" xr:uid="{00000000-0005-0000-0000-00009D120000}"/>
    <cellStyle name="_Company Allocation" xfId="4766" xr:uid="{00000000-0005-0000-0000-00009E120000}"/>
    <cellStyle name="_Company List" xfId="4767" xr:uid="{00000000-0005-0000-0000-00009F120000}"/>
    <cellStyle name="_Company List 2" xfId="4768" xr:uid="{00000000-0005-0000-0000-0000A0120000}"/>
    <cellStyle name="_Company List 3" xfId="4769" xr:uid="{00000000-0005-0000-0000-0000A1120000}"/>
    <cellStyle name="_Company List 4" xfId="4770" xr:uid="{00000000-0005-0000-0000-0000A2120000}"/>
    <cellStyle name="_Company List 5" xfId="4771" xr:uid="{00000000-0005-0000-0000-0000A3120000}"/>
    <cellStyle name="_company transfer of this month - April'08" xfId="4772" xr:uid="{00000000-0005-0000-0000-0000A4120000}"/>
    <cellStyle name="_company transfer of this month - April'08 2" xfId="4773" xr:uid="{00000000-0005-0000-0000-0000A5120000}"/>
    <cellStyle name="_Computation" xfId="4774" xr:uid="{00000000-0005-0000-0000-0000A6120000}"/>
    <cellStyle name="_Computation 2" xfId="4775" xr:uid="{00000000-0005-0000-0000-0000A7120000}"/>
    <cellStyle name="_Computation IFSL 31st Mar09" xfId="4776" xr:uid="{00000000-0005-0000-0000-0000A8120000}"/>
    <cellStyle name="_conso Incentive processed in Sept08-II" xfId="4777" xr:uid="{00000000-0005-0000-0000-0000A9120000}"/>
    <cellStyle name="_conso Incentive processed in Sept08-II 2" xfId="4778" xr:uid="{00000000-0005-0000-0000-0000AA120000}"/>
    <cellStyle name="_Conso-Incentive Paid sept08-I" xfId="4779" xr:uid="{00000000-0005-0000-0000-0000AB120000}"/>
    <cellStyle name="_Conso-Incentive Paid sept08-I 2" xfId="4780" xr:uid="{00000000-0005-0000-0000-0000AC120000}"/>
    <cellStyle name="_Consol mail deduction &amp; Reversal" xfId="4781" xr:uid="{00000000-0005-0000-0000-0000AD120000}"/>
    <cellStyle name="_Consol mail deduction &amp; Reversal 2" xfId="4782" xr:uid="{00000000-0005-0000-0000-0000AE120000}"/>
    <cellStyle name="_Consol_sophia _Ipsl_Nov" xfId="4783" xr:uid="{00000000-0005-0000-0000-0000AF120000}"/>
    <cellStyle name="_COnsole Ded for Query - Sept''08" xfId="4784" xr:uid="{00000000-0005-0000-0000-0000B0120000}"/>
    <cellStyle name="_COnsole Ded for Query - Sept''08 2" xfId="4785" xr:uid="{00000000-0005-0000-0000-0000B1120000}"/>
    <cellStyle name="_CONSOLIDATED SALARY SHEET FEB-08" xfId="4786" xr:uid="{00000000-0005-0000-0000-0000B2120000}"/>
    <cellStyle name="_CONSOLIDATED SALARY SHEET FEB-08 2" xfId="4787" xr:uid="{00000000-0005-0000-0000-0000B3120000}"/>
    <cellStyle name="_CONSOLIDATED SALARY SHEET FOR THE MONTH OF MARCH-08" xfId="4788" xr:uid="{00000000-0005-0000-0000-0000B4120000}"/>
    <cellStyle name="_CONSOLIDATED SALARY SHEET FOR THE MONTH OF MARCH-08 2" xfId="4789" xr:uid="{00000000-0005-0000-0000-0000B5120000}"/>
    <cellStyle name="_Copy of 250 Branches_200906_50 br in 2006-wrkingqq II" xfId="4790" xr:uid="{00000000-0005-0000-0000-0000B6120000}"/>
    <cellStyle name="_Copy of 250 Branches_200906_50 br in 2006-wrkingqq II 2" xfId="4791" xr:uid="{00000000-0005-0000-0000-0000B7120000}"/>
    <cellStyle name="_Copy of 250 Branches_200906_50 br in 2006-wrkingqq II_IHFL_September_30_2010 VERSION 10" xfId="4792" xr:uid="{00000000-0005-0000-0000-0000B8120000}"/>
    <cellStyle name="_Copy of Book1 (5)" xfId="4793" xr:uid="{00000000-0005-0000-0000-0000B9120000}"/>
    <cellStyle name="_Copy of Book1 (5) 2" xfId="4794" xr:uid="{00000000-0005-0000-0000-0000BA120000}"/>
    <cellStyle name="_Copy of Book1 (5)_IBL_09.12.2009" xfId="4795" xr:uid="{00000000-0005-0000-0000-0000BB120000}"/>
    <cellStyle name="_Copy of Book1 (5)_IBL_09.12.2009 2" xfId="4796" xr:uid="{00000000-0005-0000-0000-0000BC120000}"/>
    <cellStyle name="_Copy of Book1 (5)_ICL_22 12 2009" xfId="4797" xr:uid="{00000000-0005-0000-0000-0000BD120000}"/>
    <cellStyle name="_Copy of Book1 (5)_ICL_22 12 2009 2" xfId="4798" xr:uid="{00000000-0005-0000-0000-0000BE120000}"/>
    <cellStyle name="_Copy of Book1 (5)_Indiabulls Asset Management Company Limited printable" xfId="4799" xr:uid="{00000000-0005-0000-0000-0000BF120000}"/>
    <cellStyle name="_Copy of IBREL-30 6 2007 -consol" xfId="4800" xr:uid="{00000000-0005-0000-0000-0000C0120000}"/>
    <cellStyle name="_Copy of IBREL-30 6 2007 -consol 2" xfId="4801" xr:uid="{00000000-0005-0000-0000-0000C1120000}"/>
    <cellStyle name="_Copy of IBREL-30 6 2007 -consol_Abstract-2007-08" xfId="4802" xr:uid="{00000000-0005-0000-0000-0000C2120000}"/>
    <cellStyle name="_Copy of IBREL-30 6 2007 -consol_Advance Tax Summary" xfId="4803" xr:uid="{00000000-0005-0000-0000-0000C3120000}"/>
    <cellStyle name="_Copy of IBREL-30 6 2007 -consol_Advance Tax Summary 2" xfId="4804" xr:uid="{00000000-0005-0000-0000-0000C4120000}"/>
    <cellStyle name="_Copy of IBREL-30 6 2007 -consol_Aug consl backup-land adv &amp; Ext ICD" xfId="4805" xr:uid="{00000000-0005-0000-0000-0000C5120000}"/>
    <cellStyle name="_Copy of IBREL-30 6 2007 -consol_Entries Passed in Conso for profit on sale of invRevised 30.07.08" xfId="4806" xr:uid="{00000000-0005-0000-0000-0000C6120000}"/>
    <cellStyle name="_Copy of IBREL-30 6 2007 -consol_Entries Passed in Conso for profit on sale of invRevised 30.07.08_IREL_3000_08-09" xfId="4807" xr:uid="{00000000-0005-0000-0000-0000C7120000}"/>
    <cellStyle name="_Copy of IBREL-30 6 2007 -consol_Entries Passed in Conso for profit on sale of invRevised 30.07.08_IREL_3000_08-09 2" xfId="4808" xr:uid="{00000000-0005-0000-0000-0000C8120000}"/>
    <cellStyle name="_Copy of IBREL-30 6 2007 -consol_Entries Passed in Conso for profit on sale of invRevised 30.07.08_IREL_3000_08-09 stage 3" xfId="4809" xr:uid="{00000000-0005-0000-0000-0000C9120000}"/>
    <cellStyle name="_Copy of IBREL-30 6 2007 -consol_Entries Passed in Conso for profit on sale of invRevised 30.07.08_IREL_3000_08-09 stage 3_IREL_3000_08-09" xfId="4810" xr:uid="{00000000-0005-0000-0000-0000CA120000}"/>
    <cellStyle name="_Copy of IBREL-30 6 2007 -consol_Entries Passed in Conso for profit on sale of invRevised 30.07.08_IREL_3000_08-09 stage 3_IREL_3000_08-09 2" xfId="4811" xr:uid="{00000000-0005-0000-0000-0000CB120000}"/>
    <cellStyle name="_Copy of IBREL-30 6 2007 -consol_Entries Passed in Conso for profit on sale of invRevised 30.07.08_IREL_3000_08-09_IBREAL_BS PACK-Version.02" xfId="4812" xr:uid="{00000000-0005-0000-0000-0000CC120000}"/>
    <cellStyle name="_Copy of IBREL-30 6 2007 -consol_Entries Passed in Conso for profit on sale of invRevised 30.07.08_IREL_3000_08-09_IBREAL_BS PACK-Version.02 2" xfId="4813" xr:uid="{00000000-0005-0000-0000-0000CD120000}"/>
    <cellStyle name="_Copy of IBREL-30 6 2007 -consol_Entries Passed in Conso for profit on sale of invRevised 30.07.08_IREL_3000_08-09_IBREAL_BS PACK-Version.02_IBREAL_BS PACK-Version.03" xfId="4814" xr:uid="{00000000-0005-0000-0000-0000CE120000}"/>
    <cellStyle name="_Copy of IBREL-30 6 2007 -consol_Entries Passed in Conso for profit on sale of invRevised 30.07.08_IREL_3000_08-09_IBREAL_BS PACK-Version.02_IBREAL_BS PACK-Version.03 2" xfId="4815" xr:uid="{00000000-0005-0000-0000-0000CF120000}"/>
    <cellStyle name="_Copy of IBREL-30 6 2007 -consol_Entries Passed in Conso for profit on sale of invRevised 30.07.08_IREL_3000_08-09_IBREAL_BS PACK-Version.02_IBREAL_BS PACK-Version.03_IBREAL_BS PACK-Version.07" xfId="4816" xr:uid="{00000000-0005-0000-0000-0000D0120000}"/>
    <cellStyle name="_Copy of IBREL-30 6 2007 -consol_Entries Passed in Conso for profit on sale of invRevised 30.07.08_IREL_3000_08-09_IBREAL_BS PACK-Version.02_IBREAL_BS PACK-Version.03_IBREAL_BS PACK-Version.07 2" xfId="4817" xr:uid="{00000000-0005-0000-0000-0000D1120000}"/>
    <cellStyle name="_Copy of IBREL-30 6 2007 -consol_Fornax" xfId="4818" xr:uid="{00000000-0005-0000-0000-0000D2120000}"/>
    <cellStyle name="_Copy of IBREL-30 6 2007 -consol_IREL_3000_08-09" xfId="4819" xr:uid="{00000000-0005-0000-0000-0000D3120000}"/>
    <cellStyle name="_Copy of IBREL-30 6 2007 -consol_ISL Group - Advance Tax working for 3rd Instalment" xfId="4820" xr:uid="{00000000-0005-0000-0000-0000D4120000}"/>
    <cellStyle name="_Copy of IBREL-30 6 2007 -consol_Land Control Sheet Aug 31.08 - Recon" xfId="4821" xr:uid="{00000000-0005-0000-0000-0000D5120000}"/>
    <cellStyle name="_Copy of IBREL-30 6 2007 -consol_Land Control Sheet Sep 26.08" xfId="4822" xr:uid="{00000000-0005-0000-0000-0000D6120000}"/>
    <cellStyle name="_Copy of IBREL-30 6 2007 -consol_Xl0000013" xfId="4823" xr:uid="{00000000-0005-0000-0000-0000D7120000}"/>
    <cellStyle name="_Copy of IHFL BALANCESHEET AS AT March 31, 2007 final" xfId="4824" xr:uid="{00000000-0005-0000-0000-0000D8120000}"/>
    <cellStyle name="_Copy of IHFL BALANCESHEET AS AT March 31, 2007 final 2" xfId="4825" xr:uid="{00000000-0005-0000-0000-0000D9120000}"/>
    <cellStyle name="_Copy of IHFL BALANCESHEET AS AT March 31, 2007 final_Advance Tax Format_F.Y. 2010-11" xfId="4826" xr:uid="{00000000-0005-0000-0000-0000DA120000}"/>
    <cellStyle name="_Copy of IHFL BALANCESHEET AS AT March 31, 2007 final_Asset Management Company Limited" xfId="4827" xr:uid="{00000000-0005-0000-0000-0000DB120000}"/>
    <cellStyle name="_Copy of IHFL BALANCESHEET AS AT March 31, 2007 final_BS _IB Asset Management _3103_ver5" xfId="4828" xr:uid="{00000000-0005-0000-0000-0000DC120000}"/>
    <cellStyle name="_Copy of IHFL BALANCESHEET AS AT March 31, 2007 final_BS _IB Asset Management _3103_ver5_IAMCL BS working -New format_31.03 V5" xfId="4829" xr:uid="{00000000-0005-0000-0000-0000DD120000}"/>
    <cellStyle name="_Copy of IHFL BALANCESHEET AS AT March 31, 2007 final_CRAR - dec- 10v-12" xfId="4830" xr:uid="{00000000-0005-0000-0000-0000DE120000}"/>
    <cellStyle name="_Copy of IHFL BALANCESHEET AS AT March 31, 2007 final_CRAR - dec- 10v-12 2" xfId="4831" xr:uid="{00000000-0005-0000-0000-0000DF120000}"/>
    <cellStyle name="_Copy of IHFL BALANCESHEET AS AT March 31, 2007 final_IAMCL BS working -New format_31.03 V5" xfId="4832" xr:uid="{00000000-0005-0000-0000-0000E0120000}"/>
    <cellStyle name="_Copy of IHFL BALANCESHEET AS AT March 31, 2007 final_IB Asset Management _2910" xfId="4833" xr:uid="{00000000-0005-0000-0000-0000E1120000}"/>
    <cellStyle name="_Copy of IHFL BALANCESHEET AS AT March 31, 2007 final_IB Asset Management _2910_IB Collection Agency_3103 V3" xfId="4834" xr:uid="{00000000-0005-0000-0000-0000E2120000}"/>
    <cellStyle name="_Copy of IHFL BALANCESHEET AS AT March 31, 2007 final_IB Asset Management _2910_IB Collection Agency_3103 V3_ICAL-New Format_31.03 V4" xfId="4835" xr:uid="{00000000-0005-0000-0000-0000E3120000}"/>
    <cellStyle name="_Copy of IHFL BALANCESHEET AS AT March 31, 2007 final_IB Asset Management _2910_ICAL-BS Final Working _New format" xfId="4836" xr:uid="{00000000-0005-0000-0000-0000E4120000}"/>
    <cellStyle name="_Copy of IHFL BALANCESHEET AS AT March 31, 2007 final_IB Asset Management _3103_ver5" xfId="4837" xr:uid="{00000000-0005-0000-0000-0000E5120000}"/>
    <cellStyle name="_Copy of IHFL BALANCESHEET AS AT March 31, 2007 final_IB Asset Management_3103 V2" xfId="4838" xr:uid="{00000000-0005-0000-0000-0000E6120000}"/>
    <cellStyle name="_Copy of IHFL BALANCESHEET AS AT March 31, 2007 final_IB Asset Management_3103 V4" xfId="4839" xr:uid="{00000000-0005-0000-0000-0000E7120000}"/>
    <cellStyle name="_Copy of IHFL BALANCESHEET AS AT March 31, 2007 final_IB Asset Management_3103 V5" xfId="4840" xr:uid="{00000000-0005-0000-0000-0000E8120000}"/>
    <cellStyle name="_Copy of IHFL BALANCESHEET AS AT March 31, 2007 final_IB Collection Agency_3103 V3" xfId="4841" xr:uid="{00000000-0005-0000-0000-0000E9120000}"/>
    <cellStyle name="_Copy of IHFL BALANCESHEET AS AT March 31, 2007 final_IB Collection Agency_3103 V3_ICAL-New Format_31.03 V4" xfId="4842" xr:uid="{00000000-0005-0000-0000-0000EA120000}"/>
    <cellStyle name="_Copy of IHFL BALANCESHEET AS AT March 31, 2007 final_IB Infrastructure Credit" xfId="4843" xr:uid="{00000000-0005-0000-0000-0000EB120000}"/>
    <cellStyle name="_Copy of IHFL BALANCESHEET AS AT March 31, 2007 final_IB Infrastructure Credit-3103_V6" xfId="4844" xr:uid="{00000000-0005-0000-0000-0000EC120000}"/>
    <cellStyle name="_Copy of IHFL BALANCESHEET AS AT March 31, 2007 final_IB Infrastructure Credit-3103_V7" xfId="4845" xr:uid="{00000000-0005-0000-0000-0000ED120000}"/>
    <cellStyle name="_Copy of IHFL BALANCESHEET AS AT March 31, 2007 final_IB Life Insurance_3103 V4" xfId="4846" xr:uid="{00000000-0005-0000-0000-0000EE120000}"/>
    <cellStyle name="_Copy of IHFL BALANCESHEET AS AT March 31, 2007 final_IB Trustee Company_3103 V4" xfId="4847" xr:uid="{00000000-0005-0000-0000-0000EF120000}"/>
    <cellStyle name="_Copy of IHFL BALANCESHEET AS AT March 31, 2007 final_IBFSL_Conso_March_10_11" xfId="4848" xr:uid="{00000000-0005-0000-0000-0000F0120000}"/>
    <cellStyle name="_Copy of IHFL BALANCESHEET AS AT March 31, 2007 final_IBLIC_BS  Final working -New_Format_31.03 V5" xfId="4849" xr:uid="{00000000-0005-0000-0000-0000F1120000}"/>
    <cellStyle name="_Copy of IHFL BALANCESHEET AS AT March 31, 2007 final_Ibulls BS Final woirking -New format_31.03 V5" xfId="4850" xr:uid="{00000000-0005-0000-0000-0000F2120000}"/>
    <cellStyle name="_Copy of IHFL BALANCESHEET AS AT March 31, 2007 final_IbullsSales_3009V3 (3)" xfId="4851" xr:uid="{00000000-0005-0000-0000-0000F3120000}"/>
    <cellStyle name="_Copy of IHFL BALANCESHEET AS AT March 31, 2007 final_IbullsSales_3103" xfId="4852" xr:uid="{00000000-0005-0000-0000-0000F4120000}"/>
    <cellStyle name="_Copy of IHFL BALANCESHEET AS AT March 31, 2007 final_IbullsSales_3103 V2" xfId="4853" xr:uid="{00000000-0005-0000-0000-0000F5120000}"/>
    <cellStyle name="_Copy of IHFL BALANCESHEET AS AT March 31, 2007 final_IbullsSales_3103 V5" xfId="4854" xr:uid="{00000000-0005-0000-0000-0000F6120000}"/>
    <cellStyle name="_Copy of IHFL BALANCESHEET AS AT March 31, 2007 final_ICAL-BS Final Working _New format" xfId="4855" xr:uid="{00000000-0005-0000-0000-0000F7120000}"/>
    <cellStyle name="_Copy of IHFL BALANCESHEET AS AT March 31, 2007 final_IHFL_SEP_30_2009 XIII AUDIT- Sch II" xfId="4856" xr:uid="{00000000-0005-0000-0000-0000F8120000}"/>
    <cellStyle name="_Copy of IHFL BALANCESHEET AS AT March 31, 2007 final_IICL_March'11" xfId="4857" xr:uid="{00000000-0005-0000-0000-0000F9120000}"/>
    <cellStyle name="_Copy of IHFL BALANCESHEET AS AT March 31, 2007 final_Indiabulls Asset Management Company Limited printable" xfId="4858" xr:uid="{00000000-0005-0000-0000-0000FA120000}"/>
    <cellStyle name="_Copy of IHFL BALANCESHEET AS AT March 31, 2007 final_ITCL_BS working _New format_31.03 V7" xfId="4859" xr:uid="{00000000-0005-0000-0000-0000FB120000}"/>
    <cellStyle name="_Copy of IHFL BALANCESHEET AS AT March 31, 2007 final_ITCL-New format_31.03 V6" xfId="4860" xr:uid="{00000000-0005-0000-0000-0000FC120000}"/>
    <cellStyle name="_Copy of IHFL BALANCESHEET AS AT March 31, 2007 final_NFCL working file" xfId="4861" xr:uid="{00000000-0005-0000-0000-0000FD120000}"/>
    <cellStyle name="_Copy of IHFL BALANCESHEET AS AT March 31, 2007 final_NFCL_ Tax Audit Report FY08-09 " xfId="4862" xr:uid="{00000000-0005-0000-0000-0000FE120000}"/>
    <cellStyle name="_Copy of IHFL BALANCESHEET AS AT March 31, 2007 final_Tax Audit Report  F.Y.08-09" xfId="4863" xr:uid="{00000000-0005-0000-0000-0000FF120000}"/>
    <cellStyle name="_Copy of IHFL BALANCESHEET AS AT March 31, 2007 final_Tax Audit Report  ICSL F.Y.09-10" xfId="4864" xr:uid="{00000000-0005-0000-0000-000000130000}"/>
    <cellStyle name="_Copy of IHFL BALANCESHEET AS AT March 31, 2007 final_Xl0000013" xfId="4865" xr:uid="{00000000-0005-0000-0000-000001130000}"/>
    <cellStyle name="_Copy of Land Control Sheet Dec 06.07 (final)" xfId="4866" xr:uid="{00000000-0005-0000-0000-000002130000}"/>
    <cellStyle name="_Copy of Land Control Sheet Nov 30.07" xfId="4867" xr:uid="{00000000-0005-0000-0000-000003130000}"/>
    <cellStyle name="_Copy of LOAN OS 31ST March 2008_3 MONIKA" xfId="4868" xr:uid="{00000000-0005-0000-0000-000004130000}"/>
    <cellStyle name="_Copy of LOAN OS 31ST March 2008_3 MONIKA 2" xfId="4869" xr:uid="{00000000-0005-0000-0000-000005130000}"/>
    <cellStyle name="_Copy of LOAN OS 31ST March 2008_3 MONIKA_ISL_conso_September_09_10" xfId="4870" xr:uid="{00000000-0005-0000-0000-000006130000}"/>
    <cellStyle name="_Copy of LOAN OS 31ST March 2008_3 MONIKA_ISL_conso_September_09_10 2" xfId="4871" xr:uid="{00000000-0005-0000-0000-000007130000}"/>
    <cellStyle name="_Copy of LOAN OS 31ST March 2008_3 MONIKA_ISL_Provisions_30.09.2010" xfId="4872" xr:uid="{00000000-0005-0000-0000-000008130000}"/>
    <cellStyle name="_Copy of LOAN OS 31ST March 2008_3 MONIKA_Provision" xfId="4873" xr:uid="{00000000-0005-0000-0000-000009130000}"/>
    <cellStyle name="_Copy of LOAN OS 31ST March 2008_3 MONIKA_Provision for Exp - FY 0809" xfId="4874" xr:uid="{00000000-0005-0000-0000-00000A130000}"/>
    <cellStyle name="_Copy of LOAN OS 31ST March 2008_3 MONIKA_provisions q3" xfId="4875" xr:uid="{00000000-0005-0000-0000-00000B130000}"/>
    <cellStyle name="_Copy of LOAN OS 31ST March 2008_3 MONIKA_Results" xfId="4876" xr:uid="{00000000-0005-0000-0000-00000C130000}"/>
    <cellStyle name="_Copy of LOAN OS 31ST March 2008_3 MONIKA_Results 2" xfId="4877" xr:uid="{00000000-0005-0000-0000-00000D130000}"/>
    <cellStyle name="_Corporate Guarantee &amp; Colletral Details " xfId="4878" xr:uid="{00000000-0005-0000-0000-00000E130000}"/>
    <cellStyle name="_Corporate Guarantee &amp; Colletral Details  2" xfId="4879" xr:uid="{00000000-0005-0000-0000-00000F130000}"/>
    <cellStyle name="_Corporate Guarantee &amp; Colletral Details _Details of Assets &amp; Liablilities" xfId="4880" xr:uid="{00000000-0005-0000-0000-000010130000}"/>
    <cellStyle name="_Corporate Guarantee &amp; Colletral Details _Details of Assets &amp; Liablilities 2" xfId="4881" xr:uid="{00000000-0005-0000-0000-000011130000}"/>
    <cellStyle name="_Corporate Guarantee &amp; Colletral Details _Details of Assets &amp; Liablilities 3" xfId="4882" xr:uid="{00000000-0005-0000-0000-000012130000}"/>
    <cellStyle name="_Corporate Guarantee &amp; Colletral Details _IBL_09.12.2009" xfId="4883" xr:uid="{00000000-0005-0000-0000-000013130000}"/>
    <cellStyle name="_Corporate Guarantee &amp; Colletral Details _IBL_09.12.2009 2" xfId="4884" xr:uid="{00000000-0005-0000-0000-000014130000}"/>
    <cellStyle name="_Corporate Guarantee &amp; Colletral Details _ICL_22 12 2009" xfId="4885" xr:uid="{00000000-0005-0000-0000-000015130000}"/>
    <cellStyle name="_Corporate Guarantee &amp; Colletral Details _ICL_22 12 2009 2" xfId="4886" xr:uid="{00000000-0005-0000-0000-000016130000}"/>
    <cellStyle name="_Corporate Guarantee &amp; Colletral Details _Indiabulls Asset Management Company Limited printable" xfId="4887" xr:uid="{00000000-0005-0000-0000-000017130000}"/>
    <cellStyle name="_CORPORATE GUARANTEE 30TH SEP'07" xfId="4888" xr:uid="{00000000-0005-0000-0000-000018130000}"/>
    <cellStyle name="_CORPORATE GUARANTEE 30TH SEP'07 2" xfId="4889" xr:uid="{00000000-0005-0000-0000-000019130000}"/>
    <cellStyle name="_CORPORATE GUARANTEE 30TH SEP'07_Indiabulls Asset Management Company Limited printable" xfId="4890" xr:uid="{00000000-0005-0000-0000-00001A130000}"/>
    <cellStyle name="_CORPORATE GUARANTEE 30th Sep'08" xfId="4891" xr:uid="{00000000-0005-0000-0000-00001B130000}"/>
    <cellStyle name="_CORPORATE GUARANTEE 30th Sep'08 2" xfId="4892" xr:uid="{00000000-0005-0000-0000-00001C130000}"/>
    <cellStyle name="_CORPORATE GUARANTEE 30th Sep'08_Indiabulls Asset Management Company Limited printable" xfId="4893" xr:uid="{00000000-0005-0000-0000-00001D130000}"/>
    <cellStyle name="_CORPORATE GUARANTEE 31st  Mar'09" xfId="4894" xr:uid="{00000000-0005-0000-0000-00001E130000}"/>
    <cellStyle name="_CORPORATE GURANTEE AS ON 31ST MAR08 AUDIT" xfId="4895" xr:uid="{00000000-0005-0000-0000-00001F130000}"/>
    <cellStyle name="_CORPORATE GURANTEE AS ON 31ST MAR08 AUDIT 2" xfId="4896" xr:uid="{00000000-0005-0000-0000-000020130000}"/>
    <cellStyle name="_CORPORATE GURANTEE AS ON 31ST MAR08 AUDIT_Indiabulls Asset Management Company Limited printable" xfId="4897" xr:uid="{00000000-0005-0000-0000-000021130000}"/>
    <cellStyle name="_CV  PROV. Electricity " xfId="4898" xr:uid="{00000000-0005-0000-0000-000022130000}"/>
    <cellStyle name="_CV  PROV. Electricity _IHFL_September_30_2010 VERSION 10" xfId="4899" xr:uid="{00000000-0005-0000-0000-000023130000}"/>
    <cellStyle name="_Data" xfId="4900" xr:uid="{00000000-0005-0000-0000-000024130000}"/>
    <cellStyle name="_Data 2" xfId="4901" xr:uid="{00000000-0005-0000-0000-000025130000}"/>
    <cellStyle name="_Data for IHFL Return filing with NHB" xfId="4902" xr:uid="{00000000-0005-0000-0000-000026130000}"/>
    <cellStyle name="_Data for IHFL Return filing with NHB 2" xfId="4903" xr:uid="{00000000-0005-0000-0000-000027130000}"/>
    <cellStyle name="_Data for IHFL Return filing with NHB_Details of Assets &amp; Liablilities" xfId="4904" xr:uid="{00000000-0005-0000-0000-000028130000}"/>
    <cellStyle name="_Data for IHFL Return filing with NHB_Details of Assets &amp; Liablilities 2" xfId="4905" xr:uid="{00000000-0005-0000-0000-000029130000}"/>
    <cellStyle name="_Data for IHFL Return filing with NHB_Details of Assets &amp; Liablilities 3" xfId="4906" xr:uid="{00000000-0005-0000-0000-00002A130000}"/>
    <cellStyle name="_Data for IHFL Return filing with NHB_IBL_09.12.2009" xfId="4907" xr:uid="{00000000-0005-0000-0000-00002B130000}"/>
    <cellStyle name="_Data for IHFL Return filing with NHB_IBL_09.12.2009 2" xfId="4908" xr:uid="{00000000-0005-0000-0000-00002C130000}"/>
    <cellStyle name="_Data for IHFL Return filing with NHB_ICL_22 12 2009" xfId="4909" xr:uid="{00000000-0005-0000-0000-00002D130000}"/>
    <cellStyle name="_Data for IHFL Return filing with NHB_ICL_22 12 2009 2" xfId="4910" xr:uid="{00000000-0005-0000-0000-00002E130000}"/>
    <cellStyle name="_Data for IHFL Return filing with NHB_Indiabulls Asset Management Company Limited printable" xfId="4911" xr:uid="{00000000-0005-0000-0000-00002F130000}"/>
    <cellStyle name="_Data given by Gurpreet" xfId="4912" xr:uid="{00000000-0005-0000-0000-000030130000}"/>
    <cellStyle name="_Data Pack_April_  2008" xfId="4913" xr:uid="{00000000-0005-0000-0000-000031130000}"/>
    <cellStyle name="_Data Pack_April_  2008 2" xfId="4914" xr:uid="{00000000-0005-0000-0000-000032130000}"/>
    <cellStyle name="_Deductionof Company" xfId="4915" xr:uid="{00000000-0005-0000-0000-000033130000}"/>
    <cellStyle name="_Deductionof Company 2" xfId="4916" xr:uid="{00000000-0005-0000-0000-000034130000}"/>
    <cellStyle name="_Deductions &amp; reversal - April'08" xfId="4917" xr:uid="{00000000-0005-0000-0000-000035130000}"/>
    <cellStyle name="_Deductions &amp; reversal - April'08 2" xfId="4918" xr:uid="{00000000-0005-0000-0000-000036130000}"/>
    <cellStyle name="_deffered tax_Final" xfId="4919" xr:uid="{00000000-0005-0000-0000-000037130000}"/>
    <cellStyle name="_deffered tax_Final 2" xfId="4920" xr:uid="{00000000-0005-0000-0000-000038130000}"/>
    <cellStyle name="_deffered tax_Final 3" xfId="4921" xr:uid="{00000000-0005-0000-0000-000039130000}"/>
    <cellStyle name="_deffered tax_Final 4" xfId="4922" xr:uid="{00000000-0005-0000-0000-00003A130000}"/>
    <cellStyle name="_deffered tax_Final 5" xfId="4923" xr:uid="{00000000-0005-0000-0000-00003B130000}"/>
    <cellStyle name="_deffered tax_Final_detail" xfId="4924" xr:uid="{00000000-0005-0000-0000-00003C130000}"/>
    <cellStyle name="_deffered tax_Final_detail (2)" xfId="4925" xr:uid="{00000000-0005-0000-0000-00003D130000}"/>
    <cellStyle name="_deffered tax_Final_detail (2) 2" xfId="4926" xr:uid="{00000000-0005-0000-0000-00003E130000}"/>
    <cellStyle name="_deffered tax_Final_detail to be added in june,2008" xfId="4927" xr:uid="{00000000-0005-0000-0000-00003F130000}"/>
    <cellStyle name="_deffered tax_Final_detail to be added in june,2008 2" xfId="4928" xr:uid="{00000000-0005-0000-0000-000040130000}"/>
    <cellStyle name="_deffered tax_Final_IBL_09.12.2009" xfId="4929" xr:uid="{00000000-0005-0000-0000-000041130000}"/>
    <cellStyle name="_deffered tax_Final_IBL_09.12.2009 2" xfId="4930" xr:uid="{00000000-0005-0000-0000-000042130000}"/>
    <cellStyle name="_deffered tax_Final_ICL_22 12 2009" xfId="4931" xr:uid="{00000000-0005-0000-0000-000043130000}"/>
    <cellStyle name="_deffered tax_Final_ICL_22 12 2009 2" xfId="4932" xr:uid="{00000000-0005-0000-0000-000044130000}"/>
    <cellStyle name="_deffered tax_Final_Indiabulls Asset Management Company Limited printable" xfId="4933" xr:uid="{00000000-0005-0000-0000-000045130000}"/>
    <cellStyle name="_deffered tax_Final_IRECPL_Himanshu Shah Bill" xfId="4934" xr:uid="{00000000-0005-0000-0000-000046130000}"/>
    <cellStyle name="_deffered tax_Final_IRECPL_Himanshu Shah Bill 2" xfId="4935" xr:uid="{00000000-0005-0000-0000-000047130000}"/>
    <cellStyle name="_detail" xfId="4936" xr:uid="{00000000-0005-0000-0000-000048130000}"/>
    <cellStyle name="_detail 2" xfId="4937" xr:uid="{00000000-0005-0000-0000-000049130000}"/>
    <cellStyle name="_detail_Details of Assets &amp; Liablilities" xfId="4938" xr:uid="{00000000-0005-0000-0000-00004A130000}"/>
    <cellStyle name="_detail_Details of Assets &amp; Liablilities 2" xfId="4939" xr:uid="{00000000-0005-0000-0000-00004B130000}"/>
    <cellStyle name="_detail_Details of Assets &amp; Liablilities 3" xfId="4940" xr:uid="{00000000-0005-0000-0000-00004C130000}"/>
    <cellStyle name="_detail_IBL_09.12.2009" xfId="4941" xr:uid="{00000000-0005-0000-0000-00004D130000}"/>
    <cellStyle name="_detail_IBL_09.12.2009 2" xfId="4942" xr:uid="{00000000-0005-0000-0000-00004E130000}"/>
    <cellStyle name="_detail_ICL_22 12 2009" xfId="4943" xr:uid="{00000000-0005-0000-0000-00004F130000}"/>
    <cellStyle name="_detail_ICL_22 12 2009 2" xfId="4944" xr:uid="{00000000-0005-0000-0000-000050130000}"/>
    <cellStyle name="_detail_Indiabulls Asset Management Company Limited printable" xfId="4945" xr:uid="{00000000-0005-0000-0000-000051130000}"/>
    <cellStyle name="_Details" xfId="4946" xr:uid="{00000000-0005-0000-0000-000052130000}"/>
    <cellStyle name="_Details 2" xfId="4947" xr:uid="{00000000-0005-0000-0000-000053130000}"/>
    <cellStyle name="_Details 2 2" xfId="4948" xr:uid="{00000000-0005-0000-0000-000054130000}"/>
    <cellStyle name="_Details 3" xfId="4949" xr:uid="{00000000-0005-0000-0000-000055130000}"/>
    <cellStyle name="_Details of FD and Mutual Funds_16072007" xfId="4950" xr:uid="{00000000-0005-0000-0000-000056130000}"/>
    <cellStyle name="_Details of FD and Mutual Funds_16072007 2" xfId="4951" xr:uid="{00000000-0005-0000-0000-000057130000}"/>
    <cellStyle name="_Details of FD and Mutual Funds_16072007_Abstract-2007-08" xfId="4952" xr:uid="{00000000-0005-0000-0000-000058130000}"/>
    <cellStyle name="_Details of FD and Mutual Funds_16072007_Advance Tax Summary" xfId="4953" xr:uid="{00000000-0005-0000-0000-000059130000}"/>
    <cellStyle name="_Details of FD and Mutual Funds_16072007_Advance Tax Summary 2" xfId="4954" xr:uid="{00000000-0005-0000-0000-00005A130000}"/>
    <cellStyle name="_Details of FD and Mutual Funds_16072007_Aug consl backup-land adv &amp; Ext ICD" xfId="4955" xr:uid="{00000000-0005-0000-0000-00005B130000}"/>
    <cellStyle name="_Details of FD and Mutual Funds_16072007_Entries Passed in Conso for profit on sale of invRevised 30.07.08" xfId="4956" xr:uid="{00000000-0005-0000-0000-00005C130000}"/>
    <cellStyle name="_Details of FD and Mutual Funds_16072007_Entries Passed in Conso for profit on sale of invRevised 30.07.08_IREL_3000_08-09" xfId="4957" xr:uid="{00000000-0005-0000-0000-00005D130000}"/>
    <cellStyle name="_Details of FD and Mutual Funds_16072007_Entries Passed in Conso for profit on sale of invRevised 30.07.08_IREL_3000_08-09 2" xfId="4958" xr:uid="{00000000-0005-0000-0000-00005E130000}"/>
    <cellStyle name="_Details of FD and Mutual Funds_16072007_Entries Passed in Conso for profit on sale of invRevised 30.07.08_IREL_3000_08-09 stage 3" xfId="4959" xr:uid="{00000000-0005-0000-0000-00005F130000}"/>
    <cellStyle name="_Details of FD and Mutual Funds_16072007_Entries Passed in Conso for profit on sale of invRevised 30.07.08_IREL_3000_08-09 stage 3_IREL_3000_08-09" xfId="4960" xr:uid="{00000000-0005-0000-0000-000060130000}"/>
    <cellStyle name="_Details of FD and Mutual Funds_16072007_Entries Passed in Conso for profit on sale of invRevised 30.07.08_IREL_3000_08-09 stage 3_IREL_3000_08-09 2" xfId="4961" xr:uid="{00000000-0005-0000-0000-000061130000}"/>
    <cellStyle name="_Details of FD and Mutual Funds_16072007_Entries Passed in Conso for profit on sale of invRevised 30.07.08_IREL_3000_08-09_IBREAL_BS PACK-Version.02" xfId="4962" xr:uid="{00000000-0005-0000-0000-000062130000}"/>
    <cellStyle name="_Details of FD and Mutual Funds_16072007_Entries Passed in Conso for profit on sale of invRevised 30.07.08_IREL_3000_08-09_IBREAL_BS PACK-Version.02 2" xfId="4963" xr:uid="{00000000-0005-0000-0000-000063130000}"/>
    <cellStyle name="_Details of FD and Mutual Funds_16072007_Entries Passed in Conso for profit on sale of invRevised 30.07.08_IREL_3000_08-09_IBREAL_BS PACK-Version.02_IBREAL_BS PACK-Version.03" xfId="4964" xr:uid="{00000000-0005-0000-0000-000064130000}"/>
    <cellStyle name="_Details of FD and Mutual Funds_16072007_Entries Passed in Conso for profit on sale of invRevised 30.07.08_IREL_3000_08-09_IBREAL_BS PACK-Version.02_IBREAL_BS PACK-Version.03 2" xfId="4965" xr:uid="{00000000-0005-0000-0000-000065130000}"/>
    <cellStyle name="_Details of FD and Mutual Funds_16072007_Entries Passed in Conso for profit on sale of invRevised 30.07.08_IREL_3000_08-09_IBREAL_BS PACK-Version.02_IBREAL_BS PACK-Version.03_IBREAL_BS PACK-Version.07" xfId="4966" xr:uid="{00000000-0005-0000-0000-000066130000}"/>
    <cellStyle name="_Details of FD and Mutual Funds_16072007_Entries Passed in Conso for profit on sale of invRevised 30.07.08_IREL_3000_08-09_IBREAL_BS PACK-Version.02_IBREAL_BS PACK-Version.03_IBREAL_BS PACK-Version.07 2" xfId="4967" xr:uid="{00000000-0005-0000-0000-000067130000}"/>
    <cellStyle name="_Details of FD and Mutual Funds_16072007_Fornax" xfId="4968" xr:uid="{00000000-0005-0000-0000-000068130000}"/>
    <cellStyle name="_Details of FD and Mutual Funds_16072007_IREL_3000_08-09" xfId="4969" xr:uid="{00000000-0005-0000-0000-000069130000}"/>
    <cellStyle name="_Details of FD and Mutual Funds_16072007_ISL Group - Advance Tax working for 3rd Instalment" xfId="4970" xr:uid="{00000000-0005-0000-0000-00006A130000}"/>
    <cellStyle name="_Details of FD and Mutual Funds_16072007_Land Control Sheet Aug 31.08 - Recon" xfId="4971" xr:uid="{00000000-0005-0000-0000-00006B130000}"/>
    <cellStyle name="_Details of FD and Mutual Funds_16072007_Land Control Sheet Sep 26.08" xfId="4972" xr:uid="{00000000-0005-0000-0000-00006C130000}"/>
    <cellStyle name="_Details of FD and Mutual Funds_16072007_Xl0000013" xfId="4973" xr:uid="{00000000-0005-0000-0000-00006D130000}"/>
    <cellStyle name="_Details of Retail+Mall sites" xfId="4974" xr:uid="{00000000-0005-0000-0000-00006E130000}"/>
    <cellStyle name="_Details of Retail+Mall sites 2" xfId="4975" xr:uid="{00000000-0005-0000-0000-00006F130000}"/>
    <cellStyle name="_Details of Retail+Mall sites 3" xfId="4976" xr:uid="{00000000-0005-0000-0000-000070130000}"/>
    <cellStyle name="_Details of Retail+Mall sites 4" xfId="4977" xr:uid="{00000000-0005-0000-0000-000071130000}"/>
    <cellStyle name="_Details of Retail+Mall sites 5" xfId="4978" xr:uid="{00000000-0005-0000-0000-000072130000}"/>
    <cellStyle name="_Details_Advance Tax Format_F.Y. 2010-11" xfId="4979" xr:uid="{00000000-0005-0000-0000-000073130000}"/>
    <cellStyle name="_Details_Asset Management Company Limited" xfId="4980" xr:uid="{00000000-0005-0000-0000-000074130000}"/>
    <cellStyle name="_Details_IBFSL 30 Sep 11 V8" xfId="4981" xr:uid="{00000000-0005-0000-0000-000075130000}"/>
    <cellStyle name="_Details_Indiabulls Asset Management Company Limited printable" xfId="4982" xr:uid="{00000000-0005-0000-0000-000076130000}"/>
    <cellStyle name="_Development Mandays" xfId="4983" xr:uid="{00000000-0005-0000-0000-000077130000}"/>
    <cellStyle name="_Development Mandays 2" xfId="4984" xr:uid="{00000000-0005-0000-0000-000078130000}"/>
    <cellStyle name="_Development Mandays_Details of Assets &amp; Liablilities" xfId="4985" xr:uid="{00000000-0005-0000-0000-000079130000}"/>
    <cellStyle name="_Development Mandays_Details of Assets &amp; Liablilities 2" xfId="4986" xr:uid="{00000000-0005-0000-0000-00007A130000}"/>
    <cellStyle name="_Development Mandays_Details of Assets &amp; Liablilities 3" xfId="4987" xr:uid="{00000000-0005-0000-0000-00007B130000}"/>
    <cellStyle name="_Development Mandays_IBL_09.12.2009" xfId="4988" xr:uid="{00000000-0005-0000-0000-00007C130000}"/>
    <cellStyle name="_Development Mandays_IBL_09.12.2009 2" xfId="4989" xr:uid="{00000000-0005-0000-0000-00007D130000}"/>
    <cellStyle name="_Development Mandays_ICL_22 12 2009" xfId="4990" xr:uid="{00000000-0005-0000-0000-00007E130000}"/>
    <cellStyle name="_Development Mandays_ICL_22 12 2009 2" xfId="4991" xr:uid="{00000000-0005-0000-0000-00007F130000}"/>
    <cellStyle name="_Development Mandays_IHFL_September_30_2010 VERSION 10" xfId="4992" xr:uid="{00000000-0005-0000-0000-000080130000}"/>
    <cellStyle name="_Development Mandays_Indiabulls Asset Management Company Limited printable" xfId="4993" xr:uid="{00000000-0005-0000-0000-000081130000}"/>
    <cellStyle name="_Development Mandays_ISL_ Adv Tax 2009-10 Q3" xfId="4994" xr:uid="{00000000-0005-0000-0000-000082130000}"/>
    <cellStyle name="_Development Mandays_ISL_ Adv Tax 2009-10 Q3 2" xfId="4995" xr:uid="{00000000-0005-0000-0000-000083130000}"/>
    <cellStyle name="_Development Mandays_ISL_conso_September_09_10" xfId="4996" xr:uid="{00000000-0005-0000-0000-000084130000}"/>
    <cellStyle name="_Development Mandays_ISL_conso_September_09_10 2" xfId="4997" xr:uid="{00000000-0005-0000-0000-000085130000}"/>
    <cellStyle name="_Development Mandays_ISL_Provisions_30.09.2010" xfId="4998" xr:uid="{00000000-0005-0000-0000-000086130000}"/>
    <cellStyle name="_Development Mandays_Provision" xfId="4999" xr:uid="{00000000-0005-0000-0000-000087130000}"/>
    <cellStyle name="_Development Mandays_Provision for Exp - FY 0809" xfId="5000" xr:uid="{00000000-0005-0000-0000-000088130000}"/>
    <cellStyle name="_Development Mandays_provisions q3" xfId="5001" xr:uid="{00000000-0005-0000-0000-000089130000}"/>
    <cellStyle name="_Development Mandays_Results" xfId="5002" xr:uid="{00000000-0005-0000-0000-00008A130000}"/>
    <cellStyle name="_Development Mandays_Results 2" xfId="5003" xr:uid="{00000000-0005-0000-0000-00008B130000}"/>
    <cellStyle name="_Dhiraj HE&amp;HL Provision October 2008" xfId="5004" xr:uid="{00000000-0005-0000-0000-00008C130000}"/>
    <cellStyle name="_Dhiraj HE&amp;HL Provision October 2008 2" xfId="5005" xr:uid="{00000000-0005-0000-0000-00008D130000}"/>
    <cellStyle name="_Dhirender Provision BIL October-'08" xfId="5006" xr:uid="{00000000-0005-0000-0000-00008E130000}"/>
    <cellStyle name="_Dhirender Provision BIL October-'08 2" xfId="5007" xr:uid="{00000000-0005-0000-0000-00008F130000}"/>
    <cellStyle name="_disbursal - housing loan" xfId="5008" xr:uid="{00000000-0005-0000-0000-000090130000}"/>
    <cellStyle name="_disbursal - housing loan 2" xfId="5009" xr:uid="{00000000-0005-0000-0000-000091130000}"/>
    <cellStyle name="_disbursal - housing loan_Details of Assets &amp; Liablilities" xfId="5010" xr:uid="{00000000-0005-0000-0000-000092130000}"/>
    <cellStyle name="_disbursal - housing loan_Details of Assets &amp; Liablilities 2" xfId="5011" xr:uid="{00000000-0005-0000-0000-000093130000}"/>
    <cellStyle name="_disbursal - housing loan_Details of Assets &amp; Liablilities 3" xfId="5012" xr:uid="{00000000-0005-0000-0000-000094130000}"/>
    <cellStyle name="_disbursal - housing loan_IBL_09.12.2009" xfId="5013" xr:uid="{00000000-0005-0000-0000-000095130000}"/>
    <cellStyle name="_disbursal - housing loan_IBL_09.12.2009 2" xfId="5014" xr:uid="{00000000-0005-0000-0000-000096130000}"/>
    <cellStyle name="_disbursal - housing loan_ICL_22 12 2009" xfId="5015" xr:uid="{00000000-0005-0000-0000-000097130000}"/>
    <cellStyle name="_disbursal - housing loan_ICL_22 12 2009 2" xfId="5016" xr:uid="{00000000-0005-0000-0000-000098130000}"/>
    <cellStyle name="_disbursal - housing loan_IHFL_September_30_2010 VERSION 10" xfId="5017" xr:uid="{00000000-0005-0000-0000-000099130000}"/>
    <cellStyle name="_disbursal - housing loan_Indiabulls Asset Management Company Limited printable" xfId="5018" xr:uid="{00000000-0005-0000-0000-00009A130000}"/>
    <cellStyle name="_disbursal - housing loan_ISL_ Adv Tax 2009-10 Q3" xfId="5019" xr:uid="{00000000-0005-0000-0000-00009B130000}"/>
    <cellStyle name="_disbursal - housing loan_ISL_ Adv Tax 2009-10 Q3 2" xfId="5020" xr:uid="{00000000-0005-0000-0000-00009C130000}"/>
    <cellStyle name="_disbursal - housing loan_ISL_conso_September_09_10" xfId="5021" xr:uid="{00000000-0005-0000-0000-00009D130000}"/>
    <cellStyle name="_disbursal - housing loan_ISL_conso_September_09_10 2" xfId="5022" xr:uid="{00000000-0005-0000-0000-00009E130000}"/>
    <cellStyle name="_disbursal - housing loan_ISL_Provisions_30.09.2010" xfId="5023" xr:uid="{00000000-0005-0000-0000-00009F130000}"/>
    <cellStyle name="_disbursal - housing loan_Provision" xfId="5024" xr:uid="{00000000-0005-0000-0000-0000A0130000}"/>
    <cellStyle name="_disbursal - housing loan_Provision for Exp - FY 0809" xfId="5025" xr:uid="{00000000-0005-0000-0000-0000A1130000}"/>
    <cellStyle name="_disbursal - housing loan_provisions q3" xfId="5026" xr:uid="{00000000-0005-0000-0000-0000A2130000}"/>
    <cellStyle name="_disbursal - housing loan_Results" xfId="5027" xr:uid="{00000000-0005-0000-0000-0000A3130000}"/>
    <cellStyle name="_disbursal - housing loan_Results 2" xfId="5028" xr:uid="{00000000-0005-0000-0000-0000A4130000}"/>
    <cellStyle name="_Dividend working" xfId="5029" xr:uid="{00000000-0005-0000-0000-0000A5130000}"/>
    <cellStyle name="_Dividend working 2" xfId="5030" xr:uid="{00000000-0005-0000-0000-0000A6130000}"/>
    <cellStyle name="_Dividend working 3" xfId="5031" xr:uid="{00000000-0005-0000-0000-0000A7130000}"/>
    <cellStyle name="_Dividend working 4" xfId="5032" xr:uid="{00000000-0005-0000-0000-0000A8130000}"/>
    <cellStyle name="_Dividend working 5" xfId="5033" xr:uid="{00000000-0005-0000-0000-0000A9130000}"/>
    <cellStyle name="_dividend working Sept 07" xfId="5034" xr:uid="{00000000-0005-0000-0000-0000AA130000}"/>
    <cellStyle name="_dividend working Sept 07 2" xfId="5035" xr:uid="{00000000-0005-0000-0000-0000AB130000}"/>
    <cellStyle name="_dividend working Sept 07_Details of Assets &amp; Liablilities" xfId="5036" xr:uid="{00000000-0005-0000-0000-0000AC130000}"/>
    <cellStyle name="_dividend working Sept 07_Details of Assets &amp; Liablilities 2" xfId="5037" xr:uid="{00000000-0005-0000-0000-0000AD130000}"/>
    <cellStyle name="_dividend working Sept 07_Details of Assets &amp; Liablilities 3" xfId="5038" xr:uid="{00000000-0005-0000-0000-0000AE130000}"/>
    <cellStyle name="_dividend working Sept 07_IBL_09.12.2009" xfId="5039" xr:uid="{00000000-0005-0000-0000-0000AF130000}"/>
    <cellStyle name="_dividend working Sept 07_IBL_09.12.2009 2" xfId="5040" xr:uid="{00000000-0005-0000-0000-0000B0130000}"/>
    <cellStyle name="_dividend working Sept 07_ICL_22 12 2009" xfId="5041" xr:uid="{00000000-0005-0000-0000-0000B1130000}"/>
    <cellStyle name="_dividend working Sept 07_ICL_22 12 2009 2" xfId="5042" xr:uid="{00000000-0005-0000-0000-0000B2130000}"/>
    <cellStyle name="_dividend working Sept 07_IHFL_September_30_2010 VERSION 10" xfId="5043" xr:uid="{00000000-0005-0000-0000-0000B3130000}"/>
    <cellStyle name="_dividend working Sept 07_Indiabulls Asset Management Company Limited printable" xfId="5044" xr:uid="{00000000-0005-0000-0000-0000B4130000}"/>
    <cellStyle name="_dividend working Sept 07_ISL_ Adv Tax 2009-10 Q3" xfId="5045" xr:uid="{00000000-0005-0000-0000-0000B5130000}"/>
    <cellStyle name="_dividend working Sept 07_ISL_ Adv Tax 2009-10 Q3 2" xfId="5046" xr:uid="{00000000-0005-0000-0000-0000B6130000}"/>
    <cellStyle name="_dividend working Sept 07_ISL_conso_September_09_10" xfId="5047" xr:uid="{00000000-0005-0000-0000-0000B7130000}"/>
    <cellStyle name="_dividend working Sept 07_ISL_conso_September_09_10 2" xfId="5048" xr:uid="{00000000-0005-0000-0000-0000B8130000}"/>
    <cellStyle name="_dividend working Sept 07_ISL_Provisions_30.09.2010" xfId="5049" xr:uid="{00000000-0005-0000-0000-0000B9130000}"/>
    <cellStyle name="_dividend working Sept 07_Provision" xfId="5050" xr:uid="{00000000-0005-0000-0000-0000BA130000}"/>
    <cellStyle name="_dividend working Sept 07_Provision for Exp - FY 0809" xfId="5051" xr:uid="{00000000-0005-0000-0000-0000BB130000}"/>
    <cellStyle name="_dividend working Sept 07_provisions q3" xfId="5052" xr:uid="{00000000-0005-0000-0000-0000BC130000}"/>
    <cellStyle name="_dividend working Sept 07_Results" xfId="5053" xr:uid="{00000000-0005-0000-0000-0000BD130000}"/>
    <cellStyle name="_dividend working Sept 07_Results 2" xfId="5054" xr:uid="{00000000-0005-0000-0000-0000BE130000}"/>
    <cellStyle name="_DSA Prov Sept" xfId="5055" xr:uid="{00000000-0005-0000-0000-0000BF130000}"/>
    <cellStyle name="_DSA Prov Sept 2" xfId="5056" xr:uid="{00000000-0005-0000-0000-0000C0130000}"/>
    <cellStyle name="_DSA prov Sept Final" xfId="5057" xr:uid="{00000000-0005-0000-0000-0000C1130000}"/>
    <cellStyle name="_DSA prov Sept Final 2" xfId="5058" xr:uid="{00000000-0005-0000-0000-0000C2130000}"/>
    <cellStyle name="_DSA prov Sept Final_IHFL_September_30_2010 VERSION 10" xfId="5059" xr:uid="{00000000-0005-0000-0000-0000C3130000}"/>
    <cellStyle name="_DSA Prov Sept_IHFL_September_30_2010 VERSION 10" xfId="5060" xr:uid="{00000000-0005-0000-0000-0000C4130000}"/>
    <cellStyle name="_DSTL - Computation - 2007-08" xfId="5061" xr:uid="{00000000-0005-0000-0000-0000C5130000}"/>
    <cellStyle name="_DSTSL 31 03 2009 final version" xfId="5062" xr:uid="{00000000-0005-0000-0000-0000C6130000}"/>
    <cellStyle name="_DSTSL 31.03.2008" xfId="5063" xr:uid="{00000000-0005-0000-0000-0000C7130000}"/>
    <cellStyle name="_DSTSL 31.03.2008_NFCL working file" xfId="5064" xr:uid="{00000000-0005-0000-0000-0000C8130000}"/>
    <cellStyle name="_DSTSL 31.03.2008_Tax Audit Report  F.Y.08-09" xfId="5065" xr:uid="{00000000-0005-0000-0000-0000C9130000}"/>
    <cellStyle name="_DSTSL 31.03.2008_Tax Audit Report  ICSL F.Y.09-10" xfId="5066" xr:uid="{00000000-0005-0000-0000-0000CA130000}"/>
    <cellStyle name="_DTL" xfId="5067" xr:uid="{00000000-0005-0000-0000-0000CB130000}"/>
    <cellStyle name="_DTL 2008-09" xfId="5068" xr:uid="{00000000-0005-0000-0000-0000CC130000}"/>
    <cellStyle name="_DTL_Computation_FY2008-09" xfId="5069" xr:uid="{00000000-0005-0000-0000-0000CD130000}"/>
    <cellStyle name="_DTL_December_08_09" xfId="5070" xr:uid="{00000000-0005-0000-0000-0000CE130000}"/>
    <cellStyle name="_DTL_Indiabulls Asset Management Company Limited printable" xfId="5071" xr:uid="{00000000-0005-0000-0000-0000CF130000}"/>
    <cellStyle name="_earning updateDec  07" xfId="5072" xr:uid="{00000000-0005-0000-0000-0000D0130000}"/>
    <cellStyle name="_eCF - eRAMS - Estimation 1.1" xfId="5073" xr:uid="{00000000-0005-0000-0000-0000D1130000}"/>
    <cellStyle name="_eCF Cost Tracking_31Aug05" xfId="5074" xr:uid="{00000000-0005-0000-0000-0000D2130000}"/>
    <cellStyle name="_eCF Cost Tracking_31Aug05 2" xfId="5075" xr:uid="{00000000-0005-0000-0000-0000D3130000}"/>
    <cellStyle name="_eCF Cost Tracking_31Aug05_Details of Assets &amp; Liablilities" xfId="5076" xr:uid="{00000000-0005-0000-0000-0000D4130000}"/>
    <cellStyle name="_eCF Cost Tracking_31Aug05_Details of Assets &amp; Liablilities 2" xfId="5077" xr:uid="{00000000-0005-0000-0000-0000D5130000}"/>
    <cellStyle name="_eCF Cost Tracking_31Aug05_Details of Assets &amp; Liablilities 3" xfId="5078" xr:uid="{00000000-0005-0000-0000-0000D6130000}"/>
    <cellStyle name="_eCF Cost Tracking_31Aug05_IBL_09.12.2009" xfId="5079" xr:uid="{00000000-0005-0000-0000-0000D7130000}"/>
    <cellStyle name="_eCF Cost Tracking_31Aug05_IBL_09.12.2009 2" xfId="5080" xr:uid="{00000000-0005-0000-0000-0000D8130000}"/>
    <cellStyle name="_eCF Cost Tracking_31Aug05_ICL_22 12 2009" xfId="5081" xr:uid="{00000000-0005-0000-0000-0000D9130000}"/>
    <cellStyle name="_eCF Cost Tracking_31Aug05_ICL_22 12 2009 2" xfId="5082" xr:uid="{00000000-0005-0000-0000-0000DA130000}"/>
    <cellStyle name="_eCF Cost Tracking_31Aug05_IHFL_September_30_2010 VERSION 10" xfId="5083" xr:uid="{00000000-0005-0000-0000-0000DB130000}"/>
    <cellStyle name="_eCF Cost Tracking_31Aug05_Indiabulls Asset Management Company Limited printable" xfId="5084" xr:uid="{00000000-0005-0000-0000-0000DC130000}"/>
    <cellStyle name="_eCF Cost Tracking_31Aug05_ISL_ Adv Tax 2009-10 Q3" xfId="5085" xr:uid="{00000000-0005-0000-0000-0000DD130000}"/>
    <cellStyle name="_eCF Cost Tracking_31Aug05_ISL_ Adv Tax 2009-10 Q3 2" xfId="5086" xr:uid="{00000000-0005-0000-0000-0000DE130000}"/>
    <cellStyle name="_eCF Cost Tracking_31Aug05_ISL_conso_September_09_10" xfId="5087" xr:uid="{00000000-0005-0000-0000-0000DF130000}"/>
    <cellStyle name="_eCF Cost Tracking_31Aug05_ISL_conso_September_09_10 2" xfId="5088" xr:uid="{00000000-0005-0000-0000-0000E0130000}"/>
    <cellStyle name="_eCF Cost Tracking_31Aug05_ISL_Provisions_30.09.2010" xfId="5089" xr:uid="{00000000-0005-0000-0000-0000E1130000}"/>
    <cellStyle name="_eCF Cost Tracking_31Aug05_Provision" xfId="5090" xr:uid="{00000000-0005-0000-0000-0000E2130000}"/>
    <cellStyle name="_eCF Cost Tracking_31Aug05_Provision for Exp - FY 0809" xfId="5091" xr:uid="{00000000-0005-0000-0000-0000E3130000}"/>
    <cellStyle name="_eCF Cost Tracking_31Aug05_provisions q3" xfId="5092" xr:uid="{00000000-0005-0000-0000-0000E4130000}"/>
    <cellStyle name="_eCF Cost Tracking_31Aug05_Results" xfId="5093" xr:uid="{00000000-0005-0000-0000-0000E5130000}"/>
    <cellStyle name="_eCF Cost Tracking_31Aug05_Results 2" xfId="5094" xr:uid="{00000000-0005-0000-0000-0000E6130000}"/>
    <cellStyle name="_Electricity Reco 30.10.07" xfId="5095" xr:uid="{00000000-0005-0000-0000-0000E7130000}"/>
    <cellStyle name="_Electricity Reco 30.10.07 2" xfId="5096" xr:uid="{00000000-0005-0000-0000-0000E8130000}"/>
    <cellStyle name="_Electricity Reco 30.10.07_IHFL_September_30_2010 VERSION 10" xfId="5097" xr:uid="{00000000-0005-0000-0000-0000E9130000}"/>
    <cellStyle name="_EMD Deposit &amp; Projects" xfId="5098" xr:uid="{00000000-0005-0000-0000-0000EA130000}"/>
    <cellStyle name="_EMD Deposit &amp; Projects 2" xfId="5099" xr:uid="{00000000-0005-0000-0000-0000EB130000}"/>
    <cellStyle name="_EMD Deposit &amp; Projects 3" xfId="5100" xr:uid="{00000000-0005-0000-0000-0000EC130000}"/>
    <cellStyle name="_EMD Deposit &amp; Projects 4" xfId="5101" xr:uid="{00000000-0005-0000-0000-0000ED130000}"/>
    <cellStyle name="_EMD Deposit &amp; Projects 5" xfId="5102" xr:uid="{00000000-0005-0000-0000-0000EE130000}"/>
    <cellStyle name="_emi schedule for customer with chaged emi" xfId="5103" xr:uid="{00000000-0005-0000-0000-0000EF130000}"/>
    <cellStyle name="_emi schedule for customer with chaged emi 2" xfId="5104" xr:uid="{00000000-0005-0000-0000-0000F0130000}"/>
    <cellStyle name="_Employee Loan Cases - IHFL" xfId="5105" xr:uid="{00000000-0005-0000-0000-0000F1130000}"/>
    <cellStyle name="_Employee Loan Cases - IHFL 2" xfId="5106" xr:uid="{00000000-0005-0000-0000-0000F2130000}"/>
    <cellStyle name="_Employee Loan Cases - IHFL_Indiabulls Asset Management Company Limited printable" xfId="5107" xr:uid="{00000000-0005-0000-0000-0000F3130000}"/>
    <cellStyle name="_Entry JAN09" xfId="5108" xr:uid="{00000000-0005-0000-0000-0000F4130000}"/>
    <cellStyle name="_EPS" xfId="5109" xr:uid="{00000000-0005-0000-0000-0000F5130000}"/>
    <cellStyle name="_EPS 2" xfId="5110" xr:uid="{00000000-0005-0000-0000-0000F6130000}"/>
    <cellStyle name="_EPS 3" xfId="5111" xr:uid="{00000000-0005-0000-0000-0000F7130000}"/>
    <cellStyle name="_EPS 4" xfId="5112" xr:uid="{00000000-0005-0000-0000-0000F8130000}"/>
    <cellStyle name="_EPS 5" xfId="5113" xr:uid="{00000000-0005-0000-0000-0000F9130000}"/>
    <cellStyle name="_EPS_detail" xfId="5114" xr:uid="{00000000-0005-0000-0000-0000FA130000}"/>
    <cellStyle name="_EPS_detail (2)" xfId="5115" xr:uid="{00000000-0005-0000-0000-0000FB130000}"/>
    <cellStyle name="_EPS_detail (2) 2" xfId="5116" xr:uid="{00000000-0005-0000-0000-0000FC130000}"/>
    <cellStyle name="_EPS_detail to be added in june,2008" xfId="5117" xr:uid="{00000000-0005-0000-0000-0000FD130000}"/>
    <cellStyle name="_EPS_detail to be added in june,2008 2" xfId="5118" xr:uid="{00000000-0005-0000-0000-0000FE130000}"/>
    <cellStyle name="_EPS_Details of Assets &amp; Liablilities" xfId="5119" xr:uid="{00000000-0005-0000-0000-0000FF130000}"/>
    <cellStyle name="_EPS_Details of Assets &amp; Liablilities 2" xfId="5120" xr:uid="{00000000-0005-0000-0000-000000140000}"/>
    <cellStyle name="_EPS_Details of Assets &amp; Liablilities 3" xfId="5121" xr:uid="{00000000-0005-0000-0000-000001140000}"/>
    <cellStyle name="_EPS_IBL_09.12.2009" xfId="5122" xr:uid="{00000000-0005-0000-0000-000002140000}"/>
    <cellStyle name="_EPS_IBL_09.12.2009 2" xfId="5123" xr:uid="{00000000-0005-0000-0000-000003140000}"/>
    <cellStyle name="_EPS_ICL_22 12 2009" xfId="5124" xr:uid="{00000000-0005-0000-0000-000004140000}"/>
    <cellStyle name="_EPS_ICL_22 12 2009 2" xfId="5125" xr:uid="{00000000-0005-0000-0000-000005140000}"/>
    <cellStyle name="_EPS_Indiabulls Asset Management Company Limited printable" xfId="5126" xr:uid="{00000000-0005-0000-0000-000006140000}"/>
    <cellStyle name="_EPS_IRECPL_Himanshu Shah Bill" xfId="5127" xr:uid="{00000000-0005-0000-0000-000007140000}"/>
    <cellStyle name="_EPS_IRECPL_Himanshu Shah Bill 2" xfId="5128" xr:uid="{00000000-0005-0000-0000-000008140000}"/>
    <cellStyle name="_EPS_ISL_ Adv Tax 2009-10 Q3" xfId="5129" xr:uid="{00000000-0005-0000-0000-000009140000}"/>
    <cellStyle name="_EPS_ISL_ Adv Tax 2009-10 Q3 2" xfId="5130" xr:uid="{00000000-0005-0000-0000-00000A140000}"/>
    <cellStyle name="_EPS_ISL_conso_September_09_10" xfId="5131" xr:uid="{00000000-0005-0000-0000-00000B140000}"/>
    <cellStyle name="_EPS_ISL_conso_September_09_10 2" xfId="5132" xr:uid="{00000000-0005-0000-0000-00000C140000}"/>
    <cellStyle name="_EPS_ISL_Provisions_30.09.2010" xfId="5133" xr:uid="{00000000-0005-0000-0000-00000D140000}"/>
    <cellStyle name="_EPS_Provision" xfId="5134" xr:uid="{00000000-0005-0000-0000-00000E140000}"/>
    <cellStyle name="_EPS_Provision for Exp - FY 0809" xfId="5135" xr:uid="{00000000-0005-0000-0000-00000F140000}"/>
    <cellStyle name="_EPS_provisions q3" xfId="5136" xr:uid="{00000000-0005-0000-0000-000010140000}"/>
    <cellStyle name="_EPS_Results" xfId="5137" xr:uid="{00000000-0005-0000-0000-000011140000}"/>
    <cellStyle name="_EPS_Results 2" xfId="5138" xr:uid="{00000000-0005-0000-0000-000012140000}"/>
    <cellStyle name="_ET_STYLE_NoName_00_" xfId="5139" xr:uid="{00000000-0005-0000-0000-000013140000}"/>
    <cellStyle name="_ET_STYLE_NoName_00__Details of Suits March 11" xfId="5140" xr:uid="{00000000-0005-0000-0000-000014140000}"/>
    <cellStyle name="_ET_STYLE_NoName_00__Legal Case List March - 2011_update (version 1)" xfId="5141" xr:uid="{00000000-0005-0000-0000-000015140000}"/>
    <cellStyle name="_ET_STYLE_NoName_00__Provisions" xfId="5142" xr:uid="{00000000-0005-0000-0000-000016140000}"/>
    <cellStyle name="_Excel Trackers upto Oct 07" xfId="5143" xr:uid="{00000000-0005-0000-0000-000017140000}"/>
    <cellStyle name="_Excel Trackers upto Oct 07 2" xfId="5144" xr:uid="{00000000-0005-0000-0000-000018140000}"/>
    <cellStyle name="_Excel Trackers upto Oct 07_IHFL_September_30_2010 VERSION 10" xfId="5145" xr:uid="{00000000-0005-0000-0000-000019140000}"/>
    <cellStyle name="_Expenses Detail" xfId="5146" xr:uid="{00000000-0005-0000-0000-00001A140000}"/>
    <cellStyle name="_Expenses Detail all Company" xfId="5147" xr:uid="{00000000-0005-0000-0000-00001B140000}"/>
    <cellStyle name="_Expenses Detail all Company_BS _IB Asset Management _3103_ver5" xfId="5148" xr:uid="{00000000-0005-0000-0000-00001C140000}"/>
    <cellStyle name="_Expenses Detail all Company_BS _IB Asset Management _3103_ver5_IAMCL BS working -New format_31.03 V5" xfId="5149" xr:uid="{00000000-0005-0000-0000-00001D140000}"/>
    <cellStyle name="_Expenses Detail all Company_IAMCL BS working -New format_31.03 V5" xfId="5150" xr:uid="{00000000-0005-0000-0000-00001E140000}"/>
    <cellStyle name="_Expenses Detail all Company_IB Asset Management_3103 V5" xfId="5151" xr:uid="{00000000-0005-0000-0000-00001F140000}"/>
    <cellStyle name="_Expenses Detail all Company_IB Collection Agency_3103 V3" xfId="5152" xr:uid="{00000000-0005-0000-0000-000020140000}"/>
    <cellStyle name="_Expenses Detail all Company_IB Collection Agency_3103 V3_ICAL-New Format_31.03 V4" xfId="5153" xr:uid="{00000000-0005-0000-0000-000021140000}"/>
    <cellStyle name="_Expenses Detail all Company_Ibulls BS Final woirking -New format_31.03 V5" xfId="5154" xr:uid="{00000000-0005-0000-0000-000022140000}"/>
    <cellStyle name="_Expenses Detail all Company_IbullsSales_3009V3 (3)" xfId="5155" xr:uid="{00000000-0005-0000-0000-000023140000}"/>
    <cellStyle name="_Expenses Detail all Company_IbullsSales_3103 V5" xfId="5156" xr:uid="{00000000-0005-0000-0000-000024140000}"/>
    <cellStyle name="_Expenses Detail all Company_ICAL-BS Final Working _New format" xfId="5157" xr:uid="{00000000-0005-0000-0000-000025140000}"/>
    <cellStyle name="_Expenses Detail all Company_Indiabulls Asset Management Company Limited printable" xfId="5158" xr:uid="{00000000-0005-0000-0000-000026140000}"/>
    <cellStyle name="_Expenses Detail_BS _IB Asset Management _3103_ver5" xfId="5159" xr:uid="{00000000-0005-0000-0000-000027140000}"/>
    <cellStyle name="_Expenses Detail_BS _IB Asset Management _3103_ver5_IAMCL BS working -New format_31.03 V5" xfId="5160" xr:uid="{00000000-0005-0000-0000-000028140000}"/>
    <cellStyle name="_Expenses Detail_IAMCL BS working -New format_31.03 V5" xfId="5161" xr:uid="{00000000-0005-0000-0000-000029140000}"/>
    <cellStyle name="_Expenses Detail_IB Asset Management _2910" xfId="5162" xr:uid="{00000000-0005-0000-0000-00002A140000}"/>
    <cellStyle name="_Expenses Detail_IB Asset Management _2910_IB Collection Agency_3103 V3" xfId="5163" xr:uid="{00000000-0005-0000-0000-00002B140000}"/>
    <cellStyle name="_Expenses Detail_IB Asset Management _2910_IB Collection Agency_3103 V3_ICAL-New Format_31.03 V4" xfId="5164" xr:uid="{00000000-0005-0000-0000-00002C140000}"/>
    <cellStyle name="_Expenses Detail_IB Asset Management _2910_ICAL-BS Final Working _New format" xfId="5165" xr:uid="{00000000-0005-0000-0000-00002D140000}"/>
    <cellStyle name="_Expenses Detail_IB Asset Management_3103 V5" xfId="5166" xr:uid="{00000000-0005-0000-0000-00002E140000}"/>
    <cellStyle name="_Expenses Detail_IB Collection Agency_3103 V3" xfId="5167" xr:uid="{00000000-0005-0000-0000-00002F140000}"/>
    <cellStyle name="_Expenses Detail_IB Collection Agency_3103 V3_ICAL-New Format_31.03 V4" xfId="5168" xr:uid="{00000000-0005-0000-0000-000030140000}"/>
    <cellStyle name="_Expenses Detail_Ibulls BS Final woirking -New format_31.03 V5" xfId="5169" xr:uid="{00000000-0005-0000-0000-000031140000}"/>
    <cellStyle name="_Expenses Detail_IbullsSales_3009V3 (3)" xfId="5170" xr:uid="{00000000-0005-0000-0000-000032140000}"/>
    <cellStyle name="_Expenses Detail_IbullsSales_3103 V5" xfId="5171" xr:uid="{00000000-0005-0000-0000-000033140000}"/>
    <cellStyle name="_Expenses Detail_ICAL-BS Final Working _New format" xfId="5172" xr:uid="{00000000-0005-0000-0000-000034140000}"/>
    <cellStyle name="_Expenses Detail_Indiabulls Asset Management Company Limited printable" xfId="5173" xr:uid="{00000000-0005-0000-0000-000035140000}"/>
    <cellStyle name="_F&amp;F Posted in Feb 2010 excluded provisioning cases" xfId="5174" xr:uid="{00000000-0005-0000-0000-000036140000}"/>
    <cellStyle name="_F&amp;F Posted in Feb 2010 excluded provisioning cases 2" xfId="5175" xr:uid="{00000000-0005-0000-0000-000037140000}"/>
    <cellStyle name="_F&amp;O" xfId="5176" xr:uid="{00000000-0005-0000-0000-000038140000}"/>
    <cellStyle name="_FBT" xfId="5177" xr:uid="{00000000-0005-0000-0000-000039140000}"/>
    <cellStyle name="_FBT 2" xfId="5178" xr:uid="{00000000-0005-0000-0000-00003A140000}"/>
    <cellStyle name="_FBT 3" xfId="5179" xr:uid="{00000000-0005-0000-0000-00003B140000}"/>
    <cellStyle name="_FBT 4" xfId="5180" xr:uid="{00000000-0005-0000-0000-00003C140000}"/>
    <cellStyle name="_FBT 5" xfId="5181" xr:uid="{00000000-0005-0000-0000-00003D140000}"/>
    <cellStyle name="_fbt 6" xfId="5182" xr:uid="{00000000-0005-0000-0000-00003E140000}"/>
    <cellStyle name="_FBT IHFL 4rd Qtr.AAA FINAL FOR MARCH" xfId="5183" xr:uid="{00000000-0005-0000-0000-00003F140000}"/>
    <cellStyle name="_FBT IHFL 4rd Qtr.AAA FINAL FOR MARCH 2" xfId="5184" xr:uid="{00000000-0005-0000-0000-000040140000}"/>
    <cellStyle name="_FBT IHFL 4rd Qtr.AAA FINAL FOR MARCH_Indiabulls Asset Management Company Limited printable" xfId="5185" xr:uid="{00000000-0005-0000-0000-000041140000}"/>
    <cellStyle name="_FBT IPPL 2006-07" xfId="5186" xr:uid="{00000000-0005-0000-0000-000042140000}"/>
    <cellStyle name="_FBT IPPL 2006-07 2" xfId="5187" xr:uid="{00000000-0005-0000-0000-000043140000}"/>
    <cellStyle name="_FBT IPPL 2006-07 3" xfId="5188" xr:uid="{00000000-0005-0000-0000-000044140000}"/>
    <cellStyle name="_FBT IPPL 2006-07 4" xfId="5189" xr:uid="{00000000-0005-0000-0000-000045140000}"/>
    <cellStyle name="_FBT IPPL 2006-07 5" xfId="5190" xr:uid="{00000000-0005-0000-0000-000046140000}"/>
    <cellStyle name="_FBT IPPL 2006-07_detail" xfId="5191" xr:uid="{00000000-0005-0000-0000-000047140000}"/>
    <cellStyle name="_FBT IPPL 2006-07_detail (2)" xfId="5192" xr:uid="{00000000-0005-0000-0000-000048140000}"/>
    <cellStyle name="_FBT IPPL 2006-07_detail (2) 2" xfId="5193" xr:uid="{00000000-0005-0000-0000-000049140000}"/>
    <cellStyle name="_FBT IPPL 2006-07_detail to be added in june,2008" xfId="5194" xr:uid="{00000000-0005-0000-0000-00004A140000}"/>
    <cellStyle name="_FBT IPPL 2006-07_detail to be added in june,2008 2" xfId="5195" xr:uid="{00000000-0005-0000-0000-00004B140000}"/>
    <cellStyle name="_FBT IPPL 2006-07_Details of Assets &amp; Liablilities" xfId="5196" xr:uid="{00000000-0005-0000-0000-00004C140000}"/>
    <cellStyle name="_FBT IPPL 2006-07_Details of Assets &amp; Liablilities 2" xfId="5197" xr:uid="{00000000-0005-0000-0000-00004D140000}"/>
    <cellStyle name="_FBT IPPL 2006-07_Details of Assets &amp; Liablilities 3" xfId="5198" xr:uid="{00000000-0005-0000-0000-00004E140000}"/>
    <cellStyle name="_FBT IPPL 2006-07_IBL_09.12.2009" xfId="5199" xr:uid="{00000000-0005-0000-0000-00004F140000}"/>
    <cellStyle name="_FBT IPPL 2006-07_IBL_09.12.2009 2" xfId="5200" xr:uid="{00000000-0005-0000-0000-000050140000}"/>
    <cellStyle name="_FBT IPPL 2006-07_ICL_22 12 2009" xfId="5201" xr:uid="{00000000-0005-0000-0000-000051140000}"/>
    <cellStyle name="_FBT IPPL 2006-07_ICL_22 12 2009 2" xfId="5202" xr:uid="{00000000-0005-0000-0000-000052140000}"/>
    <cellStyle name="_FBT IPPL 2006-07_Indiabulls Asset Management Company Limited printable" xfId="5203" xr:uid="{00000000-0005-0000-0000-000053140000}"/>
    <cellStyle name="_FBT IPPL 2006-07_IRECPL_Himanshu Shah Bill" xfId="5204" xr:uid="{00000000-0005-0000-0000-000054140000}"/>
    <cellStyle name="_FBT IPPL 2006-07_IRECPL_Himanshu Shah Bill 2" xfId="5205" xr:uid="{00000000-0005-0000-0000-000055140000}"/>
    <cellStyle name="_FBT IPPL 2006-07_ISL_ Adv Tax 2009-10 Q3" xfId="5206" xr:uid="{00000000-0005-0000-0000-000056140000}"/>
    <cellStyle name="_FBT IPPL 2006-07_ISL_ Adv Tax 2009-10 Q3 2" xfId="5207" xr:uid="{00000000-0005-0000-0000-000057140000}"/>
    <cellStyle name="_FBT IPPL 2006-07_ISL_conso_September_09_10" xfId="5208" xr:uid="{00000000-0005-0000-0000-000058140000}"/>
    <cellStyle name="_FBT IPPL 2006-07_ISL_conso_September_09_10 2" xfId="5209" xr:uid="{00000000-0005-0000-0000-000059140000}"/>
    <cellStyle name="_FBT IPPL 2006-07_ISL_Provisions_30.09.2010" xfId="5210" xr:uid="{00000000-0005-0000-0000-00005A140000}"/>
    <cellStyle name="_FBT IPPL 2006-07_Provision" xfId="5211" xr:uid="{00000000-0005-0000-0000-00005B140000}"/>
    <cellStyle name="_FBT IPPL 2006-07_Provision for Exp - FY 0809" xfId="5212" xr:uid="{00000000-0005-0000-0000-00005C140000}"/>
    <cellStyle name="_FBT IPPL 2006-07_provisions q3" xfId="5213" xr:uid="{00000000-0005-0000-0000-00005D140000}"/>
    <cellStyle name="_FBT IPPL 2006-07_Results" xfId="5214" xr:uid="{00000000-0005-0000-0000-00005E140000}"/>
    <cellStyle name="_FBT IPPL 2006-07_Results 2" xfId="5215" xr:uid="{00000000-0005-0000-0000-00005F140000}"/>
    <cellStyle name="_fbt_CCL_3353_2007-08" xfId="5216" xr:uid="{00000000-0005-0000-0000-000060140000}"/>
    <cellStyle name="_fbt_CCL_3353_2007-08 2" xfId="5217" xr:uid="{00000000-0005-0000-0000-000061140000}"/>
    <cellStyle name="_fbt_detail" xfId="5218" xr:uid="{00000000-0005-0000-0000-000062140000}"/>
    <cellStyle name="_fbt_detail (2)" xfId="5219" xr:uid="{00000000-0005-0000-0000-000063140000}"/>
    <cellStyle name="_fbt_detail (2) 2" xfId="5220" xr:uid="{00000000-0005-0000-0000-000064140000}"/>
    <cellStyle name="_fbt_detail to be added in june,2008" xfId="5221" xr:uid="{00000000-0005-0000-0000-000065140000}"/>
    <cellStyle name="_fbt_detail to be added in june,2008 2" xfId="5222" xr:uid="{00000000-0005-0000-0000-000066140000}"/>
    <cellStyle name="_fbt_EPL_3346_2007-08(C)" xfId="5223" xr:uid="{00000000-0005-0000-0000-000067140000}"/>
    <cellStyle name="_fbt_EPL_3346_2007-08(C) 2" xfId="5224" xr:uid="{00000000-0005-0000-0000-000068140000}"/>
    <cellStyle name="_fbt_IIDL_3227_2007-08" xfId="5225" xr:uid="{00000000-0005-0000-0000-000069140000}"/>
    <cellStyle name="_fbt_IIDL_3227_2007-08 2" xfId="5226" xr:uid="{00000000-0005-0000-0000-00006A140000}"/>
    <cellStyle name="_fbt_Indiabulls Asset Management Company Limited printable" xfId="5227" xr:uid="{00000000-0005-0000-0000-00006B140000}"/>
    <cellStyle name="_fbt_IPGL_3355_2007-08" xfId="5228" xr:uid="{00000000-0005-0000-0000-00006C140000}"/>
    <cellStyle name="_fbt_IPGL_3355_2007-08 2" xfId="5229" xr:uid="{00000000-0005-0000-0000-00006D140000}"/>
    <cellStyle name="_fbt_IRECPL_Himanshu Shah Bill" xfId="5230" xr:uid="{00000000-0005-0000-0000-00006E140000}"/>
    <cellStyle name="_fbt_IRECPL_Himanshu Shah Bill 2" xfId="5231" xr:uid="{00000000-0005-0000-0000-00006F140000}"/>
    <cellStyle name="_FC OCT07 Onwards" xfId="5232" xr:uid="{00000000-0005-0000-0000-000070140000}"/>
    <cellStyle name="_FC OCT07 Onwards 2" xfId="5233" xr:uid="{00000000-0005-0000-0000-000071140000}"/>
    <cellStyle name="_FC OCT07 Onwards_Indiabulls Asset Management Company Limited printable" xfId="5234" xr:uid="{00000000-0005-0000-0000-000072140000}"/>
    <cellStyle name="_FCI CHARGES 1100" xfId="5235" xr:uid="{00000000-0005-0000-0000-000073140000}"/>
    <cellStyle name="_FCI CHARGES 1100 2" xfId="5236" xr:uid="{00000000-0005-0000-0000-000074140000}"/>
    <cellStyle name="_FCI CHARGES 1100_IHFL_September_30_2010 VERSION 10" xfId="5237" xr:uid="{00000000-0005-0000-0000-000075140000}"/>
    <cellStyle name="_FCI,FCU_IFSL" xfId="5238" xr:uid="{00000000-0005-0000-0000-000076140000}"/>
    <cellStyle name="_FCI,FCU_IFSL 2" xfId="5239" xr:uid="{00000000-0005-0000-0000-000077140000}"/>
    <cellStyle name="_FCI,FCU_IFSL_IHFL_September_30_2010 VERSION 10" xfId="5240" xr:uid="{00000000-0005-0000-0000-000078140000}"/>
    <cellStyle name="_FCU base" xfId="5241" xr:uid="{00000000-0005-0000-0000-000079140000}"/>
    <cellStyle name="_FCU base 2" xfId="5242" xr:uid="{00000000-0005-0000-0000-00007A140000}"/>
    <cellStyle name="_FCU base_IHFL_September_30_2010 VERSION 10" xfId="5243" xr:uid="{00000000-0005-0000-0000-00007B140000}"/>
    <cellStyle name="_FD Detail" xfId="5244" xr:uid="{00000000-0005-0000-0000-00007C140000}"/>
    <cellStyle name="_FD Detail_Xl0000013" xfId="5245" xr:uid="{00000000-0005-0000-0000-00007D140000}"/>
    <cellStyle name="_FDR Details (2)" xfId="5246" xr:uid="{00000000-0005-0000-0000-00007E140000}"/>
    <cellStyle name="_FDR Details (2)_NFCL working file" xfId="5247" xr:uid="{00000000-0005-0000-0000-00007F140000}"/>
    <cellStyle name="_FDR Details (2)_Tax Audit Report  F.Y.08-09" xfId="5248" xr:uid="{00000000-0005-0000-0000-000080140000}"/>
    <cellStyle name="_FDR Details (2)_Tax Audit Report  ICSL F.Y.09-10" xfId="5249" xr:uid="{00000000-0005-0000-0000-000081140000}"/>
    <cellStyle name="_Feb month hold case- Final sheet (2)" xfId="5250" xr:uid="{00000000-0005-0000-0000-000082140000}"/>
    <cellStyle name="_Feb month hold case- Final sheet (2) 2" xfId="5251" xr:uid="{00000000-0005-0000-0000-000083140000}"/>
    <cellStyle name="_FEB08 Assign Update" xfId="5252" xr:uid="{00000000-0005-0000-0000-000084140000}"/>
    <cellStyle name="_FEB08 Assign Update 2" xfId="5253" xr:uid="{00000000-0005-0000-0000-000085140000}"/>
    <cellStyle name="_FEB08 Assign Update_Indiabulls Asset Management Company Limited printable" xfId="5254" xr:uid="{00000000-0005-0000-0000-000086140000}"/>
    <cellStyle name="_fim" xfId="5255" xr:uid="{00000000-0005-0000-0000-000087140000}"/>
    <cellStyle name="_fim 2" xfId="5256" xr:uid="{00000000-0005-0000-0000-000088140000}"/>
    <cellStyle name="_fim 3" xfId="5257" xr:uid="{00000000-0005-0000-0000-000089140000}"/>
    <cellStyle name="_fim 4" xfId="5258" xr:uid="{00000000-0005-0000-0000-00008A140000}"/>
    <cellStyle name="_fim 5" xfId="5259" xr:uid="{00000000-0005-0000-0000-00008B140000}"/>
    <cellStyle name="_FIM Funding" xfId="5260" xr:uid="{00000000-0005-0000-0000-00008C140000}"/>
    <cellStyle name="_FIM Funding 2" xfId="5261" xr:uid="{00000000-0005-0000-0000-00008D140000}"/>
    <cellStyle name="_FIM Funding 3" xfId="5262" xr:uid="{00000000-0005-0000-0000-00008E140000}"/>
    <cellStyle name="_FIM Funding 4" xfId="5263" xr:uid="{00000000-0005-0000-0000-00008F140000}"/>
    <cellStyle name="_FIM Funding 5" xfId="5264" xr:uid="{00000000-0005-0000-0000-000090140000}"/>
    <cellStyle name="_fim_Abstract-2007-08" xfId="5265" xr:uid="{00000000-0005-0000-0000-000091140000}"/>
    <cellStyle name="_fim_ACL_3402_2008-09" xfId="5266" xr:uid="{00000000-0005-0000-0000-000092140000}"/>
    <cellStyle name="_fim_ADL_3373_2008-09" xfId="5267" xr:uid="{00000000-0005-0000-0000-000093140000}"/>
    <cellStyle name="_fim_Book1 (2)" xfId="5268" xr:uid="{00000000-0005-0000-0000-000094140000}"/>
    <cellStyle name="_fim_CIL_3415_2008-09" xfId="5269" xr:uid="{00000000-0005-0000-0000-000095140000}"/>
    <cellStyle name="_fim_detail (2)" xfId="5270" xr:uid="{00000000-0005-0000-0000-000096140000}"/>
    <cellStyle name="_fim_detail (2) 2" xfId="5271" xr:uid="{00000000-0005-0000-0000-000097140000}"/>
    <cellStyle name="_fim_IBL_3441_2008-09" xfId="5272" xr:uid="{00000000-0005-0000-0000-000098140000}"/>
    <cellStyle name="_fim_IEL_3210_ 2007-2008" xfId="5273" xr:uid="{00000000-0005-0000-0000-000099140000}"/>
    <cellStyle name="_fim_IEL_3210_ 2007-2008 2" xfId="5274" xr:uid="{00000000-0005-0000-0000-00009A140000}"/>
    <cellStyle name="_fim_IEL_3210_ 2007-2008_260508" xfId="5275" xr:uid="{00000000-0005-0000-0000-00009B140000}"/>
    <cellStyle name="_fim_IEL_3210_ 2007-2008_260508 2" xfId="5276" xr:uid="{00000000-0005-0000-0000-00009C140000}"/>
    <cellStyle name="_fim_IIDL_3227_2008_09" xfId="5277" xr:uid="{00000000-0005-0000-0000-00009D140000}"/>
    <cellStyle name="_fim_IIDL_3227_2008_09 2" xfId="5278" xr:uid="{00000000-0005-0000-0000-00009E140000}"/>
    <cellStyle name="_fim_Land  CWIP status" xfId="5279" xr:uid="{00000000-0005-0000-0000-00009F140000}"/>
    <cellStyle name="_fim_Power Group - Advance Tax working for 3rd Installment" xfId="5280" xr:uid="{00000000-0005-0000-0000-0000A0140000}"/>
    <cellStyle name="_fim_Power Group - Advance Tax working for 3rd Installment 2" xfId="5281" xr:uid="{00000000-0005-0000-0000-0000A1140000}"/>
    <cellStyle name="_Final -- Reporting Matrix Oct 07" xfId="5282" xr:uid="{00000000-0005-0000-0000-0000A2140000}"/>
    <cellStyle name="_Final -- Reporting Matrix Oct 07 2" xfId="5283" xr:uid="{00000000-0005-0000-0000-0000A3140000}"/>
    <cellStyle name="_Final Att - April'08" xfId="5284" xr:uid="{00000000-0005-0000-0000-0000A4140000}"/>
    <cellStyle name="_Final Att - April'08 2" xfId="5285" xr:uid="{00000000-0005-0000-0000-0000A5140000}"/>
    <cellStyle name="_Final Att - Mar'08" xfId="5286" xr:uid="{00000000-0005-0000-0000-0000A6140000}"/>
    <cellStyle name="_Final Att - Mar'08 2" xfId="5287" xr:uid="{00000000-0005-0000-0000-0000A7140000}"/>
    <cellStyle name="_Final Att- Dec'07" xfId="5288" xr:uid="{00000000-0005-0000-0000-0000A8140000}"/>
    <cellStyle name="_Final Att- Dec'07 2" xfId="5289" xr:uid="{00000000-0005-0000-0000-0000A9140000}"/>
    <cellStyle name="_Final Att -Oct'08" xfId="5290" xr:uid="{00000000-0005-0000-0000-0000AA140000}"/>
    <cellStyle name="_Final Att -Oct'08 2" xfId="5291" xr:uid="{00000000-0005-0000-0000-0000AB140000}"/>
    <cellStyle name="_Final Attendace - May'08" xfId="5292" xr:uid="{00000000-0005-0000-0000-0000AC140000}"/>
    <cellStyle name="_Final Attendace - May'08 2" xfId="5293" xr:uid="{00000000-0005-0000-0000-0000AD140000}"/>
    <cellStyle name="_Final Attendance - Jan'08" xfId="5294" xr:uid="{00000000-0005-0000-0000-0000AE140000}"/>
    <cellStyle name="_Final Attendance - Jan'08 2" xfId="5295" xr:uid="{00000000-0005-0000-0000-0000AF140000}"/>
    <cellStyle name="_Final Attendance - Sep (sam)" xfId="5296" xr:uid="{00000000-0005-0000-0000-0000B0140000}"/>
    <cellStyle name="_Final Attendance - Sep (sam) 2" xfId="5297" xr:uid="{00000000-0005-0000-0000-0000B1140000}"/>
    <cellStyle name="_Final Attendance - Sept'08" xfId="5298" xr:uid="{00000000-0005-0000-0000-0000B2140000}"/>
    <cellStyle name="_Final Attendance - Sept'08 2" xfId="5299" xr:uid="{00000000-0005-0000-0000-0000B3140000}"/>
    <cellStyle name="_Final Attendance-Feb'08" xfId="5300" xr:uid="{00000000-0005-0000-0000-0000B4140000}"/>
    <cellStyle name="_Final Attendance-Feb'08 2" xfId="5301" xr:uid="{00000000-0005-0000-0000-0000B5140000}"/>
    <cellStyle name="_Final Financials - IHFL March 31 2006 last year BS" xfId="5302" xr:uid="{00000000-0005-0000-0000-0000B6140000}"/>
    <cellStyle name="_Final Financials - IHFL March 31 2006 last year BS 2" xfId="5303" xr:uid="{00000000-0005-0000-0000-0000B7140000}"/>
    <cellStyle name="_Final Financials - IHFL March 31 2006 last year BS_Advance Tax Format_F.Y. 2010-11" xfId="5304" xr:uid="{00000000-0005-0000-0000-0000B8140000}"/>
    <cellStyle name="_Final Financials - IHFL March 31 2006 last year BS_Asset Management Company Limited" xfId="5305" xr:uid="{00000000-0005-0000-0000-0000B9140000}"/>
    <cellStyle name="_Final Financials - IHFL March 31 2006 last year BS_BS _IB Asset Management _3103_ver5" xfId="5306" xr:uid="{00000000-0005-0000-0000-0000BA140000}"/>
    <cellStyle name="_Final Financials - IHFL March 31 2006 last year BS_BS _IB Asset Management _3103_ver5_IAMCL BS working -New format_31.03 V5" xfId="5307" xr:uid="{00000000-0005-0000-0000-0000BB140000}"/>
    <cellStyle name="_Final Financials - IHFL March 31 2006 last year BS_CRAR - dec- 10v-12" xfId="5308" xr:uid="{00000000-0005-0000-0000-0000BC140000}"/>
    <cellStyle name="_Final Financials - IHFL March 31 2006 last year BS_CRAR - dec- 10v-12 2" xfId="5309" xr:uid="{00000000-0005-0000-0000-0000BD140000}"/>
    <cellStyle name="_Final Financials - IHFL March 31 2006 last year BS_IAMCL BS working -New format_31.03 V5" xfId="5310" xr:uid="{00000000-0005-0000-0000-0000BE140000}"/>
    <cellStyle name="_Final Financials - IHFL March 31 2006 last year BS_IB Asset Management _2910" xfId="5311" xr:uid="{00000000-0005-0000-0000-0000BF140000}"/>
    <cellStyle name="_Final Financials - IHFL March 31 2006 last year BS_IB Asset Management _2910_IB Collection Agency_3103 V3" xfId="5312" xr:uid="{00000000-0005-0000-0000-0000C0140000}"/>
    <cellStyle name="_Final Financials - IHFL March 31 2006 last year BS_IB Asset Management _2910_IB Collection Agency_3103 V3_ICAL-New Format_31.03 V4" xfId="5313" xr:uid="{00000000-0005-0000-0000-0000C1140000}"/>
    <cellStyle name="_Final Financials - IHFL March 31 2006 last year BS_IB Asset Management _2910_ICAL-BS Final Working _New format" xfId="5314" xr:uid="{00000000-0005-0000-0000-0000C2140000}"/>
    <cellStyle name="_Final Financials - IHFL March 31 2006 last year BS_IB Asset Management _3103_ver5" xfId="5315" xr:uid="{00000000-0005-0000-0000-0000C3140000}"/>
    <cellStyle name="_Final Financials - IHFL March 31 2006 last year BS_IB Asset Management_3103 V2" xfId="5316" xr:uid="{00000000-0005-0000-0000-0000C4140000}"/>
    <cellStyle name="_Final Financials - IHFL March 31 2006 last year BS_IB Asset Management_3103 V4" xfId="5317" xr:uid="{00000000-0005-0000-0000-0000C5140000}"/>
    <cellStyle name="_Final Financials - IHFL March 31 2006 last year BS_IB Asset Management_3103 V5" xfId="5318" xr:uid="{00000000-0005-0000-0000-0000C6140000}"/>
    <cellStyle name="_Final Financials - IHFL March 31 2006 last year BS_IB Collection Agency_3103 V3" xfId="5319" xr:uid="{00000000-0005-0000-0000-0000C7140000}"/>
    <cellStyle name="_Final Financials - IHFL March 31 2006 last year BS_IB Collection Agency_3103 V3_ICAL-New Format_31.03 V4" xfId="5320" xr:uid="{00000000-0005-0000-0000-0000C8140000}"/>
    <cellStyle name="_Final Financials - IHFL March 31 2006 last year BS_IB Infrastructure Credit" xfId="5321" xr:uid="{00000000-0005-0000-0000-0000C9140000}"/>
    <cellStyle name="_Final Financials - IHFL March 31 2006 last year BS_IB Infrastructure Credit-3103_V6" xfId="5322" xr:uid="{00000000-0005-0000-0000-0000CA140000}"/>
    <cellStyle name="_Final Financials - IHFL March 31 2006 last year BS_IB Infrastructure Credit-3103_V7" xfId="5323" xr:uid="{00000000-0005-0000-0000-0000CB140000}"/>
    <cellStyle name="_Final Financials - IHFL March 31 2006 last year BS_IB Life Insurance_3103 V4" xfId="5324" xr:uid="{00000000-0005-0000-0000-0000CC140000}"/>
    <cellStyle name="_Final Financials - IHFL March 31 2006 last year BS_IB Trustee Company_3103 V4" xfId="5325" xr:uid="{00000000-0005-0000-0000-0000CD140000}"/>
    <cellStyle name="_Final Financials - IHFL March 31 2006 last year BS_IBFSL_Conso_March_10_11" xfId="5326" xr:uid="{00000000-0005-0000-0000-0000CE140000}"/>
    <cellStyle name="_Final Financials - IHFL March 31 2006 last year BS_IBLIC_BS  Final working -New_Format_31.03 V5" xfId="5327" xr:uid="{00000000-0005-0000-0000-0000CF140000}"/>
    <cellStyle name="_Final Financials - IHFL March 31 2006 last year BS_Ibulls BS Final woirking -New format_31.03 V5" xfId="5328" xr:uid="{00000000-0005-0000-0000-0000D0140000}"/>
    <cellStyle name="_Final Financials - IHFL March 31 2006 last year BS_IbullsSales_3009V3 (3)" xfId="5329" xr:uid="{00000000-0005-0000-0000-0000D1140000}"/>
    <cellStyle name="_Final Financials - IHFL March 31 2006 last year BS_IbullsSales_3103" xfId="5330" xr:uid="{00000000-0005-0000-0000-0000D2140000}"/>
    <cellStyle name="_Final Financials - IHFL March 31 2006 last year BS_IbullsSales_3103 V2" xfId="5331" xr:uid="{00000000-0005-0000-0000-0000D3140000}"/>
    <cellStyle name="_Final Financials - IHFL March 31 2006 last year BS_IbullsSales_3103 V5" xfId="5332" xr:uid="{00000000-0005-0000-0000-0000D4140000}"/>
    <cellStyle name="_Final Financials - IHFL March 31 2006 last year BS_ICAL-BS Final Working _New format" xfId="5333" xr:uid="{00000000-0005-0000-0000-0000D5140000}"/>
    <cellStyle name="_Final Financials - IHFL March 31 2006 last year BS_IHFL_SEP_30_2009 XIII AUDIT- Sch II" xfId="5334" xr:uid="{00000000-0005-0000-0000-0000D6140000}"/>
    <cellStyle name="_Final Financials - IHFL March 31 2006 last year BS_IICL_March'11" xfId="5335" xr:uid="{00000000-0005-0000-0000-0000D7140000}"/>
    <cellStyle name="_Final Financials - IHFL March 31 2006 last year BS_Indiabulls Asset Management Company Limited printable" xfId="5336" xr:uid="{00000000-0005-0000-0000-0000D8140000}"/>
    <cellStyle name="_Final Financials - IHFL March 31 2006 last year BS_ITCL_BS working _New format_31.03 V7" xfId="5337" xr:uid="{00000000-0005-0000-0000-0000D9140000}"/>
    <cellStyle name="_Final Financials - IHFL March 31 2006 last year BS_ITCL-New format_31.03 V6" xfId="5338" xr:uid="{00000000-0005-0000-0000-0000DA140000}"/>
    <cellStyle name="_Final Financials - IHFL March 31 2006 last year BS_NFCL working file" xfId="5339" xr:uid="{00000000-0005-0000-0000-0000DB140000}"/>
    <cellStyle name="_Final Financials - IHFL March 31 2006 last year BS_NFCL_ Tax Audit Report FY08-09 " xfId="5340" xr:uid="{00000000-0005-0000-0000-0000DC140000}"/>
    <cellStyle name="_Final Financials - IHFL March 31 2006 last year BS_Tax Audit Report  F.Y.08-09" xfId="5341" xr:uid="{00000000-0005-0000-0000-0000DD140000}"/>
    <cellStyle name="_Final Financials - IHFL March 31 2006 last year BS_Tax Audit Report  ICSL F.Y.09-10" xfId="5342" xr:uid="{00000000-0005-0000-0000-0000DE140000}"/>
    <cellStyle name="_Final Financials - IHFL March 31 2006 last year BS_Xl0000013" xfId="5343" xr:uid="{00000000-0005-0000-0000-0000DF140000}"/>
    <cellStyle name="_FINAL PL-CV working 8 7 06" xfId="5344" xr:uid="{00000000-0005-0000-0000-0000E0140000}"/>
    <cellStyle name="_FINAL PL-CV working 8 7 06 2" xfId="5345" xr:uid="{00000000-0005-0000-0000-0000E1140000}"/>
    <cellStyle name="_FINAL PL-CV working 8 7 06_IHFL_September_30_2010 VERSION 10" xfId="5346" xr:uid="{00000000-0005-0000-0000-0000E2140000}"/>
    <cellStyle name="_Final RPL" xfId="5347" xr:uid="{00000000-0005-0000-0000-0000E3140000}"/>
    <cellStyle name="_Final RPL 2" xfId="5348" xr:uid="{00000000-0005-0000-0000-0000E4140000}"/>
    <cellStyle name="_Final RPL 3" xfId="5349" xr:uid="{00000000-0005-0000-0000-0000E5140000}"/>
    <cellStyle name="_Final RPL 4" xfId="5350" xr:uid="{00000000-0005-0000-0000-0000E6140000}"/>
    <cellStyle name="_Final RPL 5" xfId="5351" xr:uid="{00000000-0005-0000-0000-0000E7140000}"/>
    <cellStyle name="_Final RPL_detail" xfId="5352" xr:uid="{00000000-0005-0000-0000-0000E8140000}"/>
    <cellStyle name="_Final RPL_detail (2)" xfId="5353" xr:uid="{00000000-0005-0000-0000-0000E9140000}"/>
    <cellStyle name="_Final RPL_detail (2) 2" xfId="5354" xr:uid="{00000000-0005-0000-0000-0000EA140000}"/>
    <cellStyle name="_Final RPL_detail to be added in june,2008" xfId="5355" xr:uid="{00000000-0005-0000-0000-0000EB140000}"/>
    <cellStyle name="_Final RPL_detail to be added in june,2008 2" xfId="5356" xr:uid="{00000000-0005-0000-0000-0000EC140000}"/>
    <cellStyle name="_Final RPL_Details of Assets &amp; Liablilities" xfId="5357" xr:uid="{00000000-0005-0000-0000-0000ED140000}"/>
    <cellStyle name="_Final RPL_Details of Assets &amp; Liablilities 2" xfId="5358" xr:uid="{00000000-0005-0000-0000-0000EE140000}"/>
    <cellStyle name="_Final RPL_Details of Assets &amp; Liablilities 3" xfId="5359" xr:uid="{00000000-0005-0000-0000-0000EF140000}"/>
    <cellStyle name="_Final RPL_IBL_09.12.2009" xfId="5360" xr:uid="{00000000-0005-0000-0000-0000F0140000}"/>
    <cellStyle name="_Final RPL_IBL_09.12.2009 2" xfId="5361" xr:uid="{00000000-0005-0000-0000-0000F1140000}"/>
    <cellStyle name="_Final RPL_ICL_22 12 2009" xfId="5362" xr:uid="{00000000-0005-0000-0000-0000F2140000}"/>
    <cellStyle name="_Final RPL_ICL_22 12 2009 2" xfId="5363" xr:uid="{00000000-0005-0000-0000-0000F3140000}"/>
    <cellStyle name="_Final RPL_Indiabulls Asset Management Company Limited printable" xfId="5364" xr:uid="{00000000-0005-0000-0000-0000F4140000}"/>
    <cellStyle name="_Final RPL_IRECPL_Himanshu Shah Bill" xfId="5365" xr:uid="{00000000-0005-0000-0000-0000F5140000}"/>
    <cellStyle name="_Final RPL_IRECPL_Himanshu Shah Bill 2" xfId="5366" xr:uid="{00000000-0005-0000-0000-0000F6140000}"/>
    <cellStyle name="_Final RPL_ISL_ Adv Tax 2009-10 Q3" xfId="5367" xr:uid="{00000000-0005-0000-0000-0000F7140000}"/>
    <cellStyle name="_Final RPL_ISL_ Adv Tax 2009-10 Q3 2" xfId="5368" xr:uid="{00000000-0005-0000-0000-0000F8140000}"/>
    <cellStyle name="_Final RPL_ISL_conso_September_09_10" xfId="5369" xr:uid="{00000000-0005-0000-0000-0000F9140000}"/>
    <cellStyle name="_Final RPL_ISL_conso_September_09_10 2" xfId="5370" xr:uid="{00000000-0005-0000-0000-0000FA140000}"/>
    <cellStyle name="_Final RPL_ISL_Provisions_30.09.2010" xfId="5371" xr:uid="{00000000-0005-0000-0000-0000FB140000}"/>
    <cellStyle name="_Final RPL_Provision" xfId="5372" xr:uid="{00000000-0005-0000-0000-0000FC140000}"/>
    <cellStyle name="_Final RPL_Provision for Exp - FY 0809" xfId="5373" xr:uid="{00000000-0005-0000-0000-0000FD140000}"/>
    <cellStyle name="_Final RPL_provisions q3" xfId="5374" xr:uid="{00000000-0005-0000-0000-0000FE140000}"/>
    <cellStyle name="_Final RPL_Results" xfId="5375" xr:uid="{00000000-0005-0000-0000-0000FF140000}"/>
    <cellStyle name="_Final RPL_Results 2" xfId="5376" xr:uid="{00000000-0005-0000-0000-000000150000}"/>
    <cellStyle name="_Final vikram manual" xfId="5377" xr:uid="{00000000-0005-0000-0000-000001150000}"/>
    <cellStyle name="_Final vikram manual 2" xfId="5378" xr:uid="{00000000-0005-0000-0000-000002150000}"/>
    <cellStyle name="_Financials - Insurance M06" xfId="5379" xr:uid="{00000000-0005-0000-0000-000003150000}"/>
    <cellStyle name="_Financials - Insurance M06 2" xfId="5380" xr:uid="{00000000-0005-0000-0000-000004150000}"/>
    <cellStyle name="_Financials - Insurance M06 3" xfId="5381" xr:uid="{00000000-0005-0000-0000-000005150000}"/>
    <cellStyle name="_Financials - Insurance M06 4" xfId="5382" xr:uid="{00000000-0005-0000-0000-000006150000}"/>
    <cellStyle name="_Financials - Insurance M06 5" xfId="5383" xr:uid="{00000000-0005-0000-0000-000007150000}"/>
    <cellStyle name="_Financials - Insurance M06_Abstract-2007-08" xfId="5384" xr:uid="{00000000-0005-0000-0000-000008150000}"/>
    <cellStyle name="_Financials - Insurance M06_Advance Tax Format_F.Y. 2010-11" xfId="5385" xr:uid="{00000000-0005-0000-0000-000009150000}"/>
    <cellStyle name="_Financials - Insurance M06_Advance Tax Sophia Jun 09" xfId="5386" xr:uid="{00000000-0005-0000-0000-00000A150000}"/>
    <cellStyle name="_Financials - Insurance M06_Advance Tax Sophia Jun 09 2" xfId="5387" xr:uid="{00000000-0005-0000-0000-00000B150000}"/>
    <cellStyle name="_Financials - Insurance M06_Base File For Segment" xfId="5388" xr:uid="{00000000-0005-0000-0000-00000C150000}"/>
    <cellStyle name="_Financials - Insurance M06_Base File For Segment 2" xfId="5389" xr:uid="{00000000-0005-0000-0000-00000D150000}"/>
    <cellStyle name="_Financials - Insurance M06_Book1" xfId="5390" xr:uid="{00000000-0005-0000-0000-00000E150000}"/>
    <cellStyle name="_Financials - Insurance M06_Book1 (2)" xfId="5391" xr:uid="{00000000-0005-0000-0000-00000F150000}"/>
    <cellStyle name="_Financials - Insurance M06_Book2" xfId="5392" xr:uid="{00000000-0005-0000-0000-000010150000}"/>
    <cellStyle name="_Financials - Insurance M06_Book2 2" xfId="5393" xr:uid="{00000000-0005-0000-0000-000011150000}"/>
    <cellStyle name="_Financials - Insurance M06_Bracond Balance Sheet  PL_301108_krishanu" xfId="5394" xr:uid="{00000000-0005-0000-0000-000012150000}"/>
    <cellStyle name="_Financials - Insurance M06_Bracond Balance Sheet  PL_301108_krishanu 2" xfId="5395" xr:uid="{00000000-0005-0000-0000-000013150000}"/>
    <cellStyle name="_Financials - Insurance M06_CCL_3353_2007-08" xfId="5396" xr:uid="{00000000-0005-0000-0000-000014150000}"/>
    <cellStyle name="_Financials - Insurance M06_CCL_3353_2007-08 2" xfId="5397" xr:uid="{00000000-0005-0000-0000-000015150000}"/>
    <cellStyle name="_Financials - Insurance M06_ChlorisProperties_3351_Dec.08" xfId="5398" xr:uid="{00000000-0005-0000-0000-000016150000}"/>
    <cellStyle name="_Financials - Insurance M06_ChlorisProperties_3351_Dec.08 2" xfId="5399" xr:uid="{00000000-0005-0000-0000-000017150000}"/>
    <cellStyle name="_Financials - Insurance M06_Consol Balance Sheet_Sophia_Dec08_Ibrel_1.3" xfId="5400" xr:uid="{00000000-0005-0000-0000-000018150000}"/>
    <cellStyle name="_Financials - Insurance M06_Consol Balance Sheet_Sophia_Dec08_Ibrel_1.3 2" xfId="5401" xr:uid="{00000000-0005-0000-0000-000019150000}"/>
    <cellStyle name="_Financials - Insurance M06_detail (2)" xfId="5402" xr:uid="{00000000-0005-0000-0000-00001A150000}"/>
    <cellStyle name="_Financials - Insurance M06_detail (2) 2" xfId="5403" xr:uid="{00000000-0005-0000-0000-00001B150000}"/>
    <cellStyle name="_Financials - Insurance M06_Details" xfId="5404" xr:uid="{00000000-0005-0000-0000-00001C150000}"/>
    <cellStyle name="_Financials - Insurance M06_Details 2" xfId="5405" xr:uid="{00000000-0005-0000-0000-00001D150000}"/>
    <cellStyle name="_Financials - Insurance M06_EPL_3346_2007-08(C)" xfId="5406" xr:uid="{00000000-0005-0000-0000-00001E150000}"/>
    <cellStyle name="_Financials - Insurance M06_EPL_3346_2007-08(C) 2" xfId="5407" xr:uid="{00000000-0005-0000-0000-00001F150000}"/>
    <cellStyle name="_Financials - Insurance M06_FD Detail" xfId="5408" xr:uid="{00000000-0005-0000-0000-000020150000}"/>
    <cellStyle name="_Financials - Insurance M06_Final Consol Balance Sheet_Sophia_Dec08_27.01.08" xfId="5409" xr:uid="{00000000-0005-0000-0000-000021150000}"/>
    <cellStyle name="_Financials - Insurance M06_Final Consol Balance Sheet_Sophia_Dec08_27.01.08 2" xfId="5410" xr:uid="{00000000-0005-0000-0000-000022150000}"/>
    <cellStyle name="_Financials - Insurance M06_Fixed Assets consolidated" xfId="5411" xr:uid="{00000000-0005-0000-0000-000023150000}"/>
    <cellStyle name="_Financials - Insurance M06_Fixed Assets consolidated 2" xfId="5412" xr:uid="{00000000-0005-0000-0000-000024150000}"/>
    <cellStyle name="_Financials - Insurance M06_IBFSL 31 May V1" xfId="5413" xr:uid="{00000000-0005-0000-0000-000025150000}"/>
    <cellStyle name="_Financials - Insurance M06_IBFSL_Conso_March_10_11" xfId="5414" xr:uid="{00000000-0005-0000-0000-000026150000}"/>
    <cellStyle name="_Financials - Insurance M06_ICL_09 12 2009" xfId="5415" xr:uid="{00000000-0005-0000-0000-000027150000}"/>
    <cellStyle name="_Financials - Insurance M06_ICL_09 12 2009 2" xfId="5416" xr:uid="{00000000-0005-0000-0000-000028150000}"/>
    <cellStyle name="_Financials - Insurance M06_ICL_22 12 2009" xfId="5417" xr:uid="{00000000-0005-0000-0000-000029150000}"/>
    <cellStyle name="_Financials - Insurance M06_ICL_22 12 2009 2" xfId="5418" xr:uid="{00000000-0005-0000-0000-00002A150000}"/>
    <cellStyle name="_Financials - Insurance M06_IESL_09.12.2009" xfId="5419" xr:uid="{00000000-0005-0000-0000-00002B150000}"/>
    <cellStyle name="_Financials - Insurance M06_IESL_09.12.2009 2" xfId="5420" xr:uid="{00000000-0005-0000-0000-00002C150000}"/>
    <cellStyle name="_Financials - Insurance M06_IHFL_Dec_23_2008" xfId="5421" xr:uid="{00000000-0005-0000-0000-00002D150000}"/>
    <cellStyle name="_Financials - Insurance M06_IIDL_3227_2008_09" xfId="5422" xr:uid="{00000000-0005-0000-0000-00002E150000}"/>
    <cellStyle name="_Financials - Insurance M06_IIDL_3227_2008_09 2" xfId="5423" xr:uid="{00000000-0005-0000-0000-00002F150000}"/>
    <cellStyle name="_Financials - Insurance M06_Indiabulls Asset Management Company Limited printable" xfId="5424" xr:uid="{00000000-0005-0000-0000-000030150000}"/>
    <cellStyle name="_Financials - Insurance M06_Revised Consol Balance Sheet_Sophia_Jan09_10.02.2009" xfId="5425" xr:uid="{00000000-0005-0000-0000-000031150000}"/>
    <cellStyle name="_Financials - Insurance M06_Revised Consol Balance Sheet_Sophia_Jan09_10.02.2009 2" xfId="5426" xr:uid="{00000000-0005-0000-0000-000032150000}"/>
    <cellStyle name="_Financials - Insurance M06_Sophia Consol for Printout 22 Jun 09" xfId="5427" xr:uid="{00000000-0005-0000-0000-000033150000}"/>
    <cellStyle name="_Financials - Insurance M06_Sophia Consol for Printout 22 Jun 09 2" xfId="5428" xr:uid="{00000000-0005-0000-0000-000034150000}"/>
    <cellStyle name="_Financials - Insurance M06_Sophia Consol_march_09_05 June  09_1" xfId="5429" xr:uid="{00000000-0005-0000-0000-000035150000}"/>
    <cellStyle name="_Financials - Insurance M06_Sophia Consol_march_09_05 June  09_1 2" xfId="5430" xr:uid="{00000000-0005-0000-0000-000036150000}"/>
    <cellStyle name="_Financials - Insurance M06_Treasury ICD Interest_ MIS_ 23  09 2009(final)" xfId="5431" xr:uid="{00000000-0005-0000-0000-000037150000}"/>
    <cellStyle name="_Financials - Insurance M06_Treasury ICD Interest_ MIS_ 23  09 2009(final) 2" xfId="5432" xr:uid="{00000000-0005-0000-0000-000038150000}"/>
    <cellStyle name="_Financials - Insurance M06_Treasury ICD Interest_ MIS_ 30. 06 2009(final)" xfId="5433" xr:uid="{00000000-0005-0000-0000-000039150000}"/>
    <cellStyle name="_Financials - Insurance M06_Treasury ICD Interest_ MIS_ 30. 06 2009(final) 2" xfId="5434" xr:uid="{00000000-0005-0000-0000-00003A150000}"/>
    <cellStyle name="_Financials - Insurance M06_Treasury ICD Interest_ MIS_ 30. 09 2009(final)" xfId="5435" xr:uid="{00000000-0005-0000-0000-00003B150000}"/>
    <cellStyle name="_Financials - Insurance M06_Treasury ICD Interest_ MIS_ 30. 09 2009(final) 2" xfId="5436" xr:uid="{00000000-0005-0000-0000-00003C150000}"/>
    <cellStyle name="_Financials - Insurance M06_Treasury ICD Interest_ MIS_ 31 05 2009" xfId="5437" xr:uid="{00000000-0005-0000-0000-00003D150000}"/>
    <cellStyle name="_Financials - Insurance M06_Treasury ICD Interest_ MIS_ 31 05 2009 2" xfId="5438" xr:uid="{00000000-0005-0000-0000-00003E150000}"/>
    <cellStyle name="_Financials - Insurance M06_Treasury ICD Interest_ MIS_ 31 10 2009" xfId="5439" xr:uid="{00000000-0005-0000-0000-00003F150000}"/>
    <cellStyle name="_Financials - Insurance M06_Treasury ICD Interest_ MIS_ 31 10 2009 2" xfId="5440" xr:uid="{00000000-0005-0000-0000-000040150000}"/>
    <cellStyle name="_Financials - Insurance M06_Treasury ICD Interest_ MIS_ 31.10.2009" xfId="5441" xr:uid="{00000000-0005-0000-0000-000041150000}"/>
    <cellStyle name="_Financials - Insurance M06_Treasury ICD Interest_ MIS_ 31.10.2009 2" xfId="5442" xr:uid="{00000000-0005-0000-0000-000042150000}"/>
    <cellStyle name="_Financials - Insurance M06_Treasury ICD Interest_ MIS_ 310309" xfId="5443" xr:uid="{00000000-0005-0000-0000-000043150000}"/>
    <cellStyle name="_Financials - Insurance M06_Treasury ICD Interest_ MIS_ 310309 2" xfId="5444" xr:uid="{00000000-0005-0000-0000-000044150000}"/>
    <cellStyle name="_Finnone Summary version 2" xfId="5445" xr:uid="{00000000-0005-0000-0000-000045150000}"/>
    <cellStyle name="_Finnone Summary version 2 2" xfId="5446" xr:uid="{00000000-0005-0000-0000-000046150000}"/>
    <cellStyle name="_Finnone Summary version 2_Indiabulls Asset Management Company Limited printable" xfId="5447" xr:uid="{00000000-0005-0000-0000-000047150000}"/>
    <cellStyle name="_Fornax" xfId="5448" xr:uid="{00000000-0005-0000-0000-000048150000}"/>
    <cellStyle name="_Fornax 2" xfId="5449" xr:uid="{00000000-0005-0000-0000-000049150000}"/>
    <cellStyle name="_Fornax 3" xfId="5450" xr:uid="{00000000-0005-0000-0000-00004A150000}"/>
    <cellStyle name="_Fornax 4" xfId="5451" xr:uid="{00000000-0005-0000-0000-00004B150000}"/>
    <cellStyle name="_Fornax 5" xfId="5452" xr:uid="{00000000-0005-0000-0000-00004C150000}"/>
    <cellStyle name="_Fund 16072007" xfId="5453" xr:uid="{00000000-0005-0000-0000-00004D150000}"/>
    <cellStyle name="_Fund 16072007 2" xfId="5454" xr:uid="{00000000-0005-0000-0000-00004E150000}"/>
    <cellStyle name="_Fund 16072007_Abstract-2007-08" xfId="5455" xr:uid="{00000000-0005-0000-0000-00004F150000}"/>
    <cellStyle name="_Fund 16072007_Advance Tax Summary" xfId="5456" xr:uid="{00000000-0005-0000-0000-000050150000}"/>
    <cellStyle name="_Fund 16072007_Advance Tax Summary 2" xfId="5457" xr:uid="{00000000-0005-0000-0000-000051150000}"/>
    <cellStyle name="_Fund 16072007_Aug consl backup-land adv &amp; Ext ICD" xfId="5458" xr:uid="{00000000-0005-0000-0000-000052150000}"/>
    <cellStyle name="_Fund 16072007_Entries Passed in Conso for profit on sale of invRevised 30.07.08" xfId="5459" xr:uid="{00000000-0005-0000-0000-000053150000}"/>
    <cellStyle name="_Fund 16072007_Entries Passed in Conso for profit on sale of invRevised 30.07.08_IREL_3000_08-09" xfId="5460" xr:uid="{00000000-0005-0000-0000-000054150000}"/>
    <cellStyle name="_Fund 16072007_Entries Passed in Conso for profit on sale of invRevised 30.07.08_IREL_3000_08-09 2" xfId="5461" xr:uid="{00000000-0005-0000-0000-000055150000}"/>
    <cellStyle name="_Fund 16072007_Entries Passed in Conso for profit on sale of invRevised 30.07.08_IREL_3000_08-09 stage 3" xfId="5462" xr:uid="{00000000-0005-0000-0000-000056150000}"/>
    <cellStyle name="_Fund 16072007_Entries Passed in Conso for profit on sale of invRevised 30.07.08_IREL_3000_08-09 stage 3_IREL_3000_08-09" xfId="5463" xr:uid="{00000000-0005-0000-0000-000057150000}"/>
    <cellStyle name="_Fund 16072007_Entries Passed in Conso for profit on sale of invRevised 30.07.08_IREL_3000_08-09 stage 3_IREL_3000_08-09 2" xfId="5464" xr:uid="{00000000-0005-0000-0000-000058150000}"/>
    <cellStyle name="_Fund 16072007_Entries Passed in Conso for profit on sale of invRevised 30.07.08_IREL_3000_08-09_IBREAL_BS PACK-Version.02" xfId="5465" xr:uid="{00000000-0005-0000-0000-000059150000}"/>
    <cellStyle name="_Fund 16072007_Entries Passed in Conso for profit on sale of invRevised 30.07.08_IREL_3000_08-09_IBREAL_BS PACK-Version.02 2" xfId="5466" xr:uid="{00000000-0005-0000-0000-00005A150000}"/>
    <cellStyle name="_Fund 16072007_Entries Passed in Conso for profit on sale of invRevised 30.07.08_IREL_3000_08-09_IBREAL_BS PACK-Version.02_IBREAL_BS PACK-Version.03" xfId="5467" xr:uid="{00000000-0005-0000-0000-00005B150000}"/>
    <cellStyle name="_Fund 16072007_Entries Passed in Conso for profit on sale of invRevised 30.07.08_IREL_3000_08-09_IBREAL_BS PACK-Version.02_IBREAL_BS PACK-Version.03 2" xfId="5468" xr:uid="{00000000-0005-0000-0000-00005C150000}"/>
    <cellStyle name="_Fund 16072007_Entries Passed in Conso for profit on sale of invRevised 30.07.08_IREL_3000_08-09_IBREAL_BS PACK-Version.02_IBREAL_BS PACK-Version.03_IBREAL_BS PACK-Version.07" xfId="5469" xr:uid="{00000000-0005-0000-0000-00005D150000}"/>
    <cellStyle name="_Fund 16072007_Entries Passed in Conso for profit on sale of invRevised 30.07.08_IREL_3000_08-09_IBREAL_BS PACK-Version.02_IBREAL_BS PACK-Version.03_IBREAL_BS PACK-Version.07 2" xfId="5470" xr:uid="{00000000-0005-0000-0000-00005E150000}"/>
    <cellStyle name="_Fund 16072007_Fornax" xfId="5471" xr:uid="{00000000-0005-0000-0000-00005F150000}"/>
    <cellStyle name="_Fund 16072007_IREL_3000_08-09" xfId="5472" xr:uid="{00000000-0005-0000-0000-000060150000}"/>
    <cellStyle name="_Fund 16072007_ISL Group - Advance Tax working for 3rd Instalment" xfId="5473" xr:uid="{00000000-0005-0000-0000-000061150000}"/>
    <cellStyle name="_Fund 16072007_Land Control Sheet Aug 31.08 - Recon" xfId="5474" xr:uid="{00000000-0005-0000-0000-000062150000}"/>
    <cellStyle name="_Fund 16072007_Land Control Sheet Sep 26.08" xfId="5475" xr:uid="{00000000-0005-0000-0000-000063150000}"/>
    <cellStyle name="_Fund 16072007_Xl0000013" xfId="5476" xr:uid="{00000000-0005-0000-0000-000064150000}"/>
    <cellStyle name="_FUNDING REAL ESTATE" xfId="5477" xr:uid="{00000000-0005-0000-0000-000065150000}"/>
    <cellStyle name="_FUNDING REAL ESTATE 2" xfId="5478" xr:uid="{00000000-0005-0000-0000-000066150000}"/>
    <cellStyle name="_FUNDING REAL ESTATE_Details of Assets &amp; Liablilities" xfId="5479" xr:uid="{00000000-0005-0000-0000-000067150000}"/>
    <cellStyle name="_FUNDING REAL ESTATE_Details of Assets &amp; Liablilities 2" xfId="5480" xr:uid="{00000000-0005-0000-0000-000068150000}"/>
    <cellStyle name="_FUNDING REAL ESTATE_Details of Assets &amp; Liablilities 3" xfId="5481" xr:uid="{00000000-0005-0000-0000-000069150000}"/>
    <cellStyle name="_FUNDING REAL ESTATE_IBL_09.12.2009" xfId="5482" xr:uid="{00000000-0005-0000-0000-00006A150000}"/>
    <cellStyle name="_FUNDING REAL ESTATE_IBL_09.12.2009 2" xfId="5483" xr:uid="{00000000-0005-0000-0000-00006B150000}"/>
    <cellStyle name="_FUNDING REAL ESTATE_ICL_22 12 2009" xfId="5484" xr:uid="{00000000-0005-0000-0000-00006C150000}"/>
    <cellStyle name="_FUNDING REAL ESTATE_ICL_22 12 2009 2" xfId="5485" xr:uid="{00000000-0005-0000-0000-00006D150000}"/>
    <cellStyle name="_FUNDING REAL ESTATE_Indiabulls Asset Management Company Limited printable" xfId="5486" xr:uid="{00000000-0005-0000-0000-00006E150000}"/>
    <cellStyle name="_Group Details as on date Sep 20, 2006" xfId="5487" xr:uid="{00000000-0005-0000-0000-00006F150000}"/>
    <cellStyle name="_Group Details as on date Sep 20, 2006 2" xfId="5488" xr:uid="{00000000-0005-0000-0000-000070150000}"/>
    <cellStyle name="_Group Details as on date Sep 20, 2006 3" xfId="5489" xr:uid="{00000000-0005-0000-0000-000071150000}"/>
    <cellStyle name="_Group Details as on date Sep 20, 2006 4" xfId="5490" xr:uid="{00000000-0005-0000-0000-000072150000}"/>
    <cellStyle name="_Group Details as on date Sep 20, 2006 5" xfId="5491" xr:uid="{00000000-0005-0000-0000-000073150000}"/>
    <cellStyle name="_Group Details as on date Sep 20, 2006_Abstract-2007-08" xfId="5492" xr:uid="{00000000-0005-0000-0000-000074150000}"/>
    <cellStyle name="_Group Details as on date Sep 20, 2006_Advance Tax Format_F.Y. 2010-11" xfId="5493" xr:uid="{00000000-0005-0000-0000-000075150000}"/>
    <cellStyle name="_Group Details as on date Sep 20, 2006_Advance Tax Sophia Jun 09" xfId="5494" xr:uid="{00000000-0005-0000-0000-000076150000}"/>
    <cellStyle name="_Group Details as on date Sep 20, 2006_Advance Tax Sophia Jun 09 2" xfId="5495" xr:uid="{00000000-0005-0000-0000-000077150000}"/>
    <cellStyle name="_Group Details as on date Sep 20, 2006_Base File For Segment" xfId="5496" xr:uid="{00000000-0005-0000-0000-000078150000}"/>
    <cellStyle name="_Group Details as on date Sep 20, 2006_Base File For Segment 2" xfId="5497" xr:uid="{00000000-0005-0000-0000-000079150000}"/>
    <cellStyle name="_Group Details as on date Sep 20, 2006_Book1" xfId="5498" xr:uid="{00000000-0005-0000-0000-00007A150000}"/>
    <cellStyle name="_Group Details as on date Sep 20, 2006_Book1 (2)" xfId="5499" xr:uid="{00000000-0005-0000-0000-00007B150000}"/>
    <cellStyle name="_Group Details as on date Sep 20, 2006_Book2" xfId="5500" xr:uid="{00000000-0005-0000-0000-00007C150000}"/>
    <cellStyle name="_Group Details as on date Sep 20, 2006_Book2 2" xfId="5501" xr:uid="{00000000-0005-0000-0000-00007D150000}"/>
    <cellStyle name="_Group Details as on date Sep 20, 2006_Bracond Balance Sheet  PL_301108_krishanu" xfId="5502" xr:uid="{00000000-0005-0000-0000-00007E150000}"/>
    <cellStyle name="_Group Details as on date Sep 20, 2006_Bracond Balance Sheet  PL_301108_krishanu 2" xfId="5503" xr:uid="{00000000-0005-0000-0000-00007F150000}"/>
    <cellStyle name="_Group Details as on date Sep 20, 2006_CCL_3353_2007-08" xfId="5504" xr:uid="{00000000-0005-0000-0000-000080150000}"/>
    <cellStyle name="_Group Details as on date Sep 20, 2006_CCL_3353_2007-08 2" xfId="5505" xr:uid="{00000000-0005-0000-0000-000081150000}"/>
    <cellStyle name="_Group Details as on date Sep 20, 2006_ChlorisProperties_3351_Dec.08" xfId="5506" xr:uid="{00000000-0005-0000-0000-000082150000}"/>
    <cellStyle name="_Group Details as on date Sep 20, 2006_ChlorisProperties_3351_Dec.08 2" xfId="5507" xr:uid="{00000000-0005-0000-0000-000083150000}"/>
    <cellStyle name="_Group Details as on date Sep 20, 2006_Consol Balance Sheet_Sophia_Dec08_Ibrel_1.3" xfId="5508" xr:uid="{00000000-0005-0000-0000-000084150000}"/>
    <cellStyle name="_Group Details as on date Sep 20, 2006_Consol Balance Sheet_Sophia_Dec08_Ibrel_1.3 2" xfId="5509" xr:uid="{00000000-0005-0000-0000-000085150000}"/>
    <cellStyle name="_Group Details as on date Sep 20, 2006_detail (2)" xfId="5510" xr:uid="{00000000-0005-0000-0000-000086150000}"/>
    <cellStyle name="_Group Details as on date Sep 20, 2006_detail (2) 2" xfId="5511" xr:uid="{00000000-0005-0000-0000-000087150000}"/>
    <cellStyle name="_Group Details as on date Sep 20, 2006_Details" xfId="5512" xr:uid="{00000000-0005-0000-0000-000088150000}"/>
    <cellStyle name="_Group Details as on date Sep 20, 2006_Details 2" xfId="5513" xr:uid="{00000000-0005-0000-0000-000089150000}"/>
    <cellStyle name="_Group Details as on date Sep 20, 2006_EPL_3346_2007-08(C)" xfId="5514" xr:uid="{00000000-0005-0000-0000-00008A150000}"/>
    <cellStyle name="_Group Details as on date Sep 20, 2006_EPL_3346_2007-08(C) 2" xfId="5515" xr:uid="{00000000-0005-0000-0000-00008B150000}"/>
    <cellStyle name="_Group Details as on date Sep 20, 2006_FD Detail" xfId="5516" xr:uid="{00000000-0005-0000-0000-00008C150000}"/>
    <cellStyle name="_Group Details as on date Sep 20, 2006_Final Consol Balance Sheet_Sophia_Dec08_27.01.08" xfId="5517" xr:uid="{00000000-0005-0000-0000-00008D150000}"/>
    <cellStyle name="_Group Details as on date Sep 20, 2006_Final Consol Balance Sheet_Sophia_Dec08_27.01.08 2" xfId="5518" xr:uid="{00000000-0005-0000-0000-00008E150000}"/>
    <cellStyle name="_Group Details as on date Sep 20, 2006_Fixed Assets consolidated" xfId="5519" xr:uid="{00000000-0005-0000-0000-00008F150000}"/>
    <cellStyle name="_Group Details as on date Sep 20, 2006_Fixed Assets consolidated 2" xfId="5520" xr:uid="{00000000-0005-0000-0000-000090150000}"/>
    <cellStyle name="_Group Details as on date Sep 20, 2006_IBFSL 31 May V1" xfId="5521" xr:uid="{00000000-0005-0000-0000-000091150000}"/>
    <cellStyle name="_Group Details as on date Sep 20, 2006_IBFSL_Conso_March_10_11" xfId="5522" xr:uid="{00000000-0005-0000-0000-000092150000}"/>
    <cellStyle name="_Group Details as on date Sep 20, 2006_ICL_09 12 2009" xfId="5523" xr:uid="{00000000-0005-0000-0000-000093150000}"/>
    <cellStyle name="_Group Details as on date Sep 20, 2006_ICL_09 12 2009 2" xfId="5524" xr:uid="{00000000-0005-0000-0000-000094150000}"/>
    <cellStyle name="_Group Details as on date Sep 20, 2006_ICL_22 12 2009" xfId="5525" xr:uid="{00000000-0005-0000-0000-000095150000}"/>
    <cellStyle name="_Group Details as on date Sep 20, 2006_ICL_22 12 2009 2" xfId="5526" xr:uid="{00000000-0005-0000-0000-000096150000}"/>
    <cellStyle name="_Group Details as on date Sep 20, 2006_IESL_09.12.2009" xfId="5527" xr:uid="{00000000-0005-0000-0000-000097150000}"/>
    <cellStyle name="_Group Details as on date Sep 20, 2006_IESL_09.12.2009 2" xfId="5528" xr:uid="{00000000-0005-0000-0000-000098150000}"/>
    <cellStyle name="_Group Details as on date Sep 20, 2006_IHFL_Dec_23_2008" xfId="5529" xr:uid="{00000000-0005-0000-0000-000099150000}"/>
    <cellStyle name="_Group Details as on date Sep 20, 2006_IIDL_3227_2008_09" xfId="5530" xr:uid="{00000000-0005-0000-0000-00009A150000}"/>
    <cellStyle name="_Group Details as on date Sep 20, 2006_IIDL_3227_2008_09 2" xfId="5531" xr:uid="{00000000-0005-0000-0000-00009B150000}"/>
    <cellStyle name="_Group Details as on date Sep 20, 2006_Indiabulls Asset Management Company Limited printable" xfId="5532" xr:uid="{00000000-0005-0000-0000-00009C150000}"/>
    <cellStyle name="_Group Details as on date Sep 20, 2006_Revised Consol Balance Sheet_Sophia_Jan09_10.02.2009" xfId="5533" xr:uid="{00000000-0005-0000-0000-00009D150000}"/>
    <cellStyle name="_Group Details as on date Sep 20, 2006_Revised Consol Balance Sheet_Sophia_Jan09_10.02.2009 2" xfId="5534" xr:uid="{00000000-0005-0000-0000-00009E150000}"/>
    <cellStyle name="_Group Details as on date Sep 20, 2006_Sophia Consol for Printout 22 Jun 09" xfId="5535" xr:uid="{00000000-0005-0000-0000-00009F150000}"/>
    <cellStyle name="_Group Details as on date Sep 20, 2006_Sophia Consol for Printout 22 Jun 09 2" xfId="5536" xr:uid="{00000000-0005-0000-0000-0000A0150000}"/>
    <cellStyle name="_Group Details as on date Sep 20, 2006_Sophia Consol_march_09_05 June  09_1" xfId="5537" xr:uid="{00000000-0005-0000-0000-0000A1150000}"/>
    <cellStyle name="_Group Details as on date Sep 20, 2006_Sophia Consol_march_09_05 June  09_1 2" xfId="5538" xr:uid="{00000000-0005-0000-0000-0000A2150000}"/>
    <cellStyle name="_Group Details as on date Sep 20, 2006_Treasury ICD Interest_ MIS_ 23  09 2009(final)" xfId="5539" xr:uid="{00000000-0005-0000-0000-0000A3150000}"/>
    <cellStyle name="_Group Details as on date Sep 20, 2006_Treasury ICD Interest_ MIS_ 23  09 2009(final) 2" xfId="5540" xr:uid="{00000000-0005-0000-0000-0000A4150000}"/>
    <cellStyle name="_Group Details as on date Sep 20, 2006_Treasury ICD Interest_ MIS_ 30. 06 2009(final)" xfId="5541" xr:uid="{00000000-0005-0000-0000-0000A5150000}"/>
    <cellStyle name="_Group Details as on date Sep 20, 2006_Treasury ICD Interest_ MIS_ 30. 06 2009(final) 2" xfId="5542" xr:uid="{00000000-0005-0000-0000-0000A6150000}"/>
    <cellStyle name="_Group Details as on date Sep 20, 2006_Treasury ICD Interest_ MIS_ 30. 09 2009(final)" xfId="5543" xr:uid="{00000000-0005-0000-0000-0000A7150000}"/>
    <cellStyle name="_Group Details as on date Sep 20, 2006_Treasury ICD Interest_ MIS_ 30. 09 2009(final) 2" xfId="5544" xr:uid="{00000000-0005-0000-0000-0000A8150000}"/>
    <cellStyle name="_Group Details as on date Sep 20, 2006_Treasury ICD Interest_ MIS_ 31 05 2009" xfId="5545" xr:uid="{00000000-0005-0000-0000-0000A9150000}"/>
    <cellStyle name="_Group Details as on date Sep 20, 2006_Treasury ICD Interest_ MIS_ 31 05 2009 2" xfId="5546" xr:uid="{00000000-0005-0000-0000-0000AA150000}"/>
    <cellStyle name="_Group Details as on date Sep 20, 2006_Treasury ICD Interest_ MIS_ 31 10 2009" xfId="5547" xr:uid="{00000000-0005-0000-0000-0000AB150000}"/>
    <cellStyle name="_Group Details as on date Sep 20, 2006_Treasury ICD Interest_ MIS_ 31 10 2009 2" xfId="5548" xr:uid="{00000000-0005-0000-0000-0000AC150000}"/>
    <cellStyle name="_Group Details as on date Sep 20, 2006_Treasury ICD Interest_ MIS_ 31.10.2009" xfId="5549" xr:uid="{00000000-0005-0000-0000-0000AD150000}"/>
    <cellStyle name="_Group Details as on date Sep 20, 2006_Treasury ICD Interest_ MIS_ 31.10.2009 2" xfId="5550" xr:uid="{00000000-0005-0000-0000-0000AE150000}"/>
    <cellStyle name="_Group Details as on date Sep 20, 2006_Treasury ICD Interest_ MIS_ 310309" xfId="5551" xr:uid="{00000000-0005-0000-0000-0000AF150000}"/>
    <cellStyle name="_Group Details as on date Sep 20, 2006_Treasury ICD Interest_ MIS_ 310309 2" xfId="5552" xr:uid="{00000000-0005-0000-0000-0000B0150000}"/>
    <cellStyle name="_group insurance MIS 31.10.2007" xfId="5553" xr:uid="{00000000-0005-0000-0000-0000B1150000}"/>
    <cellStyle name="_group insurance MIS 31.10.2007 2" xfId="5554" xr:uid="{00000000-0005-0000-0000-0000B2150000}"/>
    <cellStyle name="_group insurance MIS 31.10.2007_Indiabulls Asset Management Company Limited printable" xfId="5555" xr:uid="{00000000-0005-0000-0000-0000B3150000}"/>
    <cellStyle name="_group insurance reconcilation " xfId="5556" xr:uid="{00000000-0005-0000-0000-0000B4150000}"/>
    <cellStyle name="_group insurance reconcilation  2" xfId="5557" xr:uid="{00000000-0005-0000-0000-0000B5150000}"/>
    <cellStyle name="_group insurance reconcilation _Indiabulls Asset Management Company Limited printable" xfId="5558" xr:uid="{00000000-0005-0000-0000-0000B6150000}"/>
    <cellStyle name="_Group MIS - 15102007" xfId="5559" xr:uid="{00000000-0005-0000-0000-0000B7150000}"/>
    <cellStyle name="_Group MIS - 15102007 2" xfId="5560" xr:uid="{00000000-0005-0000-0000-0000B8150000}"/>
    <cellStyle name="_Group MIS - 15102007_Indiabulls Asset Management Company Limited printable" xfId="5561" xr:uid="{00000000-0005-0000-0000-0000B9150000}"/>
    <cellStyle name="_Group MIS - 30092007" xfId="5562" xr:uid="{00000000-0005-0000-0000-0000BA150000}"/>
    <cellStyle name="_Group MIS - 30092007 2" xfId="5563" xr:uid="{00000000-0005-0000-0000-0000BB150000}"/>
    <cellStyle name="_Group MIS - 30092007_Indiabulls Asset Management Company Limited printable" xfId="5564" xr:uid="{00000000-0005-0000-0000-0000BC150000}"/>
    <cellStyle name="_Group MIS - 3011007" xfId="5565" xr:uid="{00000000-0005-0000-0000-0000BD150000}"/>
    <cellStyle name="_Group MIS - 3011007 2" xfId="5566" xr:uid="{00000000-0005-0000-0000-0000BE150000}"/>
    <cellStyle name="_Group MIS - 3011007_Indiabulls Asset Management Company Limited printable" xfId="5567" xr:uid="{00000000-0005-0000-0000-0000BF150000}"/>
    <cellStyle name="_gurpreet cases repayment schedules" xfId="5568" xr:uid="{00000000-0005-0000-0000-0000C0150000}"/>
    <cellStyle name="_gurpreet cases repayment schedules 2" xfId="5569" xr:uid="{00000000-0005-0000-0000-0000C1150000}"/>
    <cellStyle name="_Gurpreet Requirement July07" xfId="5570" xr:uid="{00000000-0005-0000-0000-0000C2150000}"/>
    <cellStyle name="_Gurpreet Requirement July07 2" xfId="5571" xr:uid="{00000000-0005-0000-0000-0000C3150000}"/>
    <cellStyle name="_Gurpreet Requirement July07_Details of Assets &amp; Liablilities" xfId="5572" xr:uid="{00000000-0005-0000-0000-0000C4150000}"/>
    <cellStyle name="_Gurpreet Requirement July07_Details of Assets &amp; Liablilities 2" xfId="5573" xr:uid="{00000000-0005-0000-0000-0000C5150000}"/>
    <cellStyle name="_Gurpreet Requirement July07_Details of Assets &amp; Liablilities 3" xfId="5574" xr:uid="{00000000-0005-0000-0000-0000C6150000}"/>
    <cellStyle name="_Gurpreet Requirement July07_IBL_09.12.2009" xfId="5575" xr:uid="{00000000-0005-0000-0000-0000C7150000}"/>
    <cellStyle name="_Gurpreet Requirement July07_IBL_09.12.2009 2" xfId="5576" xr:uid="{00000000-0005-0000-0000-0000C8150000}"/>
    <cellStyle name="_Gurpreet Requirement July07_ICL_22 12 2009" xfId="5577" xr:uid="{00000000-0005-0000-0000-0000C9150000}"/>
    <cellStyle name="_Gurpreet Requirement July07_ICL_22 12 2009 2" xfId="5578" xr:uid="{00000000-0005-0000-0000-0000CA150000}"/>
    <cellStyle name="_Gurpreet Requirement July07_Indiabulls Asset Management Company Limited printable" xfId="5579" xr:uid="{00000000-0005-0000-0000-0000CB150000}"/>
    <cellStyle name="_HDAHA Sales (9th July 08)" xfId="5580" xr:uid="{00000000-0005-0000-0000-0000CC150000}"/>
    <cellStyle name="_HDAHA Sales (9th July 08) 2" xfId="5581" xr:uid="{00000000-0005-0000-0000-0000CD150000}"/>
    <cellStyle name="_Headcount - May'08" xfId="5582" xr:uid="{00000000-0005-0000-0000-0000CE150000}"/>
    <cellStyle name="_Headcount - May'08 2" xfId="5583" xr:uid="{00000000-0005-0000-0000-0000CF150000}"/>
    <cellStyle name="_HE-HL-LAP Contingency working - 31st Dec 07" xfId="5584" xr:uid="{00000000-0005-0000-0000-0000D0150000}"/>
    <cellStyle name="_HE-HL-LAP Contingency working - 31st Dec 07 (2)" xfId="5585" xr:uid="{00000000-0005-0000-0000-0000D1150000}"/>
    <cellStyle name="_HE-HL-LAP Contingency working - 31st Dec 07 (2) 2" xfId="5586" xr:uid="{00000000-0005-0000-0000-0000D2150000}"/>
    <cellStyle name="_HE-HL-LAP Contingency working - 31st Dec 07 2" xfId="5587" xr:uid="{00000000-0005-0000-0000-0000D3150000}"/>
    <cellStyle name="_HE-HL-LAP Contingency working - 31st Dec 07 3" xfId="5588" xr:uid="{00000000-0005-0000-0000-0000D4150000}"/>
    <cellStyle name="_HE-HL-LAP Contingency working - 31st Dec 07 4" xfId="5589" xr:uid="{00000000-0005-0000-0000-0000D5150000}"/>
    <cellStyle name="_HE-HL-LAP Contingency working - 31st Dec 07 5" xfId="5590" xr:uid="{00000000-0005-0000-0000-0000D6150000}"/>
    <cellStyle name="_HE-HL-LAP Contingency working - 31st Dec 07 6" xfId="5591" xr:uid="{00000000-0005-0000-0000-0000D7150000}"/>
    <cellStyle name="_HE-HL-LAP Contingency working - 31st Dec 07 7" xfId="5592" xr:uid="{00000000-0005-0000-0000-0000D8150000}"/>
    <cellStyle name="_HE-HL-LAP Contingency working - 31st Dec 07 8" xfId="5593" xr:uid="{00000000-0005-0000-0000-0000D9150000}"/>
    <cellStyle name="_HFL TL Incentive Aug'08" xfId="5594" xr:uid="{00000000-0005-0000-0000-0000DA150000}"/>
    <cellStyle name="_HFL TL Incentive Aug'08 2" xfId="5595" xr:uid="{00000000-0005-0000-0000-0000DB150000}"/>
    <cellStyle name="_HFL TL Incentive Sep'08" xfId="5596" xr:uid="{00000000-0005-0000-0000-0000DC150000}"/>
    <cellStyle name="_HFL TL Incentive Sep'08 2" xfId="5597" xr:uid="{00000000-0005-0000-0000-0000DD150000}"/>
    <cellStyle name="_HL 07-08 Disbursal and Sanction" xfId="5598" xr:uid="{00000000-0005-0000-0000-0000DE150000}"/>
    <cellStyle name="_HL 07-08 Disbursal and Sanction 2" xfId="5599" xr:uid="{00000000-0005-0000-0000-0000DF150000}"/>
    <cellStyle name="_HL 07-08 Disbursal and Sanction_Indiabulls Asset Management Company Limited printable" xfId="5600" xr:uid="{00000000-0005-0000-0000-0000E0150000}"/>
    <cellStyle name="_HL incenitve Collection July 2008" xfId="5601" xr:uid="{00000000-0005-0000-0000-0000E1150000}"/>
    <cellStyle name="_HL incenitve Collection July 2008 2" xfId="5602" xr:uid="{00000000-0005-0000-0000-0000E2150000}"/>
    <cellStyle name="_HL incenitve Collection June 2008" xfId="5603" xr:uid="{00000000-0005-0000-0000-0000E3150000}"/>
    <cellStyle name="_HL incenitve Collection June 2008 2" xfId="5604" xr:uid="{00000000-0005-0000-0000-0000E4150000}"/>
    <cellStyle name="_HL incenitve Collection May 2008" xfId="5605" xr:uid="{00000000-0005-0000-0000-0000E5150000}"/>
    <cellStyle name="_HL incenitve Collection May 2008 2" xfId="5606" xr:uid="{00000000-0005-0000-0000-0000E6150000}"/>
    <cellStyle name="_HL PC Calculations Sent to Indiabulls-Paritosh" xfId="5607" xr:uid="{00000000-0005-0000-0000-0000E7150000}"/>
    <cellStyle name="_HL PC Calculations Sent to Indiabulls-Paritosh 2" xfId="5608" xr:uid="{00000000-0005-0000-0000-0000E8150000}"/>
    <cellStyle name="_HL PC Calculations Sent to Indiabulls-Paritosh_Details of Assets &amp; Liablilities" xfId="5609" xr:uid="{00000000-0005-0000-0000-0000E9150000}"/>
    <cellStyle name="_HL PC Calculations Sent to Indiabulls-Paritosh_Details of Assets &amp; Liablilities 2" xfId="5610" xr:uid="{00000000-0005-0000-0000-0000EA150000}"/>
    <cellStyle name="_HL PC Calculations Sent to Indiabulls-Paritosh_Details of Assets &amp; Liablilities 3" xfId="5611" xr:uid="{00000000-0005-0000-0000-0000EB150000}"/>
    <cellStyle name="_HL PC Calculations Sent to Indiabulls-Paritosh_IBL_09.12.2009" xfId="5612" xr:uid="{00000000-0005-0000-0000-0000EC150000}"/>
    <cellStyle name="_HL PC Calculations Sent to Indiabulls-Paritosh_IBL_09.12.2009 2" xfId="5613" xr:uid="{00000000-0005-0000-0000-0000ED150000}"/>
    <cellStyle name="_HL PC Calculations Sent to Indiabulls-Paritosh_ICL_22 12 2009" xfId="5614" xr:uid="{00000000-0005-0000-0000-0000EE150000}"/>
    <cellStyle name="_HL PC Calculations Sent to Indiabulls-Paritosh_ICL_22 12 2009 2" xfId="5615" xr:uid="{00000000-0005-0000-0000-0000EF150000}"/>
    <cellStyle name="_HL PC Calculations Sent to Indiabulls-Paritosh_Indiabulls Asset Management Company Limited printable" xfId="5616" xr:uid="{00000000-0005-0000-0000-0000F0150000}"/>
    <cellStyle name="_HL- TL Incentive June'08" xfId="5617" xr:uid="{00000000-0005-0000-0000-0000F1150000}"/>
    <cellStyle name="_HL- TL Incentive June'08 2" xfId="5618" xr:uid="{00000000-0005-0000-0000-0000F2150000}"/>
    <cellStyle name="_HL- TL Incentive May'08" xfId="5619" xr:uid="{00000000-0005-0000-0000-0000F3150000}"/>
    <cellStyle name="_HL- TL Incentive May'08 2" xfId="5620" xr:uid="{00000000-0005-0000-0000-0000F4150000}"/>
    <cellStyle name="_Housing Trial Aug 2006" xfId="5621" xr:uid="{00000000-0005-0000-0000-0000F5150000}"/>
    <cellStyle name="_Hydro Employee Benefit Working" xfId="5622" xr:uid="{00000000-0005-0000-0000-0000F6150000}"/>
    <cellStyle name="_Hydro Employee Benefit Working 2" xfId="5623" xr:uid="{00000000-0005-0000-0000-0000F7150000}"/>
    <cellStyle name="_IAMCL" xfId="5624" xr:uid="{00000000-0005-0000-0000-0000F8150000}"/>
    <cellStyle name="_IAMCL 31.08.2009" xfId="5625" xr:uid="{00000000-0005-0000-0000-0000F9150000}"/>
    <cellStyle name="_IAMCL 31.08.2009_BS _IB Asset Management _3103_ver5" xfId="5626" xr:uid="{00000000-0005-0000-0000-0000FA150000}"/>
    <cellStyle name="_IAMCL 31.08.2009_BS _IB Asset Management _3103_ver5_IAMCL BS working -New format_31.03 V5" xfId="5627" xr:uid="{00000000-0005-0000-0000-0000FB150000}"/>
    <cellStyle name="_IAMCL 31.08.2009_IAMCL BS working -New format_31.03 V5" xfId="5628" xr:uid="{00000000-0005-0000-0000-0000FC150000}"/>
    <cellStyle name="_IAMCL 31.08.2009_IB Asset Management_3103 V5" xfId="5629" xr:uid="{00000000-0005-0000-0000-0000FD150000}"/>
    <cellStyle name="_IAMCL 31.08.2009_IB Collection Agency_3103 V3" xfId="5630" xr:uid="{00000000-0005-0000-0000-0000FE150000}"/>
    <cellStyle name="_IAMCL 31.08.2009_IB Collection Agency_3103 V3_ICAL-New Format_31.03 V4" xfId="5631" xr:uid="{00000000-0005-0000-0000-0000FF150000}"/>
    <cellStyle name="_IAMCL 31.08.2009_Ibulls BS Final woirking -New format_31.03 V5" xfId="5632" xr:uid="{00000000-0005-0000-0000-000000160000}"/>
    <cellStyle name="_IAMCL 31.08.2009_IbullsSales_3009V3 (3)" xfId="5633" xr:uid="{00000000-0005-0000-0000-000001160000}"/>
    <cellStyle name="_IAMCL 31.08.2009_IbullsSales_3103 V5" xfId="5634" xr:uid="{00000000-0005-0000-0000-000002160000}"/>
    <cellStyle name="_IAMCL 31.08.2009_ICAL-BS Final Working _New format" xfId="5635" xr:uid="{00000000-0005-0000-0000-000003160000}"/>
    <cellStyle name="_IAMCL 31.08.2009_Indiabulls Asset Management Company Limited printable" xfId="5636" xr:uid="{00000000-0005-0000-0000-000004160000}"/>
    <cellStyle name="_IAMCL_Indiabulls Asset Management Company Limited printable" xfId="5637" xr:uid="{00000000-0005-0000-0000-000005160000}"/>
    <cellStyle name="_IB Asset Management _2910" xfId="5638" xr:uid="{00000000-0005-0000-0000-000006160000}"/>
    <cellStyle name="_IB Asset Management _2910_IB Collection Agency_3103 V3" xfId="5639" xr:uid="{00000000-0005-0000-0000-000007160000}"/>
    <cellStyle name="_IB Asset Management _2910_IB Collection Agency_3103 V3_ICAL-New Format_31.03 V4" xfId="5640" xr:uid="{00000000-0005-0000-0000-000008160000}"/>
    <cellStyle name="_IB Asset Management _2910_ICAL-BS Final Working _New format" xfId="5641" xr:uid="{00000000-0005-0000-0000-000009160000}"/>
    <cellStyle name="_IB Buildcon L 21.07.06" xfId="5642" xr:uid="{00000000-0005-0000-0000-00000A160000}"/>
    <cellStyle name="_IB Buildcon L 21.07.06 10" xfId="5643" xr:uid="{00000000-0005-0000-0000-00000B160000}"/>
    <cellStyle name="_IB Buildcon L 21.07.06 10 2" xfId="5644" xr:uid="{00000000-0005-0000-0000-00000C160000}"/>
    <cellStyle name="_IB Buildcon L 21.07.06 11" xfId="5645" xr:uid="{00000000-0005-0000-0000-00000D160000}"/>
    <cellStyle name="_IB Buildcon L 21.07.06 11 2" xfId="5646" xr:uid="{00000000-0005-0000-0000-00000E160000}"/>
    <cellStyle name="_IB Buildcon L 21.07.06 12" xfId="5647" xr:uid="{00000000-0005-0000-0000-00000F160000}"/>
    <cellStyle name="_IB Buildcon L 21.07.06 12 2" xfId="5648" xr:uid="{00000000-0005-0000-0000-000010160000}"/>
    <cellStyle name="_IB Buildcon L 21.07.06 13" xfId="5649" xr:uid="{00000000-0005-0000-0000-000011160000}"/>
    <cellStyle name="_IB Buildcon L 21.07.06 13 2" xfId="5650" xr:uid="{00000000-0005-0000-0000-000012160000}"/>
    <cellStyle name="_IB Buildcon L 21.07.06 14" xfId="5651" xr:uid="{00000000-0005-0000-0000-000013160000}"/>
    <cellStyle name="_IB Buildcon L 21.07.06 14 2" xfId="5652" xr:uid="{00000000-0005-0000-0000-000014160000}"/>
    <cellStyle name="_IB Buildcon L 21.07.06 15" xfId="5653" xr:uid="{00000000-0005-0000-0000-000015160000}"/>
    <cellStyle name="_IB Buildcon L 21.07.06 15 2" xfId="5654" xr:uid="{00000000-0005-0000-0000-000016160000}"/>
    <cellStyle name="_IB Buildcon L 21.07.06 16" xfId="5655" xr:uid="{00000000-0005-0000-0000-000017160000}"/>
    <cellStyle name="_IB Buildcon L 21.07.06 16 2" xfId="5656" xr:uid="{00000000-0005-0000-0000-000018160000}"/>
    <cellStyle name="_IB Buildcon L 21.07.06 17" xfId="5657" xr:uid="{00000000-0005-0000-0000-000019160000}"/>
    <cellStyle name="_IB Buildcon L 21.07.06 17 2" xfId="5658" xr:uid="{00000000-0005-0000-0000-00001A160000}"/>
    <cellStyle name="_IB Buildcon L 21.07.06 18" xfId="5659" xr:uid="{00000000-0005-0000-0000-00001B160000}"/>
    <cellStyle name="_IB Buildcon L 21.07.06 18 2" xfId="5660" xr:uid="{00000000-0005-0000-0000-00001C160000}"/>
    <cellStyle name="_IB Buildcon L 21.07.06 19" xfId="5661" xr:uid="{00000000-0005-0000-0000-00001D160000}"/>
    <cellStyle name="_IB Buildcon L 21.07.06 19 2" xfId="5662" xr:uid="{00000000-0005-0000-0000-00001E160000}"/>
    <cellStyle name="_IB Buildcon L 21.07.06 2" xfId="5663" xr:uid="{00000000-0005-0000-0000-00001F160000}"/>
    <cellStyle name="_IB Buildcon L 21.07.06 2 2" xfId="5664" xr:uid="{00000000-0005-0000-0000-000020160000}"/>
    <cellStyle name="_IB Buildcon L 21.07.06 20" xfId="5665" xr:uid="{00000000-0005-0000-0000-000021160000}"/>
    <cellStyle name="_IB Buildcon L 21.07.06 21" xfId="5666" xr:uid="{00000000-0005-0000-0000-000022160000}"/>
    <cellStyle name="_IB Buildcon L 21.07.06 22" xfId="5667" xr:uid="{00000000-0005-0000-0000-000023160000}"/>
    <cellStyle name="_IB Buildcon L 21.07.06 23" xfId="5668" xr:uid="{00000000-0005-0000-0000-000024160000}"/>
    <cellStyle name="_IB Buildcon L 21.07.06 3" xfId="5669" xr:uid="{00000000-0005-0000-0000-000025160000}"/>
    <cellStyle name="_IB Buildcon L 21.07.06 3 2" xfId="5670" xr:uid="{00000000-0005-0000-0000-000026160000}"/>
    <cellStyle name="_IB Buildcon L 21.07.06 4" xfId="5671" xr:uid="{00000000-0005-0000-0000-000027160000}"/>
    <cellStyle name="_IB Buildcon L 21.07.06 4 2" xfId="5672" xr:uid="{00000000-0005-0000-0000-000028160000}"/>
    <cellStyle name="_IB Buildcon L 21.07.06 5" xfId="5673" xr:uid="{00000000-0005-0000-0000-000029160000}"/>
    <cellStyle name="_IB Buildcon L 21.07.06 5 2" xfId="5674" xr:uid="{00000000-0005-0000-0000-00002A160000}"/>
    <cellStyle name="_IB Buildcon L 21.07.06 6" xfId="5675" xr:uid="{00000000-0005-0000-0000-00002B160000}"/>
    <cellStyle name="_IB Buildcon L 21.07.06 6 2" xfId="5676" xr:uid="{00000000-0005-0000-0000-00002C160000}"/>
    <cellStyle name="_IB Buildcon L 21.07.06 7" xfId="5677" xr:uid="{00000000-0005-0000-0000-00002D160000}"/>
    <cellStyle name="_IB Buildcon L 21.07.06 7 2" xfId="5678" xr:uid="{00000000-0005-0000-0000-00002E160000}"/>
    <cellStyle name="_IB Buildcon L 21.07.06 8" xfId="5679" xr:uid="{00000000-0005-0000-0000-00002F160000}"/>
    <cellStyle name="_IB Buildcon L 21.07.06 8 2" xfId="5680" xr:uid="{00000000-0005-0000-0000-000030160000}"/>
    <cellStyle name="_IB Buildcon L 21.07.06 9" xfId="5681" xr:uid="{00000000-0005-0000-0000-000031160000}"/>
    <cellStyle name="_IB Buildcon L 21.07.06 9 2" xfId="5682" xr:uid="{00000000-0005-0000-0000-000032160000}"/>
    <cellStyle name="_IB Buildcon L 21.07.06_269SS &amp; T IIAPL 09-10" xfId="5683" xr:uid="{00000000-0005-0000-0000-000033160000}"/>
    <cellStyle name="_IB Buildcon L 21.07.06_Abstract-2007-08" xfId="5684" xr:uid="{00000000-0005-0000-0000-000034160000}"/>
    <cellStyle name="_IB Buildcon L 21.07.06_Advance Tax Summary" xfId="5685" xr:uid="{00000000-0005-0000-0000-000035160000}"/>
    <cellStyle name="_IB Buildcon L 21.07.06_Advance Tax Summary 2" xfId="5686" xr:uid="{00000000-0005-0000-0000-000036160000}"/>
    <cellStyle name="_IB Buildcon L 21.07.06_Asset Management Company Limited" xfId="5687" xr:uid="{00000000-0005-0000-0000-000037160000}"/>
    <cellStyle name="_IB Buildcon L 21.07.06_attachment-2  Power Companies" xfId="5688" xr:uid="{00000000-0005-0000-0000-000038160000}"/>
    <cellStyle name="_IB Buildcon L 21.07.06_Aug consl backup-land adv &amp; Ext ICD" xfId="5689" xr:uid="{00000000-0005-0000-0000-000039160000}"/>
    <cellStyle name="_IB Buildcon L 21.07.06_Book1" xfId="5690" xr:uid="{00000000-0005-0000-0000-00003A160000}"/>
    <cellStyle name="_IB Buildcon L 21.07.06_Book1 (2)" xfId="5691" xr:uid="{00000000-0005-0000-0000-00003B160000}"/>
    <cellStyle name="_IB Buildcon L 21.07.06_Book1 (2) 2" xfId="5692" xr:uid="{00000000-0005-0000-0000-00003C160000}"/>
    <cellStyle name="_IB Buildcon L 21.07.06_Book1 10" xfId="5693" xr:uid="{00000000-0005-0000-0000-00003D160000}"/>
    <cellStyle name="_IB Buildcon L 21.07.06_Book1 11" xfId="5694" xr:uid="{00000000-0005-0000-0000-00003E160000}"/>
    <cellStyle name="_IB Buildcon L 21.07.06_Book1 2" xfId="5695" xr:uid="{00000000-0005-0000-0000-00003F160000}"/>
    <cellStyle name="_IB Buildcon L 21.07.06_Book1 3" xfId="5696" xr:uid="{00000000-0005-0000-0000-000040160000}"/>
    <cellStyle name="_IB Buildcon L 21.07.06_Book1 4" xfId="5697" xr:uid="{00000000-0005-0000-0000-000041160000}"/>
    <cellStyle name="_IB Buildcon L 21.07.06_Book1 5" xfId="5698" xr:uid="{00000000-0005-0000-0000-000042160000}"/>
    <cellStyle name="_IB Buildcon L 21.07.06_Book1 6" xfId="5699" xr:uid="{00000000-0005-0000-0000-000043160000}"/>
    <cellStyle name="_IB Buildcon L 21.07.06_Book1 7" xfId="5700" xr:uid="{00000000-0005-0000-0000-000044160000}"/>
    <cellStyle name="_IB Buildcon L 21.07.06_Book1 8" xfId="5701" xr:uid="{00000000-0005-0000-0000-000045160000}"/>
    <cellStyle name="_IB Buildcon L 21.07.06_Book1 9" xfId="5702" xr:uid="{00000000-0005-0000-0000-000046160000}"/>
    <cellStyle name="_IB Buildcon L 21.07.06_Book1_EPS working" xfId="5703" xr:uid="{00000000-0005-0000-0000-000047160000}"/>
    <cellStyle name="_IB Buildcon L 21.07.06_Book1_EPS working 2" xfId="5704" xr:uid="{00000000-0005-0000-0000-000048160000}"/>
    <cellStyle name="_IB Buildcon L 21.07.06_Book1_IREL_3000_08-09" xfId="5705" xr:uid="{00000000-0005-0000-0000-000049160000}"/>
    <cellStyle name="_IB Buildcon L 21.07.06_Book1_IREL_3000_08-09 2" xfId="5706" xr:uid="{00000000-0005-0000-0000-00004A160000}"/>
    <cellStyle name="_IB Buildcon L 21.07.06_Book1_IREL_3000_2009-29_July2009  Final Shahi" xfId="5707" xr:uid="{00000000-0005-0000-0000-00004B160000}"/>
    <cellStyle name="_IB Buildcon L 21.07.06_Book1_IREL_3000_2009-29_July2009  Final Shahi 2" xfId="5708" xr:uid="{00000000-0005-0000-0000-00004C160000}"/>
    <cellStyle name="_IB Buildcon L 21.07.06_Book1_ISL Group - Advance Tax working for 3rd Instalment" xfId="5709" xr:uid="{00000000-0005-0000-0000-00004D160000}"/>
    <cellStyle name="_IB Buildcon L 21.07.06_Book1_ISL_ Adv Tax 2009-10 Q3" xfId="5710" xr:uid="{00000000-0005-0000-0000-00004E160000}"/>
    <cellStyle name="_IB Buildcon L 21.07.06_Book1_ISL__3CD_FY2010-11" xfId="5711" xr:uid="{00000000-0005-0000-0000-00004F160000}"/>
    <cellStyle name="_IB Buildcon L 21.07.06_Book2" xfId="5712" xr:uid="{00000000-0005-0000-0000-000050160000}"/>
    <cellStyle name="_IB Buildcon L 21.07.06_Book2 2" xfId="5713" xr:uid="{00000000-0005-0000-0000-000051160000}"/>
    <cellStyle name="_IB Buildcon L 21.07.06_Book2_ISL__3CD_FY2010-11" xfId="5714" xr:uid="{00000000-0005-0000-0000-000052160000}"/>
    <cellStyle name="_IB Buildcon L 21.07.06_Book4" xfId="5715" xr:uid="{00000000-0005-0000-0000-000053160000}"/>
    <cellStyle name="_IB Buildcon L 21.07.06_Book4 2" xfId="5716" xr:uid="{00000000-0005-0000-0000-000054160000}"/>
    <cellStyle name="_IB Buildcon L 21.07.06_Book4_ISL__3CD_FY2010-11" xfId="5717" xr:uid="{00000000-0005-0000-0000-000055160000}"/>
    <cellStyle name="_IB Buildcon L 21.07.06_BS" xfId="5718" xr:uid="{00000000-0005-0000-0000-000056160000}"/>
    <cellStyle name="_IB Buildcon L 21.07.06_BS _IB Asset Management _3103_ver5" xfId="5719" xr:uid="{00000000-0005-0000-0000-000057160000}"/>
    <cellStyle name="_IB Buildcon L 21.07.06_BS _IB Asset Management _3103_ver5_IAMCL BS working -New format_31.03 V5" xfId="5720" xr:uid="{00000000-0005-0000-0000-000058160000}"/>
    <cellStyle name="_IB Buildcon L 21.07.06_BS_Tax Audit Report  ICSL F.Y.09-10" xfId="5721" xr:uid="{00000000-0005-0000-0000-000059160000}"/>
    <cellStyle name="_IB Buildcon L 21.07.06_ChlorisProperties_3351_Dec.08" xfId="5722" xr:uid="{00000000-0005-0000-0000-00005A160000}"/>
    <cellStyle name="_IB Buildcon L 21.07.06_Consol Balance Sheet_Sophia_Dec08_Ibrel_1.3" xfId="5723" xr:uid="{00000000-0005-0000-0000-00005B160000}"/>
    <cellStyle name="_IB Buildcon L 21.07.06_Consol_sophia _Ipsl_Nov" xfId="5724" xr:uid="{00000000-0005-0000-0000-00005C160000}"/>
    <cellStyle name="_IB Buildcon L 21.07.06_CRAR - dec- 10v-12" xfId="5725" xr:uid="{00000000-0005-0000-0000-00005D160000}"/>
    <cellStyle name="_IB Buildcon L 21.07.06_CRAR - dec- 10v-12 2" xfId="5726" xr:uid="{00000000-0005-0000-0000-00005E160000}"/>
    <cellStyle name="_IB Buildcon L 21.07.06_detail" xfId="5727" xr:uid="{00000000-0005-0000-0000-00005F160000}"/>
    <cellStyle name="_IB Buildcon L 21.07.06_detail (2)" xfId="5728" xr:uid="{00000000-0005-0000-0000-000060160000}"/>
    <cellStyle name="_IB Buildcon L 21.07.06_Detail of IPO funding" xfId="5729" xr:uid="{00000000-0005-0000-0000-000061160000}"/>
    <cellStyle name="_IB Buildcon L 21.07.06_detail to be added in june,2008" xfId="5730" xr:uid="{00000000-0005-0000-0000-000062160000}"/>
    <cellStyle name="_IB Buildcon L 21.07.06_Details" xfId="5731" xr:uid="{00000000-0005-0000-0000-000063160000}"/>
    <cellStyle name="_IB Buildcon L 21.07.06_Details of Assets &amp; Liablilities" xfId="5732" xr:uid="{00000000-0005-0000-0000-000064160000}"/>
    <cellStyle name="_IB Buildcon L 21.07.06_EPL_3346_2007-08" xfId="5733" xr:uid="{00000000-0005-0000-0000-000065160000}"/>
    <cellStyle name="_IB Buildcon L 21.07.06_EPL_3346_2007-08(C)" xfId="5734" xr:uid="{00000000-0005-0000-0000-000066160000}"/>
    <cellStyle name="_IB Buildcon L 21.07.06_Final Consol Balance Sheet_Sophia_Dec08_27.01.08" xfId="5735" xr:uid="{00000000-0005-0000-0000-000067160000}"/>
    <cellStyle name="_IB Buildcon L 21.07.06_Fixed Assets consolidated" xfId="5736" xr:uid="{00000000-0005-0000-0000-000068160000}"/>
    <cellStyle name="_IB Buildcon L 21.07.06_Fornax" xfId="5737" xr:uid="{00000000-0005-0000-0000-000069160000}"/>
    <cellStyle name="_IB Buildcon L 21.07.06_IAMCL BS working -New format_31.03 V5" xfId="5738" xr:uid="{00000000-0005-0000-0000-00006A160000}"/>
    <cellStyle name="_IB Buildcon L 21.07.06_IB Asset Management _2910" xfId="5739" xr:uid="{00000000-0005-0000-0000-00006B160000}"/>
    <cellStyle name="_IB Buildcon L 21.07.06_IB Asset Management _2910_IB Collection Agency_3103 V3" xfId="5740" xr:uid="{00000000-0005-0000-0000-00006C160000}"/>
    <cellStyle name="_IB Buildcon L 21.07.06_IB Asset Management _2910_IB Collection Agency_3103 V3_ICAL-New Format_31.03 V4" xfId="5741" xr:uid="{00000000-0005-0000-0000-00006D160000}"/>
    <cellStyle name="_IB Buildcon L 21.07.06_IB Asset Management _2910_ICAL-BS Final Working _New format" xfId="5742" xr:uid="{00000000-0005-0000-0000-00006E160000}"/>
    <cellStyle name="_IB Buildcon L 21.07.06_IB Asset Management _3103_ver5" xfId="5743" xr:uid="{00000000-0005-0000-0000-00006F160000}"/>
    <cellStyle name="_IB Buildcon L 21.07.06_IB Asset Management_3103 V2" xfId="5744" xr:uid="{00000000-0005-0000-0000-000070160000}"/>
    <cellStyle name="_IB Buildcon L 21.07.06_IB Asset Management_3103 V4" xfId="5745" xr:uid="{00000000-0005-0000-0000-000071160000}"/>
    <cellStyle name="_IB Buildcon L 21.07.06_IB Asset Management_3103 V5" xfId="5746" xr:uid="{00000000-0005-0000-0000-000072160000}"/>
    <cellStyle name="_IB Buildcon L 21.07.06_IB Collection Agency_3103 V3" xfId="5747" xr:uid="{00000000-0005-0000-0000-000073160000}"/>
    <cellStyle name="_IB Buildcon L 21.07.06_IB Collection Agency_3103 V3_ICAL-New Format_31.03 V4" xfId="5748" xr:uid="{00000000-0005-0000-0000-000074160000}"/>
    <cellStyle name="_IB Buildcon L 21.07.06_IB Infrastructure Credit" xfId="5749" xr:uid="{00000000-0005-0000-0000-000075160000}"/>
    <cellStyle name="_IB Buildcon L 21.07.06_IB Infrastructure Credit-3103_V6" xfId="5750" xr:uid="{00000000-0005-0000-0000-000076160000}"/>
    <cellStyle name="_IB Buildcon L 21.07.06_IB Infrastructure Credit-3103_V7" xfId="5751" xr:uid="{00000000-0005-0000-0000-000077160000}"/>
    <cellStyle name="_IB Buildcon L 21.07.06_IB Life Insurance_3103 V4" xfId="5752" xr:uid="{00000000-0005-0000-0000-000078160000}"/>
    <cellStyle name="_IB Buildcon L 21.07.06_IB Trustee Company_3103 V4" xfId="5753" xr:uid="{00000000-0005-0000-0000-000079160000}"/>
    <cellStyle name="_IB Buildcon L 21.07.06_IBFSL 30 Sep 11 V8" xfId="5754" xr:uid="{00000000-0005-0000-0000-00007A160000}"/>
    <cellStyle name="_IB Buildcon L 21.07.06_IBFSL_Conso_June_09_10 " xfId="5755" xr:uid="{00000000-0005-0000-0000-00007B160000}"/>
    <cellStyle name="_IB Buildcon L 21.07.06_IBFSL_Conso_June_09_10  2" xfId="5756" xr:uid="{00000000-0005-0000-0000-00007C160000}"/>
    <cellStyle name="_IB Buildcon L 21.07.06_IBFSL_Conso_June_09_10 _Book1 (2)" xfId="5757" xr:uid="{00000000-0005-0000-0000-00007D160000}"/>
    <cellStyle name="_IB Buildcon L 21.07.06_IBFSL_Conso_June_09_10 _Book1 (2) 2" xfId="5758" xr:uid="{00000000-0005-0000-0000-00007E160000}"/>
    <cellStyle name="_IB Buildcon L 21.07.06_IBFSL_Conso_June_09_10 _ISL__3CD_FY2010-11" xfId="5759" xr:uid="{00000000-0005-0000-0000-00007F160000}"/>
    <cellStyle name="_IB Buildcon L 21.07.06_IBFSL_Conso_June_09_10 _ISL_Conso_09_10_Other working" xfId="5760" xr:uid="{00000000-0005-0000-0000-000080160000}"/>
    <cellStyle name="_IB Buildcon L 21.07.06_IBFSL_Conso_June_09_10 _ISL_Conso_09_10_Other working 2" xfId="5761" xr:uid="{00000000-0005-0000-0000-000081160000}"/>
    <cellStyle name="_IB Buildcon L 21.07.06_IBFSL_Conso_June_09_10 _ISL_Conso_09_10_Other working_Xl0000012" xfId="5762" xr:uid="{00000000-0005-0000-0000-000082160000}"/>
    <cellStyle name="_IB Buildcon L 21.07.06_IBFSL_Conso_June_09_10 _ISL_Conso_09_10_Other working_Xl0000012 2" xfId="5763" xr:uid="{00000000-0005-0000-0000-000083160000}"/>
    <cellStyle name="_IB Buildcon L 21.07.06_IBFSL_Conso_June_09_10 _ISL_conso_August_10_11" xfId="5764" xr:uid="{00000000-0005-0000-0000-000084160000}"/>
    <cellStyle name="_IB Buildcon L 21.07.06_IBFSL_Conso_June_09_10 _ISL_conso_August_10_11 2" xfId="5765" xr:uid="{00000000-0005-0000-0000-000085160000}"/>
    <cellStyle name="_IB Buildcon L 21.07.06_IBFSL_Conso_June_09_10 _ISL_conso_December_10_11" xfId="5766" xr:uid="{00000000-0005-0000-0000-000086160000}"/>
    <cellStyle name="_IB Buildcon L 21.07.06_IBFSL_Conso_June_09_10 _ISL_conso_December_10_11 2" xfId="5767" xr:uid="{00000000-0005-0000-0000-000087160000}"/>
    <cellStyle name="_IB Buildcon L 21.07.06_IBFSL_Conso_June_09_10 _ISL_conso_July_10_11" xfId="5768" xr:uid="{00000000-0005-0000-0000-000088160000}"/>
    <cellStyle name="_IB Buildcon L 21.07.06_IBFSL_Conso_June_09_10 _ISL_conso_July_10_11 2" xfId="5769" xr:uid="{00000000-0005-0000-0000-000089160000}"/>
    <cellStyle name="_IB Buildcon L 21.07.06_IBFSL_Conso_June_09_10 _ISL_conso_June_10_11" xfId="5770" xr:uid="{00000000-0005-0000-0000-00008A160000}"/>
    <cellStyle name="_IB Buildcon L 21.07.06_IBFSL_Conso_June_09_10 _ISL_conso_June_10_11 2" xfId="5771" xr:uid="{00000000-0005-0000-0000-00008B160000}"/>
    <cellStyle name="_IB Buildcon L 21.07.06_IBFSL_Conso_June_09_10 _ISL_conso_March_09_10" xfId="5772" xr:uid="{00000000-0005-0000-0000-00008C160000}"/>
    <cellStyle name="_IB Buildcon L 21.07.06_IBFSL_Conso_June_09_10 _ISL_conso_March_09_10 2" xfId="5773" xr:uid="{00000000-0005-0000-0000-00008D160000}"/>
    <cellStyle name="_IB Buildcon L 21.07.06_IBFSL_Conso_June_09_10 _ISL_conso_March_09_10_Xl0000012" xfId="5774" xr:uid="{00000000-0005-0000-0000-00008E160000}"/>
    <cellStyle name="_IB Buildcon L 21.07.06_IBFSL_Conso_June_09_10 _ISL_conso_March_09_10_Xl0000012 2" xfId="5775" xr:uid="{00000000-0005-0000-0000-00008F160000}"/>
    <cellStyle name="_IB Buildcon L 21.07.06_IBFSL_Conso_June_09_10 _ISL_conso_May_10_11" xfId="5776" xr:uid="{00000000-0005-0000-0000-000090160000}"/>
    <cellStyle name="_IB Buildcon L 21.07.06_IBFSL_Conso_June_09_10 _ISL_conso_May_10_11 2" xfId="5777" xr:uid="{00000000-0005-0000-0000-000091160000}"/>
    <cellStyle name="_IB Buildcon L 21.07.06_IBFSL_Conso_June_09_10 _ISL_conso_November_10_11" xfId="5778" xr:uid="{00000000-0005-0000-0000-000092160000}"/>
    <cellStyle name="_IB Buildcon L 21.07.06_IBFSL_Conso_June_09_10 _ISL_conso_November_10_11 2" xfId="5779" xr:uid="{00000000-0005-0000-0000-000093160000}"/>
    <cellStyle name="_IB Buildcon L 21.07.06_IBFSL_Conso_June_09_10 _ISL_conso_October_10_11" xfId="5780" xr:uid="{00000000-0005-0000-0000-000094160000}"/>
    <cellStyle name="_IB Buildcon L 21.07.06_IBFSL_Conso_June_09_10 _ISL_conso_October_10_11 2" xfId="5781" xr:uid="{00000000-0005-0000-0000-000095160000}"/>
    <cellStyle name="_IB Buildcon L 21.07.06_IBFSL_Conso_June_09_10 _ISL_conso_September_10_11" xfId="5782" xr:uid="{00000000-0005-0000-0000-000096160000}"/>
    <cellStyle name="_IB Buildcon L 21.07.06_IBFSL_Conso_June_09_10 _ISL_conso_September_10_11 2" xfId="5783" xr:uid="{00000000-0005-0000-0000-000097160000}"/>
    <cellStyle name="_IB Buildcon L 21.07.06_IBFSL_Conso_June_09_10 _ISL_June_10" xfId="5784" xr:uid="{00000000-0005-0000-0000-000098160000}"/>
    <cellStyle name="_IB Buildcon L 21.07.06_IBFSL_Conso_June_09_10 _ISL_June_10 2" xfId="5785" xr:uid="{00000000-0005-0000-0000-000099160000}"/>
    <cellStyle name="_IB Buildcon L 21.07.06_IBFSL_Conso_June_09_10 _Results" xfId="5786" xr:uid="{00000000-0005-0000-0000-00009A160000}"/>
    <cellStyle name="_IB Buildcon L 21.07.06_IBFSL_Conso_June_09_10 _Results 2" xfId="5787" xr:uid="{00000000-0005-0000-0000-00009B160000}"/>
    <cellStyle name="_IB Buildcon L 21.07.06_IBFSL_Conso_June_09_10 _Xl0000012" xfId="5788" xr:uid="{00000000-0005-0000-0000-00009C160000}"/>
    <cellStyle name="_IB Buildcon L 21.07.06_IBFSL_Conso_June_09_10 _Xl0000012 2" xfId="5789" xr:uid="{00000000-0005-0000-0000-00009D160000}"/>
    <cellStyle name="_IB Buildcon L 21.07.06_IBFSL_Conso_March_10_11" xfId="5790" xr:uid="{00000000-0005-0000-0000-00009E160000}"/>
    <cellStyle name="_IB Buildcon L 21.07.06_IBL_09.12.2009" xfId="5791" xr:uid="{00000000-0005-0000-0000-00009F160000}"/>
    <cellStyle name="_IB Buildcon L 21.07.06_IBLIC_BS  Final working -New_Format_31.03 V5" xfId="5792" xr:uid="{00000000-0005-0000-0000-0000A0160000}"/>
    <cellStyle name="_IB Buildcon L 21.07.06_Ibulls BS Final woirking -New format_31.03 V5" xfId="5793" xr:uid="{00000000-0005-0000-0000-0000A1160000}"/>
    <cellStyle name="_IB Buildcon L 21.07.06_IbullsSales_3009V3 (3)" xfId="5794" xr:uid="{00000000-0005-0000-0000-0000A2160000}"/>
    <cellStyle name="_IB Buildcon L 21.07.06_IbullsSales_3103" xfId="5795" xr:uid="{00000000-0005-0000-0000-0000A3160000}"/>
    <cellStyle name="_IB Buildcon L 21.07.06_IbullsSales_3103 V2" xfId="5796" xr:uid="{00000000-0005-0000-0000-0000A4160000}"/>
    <cellStyle name="_IB Buildcon L 21.07.06_IbullsSales_3103 V5" xfId="5797" xr:uid="{00000000-0005-0000-0000-0000A5160000}"/>
    <cellStyle name="_IB Buildcon L 21.07.06_ICAL-BS Final Working _New format" xfId="5798" xr:uid="{00000000-0005-0000-0000-0000A6160000}"/>
    <cellStyle name="_IB Buildcon L 21.07.06_ICD Detail External from IBREL 23Jun'08" xfId="5799" xr:uid="{00000000-0005-0000-0000-0000A7160000}"/>
    <cellStyle name="_IB Buildcon L 21.07.06_ICD Detail External from IBREL 23Jun'08 2" xfId="5800" xr:uid="{00000000-0005-0000-0000-0000A8160000}"/>
    <cellStyle name="_IB Buildcon L 21.07.06_ICD_Int Working" xfId="5801" xr:uid="{00000000-0005-0000-0000-0000A9160000}"/>
    <cellStyle name="_IB Buildcon L 21.07.06_ICD_Int Working_EPS working" xfId="5802" xr:uid="{00000000-0005-0000-0000-0000AA160000}"/>
    <cellStyle name="_IB Buildcon L 21.07.06_ICD_Int Working_EPS working 2" xfId="5803" xr:uid="{00000000-0005-0000-0000-0000AB160000}"/>
    <cellStyle name="_IB Buildcon L 21.07.06_ICD_Int Working_EPS working_IBREAL_BS PACK-Version.02" xfId="5804" xr:uid="{00000000-0005-0000-0000-0000AC160000}"/>
    <cellStyle name="_IB Buildcon L 21.07.06_ICD_Int Working_EPS working_IBREAL_BS PACK-Version.02 2" xfId="5805" xr:uid="{00000000-0005-0000-0000-0000AD160000}"/>
    <cellStyle name="_IB Buildcon L 21.07.06_ICD_Int Working_EPS working_IBREAL_BS PACK-Version.02_IBREAL_BS PACK-Version.03" xfId="5806" xr:uid="{00000000-0005-0000-0000-0000AE160000}"/>
    <cellStyle name="_IB Buildcon L 21.07.06_ICD_Int Working_EPS working_IBREAL_BS PACK-Version.02_IBREAL_BS PACK-Version.03 2" xfId="5807" xr:uid="{00000000-0005-0000-0000-0000AF160000}"/>
    <cellStyle name="_IB Buildcon L 21.07.06_ICD_Int Working_EPS working_IBREAL_BS PACK-Version.02_IBREAL_BS PACK-Version.03_IBREAL_BS PACK-Version.07" xfId="5808" xr:uid="{00000000-0005-0000-0000-0000B0160000}"/>
    <cellStyle name="_IB Buildcon L 21.07.06_ICD_Int Working_EPS working_IBREAL_BS PACK-Version.02_IBREAL_BS PACK-Version.03_IBREAL_BS PACK-Version.07 2" xfId="5809" xr:uid="{00000000-0005-0000-0000-0000B1160000}"/>
    <cellStyle name="_IB Buildcon L 21.07.06_ICD_Int Working_IREL_3000_08-09" xfId="5810" xr:uid="{00000000-0005-0000-0000-0000B2160000}"/>
    <cellStyle name="_IB Buildcon L 21.07.06_ICD_Int Working_IREL_3000_08-09 2" xfId="5811" xr:uid="{00000000-0005-0000-0000-0000B3160000}"/>
    <cellStyle name="_IB Buildcon L 21.07.06_ICD_Int Working_IREL_3000_08-09 stage 3" xfId="5812" xr:uid="{00000000-0005-0000-0000-0000B4160000}"/>
    <cellStyle name="_IB Buildcon L 21.07.06_ICD_Int Working_IREL_3000_08-09 stage 3_IREL_3000_08-09" xfId="5813" xr:uid="{00000000-0005-0000-0000-0000B5160000}"/>
    <cellStyle name="_IB Buildcon L 21.07.06_ICD_Int Working_IREL_3000_08-09 stage 3_IREL_3000_08-09 2" xfId="5814" xr:uid="{00000000-0005-0000-0000-0000B6160000}"/>
    <cellStyle name="_IB Buildcon L 21.07.06_ICD_Int Working_IREL_3000_08-09_IBREAL_BS PACK-Version.02" xfId="5815" xr:uid="{00000000-0005-0000-0000-0000B7160000}"/>
    <cellStyle name="_IB Buildcon L 21.07.06_ICD_Int Working_IREL_3000_08-09_IBREAL_BS PACK-Version.02 2" xfId="5816" xr:uid="{00000000-0005-0000-0000-0000B8160000}"/>
    <cellStyle name="_IB Buildcon L 21.07.06_ICD_Int Working_IREL_3000_08-09_IBREAL_BS PACK-Version.02_IBREAL_BS PACK-Version.03" xfId="5817" xr:uid="{00000000-0005-0000-0000-0000B9160000}"/>
    <cellStyle name="_IB Buildcon L 21.07.06_ICD_Int Working_IREL_3000_08-09_IBREAL_BS PACK-Version.02_IBREAL_BS PACK-Version.03 2" xfId="5818" xr:uid="{00000000-0005-0000-0000-0000BA160000}"/>
    <cellStyle name="_IB Buildcon L 21.07.06_ICD_Int Working_IREL_3000_08-09_IBREAL_BS PACK-Version.02_IBREAL_BS PACK-Version.03_IBREAL_BS PACK-Version.07" xfId="5819" xr:uid="{00000000-0005-0000-0000-0000BB160000}"/>
    <cellStyle name="_IB Buildcon L 21.07.06_ICD_Int Working_IREL_3000_08-09_IBREAL_BS PACK-Version.02_IBREAL_BS PACK-Version.03_IBREAL_BS PACK-Version.07 2" xfId="5820" xr:uid="{00000000-0005-0000-0000-0000BC160000}"/>
    <cellStyle name="_IB Buildcon L 21.07.06_ICD_Int Working_IREL_3000_2009-29_July2009  Final Shahi" xfId="5821" xr:uid="{00000000-0005-0000-0000-0000BD160000}"/>
    <cellStyle name="_IB Buildcon L 21.07.06_ICD_Int Working_IREL_3000_2009-29_July2009  Final Shahi 2" xfId="5822" xr:uid="{00000000-0005-0000-0000-0000BE160000}"/>
    <cellStyle name="_IB Buildcon L 21.07.06_ICD_Int Working_IREL_3000_2009-29_July2009  Final Shahi_IBREAL_BS PACK-Version.02" xfId="5823" xr:uid="{00000000-0005-0000-0000-0000BF160000}"/>
    <cellStyle name="_IB Buildcon L 21.07.06_ICD_Int Working_IREL_3000_2009-29_July2009  Final Shahi_IBREAL_BS PACK-Version.02 2" xfId="5824" xr:uid="{00000000-0005-0000-0000-0000C0160000}"/>
    <cellStyle name="_IB Buildcon L 21.07.06_ICD_Int Working_IREL_3000_2009-29_July2009  Final Shahi_IBREAL_BS PACK-Version.02_IBREAL_BS PACK-Version.03" xfId="5825" xr:uid="{00000000-0005-0000-0000-0000C1160000}"/>
    <cellStyle name="_IB Buildcon L 21.07.06_ICD_Int Working_IREL_3000_2009-29_July2009  Final Shahi_IBREAL_BS PACK-Version.02_IBREAL_BS PACK-Version.03 2" xfId="5826" xr:uid="{00000000-0005-0000-0000-0000C2160000}"/>
    <cellStyle name="_IB Buildcon L 21.07.06_ICD_Int Working_IREL_3000_2009-29_July2009  Final Shahi_IBREAL_BS PACK-Version.02_IBREAL_BS PACK-Version.03_IBREAL_BS PACK-Version.07" xfId="5827" xr:uid="{00000000-0005-0000-0000-0000C3160000}"/>
    <cellStyle name="_IB Buildcon L 21.07.06_ICD_Int Working_IREL_3000_2009-29_July2009  Final Shahi_IBREAL_BS PACK-Version.02_IBREAL_BS PACK-Version.03_IBREAL_BS PACK-Version.07 2" xfId="5828" xr:uid="{00000000-0005-0000-0000-0000C4160000}"/>
    <cellStyle name="_IB Buildcon L 21.07.06_ICL_09 12 2009" xfId="5829" xr:uid="{00000000-0005-0000-0000-0000C5160000}"/>
    <cellStyle name="_IB Buildcon L 21.07.06_ICL_BS_30.06.2009" xfId="5830" xr:uid="{00000000-0005-0000-0000-0000C6160000}"/>
    <cellStyle name="_IB Buildcon L 21.07.06_ICPL_BS_31.03.2009" xfId="5831" xr:uid="{00000000-0005-0000-0000-0000C7160000}"/>
    <cellStyle name="_IB Buildcon L 21.07.06_ICPL_BS_31.03.2009 2" xfId="5832" xr:uid="{00000000-0005-0000-0000-0000C8160000}"/>
    <cellStyle name="_IB Buildcon L 21.07.06_ICPL_BS_31.03.2009_Detail of IPO funding" xfId="5833" xr:uid="{00000000-0005-0000-0000-0000C9160000}"/>
    <cellStyle name="_IB Buildcon L 21.07.06_ICPL_BS_31.03.2009_IFCPL 31 03 2010 VER6 Final" xfId="5834" xr:uid="{00000000-0005-0000-0000-0000CA160000}"/>
    <cellStyle name="_IB Buildcon L 21.07.06_ICPL_BS_31.03.2009_new" xfId="5835" xr:uid="{00000000-0005-0000-0000-0000CB160000}"/>
    <cellStyle name="_IB Buildcon L 21.07.06_ICPL_BS_31.03.2009_new_ISL__3CD_FY2010-11" xfId="5836" xr:uid="{00000000-0005-0000-0000-0000CC160000}"/>
    <cellStyle name="_IB Buildcon L 21.07.06_IDSL_31.03.2010" xfId="5837" xr:uid="{00000000-0005-0000-0000-0000CD160000}"/>
    <cellStyle name="_IB Buildcon L 21.07.06_IEL net worth as on 31st March 2007." xfId="5838" xr:uid="{00000000-0005-0000-0000-0000CE160000}"/>
    <cellStyle name="_IB Buildcon L 21.07.06_IEL_3210_ 2007-2008" xfId="5839" xr:uid="{00000000-0005-0000-0000-0000CF160000}"/>
    <cellStyle name="_IB Buildcon L 21.07.06_IEL_3210_ 2007-2008_260508" xfId="5840" xr:uid="{00000000-0005-0000-0000-0000D0160000}"/>
    <cellStyle name="_IB Buildcon L 21.07.06_IESL_09.12.2009" xfId="5841" xr:uid="{00000000-0005-0000-0000-0000D1160000}"/>
    <cellStyle name="_IB Buildcon L 21.07.06_IFCPL 31 03 2010 VER6 Final" xfId="5842" xr:uid="{00000000-0005-0000-0000-0000D2160000}"/>
    <cellStyle name="_IB Buildcon L 21.07.06_IFCPL 31.03.09 ver 6 - RBI Return" xfId="5843" xr:uid="{00000000-0005-0000-0000-0000D3160000}"/>
    <cellStyle name="_IB Buildcon L 21.07.06_IFCPL Financials - March 2009" xfId="5844" xr:uid="{00000000-0005-0000-0000-0000D4160000}"/>
    <cellStyle name="_IB Buildcon L 21.07.06_IFCPL Financials - March 2009 2" xfId="5845" xr:uid="{00000000-0005-0000-0000-0000D5160000}"/>
    <cellStyle name="_IB Buildcon L 21.07.06_IFCPL Financials - March 2009 With Computation" xfId="5846" xr:uid="{00000000-0005-0000-0000-0000D6160000}"/>
    <cellStyle name="_IB Buildcon L 21.07.06_IFCPL Financials - March 2009 With Computation 2" xfId="5847" xr:uid="{00000000-0005-0000-0000-0000D7160000}"/>
    <cellStyle name="_IB Buildcon L 21.07.06_IFCPL Financials - March 2009 With Computation_Detail of IPO funding" xfId="5848" xr:uid="{00000000-0005-0000-0000-0000D8160000}"/>
    <cellStyle name="_IB Buildcon L 21.07.06_IFCPL Financials - March 2009 With Computation_IFCPL 31 03 2010 VER6 Final" xfId="5849" xr:uid="{00000000-0005-0000-0000-0000D9160000}"/>
    <cellStyle name="_IB Buildcon L 21.07.06_IFCPL Financials - March 2009_FDR working" xfId="5850" xr:uid="{00000000-0005-0000-0000-0000DA160000}"/>
    <cellStyle name="_IB Buildcon L 21.07.06_IFCPL Financials - March 2009_IFCPL 31 03 2010 VER6 Final" xfId="5851" xr:uid="{00000000-0005-0000-0000-0000DB160000}"/>
    <cellStyle name="_IB Buildcon L 21.07.06_IHFL_SEP_30_2009 XIII AUDIT- Sch II" xfId="5852" xr:uid="{00000000-0005-0000-0000-0000DC160000}"/>
    <cellStyle name="_IB Buildcon L 21.07.06_IIAL 31.03.2010 VER2" xfId="5853" xr:uid="{00000000-0005-0000-0000-0000DD160000}"/>
    <cellStyle name="_IB Buildcon L 21.07.06_IICL_March'11" xfId="5854" xr:uid="{00000000-0005-0000-0000-0000DE160000}"/>
    <cellStyle name="_IB Buildcon L 21.07.06_IIDL_3227_2007-08" xfId="5855" xr:uid="{00000000-0005-0000-0000-0000DF160000}"/>
    <cellStyle name="_IB Buildcon L 21.07.06_IIL_3220_2007-08" xfId="5856" xr:uid="{00000000-0005-0000-0000-0000E0160000}"/>
    <cellStyle name="_IB Buildcon L 21.07.06_Indiabulls Asset Management Company Limited printable" xfId="5857" xr:uid="{00000000-0005-0000-0000-0000E1160000}"/>
    <cellStyle name="_IB Buildcon L 21.07.06_Interest receivable from Divya Shakti" xfId="5858" xr:uid="{00000000-0005-0000-0000-0000E2160000}"/>
    <cellStyle name="_IB Buildcon L 21.07.06_IPGL_3355_2007-08" xfId="5859" xr:uid="{00000000-0005-0000-0000-0000E3160000}"/>
    <cellStyle name="_IB Buildcon L 21.07.06_Ipsl_Nov_1 1" xfId="5860" xr:uid="{00000000-0005-0000-0000-0000E4160000}"/>
    <cellStyle name="_IB Buildcon L 21.07.06_IRECPL_Himanshu Shah Bill" xfId="5861" xr:uid="{00000000-0005-0000-0000-0000E5160000}"/>
    <cellStyle name="_IB Buildcon L 21.07.06_IREL(Conso)_2007-08_March_Revised" xfId="5862" xr:uid="{00000000-0005-0000-0000-0000E6160000}"/>
    <cellStyle name="_IB Buildcon L 21.07.06_IREL(Conso)_2007-08_March_Revised_IREL_3000_08-09" xfId="5863" xr:uid="{00000000-0005-0000-0000-0000E7160000}"/>
    <cellStyle name="_IB Buildcon L 21.07.06_IREL(Conso)_2007-08_March_Revised_IREL_3000_08-09 2" xfId="5864" xr:uid="{00000000-0005-0000-0000-0000E8160000}"/>
    <cellStyle name="_IB Buildcon L 21.07.06_IREL(Conso)_2007-08_March_Revised_IREL_3000_08-09 stage 3" xfId="5865" xr:uid="{00000000-0005-0000-0000-0000E9160000}"/>
    <cellStyle name="_IB Buildcon L 21.07.06_IREL(Conso)_2007-08_March_Revised_IREL_3000_08-09 stage 3_IREL_3000_08-09" xfId="5866" xr:uid="{00000000-0005-0000-0000-0000EA160000}"/>
    <cellStyle name="_IB Buildcon L 21.07.06_IREL(Conso)_2007-08_March_Revised_IREL_3000_08-09 stage 3_IREL_3000_08-09 2" xfId="5867" xr:uid="{00000000-0005-0000-0000-0000EB160000}"/>
    <cellStyle name="_IB Buildcon L 21.07.06_IREL(Conso)_2007-08_March_Revised_IREL_3000_08-09_IBREAL_BS PACK-Version.02" xfId="5868" xr:uid="{00000000-0005-0000-0000-0000EC160000}"/>
    <cellStyle name="_IB Buildcon L 21.07.06_IREL(Conso)_2007-08_March_Revised_IREL_3000_08-09_IBREAL_BS PACK-Version.02 2" xfId="5869" xr:uid="{00000000-0005-0000-0000-0000ED160000}"/>
    <cellStyle name="_IB Buildcon L 21.07.06_IREL(Conso)_2007-08_March_Revised_IREL_3000_08-09_IBREAL_BS PACK-Version.02_IBREAL_BS PACK-Version.03" xfId="5870" xr:uid="{00000000-0005-0000-0000-0000EE160000}"/>
    <cellStyle name="_IB Buildcon L 21.07.06_IREL(Conso)_2007-08_March_Revised_IREL_3000_08-09_IBREAL_BS PACK-Version.02_IBREAL_BS PACK-Version.03 2" xfId="5871" xr:uid="{00000000-0005-0000-0000-0000EF160000}"/>
    <cellStyle name="_IB Buildcon L 21.07.06_IREL(Conso)_2007-08_March_Revised_IREL_3000_08-09_IBREAL_BS PACK-Version.02_IBREAL_BS PACK-Version.03_IBREAL_BS PACK-Version.07" xfId="5872" xr:uid="{00000000-0005-0000-0000-0000F0160000}"/>
    <cellStyle name="_IB Buildcon L 21.07.06_IREL(Conso)_2007-08_March_Revised_IREL_3000_08-09_IBREAL_BS PACK-Version.02_IBREAL_BS PACK-Version.03_IBREAL_BS PACK-Version.07 2" xfId="5873" xr:uid="{00000000-0005-0000-0000-0000F1160000}"/>
    <cellStyle name="_IB Buildcon L 21.07.06_IREL(Conso)_2007-08_November-1" xfId="5874" xr:uid="{00000000-0005-0000-0000-0000F2160000}"/>
    <cellStyle name="_IB Buildcon L 21.07.06_IREL(Conso)_2007-08_November-1 2" xfId="5875" xr:uid="{00000000-0005-0000-0000-0000F3160000}"/>
    <cellStyle name="_IB Buildcon L 21.07.06_IREL(Conso)_2007-08_November-1_Abstract-2007-08" xfId="5876" xr:uid="{00000000-0005-0000-0000-0000F4160000}"/>
    <cellStyle name="_IB Buildcon L 21.07.06_IREL(Conso)_2007-08_November-1_Aug consl backup-land adv &amp; Ext ICD" xfId="5877" xr:uid="{00000000-0005-0000-0000-0000F5160000}"/>
    <cellStyle name="_IB Buildcon L 21.07.06_IREL(Conso)_2007-08_November-1_Fornax" xfId="5878" xr:uid="{00000000-0005-0000-0000-0000F6160000}"/>
    <cellStyle name="_IB Buildcon L 21.07.06_IREL(Conso)_2007-08_November-1_IREL_3000_08-09" xfId="5879" xr:uid="{00000000-0005-0000-0000-0000F7160000}"/>
    <cellStyle name="_IB Buildcon L 21.07.06_IREL(Conso)_2007-08_November-1_ISL Group - Advance Tax working for 3rd Instalment" xfId="5880" xr:uid="{00000000-0005-0000-0000-0000F8160000}"/>
    <cellStyle name="_IB Buildcon L 21.07.06_IREL(Conso)_June_07-08_30-07-08" xfId="5881" xr:uid="{00000000-0005-0000-0000-0000F9160000}"/>
    <cellStyle name="_IB Buildcon L 21.07.06_IREL(Conso)_June_07-08_30-07-08_IREL_3000_08-09" xfId="5882" xr:uid="{00000000-0005-0000-0000-0000FA160000}"/>
    <cellStyle name="_IB Buildcon L 21.07.06_IREL(Conso)_June_07-08_30-07-08_IREL_3000_08-09 2" xfId="5883" xr:uid="{00000000-0005-0000-0000-0000FB160000}"/>
    <cellStyle name="_IB Buildcon L 21.07.06_IREL(Conso)_June_07-08_30-07-08_IREL_3000_08-09 stage 3" xfId="5884" xr:uid="{00000000-0005-0000-0000-0000FC160000}"/>
    <cellStyle name="_IB Buildcon L 21.07.06_IREL(Conso)_June_07-08_30-07-08_IREL_3000_08-09 stage 3_IREL_3000_08-09" xfId="5885" xr:uid="{00000000-0005-0000-0000-0000FD160000}"/>
    <cellStyle name="_IB Buildcon L 21.07.06_IREL(Conso)_June_07-08_30-07-08_IREL_3000_08-09 stage 3_IREL_3000_08-09 2" xfId="5886" xr:uid="{00000000-0005-0000-0000-0000FE160000}"/>
    <cellStyle name="_IB Buildcon L 21.07.06_IREL(Conso)_June_07-08_30-07-08_IREL_3000_08-09_IBREAL_BS PACK-Version.02" xfId="5887" xr:uid="{00000000-0005-0000-0000-0000FF160000}"/>
    <cellStyle name="_IB Buildcon L 21.07.06_IREL(Conso)_June_07-08_30-07-08_IREL_3000_08-09_IBREAL_BS PACK-Version.02 2" xfId="5888" xr:uid="{00000000-0005-0000-0000-000000170000}"/>
    <cellStyle name="_IB Buildcon L 21.07.06_IREL(Conso)_June_07-08_30-07-08_IREL_3000_08-09_IBREAL_BS PACK-Version.02_IBREAL_BS PACK-Version.03" xfId="5889" xr:uid="{00000000-0005-0000-0000-000001170000}"/>
    <cellStyle name="_IB Buildcon L 21.07.06_IREL(Conso)_June_07-08_30-07-08_IREL_3000_08-09_IBREAL_BS PACK-Version.02_IBREAL_BS PACK-Version.03 2" xfId="5890" xr:uid="{00000000-0005-0000-0000-000002170000}"/>
    <cellStyle name="_IB Buildcon L 21.07.06_IREL(Conso)_June_07-08_30-07-08_IREL_3000_08-09_IBREAL_BS PACK-Version.02_IBREAL_BS PACK-Version.03_IBREAL_BS PACK-Version.07" xfId="5891" xr:uid="{00000000-0005-0000-0000-000003170000}"/>
    <cellStyle name="_IB Buildcon L 21.07.06_IREL(Conso)_June_07-08_30-07-08_IREL_3000_08-09_IBREAL_BS PACK-Version.02_IBREAL_BS PACK-Version.03_IBREAL_BS PACK-Version.07 2" xfId="5892" xr:uid="{00000000-0005-0000-0000-000004170000}"/>
    <cellStyle name="_IB Buildcon L 21.07.06_IREL_3000_08-09" xfId="5893" xr:uid="{00000000-0005-0000-0000-000005170000}"/>
    <cellStyle name="_IB Buildcon L 21.07.06_IREL_3000_2007-08" xfId="5894" xr:uid="{00000000-0005-0000-0000-000006170000}"/>
    <cellStyle name="_IB Buildcon L 21.07.06_IREL_3000_2007-08 2" xfId="5895" xr:uid="{00000000-0005-0000-0000-000007170000}"/>
    <cellStyle name="_IB Buildcon L 21.07.06_IREL_3000_2007-08_IREL_3000_08-09" xfId="5896" xr:uid="{00000000-0005-0000-0000-000008170000}"/>
    <cellStyle name="_IB Buildcon L 21.07.06_IRL_5002_2007-08" xfId="5897" xr:uid="{00000000-0005-0000-0000-000009170000}"/>
    <cellStyle name="_IB Buildcon L 21.07.06_IRL_5002_2008-09" xfId="5898" xr:uid="{00000000-0005-0000-0000-00000A170000}"/>
    <cellStyle name="_IB Buildcon L 21.07.06_IRL_October" xfId="5899" xr:uid="{00000000-0005-0000-0000-00000B170000}"/>
    <cellStyle name="_IB Buildcon L 21.07.06_ISL Group - Advance Tax working for 3rd Instalment" xfId="5900" xr:uid="{00000000-0005-0000-0000-00000C170000}"/>
    <cellStyle name="_IB Buildcon L 21.07.06_ISL June 09" xfId="5901" xr:uid="{00000000-0005-0000-0000-00000D170000}"/>
    <cellStyle name="_IB Buildcon L 21.07.06_ISL June 09 2" xfId="5902" xr:uid="{00000000-0005-0000-0000-00000E170000}"/>
    <cellStyle name="_IB Buildcon L 21.07.06_ISL June 09_ISL__3CD_FY2010-11" xfId="5903" xr:uid="{00000000-0005-0000-0000-00000F170000}"/>
    <cellStyle name="_IB Buildcon L 21.07.06_ISL Rev" xfId="5904" xr:uid="{00000000-0005-0000-0000-000010170000}"/>
    <cellStyle name="_IB Buildcon L 21.07.06_ISL Rev 2" xfId="5905" xr:uid="{00000000-0005-0000-0000-000011170000}"/>
    <cellStyle name="_IB Buildcon L 21.07.06_ISL Rev_ISL__3CD_FY2010-11" xfId="5906" xr:uid="{00000000-0005-0000-0000-000012170000}"/>
    <cellStyle name="_IB Buildcon L 21.07.06_ISL Rev_Results" xfId="5907" xr:uid="{00000000-0005-0000-0000-000013170000}"/>
    <cellStyle name="_IB Buildcon L 21.07.06_ISL Rev_Results 2" xfId="5908" xr:uid="{00000000-0005-0000-0000-000014170000}"/>
    <cellStyle name="_IB Buildcon L 21.07.06_ISL Rev_Xl0000012" xfId="5909" xr:uid="{00000000-0005-0000-0000-000015170000}"/>
    <cellStyle name="_IB Buildcon L 21.07.06_ISL Rev_Xl0000012 2" xfId="5910" xr:uid="{00000000-0005-0000-0000-000016170000}"/>
    <cellStyle name="_IB Buildcon L 21.07.06_ISL_ Adv Tax 2009-10 Q3" xfId="5911" xr:uid="{00000000-0005-0000-0000-000017170000}"/>
    <cellStyle name="_IB Buildcon L 21.07.06_ISL_BS_03.03.2009" xfId="5912" xr:uid="{00000000-0005-0000-0000-000018170000}"/>
    <cellStyle name="_IB Buildcon L 21.07.06_ISL_BS_03.03.2009 2" xfId="5913" xr:uid="{00000000-0005-0000-0000-000019170000}"/>
    <cellStyle name="_IB Buildcon L 21.07.06_ISL_BS_03.03.2009_ISL__3CD_FY2010-11" xfId="5914" xr:uid="{00000000-0005-0000-0000-00001A170000}"/>
    <cellStyle name="_IB Buildcon L 21.07.06_ISL_BS_08.03.2009" xfId="5915" xr:uid="{00000000-0005-0000-0000-00001B170000}"/>
    <cellStyle name="_IB Buildcon L 21.07.06_ISL_BS_08.03.2009 2" xfId="5916" xr:uid="{00000000-0005-0000-0000-00001C170000}"/>
    <cellStyle name="_IB Buildcon L 21.07.06_ISL_BS_08.03.2009_ISL__3CD_FY2010-11" xfId="5917" xr:uid="{00000000-0005-0000-0000-00001D170000}"/>
    <cellStyle name="_IB Buildcon L 21.07.06_ISL_BS_15.03.2009" xfId="5918" xr:uid="{00000000-0005-0000-0000-00001E170000}"/>
    <cellStyle name="_IB Buildcon L 21.07.06_ISL_BS_15.03.2009 2" xfId="5919" xr:uid="{00000000-0005-0000-0000-00001F170000}"/>
    <cellStyle name="_IB Buildcon L 21.07.06_ISL_BS_15.03.2009_ISL__3CD_FY2010-11" xfId="5920" xr:uid="{00000000-0005-0000-0000-000020170000}"/>
    <cellStyle name="_IB Buildcon L 21.07.06_ISL_BS_2008-09- First Cut" xfId="5921" xr:uid="{00000000-0005-0000-0000-000021170000}"/>
    <cellStyle name="_IB Buildcon L 21.07.06_ISL_BS_2008-09- First Cut 2" xfId="5922" xr:uid="{00000000-0005-0000-0000-000022170000}"/>
    <cellStyle name="_IB Buildcon L 21.07.06_ISL_BS_2008-09- First Cut_ISL__3CD_FY2010-11" xfId="5923" xr:uid="{00000000-0005-0000-0000-000023170000}"/>
    <cellStyle name="_IB Buildcon L 21.07.06_ISL_BS_21.09.2009" xfId="5924" xr:uid="{00000000-0005-0000-0000-000024170000}"/>
    <cellStyle name="_IB Buildcon L 21.07.06_ISL_BS_21.09.2009 2" xfId="5925" xr:uid="{00000000-0005-0000-0000-000025170000}"/>
    <cellStyle name="_IB Buildcon L 21.07.06_ISL_BS_23.02.2009" xfId="5926" xr:uid="{00000000-0005-0000-0000-000026170000}"/>
    <cellStyle name="_IB Buildcon L 21.07.06_ISL_BS_23.02.2009 2" xfId="5927" xr:uid="{00000000-0005-0000-0000-000027170000}"/>
    <cellStyle name="_IB Buildcon L 21.07.06_ISL_BS_23.02.2009_ISL__3CD_FY2010-11" xfId="5928" xr:uid="{00000000-0005-0000-0000-000028170000}"/>
    <cellStyle name="_IB Buildcon L 21.07.06_ISL_BS_24.02.2009" xfId="5929" xr:uid="{00000000-0005-0000-0000-000029170000}"/>
    <cellStyle name="_IB Buildcon L 21.07.06_ISL_BS_24.02.2009 2" xfId="5930" xr:uid="{00000000-0005-0000-0000-00002A170000}"/>
    <cellStyle name="_IB Buildcon L 21.07.06_ISL_BS_24.02.2009_ISL__3CD_FY2010-11" xfId="5931" xr:uid="{00000000-0005-0000-0000-00002B170000}"/>
    <cellStyle name="_IB Buildcon L 21.07.06_ISL_BS_Aug 09" xfId="5932" xr:uid="{00000000-0005-0000-0000-00002C170000}"/>
    <cellStyle name="_IB Buildcon L 21.07.06_ISL_BS_Aug 09 2" xfId="5933" xr:uid="{00000000-0005-0000-0000-00002D170000}"/>
    <cellStyle name="_IB Buildcon L 21.07.06_ISL_BS_Aug 09.z" xfId="5934" xr:uid="{00000000-0005-0000-0000-00002E170000}"/>
    <cellStyle name="_IB Buildcon L 21.07.06_ISL_BS_Aug 09.z 2" xfId="5935" xr:uid="{00000000-0005-0000-0000-00002F170000}"/>
    <cellStyle name="_IB Buildcon L 21.07.06_ISL_BS_Aug 09.z_ISL__3CD_FY2010-11" xfId="5936" xr:uid="{00000000-0005-0000-0000-000030170000}"/>
    <cellStyle name="_IB Buildcon L 21.07.06_ISL_BS_Aug 09_ISL__3CD_FY2010-11" xfId="5937" xr:uid="{00000000-0005-0000-0000-000031170000}"/>
    <cellStyle name="_IB Buildcon L 21.07.06_ISL_Conso_09_10_Other working" xfId="5938" xr:uid="{00000000-0005-0000-0000-000032170000}"/>
    <cellStyle name="_IB Buildcon L 21.07.06_ISL_Conso_09_10_Other working 2" xfId="5939" xr:uid="{00000000-0005-0000-0000-000033170000}"/>
    <cellStyle name="_IB Buildcon L 21.07.06_ISL_conso_August_09_10" xfId="5940" xr:uid="{00000000-0005-0000-0000-000034170000}"/>
    <cellStyle name="_IB Buildcon L 21.07.06_ISL_conso_August_09_10 2" xfId="5941" xr:uid="{00000000-0005-0000-0000-000035170000}"/>
    <cellStyle name="_IB Buildcon L 21.07.06_ISL_conso_August_09_10_ISL__3CD_FY2010-11" xfId="5942" xr:uid="{00000000-0005-0000-0000-000036170000}"/>
    <cellStyle name="_IB Buildcon L 21.07.06_ISL_conso_August_10_11" xfId="5943" xr:uid="{00000000-0005-0000-0000-000037170000}"/>
    <cellStyle name="_IB Buildcon L 21.07.06_ISL_conso_August_10_11 2" xfId="5944" xr:uid="{00000000-0005-0000-0000-000038170000}"/>
    <cellStyle name="_IB Buildcon L 21.07.06_ISL_conso_December_08_09" xfId="5945" xr:uid="{00000000-0005-0000-0000-000039170000}"/>
    <cellStyle name="_IB Buildcon L 21.07.06_ISL_conso_December_08_09 2" xfId="5946" xr:uid="{00000000-0005-0000-0000-00003A170000}"/>
    <cellStyle name="_IB Buildcon L 21.07.06_ISL_conso_December_08_09_ISL__3CD_FY2010-11" xfId="5947" xr:uid="{00000000-0005-0000-0000-00003B170000}"/>
    <cellStyle name="_IB Buildcon L 21.07.06_ISL_conso_December_08_09_Results" xfId="5948" xr:uid="{00000000-0005-0000-0000-00003C170000}"/>
    <cellStyle name="_IB Buildcon L 21.07.06_ISL_conso_December_08_09_Results 2" xfId="5949" xr:uid="{00000000-0005-0000-0000-00003D170000}"/>
    <cellStyle name="_IB Buildcon L 21.07.06_ISL_conso_December_08_09_Xl0000012" xfId="5950" xr:uid="{00000000-0005-0000-0000-00003E170000}"/>
    <cellStyle name="_IB Buildcon L 21.07.06_ISL_conso_December_08_09_Xl0000012 2" xfId="5951" xr:uid="{00000000-0005-0000-0000-00003F170000}"/>
    <cellStyle name="_IB Buildcon L 21.07.06_ISL_conso_December_09_10" xfId="5952" xr:uid="{00000000-0005-0000-0000-000040170000}"/>
    <cellStyle name="_IB Buildcon L 21.07.06_ISL_conso_December_09_10 2" xfId="5953" xr:uid="{00000000-0005-0000-0000-000041170000}"/>
    <cellStyle name="_IB Buildcon L 21.07.06_ISL_conso_December_09_10_ISL__3CD_FY2010-11" xfId="5954" xr:uid="{00000000-0005-0000-0000-000042170000}"/>
    <cellStyle name="_IB Buildcon L 21.07.06_ISL_conso_December_10_11" xfId="5955" xr:uid="{00000000-0005-0000-0000-000043170000}"/>
    <cellStyle name="_IB Buildcon L 21.07.06_ISL_conso_December_10_11 2" xfId="5956" xr:uid="{00000000-0005-0000-0000-000044170000}"/>
    <cellStyle name="_IB Buildcon L 21.07.06_ISL_conso_February_09_10" xfId="5957" xr:uid="{00000000-0005-0000-0000-000045170000}"/>
    <cellStyle name="_IB Buildcon L 21.07.06_ISL_conso_February_09_10 2" xfId="5958" xr:uid="{00000000-0005-0000-0000-000046170000}"/>
    <cellStyle name="_IB Buildcon L 21.07.06_ISL_conso_January_09_10" xfId="5959" xr:uid="{00000000-0005-0000-0000-000047170000}"/>
    <cellStyle name="_IB Buildcon L 21.07.06_ISL_conso_January_09_10 2" xfId="5960" xr:uid="{00000000-0005-0000-0000-000048170000}"/>
    <cellStyle name="_IB Buildcon L 21.07.06_ISL_conso_July_08_09" xfId="5961" xr:uid="{00000000-0005-0000-0000-000049170000}"/>
    <cellStyle name="_IB Buildcon L 21.07.06_ISL_conso_July_08_09 2" xfId="5962" xr:uid="{00000000-0005-0000-0000-00004A170000}"/>
    <cellStyle name="_IB Buildcon L 21.07.06_ISL_conso_July_08_09_ISL__3CD_FY2010-11" xfId="5963" xr:uid="{00000000-0005-0000-0000-00004B170000}"/>
    <cellStyle name="_IB Buildcon L 21.07.06_ISL_conso_July_08_09_Results" xfId="5964" xr:uid="{00000000-0005-0000-0000-00004C170000}"/>
    <cellStyle name="_IB Buildcon L 21.07.06_ISL_conso_July_08_09_Results 2" xfId="5965" xr:uid="{00000000-0005-0000-0000-00004D170000}"/>
    <cellStyle name="_IB Buildcon L 21.07.06_ISL_conso_July_08_09_Xl0000012" xfId="5966" xr:uid="{00000000-0005-0000-0000-00004E170000}"/>
    <cellStyle name="_IB Buildcon L 21.07.06_ISL_conso_July_08_09_Xl0000012 2" xfId="5967" xr:uid="{00000000-0005-0000-0000-00004F170000}"/>
    <cellStyle name="_IB Buildcon L 21.07.06_ISL_conso_July_09_10" xfId="5968" xr:uid="{00000000-0005-0000-0000-000050170000}"/>
    <cellStyle name="_IB Buildcon L 21.07.06_ISL_conso_July_09_10 2" xfId="5969" xr:uid="{00000000-0005-0000-0000-000051170000}"/>
    <cellStyle name="_IB Buildcon L 21.07.06_ISL_conso_July_09_10_ISL__3CD_FY2010-11" xfId="5970" xr:uid="{00000000-0005-0000-0000-000052170000}"/>
    <cellStyle name="_IB Buildcon L 21.07.06_ISL_conso_July_10_11" xfId="5971" xr:uid="{00000000-0005-0000-0000-000053170000}"/>
    <cellStyle name="_IB Buildcon L 21.07.06_ISL_conso_July_10_11 2" xfId="5972" xr:uid="{00000000-0005-0000-0000-000054170000}"/>
    <cellStyle name="_IB Buildcon L 21.07.06_ISL_conso_June_09_10" xfId="5973" xr:uid="{00000000-0005-0000-0000-000055170000}"/>
    <cellStyle name="_IB Buildcon L 21.07.06_ISL_conso_June_09_10 2" xfId="5974" xr:uid="{00000000-0005-0000-0000-000056170000}"/>
    <cellStyle name="_IB Buildcon L 21.07.06_ISL_conso_June_09_10_ISL__3CD_FY2010-11" xfId="5975" xr:uid="{00000000-0005-0000-0000-000057170000}"/>
    <cellStyle name="_IB Buildcon L 21.07.06_ISL_conso_June_10_11" xfId="5976" xr:uid="{00000000-0005-0000-0000-000058170000}"/>
    <cellStyle name="_IB Buildcon L 21.07.06_ISL_conso_June_10_11 2" xfId="5977" xr:uid="{00000000-0005-0000-0000-000059170000}"/>
    <cellStyle name="_IB Buildcon L 21.07.06_ISL_conso_March_08_09" xfId="5978" xr:uid="{00000000-0005-0000-0000-00005A170000}"/>
    <cellStyle name="_IB Buildcon L 21.07.06_ISL_conso_March_08_09 2" xfId="5979" xr:uid="{00000000-0005-0000-0000-00005B170000}"/>
    <cellStyle name="_IB Buildcon L 21.07.06_ISL_conso_March_08_09_ISL__3CD_FY2010-11" xfId="5980" xr:uid="{00000000-0005-0000-0000-00005C170000}"/>
    <cellStyle name="_IB Buildcon L 21.07.06_ISL_conso_March_09_10" xfId="5981" xr:uid="{00000000-0005-0000-0000-00005D170000}"/>
    <cellStyle name="_IB Buildcon L 21.07.06_ISL_conso_March_09_10 2" xfId="5982" xr:uid="{00000000-0005-0000-0000-00005E170000}"/>
    <cellStyle name="_IB Buildcon L 21.07.06_ISL_conso_May_09_10" xfId="5983" xr:uid="{00000000-0005-0000-0000-00005F170000}"/>
    <cellStyle name="_IB Buildcon L 21.07.06_ISL_conso_May_09_10 2" xfId="5984" xr:uid="{00000000-0005-0000-0000-000060170000}"/>
    <cellStyle name="_IB Buildcon L 21.07.06_ISL_conso_May_09_10_ISL__3CD_FY2010-11" xfId="5985" xr:uid="{00000000-0005-0000-0000-000061170000}"/>
    <cellStyle name="_IB Buildcon L 21.07.06_ISL_conso_May_10_11" xfId="5986" xr:uid="{00000000-0005-0000-0000-000062170000}"/>
    <cellStyle name="_IB Buildcon L 21.07.06_ISL_conso_May_10_11 2" xfId="5987" xr:uid="{00000000-0005-0000-0000-000063170000}"/>
    <cellStyle name="_IB Buildcon L 21.07.06_ISL_conso_November_09_10" xfId="5988" xr:uid="{00000000-0005-0000-0000-000064170000}"/>
    <cellStyle name="_IB Buildcon L 21.07.06_ISL_conso_November_09_10 2" xfId="5989" xr:uid="{00000000-0005-0000-0000-000065170000}"/>
    <cellStyle name="_IB Buildcon L 21.07.06_ISL_conso_November_09_10_ISL__3CD_FY2010-11" xfId="5990" xr:uid="{00000000-0005-0000-0000-000066170000}"/>
    <cellStyle name="_IB Buildcon L 21.07.06_ISL_conso_November_10_11" xfId="5991" xr:uid="{00000000-0005-0000-0000-000067170000}"/>
    <cellStyle name="_IB Buildcon L 21.07.06_ISL_conso_November_10_11 2" xfId="5992" xr:uid="{00000000-0005-0000-0000-000068170000}"/>
    <cellStyle name="_IB Buildcon L 21.07.06_ISL_conso_October_09_10" xfId="5993" xr:uid="{00000000-0005-0000-0000-000069170000}"/>
    <cellStyle name="_IB Buildcon L 21.07.06_ISL_conso_October_09_10 2" xfId="5994" xr:uid="{00000000-0005-0000-0000-00006A170000}"/>
    <cellStyle name="_IB Buildcon L 21.07.06_ISL_conso_October_09_10_ISL__3CD_FY2010-11" xfId="5995" xr:uid="{00000000-0005-0000-0000-00006B170000}"/>
    <cellStyle name="_IB Buildcon L 21.07.06_ISL_conso_October_10_11" xfId="5996" xr:uid="{00000000-0005-0000-0000-00006C170000}"/>
    <cellStyle name="_IB Buildcon L 21.07.06_ISL_conso_October_10_11 2" xfId="5997" xr:uid="{00000000-0005-0000-0000-00006D170000}"/>
    <cellStyle name="_IB Buildcon L 21.07.06_ISL_conso_September_08_09" xfId="5998" xr:uid="{00000000-0005-0000-0000-00006E170000}"/>
    <cellStyle name="_IB Buildcon L 21.07.06_ISL_conso_September_08_09 2" xfId="5999" xr:uid="{00000000-0005-0000-0000-00006F170000}"/>
    <cellStyle name="_IB Buildcon L 21.07.06_ISL_conso_September_08_09_ISL__3CD_FY2010-11" xfId="6000" xr:uid="{00000000-0005-0000-0000-000070170000}"/>
    <cellStyle name="_IB Buildcon L 21.07.06_ISL_conso_September_08_09_Results" xfId="6001" xr:uid="{00000000-0005-0000-0000-000071170000}"/>
    <cellStyle name="_IB Buildcon L 21.07.06_ISL_conso_September_08_09_Results 2" xfId="6002" xr:uid="{00000000-0005-0000-0000-000072170000}"/>
    <cellStyle name="_IB Buildcon L 21.07.06_ISL_conso_September_08_09_Xl0000012" xfId="6003" xr:uid="{00000000-0005-0000-0000-000073170000}"/>
    <cellStyle name="_IB Buildcon L 21.07.06_ISL_conso_September_08_09_Xl0000012 2" xfId="6004" xr:uid="{00000000-0005-0000-0000-000074170000}"/>
    <cellStyle name="_IB Buildcon L 21.07.06_ISL_conso_September_09_10" xfId="6005" xr:uid="{00000000-0005-0000-0000-000075170000}"/>
    <cellStyle name="_IB Buildcon L 21.07.06_ISL_conso_September_09_10 2" xfId="6006" xr:uid="{00000000-0005-0000-0000-000076170000}"/>
    <cellStyle name="_IB Buildcon L 21.07.06_ISL_conso_September_09_10_ISL__3CD_FY2010-11" xfId="6007" xr:uid="{00000000-0005-0000-0000-000077170000}"/>
    <cellStyle name="_IB Buildcon L 21.07.06_ISL_conso_September_10_11" xfId="6008" xr:uid="{00000000-0005-0000-0000-000078170000}"/>
    <cellStyle name="_IB Buildcon L 21.07.06_ISL_conso_September_10_11 2" xfId="6009" xr:uid="{00000000-0005-0000-0000-000079170000}"/>
    <cellStyle name="_IB Buildcon L 21.07.06_ISL_June_10" xfId="6010" xr:uid="{00000000-0005-0000-0000-00007A170000}"/>
    <cellStyle name="_IB Buildcon L 21.07.06_ISL_June_10 2" xfId="6011" xr:uid="{00000000-0005-0000-0000-00007B170000}"/>
    <cellStyle name="_IB Buildcon L 21.07.06_ISL_MAR_2008_09" xfId="6012" xr:uid="{00000000-0005-0000-0000-00007C170000}"/>
    <cellStyle name="_IB Buildcon L 21.07.06_ISL_March_08_09.final_11.12.2009" xfId="6013" xr:uid="{00000000-0005-0000-0000-00007D170000}"/>
    <cellStyle name="_IB Buildcon L 21.07.06_ISL_March_08_09.final_11.12.2009_ISL__3CD_FY2010-11" xfId="6014" xr:uid="{00000000-0005-0000-0000-00007E170000}"/>
    <cellStyle name="_IB Buildcon L 21.07.06_ISL_Provisions_30.09.2010" xfId="6015" xr:uid="{00000000-0005-0000-0000-00007F170000}"/>
    <cellStyle name="_IB Buildcon L 21.07.06_ITCL_BS working _New format_31.03 V7" xfId="6016" xr:uid="{00000000-0005-0000-0000-000080170000}"/>
    <cellStyle name="_IB Buildcon L 21.07.06_ITCL-New format_31.03 V6" xfId="6017" xr:uid="{00000000-0005-0000-0000-000081170000}"/>
    <cellStyle name="_IB Buildcon L 21.07.06_ITR6_2009_10_ICPL1" xfId="6018" xr:uid="{00000000-0005-0000-0000-000082170000}"/>
    <cellStyle name="_IB Buildcon L 21.07.06_ITR6_2009_10_ICPL1_ISL__3CD_FY2010-11" xfId="6019" xr:uid="{00000000-0005-0000-0000-000083170000}"/>
    <cellStyle name="_IB Buildcon L 21.07.06_ITR6_2009_10_ISL_Vivek" xfId="6020" xr:uid="{00000000-0005-0000-0000-000084170000}"/>
    <cellStyle name="_IB Buildcon L 21.07.06_ITR6_2009_10_ISL_Vivek_ISL__3CD_FY2010-11" xfId="6021" xr:uid="{00000000-0005-0000-0000-000085170000}"/>
    <cellStyle name="_IB Buildcon L 21.07.06_July Consolidation" xfId="6022" xr:uid="{00000000-0005-0000-0000-000086170000}"/>
    <cellStyle name="_IB Buildcon L 21.07.06_Land  CWIP status" xfId="6023" xr:uid="{00000000-0005-0000-0000-000087170000}"/>
    <cellStyle name="_IB Buildcon L 21.07.06_Land Control Sheet Aug 31.08 - Recon" xfId="6024" xr:uid="{00000000-0005-0000-0000-000088170000}"/>
    <cellStyle name="_IB Buildcon L 21.07.06_Land Control Sheet Sep 26.08" xfId="6025" xr:uid="{00000000-0005-0000-0000-000089170000}"/>
    <cellStyle name="_IB Buildcon L 21.07.06_loan" xfId="6026" xr:uid="{00000000-0005-0000-0000-00008A170000}"/>
    <cellStyle name="_IB Buildcon L 21.07.06_loan_ISL__3CD_FY2010-11" xfId="6027" xr:uid="{00000000-0005-0000-0000-00008B170000}"/>
    <cellStyle name="_IB Buildcon L 21.07.06_NFCL working file" xfId="6028" xr:uid="{00000000-0005-0000-0000-00008C170000}"/>
    <cellStyle name="_IB Buildcon L 21.07.06_NFCL_ Tax Audit Report FY08-09 " xfId="6029" xr:uid="{00000000-0005-0000-0000-00008D170000}"/>
    <cellStyle name="_IB Buildcon L 21.07.06_Power Group - Advance Tax working for 3rd Installment" xfId="6030" xr:uid="{00000000-0005-0000-0000-00008E170000}"/>
    <cellStyle name="_IB Buildcon L 21.07.06_Provision" xfId="6031" xr:uid="{00000000-0005-0000-0000-00008F170000}"/>
    <cellStyle name="_IB Buildcon L 21.07.06_Provision for Exp - FY 0809" xfId="6032" xr:uid="{00000000-0005-0000-0000-000090170000}"/>
    <cellStyle name="_IB Buildcon L 21.07.06_Provision for Exp - FY 0809_ISL__3CD_FY2010-11" xfId="6033" xr:uid="{00000000-0005-0000-0000-000091170000}"/>
    <cellStyle name="_IB Buildcon L 21.07.06_Provision March 09 (1)" xfId="6034" xr:uid="{00000000-0005-0000-0000-000092170000}"/>
    <cellStyle name="_IB Buildcon L 21.07.06_provisions q3" xfId="6035" xr:uid="{00000000-0005-0000-0000-000093170000}"/>
    <cellStyle name="_IB Buildcon L 21.07.06_Result" xfId="6036" xr:uid="{00000000-0005-0000-0000-000094170000}"/>
    <cellStyle name="_IB Buildcon L 21.07.06_Result 2" xfId="6037" xr:uid="{00000000-0005-0000-0000-000095170000}"/>
    <cellStyle name="_IB Buildcon L 21.07.06_Results" xfId="6038" xr:uid="{00000000-0005-0000-0000-000096170000}"/>
    <cellStyle name="_IB Buildcon L 21.07.06_Results  Format - Sep 30" xfId="6039" xr:uid="{00000000-0005-0000-0000-000097170000}"/>
    <cellStyle name="_IB Buildcon L 21.07.06_Results  Format - Sep 30_EPS working" xfId="6040" xr:uid="{00000000-0005-0000-0000-000098170000}"/>
    <cellStyle name="_IB Buildcon L 21.07.06_Results  Format - Sep 30_EPS working 2" xfId="6041" xr:uid="{00000000-0005-0000-0000-000099170000}"/>
    <cellStyle name="_IB Buildcon L 21.07.06_Results  Format - Sep 30_EPS working_IBREAL_BS PACK-Version.02" xfId="6042" xr:uid="{00000000-0005-0000-0000-00009A170000}"/>
    <cellStyle name="_IB Buildcon L 21.07.06_Results  Format - Sep 30_EPS working_IBREAL_BS PACK-Version.02 2" xfId="6043" xr:uid="{00000000-0005-0000-0000-00009B170000}"/>
    <cellStyle name="_IB Buildcon L 21.07.06_Results  Format - Sep 30_EPS working_IBREAL_BS PACK-Version.02_IBREAL_BS PACK-Version.03" xfId="6044" xr:uid="{00000000-0005-0000-0000-00009C170000}"/>
    <cellStyle name="_IB Buildcon L 21.07.06_Results  Format - Sep 30_EPS working_IBREAL_BS PACK-Version.02_IBREAL_BS PACK-Version.03 2" xfId="6045" xr:uid="{00000000-0005-0000-0000-00009D170000}"/>
    <cellStyle name="_IB Buildcon L 21.07.06_Results  Format - Sep 30_EPS working_IBREAL_BS PACK-Version.02_IBREAL_BS PACK-Version.03_IBREAL_BS PACK-Version.07" xfId="6046" xr:uid="{00000000-0005-0000-0000-00009E170000}"/>
    <cellStyle name="_IB Buildcon L 21.07.06_Results  Format - Sep 30_EPS working_IBREAL_BS PACK-Version.02_IBREAL_BS PACK-Version.03_IBREAL_BS PACK-Version.07 2" xfId="6047" xr:uid="{00000000-0005-0000-0000-00009F170000}"/>
    <cellStyle name="_IB Buildcon L 21.07.06_Results  Format - Sep 30_IREL_3000_08-09" xfId="6048" xr:uid="{00000000-0005-0000-0000-0000A0170000}"/>
    <cellStyle name="_IB Buildcon L 21.07.06_Results  Format - Sep 30_IREL_3000_08-09 2" xfId="6049" xr:uid="{00000000-0005-0000-0000-0000A1170000}"/>
    <cellStyle name="_IB Buildcon L 21.07.06_Results  Format - Sep 30_IREL_3000_08-09 stage 3" xfId="6050" xr:uid="{00000000-0005-0000-0000-0000A2170000}"/>
    <cellStyle name="_IB Buildcon L 21.07.06_Results  Format - Sep 30_IREL_3000_08-09 stage 3_IREL_3000_08-09" xfId="6051" xr:uid="{00000000-0005-0000-0000-0000A3170000}"/>
    <cellStyle name="_IB Buildcon L 21.07.06_Results  Format - Sep 30_IREL_3000_08-09 stage 3_IREL_3000_08-09 2" xfId="6052" xr:uid="{00000000-0005-0000-0000-0000A4170000}"/>
    <cellStyle name="_IB Buildcon L 21.07.06_Results  Format - Sep 30_IREL_3000_08-09_IBREAL_BS PACK-Version.02" xfId="6053" xr:uid="{00000000-0005-0000-0000-0000A5170000}"/>
    <cellStyle name="_IB Buildcon L 21.07.06_Results  Format - Sep 30_IREL_3000_08-09_IBREAL_BS PACK-Version.02 2" xfId="6054" xr:uid="{00000000-0005-0000-0000-0000A6170000}"/>
    <cellStyle name="_IB Buildcon L 21.07.06_Results  Format - Sep 30_IREL_3000_08-09_IBREAL_BS PACK-Version.02_IBREAL_BS PACK-Version.03" xfId="6055" xr:uid="{00000000-0005-0000-0000-0000A7170000}"/>
    <cellStyle name="_IB Buildcon L 21.07.06_Results  Format - Sep 30_IREL_3000_08-09_IBREAL_BS PACK-Version.02_IBREAL_BS PACK-Version.03 2" xfId="6056" xr:uid="{00000000-0005-0000-0000-0000A8170000}"/>
    <cellStyle name="_IB Buildcon L 21.07.06_Results  Format - Sep 30_IREL_3000_08-09_IBREAL_BS PACK-Version.02_IBREAL_BS PACK-Version.03_IBREAL_BS PACK-Version.07" xfId="6057" xr:uid="{00000000-0005-0000-0000-0000A9170000}"/>
    <cellStyle name="_IB Buildcon L 21.07.06_Results  Format - Sep 30_IREL_3000_08-09_IBREAL_BS PACK-Version.02_IBREAL_BS PACK-Version.03_IBREAL_BS PACK-Version.07 2" xfId="6058" xr:uid="{00000000-0005-0000-0000-0000AA170000}"/>
    <cellStyle name="_IB Buildcon L 21.07.06_Results  Format - Sep 30_IREL_3000_2009-29_July2009  Final Shahi" xfId="6059" xr:uid="{00000000-0005-0000-0000-0000AB170000}"/>
    <cellStyle name="_IB Buildcon L 21.07.06_Results  Format - Sep 30_IREL_3000_2009-29_July2009  Final Shahi 2" xfId="6060" xr:uid="{00000000-0005-0000-0000-0000AC170000}"/>
    <cellStyle name="_IB Buildcon L 21.07.06_Results  Format - Sep 30_IREL_3000_2009-29_July2009  Final Shahi_IBREAL_BS PACK-Version.02" xfId="6061" xr:uid="{00000000-0005-0000-0000-0000AD170000}"/>
    <cellStyle name="_IB Buildcon L 21.07.06_Results  Format - Sep 30_IREL_3000_2009-29_July2009  Final Shahi_IBREAL_BS PACK-Version.02 2" xfId="6062" xr:uid="{00000000-0005-0000-0000-0000AE170000}"/>
    <cellStyle name="_IB Buildcon L 21.07.06_Results  Format - Sep 30_IREL_3000_2009-29_July2009  Final Shahi_IBREAL_BS PACK-Version.02_IBREAL_BS PACK-Version.03" xfId="6063" xr:uid="{00000000-0005-0000-0000-0000AF170000}"/>
    <cellStyle name="_IB Buildcon L 21.07.06_Results  Format - Sep 30_IREL_3000_2009-29_July2009  Final Shahi_IBREAL_BS PACK-Version.02_IBREAL_BS PACK-Version.03 2" xfId="6064" xr:uid="{00000000-0005-0000-0000-0000B0170000}"/>
    <cellStyle name="_IB Buildcon L 21.07.06_Results  Format - Sep 30_IREL_3000_2009-29_July2009  Final Shahi_IBREAL_BS PACK-Version.02_IBREAL_BS PACK-Version.03_IBREAL_BS PACK-Version.07" xfId="6065" xr:uid="{00000000-0005-0000-0000-0000B1170000}"/>
    <cellStyle name="_IB Buildcon L 21.07.06_Results  Format - Sep 30_IREL_3000_2009-29_July2009  Final Shahi_IBREAL_BS PACK-Version.02_IBREAL_BS PACK-Version.03_IBREAL_BS PACK-Version.07 2" xfId="6066" xr:uid="{00000000-0005-0000-0000-0000B2170000}"/>
    <cellStyle name="_IB Buildcon L 21.07.06_Results 2" xfId="6067" xr:uid="{00000000-0005-0000-0000-0000B3170000}"/>
    <cellStyle name="_IB Buildcon L 21.07.06_Results 3" xfId="6068" xr:uid="{00000000-0005-0000-0000-0000B4170000}"/>
    <cellStyle name="_IB Buildcon L 21.07.06_Results 4" xfId="6069" xr:uid="{00000000-0005-0000-0000-0000B5170000}"/>
    <cellStyle name="_IB Buildcon L 21.07.06_Results 5" xfId="6070" xr:uid="{00000000-0005-0000-0000-0000B6170000}"/>
    <cellStyle name="_IB Buildcon L 21.07.06_Results 6" xfId="6071" xr:uid="{00000000-0005-0000-0000-0000B7170000}"/>
    <cellStyle name="_IB Buildcon L 21.07.06_Results 7" xfId="6072" xr:uid="{00000000-0005-0000-0000-0000B8170000}"/>
    <cellStyle name="_IB Buildcon L 21.07.06_Results 8" xfId="6073" xr:uid="{00000000-0005-0000-0000-0000B9170000}"/>
    <cellStyle name="_IB Buildcon L 21.07.06_Results 9" xfId="6074" xr:uid="{00000000-0005-0000-0000-0000BA170000}"/>
    <cellStyle name="_IB Buildcon L 21.07.06_Revised Consol Balance Sheet_Sophia_Jan09_10.02.2009" xfId="6075" xr:uid="{00000000-0005-0000-0000-0000BB170000}"/>
    <cellStyle name="_IB Buildcon L 21.07.06_SCH" xfId="6076" xr:uid="{00000000-0005-0000-0000-0000BC170000}"/>
    <cellStyle name="_IB Buildcon L 21.07.06_SCH_Tax Audit Report  ICSL F.Y.09-10" xfId="6077" xr:uid="{00000000-0005-0000-0000-0000BD170000}"/>
    <cellStyle name="_IB Buildcon L 21.07.06_Sheet2" xfId="6078" xr:uid="{00000000-0005-0000-0000-0000BE170000}"/>
    <cellStyle name="_IB Buildcon L 21.07.06_Sheet4" xfId="6079" xr:uid="{00000000-0005-0000-0000-0000BF170000}"/>
    <cellStyle name="_IB Buildcon L 21.07.06_Sophia Consol for Printout 22 Jun 09" xfId="6080" xr:uid="{00000000-0005-0000-0000-0000C0170000}"/>
    <cellStyle name="_IB Buildcon L 21.07.06_Sophia Consol_march_09_05 June  09_1" xfId="6081" xr:uid="{00000000-0005-0000-0000-0000C1170000}"/>
    <cellStyle name="_IB Buildcon L 21.07.06_sophia_Nov08" xfId="6082" xr:uid="{00000000-0005-0000-0000-0000C2170000}"/>
    <cellStyle name="_IB Buildcon L 21.07.06_Standalone Financials - March 31, 2010 - Printable" xfId="6083" xr:uid="{00000000-0005-0000-0000-0000C3170000}"/>
    <cellStyle name="_IB Buildcon L 21.07.06_Standalone Financials - March 31, 2010 - Printable_ISL__3CD_FY2010-11" xfId="6084" xr:uid="{00000000-0005-0000-0000-0000C4170000}"/>
    <cellStyle name="_IB Buildcon L 21.07.06_Tax Audit Report  F.Y.08-09" xfId="6085" xr:uid="{00000000-0005-0000-0000-0000C5170000}"/>
    <cellStyle name="_IB Buildcon L 21.07.06_Tax Audit Report  ICSL F.Y.09-10" xfId="6086" xr:uid="{00000000-0005-0000-0000-0000C6170000}"/>
    <cellStyle name="_IB Buildcon L 21.07.06_TB Sept" xfId="6087" xr:uid="{00000000-0005-0000-0000-0000C7170000}"/>
    <cellStyle name="_IB Buildcon L 21.07.06_TB Sept_Tax Audit Report  ICSL F.Y.09-10" xfId="6088" xr:uid="{00000000-0005-0000-0000-0000C8170000}"/>
    <cellStyle name="_IB Buildcon L 21.07.06_Treasury ICD Interest_ MIS_ 23  09 2009(final)" xfId="6089" xr:uid="{00000000-0005-0000-0000-0000C9170000}"/>
    <cellStyle name="_IB Buildcon L 21.07.06_Treasury ICD Interest_ MIS_ 30. 06 2009(final)" xfId="6090" xr:uid="{00000000-0005-0000-0000-0000CA170000}"/>
    <cellStyle name="_IB Buildcon L 21.07.06_Treasury ICD Interest_ MIS_ 30. 09 2009(final)" xfId="6091" xr:uid="{00000000-0005-0000-0000-0000CB170000}"/>
    <cellStyle name="_IB Buildcon L 21.07.06_Treasury ICD Interest_ MIS_ 31 05 2009" xfId="6092" xr:uid="{00000000-0005-0000-0000-0000CC170000}"/>
    <cellStyle name="_IB Buildcon L 21.07.06_Treasury ICD Interest_ MIS_ 31 10 2009" xfId="6093" xr:uid="{00000000-0005-0000-0000-0000CD170000}"/>
    <cellStyle name="_IB Buildcon L 21.07.06_Treasury ICD Interest_ MIS_ 31.10.2009" xfId="6094" xr:uid="{00000000-0005-0000-0000-0000CE170000}"/>
    <cellStyle name="_IB Buildcon L 21.07.06_Treasury ICD Interest_ MIS_ 310309" xfId="6095" xr:uid="{00000000-0005-0000-0000-0000CF170000}"/>
    <cellStyle name="_IB Buildcon L 21.07.06_Xl0000012" xfId="6096" xr:uid="{00000000-0005-0000-0000-0000D0170000}"/>
    <cellStyle name="_IB Buildcon L 21.07.06_Xl0000012 2" xfId="6097" xr:uid="{00000000-0005-0000-0000-0000D1170000}"/>
    <cellStyle name="_IB Buildcon L 21.07.06_Xl0000013" xfId="6098" xr:uid="{00000000-0005-0000-0000-0000D2170000}"/>
    <cellStyle name="_IB Collection Agency_3103" xfId="6099" xr:uid="{00000000-0005-0000-0000-0000D3170000}"/>
    <cellStyle name="_IB Collection Agency_3103 V1" xfId="6100" xr:uid="{00000000-0005-0000-0000-0000D4170000}"/>
    <cellStyle name="_IB FUND 31.07.06" xfId="6101" xr:uid="{00000000-0005-0000-0000-0000D5170000}"/>
    <cellStyle name="_IB FUND 31.07.06 2" xfId="6102" xr:uid="{00000000-0005-0000-0000-0000D6170000}"/>
    <cellStyle name="_IB FUND 31.07.06 3" xfId="6103" xr:uid="{00000000-0005-0000-0000-0000D7170000}"/>
    <cellStyle name="_IB FUND 31.07.06 4" xfId="6104" xr:uid="{00000000-0005-0000-0000-0000D8170000}"/>
    <cellStyle name="_IB FUND 31.07.06 5" xfId="6105" xr:uid="{00000000-0005-0000-0000-0000D9170000}"/>
    <cellStyle name="_IB FUND 31.07.06_detail" xfId="6106" xr:uid="{00000000-0005-0000-0000-0000DA170000}"/>
    <cellStyle name="_IB FUND 31.07.06_detail (2)" xfId="6107" xr:uid="{00000000-0005-0000-0000-0000DB170000}"/>
    <cellStyle name="_IB FUND 31.07.06_detail (2) 2" xfId="6108" xr:uid="{00000000-0005-0000-0000-0000DC170000}"/>
    <cellStyle name="_IB FUND 31.07.06_detail to be added in june,2008" xfId="6109" xr:uid="{00000000-0005-0000-0000-0000DD170000}"/>
    <cellStyle name="_IB FUND 31.07.06_detail to be added in june,2008 2" xfId="6110" xr:uid="{00000000-0005-0000-0000-0000DE170000}"/>
    <cellStyle name="_IB FUND 31.07.06_Details of Assets &amp; Liablilities" xfId="6111" xr:uid="{00000000-0005-0000-0000-0000DF170000}"/>
    <cellStyle name="_IB FUND 31.07.06_Details of Assets &amp; Liablilities 2" xfId="6112" xr:uid="{00000000-0005-0000-0000-0000E0170000}"/>
    <cellStyle name="_IB FUND 31.07.06_Details of Assets &amp; Liablilities 3" xfId="6113" xr:uid="{00000000-0005-0000-0000-0000E1170000}"/>
    <cellStyle name="_IB FUND 31.07.06_IBL_09.12.2009" xfId="6114" xr:uid="{00000000-0005-0000-0000-0000E2170000}"/>
    <cellStyle name="_IB FUND 31.07.06_IBL_09.12.2009 2" xfId="6115" xr:uid="{00000000-0005-0000-0000-0000E3170000}"/>
    <cellStyle name="_IB FUND 31.07.06_ICL_22 12 2009" xfId="6116" xr:uid="{00000000-0005-0000-0000-0000E4170000}"/>
    <cellStyle name="_IB FUND 31.07.06_ICL_22 12 2009 2" xfId="6117" xr:uid="{00000000-0005-0000-0000-0000E5170000}"/>
    <cellStyle name="_IB FUND 31.07.06_Indiabulls Asset Management Company Limited printable" xfId="6118" xr:uid="{00000000-0005-0000-0000-0000E6170000}"/>
    <cellStyle name="_IB FUND 31.07.06_IRECPL_Himanshu Shah Bill" xfId="6119" xr:uid="{00000000-0005-0000-0000-0000E7170000}"/>
    <cellStyle name="_IB FUND 31.07.06_IRECPL_Himanshu Shah Bill 2" xfId="6120" xr:uid="{00000000-0005-0000-0000-0000E8170000}"/>
    <cellStyle name="_IB FUND 31.07.06_ISL_ Adv Tax 2009-10 Q3" xfId="6121" xr:uid="{00000000-0005-0000-0000-0000E9170000}"/>
    <cellStyle name="_IB FUND 31.07.06_ISL_ Adv Tax 2009-10 Q3 2" xfId="6122" xr:uid="{00000000-0005-0000-0000-0000EA170000}"/>
    <cellStyle name="_IB FUND 31.07.06_ISL_conso_September_09_10" xfId="6123" xr:uid="{00000000-0005-0000-0000-0000EB170000}"/>
    <cellStyle name="_IB FUND 31.07.06_ISL_conso_September_09_10 2" xfId="6124" xr:uid="{00000000-0005-0000-0000-0000EC170000}"/>
    <cellStyle name="_IB FUND 31.07.06_ISL_Provisions_30.09.2010" xfId="6125" xr:uid="{00000000-0005-0000-0000-0000ED170000}"/>
    <cellStyle name="_IB FUND 31.07.06_Provision" xfId="6126" xr:uid="{00000000-0005-0000-0000-0000EE170000}"/>
    <cellStyle name="_IB FUND 31.07.06_Provision for Exp - FY 0809" xfId="6127" xr:uid="{00000000-0005-0000-0000-0000EF170000}"/>
    <cellStyle name="_IB FUND 31.07.06_provisions q3" xfId="6128" xr:uid="{00000000-0005-0000-0000-0000F0170000}"/>
    <cellStyle name="_IB FUND 31.07.06_Results" xfId="6129" xr:uid="{00000000-0005-0000-0000-0000F1170000}"/>
    <cellStyle name="_IB FUND 31.07.06_Results 2" xfId="6130" xr:uid="{00000000-0005-0000-0000-0000F2170000}"/>
    <cellStyle name="_IB Infrastructure Credit-3103_V6" xfId="6131" xr:uid="{00000000-0005-0000-0000-0000F3170000}"/>
    <cellStyle name="_IBBL 31.03.07" xfId="6132" xr:uid="{00000000-0005-0000-0000-0000F4170000}"/>
    <cellStyle name="_IBBL 31.03.07 2" xfId="6133" xr:uid="{00000000-0005-0000-0000-0000F5170000}"/>
    <cellStyle name="_IBBL 31.03.07_Detail of IPO funding" xfId="6134" xr:uid="{00000000-0005-0000-0000-0000F6170000}"/>
    <cellStyle name="_IBBL 31.03.07_FDR Int Calculation as per BS" xfId="6135" xr:uid="{00000000-0005-0000-0000-0000F7170000}"/>
    <cellStyle name="_IBBL 31.03.07_ICL_BS_30.06.2009" xfId="6136" xr:uid="{00000000-0005-0000-0000-0000F8170000}"/>
    <cellStyle name="_IBBL 31.03.07_ICPL_BS_31.03.2009_new" xfId="6137" xr:uid="{00000000-0005-0000-0000-0000F9170000}"/>
    <cellStyle name="_IBBL 31.03.07_ICPL_BS_31.03.2009_new_ISL__3CD_FY2010-11" xfId="6138" xr:uid="{00000000-0005-0000-0000-0000FA170000}"/>
    <cellStyle name="_IBBL 31.03.07_IDSL_31.03.2010" xfId="6139" xr:uid="{00000000-0005-0000-0000-0000FB170000}"/>
    <cellStyle name="_IBBL 31.03.07_IFCPL 31 03 2010 VER6 Final" xfId="6140" xr:uid="{00000000-0005-0000-0000-0000FC170000}"/>
    <cellStyle name="_IBBL 31.03.07_ISL_March_08_09.final_11.12.2009" xfId="6141" xr:uid="{00000000-0005-0000-0000-0000FD170000}"/>
    <cellStyle name="_IBBL 31.03.07_ISL_March_08_09.final_11.12.2009_ISL__3CD_FY2010-11" xfId="6142" xr:uid="{00000000-0005-0000-0000-0000FE170000}"/>
    <cellStyle name="_IBFCPL" xfId="6143" xr:uid="{00000000-0005-0000-0000-0000FF170000}"/>
    <cellStyle name="_IBFSL 31.03.2008 RBI Final" xfId="6144" xr:uid="{00000000-0005-0000-0000-000000180000}"/>
    <cellStyle name="_IBFSL 31.03.2008 RBI Final 2" xfId="6145" xr:uid="{00000000-0005-0000-0000-000001180000}"/>
    <cellStyle name="_IBFSL 31.03.2008 RBI Final_Indiabulls Asset Management Company Limited printable" xfId="6146" xr:uid="{00000000-0005-0000-0000-000002180000}"/>
    <cellStyle name="_IBFSL 31.12.2007 as on 160108" xfId="6147" xr:uid="{00000000-0005-0000-0000-000003180000}"/>
    <cellStyle name="_IBFSL 31.12.2007 as on 160108 2" xfId="6148" xr:uid="{00000000-0005-0000-0000-000004180000}"/>
    <cellStyle name="_IBFSL 31.12.2007 as on 160108_Indiabulls Asset Management Company Limited printable" xfId="6149" xr:uid="{00000000-0005-0000-0000-000005180000}"/>
    <cellStyle name="_IBFSL Balance Sheet 11.09.2007" xfId="6150" xr:uid="{00000000-0005-0000-0000-000006180000}"/>
    <cellStyle name="_IBFSL Balance Sheet 11.09.2007 2" xfId="6151" xr:uid="{00000000-0005-0000-0000-000007180000}"/>
    <cellStyle name="_IBFSL Balance Sheet 11.09.2007_Indiabulls Asset Management Company Limited printable" xfId="6152" xr:uid="{00000000-0005-0000-0000-000008180000}"/>
    <cellStyle name="_IBFSL Balance Sheet 25.11.2007" xfId="6153" xr:uid="{00000000-0005-0000-0000-000009180000}"/>
    <cellStyle name="_IBFSL Balance Sheet 25.11.2007 2" xfId="6154" xr:uid="{00000000-0005-0000-0000-00000A180000}"/>
    <cellStyle name="_IBFSL Balance Sheet 25.11.2007_Indiabulls Asset Management Company Limited printable" xfId="6155" xr:uid="{00000000-0005-0000-0000-00000B180000}"/>
    <cellStyle name="_IBFSL Balance Sheet 27.06.07" xfId="6156" xr:uid="{00000000-0005-0000-0000-00000C180000}"/>
    <cellStyle name="_IBFSL Balance Sheet 27.06.07 2" xfId="6157" xr:uid="{00000000-0005-0000-0000-00000D180000}"/>
    <cellStyle name="_IBFSL Balance Sheet 27.06.07_Indiabulls Asset Management Company Limited printable" xfId="6158" xr:uid="{00000000-0005-0000-0000-00000E180000}"/>
    <cellStyle name="_IBFSL Balance Sheet 31.03.07_070407" xfId="6159" xr:uid="{00000000-0005-0000-0000-00000F180000}"/>
    <cellStyle name="_IBFSL Balance Sheet 31.03.07_070407 2" xfId="6160" xr:uid="{00000000-0005-0000-0000-000010180000}"/>
    <cellStyle name="_IBFSL Balance Sheet 31.03.07_070407_Indiabulls Asset Management Company Limited printable" xfId="6161" xr:uid="{00000000-0005-0000-0000-000011180000}"/>
    <cellStyle name="_IBFSL Balance Sheet 31.08.2007" xfId="6162" xr:uid="{00000000-0005-0000-0000-000012180000}"/>
    <cellStyle name="_IBFSL Balance Sheet 31.08.2007 2" xfId="6163" xr:uid="{00000000-0005-0000-0000-000013180000}"/>
    <cellStyle name="_IBFSL Balance Sheet 31.08.2007_Indiabulls Asset Management Company Limited printable" xfId="6164" xr:uid="{00000000-0005-0000-0000-000014180000}"/>
    <cellStyle name="_IBFSL Balance Sheet 31.10.06" xfId="6165" xr:uid="{00000000-0005-0000-0000-000015180000}"/>
    <cellStyle name="_IBFSL Balance Sheet 31.10.06 2" xfId="6166" xr:uid="{00000000-0005-0000-0000-000016180000}"/>
    <cellStyle name="_IBFSL Balance Sheet 31.10.06 3" xfId="6167" xr:uid="{00000000-0005-0000-0000-000017180000}"/>
    <cellStyle name="_IBFSL Balance Sheet 31.10.06 4" xfId="6168" xr:uid="{00000000-0005-0000-0000-000018180000}"/>
    <cellStyle name="_IBFSL Balance Sheet 31.10.06 5" xfId="6169" xr:uid="{00000000-0005-0000-0000-000019180000}"/>
    <cellStyle name="_IBFSL Balance Sheet 31.10.06_Abstract-2007-08" xfId="6170" xr:uid="{00000000-0005-0000-0000-00001A180000}"/>
    <cellStyle name="_IBFSL Balance Sheet 31.10.06_Advance Tax Format_F.Y. 2010-11" xfId="6171" xr:uid="{00000000-0005-0000-0000-00001B180000}"/>
    <cellStyle name="_IBFSL Balance Sheet 31.10.06_Advance Tax Sophia Jun 09" xfId="6172" xr:uid="{00000000-0005-0000-0000-00001C180000}"/>
    <cellStyle name="_IBFSL Balance Sheet 31.10.06_Advance Tax Sophia Jun 09 2" xfId="6173" xr:uid="{00000000-0005-0000-0000-00001D180000}"/>
    <cellStyle name="_IBFSL Balance Sheet 31.10.06_Base File For Segment" xfId="6174" xr:uid="{00000000-0005-0000-0000-00001E180000}"/>
    <cellStyle name="_IBFSL Balance Sheet 31.10.06_Base File For Segment 2" xfId="6175" xr:uid="{00000000-0005-0000-0000-00001F180000}"/>
    <cellStyle name="_IBFSL Balance Sheet 31.10.06_Book1" xfId="6176" xr:uid="{00000000-0005-0000-0000-000020180000}"/>
    <cellStyle name="_IBFSL Balance Sheet 31.10.06_Book1 (2)" xfId="6177" xr:uid="{00000000-0005-0000-0000-000021180000}"/>
    <cellStyle name="_IBFSL Balance Sheet 31.10.06_Book2" xfId="6178" xr:uid="{00000000-0005-0000-0000-000022180000}"/>
    <cellStyle name="_IBFSL Balance Sheet 31.10.06_Book2 2" xfId="6179" xr:uid="{00000000-0005-0000-0000-000023180000}"/>
    <cellStyle name="_IBFSL Balance Sheet 31.10.06_CCL_3353_2007-08" xfId="6180" xr:uid="{00000000-0005-0000-0000-000024180000}"/>
    <cellStyle name="_IBFSL Balance Sheet 31.10.06_CCL_3353_2007-08 2" xfId="6181" xr:uid="{00000000-0005-0000-0000-000025180000}"/>
    <cellStyle name="_IBFSL Balance Sheet 31.10.06_ChlorisProperties_3351_Dec.08" xfId="6182" xr:uid="{00000000-0005-0000-0000-000026180000}"/>
    <cellStyle name="_IBFSL Balance Sheet 31.10.06_ChlorisProperties_3351_Dec.08 2" xfId="6183" xr:uid="{00000000-0005-0000-0000-000027180000}"/>
    <cellStyle name="_IBFSL Balance Sheet 31.10.06_Consol Balance Sheet_Sophia_Dec08_Ibrel_1.3" xfId="6184" xr:uid="{00000000-0005-0000-0000-000028180000}"/>
    <cellStyle name="_IBFSL Balance Sheet 31.10.06_Consol Balance Sheet_Sophia_Dec08_Ibrel_1.3 2" xfId="6185" xr:uid="{00000000-0005-0000-0000-000029180000}"/>
    <cellStyle name="_IBFSL Balance Sheet 31.10.06_detail (2)" xfId="6186" xr:uid="{00000000-0005-0000-0000-00002A180000}"/>
    <cellStyle name="_IBFSL Balance Sheet 31.10.06_detail (2) 2" xfId="6187" xr:uid="{00000000-0005-0000-0000-00002B180000}"/>
    <cellStyle name="_IBFSL Balance Sheet 31.10.06_Details" xfId="6188" xr:uid="{00000000-0005-0000-0000-00002C180000}"/>
    <cellStyle name="_IBFSL Balance Sheet 31.10.06_Details 2" xfId="6189" xr:uid="{00000000-0005-0000-0000-00002D180000}"/>
    <cellStyle name="_IBFSL Balance Sheet 31.10.06_EPL_3346_2007-08(C)" xfId="6190" xr:uid="{00000000-0005-0000-0000-00002E180000}"/>
    <cellStyle name="_IBFSL Balance Sheet 31.10.06_EPL_3346_2007-08(C) 2" xfId="6191" xr:uid="{00000000-0005-0000-0000-00002F180000}"/>
    <cellStyle name="_IBFSL Balance Sheet 31.10.06_FD Detail" xfId="6192" xr:uid="{00000000-0005-0000-0000-000030180000}"/>
    <cellStyle name="_IBFSL Balance Sheet 31.10.06_Final Consol Balance Sheet_Sophia_Dec08_27.01.08" xfId="6193" xr:uid="{00000000-0005-0000-0000-000031180000}"/>
    <cellStyle name="_IBFSL Balance Sheet 31.10.06_Final Consol Balance Sheet_Sophia_Dec08_27.01.08 2" xfId="6194" xr:uid="{00000000-0005-0000-0000-000032180000}"/>
    <cellStyle name="_IBFSL Balance Sheet 31.10.06_Fixed Assets consolidated" xfId="6195" xr:uid="{00000000-0005-0000-0000-000033180000}"/>
    <cellStyle name="_IBFSL Balance Sheet 31.10.06_Fixed Assets consolidated 2" xfId="6196" xr:uid="{00000000-0005-0000-0000-000034180000}"/>
    <cellStyle name="_IBFSL Balance Sheet 31.10.06_IBFSL 31 May V1" xfId="6197" xr:uid="{00000000-0005-0000-0000-000035180000}"/>
    <cellStyle name="_IBFSL Balance Sheet 31.10.06_IBFSL_Conso_March_10_11" xfId="6198" xr:uid="{00000000-0005-0000-0000-000036180000}"/>
    <cellStyle name="_IBFSL Balance Sheet 31.10.06_ICL_09 12 2009" xfId="6199" xr:uid="{00000000-0005-0000-0000-000037180000}"/>
    <cellStyle name="_IBFSL Balance Sheet 31.10.06_ICL_09 12 2009 2" xfId="6200" xr:uid="{00000000-0005-0000-0000-000038180000}"/>
    <cellStyle name="_IBFSL Balance Sheet 31.10.06_ICL_22 12 2009" xfId="6201" xr:uid="{00000000-0005-0000-0000-000039180000}"/>
    <cellStyle name="_IBFSL Balance Sheet 31.10.06_ICL_22 12 2009 2" xfId="6202" xr:uid="{00000000-0005-0000-0000-00003A180000}"/>
    <cellStyle name="_IBFSL Balance Sheet 31.10.06_IESL_09.12.2009" xfId="6203" xr:uid="{00000000-0005-0000-0000-00003B180000}"/>
    <cellStyle name="_IBFSL Balance Sheet 31.10.06_IESL_09.12.2009 2" xfId="6204" xr:uid="{00000000-0005-0000-0000-00003C180000}"/>
    <cellStyle name="_IBFSL Balance Sheet 31.10.06_IHFL_Dec_23_2008" xfId="6205" xr:uid="{00000000-0005-0000-0000-00003D180000}"/>
    <cellStyle name="_IBFSL Balance Sheet 31.10.06_IIDL_3227_2008_09" xfId="6206" xr:uid="{00000000-0005-0000-0000-00003E180000}"/>
    <cellStyle name="_IBFSL Balance Sheet 31.10.06_IIDL_3227_2008_09 2" xfId="6207" xr:uid="{00000000-0005-0000-0000-00003F180000}"/>
    <cellStyle name="_IBFSL Balance Sheet 31.10.06_Indiabulls Asset Management Company Limited printable" xfId="6208" xr:uid="{00000000-0005-0000-0000-000040180000}"/>
    <cellStyle name="_IBFSL Balance Sheet 31.10.06_Revised Consol Balance Sheet_Sophia_Jan09_10.02.2009" xfId="6209" xr:uid="{00000000-0005-0000-0000-000041180000}"/>
    <cellStyle name="_IBFSL Balance Sheet 31.10.06_Revised Consol Balance Sheet_Sophia_Jan09_10.02.2009 2" xfId="6210" xr:uid="{00000000-0005-0000-0000-000042180000}"/>
    <cellStyle name="_IBFSL Balance Sheet 31.10.06_Sophia Consol for Printout 22 Jun 09" xfId="6211" xr:uid="{00000000-0005-0000-0000-000043180000}"/>
    <cellStyle name="_IBFSL Balance Sheet 31.10.06_Sophia Consol for Printout 22 Jun 09 2" xfId="6212" xr:uid="{00000000-0005-0000-0000-000044180000}"/>
    <cellStyle name="_IBFSL Balance Sheet 31.10.06_Sophia Consol_march_09_05 June  09_1" xfId="6213" xr:uid="{00000000-0005-0000-0000-000045180000}"/>
    <cellStyle name="_IBFSL Balance Sheet 31.10.06_Sophia Consol_march_09_05 June  09_1 2" xfId="6214" xr:uid="{00000000-0005-0000-0000-000046180000}"/>
    <cellStyle name="_IBFSL Balance Sheet 31.10.06_Treasury ICD Interest_ MIS_ 23  09 2009(final)" xfId="6215" xr:uid="{00000000-0005-0000-0000-000047180000}"/>
    <cellStyle name="_IBFSL Balance Sheet 31.10.06_Treasury ICD Interest_ MIS_ 23  09 2009(final) 2" xfId="6216" xr:uid="{00000000-0005-0000-0000-000048180000}"/>
    <cellStyle name="_IBFSL Balance Sheet 31.10.06_Treasury ICD Interest_ MIS_ 30. 06 2009(final)" xfId="6217" xr:uid="{00000000-0005-0000-0000-000049180000}"/>
    <cellStyle name="_IBFSL Balance Sheet 31.10.06_Treasury ICD Interest_ MIS_ 30. 06 2009(final) 2" xfId="6218" xr:uid="{00000000-0005-0000-0000-00004A180000}"/>
    <cellStyle name="_IBFSL Balance Sheet 31.10.06_Treasury ICD Interest_ MIS_ 30. 09 2009(final)" xfId="6219" xr:uid="{00000000-0005-0000-0000-00004B180000}"/>
    <cellStyle name="_IBFSL Balance Sheet 31.10.06_Treasury ICD Interest_ MIS_ 30. 09 2009(final) 2" xfId="6220" xr:uid="{00000000-0005-0000-0000-00004C180000}"/>
    <cellStyle name="_IBFSL Balance Sheet 31.10.06_Treasury ICD Interest_ MIS_ 31 05 2009" xfId="6221" xr:uid="{00000000-0005-0000-0000-00004D180000}"/>
    <cellStyle name="_IBFSL Balance Sheet 31.10.06_Treasury ICD Interest_ MIS_ 31 05 2009 2" xfId="6222" xr:uid="{00000000-0005-0000-0000-00004E180000}"/>
    <cellStyle name="_IBFSL Balance Sheet 31.10.06_Treasury ICD Interest_ MIS_ 31 10 2009" xfId="6223" xr:uid="{00000000-0005-0000-0000-00004F180000}"/>
    <cellStyle name="_IBFSL Balance Sheet 31.10.06_Treasury ICD Interest_ MIS_ 31 10 2009 2" xfId="6224" xr:uid="{00000000-0005-0000-0000-000050180000}"/>
    <cellStyle name="_IBFSL Balance Sheet 31.10.06_Treasury ICD Interest_ MIS_ 31.10.2009" xfId="6225" xr:uid="{00000000-0005-0000-0000-000051180000}"/>
    <cellStyle name="_IBFSL Balance Sheet 31.10.06_Treasury ICD Interest_ MIS_ 31.10.2009 2" xfId="6226" xr:uid="{00000000-0005-0000-0000-000052180000}"/>
    <cellStyle name="_IBFSL Balance Sheet 31.10.06_Treasury ICD Interest_ MIS_ 310309" xfId="6227" xr:uid="{00000000-0005-0000-0000-000053180000}"/>
    <cellStyle name="_IBFSL Balance Sheet 31.10.06_Treasury ICD Interest_ MIS_ 310309 2" xfId="6228" xr:uid="{00000000-0005-0000-0000-000054180000}"/>
    <cellStyle name="_IBFSL_Conso_dec_06_07A" xfId="6229" xr:uid="{00000000-0005-0000-0000-000055180000}"/>
    <cellStyle name="_IBFSL_Conso_Dec_07_08" xfId="6230" xr:uid="{00000000-0005-0000-0000-000056180000}"/>
    <cellStyle name="_IBFSL_Conso_Dec_07_08 10" xfId="6231" xr:uid="{00000000-0005-0000-0000-000057180000}"/>
    <cellStyle name="_IBFSL_Conso_Dec_07_08 10 2" xfId="6232" xr:uid="{00000000-0005-0000-0000-000058180000}"/>
    <cellStyle name="_IBFSL_Conso_Dec_07_08 11" xfId="6233" xr:uid="{00000000-0005-0000-0000-000059180000}"/>
    <cellStyle name="_IBFSL_Conso_Dec_07_08 11 2" xfId="6234" xr:uid="{00000000-0005-0000-0000-00005A180000}"/>
    <cellStyle name="_IBFSL_Conso_Dec_07_08 12" xfId="6235" xr:uid="{00000000-0005-0000-0000-00005B180000}"/>
    <cellStyle name="_IBFSL_Conso_Dec_07_08 12 2" xfId="6236" xr:uid="{00000000-0005-0000-0000-00005C180000}"/>
    <cellStyle name="_IBFSL_Conso_Dec_07_08 13" xfId="6237" xr:uid="{00000000-0005-0000-0000-00005D180000}"/>
    <cellStyle name="_IBFSL_Conso_Dec_07_08 13 2" xfId="6238" xr:uid="{00000000-0005-0000-0000-00005E180000}"/>
    <cellStyle name="_IBFSL_Conso_Dec_07_08 14" xfId="6239" xr:uid="{00000000-0005-0000-0000-00005F180000}"/>
    <cellStyle name="_IBFSL_Conso_Dec_07_08 14 2" xfId="6240" xr:uid="{00000000-0005-0000-0000-000060180000}"/>
    <cellStyle name="_IBFSL_Conso_Dec_07_08 15" xfId="6241" xr:uid="{00000000-0005-0000-0000-000061180000}"/>
    <cellStyle name="_IBFSL_Conso_Dec_07_08 15 2" xfId="6242" xr:uid="{00000000-0005-0000-0000-000062180000}"/>
    <cellStyle name="_IBFSL_Conso_Dec_07_08 16" xfId="6243" xr:uid="{00000000-0005-0000-0000-000063180000}"/>
    <cellStyle name="_IBFSL_Conso_Dec_07_08 16 2" xfId="6244" xr:uid="{00000000-0005-0000-0000-000064180000}"/>
    <cellStyle name="_IBFSL_Conso_Dec_07_08 17" xfId="6245" xr:uid="{00000000-0005-0000-0000-000065180000}"/>
    <cellStyle name="_IBFSL_Conso_Dec_07_08 17 2" xfId="6246" xr:uid="{00000000-0005-0000-0000-000066180000}"/>
    <cellStyle name="_IBFSL_Conso_Dec_07_08 18" xfId="6247" xr:uid="{00000000-0005-0000-0000-000067180000}"/>
    <cellStyle name="_IBFSL_Conso_Dec_07_08 18 2" xfId="6248" xr:uid="{00000000-0005-0000-0000-000068180000}"/>
    <cellStyle name="_IBFSL_Conso_Dec_07_08 19" xfId="6249" xr:uid="{00000000-0005-0000-0000-000069180000}"/>
    <cellStyle name="_IBFSL_Conso_Dec_07_08 19 2" xfId="6250" xr:uid="{00000000-0005-0000-0000-00006A180000}"/>
    <cellStyle name="_IBFSL_Conso_Dec_07_08 2" xfId="6251" xr:uid="{00000000-0005-0000-0000-00006B180000}"/>
    <cellStyle name="_IBFSL_Conso_Dec_07_08 2 2" xfId="6252" xr:uid="{00000000-0005-0000-0000-00006C180000}"/>
    <cellStyle name="_IBFSL_Conso_Dec_07_08 20" xfId="6253" xr:uid="{00000000-0005-0000-0000-00006D180000}"/>
    <cellStyle name="_IBFSL_Conso_Dec_07_08 21" xfId="6254" xr:uid="{00000000-0005-0000-0000-00006E180000}"/>
    <cellStyle name="_IBFSL_Conso_Dec_07_08 22" xfId="6255" xr:uid="{00000000-0005-0000-0000-00006F180000}"/>
    <cellStyle name="_IBFSL_Conso_Dec_07_08 23" xfId="6256" xr:uid="{00000000-0005-0000-0000-000070180000}"/>
    <cellStyle name="_IBFSL_Conso_Dec_07_08 3" xfId="6257" xr:uid="{00000000-0005-0000-0000-000071180000}"/>
    <cellStyle name="_IBFSL_Conso_Dec_07_08 3 2" xfId="6258" xr:uid="{00000000-0005-0000-0000-000072180000}"/>
    <cellStyle name="_IBFSL_Conso_Dec_07_08 4" xfId="6259" xr:uid="{00000000-0005-0000-0000-000073180000}"/>
    <cellStyle name="_IBFSL_Conso_Dec_07_08 4 2" xfId="6260" xr:uid="{00000000-0005-0000-0000-000074180000}"/>
    <cellStyle name="_IBFSL_Conso_Dec_07_08 5" xfId="6261" xr:uid="{00000000-0005-0000-0000-000075180000}"/>
    <cellStyle name="_IBFSL_Conso_Dec_07_08 5 2" xfId="6262" xr:uid="{00000000-0005-0000-0000-000076180000}"/>
    <cellStyle name="_IBFSL_Conso_Dec_07_08 6" xfId="6263" xr:uid="{00000000-0005-0000-0000-000077180000}"/>
    <cellStyle name="_IBFSL_Conso_Dec_07_08 6 2" xfId="6264" xr:uid="{00000000-0005-0000-0000-000078180000}"/>
    <cellStyle name="_IBFSL_Conso_Dec_07_08 7" xfId="6265" xr:uid="{00000000-0005-0000-0000-000079180000}"/>
    <cellStyle name="_IBFSL_Conso_Dec_07_08 7 2" xfId="6266" xr:uid="{00000000-0005-0000-0000-00007A180000}"/>
    <cellStyle name="_IBFSL_Conso_Dec_07_08 8" xfId="6267" xr:uid="{00000000-0005-0000-0000-00007B180000}"/>
    <cellStyle name="_IBFSL_Conso_Dec_07_08 8 2" xfId="6268" xr:uid="{00000000-0005-0000-0000-00007C180000}"/>
    <cellStyle name="_IBFSL_Conso_Dec_07_08 9" xfId="6269" xr:uid="{00000000-0005-0000-0000-00007D180000}"/>
    <cellStyle name="_IBFSL_Conso_Dec_07_08 9 2" xfId="6270" xr:uid="{00000000-0005-0000-0000-00007E180000}"/>
    <cellStyle name="_IBFSL_Conso_Dec_07_08 after" xfId="6271" xr:uid="{00000000-0005-0000-0000-00007F180000}"/>
    <cellStyle name="_IBFSL_Conso_Dec_07_08 after 10" xfId="6272" xr:uid="{00000000-0005-0000-0000-000080180000}"/>
    <cellStyle name="_IBFSL_Conso_Dec_07_08 after 10 2" xfId="6273" xr:uid="{00000000-0005-0000-0000-000081180000}"/>
    <cellStyle name="_IBFSL_Conso_Dec_07_08 after 11" xfId="6274" xr:uid="{00000000-0005-0000-0000-000082180000}"/>
    <cellStyle name="_IBFSL_Conso_Dec_07_08 after 11 2" xfId="6275" xr:uid="{00000000-0005-0000-0000-000083180000}"/>
    <cellStyle name="_IBFSL_Conso_Dec_07_08 after 12" xfId="6276" xr:uid="{00000000-0005-0000-0000-000084180000}"/>
    <cellStyle name="_IBFSL_Conso_Dec_07_08 after 12 2" xfId="6277" xr:uid="{00000000-0005-0000-0000-000085180000}"/>
    <cellStyle name="_IBFSL_Conso_Dec_07_08 after 13" xfId="6278" xr:uid="{00000000-0005-0000-0000-000086180000}"/>
    <cellStyle name="_IBFSL_Conso_Dec_07_08 after 13 2" xfId="6279" xr:uid="{00000000-0005-0000-0000-000087180000}"/>
    <cellStyle name="_IBFSL_Conso_Dec_07_08 after 14" xfId="6280" xr:uid="{00000000-0005-0000-0000-000088180000}"/>
    <cellStyle name="_IBFSL_Conso_Dec_07_08 after 14 2" xfId="6281" xr:uid="{00000000-0005-0000-0000-000089180000}"/>
    <cellStyle name="_IBFSL_Conso_Dec_07_08 after 15" xfId="6282" xr:uid="{00000000-0005-0000-0000-00008A180000}"/>
    <cellStyle name="_IBFSL_Conso_Dec_07_08 after 15 2" xfId="6283" xr:uid="{00000000-0005-0000-0000-00008B180000}"/>
    <cellStyle name="_IBFSL_Conso_Dec_07_08 after 16" xfId="6284" xr:uid="{00000000-0005-0000-0000-00008C180000}"/>
    <cellStyle name="_IBFSL_Conso_Dec_07_08 after 16 2" xfId="6285" xr:uid="{00000000-0005-0000-0000-00008D180000}"/>
    <cellStyle name="_IBFSL_Conso_Dec_07_08 after 17" xfId="6286" xr:uid="{00000000-0005-0000-0000-00008E180000}"/>
    <cellStyle name="_IBFSL_Conso_Dec_07_08 after 17 2" xfId="6287" xr:uid="{00000000-0005-0000-0000-00008F180000}"/>
    <cellStyle name="_IBFSL_Conso_Dec_07_08 after 18" xfId="6288" xr:uid="{00000000-0005-0000-0000-000090180000}"/>
    <cellStyle name="_IBFSL_Conso_Dec_07_08 after 18 2" xfId="6289" xr:uid="{00000000-0005-0000-0000-000091180000}"/>
    <cellStyle name="_IBFSL_Conso_Dec_07_08 after 19" xfId="6290" xr:uid="{00000000-0005-0000-0000-000092180000}"/>
    <cellStyle name="_IBFSL_Conso_Dec_07_08 after 19 2" xfId="6291" xr:uid="{00000000-0005-0000-0000-000093180000}"/>
    <cellStyle name="_IBFSL_Conso_Dec_07_08 after 2" xfId="6292" xr:uid="{00000000-0005-0000-0000-000094180000}"/>
    <cellStyle name="_IBFSL_Conso_Dec_07_08 after 2 2" xfId="6293" xr:uid="{00000000-0005-0000-0000-000095180000}"/>
    <cellStyle name="_IBFSL_Conso_Dec_07_08 after 20" xfId="6294" xr:uid="{00000000-0005-0000-0000-000096180000}"/>
    <cellStyle name="_IBFSL_Conso_Dec_07_08 after 21" xfId="6295" xr:uid="{00000000-0005-0000-0000-000097180000}"/>
    <cellStyle name="_IBFSL_Conso_Dec_07_08 after 22" xfId="6296" xr:uid="{00000000-0005-0000-0000-000098180000}"/>
    <cellStyle name="_IBFSL_Conso_Dec_07_08 after 23" xfId="6297" xr:uid="{00000000-0005-0000-0000-000099180000}"/>
    <cellStyle name="_IBFSL_Conso_Dec_07_08 after 3" xfId="6298" xr:uid="{00000000-0005-0000-0000-00009A180000}"/>
    <cellStyle name="_IBFSL_Conso_Dec_07_08 after 3 2" xfId="6299" xr:uid="{00000000-0005-0000-0000-00009B180000}"/>
    <cellStyle name="_IBFSL_Conso_Dec_07_08 after 4" xfId="6300" xr:uid="{00000000-0005-0000-0000-00009C180000}"/>
    <cellStyle name="_IBFSL_Conso_Dec_07_08 after 4 2" xfId="6301" xr:uid="{00000000-0005-0000-0000-00009D180000}"/>
    <cellStyle name="_IBFSL_Conso_Dec_07_08 after 5" xfId="6302" xr:uid="{00000000-0005-0000-0000-00009E180000}"/>
    <cellStyle name="_IBFSL_Conso_Dec_07_08 after 5 2" xfId="6303" xr:uid="{00000000-0005-0000-0000-00009F180000}"/>
    <cellStyle name="_IBFSL_Conso_Dec_07_08 after 6" xfId="6304" xr:uid="{00000000-0005-0000-0000-0000A0180000}"/>
    <cellStyle name="_IBFSL_Conso_Dec_07_08 after 6 2" xfId="6305" xr:uid="{00000000-0005-0000-0000-0000A1180000}"/>
    <cellStyle name="_IBFSL_Conso_Dec_07_08 after 7" xfId="6306" xr:uid="{00000000-0005-0000-0000-0000A2180000}"/>
    <cellStyle name="_IBFSL_Conso_Dec_07_08 after 7 2" xfId="6307" xr:uid="{00000000-0005-0000-0000-0000A3180000}"/>
    <cellStyle name="_IBFSL_Conso_Dec_07_08 after 8" xfId="6308" xr:uid="{00000000-0005-0000-0000-0000A4180000}"/>
    <cellStyle name="_IBFSL_Conso_Dec_07_08 after 8 2" xfId="6309" xr:uid="{00000000-0005-0000-0000-0000A5180000}"/>
    <cellStyle name="_IBFSL_Conso_Dec_07_08 after 9" xfId="6310" xr:uid="{00000000-0005-0000-0000-0000A6180000}"/>
    <cellStyle name="_IBFSL_Conso_Dec_07_08 after 9 2" xfId="6311" xr:uid="{00000000-0005-0000-0000-0000A7180000}"/>
    <cellStyle name="_IBFSL_Conso_Dec_07_08 after scheme" xfId="6312" xr:uid="{00000000-0005-0000-0000-0000A8180000}"/>
    <cellStyle name="_IBFSL_Conso_Dec_07_08 after scheme 10" xfId="6313" xr:uid="{00000000-0005-0000-0000-0000A9180000}"/>
    <cellStyle name="_IBFSL_Conso_Dec_07_08 after scheme 10 2" xfId="6314" xr:uid="{00000000-0005-0000-0000-0000AA180000}"/>
    <cellStyle name="_IBFSL_Conso_Dec_07_08 after scheme 11" xfId="6315" xr:uid="{00000000-0005-0000-0000-0000AB180000}"/>
    <cellStyle name="_IBFSL_Conso_Dec_07_08 after scheme 11 2" xfId="6316" xr:uid="{00000000-0005-0000-0000-0000AC180000}"/>
    <cellStyle name="_IBFSL_Conso_Dec_07_08 after scheme 12" xfId="6317" xr:uid="{00000000-0005-0000-0000-0000AD180000}"/>
    <cellStyle name="_IBFSL_Conso_Dec_07_08 after scheme 12 2" xfId="6318" xr:uid="{00000000-0005-0000-0000-0000AE180000}"/>
    <cellStyle name="_IBFSL_Conso_Dec_07_08 after scheme 13" xfId="6319" xr:uid="{00000000-0005-0000-0000-0000AF180000}"/>
    <cellStyle name="_IBFSL_Conso_Dec_07_08 after scheme 13 2" xfId="6320" xr:uid="{00000000-0005-0000-0000-0000B0180000}"/>
    <cellStyle name="_IBFSL_Conso_Dec_07_08 after scheme 14" xfId="6321" xr:uid="{00000000-0005-0000-0000-0000B1180000}"/>
    <cellStyle name="_IBFSL_Conso_Dec_07_08 after scheme 14 2" xfId="6322" xr:uid="{00000000-0005-0000-0000-0000B2180000}"/>
    <cellStyle name="_IBFSL_Conso_Dec_07_08 after scheme 15" xfId="6323" xr:uid="{00000000-0005-0000-0000-0000B3180000}"/>
    <cellStyle name="_IBFSL_Conso_Dec_07_08 after scheme 15 2" xfId="6324" xr:uid="{00000000-0005-0000-0000-0000B4180000}"/>
    <cellStyle name="_IBFSL_Conso_Dec_07_08 after scheme 16" xfId="6325" xr:uid="{00000000-0005-0000-0000-0000B5180000}"/>
    <cellStyle name="_IBFSL_Conso_Dec_07_08 after scheme 16 2" xfId="6326" xr:uid="{00000000-0005-0000-0000-0000B6180000}"/>
    <cellStyle name="_IBFSL_Conso_Dec_07_08 after scheme 17" xfId="6327" xr:uid="{00000000-0005-0000-0000-0000B7180000}"/>
    <cellStyle name="_IBFSL_Conso_Dec_07_08 after scheme 17 2" xfId="6328" xr:uid="{00000000-0005-0000-0000-0000B8180000}"/>
    <cellStyle name="_IBFSL_Conso_Dec_07_08 after scheme 18" xfId="6329" xr:uid="{00000000-0005-0000-0000-0000B9180000}"/>
    <cellStyle name="_IBFSL_Conso_Dec_07_08 after scheme 18 2" xfId="6330" xr:uid="{00000000-0005-0000-0000-0000BA180000}"/>
    <cellStyle name="_IBFSL_Conso_Dec_07_08 after scheme 19" xfId="6331" xr:uid="{00000000-0005-0000-0000-0000BB180000}"/>
    <cellStyle name="_IBFSL_Conso_Dec_07_08 after scheme 19 2" xfId="6332" xr:uid="{00000000-0005-0000-0000-0000BC180000}"/>
    <cellStyle name="_IBFSL_Conso_Dec_07_08 after scheme 2" xfId="6333" xr:uid="{00000000-0005-0000-0000-0000BD180000}"/>
    <cellStyle name="_IBFSL_Conso_Dec_07_08 after scheme 2 2" xfId="6334" xr:uid="{00000000-0005-0000-0000-0000BE180000}"/>
    <cellStyle name="_IBFSL_Conso_Dec_07_08 after scheme 2_ISL__3CD_FY2010-11" xfId="6335" xr:uid="{00000000-0005-0000-0000-0000BF180000}"/>
    <cellStyle name="_IBFSL_Conso_Dec_07_08 after scheme 20" xfId="6336" xr:uid="{00000000-0005-0000-0000-0000C0180000}"/>
    <cellStyle name="_IBFSL_Conso_Dec_07_08 after scheme 21" xfId="6337" xr:uid="{00000000-0005-0000-0000-0000C1180000}"/>
    <cellStyle name="_IBFSL_Conso_Dec_07_08 after scheme 22" xfId="6338" xr:uid="{00000000-0005-0000-0000-0000C2180000}"/>
    <cellStyle name="_IBFSL_Conso_Dec_07_08 after scheme 23" xfId="6339" xr:uid="{00000000-0005-0000-0000-0000C3180000}"/>
    <cellStyle name="_IBFSL_Conso_Dec_07_08 after scheme 3" xfId="6340" xr:uid="{00000000-0005-0000-0000-0000C4180000}"/>
    <cellStyle name="_IBFSL_Conso_Dec_07_08 after scheme 3 2" xfId="6341" xr:uid="{00000000-0005-0000-0000-0000C5180000}"/>
    <cellStyle name="_IBFSL_Conso_Dec_07_08 after scheme 4" xfId="6342" xr:uid="{00000000-0005-0000-0000-0000C6180000}"/>
    <cellStyle name="_IBFSL_Conso_Dec_07_08 after scheme 4 2" xfId="6343" xr:uid="{00000000-0005-0000-0000-0000C7180000}"/>
    <cellStyle name="_IBFSL_Conso_Dec_07_08 after scheme 5" xfId="6344" xr:uid="{00000000-0005-0000-0000-0000C8180000}"/>
    <cellStyle name="_IBFSL_Conso_Dec_07_08 after scheme 5 2" xfId="6345" xr:uid="{00000000-0005-0000-0000-0000C9180000}"/>
    <cellStyle name="_IBFSL_Conso_Dec_07_08 after scheme 6" xfId="6346" xr:uid="{00000000-0005-0000-0000-0000CA180000}"/>
    <cellStyle name="_IBFSL_Conso_Dec_07_08 after scheme 6 2" xfId="6347" xr:uid="{00000000-0005-0000-0000-0000CB180000}"/>
    <cellStyle name="_IBFSL_Conso_Dec_07_08 after scheme 7" xfId="6348" xr:uid="{00000000-0005-0000-0000-0000CC180000}"/>
    <cellStyle name="_IBFSL_Conso_Dec_07_08 after scheme 7 2" xfId="6349" xr:uid="{00000000-0005-0000-0000-0000CD180000}"/>
    <cellStyle name="_IBFSL_Conso_Dec_07_08 after scheme 8" xfId="6350" xr:uid="{00000000-0005-0000-0000-0000CE180000}"/>
    <cellStyle name="_IBFSL_Conso_Dec_07_08 after scheme 8 2" xfId="6351" xr:uid="{00000000-0005-0000-0000-0000CF180000}"/>
    <cellStyle name="_IBFSL_Conso_Dec_07_08 after scheme 9" xfId="6352" xr:uid="{00000000-0005-0000-0000-0000D0180000}"/>
    <cellStyle name="_IBFSL_Conso_Dec_07_08 after scheme 9 2" xfId="6353" xr:uid="{00000000-0005-0000-0000-0000D1180000}"/>
    <cellStyle name="_IBFSL_Conso_Dec_07_08 after scheme_Book1" xfId="6354" xr:uid="{00000000-0005-0000-0000-0000D2180000}"/>
    <cellStyle name="_IBFSL_Conso_Dec_07_08 after scheme_Book1 (2)" xfId="6355" xr:uid="{00000000-0005-0000-0000-0000D3180000}"/>
    <cellStyle name="_IBFSL_Conso_Dec_07_08 after scheme_Book1 (2) 2" xfId="6356" xr:uid="{00000000-0005-0000-0000-0000D4180000}"/>
    <cellStyle name="_IBFSL_Conso_Dec_07_08 after scheme_Book1 10" xfId="6357" xr:uid="{00000000-0005-0000-0000-0000D5180000}"/>
    <cellStyle name="_IBFSL_Conso_Dec_07_08 after scheme_Book1 11" xfId="6358" xr:uid="{00000000-0005-0000-0000-0000D6180000}"/>
    <cellStyle name="_IBFSL_Conso_Dec_07_08 after scheme_Book1 2" xfId="6359" xr:uid="{00000000-0005-0000-0000-0000D7180000}"/>
    <cellStyle name="_IBFSL_Conso_Dec_07_08 after scheme_Book1 3" xfId="6360" xr:uid="{00000000-0005-0000-0000-0000D8180000}"/>
    <cellStyle name="_IBFSL_Conso_Dec_07_08 after scheme_Book1 4" xfId="6361" xr:uid="{00000000-0005-0000-0000-0000D9180000}"/>
    <cellStyle name="_IBFSL_Conso_Dec_07_08 after scheme_Book1 5" xfId="6362" xr:uid="{00000000-0005-0000-0000-0000DA180000}"/>
    <cellStyle name="_IBFSL_Conso_Dec_07_08 after scheme_Book1 6" xfId="6363" xr:uid="{00000000-0005-0000-0000-0000DB180000}"/>
    <cellStyle name="_IBFSL_Conso_Dec_07_08 after scheme_Book1 7" xfId="6364" xr:uid="{00000000-0005-0000-0000-0000DC180000}"/>
    <cellStyle name="_IBFSL_Conso_Dec_07_08 after scheme_Book1 8" xfId="6365" xr:uid="{00000000-0005-0000-0000-0000DD180000}"/>
    <cellStyle name="_IBFSL_Conso_Dec_07_08 after scheme_Book1 9" xfId="6366" xr:uid="{00000000-0005-0000-0000-0000DE180000}"/>
    <cellStyle name="_IBFSL_Conso_Dec_07_08 after scheme_Book1_ISL__3CD_FY2010-11" xfId="6367" xr:uid="{00000000-0005-0000-0000-0000DF180000}"/>
    <cellStyle name="_IBFSL_Conso_Dec_07_08 after scheme_Book2" xfId="6368" xr:uid="{00000000-0005-0000-0000-0000E0180000}"/>
    <cellStyle name="_IBFSL_Conso_Dec_07_08 after scheme_Book2 2" xfId="6369" xr:uid="{00000000-0005-0000-0000-0000E1180000}"/>
    <cellStyle name="_IBFSL_Conso_Dec_07_08 after scheme_Book2_ISL__3CD_FY2010-11" xfId="6370" xr:uid="{00000000-0005-0000-0000-0000E2180000}"/>
    <cellStyle name="_IBFSL_Conso_Dec_07_08 after scheme_Book4" xfId="6371" xr:uid="{00000000-0005-0000-0000-0000E3180000}"/>
    <cellStyle name="_IBFSL_Conso_Dec_07_08 after scheme_Book4 2" xfId="6372" xr:uid="{00000000-0005-0000-0000-0000E4180000}"/>
    <cellStyle name="_IBFSL_Conso_Dec_07_08 after scheme_Book4_ISL__3CD_FY2010-11" xfId="6373" xr:uid="{00000000-0005-0000-0000-0000E5180000}"/>
    <cellStyle name="_IBFSL_Conso_Dec_07_08 after scheme_Detail of IPO funding" xfId="6374" xr:uid="{00000000-0005-0000-0000-0000E6180000}"/>
    <cellStyle name="_IBFSL_Conso_Dec_07_08 after scheme_FDR Int Calculation as per BS" xfId="6375" xr:uid="{00000000-0005-0000-0000-0000E7180000}"/>
    <cellStyle name="_IBFSL_Conso_Dec_07_08 after scheme_ICPL_BS_31.03.2009_new" xfId="6376" xr:uid="{00000000-0005-0000-0000-0000E8180000}"/>
    <cellStyle name="_IBFSL_Conso_Dec_07_08 after scheme_ICPL_BS_31.03.2009_new_ISL__3CD_FY2010-11" xfId="6377" xr:uid="{00000000-0005-0000-0000-0000E9180000}"/>
    <cellStyle name="_IBFSL_Conso_Dec_07_08 after scheme_IFCPL 31 03 2010 VER6 Final" xfId="6378" xr:uid="{00000000-0005-0000-0000-0000EA180000}"/>
    <cellStyle name="_IBFSL_Conso_Dec_07_08 after scheme_ISL June 09" xfId="6379" xr:uid="{00000000-0005-0000-0000-0000EB180000}"/>
    <cellStyle name="_IBFSL_Conso_Dec_07_08 after scheme_ISL June 09 2" xfId="6380" xr:uid="{00000000-0005-0000-0000-0000EC180000}"/>
    <cellStyle name="_IBFSL_Conso_Dec_07_08 after scheme_ISL June 09_ISL__3CD_FY2010-11" xfId="6381" xr:uid="{00000000-0005-0000-0000-0000ED180000}"/>
    <cellStyle name="_IBFSL_Conso_Dec_07_08 after scheme_ISL Rev" xfId="6382" xr:uid="{00000000-0005-0000-0000-0000EE180000}"/>
    <cellStyle name="_IBFSL_Conso_Dec_07_08 after scheme_ISL Rev 2" xfId="6383" xr:uid="{00000000-0005-0000-0000-0000EF180000}"/>
    <cellStyle name="_IBFSL_Conso_Dec_07_08 after scheme_ISL Rev_ISL__3CD_FY2010-11" xfId="6384" xr:uid="{00000000-0005-0000-0000-0000F0180000}"/>
    <cellStyle name="_IBFSL_Conso_Dec_07_08 after scheme_ISL Rev_Results" xfId="6385" xr:uid="{00000000-0005-0000-0000-0000F1180000}"/>
    <cellStyle name="_IBFSL_Conso_Dec_07_08 after scheme_ISL Rev_Results 2" xfId="6386" xr:uid="{00000000-0005-0000-0000-0000F2180000}"/>
    <cellStyle name="_IBFSL_Conso_Dec_07_08 after scheme_ISL Rev_Xl0000012" xfId="6387" xr:uid="{00000000-0005-0000-0000-0000F3180000}"/>
    <cellStyle name="_IBFSL_Conso_Dec_07_08 after scheme_ISL Rev_Xl0000012 2" xfId="6388" xr:uid="{00000000-0005-0000-0000-0000F4180000}"/>
    <cellStyle name="_IBFSL_Conso_Dec_07_08 after scheme_ISL_BS_03.03.2009" xfId="6389" xr:uid="{00000000-0005-0000-0000-0000F5180000}"/>
    <cellStyle name="_IBFSL_Conso_Dec_07_08 after scheme_ISL_BS_03.03.2009 2" xfId="6390" xr:uid="{00000000-0005-0000-0000-0000F6180000}"/>
    <cellStyle name="_IBFSL_Conso_Dec_07_08 after scheme_ISL_BS_03.03.2009_ISL__3CD_FY2010-11" xfId="6391" xr:uid="{00000000-0005-0000-0000-0000F7180000}"/>
    <cellStyle name="_IBFSL_Conso_Dec_07_08 after scheme_ISL_BS_08.03.2009" xfId="6392" xr:uid="{00000000-0005-0000-0000-0000F8180000}"/>
    <cellStyle name="_IBFSL_Conso_Dec_07_08 after scheme_ISL_BS_08.03.2009 2" xfId="6393" xr:uid="{00000000-0005-0000-0000-0000F9180000}"/>
    <cellStyle name="_IBFSL_Conso_Dec_07_08 after scheme_ISL_BS_08.03.2009_ISL__3CD_FY2010-11" xfId="6394" xr:uid="{00000000-0005-0000-0000-0000FA180000}"/>
    <cellStyle name="_IBFSL_Conso_Dec_07_08 after scheme_ISL_BS_15.03.2009" xfId="6395" xr:uid="{00000000-0005-0000-0000-0000FB180000}"/>
    <cellStyle name="_IBFSL_Conso_Dec_07_08 after scheme_ISL_BS_15.03.2009 2" xfId="6396" xr:uid="{00000000-0005-0000-0000-0000FC180000}"/>
    <cellStyle name="_IBFSL_Conso_Dec_07_08 after scheme_ISL_BS_15.03.2009_ISL__3CD_FY2010-11" xfId="6397" xr:uid="{00000000-0005-0000-0000-0000FD180000}"/>
    <cellStyle name="_IBFSL_Conso_Dec_07_08 after scheme_ISL_BS_2008-09- First Cut" xfId="6398" xr:uid="{00000000-0005-0000-0000-0000FE180000}"/>
    <cellStyle name="_IBFSL_Conso_Dec_07_08 after scheme_ISL_BS_2008-09- First Cut 2" xfId="6399" xr:uid="{00000000-0005-0000-0000-0000FF180000}"/>
    <cellStyle name="_IBFSL_Conso_Dec_07_08 after scheme_ISL_BS_2008-09- First Cut_ISL__3CD_FY2010-11" xfId="6400" xr:uid="{00000000-0005-0000-0000-000000190000}"/>
    <cellStyle name="_IBFSL_Conso_Dec_07_08 after scheme_ISL_BS_21.09.2009" xfId="6401" xr:uid="{00000000-0005-0000-0000-000001190000}"/>
    <cellStyle name="_IBFSL_Conso_Dec_07_08 after scheme_ISL_BS_21.09.2009 2" xfId="6402" xr:uid="{00000000-0005-0000-0000-000002190000}"/>
    <cellStyle name="_IBFSL_Conso_Dec_07_08 after scheme_ISL_BS_23.02.2009" xfId="6403" xr:uid="{00000000-0005-0000-0000-000003190000}"/>
    <cellStyle name="_IBFSL_Conso_Dec_07_08 after scheme_ISL_BS_23.02.2009 2" xfId="6404" xr:uid="{00000000-0005-0000-0000-000004190000}"/>
    <cellStyle name="_IBFSL_Conso_Dec_07_08 after scheme_ISL_BS_23.02.2009_ISL__3CD_FY2010-11" xfId="6405" xr:uid="{00000000-0005-0000-0000-000005190000}"/>
    <cellStyle name="_IBFSL_Conso_Dec_07_08 after scheme_ISL_BS_24.02.2009" xfId="6406" xr:uid="{00000000-0005-0000-0000-000006190000}"/>
    <cellStyle name="_IBFSL_Conso_Dec_07_08 after scheme_ISL_BS_24.02.2009 2" xfId="6407" xr:uid="{00000000-0005-0000-0000-000007190000}"/>
    <cellStyle name="_IBFSL_Conso_Dec_07_08 after scheme_ISL_BS_24.02.2009_ISL__3CD_FY2010-11" xfId="6408" xr:uid="{00000000-0005-0000-0000-000008190000}"/>
    <cellStyle name="_IBFSL_Conso_Dec_07_08 after scheme_ISL_BS_Aug 09" xfId="6409" xr:uid="{00000000-0005-0000-0000-000009190000}"/>
    <cellStyle name="_IBFSL_Conso_Dec_07_08 after scheme_ISL_BS_Aug 09 2" xfId="6410" xr:uid="{00000000-0005-0000-0000-00000A190000}"/>
    <cellStyle name="_IBFSL_Conso_Dec_07_08 after scheme_ISL_BS_Aug 09.z" xfId="6411" xr:uid="{00000000-0005-0000-0000-00000B190000}"/>
    <cellStyle name="_IBFSL_Conso_Dec_07_08 after scheme_ISL_BS_Aug 09.z 2" xfId="6412" xr:uid="{00000000-0005-0000-0000-00000C190000}"/>
    <cellStyle name="_IBFSL_Conso_Dec_07_08 after scheme_ISL_BS_Aug 09.z_ISL__3CD_FY2010-11" xfId="6413" xr:uid="{00000000-0005-0000-0000-00000D190000}"/>
    <cellStyle name="_IBFSL_Conso_Dec_07_08 after scheme_ISL_BS_Aug 09_ISL__3CD_FY2010-11" xfId="6414" xr:uid="{00000000-0005-0000-0000-00000E190000}"/>
    <cellStyle name="_IBFSL_Conso_Dec_07_08 after scheme_ISL_Conso_09_10_Other working" xfId="6415" xr:uid="{00000000-0005-0000-0000-00000F190000}"/>
    <cellStyle name="_IBFSL_Conso_Dec_07_08 after scheme_ISL_Conso_09_10_Other working 2" xfId="6416" xr:uid="{00000000-0005-0000-0000-000010190000}"/>
    <cellStyle name="_IBFSL_Conso_Dec_07_08 after scheme_ISL_conso_August_09_10" xfId="6417" xr:uid="{00000000-0005-0000-0000-000011190000}"/>
    <cellStyle name="_IBFSL_Conso_Dec_07_08 after scheme_ISL_conso_August_09_10 2" xfId="6418" xr:uid="{00000000-0005-0000-0000-000012190000}"/>
    <cellStyle name="_IBFSL_Conso_Dec_07_08 after scheme_ISL_conso_August_09_10_ISL__3CD_FY2010-11" xfId="6419" xr:uid="{00000000-0005-0000-0000-000013190000}"/>
    <cellStyle name="_IBFSL_Conso_Dec_07_08 after scheme_ISL_conso_August_10_11" xfId="6420" xr:uid="{00000000-0005-0000-0000-000014190000}"/>
    <cellStyle name="_IBFSL_Conso_Dec_07_08 after scheme_ISL_conso_August_10_11 2" xfId="6421" xr:uid="{00000000-0005-0000-0000-000015190000}"/>
    <cellStyle name="_IBFSL_Conso_Dec_07_08 after scheme_ISL_conso_December_08_09" xfId="6422" xr:uid="{00000000-0005-0000-0000-000016190000}"/>
    <cellStyle name="_IBFSL_Conso_Dec_07_08 after scheme_ISL_conso_December_08_09 2" xfId="6423" xr:uid="{00000000-0005-0000-0000-000017190000}"/>
    <cellStyle name="_IBFSL_Conso_Dec_07_08 after scheme_ISL_conso_December_08_09_ISL__3CD_FY2010-11" xfId="6424" xr:uid="{00000000-0005-0000-0000-000018190000}"/>
    <cellStyle name="_IBFSL_Conso_Dec_07_08 after scheme_ISL_conso_December_08_09_Results" xfId="6425" xr:uid="{00000000-0005-0000-0000-000019190000}"/>
    <cellStyle name="_IBFSL_Conso_Dec_07_08 after scheme_ISL_conso_December_08_09_Results 2" xfId="6426" xr:uid="{00000000-0005-0000-0000-00001A190000}"/>
    <cellStyle name="_IBFSL_Conso_Dec_07_08 after scheme_ISL_conso_December_08_09_Xl0000012" xfId="6427" xr:uid="{00000000-0005-0000-0000-00001B190000}"/>
    <cellStyle name="_IBFSL_Conso_Dec_07_08 after scheme_ISL_conso_December_08_09_Xl0000012 2" xfId="6428" xr:uid="{00000000-0005-0000-0000-00001C190000}"/>
    <cellStyle name="_IBFSL_Conso_Dec_07_08 after scheme_ISL_conso_December_09_10" xfId="6429" xr:uid="{00000000-0005-0000-0000-00001D190000}"/>
    <cellStyle name="_IBFSL_Conso_Dec_07_08 after scheme_ISL_conso_December_09_10 2" xfId="6430" xr:uid="{00000000-0005-0000-0000-00001E190000}"/>
    <cellStyle name="_IBFSL_Conso_Dec_07_08 after scheme_ISL_conso_December_09_10_ISL__3CD_FY2010-11" xfId="6431" xr:uid="{00000000-0005-0000-0000-00001F190000}"/>
    <cellStyle name="_IBFSL_Conso_Dec_07_08 after scheme_ISL_conso_December_10_11" xfId="6432" xr:uid="{00000000-0005-0000-0000-000020190000}"/>
    <cellStyle name="_IBFSL_Conso_Dec_07_08 after scheme_ISL_conso_December_10_11 2" xfId="6433" xr:uid="{00000000-0005-0000-0000-000021190000}"/>
    <cellStyle name="_IBFSL_Conso_Dec_07_08 after scheme_ISL_conso_February_09_10" xfId="6434" xr:uid="{00000000-0005-0000-0000-000022190000}"/>
    <cellStyle name="_IBFSL_Conso_Dec_07_08 after scheme_ISL_conso_February_09_10 2" xfId="6435" xr:uid="{00000000-0005-0000-0000-000023190000}"/>
    <cellStyle name="_IBFSL_Conso_Dec_07_08 after scheme_ISL_conso_January_09_10" xfId="6436" xr:uid="{00000000-0005-0000-0000-000024190000}"/>
    <cellStyle name="_IBFSL_Conso_Dec_07_08 after scheme_ISL_conso_January_09_10 2" xfId="6437" xr:uid="{00000000-0005-0000-0000-000025190000}"/>
    <cellStyle name="_IBFSL_Conso_Dec_07_08 after scheme_ISL_conso_July_08_09" xfId="6438" xr:uid="{00000000-0005-0000-0000-000026190000}"/>
    <cellStyle name="_IBFSL_Conso_Dec_07_08 after scheme_ISL_conso_July_08_09 2" xfId="6439" xr:uid="{00000000-0005-0000-0000-000027190000}"/>
    <cellStyle name="_IBFSL_Conso_Dec_07_08 after scheme_ISL_conso_July_08_09_ISL__3CD_FY2010-11" xfId="6440" xr:uid="{00000000-0005-0000-0000-000028190000}"/>
    <cellStyle name="_IBFSL_Conso_Dec_07_08 after scheme_ISL_conso_July_08_09_Results" xfId="6441" xr:uid="{00000000-0005-0000-0000-000029190000}"/>
    <cellStyle name="_IBFSL_Conso_Dec_07_08 after scheme_ISL_conso_July_08_09_Results 2" xfId="6442" xr:uid="{00000000-0005-0000-0000-00002A190000}"/>
    <cellStyle name="_IBFSL_Conso_Dec_07_08 after scheme_ISL_conso_July_08_09_Xl0000012" xfId="6443" xr:uid="{00000000-0005-0000-0000-00002B190000}"/>
    <cellStyle name="_IBFSL_Conso_Dec_07_08 after scheme_ISL_conso_July_08_09_Xl0000012 2" xfId="6444" xr:uid="{00000000-0005-0000-0000-00002C190000}"/>
    <cellStyle name="_IBFSL_Conso_Dec_07_08 after scheme_ISL_conso_July_09_10" xfId="6445" xr:uid="{00000000-0005-0000-0000-00002D190000}"/>
    <cellStyle name="_IBFSL_Conso_Dec_07_08 after scheme_ISL_conso_July_09_10 2" xfId="6446" xr:uid="{00000000-0005-0000-0000-00002E190000}"/>
    <cellStyle name="_IBFSL_Conso_Dec_07_08 after scheme_ISL_conso_July_09_10_ISL__3CD_FY2010-11" xfId="6447" xr:uid="{00000000-0005-0000-0000-00002F190000}"/>
    <cellStyle name="_IBFSL_Conso_Dec_07_08 after scheme_ISL_conso_July_10_11" xfId="6448" xr:uid="{00000000-0005-0000-0000-000030190000}"/>
    <cellStyle name="_IBFSL_Conso_Dec_07_08 after scheme_ISL_conso_July_10_11 2" xfId="6449" xr:uid="{00000000-0005-0000-0000-000031190000}"/>
    <cellStyle name="_IBFSL_Conso_Dec_07_08 after scheme_ISL_conso_June_09_10" xfId="6450" xr:uid="{00000000-0005-0000-0000-000032190000}"/>
    <cellStyle name="_IBFSL_Conso_Dec_07_08 after scheme_ISL_conso_June_09_10 2" xfId="6451" xr:uid="{00000000-0005-0000-0000-000033190000}"/>
    <cellStyle name="_IBFSL_Conso_Dec_07_08 after scheme_ISL_conso_June_09_10_ISL__3CD_FY2010-11" xfId="6452" xr:uid="{00000000-0005-0000-0000-000034190000}"/>
    <cellStyle name="_IBFSL_Conso_Dec_07_08 after scheme_ISL_conso_June_10_11" xfId="6453" xr:uid="{00000000-0005-0000-0000-000035190000}"/>
    <cellStyle name="_IBFSL_Conso_Dec_07_08 after scheme_ISL_conso_June_10_11 2" xfId="6454" xr:uid="{00000000-0005-0000-0000-000036190000}"/>
    <cellStyle name="_IBFSL_Conso_Dec_07_08 after scheme_ISL_conso_March_08_09" xfId="6455" xr:uid="{00000000-0005-0000-0000-000037190000}"/>
    <cellStyle name="_IBFSL_Conso_Dec_07_08 after scheme_ISL_conso_March_08_09 2" xfId="6456" xr:uid="{00000000-0005-0000-0000-000038190000}"/>
    <cellStyle name="_IBFSL_Conso_Dec_07_08 after scheme_ISL_conso_March_08_09_ISL__3CD_FY2010-11" xfId="6457" xr:uid="{00000000-0005-0000-0000-000039190000}"/>
    <cellStyle name="_IBFSL_Conso_Dec_07_08 after scheme_ISL_conso_March_09_10" xfId="6458" xr:uid="{00000000-0005-0000-0000-00003A190000}"/>
    <cellStyle name="_IBFSL_Conso_Dec_07_08 after scheme_ISL_conso_March_09_10 2" xfId="6459" xr:uid="{00000000-0005-0000-0000-00003B190000}"/>
    <cellStyle name="_IBFSL_Conso_Dec_07_08 after scheme_ISL_conso_May_09_10" xfId="6460" xr:uid="{00000000-0005-0000-0000-00003C190000}"/>
    <cellStyle name="_IBFSL_Conso_Dec_07_08 after scheme_ISL_conso_May_09_10 2" xfId="6461" xr:uid="{00000000-0005-0000-0000-00003D190000}"/>
    <cellStyle name="_IBFSL_Conso_Dec_07_08 after scheme_ISL_conso_May_09_10_ISL__3CD_FY2010-11" xfId="6462" xr:uid="{00000000-0005-0000-0000-00003E190000}"/>
    <cellStyle name="_IBFSL_Conso_Dec_07_08 after scheme_ISL_conso_May_10_11" xfId="6463" xr:uid="{00000000-0005-0000-0000-00003F190000}"/>
    <cellStyle name="_IBFSL_Conso_Dec_07_08 after scheme_ISL_conso_May_10_11 2" xfId="6464" xr:uid="{00000000-0005-0000-0000-000040190000}"/>
    <cellStyle name="_IBFSL_Conso_Dec_07_08 after scheme_ISL_conso_November_09_10" xfId="6465" xr:uid="{00000000-0005-0000-0000-000041190000}"/>
    <cellStyle name="_IBFSL_Conso_Dec_07_08 after scheme_ISL_conso_November_09_10 2" xfId="6466" xr:uid="{00000000-0005-0000-0000-000042190000}"/>
    <cellStyle name="_IBFSL_Conso_Dec_07_08 after scheme_ISL_conso_November_09_10_ISL__3CD_FY2010-11" xfId="6467" xr:uid="{00000000-0005-0000-0000-000043190000}"/>
    <cellStyle name="_IBFSL_Conso_Dec_07_08 after scheme_ISL_conso_November_10_11" xfId="6468" xr:uid="{00000000-0005-0000-0000-000044190000}"/>
    <cellStyle name="_IBFSL_Conso_Dec_07_08 after scheme_ISL_conso_November_10_11 2" xfId="6469" xr:uid="{00000000-0005-0000-0000-000045190000}"/>
    <cellStyle name="_IBFSL_Conso_Dec_07_08 after scheme_ISL_conso_October_09_10" xfId="6470" xr:uid="{00000000-0005-0000-0000-000046190000}"/>
    <cellStyle name="_IBFSL_Conso_Dec_07_08 after scheme_ISL_conso_October_09_10 2" xfId="6471" xr:uid="{00000000-0005-0000-0000-000047190000}"/>
    <cellStyle name="_IBFSL_Conso_Dec_07_08 after scheme_ISL_conso_October_09_10_ISL__3CD_FY2010-11" xfId="6472" xr:uid="{00000000-0005-0000-0000-000048190000}"/>
    <cellStyle name="_IBFSL_Conso_Dec_07_08 after scheme_ISL_conso_October_10_11" xfId="6473" xr:uid="{00000000-0005-0000-0000-000049190000}"/>
    <cellStyle name="_IBFSL_Conso_Dec_07_08 after scheme_ISL_conso_October_10_11 2" xfId="6474" xr:uid="{00000000-0005-0000-0000-00004A190000}"/>
    <cellStyle name="_IBFSL_Conso_Dec_07_08 after scheme_ISL_conso_September_08_09" xfId="6475" xr:uid="{00000000-0005-0000-0000-00004B190000}"/>
    <cellStyle name="_IBFSL_Conso_Dec_07_08 after scheme_ISL_conso_September_08_09 2" xfId="6476" xr:uid="{00000000-0005-0000-0000-00004C190000}"/>
    <cellStyle name="_IBFSL_Conso_Dec_07_08 after scheme_ISL_conso_September_08_09_ISL__3CD_FY2010-11" xfId="6477" xr:uid="{00000000-0005-0000-0000-00004D190000}"/>
    <cellStyle name="_IBFSL_Conso_Dec_07_08 after scheme_ISL_conso_September_08_09_Results" xfId="6478" xr:uid="{00000000-0005-0000-0000-00004E190000}"/>
    <cellStyle name="_IBFSL_Conso_Dec_07_08 after scheme_ISL_conso_September_08_09_Results 2" xfId="6479" xr:uid="{00000000-0005-0000-0000-00004F190000}"/>
    <cellStyle name="_IBFSL_Conso_Dec_07_08 after scheme_ISL_conso_September_08_09_Xl0000012" xfId="6480" xr:uid="{00000000-0005-0000-0000-000050190000}"/>
    <cellStyle name="_IBFSL_Conso_Dec_07_08 after scheme_ISL_conso_September_08_09_Xl0000012 2" xfId="6481" xr:uid="{00000000-0005-0000-0000-000051190000}"/>
    <cellStyle name="_IBFSL_Conso_Dec_07_08 after scheme_ISL_conso_September_09_10" xfId="6482" xr:uid="{00000000-0005-0000-0000-000052190000}"/>
    <cellStyle name="_IBFSL_Conso_Dec_07_08 after scheme_ISL_conso_September_09_10 2" xfId="6483" xr:uid="{00000000-0005-0000-0000-000053190000}"/>
    <cellStyle name="_IBFSL_Conso_Dec_07_08 after scheme_ISL_conso_September_09_10_ISL__3CD_FY2010-11" xfId="6484" xr:uid="{00000000-0005-0000-0000-000054190000}"/>
    <cellStyle name="_IBFSL_Conso_Dec_07_08 after scheme_ISL_conso_September_10_11" xfId="6485" xr:uid="{00000000-0005-0000-0000-000055190000}"/>
    <cellStyle name="_IBFSL_Conso_Dec_07_08 after scheme_ISL_conso_September_10_11 2" xfId="6486" xr:uid="{00000000-0005-0000-0000-000056190000}"/>
    <cellStyle name="_IBFSL_Conso_Dec_07_08 after scheme_ISL_June_10" xfId="6487" xr:uid="{00000000-0005-0000-0000-000057190000}"/>
    <cellStyle name="_IBFSL_Conso_Dec_07_08 after scheme_ISL_June_10 2" xfId="6488" xr:uid="{00000000-0005-0000-0000-000058190000}"/>
    <cellStyle name="_IBFSL_Conso_Dec_07_08 after scheme_ISL_MAR_2008_09" xfId="6489" xr:uid="{00000000-0005-0000-0000-000059190000}"/>
    <cellStyle name="_IBFSL_Conso_Dec_07_08 after scheme_ISL_March_08_09.final_11.12.2009" xfId="6490" xr:uid="{00000000-0005-0000-0000-00005A190000}"/>
    <cellStyle name="_IBFSL_Conso_Dec_07_08 after scheme_ISL_March_08_09.final_11.12.2009_ISL__3CD_FY2010-11" xfId="6491" xr:uid="{00000000-0005-0000-0000-00005B190000}"/>
    <cellStyle name="_IBFSL_Conso_Dec_07_08 after scheme_ISL_Provisions_30.09.2010" xfId="6492" xr:uid="{00000000-0005-0000-0000-00005C190000}"/>
    <cellStyle name="_IBFSL_Conso_Dec_07_08 after scheme_ITR6_2009_10_ICPL1" xfId="6493" xr:uid="{00000000-0005-0000-0000-00005D190000}"/>
    <cellStyle name="_IBFSL_Conso_Dec_07_08 after scheme_ITR6_2009_10_ICPL1_ISL__3CD_FY2010-11" xfId="6494" xr:uid="{00000000-0005-0000-0000-00005E190000}"/>
    <cellStyle name="_IBFSL_Conso_Dec_07_08 after scheme_ITR6_2009_10_ISL_Vivek" xfId="6495" xr:uid="{00000000-0005-0000-0000-00005F190000}"/>
    <cellStyle name="_IBFSL_Conso_Dec_07_08 after scheme_ITR6_2009_10_ISL_Vivek_ISL__3CD_FY2010-11" xfId="6496" xr:uid="{00000000-0005-0000-0000-000060190000}"/>
    <cellStyle name="_IBFSL_Conso_Dec_07_08 after scheme_loan" xfId="6497" xr:uid="{00000000-0005-0000-0000-000061190000}"/>
    <cellStyle name="_IBFSL_Conso_Dec_07_08 after scheme_loan_ISL__3CD_FY2010-11" xfId="6498" xr:uid="{00000000-0005-0000-0000-000062190000}"/>
    <cellStyle name="_IBFSL_Conso_Dec_07_08 after scheme_Provision" xfId="6499" xr:uid="{00000000-0005-0000-0000-000063190000}"/>
    <cellStyle name="_IBFSL_Conso_Dec_07_08 after scheme_Provision for Exp - FY 0809" xfId="6500" xr:uid="{00000000-0005-0000-0000-000064190000}"/>
    <cellStyle name="_IBFSL_Conso_Dec_07_08 after scheme_Provision for Exp - FY 0809_ISL__3CD_FY2010-11" xfId="6501" xr:uid="{00000000-0005-0000-0000-000065190000}"/>
    <cellStyle name="_IBFSL_Conso_Dec_07_08 after scheme_Provision March 09 (1)" xfId="6502" xr:uid="{00000000-0005-0000-0000-000066190000}"/>
    <cellStyle name="_IBFSL_Conso_Dec_07_08 after scheme_provisions q3" xfId="6503" xr:uid="{00000000-0005-0000-0000-000067190000}"/>
    <cellStyle name="_IBFSL_Conso_Dec_07_08 after scheme_Result" xfId="6504" xr:uid="{00000000-0005-0000-0000-000068190000}"/>
    <cellStyle name="_IBFSL_Conso_Dec_07_08 after scheme_Result 2" xfId="6505" xr:uid="{00000000-0005-0000-0000-000069190000}"/>
    <cellStyle name="_IBFSL_Conso_Dec_07_08 after scheme_Results" xfId="6506" xr:uid="{00000000-0005-0000-0000-00006A190000}"/>
    <cellStyle name="_IBFSL_Conso_Dec_07_08 after scheme_Results 2" xfId="6507" xr:uid="{00000000-0005-0000-0000-00006B190000}"/>
    <cellStyle name="_IBFSL_Conso_Dec_07_08 after scheme_Standalone Financials - March 31, 2010 - Printable" xfId="6508" xr:uid="{00000000-0005-0000-0000-00006C190000}"/>
    <cellStyle name="_IBFSL_Conso_Dec_07_08 after scheme_Standalone Financials - March 31, 2010 - Printable_ISL__3CD_FY2010-11" xfId="6509" xr:uid="{00000000-0005-0000-0000-00006D190000}"/>
    <cellStyle name="_IBFSL_Conso_Dec_07_08 after scheme_Xl0000012" xfId="6510" xr:uid="{00000000-0005-0000-0000-00006E190000}"/>
    <cellStyle name="_IBFSL_Conso_Dec_07_08 after scheme_Xl0000012 2" xfId="6511" xr:uid="{00000000-0005-0000-0000-00006F190000}"/>
    <cellStyle name="_IBFSL_Conso_Dec_07_08 after_Book1" xfId="6512" xr:uid="{00000000-0005-0000-0000-000070190000}"/>
    <cellStyle name="_IBFSL_Conso_Dec_07_08 after_Book1 (2)" xfId="6513" xr:uid="{00000000-0005-0000-0000-000071190000}"/>
    <cellStyle name="_IBFSL_Conso_Dec_07_08 after_Book1 (2) 2" xfId="6514" xr:uid="{00000000-0005-0000-0000-000072190000}"/>
    <cellStyle name="_IBFSL_Conso_Dec_07_08 after_Book1 10" xfId="6515" xr:uid="{00000000-0005-0000-0000-000073190000}"/>
    <cellStyle name="_IBFSL_Conso_Dec_07_08 after_Book1 11" xfId="6516" xr:uid="{00000000-0005-0000-0000-000074190000}"/>
    <cellStyle name="_IBFSL_Conso_Dec_07_08 after_Book1 2" xfId="6517" xr:uid="{00000000-0005-0000-0000-000075190000}"/>
    <cellStyle name="_IBFSL_Conso_Dec_07_08 after_Book1 3" xfId="6518" xr:uid="{00000000-0005-0000-0000-000076190000}"/>
    <cellStyle name="_IBFSL_Conso_Dec_07_08 after_Book1 4" xfId="6519" xr:uid="{00000000-0005-0000-0000-000077190000}"/>
    <cellStyle name="_IBFSL_Conso_Dec_07_08 after_Book1 5" xfId="6520" xr:uid="{00000000-0005-0000-0000-000078190000}"/>
    <cellStyle name="_IBFSL_Conso_Dec_07_08 after_Book1 6" xfId="6521" xr:uid="{00000000-0005-0000-0000-000079190000}"/>
    <cellStyle name="_IBFSL_Conso_Dec_07_08 after_Book1 7" xfId="6522" xr:uid="{00000000-0005-0000-0000-00007A190000}"/>
    <cellStyle name="_IBFSL_Conso_Dec_07_08 after_Book1 8" xfId="6523" xr:uid="{00000000-0005-0000-0000-00007B190000}"/>
    <cellStyle name="_IBFSL_Conso_Dec_07_08 after_Book1 9" xfId="6524" xr:uid="{00000000-0005-0000-0000-00007C190000}"/>
    <cellStyle name="_IBFSL_Conso_Dec_07_08 after_Book1_ISL__3CD_FY2010-11" xfId="6525" xr:uid="{00000000-0005-0000-0000-00007D190000}"/>
    <cellStyle name="_IBFSL_Conso_Dec_07_08 after_Book2" xfId="6526" xr:uid="{00000000-0005-0000-0000-00007E190000}"/>
    <cellStyle name="_IBFSL_Conso_Dec_07_08 after_Book2 2" xfId="6527" xr:uid="{00000000-0005-0000-0000-00007F190000}"/>
    <cellStyle name="_IBFSL_Conso_Dec_07_08 after_Book2_ISL__3CD_FY2010-11" xfId="6528" xr:uid="{00000000-0005-0000-0000-000080190000}"/>
    <cellStyle name="_IBFSL_Conso_Dec_07_08 after_Book4" xfId="6529" xr:uid="{00000000-0005-0000-0000-000081190000}"/>
    <cellStyle name="_IBFSL_Conso_Dec_07_08 after_Book4 2" xfId="6530" xr:uid="{00000000-0005-0000-0000-000082190000}"/>
    <cellStyle name="_IBFSL_Conso_Dec_07_08 after_Book4_ISL__3CD_FY2010-11" xfId="6531" xr:uid="{00000000-0005-0000-0000-000083190000}"/>
    <cellStyle name="_IBFSL_Conso_Dec_07_08 after_Detail of IPO funding" xfId="6532" xr:uid="{00000000-0005-0000-0000-000084190000}"/>
    <cellStyle name="_IBFSL_Conso_Dec_07_08 after_FDR Int Calculation as per BS" xfId="6533" xr:uid="{00000000-0005-0000-0000-000085190000}"/>
    <cellStyle name="_IBFSL_Conso_Dec_07_08 after_ICPL_BS_31.03.2009_new" xfId="6534" xr:uid="{00000000-0005-0000-0000-000086190000}"/>
    <cellStyle name="_IBFSL_Conso_Dec_07_08 after_ICPL_BS_31.03.2009_new_ISL__3CD_FY2010-11" xfId="6535" xr:uid="{00000000-0005-0000-0000-000087190000}"/>
    <cellStyle name="_IBFSL_Conso_Dec_07_08 after_IFCPL 31 03 2010 VER6 Final" xfId="6536" xr:uid="{00000000-0005-0000-0000-000088190000}"/>
    <cellStyle name="_IBFSL_Conso_Dec_07_08 after_ISL June 09" xfId="6537" xr:uid="{00000000-0005-0000-0000-000089190000}"/>
    <cellStyle name="_IBFSL_Conso_Dec_07_08 after_ISL June 09 2" xfId="6538" xr:uid="{00000000-0005-0000-0000-00008A190000}"/>
    <cellStyle name="_IBFSL_Conso_Dec_07_08 after_ISL June 09_ISL__3CD_FY2010-11" xfId="6539" xr:uid="{00000000-0005-0000-0000-00008B190000}"/>
    <cellStyle name="_IBFSL_Conso_Dec_07_08 after_ISL Rev" xfId="6540" xr:uid="{00000000-0005-0000-0000-00008C190000}"/>
    <cellStyle name="_IBFSL_Conso_Dec_07_08 after_ISL Rev 2" xfId="6541" xr:uid="{00000000-0005-0000-0000-00008D190000}"/>
    <cellStyle name="_IBFSL_Conso_Dec_07_08 after_ISL Rev_ISL__3CD_FY2010-11" xfId="6542" xr:uid="{00000000-0005-0000-0000-00008E190000}"/>
    <cellStyle name="_IBFSL_Conso_Dec_07_08 after_ISL Rev_Results" xfId="6543" xr:uid="{00000000-0005-0000-0000-00008F190000}"/>
    <cellStyle name="_IBFSL_Conso_Dec_07_08 after_ISL Rev_Results 2" xfId="6544" xr:uid="{00000000-0005-0000-0000-000090190000}"/>
    <cellStyle name="_IBFSL_Conso_Dec_07_08 after_ISL Rev_Xl0000012" xfId="6545" xr:uid="{00000000-0005-0000-0000-000091190000}"/>
    <cellStyle name="_IBFSL_Conso_Dec_07_08 after_ISL Rev_Xl0000012 2" xfId="6546" xr:uid="{00000000-0005-0000-0000-000092190000}"/>
    <cellStyle name="_IBFSL_Conso_Dec_07_08 after_ISL_BS_03.03.2009" xfId="6547" xr:uid="{00000000-0005-0000-0000-000093190000}"/>
    <cellStyle name="_IBFSL_Conso_Dec_07_08 after_ISL_BS_03.03.2009 2" xfId="6548" xr:uid="{00000000-0005-0000-0000-000094190000}"/>
    <cellStyle name="_IBFSL_Conso_Dec_07_08 after_ISL_BS_03.03.2009_ISL__3CD_FY2010-11" xfId="6549" xr:uid="{00000000-0005-0000-0000-000095190000}"/>
    <cellStyle name="_IBFSL_Conso_Dec_07_08 after_ISL_BS_08.03.2009" xfId="6550" xr:uid="{00000000-0005-0000-0000-000096190000}"/>
    <cellStyle name="_IBFSL_Conso_Dec_07_08 after_ISL_BS_08.03.2009 2" xfId="6551" xr:uid="{00000000-0005-0000-0000-000097190000}"/>
    <cellStyle name="_IBFSL_Conso_Dec_07_08 after_ISL_BS_08.03.2009_ISL__3CD_FY2010-11" xfId="6552" xr:uid="{00000000-0005-0000-0000-000098190000}"/>
    <cellStyle name="_IBFSL_Conso_Dec_07_08 after_ISL_BS_15.03.2009" xfId="6553" xr:uid="{00000000-0005-0000-0000-000099190000}"/>
    <cellStyle name="_IBFSL_Conso_Dec_07_08 after_ISL_BS_15.03.2009 2" xfId="6554" xr:uid="{00000000-0005-0000-0000-00009A190000}"/>
    <cellStyle name="_IBFSL_Conso_Dec_07_08 after_ISL_BS_15.03.2009_ISL__3CD_FY2010-11" xfId="6555" xr:uid="{00000000-0005-0000-0000-00009B190000}"/>
    <cellStyle name="_IBFSL_Conso_Dec_07_08 after_ISL_BS_2008-09- First Cut" xfId="6556" xr:uid="{00000000-0005-0000-0000-00009C190000}"/>
    <cellStyle name="_IBFSL_Conso_Dec_07_08 after_ISL_BS_2008-09- First Cut 2" xfId="6557" xr:uid="{00000000-0005-0000-0000-00009D190000}"/>
    <cellStyle name="_IBFSL_Conso_Dec_07_08 after_ISL_BS_2008-09- First Cut_ISL__3CD_FY2010-11" xfId="6558" xr:uid="{00000000-0005-0000-0000-00009E190000}"/>
    <cellStyle name="_IBFSL_Conso_Dec_07_08 after_ISL_BS_21.09.2009" xfId="6559" xr:uid="{00000000-0005-0000-0000-00009F190000}"/>
    <cellStyle name="_IBFSL_Conso_Dec_07_08 after_ISL_BS_21.09.2009 2" xfId="6560" xr:uid="{00000000-0005-0000-0000-0000A0190000}"/>
    <cellStyle name="_IBFSL_Conso_Dec_07_08 after_ISL_BS_23.02.2009" xfId="6561" xr:uid="{00000000-0005-0000-0000-0000A1190000}"/>
    <cellStyle name="_IBFSL_Conso_Dec_07_08 after_ISL_BS_23.02.2009 2" xfId="6562" xr:uid="{00000000-0005-0000-0000-0000A2190000}"/>
    <cellStyle name="_IBFSL_Conso_Dec_07_08 after_ISL_BS_23.02.2009_ISL__3CD_FY2010-11" xfId="6563" xr:uid="{00000000-0005-0000-0000-0000A3190000}"/>
    <cellStyle name="_IBFSL_Conso_Dec_07_08 after_ISL_BS_24.02.2009" xfId="6564" xr:uid="{00000000-0005-0000-0000-0000A4190000}"/>
    <cellStyle name="_IBFSL_Conso_Dec_07_08 after_ISL_BS_24.02.2009 2" xfId="6565" xr:uid="{00000000-0005-0000-0000-0000A5190000}"/>
    <cellStyle name="_IBFSL_Conso_Dec_07_08 after_ISL_BS_24.02.2009_ISL__3CD_FY2010-11" xfId="6566" xr:uid="{00000000-0005-0000-0000-0000A6190000}"/>
    <cellStyle name="_IBFSL_Conso_Dec_07_08 after_ISL_BS_Aug 09" xfId="6567" xr:uid="{00000000-0005-0000-0000-0000A7190000}"/>
    <cellStyle name="_IBFSL_Conso_Dec_07_08 after_ISL_BS_Aug 09 2" xfId="6568" xr:uid="{00000000-0005-0000-0000-0000A8190000}"/>
    <cellStyle name="_IBFSL_Conso_Dec_07_08 after_ISL_BS_Aug 09.z" xfId="6569" xr:uid="{00000000-0005-0000-0000-0000A9190000}"/>
    <cellStyle name="_IBFSL_Conso_Dec_07_08 after_ISL_BS_Aug 09.z 2" xfId="6570" xr:uid="{00000000-0005-0000-0000-0000AA190000}"/>
    <cellStyle name="_IBFSL_Conso_Dec_07_08 after_ISL_BS_Aug 09.z_ISL__3CD_FY2010-11" xfId="6571" xr:uid="{00000000-0005-0000-0000-0000AB190000}"/>
    <cellStyle name="_IBFSL_Conso_Dec_07_08 after_ISL_BS_Aug 09_ISL__3CD_FY2010-11" xfId="6572" xr:uid="{00000000-0005-0000-0000-0000AC190000}"/>
    <cellStyle name="_IBFSL_Conso_Dec_07_08 after_ISL_Conso_09_10_Other working" xfId="6573" xr:uid="{00000000-0005-0000-0000-0000AD190000}"/>
    <cellStyle name="_IBFSL_Conso_Dec_07_08 after_ISL_Conso_09_10_Other working 2" xfId="6574" xr:uid="{00000000-0005-0000-0000-0000AE190000}"/>
    <cellStyle name="_IBFSL_Conso_Dec_07_08 after_ISL_conso_August_09_10" xfId="6575" xr:uid="{00000000-0005-0000-0000-0000AF190000}"/>
    <cellStyle name="_IBFSL_Conso_Dec_07_08 after_ISL_conso_August_09_10 2" xfId="6576" xr:uid="{00000000-0005-0000-0000-0000B0190000}"/>
    <cellStyle name="_IBFSL_Conso_Dec_07_08 after_ISL_conso_August_09_10_ISL__3CD_FY2010-11" xfId="6577" xr:uid="{00000000-0005-0000-0000-0000B1190000}"/>
    <cellStyle name="_IBFSL_Conso_Dec_07_08 after_ISL_conso_August_10_11" xfId="6578" xr:uid="{00000000-0005-0000-0000-0000B2190000}"/>
    <cellStyle name="_IBFSL_Conso_Dec_07_08 after_ISL_conso_August_10_11 2" xfId="6579" xr:uid="{00000000-0005-0000-0000-0000B3190000}"/>
    <cellStyle name="_IBFSL_Conso_Dec_07_08 after_ISL_conso_December_08_09" xfId="6580" xr:uid="{00000000-0005-0000-0000-0000B4190000}"/>
    <cellStyle name="_IBFSL_Conso_Dec_07_08 after_ISL_conso_December_08_09 2" xfId="6581" xr:uid="{00000000-0005-0000-0000-0000B5190000}"/>
    <cellStyle name="_IBFSL_Conso_Dec_07_08 after_ISL_conso_December_08_09_ISL__3CD_FY2010-11" xfId="6582" xr:uid="{00000000-0005-0000-0000-0000B6190000}"/>
    <cellStyle name="_IBFSL_Conso_Dec_07_08 after_ISL_conso_December_08_09_Results" xfId="6583" xr:uid="{00000000-0005-0000-0000-0000B7190000}"/>
    <cellStyle name="_IBFSL_Conso_Dec_07_08 after_ISL_conso_December_08_09_Results 2" xfId="6584" xr:uid="{00000000-0005-0000-0000-0000B8190000}"/>
    <cellStyle name="_IBFSL_Conso_Dec_07_08 after_ISL_conso_December_08_09_Xl0000012" xfId="6585" xr:uid="{00000000-0005-0000-0000-0000B9190000}"/>
    <cellStyle name="_IBFSL_Conso_Dec_07_08 after_ISL_conso_December_08_09_Xl0000012 2" xfId="6586" xr:uid="{00000000-0005-0000-0000-0000BA190000}"/>
    <cellStyle name="_IBFSL_Conso_Dec_07_08 after_ISL_conso_December_09_10" xfId="6587" xr:uid="{00000000-0005-0000-0000-0000BB190000}"/>
    <cellStyle name="_IBFSL_Conso_Dec_07_08 after_ISL_conso_December_09_10 2" xfId="6588" xr:uid="{00000000-0005-0000-0000-0000BC190000}"/>
    <cellStyle name="_IBFSL_Conso_Dec_07_08 after_ISL_conso_December_09_10_ISL__3CD_FY2010-11" xfId="6589" xr:uid="{00000000-0005-0000-0000-0000BD190000}"/>
    <cellStyle name="_IBFSL_Conso_Dec_07_08 after_ISL_conso_December_10_11" xfId="6590" xr:uid="{00000000-0005-0000-0000-0000BE190000}"/>
    <cellStyle name="_IBFSL_Conso_Dec_07_08 after_ISL_conso_December_10_11 2" xfId="6591" xr:uid="{00000000-0005-0000-0000-0000BF190000}"/>
    <cellStyle name="_IBFSL_Conso_Dec_07_08 after_ISL_conso_February_09_10" xfId="6592" xr:uid="{00000000-0005-0000-0000-0000C0190000}"/>
    <cellStyle name="_IBFSL_Conso_Dec_07_08 after_ISL_conso_February_09_10 2" xfId="6593" xr:uid="{00000000-0005-0000-0000-0000C1190000}"/>
    <cellStyle name="_IBFSL_Conso_Dec_07_08 after_ISL_conso_January_09_10" xfId="6594" xr:uid="{00000000-0005-0000-0000-0000C2190000}"/>
    <cellStyle name="_IBFSL_Conso_Dec_07_08 after_ISL_conso_January_09_10 2" xfId="6595" xr:uid="{00000000-0005-0000-0000-0000C3190000}"/>
    <cellStyle name="_IBFSL_Conso_Dec_07_08 after_ISL_conso_July_08_09" xfId="6596" xr:uid="{00000000-0005-0000-0000-0000C4190000}"/>
    <cellStyle name="_IBFSL_Conso_Dec_07_08 after_ISL_conso_July_08_09 2" xfId="6597" xr:uid="{00000000-0005-0000-0000-0000C5190000}"/>
    <cellStyle name="_IBFSL_Conso_Dec_07_08 after_ISL_conso_July_08_09_ISL__3CD_FY2010-11" xfId="6598" xr:uid="{00000000-0005-0000-0000-0000C6190000}"/>
    <cellStyle name="_IBFSL_Conso_Dec_07_08 after_ISL_conso_July_08_09_Results" xfId="6599" xr:uid="{00000000-0005-0000-0000-0000C7190000}"/>
    <cellStyle name="_IBFSL_Conso_Dec_07_08 after_ISL_conso_July_08_09_Results 2" xfId="6600" xr:uid="{00000000-0005-0000-0000-0000C8190000}"/>
    <cellStyle name="_IBFSL_Conso_Dec_07_08 after_ISL_conso_July_08_09_Xl0000012" xfId="6601" xr:uid="{00000000-0005-0000-0000-0000C9190000}"/>
    <cellStyle name="_IBFSL_Conso_Dec_07_08 after_ISL_conso_July_08_09_Xl0000012 2" xfId="6602" xr:uid="{00000000-0005-0000-0000-0000CA190000}"/>
    <cellStyle name="_IBFSL_Conso_Dec_07_08 after_ISL_conso_July_09_10" xfId="6603" xr:uid="{00000000-0005-0000-0000-0000CB190000}"/>
    <cellStyle name="_IBFSL_Conso_Dec_07_08 after_ISL_conso_July_09_10 2" xfId="6604" xr:uid="{00000000-0005-0000-0000-0000CC190000}"/>
    <cellStyle name="_IBFSL_Conso_Dec_07_08 after_ISL_conso_July_09_10_ISL__3CD_FY2010-11" xfId="6605" xr:uid="{00000000-0005-0000-0000-0000CD190000}"/>
    <cellStyle name="_IBFSL_Conso_Dec_07_08 after_ISL_conso_July_10_11" xfId="6606" xr:uid="{00000000-0005-0000-0000-0000CE190000}"/>
    <cellStyle name="_IBFSL_Conso_Dec_07_08 after_ISL_conso_July_10_11 2" xfId="6607" xr:uid="{00000000-0005-0000-0000-0000CF190000}"/>
    <cellStyle name="_IBFSL_Conso_Dec_07_08 after_ISL_conso_June_09_10" xfId="6608" xr:uid="{00000000-0005-0000-0000-0000D0190000}"/>
    <cellStyle name="_IBFSL_Conso_Dec_07_08 after_ISL_conso_June_09_10 2" xfId="6609" xr:uid="{00000000-0005-0000-0000-0000D1190000}"/>
    <cellStyle name="_IBFSL_Conso_Dec_07_08 after_ISL_conso_June_09_10_ISL__3CD_FY2010-11" xfId="6610" xr:uid="{00000000-0005-0000-0000-0000D2190000}"/>
    <cellStyle name="_IBFSL_Conso_Dec_07_08 after_ISL_conso_June_10_11" xfId="6611" xr:uid="{00000000-0005-0000-0000-0000D3190000}"/>
    <cellStyle name="_IBFSL_Conso_Dec_07_08 after_ISL_conso_June_10_11 2" xfId="6612" xr:uid="{00000000-0005-0000-0000-0000D4190000}"/>
    <cellStyle name="_IBFSL_Conso_Dec_07_08 after_ISL_conso_March_08_09" xfId="6613" xr:uid="{00000000-0005-0000-0000-0000D5190000}"/>
    <cellStyle name="_IBFSL_Conso_Dec_07_08 after_ISL_conso_March_08_09 2" xfId="6614" xr:uid="{00000000-0005-0000-0000-0000D6190000}"/>
    <cellStyle name="_IBFSL_Conso_Dec_07_08 after_ISL_conso_March_08_09_ISL__3CD_FY2010-11" xfId="6615" xr:uid="{00000000-0005-0000-0000-0000D7190000}"/>
    <cellStyle name="_IBFSL_Conso_Dec_07_08 after_ISL_conso_March_09_10" xfId="6616" xr:uid="{00000000-0005-0000-0000-0000D8190000}"/>
    <cellStyle name="_IBFSL_Conso_Dec_07_08 after_ISL_conso_March_09_10 2" xfId="6617" xr:uid="{00000000-0005-0000-0000-0000D9190000}"/>
    <cellStyle name="_IBFSL_Conso_Dec_07_08 after_ISL_conso_May_09_10" xfId="6618" xr:uid="{00000000-0005-0000-0000-0000DA190000}"/>
    <cellStyle name="_IBFSL_Conso_Dec_07_08 after_ISL_conso_May_09_10 2" xfId="6619" xr:uid="{00000000-0005-0000-0000-0000DB190000}"/>
    <cellStyle name="_IBFSL_Conso_Dec_07_08 after_ISL_conso_May_09_10_ISL__3CD_FY2010-11" xfId="6620" xr:uid="{00000000-0005-0000-0000-0000DC190000}"/>
    <cellStyle name="_IBFSL_Conso_Dec_07_08 after_ISL_conso_May_10_11" xfId="6621" xr:uid="{00000000-0005-0000-0000-0000DD190000}"/>
    <cellStyle name="_IBFSL_Conso_Dec_07_08 after_ISL_conso_May_10_11 2" xfId="6622" xr:uid="{00000000-0005-0000-0000-0000DE190000}"/>
    <cellStyle name="_IBFSL_Conso_Dec_07_08 after_ISL_conso_November_09_10" xfId="6623" xr:uid="{00000000-0005-0000-0000-0000DF190000}"/>
    <cellStyle name="_IBFSL_Conso_Dec_07_08 after_ISL_conso_November_09_10 2" xfId="6624" xr:uid="{00000000-0005-0000-0000-0000E0190000}"/>
    <cellStyle name="_IBFSL_Conso_Dec_07_08 after_ISL_conso_November_09_10_ISL__3CD_FY2010-11" xfId="6625" xr:uid="{00000000-0005-0000-0000-0000E1190000}"/>
    <cellStyle name="_IBFSL_Conso_Dec_07_08 after_ISL_conso_November_10_11" xfId="6626" xr:uid="{00000000-0005-0000-0000-0000E2190000}"/>
    <cellStyle name="_IBFSL_Conso_Dec_07_08 after_ISL_conso_November_10_11 2" xfId="6627" xr:uid="{00000000-0005-0000-0000-0000E3190000}"/>
    <cellStyle name="_IBFSL_Conso_Dec_07_08 after_ISL_conso_October_09_10" xfId="6628" xr:uid="{00000000-0005-0000-0000-0000E4190000}"/>
    <cellStyle name="_IBFSL_Conso_Dec_07_08 after_ISL_conso_October_09_10 2" xfId="6629" xr:uid="{00000000-0005-0000-0000-0000E5190000}"/>
    <cellStyle name="_IBFSL_Conso_Dec_07_08 after_ISL_conso_October_09_10_ISL__3CD_FY2010-11" xfId="6630" xr:uid="{00000000-0005-0000-0000-0000E6190000}"/>
    <cellStyle name="_IBFSL_Conso_Dec_07_08 after_ISL_conso_October_10_11" xfId="6631" xr:uid="{00000000-0005-0000-0000-0000E7190000}"/>
    <cellStyle name="_IBFSL_Conso_Dec_07_08 after_ISL_conso_October_10_11 2" xfId="6632" xr:uid="{00000000-0005-0000-0000-0000E8190000}"/>
    <cellStyle name="_IBFSL_Conso_Dec_07_08 after_ISL_conso_September_08_09" xfId="6633" xr:uid="{00000000-0005-0000-0000-0000E9190000}"/>
    <cellStyle name="_IBFSL_Conso_Dec_07_08 after_ISL_conso_September_08_09 2" xfId="6634" xr:uid="{00000000-0005-0000-0000-0000EA190000}"/>
    <cellStyle name="_IBFSL_Conso_Dec_07_08 after_ISL_conso_September_08_09_ISL__3CD_FY2010-11" xfId="6635" xr:uid="{00000000-0005-0000-0000-0000EB190000}"/>
    <cellStyle name="_IBFSL_Conso_Dec_07_08 after_ISL_conso_September_08_09_Results" xfId="6636" xr:uid="{00000000-0005-0000-0000-0000EC190000}"/>
    <cellStyle name="_IBFSL_Conso_Dec_07_08 after_ISL_conso_September_08_09_Results 2" xfId="6637" xr:uid="{00000000-0005-0000-0000-0000ED190000}"/>
    <cellStyle name="_IBFSL_Conso_Dec_07_08 after_ISL_conso_September_08_09_Xl0000012" xfId="6638" xr:uid="{00000000-0005-0000-0000-0000EE190000}"/>
    <cellStyle name="_IBFSL_Conso_Dec_07_08 after_ISL_conso_September_08_09_Xl0000012 2" xfId="6639" xr:uid="{00000000-0005-0000-0000-0000EF190000}"/>
    <cellStyle name="_IBFSL_Conso_Dec_07_08 after_ISL_conso_September_09_10" xfId="6640" xr:uid="{00000000-0005-0000-0000-0000F0190000}"/>
    <cellStyle name="_IBFSL_Conso_Dec_07_08 after_ISL_conso_September_09_10 2" xfId="6641" xr:uid="{00000000-0005-0000-0000-0000F1190000}"/>
    <cellStyle name="_IBFSL_Conso_Dec_07_08 after_ISL_conso_September_09_10_ISL__3CD_FY2010-11" xfId="6642" xr:uid="{00000000-0005-0000-0000-0000F2190000}"/>
    <cellStyle name="_IBFSL_Conso_Dec_07_08 after_ISL_conso_September_10_11" xfId="6643" xr:uid="{00000000-0005-0000-0000-0000F3190000}"/>
    <cellStyle name="_IBFSL_Conso_Dec_07_08 after_ISL_conso_September_10_11 2" xfId="6644" xr:uid="{00000000-0005-0000-0000-0000F4190000}"/>
    <cellStyle name="_IBFSL_Conso_Dec_07_08 after_ISL_June_10" xfId="6645" xr:uid="{00000000-0005-0000-0000-0000F5190000}"/>
    <cellStyle name="_IBFSL_Conso_Dec_07_08 after_ISL_June_10 2" xfId="6646" xr:uid="{00000000-0005-0000-0000-0000F6190000}"/>
    <cellStyle name="_IBFSL_Conso_Dec_07_08 after_ISL_MAR_2008_09" xfId="6647" xr:uid="{00000000-0005-0000-0000-0000F7190000}"/>
    <cellStyle name="_IBFSL_Conso_Dec_07_08 after_ISL_March_08_09.final_11.12.2009" xfId="6648" xr:uid="{00000000-0005-0000-0000-0000F8190000}"/>
    <cellStyle name="_IBFSL_Conso_Dec_07_08 after_ISL_March_08_09.final_11.12.2009_ISL__3CD_FY2010-11" xfId="6649" xr:uid="{00000000-0005-0000-0000-0000F9190000}"/>
    <cellStyle name="_IBFSL_Conso_Dec_07_08 after_ISL_Provisions_30.09.2010" xfId="6650" xr:uid="{00000000-0005-0000-0000-0000FA190000}"/>
    <cellStyle name="_IBFSL_Conso_Dec_07_08 after_ITR6_2009_10_ICPL1" xfId="6651" xr:uid="{00000000-0005-0000-0000-0000FB190000}"/>
    <cellStyle name="_IBFSL_Conso_Dec_07_08 after_ITR6_2009_10_ICPL1_ISL__3CD_FY2010-11" xfId="6652" xr:uid="{00000000-0005-0000-0000-0000FC190000}"/>
    <cellStyle name="_IBFSL_Conso_Dec_07_08 after_ITR6_2009_10_ISL_Vivek" xfId="6653" xr:uid="{00000000-0005-0000-0000-0000FD190000}"/>
    <cellStyle name="_IBFSL_Conso_Dec_07_08 after_ITR6_2009_10_ISL_Vivek_ISL__3CD_FY2010-11" xfId="6654" xr:uid="{00000000-0005-0000-0000-0000FE190000}"/>
    <cellStyle name="_IBFSL_Conso_Dec_07_08 after_loan" xfId="6655" xr:uid="{00000000-0005-0000-0000-0000FF190000}"/>
    <cellStyle name="_IBFSL_Conso_Dec_07_08 after_loan_ISL__3CD_FY2010-11" xfId="6656" xr:uid="{00000000-0005-0000-0000-0000001A0000}"/>
    <cellStyle name="_IBFSL_Conso_Dec_07_08 after_Provision" xfId="6657" xr:uid="{00000000-0005-0000-0000-0000011A0000}"/>
    <cellStyle name="_IBFSL_Conso_Dec_07_08 after_Provision for Exp - FY 0809" xfId="6658" xr:uid="{00000000-0005-0000-0000-0000021A0000}"/>
    <cellStyle name="_IBFSL_Conso_Dec_07_08 after_Provision for Exp - FY 0809_ISL__3CD_FY2010-11" xfId="6659" xr:uid="{00000000-0005-0000-0000-0000031A0000}"/>
    <cellStyle name="_IBFSL_Conso_Dec_07_08 after_Provision March 09 (1)" xfId="6660" xr:uid="{00000000-0005-0000-0000-0000041A0000}"/>
    <cellStyle name="_IBFSL_Conso_Dec_07_08 after_provisions q3" xfId="6661" xr:uid="{00000000-0005-0000-0000-0000051A0000}"/>
    <cellStyle name="_IBFSL_Conso_Dec_07_08 after_Result" xfId="6662" xr:uid="{00000000-0005-0000-0000-0000061A0000}"/>
    <cellStyle name="_IBFSL_Conso_Dec_07_08 after_Result 2" xfId="6663" xr:uid="{00000000-0005-0000-0000-0000071A0000}"/>
    <cellStyle name="_IBFSL_Conso_Dec_07_08 after_Results" xfId="6664" xr:uid="{00000000-0005-0000-0000-0000081A0000}"/>
    <cellStyle name="_IBFSL_Conso_Dec_07_08 after_Results 2" xfId="6665" xr:uid="{00000000-0005-0000-0000-0000091A0000}"/>
    <cellStyle name="_IBFSL_Conso_Dec_07_08 after_Standalone Financials - March 31, 2010 - Printable" xfId="6666" xr:uid="{00000000-0005-0000-0000-00000A1A0000}"/>
    <cellStyle name="_IBFSL_Conso_Dec_07_08 after_Standalone Financials - March 31, 2010 - Printable_ISL__3CD_FY2010-11" xfId="6667" xr:uid="{00000000-0005-0000-0000-00000B1A0000}"/>
    <cellStyle name="_IBFSL_Conso_Dec_07_08 after_Xl0000012" xfId="6668" xr:uid="{00000000-0005-0000-0000-00000C1A0000}"/>
    <cellStyle name="_IBFSL_Conso_Dec_07_08 after_Xl0000012 2" xfId="6669" xr:uid="{00000000-0005-0000-0000-00000D1A0000}"/>
    <cellStyle name="_IBFSL_Conso_Dec_07_08_Book1" xfId="6670" xr:uid="{00000000-0005-0000-0000-00000E1A0000}"/>
    <cellStyle name="_IBFSL_Conso_Dec_07_08_Book1 (2)" xfId="6671" xr:uid="{00000000-0005-0000-0000-00000F1A0000}"/>
    <cellStyle name="_IBFSL_Conso_Dec_07_08_Book1 (2) 2" xfId="6672" xr:uid="{00000000-0005-0000-0000-0000101A0000}"/>
    <cellStyle name="_IBFSL_Conso_Dec_07_08_Book1 10" xfId="6673" xr:uid="{00000000-0005-0000-0000-0000111A0000}"/>
    <cellStyle name="_IBFSL_Conso_Dec_07_08_Book1 11" xfId="6674" xr:uid="{00000000-0005-0000-0000-0000121A0000}"/>
    <cellStyle name="_IBFSL_Conso_Dec_07_08_Book1 2" xfId="6675" xr:uid="{00000000-0005-0000-0000-0000131A0000}"/>
    <cellStyle name="_IBFSL_Conso_Dec_07_08_Book1 3" xfId="6676" xr:uid="{00000000-0005-0000-0000-0000141A0000}"/>
    <cellStyle name="_IBFSL_Conso_Dec_07_08_Book1 4" xfId="6677" xr:uid="{00000000-0005-0000-0000-0000151A0000}"/>
    <cellStyle name="_IBFSL_Conso_Dec_07_08_Book1 5" xfId="6678" xr:uid="{00000000-0005-0000-0000-0000161A0000}"/>
    <cellStyle name="_IBFSL_Conso_Dec_07_08_Book1 6" xfId="6679" xr:uid="{00000000-0005-0000-0000-0000171A0000}"/>
    <cellStyle name="_IBFSL_Conso_Dec_07_08_Book1 7" xfId="6680" xr:uid="{00000000-0005-0000-0000-0000181A0000}"/>
    <cellStyle name="_IBFSL_Conso_Dec_07_08_Book1 8" xfId="6681" xr:uid="{00000000-0005-0000-0000-0000191A0000}"/>
    <cellStyle name="_IBFSL_Conso_Dec_07_08_Book1 9" xfId="6682" xr:uid="{00000000-0005-0000-0000-00001A1A0000}"/>
    <cellStyle name="_IBFSL_Conso_Dec_07_08_Book1_ISL__3CD_FY2010-11" xfId="6683" xr:uid="{00000000-0005-0000-0000-00001B1A0000}"/>
    <cellStyle name="_IBFSL_Conso_Dec_07_08_Book2" xfId="6684" xr:uid="{00000000-0005-0000-0000-00001C1A0000}"/>
    <cellStyle name="_IBFSL_Conso_Dec_07_08_Book2 2" xfId="6685" xr:uid="{00000000-0005-0000-0000-00001D1A0000}"/>
    <cellStyle name="_IBFSL_Conso_Dec_07_08_Book2_ISL__3CD_FY2010-11" xfId="6686" xr:uid="{00000000-0005-0000-0000-00001E1A0000}"/>
    <cellStyle name="_IBFSL_Conso_Dec_07_08_Book4" xfId="6687" xr:uid="{00000000-0005-0000-0000-00001F1A0000}"/>
    <cellStyle name="_IBFSL_Conso_Dec_07_08_Book4 2" xfId="6688" xr:uid="{00000000-0005-0000-0000-0000201A0000}"/>
    <cellStyle name="_IBFSL_Conso_Dec_07_08_Book4_ISL__3CD_FY2010-11" xfId="6689" xr:uid="{00000000-0005-0000-0000-0000211A0000}"/>
    <cellStyle name="_IBFSL_Conso_Dec_07_08_Detail of IPO funding" xfId="6690" xr:uid="{00000000-0005-0000-0000-0000221A0000}"/>
    <cellStyle name="_IBFSL_Conso_Dec_07_08_FDR Int Calculation as per BS" xfId="6691" xr:uid="{00000000-0005-0000-0000-0000231A0000}"/>
    <cellStyle name="_IBFSL_Conso_Dec_07_08_ICPL_BS_31.03.2009_new" xfId="6692" xr:uid="{00000000-0005-0000-0000-0000241A0000}"/>
    <cellStyle name="_IBFSL_Conso_Dec_07_08_ICPL_BS_31.03.2009_new_ISL__3CD_FY2010-11" xfId="6693" xr:uid="{00000000-0005-0000-0000-0000251A0000}"/>
    <cellStyle name="_IBFSL_Conso_Dec_07_08_IFCPL 31 03 2010 VER6 Final" xfId="6694" xr:uid="{00000000-0005-0000-0000-0000261A0000}"/>
    <cellStyle name="_IBFSL_Conso_Dec_07_08_ISL June 09" xfId="6695" xr:uid="{00000000-0005-0000-0000-0000271A0000}"/>
    <cellStyle name="_IBFSL_Conso_Dec_07_08_ISL June 09 2" xfId="6696" xr:uid="{00000000-0005-0000-0000-0000281A0000}"/>
    <cellStyle name="_IBFSL_Conso_Dec_07_08_ISL June 09_ISL__3CD_FY2010-11" xfId="6697" xr:uid="{00000000-0005-0000-0000-0000291A0000}"/>
    <cellStyle name="_IBFSL_Conso_Dec_07_08_ISL Rev" xfId="6698" xr:uid="{00000000-0005-0000-0000-00002A1A0000}"/>
    <cellStyle name="_IBFSL_Conso_Dec_07_08_ISL Rev 2" xfId="6699" xr:uid="{00000000-0005-0000-0000-00002B1A0000}"/>
    <cellStyle name="_IBFSL_Conso_Dec_07_08_ISL Rev_ISL__3CD_FY2010-11" xfId="6700" xr:uid="{00000000-0005-0000-0000-00002C1A0000}"/>
    <cellStyle name="_IBFSL_Conso_Dec_07_08_ISL Rev_Results" xfId="6701" xr:uid="{00000000-0005-0000-0000-00002D1A0000}"/>
    <cellStyle name="_IBFSL_Conso_Dec_07_08_ISL Rev_Results 2" xfId="6702" xr:uid="{00000000-0005-0000-0000-00002E1A0000}"/>
    <cellStyle name="_IBFSL_Conso_Dec_07_08_ISL Rev_Xl0000012" xfId="6703" xr:uid="{00000000-0005-0000-0000-00002F1A0000}"/>
    <cellStyle name="_IBFSL_Conso_Dec_07_08_ISL Rev_Xl0000012 2" xfId="6704" xr:uid="{00000000-0005-0000-0000-0000301A0000}"/>
    <cellStyle name="_IBFSL_Conso_Dec_07_08_ISL_BS_03.03.2009" xfId="6705" xr:uid="{00000000-0005-0000-0000-0000311A0000}"/>
    <cellStyle name="_IBFSL_Conso_Dec_07_08_ISL_BS_03.03.2009 2" xfId="6706" xr:uid="{00000000-0005-0000-0000-0000321A0000}"/>
    <cellStyle name="_IBFSL_Conso_Dec_07_08_ISL_BS_03.03.2009_ISL__3CD_FY2010-11" xfId="6707" xr:uid="{00000000-0005-0000-0000-0000331A0000}"/>
    <cellStyle name="_IBFSL_Conso_Dec_07_08_ISL_BS_08.03.2009" xfId="6708" xr:uid="{00000000-0005-0000-0000-0000341A0000}"/>
    <cellStyle name="_IBFSL_Conso_Dec_07_08_ISL_BS_08.03.2009 2" xfId="6709" xr:uid="{00000000-0005-0000-0000-0000351A0000}"/>
    <cellStyle name="_IBFSL_Conso_Dec_07_08_ISL_BS_08.03.2009_ISL__3CD_FY2010-11" xfId="6710" xr:uid="{00000000-0005-0000-0000-0000361A0000}"/>
    <cellStyle name="_IBFSL_Conso_Dec_07_08_ISL_BS_15.03.2009" xfId="6711" xr:uid="{00000000-0005-0000-0000-0000371A0000}"/>
    <cellStyle name="_IBFSL_Conso_Dec_07_08_ISL_BS_15.03.2009 2" xfId="6712" xr:uid="{00000000-0005-0000-0000-0000381A0000}"/>
    <cellStyle name="_IBFSL_Conso_Dec_07_08_ISL_BS_15.03.2009_ISL__3CD_FY2010-11" xfId="6713" xr:uid="{00000000-0005-0000-0000-0000391A0000}"/>
    <cellStyle name="_IBFSL_Conso_Dec_07_08_ISL_BS_2008-09- First Cut" xfId="6714" xr:uid="{00000000-0005-0000-0000-00003A1A0000}"/>
    <cellStyle name="_IBFSL_Conso_Dec_07_08_ISL_BS_2008-09- First Cut 2" xfId="6715" xr:uid="{00000000-0005-0000-0000-00003B1A0000}"/>
    <cellStyle name="_IBFSL_Conso_Dec_07_08_ISL_BS_2008-09- First Cut_ISL__3CD_FY2010-11" xfId="6716" xr:uid="{00000000-0005-0000-0000-00003C1A0000}"/>
    <cellStyle name="_IBFSL_Conso_Dec_07_08_ISL_BS_21.09.2009" xfId="6717" xr:uid="{00000000-0005-0000-0000-00003D1A0000}"/>
    <cellStyle name="_IBFSL_Conso_Dec_07_08_ISL_BS_21.09.2009 2" xfId="6718" xr:uid="{00000000-0005-0000-0000-00003E1A0000}"/>
    <cellStyle name="_IBFSL_Conso_Dec_07_08_ISL_BS_23.02.2009" xfId="6719" xr:uid="{00000000-0005-0000-0000-00003F1A0000}"/>
    <cellStyle name="_IBFSL_Conso_Dec_07_08_ISL_BS_23.02.2009 2" xfId="6720" xr:uid="{00000000-0005-0000-0000-0000401A0000}"/>
    <cellStyle name="_IBFSL_Conso_Dec_07_08_ISL_BS_23.02.2009_ISL__3CD_FY2010-11" xfId="6721" xr:uid="{00000000-0005-0000-0000-0000411A0000}"/>
    <cellStyle name="_IBFSL_Conso_Dec_07_08_ISL_BS_24.02.2009" xfId="6722" xr:uid="{00000000-0005-0000-0000-0000421A0000}"/>
    <cellStyle name="_IBFSL_Conso_Dec_07_08_ISL_BS_24.02.2009 2" xfId="6723" xr:uid="{00000000-0005-0000-0000-0000431A0000}"/>
    <cellStyle name="_IBFSL_Conso_Dec_07_08_ISL_BS_24.02.2009_ISL__3CD_FY2010-11" xfId="6724" xr:uid="{00000000-0005-0000-0000-0000441A0000}"/>
    <cellStyle name="_IBFSL_Conso_Dec_07_08_ISL_BS_Aug 09" xfId="6725" xr:uid="{00000000-0005-0000-0000-0000451A0000}"/>
    <cellStyle name="_IBFSL_Conso_Dec_07_08_ISL_BS_Aug 09 2" xfId="6726" xr:uid="{00000000-0005-0000-0000-0000461A0000}"/>
    <cellStyle name="_IBFSL_Conso_Dec_07_08_ISL_BS_Aug 09.z" xfId="6727" xr:uid="{00000000-0005-0000-0000-0000471A0000}"/>
    <cellStyle name="_IBFSL_Conso_Dec_07_08_ISL_BS_Aug 09.z 2" xfId="6728" xr:uid="{00000000-0005-0000-0000-0000481A0000}"/>
    <cellStyle name="_IBFSL_Conso_Dec_07_08_ISL_BS_Aug 09.z_ISL__3CD_FY2010-11" xfId="6729" xr:uid="{00000000-0005-0000-0000-0000491A0000}"/>
    <cellStyle name="_IBFSL_Conso_Dec_07_08_ISL_BS_Aug 09_ISL__3CD_FY2010-11" xfId="6730" xr:uid="{00000000-0005-0000-0000-00004A1A0000}"/>
    <cellStyle name="_IBFSL_Conso_Dec_07_08_ISL_Conso_09_10_Other working" xfId="6731" xr:uid="{00000000-0005-0000-0000-00004B1A0000}"/>
    <cellStyle name="_IBFSL_Conso_Dec_07_08_ISL_Conso_09_10_Other working 2" xfId="6732" xr:uid="{00000000-0005-0000-0000-00004C1A0000}"/>
    <cellStyle name="_IBFSL_Conso_Dec_07_08_ISL_conso_August_09_10" xfId="6733" xr:uid="{00000000-0005-0000-0000-00004D1A0000}"/>
    <cellStyle name="_IBFSL_Conso_Dec_07_08_ISL_conso_August_09_10 2" xfId="6734" xr:uid="{00000000-0005-0000-0000-00004E1A0000}"/>
    <cellStyle name="_IBFSL_Conso_Dec_07_08_ISL_conso_August_09_10_ISL__3CD_FY2010-11" xfId="6735" xr:uid="{00000000-0005-0000-0000-00004F1A0000}"/>
    <cellStyle name="_IBFSL_Conso_Dec_07_08_ISL_conso_August_10_11" xfId="6736" xr:uid="{00000000-0005-0000-0000-0000501A0000}"/>
    <cellStyle name="_IBFSL_Conso_Dec_07_08_ISL_conso_August_10_11 2" xfId="6737" xr:uid="{00000000-0005-0000-0000-0000511A0000}"/>
    <cellStyle name="_IBFSL_Conso_Dec_07_08_ISL_conso_December_08_09" xfId="6738" xr:uid="{00000000-0005-0000-0000-0000521A0000}"/>
    <cellStyle name="_IBFSL_Conso_Dec_07_08_ISL_conso_December_08_09 2" xfId="6739" xr:uid="{00000000-0005-0000-0000-0000531A0000}"/>
    <cellStyle name="_IBFSL_Conso_Dec_07_08_ISL_conso_December_08_09_ISL__3CD_FY2010-11" xfId="6740" xr:uid="{00000000-0005-0000-0000-0000541A0000}"/>
    <cellStyle name="_IBFSL_Conso_Dec_07_08_ISL_conso_December_08_09_Results" xfId="6741" xr:uid="{00000000-0005-0000-0000-0000551A0000}"/>
    <cellStyle name="_IBFSL_Conso_Dec_07_08_ISL_conso_December_08_09_Results 2" xfId="6742" xr:uid="{00000000-0005-0000-0000-0000561A0000}"/>
    <cellStyle name="_IBFSL_Conso_Dec_07_08_ISL_conso_December_08_09_Xl0000012" xfId="6743" xr:uid="{00000000-0005-0000-0000-0000571A0000}"/>
    <cellStyle name="_IBFSL_Conso_Dec_07_08_ISL_conso_December_08_09_Xl0000012 2" xfId="6744" xr:uid="{00000000-0005-0000-0000-0000581A0000}"/>
    <cellStyle name="_IBFSL_Conso_Dec_07_08_ISL_conso_December_09_10" xfId="6745" xr:uid="{00000000-0005-0000-0000-0000591A0000}"/>
    <cellStyle name="_IBFSL_Conso_Dec_07_08_ISL_conso_December_09_10 2" xfId="6746" xr:uid="{00000000-0005-0000-0000-00005A1A0000}"/>
    <cellStyle name="_IBFSL_Conso_Dec_07_08_ISL_conso_December_09_10_ISL__3CD_FY2010-11" xfId="6747" xr:uid="{00000000-0005-0000-0000-00005B1A0000}"/>
    <cellStyle name="_IBFSL_Conso_Dec_07_08_ISL_conso_December_10_11" xfId="6748" xr:uid="{00000000-0005-0000-0000-00005C1A0000}"/>
    <cellStyle name="_IBFSL_Conso_Dec_07_08_ISL_conso_December_10_11 2" xfId="6749" xr:uid="{00000000-0005-0000-0000-00005D1A0000}"/>
    <cellStyle name="_IBFSL_Conso_Dec_07_08_ISL_conso_February_09_10" xfId="6750" xr:uid="{00000000-0005-0000-0000-00005E1A0000}"/>
    <cellStyle name="_IBFSL_Conso_Dec_07_08_ISL_conso_February_09_10 2" xfId="6751" xr:uid="{00000000-0005-0000-0000-00005F1A0000}"/>
    <cellStyle name="_IBFSL_Conso_Dec_07_08_ISL_conso_January_09_10" xfId="6752" xr:uid="{00000000-0005-0000-0000-0000601A0000}"/>
    <cellStyle name="_IBFSL_Conso_Dec_07_08_ISL_conso_January_09_10 2" xfId="6753" xr:uid="{00000000-0005-0000-0000-0000611A0000}"/>
    <cellStyle name="_IBFSL_Conso_Dec_07_08_ISL_conso_July_08_09" xfId="6754" xr:uid="{00000000-0005-0000-0000-0000621A0000}"/>
    <cellStyle name="_IBFSL_Conso_Dec_07_08_ISL_conso_July_08_09 2" xfId="6755" xr:uid="{00000000-0005-0000-0000-0000631A0000}"/>
    <cellStyle name="_IBFSL_Conso_Dec_07_08_ISL_conso_July_08_09_ISL__3CD_FY2010-11" xfId="6756" xr:uid="{00000000-0005-0000-0000-0000641A0000}"/>
    <cellStyle name="_IBFSL_Conso_Dec_07_08_ISL_conso_July_08_09_Results" xfId="6757" xr:uid="{00000000-0005-0000-0000-0000651A0000}"/>
    <cellStyle name="_IBFSL_Conso_Dec_07_08_ISL_conso_July_08_09_Results 2" xfId="6758" xr:uid="{00000000-0005-0000-0000-0000661A0000}"/>
    <cellStyle name="_IBFSL_Conso_Dec_07_08_ISL_conso_July_08_09_Xl0000012" xfId="6759" xr:uid="{00000000-0005-0000-0000-0000671A0000}"/>
    <cellStyle name="_IBFSL_Conso_Dec_07_08_ISL_conso_July_08_09_Xl0000012 2" xfId="6760" xr:uid="{00000000-0005-0000-0000-0000681A0000}"/>
    <cellStyle name="_IBFSL_Conso_Dec_07_08_ISL_conso_July_09_10" xfId="6761" xr:uid="{00000000-0005-0000-0000-0000691A0000}"/>
    <cellStyle name="_IBFSL_Conso_Dec_07_08_ISL_conso_July_09_10 2" xfId="6762" xr:uid="{00000000-0005-0000-0000-00006A1A0000}"/>
    <cellStyle name="_IBFSL_Conso_Dec_07_08_ISL_conso_July_09_10_ISL__3CD_FY2010-11" xfId="6763" xr:uid="{00000000-0005-0000-0000-00006B1A0000}"/>
    <cellStyle name="_IBFSL_Conso_Dec_07_08_ISL_conso_July_10_11" xfId="6764" xr:uid="{00000000-0005-0000-0000-00006C1A0000}"/>
    <cellStyle name="_IBFSL_Conso_Dec_07_08_ISL_conso_July_10_11 2" xfId="6765" xr:uid="{00000000-0005-0000-0000-00006D1A0000}"/>
    <cellStyle name="_IBFSL_Conso_Dec_07_08_ISL_conso_June_09_10" xfId="6766" xr:uid="{00000000-0005-0000-0000-00006E1A0000}"/>
    <cellStyle name="_IBFSL_Conso_Dec_07_08_ISL_conso_June_09_10 2" xfId="6767" xr:uid="{00000000-0005-0000-0000-00006F1A0000}"/>
    <cellStyle name="_IBFSL_Conso_Dec_07_08_ISL_conso_June_09_10_ISL__3CD_FY2010-11" xfId="6768" xr:uid="{00000000-0005-0000-0000-0000701A0000}"/>
    <cellStyle name="_IBFSL_Conso_Dec_07_08_ISL_conso_June_10_11" xfId="6769" xr:uid="{00000000-0005-0000-0000-0000711A0000}"/>
    <cellStyle name="_IBFSL_Conso_Dec_07_08_ISL_conso_June_10_11 2" xfId="6770" xr:uid="{00000000-0005-0000-0000-0000721A0000}"/>
    <cellStyle name="_IBFSL_Conso_Dec_07_08_ISL_conso_March_08_09" xfId="6771" xr:uid="{00000000-0005-0000-0000-0000731A0000}"/>
    <cellStyle name="_IBFSL_Conso_Dec_07_08_ISL_conso_March_08_09 2" xfId="6772" xr:uid="{00000000-0005-0000-0000-0000741A0000}"/>
    <cellStyle name="_IBFSL_Conso_Dec_07_08_ISL_conso_March_08_09_ISL__3CD_FY2010-11" xfId="6773" xr:uid="{00000000-0005-0000-0000-0000751A0000}"/>
    <cellStyle name="_IBFSL_Conso_Dec_07_08_ISL_conso_March_09_10" xfId="6774" xr:uid="{00000000-0005-0000-0000-0000761A0000}"/>
    <cellStyle name="_IBFSL_Conso_Dec_07_08_ISL_conso_March_09_10 2" xfId="6775" xr:uid="{00000000-0005-0000-0000-0000771A0000}"/>
    <cellStyle name="_IBFSL_Conso_Dec_07_08_ISL_conso_May_09_10" xfId="6776" xr:uid="{00000000-0005-0000-0000-0000781A0000}"/>
    <cellStyle name="_IBFSL_Conso_Dec_07_08_ISL_conso_May_09_10 2" xfId="6777" xr:uid="{00000000-0005-0000-0000-0000791A0000}"/>
    <cellStyle name="_IBFSL_Conso_Dec_07_08_ISL_conso_May_09_10_ISL__3CD_FY2010-11" xfId="6778" xr:uid="{00000000-0005-0000-0000-00007A1A0000}"/>
    <cellStyle name="_IBFSL_Conso_Dec_07_08_ISL_conso_May_10_11" xfId="6779" xr:uid="{00000000-0005-0000-0000-00007B1A0000}"/>
    <cellStyle name="_IBFSL_Conso_Dec_07_08_ISL_conso_May_10_11 2" xfId="6780" xr:uid="{00000000-0005-0000-0000-00007C1A0000}"/>
    <cellStyle name="_IBFSL_Conso_Dec_07_08_ISL_conso_November_09_10" xfId="6781" xr:uid="{00000000-0005-0000-0000-00007D1A0000}"/>
    <cellStyle name="_IBFSL_Conso_Dec_07_08_ISL_conso_November_09_10 2" xfId="6782" xr:uid="{00000000-0005-0000-0000-00007E1A0000}"/>
    <cellStyle name="_IBFSL_Conso_Dec_07_08_ISL_conso_November_09_10_ISL__3CD_FY2010-11" xfId="6783" xr:uid="{00000000-0005-0000-0000-00007F1A0000}"/>
    <cellStyle name="_IBFSL_Conso_Dec_07_08_ISL_conso_November_10_11" xfId="6784" xr:uid="{00000000-0005-0000-0000-0000801A0000}"/>
    <cellStyle name="_IBFSL_Conso_Dec_07_08_ISL_conso_November_10_11 2" xfId="6785" xr:uid="{00000000-0005-0000-0000-0000811A0000}"/>
    <cellStyle name="_IBFSL_Conso_Dec_07_08_ISL_conso_October_09_10" xfId="6786" xr:uid="{00000000-0005-0000-0000-0000821A0000}"/>
    <cellStyle name="_IBFSL_Conso_Dec_07_08_ISL_conso_October_09_10 2" xfId="6787" xr:uid="{00000000-0005-0000-0000-0000831A0000}"/>
    <cellStyle name="_IBFSL_Conso_Dec_07_08_ISL_conso_October_09_10_ISL__3CD_FY2010-11" xfId="6788" xr:uid="{00000000-0005-0000-0000-0000841A0000}"/>
    <cellStyle name="_IBFSL_Conso_Dec_07_08_ISL_conso_October_10_11" xfId="6789" xr:uid="{00000000-0005-0000-0000-0000851A0000}"/>
    <cellStyle name="_IBFSL_Conso_Dec_07_08_ISL_conso_October_10_11 2" xfId="6790" xr:uid="{00000000-0005-0000-0000-0000861A0000}"/>
    <cellStyle name="_IBFSL_Conso_Dec_07_08_ISL_conso_September_08_09" xfId="6791" xr:uid="{00000000-0005-0000-0000-0000871A0000}"/>
    <cellStyle name="_IBFSL_Conso_Dec_07_08_ISL_conso_September_08_09 2" xfId="6792" xr:uid="{00000000-0005-0000-0000-0000881A0000}"/>
    <cellStyle name="_IBFSL_Conso_Dec_07_08_ISL_conso_September_08_09_ISL__3CD_FY2010-11" xfId="6793" xr:uid="{00000000-0005-0000-0000-0000891A0000}"/>
    <cellStyle name="_IBFSL_Conso_Dec_07_08_ISL_conso_September_08_09_Results" xfId="6794" xr:uid="{00000000-0005-0000-0000-00008A1A0000}"/>
    <cellStyle name="_IBFSL_Conso_Dec_07_08_ISL_conso_September_08_09_Results 2" xfId="6795" xr:uid="{00000000-0005-0000-0000-00008B1A0000}"/>
    <cellStyle name="_IBFSL_Conso_Dec_07_08_ISL_conso_September_08_09_Xl0000012" xfId="6796" xr:uid="{00000000-0005-0000-0000-00008C1A0000}"/>
    <cellStyle name="_IBFSL_Conso_Dec_07_08_ISL_conso_September_08_09_Xl0000012 2" xfId="6797" xr:uid="{00000000-0005-0000-0000-00008D1A0000}"/>
    <cellStyle name="_IBFSL_Conso_Dec_07_08_ISL_conso_September_09_10" xfId="6798" xr:uid="{00000000-0005-0000-0000-00008E1A0000}"/>
    <cellStyle name="_IBFSL_Conso_Dec_07_08_ISL_conso_September_09_10 2" xfId="6799" xr:uid="{00000000-0005-0000-0000-00008F1A0000}"/>
    <cellStyle name="_IBFSL_Conso_Dec_07_08_ISL_conso_September_09_10_ISL__3CD_FY2010-11" xfId="6800" xr:uid="{00000000-0005-0000-0000-0000901A0000}"/>
    <cellStyle name="_IBFSL_Conso_Dec_07_08_ISL_conso_September_10_11" xfId="6801" xr:uid="{00000000-0005-0000-0000-0000911A0000}"/>
    <cellStyle name="_IBFSL_Conso_Dec_07_08_ISL_conso_September_10_11 2" xfId="6802" xr:uid="{00000000-0005-0000-0000-0000921A0000}"/>
    <cellStyle name="_IBFSL_Conso_Dec_07_08_ISL_June_10" xfId="6803" xr:uid="{00000000-0005-0000-0000-0000931A0000}"/>
    <cellStyle name="_IBFSL_Conso_Dec_07_08_ISL_June_10 2" xfId="6804" xr:uid="{00000000-0005-0000-0000-0000941A0000}"/>
    <cellStyle name="_IBFSL_Conso_Dec_07_08_ISL_MAR_2008_09" xfId="6805" xr:uid="{00000000-0005-0000-0000-0000951A0000}"/>
    <cellStyle name="_IBFSL_Conso_Dec_07_08_ISL_March_08_09.final_11.12.2009" xfId="6806" xr:uid="{00000000-0005-0000-0000-0000961A0000}"/>
    <cellStyle name="_IBFSL_Conso_Dec_07_08_ISL_March_08_09.final_11.12.2009_ISL__3CD_FY2010-11" xfId="6807" xr:uid="{00000000-0005-0000-0000-0000971A0000}"/>
    <cellStyle name="_IBFSL_Conso_Dec_07_08_ISL_Provisions_30.09.2010" xfId="6808" xr:uid="{00000000-0005-0000-0000-0000981A0000}"/>
    <cellStyle name="_IBFSL_Conso_Dec_07_08_ITR6_2009_10_ICPL1" xfId="6809" xr:uid="{00000000-0005-0000-0000-0000991A0000}"/>
    <cellStyle name="_IBFSL_Conso_Dec_07_08_ITR6_2009_10_ICPL1_ISL__3CD_FY2010-11" xfId="6810" xr:uid="{00000000-0005-0000-0000-00009A1A0000}"/>
    <cellStyle name="_IBFSL_Conso_Dec_07_08_ITR6_2009_10_ISL_Vivek" xfId="6811" xr:uid="{00000000-0005-0000-0000-00009B1A0000}"/>
    <cellStyle name="_IBFSL_Conso_Dec_07_08_ITR6_2009_10_ISL_Vivek_ISL__3CD_FY2010-11" xfId="6812" xr:uid="{00000000-0005-0000-0000-00009C1A0000}"/>
    <cellStyle name="_IBFSL_Conso_Dec_07_08_loan" xfId="6813" xr:uid="{00000000-0005-0000-0000-00009D1A0000}"/>
    <cellStyle name="_IBFSL_Conso_Dec_07_08_loan_ISL__3CD_FY2010-11" xfId="6814" xr:uid="{00000000-0005-0000-0000-00009E1A0000}"/>
    <cellStyle name="_IBFSL_Conso_Dec_07_08_Provision" xfId="6815" xr:uid="{00000000-0005-0000-0000-00009F1A0000}"/>
    <cellStyle name="_IBFSL_Conso_Dec_07_08_Provision for Exp - FY 0809" xfId="6816" xr:uid="{00000000-0005-0000-0000-0000A01A0000}"/>
    <cellStyle name="_IBFSL_Conso_Dec_07_08_Provision for Exp - FY 0809_ISL__3CD_FY2010-11" xfId="6817" xr:uid="{00000000-0005-0000-0000-0000A11A0000}"/>
    <cellStyle name="_IBFSL_Conso_Dec_07_08_Provision March 09 (1)" xfId="6818" xr:uid="{00000000-0005-0000-0000-0000A21A0000}"/>
    <cellStyle name="_IBFSL_Conso_Dec_07_08_provisions q3" xfId="6819" xr:uid="{00000000-0005-0000-0000-0000A31A0000}"/>
    <cellStyle name="_IBFSL_Conso_Dec_07_08_Result" xfId="6820" xr:uid="{00000000-0005-0000-0000-0000A41A0000}"/>
    <cellStyle name="_IBFSL_Conso_Dec_07_08_Result 2" xfId="6821" xr:uid="{00000000-0005-0000-0000-0000A51A0000}"/>
    <cellStyle name="_IBFSL_Conso_Dec_07_08_Results" xfId="6822" xr:uid="{00000000-0005-0000-0000-0000A61A0000}"/>
    <cellStyle name="_IBFSL_Conso_Dec_07_08_Results 2" xfId="6823" xr:uid="{00000000-0005-0000-0000-0000A71A0000}"/>
    <cellStyle name="_IBFSL_Conso_Dec_07_08_Standalone Financials - March 31, 2010 - Printable" xfId="6824" xr:uid="{00000000-0005-0000-0000-0000A81A0000}"/>
    <cellStyle name="_IBFSL_Conso_Dec_07_08_Standalone Financials - March 31, 2010 - Printable_ISL__3CD_FY2010-11" xfId="6825" xr:uid="{00000000-0005-0000-0000-0000A91A0000}"/>
    <cellStyle name="_IBFSL_Conso_Dec_07_08_Xl0000012" xfId="6826" xr:uid="{00000000-0005-0000-0000-0000AA1A0000}"/>
    <cellStyle name="_IBFSL_Conso_Dec_07_08_Xl0000012 2" xfId="6827" xr:uid="{00000000-0005-0000-0000-0000AB1A0000}"/>
    <cellStyle name="_IBFSL_Conso_December_08_09 " xfId="6828" xr:uid="{00000000-0005-0000-0000-0000AC1A0000}"/>
    <cellStyle name="_IBFSL_Conso_December_08_09  2" xfId="6829" xr:uid="{00000000-0005-0000-0000-0000AD1A0000}"/>
    <cellStyle name="_IBFSL_Conso_December_08_09 _Book1 (2)" xfId="6830" xr:uid="{00000000-0005-0000-0000-0000AE1A0000}"/>
    <cellStyle name="_IBFSL_Conso_December_08_09 _Book1 (2) 2" xfId="6831" xr:uid="{00000000-0005-0000-0000-0000AF1A0000}"/>
    <cellStyle name="_IBFSL_Conso_December_08_09 _Book2" xfId="6832" xr:uid="{00000000-0005-0000-0000-0000B01A0000}"/>
    <cellStyle name="_IBFSL_Conso_December_08_09 _Book2 2" xfId="6833" xr:uid="{00000000-0005-0000-0000-0000B11A0000}"/>
    <cellStyle name="_IBFSL_Conso_December_08_09 _Book2_ISL__3CD_FY2010-11" xfId="6834" xr:uid="{00000000-0005-0000-0000-0000B21A0000}"/>
    <cellStyle name="_IBFSL_Conso_December_08_09 _ISL June 09" xfId="6835" xr:uid="{00000000-0005-0000-0000-0000B31A0000}"/>
    <cellStyle name="_IBFSL_Conso_December_08_09 _ISL June 09 2" xfId="6836" xr:uid="{00000000-0005-0000-0000-0000B41A0000}"/>
    <cellStyle name="_IBFSL_Conso_December_08_09 _ISL June 09_ISL__3CD_FY2010-11" xfId="6837" xr:uid="{00000000-0005-0000-0000-0000B51A0000}"/>
    <cellStyle name="_IBFSL_Conso_December_08_09 _ISL Rev" xfId="6838" xr:uid="{00000000-0005-0000-0000-0000B61A0000}"/>
    <cellStyle name="_IBFSL_Conso_December_08_09 _ISL Rev 2" xfId="6839" xr:uid="{00000000-0005-0000-0000-0000B71A0000}"/>
    <cellStyle name="_IBFSL_Conso_December_08_09 _ISL Rev_ISL__3CD_FY2010-11" xfId="6840" xr:uid="{00000000-0005-0000-0000-0000B81A0000}"/>
    <cellStyle name="_IBFSL_Conso_December_08_09 _ISL Rev_Results" xfId="6841" xr:uid="{00000000-0005-0000-0000-0000B91A0000}"/>
    <cellStyle name="_IBFSL_Conso_December_08_09 _ISL Rev_Results 2" xfId="6842" xr:uid="{00000000-0005-0000-0000-0000BA1A0000}"/>
    <cellStyle name="_IBFSL_Conso_December_08_09 _ISL Rev_Xl0000012" xfId="6843" xr:uid="{00000000-0005-0000-0000-0000BB1A0000}"/>
    <cellStyle name="_IBFSL_Conso_December_08_09 _ISL Rev_Xl0000012 2" xfId="6844" xr:uid="{00000000-0005-0000-0000-0000BC1A0000}"/>
    <cellStyle name="_IBFSL_Conso_December_08_09 _ISL__3CD_FY2010-11" xfId="6845" xr:uid="{00000000-0005-0000-0000-0000BD1A0000}"/>
    <cellStyle name="_IBFSL_Conso_December_08_09 _ISL_Conso_09_10_Other working" xfId="6846" xr:uid="{00000000-0005-0000-0000-0000BE1A0000}"/>
    <cellStyle name="_IBFSL_Conso_December_08_09 _ISL_Conso_09_10_Other working 2" xfId="6847" xr:uid="{00000000-0005-0000-0000-0000BF1A0000}"/>
    <cellStyle name="_IBFSL_Conso_December_08_09 _ISL_conso_August_09_10" xfId="6848" xr:uid="{00000000-0005-0000-0000-0000C01A0000}"/>
    <cellStyle name="_IBFSL_Conso_December_08_09 _ISL_conso_August_09_10 2" xfId="6849" xr:uid="{00000000-0005-0000-0000-0000C11A0000}"/>
    <cellStyle name="_IBFSL_Conso_December_08_09 _ISL_conso_August_09_10_ISL__3CD_FY2010-11" xfId="6850" xr:uid="{00000000-0005-0000-0000-0000C21A0000}"/>
    <cellStyle name="_IBFSL_Conso_December_08_09 _ISL_conso_August_10_11" xfId="6851" xr:uid="{00000000-0005-0000-0000-0000C31A0000}"/>
    <cellStyle name="_IBFSL_Conso_December_08_09 _ISL_conso_August_10_11 2" xfId="6852" xr:uid="{00000000-0005-0000-0000-0000C41A0000}"/>
    <cellStyle name="_IBFSL_Conso_December_08_09 _ISL_conso_December_08_09" xfId="6853" xr:uid="{00000000-0005-0000-0000-0000C51A0000}"/>
    <cellStyle name="_IBFSL_Conso_December_08_09 _ISL_conso_December_08_09 2" xfId="6854" xr:uid="{00000000-0005-0000-0000-0000C61A0000}"/>
    <cellStyle name="_IBFSL_Conso_December_08_09 _ISL_conso_December_08_09_ISL__3CD_FY2010-11" xfId="6855" xr:uid="{00000000-0005-0000-0000-0000C71A0000}"/>
    <cellStyle name="_IBFSL_Conso_December_08_09 _ISL_conso_December_08_09_Results" xfId="6856" xr:uid="{00000000-0005-0000-0000-0000C81A0000}"/>
    <cellStyle name="_IBFSL_Conso_December_08_09 _ISL_conso_December_08_09_Results 2" xfId="6857" xr:uid="{00000000-0005-0000-0000-0000C91A0000}"/>
    <cellStyle name="_IBFSL_Conso_December_08_09 _ISL_conso_December_08_09_Xl0000012" xfId="6858" xr:uid="{00000000-0005-0000-0000-0000CA1A0000}"/>
    <cellStyle name="_IBFSL_Conso_December_08_09 _ISL_conso_December_08_09_Xl0000012 2" xfId="6859" xr:uid="{00000000-0005-0000-0000-0000CB1A0000}"/>
    <cellStyle name="_IBFSL_Conso_December_08_09 _ISL_conso_December_09_10" xfId="6860" xr:uid="{00000000-0005-0000-0000-0000CC1A0000}"/>
    <cellStyle name="_IBFSL_Conso_December_08_09 _ISL_conso_December_09_10 2" xfId="6861" xr:uid="{00000000-0005-0000-0000-0000CD1A0000}"/>
    <cellStyle name="_IBFSL_Conso_December_08_09 _ISL_conso_December_09_10_ISL__3CD_FY2010-11" xfId="6862" xr:uid="{00000000-0005-0000-0000-0000CE1A0000}"/>
    <cellStyle name="_IBFSL_Conso_December_08_09 _ISL_conso_December_10_11" xfId="6863" xr:uid="{00000000-0005-0000-0000-0000CF1A0000}"/>
    <cellStyle name="_IBFSL_Conso_December_08_09 _ISL_conso_December_10_11 2" xfId="6864" xr:uid="{00000000-0005-0000-0000-0000D01A0000}"/>
    <cellStyle name="_IBFSL_Conso_December_08_09 _ISL_conso_February_09_10" xfId="6865" xr:uid="{00000000-0005-0000-0000-0000D11A0000}"/>
    <cellStyle name="_IBFSL_Conso_December_08_09 _ISL_conso_February_09_10 2" xfId="6866" xr:uid="{00000000-0005-0000-0000-0000D21A0000}"/>
    <cellStyle name="_IBFSL_Conso_December_08_09 _ISL_conso_January_09_10" xfId="6867" xr:uid="{00000000-0005-0000-0000-0000D31A0000}"/>
    <cellStyle name="_IBFSL_Conso_December_08_09 _ISL_conso_January_09_10 2" xfId="6868" xr:uid="{00000000-0005-0000-0000-0000D41A0000}"/>
    <cellStyle name="_IBFSL_Conso_December_08_09 _ISL_conso_July_09_10" xfId="6869" xr:uid="{00000000-0005-0000-0000-0000D51A0000}"/>
    <cellStyle name="_IBFSL_Conso_December_08_09 _ISL_conso_July_09_10 2" xfId="6870" xr:uid="{00000000-0005-0000-0000-0000D61A0000}"/>
    <cellStyle name="_IBFSL_Conso_December_08_09 _ISL_conso_July_09_10_ISL__3CD_FY2010-11" xfId="6871" xr:uid="{00000000-0005-0000-0000-0000D71A0000}"/>
    <cellStyle name="_IBFSL_Conso_December_08_09 _ISL_conso_July_10_11" xfId="6872" xr:uid="{00000000-0005-0000-0000-0000D81A0000}"/>
    <cellStyle name="_IBFSL_Conso_December_08_09 _ISL_conso_July_10_11 2" xfId="6873" xr:uid="{00000000-0005-0000-0000-0000D91A0000}"/>
    <cellStyle name="_IBFSL_Conso_December_08_09 _ISL_conso_June_09_10" xfId="6874" xr:uid="{00000000-0005-0000-0000-0000DA1A0000}"/>
    <cellStyle name="_IBFSL_Conso_December_08_09 _ISL_conso_June_09_10 2" xfId="6875" xr:uid="{00000000-0005-0000-0000-0000DB1A0000}"/>
    <cellStyle name="_IBFSL_Conso_December_08_09 _ISL_conso_June_09_10_ISL__3CD_FY2010-11" xfId="6876" xr:uid="{00000000-0005-0000-0000-0000DC1A0000}"/>
    <cellStyle name="_IBFSL_Conso_December_08_09 _ISL_conso_June_10_11" xfId="6877" xr:uid="{00000000-0005-0000-0000-0000DD1A0000}"/>
    <cellStyle name="_IBFSL_Conso_December_08_09 _ISL_conso_June_10_11 2" xfId="6878" xr:uid="{00000000-0005-0000-0000-0000DE1A0000}"/>
    <cellStyle name="_IBFSL_Conso_December_08_09 _ISL_conso_March_08_09" xfId="6879" xr:uid="{00000000-0005-0000-0000-0000DF1A0000}"/>
    <cellStyle name="_IBFSL_Conso_December_08_09 _ISL_conso_March_08_09 2" xfId="6880" xr:uid="{00000000-0005-0000-0000-0000E01A0000}"/>
    <cellStyle name="_IBFSL_Conso_December_08_09 _ISL_conso_March_08_09_ISL__3CD_FY2010-11" xfId="6881" xr:uid="{00000000-0005-0000-0000-0000E11A0000}"/>
    <cellStyle name="_IBFSL_Conso_December_08_09 _ISL_conso_March_09_10" xfId="6882" xr:uid="{00000000-0005-0000-0000-0000E21A0000}"/>
    <cellStyle name="_IBFSL_Conso_December_08_09 _ISL_conso_March_09_10 2" xfId="6883" xr:uid="{00000000-0005-0000-0000-0000E31A0000}"/>
    <cellStyle name="_IBFSL_Conso_December_08_09 _ISL_conso_May_09_10" xfId="6884" xr:uid="{00000000-0005-0000-0000-0000E41A0000}"/>
    <cellStyle name="_IBFSL_Conso_December_08_09 _ISL_conso_May_09_10 2" xfId="6885" xr:uid="{00000000-0005-0000-0000-0000E51A0000}"/>
    <cellStyle name="_IBFSL_Conso_December_08_09 _ISL_conso_May_09_10_ISL__3CD_FY2010-11" xfId="6886" xr:uid="{00000000-0005-0000-0000-0000E61A0000}"/>
    <cellStyle name="_IBFSL_Conso_December_08_09 _ISL_conso_May_10_11" xfId="6887" xr:uid="{00000000-0005-0000-0000-0000E71A0000}"/>
    <cellStyle name="_IBFSL_Conso_December_08_09 _ISL_conso_May_10_11 2" xfId="6888" xr:uid="{00000000-0005-0000-0000-0000E81A0000}"/>
    <cellStyle name="_IBFSL_Conso_December_08_09 _ISL_conso_November_09_10" xfId="6889" xr:uid="{00000000-0005-0000-0000-0000E91A0000}"/>
    <cellStyle name="_IBFSL_Conso_December_08_09 _ISL_conso_November_09_10 2" xfId="6890" xr:uid="{00000000-0005-0000-0000-0000EA1A0000}"/>
    <cellStyle name="_IBFSL_Conso_December_08_09 _ISL_conso_November_09_10_ISL__3CD_FY2010-11" xfId="6891" xr:uid="{00000000-0005-0000-0000-0000EB1A0000}"/>
    <cellStyle name="_IBFSL_Conso_December_08_09 _ISL_conso_November_10_11" xfId="6892" xr:uid="{00000000-0005-0000-0000-0000EC1A0000}"/>
    <cellStyle name="_IBFSL_Conso_December_08_09 _ISL_conso_November_10_11 2" xfId="6893" xr:uid="{00000000-0005-0000-0000-0000ED1A0000}"/>
    <cellStyle name="_IBFSL_Conso_December_08_09 _ISL_conso_October_09_10" xfId="6894" xr:uid="{00000000-0005-0000-0000-0000EE1A0000}"/>
    <cellStyle name="_IBFSL_Conso_December_08_09 _ISL_conso_October_09_10 2" xfId="6895" xr:uid="{00000000-0005-0000-0000-0000EF1A0000}"/>
    <cellStyle name="_IBFSL_Conso_December_08_09 _ISL_conso_October_09_10_ISL__3CD_FY2010-11" xfId="6896" xr:uid="{00000000-0005-0000-0000-0000F01A0000}"/>
    <cellStyle name="_IBFSL_Conso_December_08_09 _ISL_conso_October_10_11" xfId="6897" xr:uid="{00000000-0005-0000-0000-0000F11A0000}"/>
    <cellStyle name="_IBFSL_Conso_December_08_09 _ISL_conso_October_10_11 2" xfId="6898" xr:uid="{00000000-0005-0000-0000-0000F21A0000}"/>
    <cellStyle name="_IBFSL_Conso_December_08_09 _ISL_conso_September_09_10" xfId="6899" xr:uid="{00000000-0005-0000-0000-0000F31A0000}"/>
    <cellStyle name="_IBFSL_Conso_December_08_09 _ISL_conso_September_09_10 2" xfId="6900" xr:uid="{00000000-0005-0000-0000-0000F41A0000}"/>
    <cellStyle name="_IBFSL_Conso_December_08_09 _ISL_conso_September_09_10_ISL__3CD_FY2010-11" xfId="6901" xr:uid="{00000000-0005-0000-0000-0000F51A0000}"/>
    <cellStyle name="_IBFSL_Conso_December_08_09 _ISL_conso_September_10_11" xfId="6902" xr:uid="{00000000-0005-0000-0000-0000F61A0000}"/>
    <cellStyle name="_IBFSL_Conso_December_08_09 _ISL_conso_September_10_11 2" xfId="6903" xr:uid="{00000000-0005-0000-0000-0000F71A0000}"/>
    <cellStyle name="_IBFSL_Conso_December_08_09 _ISL_June_10" xfId="6904" xr:uid="{00000000-0005-0000-0000-0000F81A0000}"/>
    <cellStyle name="_IBFSL_Conso_December_08_09 _ISL_June_10 2" xfId="6905" xr:uid="{00000000-0005-0000-0000-0000F91A0000}"/>
    <cellStyle name="_IBFSL_Conso_December_08_09 _Result" xfId="6906" xr:uid="{00000000-0005-0000-0000-0000FA1A0000}"/>
    <cellStyle name="_IBFSL_Conso_December_08_09 _Result 2" xfId="6907" xr:uid="{00000000-0005-0000-0000-0000FB1A0000}"/>
    <cellStyle name="_IBFSL_Conso_December_08_09 _Results" xfId="6908" xr:uid="{00000000-0005-0000-0000-0000FC1A0000}"/>
    <cellStyle name="_IBFSL_Conso_December_08_09 _Results 2" xfId="6909" xr:uid="{00000000-0005-0000-0000-0000FD1A0000}"/>
    <cellStyle name="_IBFSL_Conso_December_08_09 _Xl0000012" xfId="6910" xr:uid="{00000000-0005-0000-0000-0000FE1A0000}"/>
    <cellStyle name="_IBFSL_Conso_December_08_09 _Xl0000012 2" xfId="6911" xr:uid="{00000000-0005-0000-0000-0000FF1A0000}"/>
    <cellStyle name="_IBFSL_Conso_July_08_09 " xfId="6912" xr:uid="{00000000-0005-0000-0000-0000001B0000}"/>
    <cellStyle name="_IBFSL_Conso_July_08_09  10" xfId="6913" xr:uid="{00000000-0005-0000-0000-0000011B0000}"/>
    <cellStyle name="_IBFSL_Conso_July_08_09  10 2" xfId="6914" xr:uid="{00000000-0005-0000-0000-0000021B0000}"/>
    <cellStyle name="_IBFSL_Conso_July_08_09  11" xfId="6915" xr:uid="{00000000-0005-0000-0000-0000031B0000}"/>
    <cellStyle name="_IBFSL_Conso_July_08_09  11 2" xfId="6916" xr:uid="{00000000-0005-0000-0000-0000041B0000}"/>
    <cellStyle name="_IBFSL_Conso_July_08_09  12" xfId="6917" xr:uid="{00000000-0005-0000-0000-0000051B0000}"/>
    <cellStyle name="_IBFSL_Conso_July_08_09  12 2" xfId="6918" xr:uid="{00000000-0005-0000-0000-0000061B0000}"/>
    <cellStyle name="_IBFSL_Conso_July_08_09  13" xfId="6919" xr:uid="{00000000-0005-0000-0000-0000071B0000}"/>
    <cellStyle name="_IBFSL_Conso_July_08_09  13 2" xfId="6920" xr:uid="{00000000-0005-0000-0000-0000081B0000}"/>
    <cellStyle name="_IBFSL_Conso_July_08_09  14" xfId="6921" xr:uid="{00000000-0005-0000-0000-0000091B0000}"/>
    <cellStyle name="_IBFSL_Conso_July_08_09  14 2" xfId="6922" xr:uid="{00000000-0005-0000-0000-00000A1B0000}"/>
    <cellStyle name="_IBFSL_Conso_July_08_09  15" xfId="6923" xr:uid="{00000000-0005-0000-0000-00000B1B0000}"/>
    <cellStyle name="_IBFSL_Conso_July_08_09  15 2" xfId="6924" xr:uid="{00000000-0005-0000-0000-00000C1B0000}"/>
    <cellStyle name="_IBFSL_Conso_July_08_09  16" xfId="6925" xr:uid="{00000000-0005-0000-0000-00000D1B0000}"/>
    <cellStyle name="_IBFSL_Conso_July_08_09  16 2" xfId="6926" xr:uid="{00000000-0005-0000-0000-00000E1B0000}"/>
    <cellStyle name="_IBFSL_Conso_July_08_09  17" xfId="6927" xr:uid="{00000000-0005-0000-0000-00000F1B0000}"/>
    <cellStyle name="_IBFSL_Conso_July_08_09  17 2" xfId="6928" xr:uid="{00000000-0005-0000-0000-0000101B0000}"/>
    <cellStyle name="_IBFSL_Conso_July_08_09  18" xfId="6929" xr:uid="{00000000-0005-0000-0000-0000111B0000}"/>
    <cellStyle name="_IBFSL_Conso_July_08_09  18 2" xfId="6930" xr:uid="{00000000-0005-0000-0000-0000121B0000}"/>
    <cellStyle name="_IBFSL_Conso_July_08_09  19" xfId="6931" xr:uid="{00000000-0005-0000-0000-0000131B0000}"/>
    <cellStyle name="_IBFSL_Conso_July_08_09  19 2" xfId="6932" xr:uid="{00000000-0005-0000-0000-0000141B0000}"/>
    <cellStyle name="_IBFSL_Conso_July_08_09  2" xfId="6933" xr:uid="{00000000-0005-0000-0000-0000151B0000}"/>
    <cellStyle name="_IBFSL_Conso_July_08_09  2 2" xfId="6934" xr:uid="{00000000-0005-0000-0000-0000161B0000}"/>
    <cellStyle name="_IBFSL_Conso_July_08_09  20" xfId="6935" xr:uid="{00000000-0005-0000-0000-0000171B0000}"/>
    <cellStyle name="_IBFSL_Conso_July_08_09  21" xfId="6936" xr:uid="{00000000-0005-0000-0000-0000181B0000}"/>
    <cellStyle name="_IBFSL_Conso_July_08_09  22" xfId="6937" xr:uid="{00000000-0005-0000-0000-0000191B0000}"/>
    <cellStyle name="_IBFSL_Conso_July_08_09  23" xfId="6938" xr:uid="{00000000-0005-0000-0000-00001A1B0000}"/>
    <cellStyle name="_IBFSL_Conso_July_08_09  3" xfId="6939" xr:uid="{00000000-0005-0000-0000-00001B1B0000}"/>
    <cellStyle name="_IBFSL_Conso_July_08_09  3 2" xfId="6940" xr:uid="{00000000-0005-0000-0000-00001C1B0000}"/>
    <cellStyle name="_IBFSL_Conso_July_08_09  4" xfId="6941" xr:uid="{00000000-0005-0000-0000-00001D1B0000}"/>
    <cellStyle name="_IBFSL_Conso_July_08_09  4 2" xfId="6942" xr:uid="{00000000-0005-0000-0000-00001E1B0000}"/>
    <cellStyle name="_IBFSL_Conso_July_08_09  5" xfId="6943" xr:uid="{00000000-0005-0000-0000-00001F1B0000}"/>
    <cellStyle name="_IBFSL_Conso_July_08_09  5 2" xfId="6944" xr:uid="{00000000-0005-0000-0000-0000201B0000}"/>
    <cellStyle name="_IBFSL_Conso_July_08_09  6" xfId="6945" xr:uid="{00000000-0005-0000-0000-0000211B0000}"/>
    <cellStyle name="_IBFSL_Conso_July_08_09  6 2" xfId="6946" xr:uid="{00000000-0005-0000-0000-0000221B0000}"/>
    <cellStyle name="_IBFSL_Conso_July_08_09  7" xfId="6947" xr:uid="{00000000-0005-0000-0000-0000231B0000}"/>
    <cellStyle name="_IBFSL_Conso_July_08_09  7 2" xfId="6948" xr:uid="{00000000-0005-0000-0000-0000241B0000}"/>
    <cellStyle name="_IBFSL_Conso_July_08_09  8" xfId="6949" xr:uid="{00000000-0005-0000-0000-0000251B0000}"/>
    <cellStyle name="_IBFSL_Conso_July_08_09  8 2" xfId="6950" xr:uid="{00000000-0005-0000-0000-0000261B0000}"/>
    <cellStyle name="_IBFSL_Conso_July_08_09  9" xfId="6951" xr:uid="{00000000-0005-0000-0000-0000271B0000}"/>
    <cellStyle name="_IBFSL_Conso_July_08_09  9 2" xfId="6952" xr:uid="{00000000-0005-0000-0000-0000281B0000}"/>
    <cellStyle name="_IBFSL_Conso_July_08_09 _Book1" xfId="6953" xr:uid="{00000000-0005-0000-0000-0000291B0000}"/>
    <cellStyle name="_IBFSL_Conso_July_08_09 _Book1 (2)" xfId="6954" xr:uid="{00000000-0005-0000-0000-00002A1B0000}"/>
    <cellStyle name="_IBFSL_Conso_July_08_09 _Book1 (2) 2" xfId="6955" xr:uid="{00000000-0005-0000-0000-00002B1B0000}"/>
    <cellStyle name="_IBFSL_Conso_July_08_09 _Book1 10" xfId="6956" xr:uid="{00000000-0005-0000-0000-00002C1B0000}"/>
    <cellStyle name="_IBFSL_Conso_July_08_09 _Book1 11" xfId="6957" xr:uid="{00000000-0005-0000-0000-00002D1B0000}"/>
    <cellStyle name="_IBFSL_Conso_July_08_09 _Book1 2" xfId="6958" xr:uid="{00000000-0005-0000-0000-00002E1B0000}"/>
    <cellStyle name="_IBFSL_Conso_July_08_09 _Book1 3" xfId="6959" xr:uid="{00000000-0005-0000-0000-00002F1B0000}"/>
    <cellStyle name="_IBFSL_Conso_July_08_09 _Book1 4" xfId="6960" xr:uid="{00000000-0005-0000-0000-0000301B0000}"/>
    <cellStyle name="_IBFSL_Conso_July_08_09 _Book1 5" xfId="6961" xr:uid="{00000000-0005-0000-0000-0000311B0000}"/>
    <cellStyle name="_IBFSL_Conso_July_08_09 _Book1 6" xfId="6962" xr:uid="{00000000-0005-0000-0000-0000321B0000}"/>
    <cellStyle name="_IBFSL_Conso_July_08_09 _Book1 7" xfId="6963" xr:uid="{00000000-0005-0000-0000-0000331B0000}"/>
    <cellStyle name="_IBFSL_Conso_July_08_09 _Book1 8" xfId="6964" xr:uid="{00000000-0005-0000-0000-0000341B0000}"/>
    <cellStyle name="_IBFSL_Conso_July_08_09 _Book1 9" xfId="6965" xr:uid="{00000000-0005-0000-0000-0000351B0000}"/>
    <cellStyle name="_IBFSL_Conso_July_08_09 _Book1_ISL__3CD_FY2010-11" xfId="6966" xr:uid="{00000000-0005-0000-0000-0000361B0000}"/>
    <cellStyle name="_IBFSL_Conso_July_08_09 _Book2" xfId="6967" xr:uid="{00000000-0005-0000-0000-0000371B0000}"/>
    <cellStyle name="_IBFSL_Conso_July_08_09 _Book2 2" xfId="6968" xr:uid="{00000000-0005-0000-0000-0000381B0000}"/>
    <cellStyle name="_IBFSL_Conso_July_08_09 _Book2_ISL__3CD_FY2010-11" xfId="6969" xr:uid="{00000000-0005-0000-0000-0000391B0000}"/>
    <cellStyle name="_IBFSL_Conso_July_08_09 _Book4" xfId="6970" xr:uid="{00000000-0005-0000-0000-00003A1B0000}"/>
    <cellStyle name="_IBFSL_Conso_July_08_09 _Book4 2" xfId="6971" xr:uid="{00000000-0005-0000-0000-00003B1B0000}"/>
    <cellStyle name="_IBFSL_Conso_July_08_09 _Book4_ISL__3CD_FY2010-11" xfId="6972" xr:uid="{00000000-0005-0000-0000-00003C1B0000}"/>
    <cellStyle name="_IBFSL_Conso_July_08_09 _ISL June 09" xfId="6973" xr:uid="{00000000-0005-0000-0000-00003D1B0000}"/>
    <cellStyle name="_IBFSL_Conso_July_08_09 _ISL June 09 2" xfId="6974" xr:uid="{00000000-0005-0000-0000-00003E1B0000}"/>
    <cellStyle name="_IBFSL_Conso_July_08_09 _ISL June 09_ISL__3CD_FY2010-11" xfId="6975" xr:uid="{00000000-0005-0000-0000-00003F1B0000}"/>
    <cellStyle name="_IBFSL_Conso_July_08_09 _ISL Rev" xfId="6976" xr:uid="{00000000-0005-0000-0000-0000401B0000}"/>
    <cellStyle name="_IBFSL_Conso_July_08_09 _ISL Rev 2" xfId="6977" xr:uid="{00000000-0005-0000-0000-0000411B0000}"/>
    <cellStyle name="_IBFSL_Conso_July_08_09 _ISL Rev_ISL__3CD_FY2010-11" xfId="6978" xr:uid="{00000000-0005-0000-0000-0000421B0000}"/>
    <cellStyle name="_IBFSL_Conso_July_08_09 _ISL Rev_Results" xfId="6979" xr:uid="{00000000-0005-0000-0000-0000431B0000}"/>
    <cellStyle name="_IBFSL_Conso_July_08_09 _ISL Rev_Results 2" xfId="6980" xr:uid="{00000000-0005-0000-0000-0000441B0000}"/>
    <cellStyle name="_IBFSL_Conso_July_08_09 _ISL Rev_Xl0000012" xfId="6981" xr:uid="{00000000-0005-0000-0000-0000451B0000}"/>
    <cellStyle name="_IBFSL_Conso_July_08_09 _ISL Rev_Xl0000012 2" xfId="6982" xr:uid="{00000000-0005-0000-0000-0000461B0000}"/>
    <cellStyle name="_IBFSL_Conso_July_08_09 _ISL__3CD_FY2010-11" xfId="6983" xr:uid="{00000000-0005-0000-0000-0000471B0000}"/>
    <cellStyle name="_IBFSL_Conso_July_08_09 _ISL_BS_03.03.2009" xfId="6984" xr:uid="{00000000-0005-0000-0000-0000481B0000}"/>
    <cellStyle name="_IBFSL_Conso_July_08_09 _ISL_BS_03.03.2009 2" xfId="6985" xr:uid="{00000000-0005-0000-0000-0000491B0000}"/>
    <cellStyle name="_IBFSL_Conso_July_08_09 _ISL_BS_03.03.2009_ISL__3CD_FY2010-11" xfId="6986" xr:uid="{00000000-0005-0000-0000-00004A1B0000}"/>
    <cellStyle name="_IBFSL_Conso_July_08_09 _ISL_BS_08.03.2009" xfId="6987" xr:uid="{00000000-0005-0000-0000-00004B1B0000}"/>
    <cellStyle name="_IBFSL_Conso_July_08_09 _ISL_BS_08.03.2009 2" xfId="6988" xr:uid="{00000000-0005-0000-0000-00004C1B0000}"/>
    <cellStyle name="_IBFSL_Conso_July_08_09 _ISL_BS_08.03.2009_ISL__3CD_FY2010-11" xfId="6989" xr:uid="{00000000-0005-0000-0000-00004D1B0000}"/>
    <cellStyle name="_IBFSL_Conso_July_08_09 _ISL_BS_15.03.2009" xfId="6990" xr:uid="{00000000-0005-0000-0000-00004E1B0000}"/>
    <cellStyle name="_IBFSL_Conso_July_08_09 _ISL_BS_15.03.2009 2" xfId="6991" xr:uid="{00000000-0005-0000-0000-00004F1B0000}"/>
    <cellStyle name="_IBFSL_Conso_July_08_09 _ISL_BS_15.03.2009_ISL__3CD_FY2010-11" xfId="6992" xr:uid="{00000000-0005-0000-0000-0000501B0000}"/>
    <cellStyle name="_IBFSL_Conso_July_08_09 _ISL_BS_2008-09- First Cut" xfId="6993" xr:uid="{00000000-0005-0000-0000-0000511B0000}"/>
    <cellStyle name="_IBFSL_Conso_July_08_09 _ISL_BS_2008-09- First Cut 2" xfId="6994" xr:uid="{00000000-0005-0000-0000-0000521B0000}"/>
    <cellStyle name="_IBFSL_Conso_July_08_09 _ISL_BS_2008-09- First Cut_ISL__3CD_FY2010-11" xfId="6995" xr:uid="{00000000-0005-0000-0000-0000531B0000}"/>
    <cellStyle name="_IBFSL_Conso_July_08_09 _ISL_BS_21.09.2009" xfId="6996" xr:uid="{00000000-0005-0000-0000-0000541B0000}"/>
    <cellStyle name="_IBFSL_Conso_July_08_09 _ISL_BS_21.09.2009 2" xfId="6997" xr:uid="{00000000-0005-0000-0000-0000551B0000}"/>
    <cellStyle name="_IBFSL_Conso_July_08_09 _ISL_BS_23.02.2009" xfId="6998" xr:uid="{00000000-0005-0000-0000-0000561B0000}"/>
    <cellStyle name="_IBFSL_Conso_July_08_09 _ISL_BS_23.02.2009 2" xfId="6999" xr:uid="{00000000-0005-0000-0000-0000571B0000}"/>
    <cellStyle name="_IBFSL_Conso_July_08_09 _ISL_BS_23.02.2009_ISL__3CD_FY2010-11" xfId="7000" xr:uid="{00000000-0005-0000-0000-0000581B0000}"/>
    <cellStyle name="_IBFSL_Conso_July_08_09 _ISL_BS_24.02.2009" xfId="7001" xr:uid="{00000000-0005-0000-0000-0000591B0000}"/>
    <cellStyle name="_IBFSL_Conso_July_08_09 _ISL_BS_24.02.2009 2" xfId="7002" xr:uid="{00000000-0005-0000-0000-00005A1B0000}"/>
    <cellStyle name="_IBFSL_Conso_July_08_09 _ISL_BS_24.02.2009_ISL__3CD_FY2010-11" xfId="7003" xr:uid="{00000000-0005-0000-0000-00005B1B0000}"/>
    <cellStyle name="_IBFSL_Conso_July_08_09 _ISL_BS_Aug 09" xfId="7004" xr:uid="{00000000-0005-0000-0000-00005C1B0000}"/>
    <cellStyle name="_IBFSL_Conso_July_08_09 _ISL_BS_Aug 09 2" xfId="7005" xr:uid="{00000000-0005-0000-0000-00005D1B0000}"/>
    <cellStyle name="_IBFSL_Conso_July_08_09 _ISL_BS_Aug 09.z" xfId="7006" xr:uid="{00000000-0005-0000-0000-00005E1B0000}"/>
    <cellStyle name="_IBFSL_Conso_July_08_09 _ISL_BS_Aug 09.z 2" xfId="7007" xr:uid="{00000000-0005-0000-0000-00005F1B0000}"/>
    <cellStyle name="_IBFSL_Conso_July_08_09 _ISL_BS_Aug 09.z_ISL__3CD_FY2010-11" xfId="7008" xr:uid="{00000000-0005-0000-0000-0000601B0000}"/>
    <cellStyle name="_IBFSL_Conso_July_08_09 _ISL_BS_Aug 09_ISL__3CD_FY2010-11" xfId="7009" xr:uid="{00000000-0005-0000-0000-0000611B0000}"/>
    <cellStyle name="_IBFSL_Conso_July_08_09 _ISL_Conso_09_10_Other working" xfId="7010" xr:uid="{00000000-0005-0000-0000-0000621B0000}"/>
    <cellStyle name="_IBFSL_Conso_July_08_09 _ISL_Conso_09_10_Other working 2" xfId="7011" xr:uid="{00000000-0005-0000-0000-0000631B0000}"/>
    <cellStyle name="_IBFSL_Conso_July_08_09 _ISL_conso_August_09_10" xfId="7012" xr:uid="{00000000-0005-0000-0000-0000641B0000}"/>
    <cellStyle name="_IBFSL_Conso_July_08_09 _ISL_conso_August_09_10 2" xfId="7013" xr:uid="{00000000-0005-0000-0000-0000651B0000}"/>
    <cellStyle name="_IBFSL_Conso_July_08_09 _ISL_conso_August_09_10_ISL__3CD_FY2010-11" xfId="7014" xr:uid="{00000000-0005-0000-0000-0000661B0000}"/>
    <cellStyle name="_IBFSL_Conso_July_08_09 _ISL_conso_August_10_11" xfId="7015" xr:uid="{00000000-0005-0000-0000-0000671B0000}"/>
    <cellStyle name="_IBFSL_Conso_July_08_09 _ISL_conso_August_10_11 2" xfId="7016" xr:uid="{00000000-0005-0000-0000-0000681B0000}"/>
    <cellStyle name="_IBFSL_Conso_July_08_09 _ISL_conso_December_08_09" xfId="7017" xr:uid="{00000000-0005-0000-0000-0000691B0000}"/>
    <cellStyle name="_IBFSL_Conso_July_08_09 _ISL_conso_December_08_09 2" xfId="7018" xr:uid="{00000000-0005-0000-0000-00006A1B0000}"/>
    <cellStyle name="_IBFSL_Conso_July_08_09 _ISL_conso_December_08_09_ISL__3CD_FY2010-11" xfId="7019" xr:uid="{00000000-0005-0000-0000-00006B1B0000}"/>
    <cellStyle name="_IBFSL_Conso_July_08_09 _ISL_conso_December_08_09_Results" xfId="7020" xr:uid="{00000000-0005-0000-0000-00006C1B0000}"/>
    <cellStyle name="_IBFSL_Conso_July_08_09 _ISL_conso_December_08_09_Results 2" xfId="7021" xr:uid="{00000000-0005-0000-0000-00006D1B0000}"/>
    <cellStyle name="_IBFSL_Conso_July_08_09 _ISL_conso_December_08_09_Xl0000012" xfId="7022" xr:uid="{00000000-0005-0000-0000-00006E1B0000}"/>
    <cellStyle name="_IBFSL_Conso_July_08_09 _ISL_conso_December_08_09_Xl0000012 2" xfId="7023" xr:uid="{00000000-0005-0000-0000-00006F1B0000}"/>
    <cellStyle name="_IBFSL_Conso_July_08_09 _ISL_conso_December_09_10" xfId="7024" xr:uid="{00000000-0005-0000-0000-0000701B0000}"/>
    <cellStyle name="_IBFSL_Conso_July_08_09 _ISL_conso_December_09_10 2" xfId="7025" xr:uid="{00000000-0005-0000-0000-0000711B0000}"/>
    <cellStyle name="_IBFSL_Conso_July_08_09 _ISL_conso_December_09_10_ISL__3CD_FY2010-11" xfId="7026" xr:uid="{00000000-0005-0000-0000-0000721B0000}"/>
    <cellStyle name="_IBFSL_Conso_July_08_09 _ISL_conso_December_10_11" xfId="7027" xr:uid="{00000000-0005-0000-0000-0000731B0000}"/>
    <cellStyle name="_IBFSL_Conso_July_08_09 _ISL_conso_December_10_11 2" xfId="7028" xr:uid="{00000000-0005-0000-0000-0000741B0000}"/>
    <cellStyle name="_IBFSL_Conso_July_08_09 _ISL_conso_February_09_10" xfId="7029" xr:uid="{00000000-0005-0000-0000-0000751B0000}"/>
    <cellStyle name="_IBFSL_Conso_July_08_09 _ISL_conso_February_09_10 2" xfId="7030" xr:uid="{00000000-0005-0000-0000-0000761B0000}"/>
    <cellStyle name="_IBFSL_Conso_July_08_09 _ISL_conso_January_09_10" xfId="7031" xr:uid="{00000000-0005-0000-0000-0000771B0000}"/>
    <cellStyle name="_IBFSL_Conso_July_08_09 _ISL_conso_January_09_10 2" xfId="7032" xr:uid="{00000000-0005-0000-0000-0000781B0000}"/>
    <cellStyle name="_IBFSL_Conso_July_08_09 _ISL_conso_July_08_09" xfId="7033" xr:uid="{00000000-0005-0000-0000-0000791B0000}"/>
    <cellStyle name="_IBFSL_Conso_July_08_09 _ISL_conso_July_08_09 2" xfId="7034" xr:uid="{00000000-0005-0000-0000-00007A1B0000}"/>
    <cellStyle name="_IBFSL_Conso_July_08_09 _ISL_conso_July_08_09_ISL__3CD_FY2010-11" xfId="7035" xr:uid="{00000000-0005-0000-0000-00007B1B0000}"/>
    <cellStyle name="_IBFSL_Conso_July_08_09 _ISL_conso_July_08_09_Results" xfId="7036" xr:uid="{00000000-0005-0000-0000-00007C1B0000}"/>
    <cellStyle name="_IBFSL_Conso_July_08_09 _ISL_conso_July_08_09_Results 2" xfId="7037" xr:uid="{00000000-0005-0000-0000-00007D1B0000}"/>
    <cellStyle name="_IBFSL_Conso_July_08_09 _ISL_conso_July_08_09_Xl0000012" xfId="7038" xr:uid="{00000000-0005-0000-0000-00007E1B0000}"/>
    <cellStyle name="_IBFSL_Conso_July_08_09 _ISL_conso_July_08_09_Xl0000012 2" xfId="7039" xr:uid="{00000000-0005-0000-0000-00007F1B0000}"/>
    <cellStyle name="_IBFSL_Conso_July_08_09 _ISL_conso_July_09_10" xfId="7040" xr:uid="{00000000-0005-0000-0000-0000801B0000}"/>
    <cellStyle name="_IBFSL_Conso_July_08_09 _ISL_conso_July_09_10 2" xfId="7041" xr:uid="{00000000-0005-0000-0000-0000811B0000}"/>
    <cellStyle name="_IBFSL_Conso_July_08_09 _ISL_conso_July_09_10_ISL__3CD_FY2010-11" xfId="7042" xr:uid="{00000000-0005-0000-0000-0000821B0000}"/>
    <cellStyle name="_IBFSL_Conso_July_08_09 _ISL_conso_July_10_11" xfId="7043" xr:uid="{00000000-0005-0000-0000-0000831B0000}"/>
    <cellStyle name="_IBFSL_Conso_July_08_09 _ISL_conso_July_10_11 2" xfId="7044" xr:uid="{00000000-0005-0000-0000-0000841B0000}"/>
    <cellStyle name="_IBFSL_Conso_July_08_09 _ISL_conso_June_09_10" xfId="7045" xr:uid="{00000000-0005-0000-0000-0000851B0000}"/>
    <cellStyle name="_IBFSL_Conso_July_08_09 _ISL_conso_June_09_10 2" xfId="7046" xr:uid="{00000000-0005-0000-0000-0000861B0000}"/>
    <cellStyle name="_IBFSL_Conso_July_08_09 _ISL_conso_June_09_10_ISL__3CD_FY2010-11" xfId="7047" xr:uid="{00000000-0005-0000-0000-0000871B0000}"/>
    <cellStyle name="_IBFSL_Conso_July_08_09 _ISL_conso_June_10_11" xfId="7048" xr:uid="{00000000-0005-0000-0000-0000881B0000}"/>
    <cellStyle name="_IBFSL_Conso_July_08_09 _ISL_conso_June_10_11 2" xfId="7049" xr:uid="{00000000-0005-0000-0000-0000891B0000}"/>
    <cellStyle name="_IBFSL_Conso_July_08_09 _ISL_conso_March_08_09" xfId="7050" xr:uid="{00000000-0005-0000-0000-00008A1B0000}"/>
    <cellStyle name="_IBFSL_Conso_July_08_09 _ISL_conso_March_08_09 2" xfId="7051" xr:uid="{00000000-0005-0000-0000-00008B1B0000}"/>
    <cellStyle name="_IBFSL_Conso_July_08_09 _ISL_conso_March_08_09_ISL__3CD_FY2010-11" xfId="7052" xr:uid="{00000000-0005-0000-0000-00008C1B0000}"/>
    <cellStyle name="_IBFSL_Conso_July_08_09 _ISL_conso_March_09_10" xfId="7053" xr:uid="{00000000-0005-0000-0000-00008D1B0000}"/>
    <cellStyle name="_IBFSL_Conso_July_08_09 _ISL_conso_March_09_10 2" xfId="7054" xr:uid="{00000000-0005-0000-0000-00008E1B0000}"/>
    <cellStyle name="_IBFSL_Conso_July_08_09 _ISL_conso_May_09_10" xfId="7055" xr:uid="{00000000-0005-0000-0000-00008F1B0000}"/>
    <cellStyle name="_IBFSL_Conso_July_08_09 _ISL_conso_May_09_10 2" xfId="7056" xr:uid="{00000000-0005-0000-0000-0000901B0000}"/>
    <cellStyle name="_IBFSL_Conso_July_08_09 _ISL_conso_May_09_10_ISL__3CD_FY2010-11" xfId="7057" xr:uid="{00000000-0005-0000-0000-0000911B0000}"/>
    <cellStyle name="_IBFSL_Conso_July_08_09 _ISL_conso_May_10_11" xfId="7058" xr:uid="{00000000-0005-0000-0000-0000921B0000}"/>
    <cellStyle name="_IBFSL_Conso_July_08_09 _ISL_conso_May_10_11 2" xfId="7059" xr:uid="{00000000-0005-0000-0000-0000931B0000}"/>
    <cellStyle name="_IBFSL_Conso_July_08_09 _ISL_conso_November_09_10" xfId="7060" xr:uid="{00000000-0005-0000-0000-0000941B0000}"/>
    <cellStyle name="_IBFSL_Conso_July_08_09 _ISL_conso_November_09_10 2" xfId="7061" xr:uid="{00000000-0005-0000-0000-0000951B0000}"/>
    <cellStyle name="_IBFSL_Conso_July_08_09 _ISL_conso_November_09_10_ISL__3CD_FY2010-11" xfId="7062" xr:uid="{00000000-0005-0000-0000-0000961B0000}"/>
    <cellStyle name="_IBFSL_Conso_July_08_09 _ISL_conso_November_10_11" xfId="7063" xr:uid="{00000000-0005-0000-0000-0000971B0000}"/>
    <cellStyle name="_IBFSL_Conso_July_08_09 _ISL_conso_November_10_11 2" xfId="7064" xr:uid="{00000000-0005-0000-0000-0000981B0000}"/>
    <cellStyle name="_IBFSL_Conso_July_08_09 _ISL_conso_October_09_10" xfId="7065" xr:uid="{00000000-0005-0000-0000-0000991B0000}"/>
    <cellStyle name="_IBFSL_Conso_July_08_09 _ISL_conso_October_09_10 2" xfId="7066" xr:uid="{00000000-0005-0000-0000-00009A1B0000}"/>
    <cellStyle name="_IBFSL_Conso_July_08_09 _ISL_conso_October_09_10_ISL__3CD_FY2010-11" xfId="7067" xr:uid="{00000000-0005-0000-0000-00009B1B0000}"/>
    <cellStyle name="_IBFSL_Conso_July_08_09 _ISL_conso_October_10_11" xfId="7068" xr:uid="{00000000-0005-0000-0000-00009C1B0000}"/>
    <cellStyle name="_IBFSL_Conso_July_08_09 _ISL_conso_October_10_11 2" xfId="7069" xr:uid="{00000000-0005-0000-0000-00009D1B0000}"/>
    <cellStyle name="_IBFSL_Conso_July_08_09 _ISL_conso_September_08_09" xfId="7070" xr:uid="{00000000-0005-0000-0000-00009E1B0000}"/>
    <cellStyle name="_IBFSL_Conso_July_08_09 _ISL_conso_September_08_09 2" xfId="7071" xr:uid="{00000000-0005-0000-0000-00009F1B0000}"/>
    <cellStyle name="_IBFSL_Conso_July_08_09 _ISL_conso_September_08_09_ISL__3CD_FY2010-11" xfId="7072" xr:uid="{00000000-0005-0000-0000-0000A01B0000}"/>
    <cellStyle name="_IBFSL_Conso_July_08_09 _ISL_conso_September_08_09_Results" xfId="7073" xr:uid="{00000000-0005-0000-0000-0000A11B0000}"/>
    <cellStyle name="_IBFSL_Conso_July_08_09 _ISL_conso_September_08_09_Results 2" xfId="7074" xr:uid="{00000000-0005-0000-0000-0000A21B0000}"/>
    <cellStyle name="_IBFSL_Conso_July_08_09 _ISL_conso_September_08_09_Xl0000012" xfId="7075" xr:uid="{00000000-0005-0000-0000-0000A31B0000}"/>
    <cellStyle name="_IBFSL_Conso_July_08_09 _ISL_conso_September_08_09_Xl0000012 2" xfId="7076" xr:uid="{00000000-0005-0000-0000-0000A41B0000}"/>
    <cellStyle name="_IBFSL_Conso_July_08_09 _ISL_conso_September_09_10" xfId="7077" xr:uid="{00000000-0005-0000-0000-0000A51B0000}"/>
    <cellStyle name="_IBFSL_Conso_July_08_09 _ISL_conso_September_09_10 2" xfId="7078" xr:uid="{00000000-0005-0000-0000-0000A61B0000}"/>
    <cellStyle name="_IBFSL_Conso_July_08_09 _ISL_conso_September_09_10_ISL__3CD_FY2010-11" xfId="7079" xr:uid="{00000000-0005-0000-0000-0000A71B0000}"/>
    <cellStyle name="_IBFSL_Conso_July_08_09 _ISL_conso_September_10_11" xfId="7080" xr:uid="{00000000-0005-0000-0000-0000A81B0000}"/>
    <cellStyle name="_IBFSL_Conso_July_08_09 _ISL_conso_September_10_11 2" xfId="7081" xr:uid="{00000000-0005-0000-0000-0000A91B0000}"/>
    <cellStyle name="_IBFSL_Conso_July_08_09 _ISL_June_10" xfId="7082" xr:uid="{00000000-0005-0000-0000-0000AA1B0000}"/>
    <cellStyle name="_IBFSL_Conso_July_08_09 _ISL_June_10 2" xfId="7083" xr:uid="{00000000-0005-0000-0000-0000AB1B0000}"/>
    <cellStyle name="_IBFSL_Conso_July_08_09 _ITR6_2009_10_ISL_Vivek" xfId="7084" xr:uid="{00000000-0005-0000-0000-0000AC1B0000}"/>
    <cellStyle name="_IBFSL_Conso_July_08_09 _ITR6_2009_10_ISL_Vivek_ISL__3CD_FY2010-11" xfId="7085" xr:uid="{00000000-0005-0000-0000-0000AD1B0000}"/>
    <cellStyle name="_IBFSL_Conso_July_08_09 _Provision for Exp - FY 0809" xfId="7086" xr:uid="{00000000-0005-0000-0000-0000AE1B0000}"/>
    <cellStyle name="_IBFSL_Conso_July_08_09 _Provision for Exp - FY 0809_ISL__3CD_FY2010-11" xfId="7087" xr:uid="{00000000-0005-0000-0000-0000AF1B0000}"/>
    <cellStyle name="_IBFSL_Conso_July_08_09 _Result" xfId="7088" xr:uid="{00000000-0005-0000-0000-0000B01B0000}"/>
    <cellStyle name="_IBFSL_Conso_July_08_09 _Result 2" xfId="7089" xr:uid="{00000000-0005-0000-0000-0000B11B0000}"/>
    <cellStyle name="_IBFSL_Conso_July_08_09 _Results" xfId="7090" xr:uid="{00000000-0005-0000-0000-0000B21B0000}"/>
    <cellStyle name="_IBFSL_Conso_July_08_09 _Results 2" xfId="7091" xr:uid="{00000000-0005-0000-0000-0000B31B0000}"/>
    <cellStyle name="_IBFSL_Conso_July_08_09 _Xl0000012" xfId="7092" xr:uid="{00000000-0005-0000-0000-0000B41B0000}"/>
    <cellStyle name="_IBFSL_Conso_July_08_09 _Xl0000012 2" xfId="7093" xr:uid="{00000000-0005-0000-0000-0000B51B0000}"/>
    <cellStyle name="_IBFSL_Conso_June_08_09 " xfId="7094" xr:uid="{00000000-0005-0000-0000-0000B61B0000}"/>
    <cellStyle name="_IBFSL_Conso_June_08_09  10" xfId="7095" xr:uid="{00000000-0005-0000-0000-0000B71B0000}"/>
    <cellStyle name="_IBFSL_Conso_June_08_09  10 2" xfId="7096" xr:uid="{00000000-0005-0000-0000-0000B81B0000}"/>
    <cellStyle name="_IBFSL_Conso_June_08_09  11" xfId="7097" xr:uid="{00000000-0005-0000-0000-0000B91B0000}"/>
    <cellStyle name="_IBFSL_Conso_June_08_09  11 2" xfId="7098" xr:uid="{00000000-0005-0000-0000-0000BA1B0000}"/>
    <cellStyle name="_IBFSL_Conso_June_08_09  12" xfId="7099" xr:uid="{00000000-0005-0000-0000-0000BB1B0000}"/>
    <cellStyle name="_IBFSL_Conso_June_08_09  12 2" xfId="7100" xr:uid="{00000000-0005-0000-0000-0000BC1B0000}"/>
    <cellStyle name="_IBFSL_Conso_June_08_09  13" xfId="7101" xr:uid="{00000000-0005-0000-0000-0000BD1B0000}"/>
    <cellStyle name="_IBFSL_Conso_June_08_09  13 2" xfId="7102" xr:uid="{00000000-0005-0000-0000-0000BE1B0000}"/>
    <cellStyle name="_IBFSL_Conso_June_08_09  14" xfId="7103" xr:uid="{00000000-0005-0000-0000-0000BF1B0000}"/>
    <cellStyle name="_IBFSL_Conso_June_08_09  14 2" xfId="7104" xr:uid="{00000000-0005-0000-0000-0000C01B0000}"/>
    <cellStyle name="_IBFSL_Conso_June_08_09  15" xfId="7105" xr:uid="{00000000-0005-0000-0000-0000C11B0000}"/>
    <cellStyle name="_IBFSL_Conso_June_08_09  15 2" xfId="7106" xr:uid="{00000000-0005-0000-0000-0000C21B0000}"/>
    <cellStyle name="_IBFSL_Conso_June_08_09  16" xfId="7107" xr:uid="{00000000-0005-0000-0000-0000C31B0000}"/>
    <cellStyle name="_IBFSL_Conso_June_08_09  16 2" xfId="7108" xr:uid="{00000000-0005-0000-0000-0000C41B0000}"/>
    <cellStyle name="_IBFSL_Conso_June_08_09  17" xfId="7109" xr:uid="{00000000-0005-0000-0000-0000C51B0000}"/>
    <cellStyle name="_IBFSL_Conso_June_08_09  17 2" xfId="7110" xr:uid="{00000000-0005-0000-0000-0000C61B0000}"/>
    <cellStyle name="_IBFSL_Conso_June_08_09  18" xfId="7111" xr:uid="{00000000-0005-0000-0000-0000C71B0000}"/>
    <cellStyle name="_IBFSL_Conso_June_08_09  18 2" xfId="7112" xr:uid="{00000000-0005-0000-0000-0000C81B0000}"/>
    <cellStyle name="_IBFSL_Conso_June_08_09  19" xfId="7113" xr:uid="{00000000-0005-0000-0000-0000C91B0000}"/>
    <cellStyle name="_IBFSL_Conso_June_08_09  19 2" xfId="7114" xr:uid="{00000000-0005-0000-0000-0000CA1B0000}"/>
    <cellStyle name="_IBFSL_Conso_June_08_09  2" xfId="7115" xr:uid="{00000000-0005-0000-0000-0000CB1B0000}"/>
    <cellStyle name="_IBFSL_Conso_June_08_09  2 2" xfId="7116" xr:uid="{00000000-0005-0000-0000-0000CC1B0000}"/>
    <cellStyle name="_IBFSL_Conso_June_08_09  20" xfId="7117" xr:uid="{00000000-0005-0000-0000-0000CD1B0000}"/>
    <cellStyle name="_IBFSL_Conso_June_08_09  21" xfId="7118" xr:uid="{00000000-0005-0000-0000-0000CE1B0000}"/>
    <cellStyle name="_IBFSL_Conso_June_08_09  22" xfId="7119" xr:uid="{00000000-0005-0000-0000-0000CF1B0000}"/>
    <cellStyle name="_IBFSL_Conso_June_08_09  23" xfId="7120" xr:uid="{00000000-0005-0000-0000-0000D01B0000}"/>
    <cellStyle name="_IBFSL_Conso_June_08_09  3" xfId="7121" xr:uid="{00000000-0005-0000-0000-0000D11B0000}"/>
    <cellStyle name="_IBFSL_Conso_June_08_09  3 2" xfId="7122" xr:uid="{00000000-0005-0000-0000-0000D21B0000}"/>
    <cellStyle name="_IBFSL_Conso_June_08_09  4" xfId="7123" xr:uid="{00000000-0005-0000-0000-0000D31B0000}"/>
    <cellStyle name="_IBFSL_Conso_June_08_09  4 2" xfId="7124" xr:uid="{00000000-0005-0000-0000-0000D41B0000}"/>
    <cellStyle name="_IBFSL_Conso_June_08_09  5" xfId="7125" xr:uid="{00000000-0005-0000-0000-0000D51B0000}"/>
    <cellStyle name="_IBFSL_Conso_June_08_09  5 2" xfId="7126" xr:uid="{00000000-0005-0000-0000-0000D61B0000}"/>
    <cellStyle name="_IBFSL_Conso_June_08_09  6" xfId="7127" xr:uid="{00000000-0005-0000-0000-0000D71B0000}"/>
    <cellStyle name="_IBFSL_Conso_June_08_09  6 2" xfId="7128" xr:uid="{00000000-0005-0000-0000-0000D81B0000}"/>
    <cellStyle name="_IBFSL_Conso_June_08_09  7" xfId="7129" xr:uid="{00000000-0005-0000-0000-0000D91B0000}"/>
    <cellStyle name="_IBFSL_Conso_June_08_09  7 2" xfId="7130" xr:uid="{00000000-0005-0000-0000-0000DA1B0000}"/>
    <cellStyle name="_IBFSL_Conso_June_08_09  8" xfId="7131" xr:uid="{00000000-0005-0000-0000-0000DB1B0000}"/>
    <cellStyle name="_IBFSL_Conso_June_08_09  8 2" xfId="7132" xr:uid="{00000000-0005-0000-0000-0000DC1B0000}"/>
    <cellStyle name="_IBFSL_Conso_June_08_09  9" xfId="7133" xr:uid="{00000000-0005-0000-0000-0000DD1B0000}"/>
    <cellStyle name="_IBFSL_Conso_June_08_09  9 2" xfId="7134" xr:uid="{00000000-0005-0000-0000-0000DE1B0000}"/>
    <cellStyle name="_IBFSL_Conso_June_08_09 _Book1" xfId="7135" xr:uid="{00000000-0005-0000-0000-0000DF1B0000}"/>
    <cellStyle name="_IBFSL_Conso_June_08_09 _Book1 (2)" xfId="7136" xr:uid="{00000000-0005-0000-0000-0000E01B0000}"/>
    <cellStyle name="_IBFSL_Conso_June_08_09 _Book1 (2) 2" xfId="7137" xr:uid="{00000000-0005-0000-0000-0000E11B0000}"/>
    <cellStyle name="_IBFSL_Conso_June_08_09 _Book1 10" xfId="7138" xr:uid="{00000000-0005-0000-0000-0000E21B0000}"/>
    <cellStyle name="_IBFSL_Conso_June_08_09 _Book1 11" xfId="7139" xr:uid="{00000000-0005-0000-0000-0000E31B0000}"/>
    <cellStyle name="_IBFSL_Conso_June_08_09 _Book1 2" xfId="7140" xr:uid="{00000000-0005-0000-0000-0000E41B0000}"/>
    <cellStyle name="_IBFSL_Conso_June_08_09 _Book1 3" xfId="7141" xr:uid="{00000000-0005-0000-0000-0000E51B0000}"/>
    <cellStyle name="_IBFSL_Conso_June_08_09 _Book1 4" xfId="7142" xr:uid="{00000000-0005-0000-0000-0000E61B0000}"/>
    <cellStyle name="_IBFSL_Conso_June_08_09 _Book1 5" xfId="7143" xr:uid="{00000000-0005-0000-0000-0000E71B0000}"/>
    <cellStyle name="_IBFSL_Conso_June_08_09 _Book1 6" xfId="7144" xr:uid="{00000000-0005-0000-0000-0000E81B0000}"/>
    <cellStyle name="_IBFSL_Conso_June_08_09 _Book1 7" xfId="7145" xr:uid="{00000000-0005-0000-0000-0000E91B0000}"/>
    <cellStyle name="_IBFSL_Conso_June_08_09 _Book1 8" xfId="7146" xr:uid="{00000000-0005-0000-0000-0000EA1B0000}"/>
    <cellStyle name="_IBFSL_Conso_June_08_09 _Book1 9" xfId="7147" xr:uid="{00000000-0005-0000-0000-0000EB1B0000}"/>
    <cellStyle name="_IBFSL_Conso_June_08_09 _Book1_ISL__3CD_FY2010-11" xfId="7148" xr:uid="{00000000-0005-0000-0000-0000EC1B0000}"/>
    <cellStyle name="_IBFSL_Conso_June_08_09 _Book2" xfId="7149" xr:uid="{00000000-0005-0000-0000-0000ED1B0000}"/>
    <cellStyle name="_IBFSL_Conso_June_08_09 _Book2 2" xfId="7150" xr:uid="{00000000-0005-0000-0000-0000EE1B0000}"/>
    <cellStyle name="_IBFSL_Conso_June_08_09 _Book2_ISL__3CD_FY2010-11" xfId="7151" xr:uid="{00000000-0005-0000-0000-0000EF1B0000}"/>
    <cellStyle name="_IBFSL_Conso_June_08_09 _Book4" xfId="7152" xr:uid="{00000000-0005-0000-0000-0000F01B0000}"/>
    <cellStyle name="_IBFSL_Conso_June_08_09 _Book4 2" xfId="7153" xr:uid="{00000000-0005-0000-0000-0000F11B0000}"/>
    <cellStyle name="_IBFSL_Conso_June_08_09 _Book4_ISL__3CD_FY2010-11" xfId="7154" xr:uid="{00000000-0005-0000-0000-0000F21B0000}"/>
    <cellStyle name="_IBFSL_Conso_June_08_09 _ISL June 09" xfId="7155" xr:uid="{00000000-0005-0000-0000-0000F31B0000}"/>
    <cellStyle name="_IBFSL_Conso_June_08_09 _ISL June 09 2" xfId="7156" xr:uid="{00000000-0005-0000-0000-0000F41B0000}"/>
    <cellStyle name="_IBFSL_Conso_June_08_09 _ISL June 09_ISL__3CD_FY2010-11" xfId="7157" xr:uid="{00000000-0005-0000-0000-0000F51B0000}"/>
    <cellStyle name="_IBFSL_Conso_June_08_09 _ISL Rev" xfId="7158" xr:uid="{00000000-0005-0000-0000-0000F61B0000}"/>
    <cellStyle name="_IBFSL_Conso_June_08_09 _ISL Rev 2" xfId="7159" xr:uid="{00000000-0005-0000-0000-0000F71B0000}"/>
    <cellStyle name="_IBFSL_Conso_June_08_09 _ISL Rev_ISL__3CD_FY2010-11" xfId="7160" xr:uid="{00000000-0005-0000-0000-0000F81B0000}"/>
    <cellStyle name="_IBFSL_Conso_June_08_09 _ISL Rev_Results" xfId="7161" xr:uid="{00000000-0005-0000-0000-0000F91B0000}"/>
    <cellStyle name="_IBFSL_Conso_June_08_09 _ISL Rev_Results 2" xfId="7162" xr:uid="{00000000-0005-0000-0000-0000FA1B0000}"/>
    <cellStyle name="_IBFSL_Conso_June_08_09 _ISL Rev_Xl0000012" xfId="7163" xr:uid="{00000000-0005-0000-0000-0000FB1B0000}"/>
    <cellStyle name="_IBFSL_Conso_June_08_09 _ISL Rev_Xl0000012 2" xfId="7164" xr:uid="{00000000-0005-0000-0000-0000FC1B0000}"/>
    <cellStyle name="_IBFSL_Conso_June_08_09 _ISL__3CD_FY2010-11" xfId="7165" xr:uid="{00000000-0005-0000-0000-0000FD1B0000}"/>
    <cellStyle name="_IBFSL_Conso_June_08_09 _ISL_BS_03.03.2009" xfId="7166" xr:uid="{00000000-0005-0000-0000-0000FE1B0000}"/>
    <cellStyle name="_IBFSL_Conso_June_08_09 _ISL_BS_03.03.2009 2" xfId="7167" xr:uid="{00000000-0005-0000-0000-0000FF1B0000}"/>
    <cellStyle name="_IBFSL_Conso_June_08_09 _ISL_BS_03.03.2009_ISL__3CD_FY2010-11" xfId="7168" xr:uid="{00000000-0005-0000-0000-0000001C0000}"/>
    <cellStyle name="_IBFSL_Conso_June_08_09 _ISL_BS_08.03.2009" xfId="7169" xr:uid="{00000000-0005-0000-0000-0000011C0000}"/>
    <cellStyle name="_IBFSL_Conso_June_08_09 _ISL_BS_08.03.2009 2" xfId="7170" xr:uid="{00000000-0005-0000-0000-0000021C0000}"/>
    <cellStyle name="_IBFSL_Conso_June_08_09 _ISL_BS_08.03.2009_ISL__3CD_FY2010-11" xfId="7171" xr:uid="{00000000-0005-0000-0000-0000031C0000}"/>
    <cellStyle name="_IBFSL_Conso_June_08_09 _ISL_BS_15.03.2009" xfId="7172" xr:uid="{00000000-0005-0000-0000-0000041C0000}"/>
    <cellStyle name="_IBFSL_Conso_June_08_09 _ISL_BS_15.03.2009 2" xfId="7173" xr:uid="{00000000-0005-0000-0000-0000051C0000}"/>
    <cellStyle name="_IBFSL_Conso_June_08_09 _ISL_BS_15.03.2009_ISL__3CD_FY2010-11" xfId="7174" xr:uid="{00000000-0005-0000-0000-0000061C0000}"/>
    <cellStyle name="_IBFSL_Conso_June_08_09 _ISL_BS_2008-09- First Cut" xfId="7175" xr:uid="{00000000-0005-0000-0000-0000071C0000}"/>
    <cellStyle name="_IBFSL_Conso_June_08_09 _ISL_BS_2008-09- First Cut 2" xfId="7176" xr:uid="{00000000-0005-0000-0000-0000081C0000}"/>
    <cellStyle name="_IBFSL_Conso_June_08_09 _ISL_BS_2008-09- First Cut_ISL__3CD_FY2010-11" xfId="7177" xr:uid="{00000000-0005-0000-0000-0000091C0000}"/>
    <cellStyle name="_IBFSL_Conso_June_08_09 _ISL_BS_21.09.2009" xfId="7178" xr:uid="{00000000-0005-0000-0000-00000A1C0000}"/>
    <cellStyle name="_IBFSL_Conso_June_08_09 _ISL_BS_21.09.2009 2" xfId="7179" xr:uid="{00000000-0005-0000-0000-00000B1C0000}"/>
    <cellStyle name="_IBFSL_Conso_June_08_09 _ISL_BS_23.02.2009" xfId="7180" xr:uid="{00000000-0005-0000-0000-00000C1C0000}"/>
    <cellStyle name="_IBFSL_Conso_June_08_09 _ISL_BS_23.02.2009 2" xfId="7181" xr:uid="{00000000-0005-0000-0000-00000D1C0000}"/>
    <cellStyle name="_IBFSL_Conso_June_08_09 _ISL_BS_23.02.2009_ISL__3CD_FY2010-11" xfId="7182" xr:uid="{00000000-0005-0000-0000-00000E1C0000}"/>
    <cellStyle name="_IBFSL_Conso_June_08_09 _ISL_BS_24.02.2009" xfId="7183" xr:uid="{00000000-0005-0000-0000-00000F1C0000}"/>
    <cellStyle name="_IBFSL_Conso_June_08_09 _ISL_BS_24.02.2009 2" xfId="7184" xr:uid="{00000000-0005-0000-0000-0000101C0000}"/>
    <cellStyle name="_IBFSL_Conso_June_08_09 _ISL_BS_24.02.2009_ISL__3CD_FY2010-11" xfId="7185" xr:uid="{00000000-0005-0000-0000-0000111C0000}"/>
    <cellStyle name="_IBFSL_Conso_June_08_09 _ISL_BS_Aug 09" xfId="7186" xr:uid="{00000000-0005-0000-0000-0000121C0000}"/>
    <cellStyle name="_IBFSL_Conso_June_08_09 _ISL_BS_Aug 09 2" xfId="7187" xr:uid="{00000000-0005-0000-0000-0000131C0000}"/>
    <cellStyle name="_IBFSL_Conso_June_08_09 _ISL_BS_Aug 09.z" xfId="7188" xr:uid="{00000000-0005-0000-0000-0000141C0000}"/>
    <cellStyle name="_IBFSL_Conso_June_08_09 _ISL_BS_Aug 09.z 2" xfId="7189" xr:uid="{00000000-0005-0000-0000-0000151C0000}"/>
    <cellStyle name="_IBFSL_Conso_June_08_09 _ISL_BS_Aug 09.z_ISL__3CD_FY2010-11" xfId="7190" xr:uid="{00000000-0005-0000-0000-0000161C0000}"/>
    <cellStyle name="_IBFSL_Conso_June_08_09 _ISL_BS_Aug 09_ISL__3CD_FY2010-11" xfId="7191" xr:uid="{00000000-0005-0000-0000-0000171C0000}"/>
    <cellStyle name="_IBFSL_Conso_June_08_09 _ISL_Conso_09_10_Other working" xfId="7192" xr:uid="{00000000-0005-0000-0000-0000181C0000}"/>
    <cellStyle name="_IBFSL_Conso_June_08_09 _ISL_Conso_09_10_Other working 2" xfId="7193" xr:uid="{00000000-0005-0000-0000-0000191C0000}"/>
    <cellStyle name="_IBFSL_Conso_June_08_09 _ISL_conso_August_09_10" xfId="7194" xr:uid="{00000000-0005-0000-0000-00001A1C0000}"/>
    <cellStyle name="_IBFSL_Conso_June_08_09 _ISL_conso_August_09_10 2" xfId="7195" xr:uid="{00000000-0005-0000-0000-00001B1C0000}"/>
    <cellStyle name="_IBFSL_Conso_June_08_09 _ISL_conso_August_09_10_ISL__3CD_FY2010-11" xfId="7196" xr:uid="{00000000-0005-0000-0000-00001C1C0000}"/>
    <cellStyle name="_IBFSL_Conso_June_08_09 _ISL_conso_August_10_11" xfId="7197" xr:uid="{00000000-0005-0000-0000-00001D1C0000}"/>
    <cellStyle name="_IBFSL_Conso_June_08_09 _ISL_conso_August_10_11 2" xfId="7198" xr:uid="{00000000-0005-0000-0000-00001E1C0000}"/>
    <cellStyle name="_IBFSL_Conso_June_08_09 _ISL_conso_December_08_09" xfId="7199" xr:uid="{00000000-0005-0000-0000-00001F1C0000}"/>
    <cellStyle name="_IBFSL_Conso_June_08_09 _ISL_conso_December_08_09 2" xfId="7200" xr:uid="{00000000-0005-0000-0000-0000201C0000}"/>
    <cellStyle name="_IBFSL_Conso_June_08_09 _ISL_conso_December_08_09_ISL__3CD_FY2010-11" xfId="7201" xr:uid="{00000000-0005-0000-0000-0000211C0000}"/>
    <cellStyle name="_IBFSL_Conso_June_08_09 _ISL_conso_December_08_09_Results" xfId="7202" xr:uid="{00000000-0005-0000-0000-0000221C0000}"/>
    <cellStyle name="_IBFSL_Conso_June_08_09 _ISL_conso_December_08_09_Results 2" xfId="7203" xr:uid="{00000000-0005-0000-0000-0000231C0000}"/>
    <cellStyle name="_IBFSL_Conso_June_08_09 _ISL_conso_December_08_09_Xl0000012" xfId="7204" xr:uid="{00000000-0005-0000-0000-0000241C0000}"/>
    <cellStyle name="_IBFSL_Conso_June_08_09 _ISL_conso_December_08_09_Xl0000012 2" xfId="7205" xr:uid="{00000000-0005-0000-0000-0000251C0000}"/>
    <cellStyle name="_IBFSL_Conso_June_08_09 _ISL_conso_December_09_10" xfId="7206" xr:uid="{00000000-0005-0000-0000-0000261C0000}"/>
    <cellStyle name="_IBFSL_Conso_June_08_09 _ISL_conso_December_09_10 2" xfId="7207" xr:uid="{00000000-0005-0000-0000-0000271C0000}"/>
    <cellStyle name="_IBFSL_Conso_June_08_09 _ISL_conso_December_09_10_ISL__3CD_FY2010-11" xfId="7208" xr:uid="{00000000-0005-0000-0000-0000281C0000}"/>
    <cellStyle name="_IBFSL_Conso_June_08_09 _ISL_conso_December_10_11" xfId="7209" xr:uid="{00000000-0005-0000-0000-0000291C0000}"/>
    <cellStyle name="_IBFSL_Conso_June_08_09 _ISL_conso_December_10_11 2" xfId="7210" xr:uid="{00000000-0005-0000-0000-00002A1C0000}"/>
    <cellStyle name="_IBFSL_Conso_June_08_09 _ISL_conso_February_09_10" xfId="7211" xr:uid="{00000000-0005-0000-0000-00002B1C0000}"/>
    <cellStyle name="_IBFSL_Conso_June_08_09 _ISL_conso_February_09_10 2" xfId="7212" xr:uid="{00000000-0005-0000-0000-00002C1C0000}"/>
    <cellStyle name="_IBFSL_Conso_June_08_09 _ISL_conso_January_09_10" xfId="7213" xr:uid="{00000000-0005-0000-0000-00002D1C0000}"/>
    <cellStyle name="_IBFSL_Conso_June_08_09 _ISL_conso_January_09_10 2" xfId="7214" xr:uid="{00000000-0005-0000-0000-00002E1C0000}"/>
    <cellStyle name="_IBFSL_Conso_June_08_09 _ISL_conso_July_08_09" xfId="7215" xr:uid="{00000000-0005-0000-0000-00002F1C0000}"/>
    <cellStyle name="_IBFSL_Conso_June_08_09 _ISL_conso_July_08_09 2" xfId="7216" xr:uid="{00000000-0005-0000-0000-0000301C0000}"/>
    <cellStyle name="_IBFSL_Conso_June_08_09 _ISL_conso_July_08_09_ISL__3CD_FY2010-11" xfId="7217" xr:uid="{00000000-0005-0000-0000-0000311C0000}"/>
    <cellStyle name="_IBFSL_Conso_June_08_09 _ISL_conso_July_08_09_Results" xfId="7218" xr:uid="{00000000-0005-0000-0000-0000321C0000}"/>
    <cellStyle name="_IBFSL_Conso_June_08_09 _ISL_conso_July_08_09_Results 2" xfId="7219" xr:uid="{00000000-0005-0000-0000-0000331C0000}"/>
    <cellStyle name="_IBFSL_Conso_June_08_09 _ISL_conso_July_08_09_Xl0000012" xfId="7220" xr:uid="{00000000-0005-0000-0000-0000341C0000}"/>
    <cellStyle name="_IBFSL_Conso_June_08_09 _ISL_conso_July_08_09_Xl0000012 2" xfId="7221" xr:uid="{00000000-0005-0000-0000-0000351C0000}"/>
    <cellStyle name="_IBFSL_Conso_June_08_09 _ISL_conso_July_09_10" xfId="7222" xr:uid="{00000000-0005-0000-0000-0000361C0000}"/>
    <cellStyle name="_IBFSL_Conso_June_08_09 _ISL_conso_July_09_10 2" xfId="7223" xr:uid="{00000000-0005-0000-0000-0000371C0000}"/>
    <cellStyle name="_IBFSL_Conso_June_08_09 _ISL_conso_July_09_10_ISL__3CD_FY2010-11" xfId="7224" xr:uid="{00000000-0005-0000-0000-0000381C0000}"/>
    <cellStyle name="_IBFSL_Conso_June_08_09 _ISL_conso_July_10_11" xfId="7225" xr:uid="{00000000-0005-0000-0000-0000391C0000}"/>
    <cellStyle name="_IBFSL_Conso_June_08_09 _ISL_conso_July_10_11 2" xfId="7226" xr:uid="{00000000-0005-0000-0000-00003A1C0000}"/>
    <cellStyle name="_IBFSL_Conso_June_08_09 _ISL_conso_June_09_10" xfId="7227" xr:uid="{00000000-0005-0000-0000-00003B1C0000}"/>
    <cellStyle name="_IBFSL_Conso_June_08_09 _ISL_conso_June_09_10 2" xfId="7228" xr:uid="{00000000-0005-0000-0000-00003C1C0000}"/>
    <cellStyle name="_IBFSL_Conso_June_08_09 _ISL_conso_June_09_10_ISL__3CD_FY2010-11" xfId="7229" xr:uid="{00000000-0005-0000-0000-00003D1C0000}"/>
    <cellStyle name="_IBFSL_Conso_June_08_09 _ISL_conso_June_10_11" xfId="7230" xr:uid="{00000000-0005-0000-0000-00003E1C0000}"/>
    <cellStyle name="_IBFSL_Conso_June_08_09 _ISL_conso_June_10_11 2" xfId="7231" xr:uid="{00000000-0005-0000-0000-00003F1C0000}"/>
    <cellStyle name="_IBFSL_Conso_June_08_09 _ISL_conso_March_08_09" xfId="7232" xr:uid="{00000000-0005-0000-0000-0000401C0000}"/>
    <cellStyle name="_IBFSL_Conso_June_08_09 _ISL_conso_March_08_09 2" xfId="7233" xr:uid="{00000000-0005-0000-0000-0000411C0000}"/>
    <cellStyle name="_IBFSL_Conso_June_08_09 _ISL_conso_March_08_09_ISL__3CD_FY2010-11" xfId="7234" xr:uid="{00000000-0005-0000-0000-0000421C0000}"/>
    <cellStyle name="_IBFSL_Conso_June_08_09 _ISL_conso_March_09_10" xfId="7235" xr:uid="{00000000-0005-0000-0000-0000431C0000}"/>
    <cellStyle name="_IBFSL_Conso_June_08_09 _ISL_conso_March_09_10 2" xfId="7236" xr:uid="{00000000-0005-0000-0000-0000441C0000}"/>
    <cellStyle name="_IBFSL_Conso_June_08_09 _ISL_conso_May_09_10" xfId="7237" xr:uid="{00000000-0005-0000-0000-0000451C0000}"/>
    <cellStyle name="_IBFSL_Conso_June_08_09 _ISL_conso_May_09_10 2" xfId="7238" xr:uid="{00000000-0005-0000-0000-0000461C0000}"/>
    <cellStyle name="_IBFSL_Conso_June_08_09 _ISL_conso_May_09_10_ISL__3CD_FY2010-11" xfId="7239" xr:uid="{00000000-0005-0000-0000-0000471C0000}"/>
    <cellStyle name="_IBFSL_Conso_June_08_09 _ISL_conso_May_10_11" xfId="7240" xr:uid="{00000000-0005-0000-0000-0000481C0000}"/>
    <cellStyle name="_IBFSL_Conso_June_08_09 _ISL_conso_May_10_11 2" xfId="7241" xr:uid="{00000000-0005-0000-0000-0000491C0000}"/>
    <cellStyle name="_IBFSL_Conso_June_08_09 _ISL_conso_November_09_10" xfId="7242" xr:uid="{00000000-0005-0000-0000-00004A1C0000}"/>
    <cellStyle name="_IBFSL_Conso_June_08_09 _ISL_conso_November_09_10 2" xfId="7243" xr:uid="{00000000-0005-0000-0000-00004B1C0000}"/>
    <cellStyle name="_IBFSL_Conso_June_08_09 _ISL_conso_November_09_10_ISL__3CD_FY2010-11" xfId="7244" xr:uid="{00000000-0005-0000-0000-00004C1C0000}"/>
    <cellStyle name="_IBFSL_Conso_June_08_09 _ISL_conso_November_10_11" xfId="7245" xr:uid="{00000000-0005-0000-0000-00004D1C0000}"/>
    <cellStyle name="_IBFSL_Conso_June_08_09 _ISL_conso_November_10_11 2" xfId="7246" xr:uid="{00000000-0005-0000-0000-00004E1C0000}"/>
    <cellStyle name="_IBFSL_Conso_June_08_09 _ISL_conso_October_09_10" xfId="7247" xr:uid="{00000000-0005-0000-0000-00004F1C0000}"/>
    <cellStyle name="_IBFSL_Conso_June_08_09 _ISL_conso_October_09_10 2" xfId="7248" xr:uid="{00000000-0005-0000-0000-0000501C0000}"/>
    <cellStyle name="_IBFSL_Conso_June_08_09 _ISL_conso_October_09_10_ISL__3CD_FY2010-11" xfId="7249" xr:uid="{00000000-0005-0000-0000-0000511C0000}"/>
    <cellStyle name="_IBFSL_Conso_June_08_09 _ISL_conso_October_10_11" xfId="7250" xr:uid="{00000000-0005-0000-0000-0000521C0000}"/>
    <cellStyle name="_IBFSL_Conso_June_08_09 _ISL_conso_October_10_11 2" xfId="7251" xr:uid="{00000000-0005-0000-0000-0000531C0000}"/>
    <cellStyle name="_IBFSL_Conso_June_08_09 _ISL_conso_September_08_09" xfId="7252" xr:uid="{00000000-0005-0000-0000-0000541C0000}"/>
    <cellStyle name="_IBFSL_Conso_June_08_09 _ISL_conso_September_08_09 2" xfId="7253" xr:uid="{00000000-0005-0000-0000-0000551C0000}"/>
    <cellStyle name="_IBFSL_Conso_June_08_09 _ISL_conso_September_08_09_ISL__3CD_FY2010-11" xfId="7254" xr:uid="{00000000-0005-0000-0000-0000561C0000}"/>
    <cellStyle name="_IBFSL_Conso_June_08_09 _ISL_conso_September_08_09_Results" xfId="7255" xr:uid="{00000000-0005-0000-0000-0000571C0000}"/>
    <cellStyle name="_IBFSL_Conso_June_08_09 _ISL_conso_September_08_09_Results 2" xfId="7256" xr:uid="{00000000-0005-0000-0000-0000581C0000}"/>
    <cellStyle name="_IBFSL_Conso_June_08_09 _ISL_conso_September_08_09_Xl0000012" xfId="7257" xr:uid="{00000000-0005-0000-0000-0000591C0000}"/>
    <cellStyle name="_IBFSL_Conso_June_08_09 _ISL_conso_September_08_09_Xl0000012 2" xfId="7258" xr:uid="{00000000-0005-0000-0000-00005A1C0000}"/>
    <cellStyle name="_IBFSL_Conso_June_08_09 _ISL_conso_September_09_10" xfId="7259" xr:uid="{00000000-0005-0000-0000-00005B1C0000}"/>
    <cellStyle name="_IBFSL_Conso_June_08_09 _ISL_conso_September_09_10 2" xfId="7260" xr:uid="{00000000-0005-0000-0000-00005C1C0000}"/>
    <cellStyle name="_IBFSL_Conso_June_08_09 _ISL_conso_September_09_10_ISL__3CD_FY2010-11" xfId="7261" xr:uid="{00000000-0005-0000-0000-00005D1C0000}"/>
    <cellStyle name="_IBFSL_Conso_June_08_09 _ISL_conso_September_10_11" xfId="7262" xr:uid="{00000000-0005-0000-0000-00005E1C0000}"/>
    <cellStyle name="_IBFSL_Conso_June_08_09 _ISL_conso_September_10_11 2" xfId="7263" xr:uid="{00000000-0005-0000-0000-00005F1C0000}"/>
    <cellStyle name="_IBFSL_Conso_June_08_09 _ISL_June_10" xfId="7264" xr:uid="{00000000-0005-0000-0000-0000601C0000}"/>
    <cellStyle name="_IBFSL_Conso_June_08_09 _ISL_June_10 2" xfId="7265" xr:uid="{00000000-0005-0000-0000-0000611C0000}"/>
    <cellStyle name="_IBFSL_Conso_June_08_09 _ITR6_2009_10_ISL_Vivek" xfId="7266" xr:uid="{00000000-0005-0000-0000-0000621C0000}"/>
    <cellStyle name="_IBFSL_Conso_June_08_09 _ITR6_2009_10_ISL_Vivek_ISL__3CD_FY2010-11" xfId="7267" xr:uid="{00000000-0005-0000-0000-0000631C0000}"/>
    <cellStyle name="_IBFSL_Conso_June_08_09 _Provision for Exp - FY 0809" xfId="7268" xr:uid="{00000000-0005-0000-0000-0000641C0000}"/>
    <cellStyle name="_IBFSL_Conso_June_08_09 _Provision for Exp - FY 0809_ISL__3CD_FY2010-11" xfId="7269" xr:uid="{00000000-0005-0000-0000-0000651C0000}"/>
    <cellStyle name="_IBFSL_Conso_June_08_09 _Result" xfId="7270" xr:uid="{00000000-0005-0000-0000-0000661C0000}"/>
    <cellStyle name="_IBFSL_Conso_June_08_09 _Result 2" xfId="7271" xr:uid="{00000000-0005-0000-0000-0000671C0000}"/>
    <cellStyle name="_IBFSL_Conso_June_08_09 _Results" xfId="7272" xr:uid="{00000000-0005-0000-0000-0000681C0000}"/>
    <cellStyle name="_IBFSL_Conso_June_08_09 _Results 2" xfId="7273" xr:uid="{00000000-0005-0000-0000-0000691C0000}"/>
    <cellStyle name="_IBFSL_Conso_June_08_09 _Xl0000012" xfId="7274" xr:uid="{00000000-0005-0000-0000-00006A1C0000}"/>
    <cellStyle name="_IBFSL_Conso_June_08_09 _Xl0000012 2" xfId="7275" xr:uid="{00000000-0005-0000-0000-00006B1C0000}"/>
    <cellStyle name="_IBFSL_Conso_march_06_07" xfId="7276" xr:uid="{00000000-0005-0000-0000-00006C1C0000}"/>
    <cellStyle name="_IBFSL_Conso_march_06_07 10" xfId="7277" xr:uid="{00000000-0005-0000-0000-00006D1C0000}"/>
    <cellStyle name="_IBFSL_Conso_march_06_07 10 2" xfId="7278" xr:uid="{00000000-0005-0000-0000-00006E1C0000}"/>
    <cellStyle name="_IBFSL_Conso_march_06_07 11" xfId="7279" xr:uid="{00000000-0005-0000-0000-00006F1C0000}"/>
    <cellStyle name="_IBFSL_Conso_march_06_07 11 2" xfId="7280" xr:uid="{00000000-0005-0000-0000-0000701C0000}"/>
    <cellStyle name="_IBFSL_Conso_march_06_07 12" xfId="7281" xr:uid="{00000000-0005-0000-0000-0000711C0000}"/>
    <cellStyle name="_IBFSL_Conso_march_06_07 12 2" xfId="7282" xr:uid="{00000000-0005-0000-0000-0000721C0000}"/>
    <cellStyle name="_IBFSL_Conso_march_06_07 13" xfId="7283" xr:uid="{00000000-0005-0000-0000-0000731C0000}"/>
    <cellStyle name="_IBFSL_Conso_march_06_07 13 2" xfId="7284" xr:uid="{00000000-0005-0000-0000-0000741C0000}"/>
    <cellStyle name="_IBFSL_Conso_march_06_07 14" xfId="7285" xr:uid="{00000000-0005-0000-0000-0000751C0000}"/>
    <cellStyle name="_IBFSL_Conso_march_06_07 14 2" xfId="7286" xr:uid="{00000000-0005-0000-0000-0000761C0000}"/>
    <cellStyle name="_IBFSL_Conso_march_06_07 15" xfId="7287" xr:uid="{00000000-0005-0000-0000-0000771C0000}"/>
    <cellStyle name="_IBFSL_Conso_march_06_07 15 2" xfId="7288" xr:uid="{00000000-0005-0000-0000-0000781C0000}"/>
    <cellStyle name="_IBFSL_Conso_march_06_07 16" xfId="7289" xr:uid="{00000000-0005-0000-0000-0000791C0000}"/>
    <cellStyle name="_IBFSL_Conso_march_06_07 16 2" xfId="7290" xr:uid="{00000000-0005-0000-0000-00007A1C0000}"/>
    <cellStyle name="_IBFSL_Conso_march_06_07 17" xfId="7291" xr:uid="{00000000-0005-0000-0000-00007B1C0000}"/>
    <cellStyle name="_IBFSL_Conso_march_06_07 17 2" xfId="7292" xr:uid="{00000000-0005-0000-0000-00007C1C0000}"/>
    <cellStyle name="_IBFSL_Conso_march_06_07 18" xfId="7293" xr:uid="{00000000-0005-0000-0000-00007D1C0000}"/>
    <cellStyle name="_IBFSL_Conso_march_06_07 18 2" xfId="7294" xr:uid="{00000000-0005-0000-0000-00007E1C0000}"/>
    <cellStyle name="_IBFSL_Conso_march_06_07 19" xfId="7295" xr:uid="{00000000-0005-0000-0000-00007F1C0000}"/>
    <cellStyle name="_IBFSL_Conso_march_06_07 19 2" xfId="7296" xr:uid="{00000000-0005-0000-0000-0000801C0000}"/>
    <cellStyle name="_IBFSL_Conso_march_06_07 2" xfId="7297" xr:uid="{00000000-0005-0000-0000-0000811C0000}"/>
    <cellStyle name="_IBFSL_Conso_march_06_07 2 2" xfId="7298" xr:uid="{00000000-0005-0000-0000-0000821C0000}"/>
    <cellStyle name="_IBFSL_Conso_march_06_07 20" xfId="7299" xr:uid="{00000000-0005-0000-0000-0000831C0000}"/>
    <cellStyle name="_IBFSL_Conso_march_06_07 21" xfId="7300" xr:uid="{00000000-0005-0000-0000-0000841C0000}"/>
    <cellStyle name="_IBFSL_Conso_march_06_07 22" xfId="7301" xr:uid="{00000000-0005-0000-0000-0000851C0000}"/>
    <cellStyle name="_IBFSL_Conso_march_06_07 23" xfId="7302" xr:uid="{00000000-0005-0000-0000-0000861C0000}"/>
    <cellStyle name="_IBFSL_Conso_march_06_07 3" xfId="7303" xr:uid="{00000000-0005-0000-0000-0000871C0000}"/>
    <cellStyle name="_IBFSL_Conso_march_06_07 3 2" xfId="7304" xr:uid="{00000000-0005-0000-0000-0000881C0000}"/>
    <cellStyle name="_IBFSL_Conso_march_06_07 4" xfId="7305" xr:uid="{00000000-0005-0000-0000-0000891C0000}"/>
    <cellStyle name="_IBFSL_Conso_march_06_07 4 2" xfId="7306" xr:uid="{00000000-0005-0000-0000-00008A1C0000}"/>
    <cellStyle name="_IBFSL_Conso_march_06_07 5" xfId="7307" xr:uid="{00000000-0005-0000-0000-00008B1C0000}"/>
    <cellStyle name="_IBFSL_Conso_march_06_07 5 2" xfId="7308" xr:uid="{00000000-0005-0000-0000-00008C1C0000}"/>
    <cellStyle name="_IBFSL_Conso_march_06_07 6" xfId="7309" xr:uid="{00000000-0005-0000-0000-00008D1C0000}"/>
    <cellStyle name="_IBFSL_Conso_march_06_07 6 2" xfId="7310" xr:uid="{00000000-0005-0000-0000-00008E1C0000}"/>
    <cellStyle name="_IBFSL_Conso_march_06_07 7" xfId="7311" xr:uid="{00000000-0005-0000-0000-00008F1C0000}"/>
    <cellStyle name="_IBFSL_Conso_march_06_07 7 2" xfId="7312" xr:uid="{00000000-0005-0000-0000-0000901C0000}"/>
    <cellStyle name="_IBFSL_Conso_march_06_07 8" xfId="7313" xr:uid="{00000000-0005-0000-0000-0000911C0000}"/>
    <cellStyle name="_IBFSL_Conso_march_06_07 8 2" xfId="7314" xr:uid="{00000000-0005-0000-0000-0000921C0000}"/>
    <cellStyle name="_IBFSL_Conso_march_06_07 9" xfId="7315" xr:uid="{00000000-0005-0000-0000-0000931C0000}"/>
    <cellStyle name="_IBFSL_Conso_march_06_07 9 2" xfId="7316" xr:uid="{00000000-0005-0000-0000-0000941C0000}"/>
    <cellStyle name="_IBFSL_Conso_march_06_07_Book1" xfId="7317" xr:uid="{00000000-0005-0000-0000-0000951C0000}"/>
    <cellStyle name="_IBFSL_Conso_march_06_07_Book1 (2)" xfId="7318" xr:uid="{00000000-0005-0000-0000-0000961C0000}"/>
    <cellStyle name="_IBFSL_Conso_march_06_07_Book1 (2) 2" xfId="7319" xr:uid="{00000000-0005-0000-0000-0000971C0000}"/>
    <cellStyle name="_IBFSL_Conso_march_06_07_Book1 10" xfId="7320" xr:uid="{00000000-0005-0000-0000-0000981C0000}"/>
    <cellStyle name="_IBFSL_Conso_march_06_07_Book1 11" xfId="7321" xr:uid="{00000000-0005-0000-0000-0000991C0000}"/>
    <cellStyle name="_IBFSL_Conso_march_06_07_Book1 2" xfId="7322" xr:uid="{00000000-0005-0000-0000-00009A1C0000}"/>
    <cellStyle name="_IBFSL_Conso_march_06_07_Book1 3" xfId="7323" xr:uid="{00000000-0005-0000-0000-00009B1C0000}"/>
    <cellStyle name="_IBFSL_Conso_march_06_07_Book1 4" xfId="7324" xr:uid="{00000000-0005-0000-0000-00009C1C0000}"/>
    <cellStyle name="_IBFSL_Conso_march_06_07_Book1 5" xfId="7325" xr:uid="{00000000-0005-0000-0000-00009D1C0000}"/>
    <cellStyle name="_IBFSL_Conso_march_06_07_Book1 6" xfId="7326" xr:uid="{00000000-0005-0000-0000-00009E1C0000}"/>
    <cellStyle name="_IBFSL_Conso_march_06_07_Book1 7" xfId="7327" xr:uid="{00000000-0005-0000-0000-00009F1C0000}"/>
    <cellStyle name="_IBFSL_Conso_march_06_07_Book1 8" xfId="7328" xr:uid="{00000000-0005-0000-0000-0000A01C0000}"/>
    <cellStyle name="_IBFSL_Conso_march_06_07_Book1 9" xfId="7329" xr:uid="{00000000-0005-0000-0000-0000A11C0000}"/>
    <cellStyle name="_IBFSL_Conso_march_06_07_Book1_ISL__3CD_FY2010-11" xfId="7330" xr:uid="{00000000-0005-0000-0000-0000A21C0000}"/>
    <cellStyle name="_IBFSL_Conso_march_06_07_Book2" xfId="7331" xr:uid="{00000000-0005-0000-0000-0000A31C0000}"/>
    <cellStyle name="_IBFSL_Conso_march_06_07_Book2 2" xfId="7332" xr:uid="{00000000-0005-0000-0000-0000A41C0000}"/>
    <cellStyle name="_IBFSL_Conso_march_06_07_Book2_ISL__3CD_FY2010-11" xfId="7333" xr:uid="{00000000-0005-0000-0000-0000A51C0000}"/>
    <cellStyle name="_IBFSL_Conso_march_06_07_Book4" xfId="7334" xr:uid="{00000000-0005-0000-0000-0000A61C0000}"/>
    <cellStyle name="_IBFSL_Conso_march_06_07_Book4 2" xfId="7335" xr:uid="{00000000-0005-0000-0000-0000A71C0000}"/>
    <cellStyle name="_IBFSL_Conso_march_06_07_Book4_ISL__3CD_FY2010-11" xfId="7336" xr:uid="{00000000-0005-0000-0000-0000A81C0000}"/>
    <cellStyle name="_IBFSL_Conso_march_06_07_Detail of IPO funding" xfId="7337" xr:uid="{00000000-0005-0000-0000-0000A91C0000}"/>
    <cellStyle name="_IBFSL_Conso_march_06_07_FDR Int Calculation as per BS" xfId="7338" xr:uid="{00000000-0005-0000-0000-0000AA1C0000}"/>
    <cellStyle name="_IBFSL_Conso_march_06_07_ICPL_BS_31.03.2009_new" xfId="7339" xr:uid="{00000000-0005-0000-0000-0000AB1C0000}"/>
    <cellStyle name="_IBFSL_Conso_march_06_07_ICPL_BS_31.03.2009_new_ISL__3CD_FY2010-11" xfId="7340" xr:uid="{00000000-0005-0000-0000-0000AC1C0000}"/>
    <cellStyle name="_IBFSL_Conso_march_06_07_IFCPL 31 03 2010 VER6 Final" xfId="7341" xr:uid="{00000000-0005-0000-0000-0000AD1C0000}"/>
    <cellStyle name="_IBFSL_Conso_march_06_07_ISL June 09" xfId="7342" xr:uid="{00000000-0005-0000-0000-0000AE1C0000}"/>
    <cellStyle name="_IBFSL_Conso_march_06_07_ISL June 09 2" xfId="7343" xr:uid="{00000000-0005-0000-0000-0000AF1C0000}"/>
    <cellStyle name="_IBFSL_Conso_march_06_07_ISL June 09_ISL__3CD_FY2010-11" xfId="7344" xr:uid="{00000000-0005-0000-0000-0000B01C0000}"/>
    <cellStyle name="_IBFSL_Conso_march_06_07_ISL Rev" xfId="7345" xr:uid="{00000000-0005-0000-0000-0000B11C0000}"/>
    <cellStyle name="_IBFSL_Conso_march_06_07_ISL Rev 2" xfId="7346" xr:uid="{00000000-0005-0000-0000-0000B21C0000}"/>
    <cellStyle name="_IBFSL_Conso_march_06_07_ISL Rev_ISL__3CD_FY2010-11" xfId="7347" xr:uid="{00000000-0005-0000-0000-0000B31C0000}"/>
    <cellStyle name="_IBFSL_Conso_march_06_07_ISL Rev_Results" xfId="7348" xr:uid="{00000000-0005-0000-0000-0000B41C0000}"/>
    <cellStyle name="_IBFSL_Conso_march_06_07_ISL Rev_Results 2" xfId="7349" xr:uid="{00000000-0005-0000-0000-0000B51C0000}"/>
    <cellStyle name="_IBFSL_Conso_march_06_07_ISL Rev_Xl0000012" xfId="7350" xr:uid="{00000000-0005-0000-0000-0000B61C0000}"/>
    <cellStyle name="_IBFSL_Conso_march_06_07_ISL Rev_Xl0000012 2" xfId="7351" xr:uid="{00000000-0005-0000-0000-0000B71C0000}"/>
    <cellStyle name="_IBFSL_Conso_march_06_07_ISL_BS_03.03.2009" xfId="7352" xr:uid="{00000000-0005-0000-0000-0000B81C0000}"/>
    <cellStyle name="_IBFSL_Conso_march_06_07_ISL_BS_03.03.2009 2" xfId="7353" xr:uid="{00000000-0005-0000-0000-0000B91C0000}"/>
    <cellStyle name="_IBFSL_Conso_march_06_07_ISL_BS_03.03.2009_ISL__3CD_FY2010-11" xfId="7354" xr:uid="{00000000-0005-0000-0000-0000BA1C0000}"/>
    <cellStyle name="_IBFSL_Conso_march_06_07_ISL_BS_08.03.2009" xfId="7355" xr:uid="{00000000-0005-0000-0000-0000BB1C0000}"/>
    <cellStyle name="_IBFSL_Conso_march_06_07_ISL_BS_08.03.2009 2" xfId="7356" xr:uid="{00000000-0005-0000-0000-0000BC1C0000}"/>
    <cellStyle name="_IBFSL_Conso_march_06_07_ISL_BS_08.03.2009_ISL__3CD_FY2010-11" xfId="7357" xr:uid="{00000000-0005-0000-0000-0000BD1C0000}"/>
    <cellStyle name="_IBFSL_Conso_march_06_07_ISL_BS_15.03.2009" xfId="7358" xr:uid="{00000000-0005-0000-0000-0000BE1C0000}"/>
    <cellStyle name="_IBFSL_Conso_march_06_07_ISL_BS_15.03.2009 2" xfId="7359" xr:uid="{00000000-0005-0000-0000-0000BF1C0000}"/>
    <cellStyle name="_IBFSL_Conso_march_06_07_ISL_BS_15.03.2009_ISL__3CD_FY2010-11" xfId="7360" xr:uid="{00000000-0005-0000-0000-0000C01C0000}"/>
    <cellStyle name="_IBFSL_Conso_march_06_07_ISL_BS_2008-09- First Cut" xfId="7361" xr:uid="{00000000-0005-0000-0000-0000C11C0000}"/>
    <cellStyle name="_IBFSL_Conso_march_06_07_ISL_BS_2008-09- First Cut 2" xfId="7362" xr:uid="{00000000-0005-0000-0000-0000C21C0000}"/>
    <cellStyle name="_IBFSL_Conso_march_06_07_ISL_BS_2008-09- First Cut_ISL__3CD_FY2010-11" xfId="7363" xr:uid="{00000000-0005-0000-0000-0000C31C0000}"/>
    <cellStyle name="_IBFSL_Conso_march_06_07_ISL_BS_21.09.2009" xfId="7364" xr:uid="{00000000-0005-0000-0000-0000C41C0000}"/>
    <cellStyle name="_IBFSL_Conso_march_06_07_ISL_BS_21.09.2009 2" xfId="7365" xr:uid="{00000000-0005-0000-0000-0000C51C0000}"/>
    <cellStyle name="_IBFSL_Conso_march_06_07_ISL_BS_23.02.2009" xfId="7366" xr:uid="{00000000-0005-0000-0000-0000C61C0000}"/>
    <cellStyle name="_IBFSL_Conso_march_06_07_ISL_BS_23.02.2009 2" xfId="7367" xr:uid="{00000000-0005-0000-0000-0000C71C0000}"/>
    <cellStyle name="_IBFSL_Conso_march_06_07_ISL_BS_23.02.2009_ISL__3CD_FY2010-11" xfId="7368" xr:uid="{00000000-0005-0000-0000-0000C81C0000}"/>
    <cellStyle name="_IBFSL_Conso_march_06_07_ISL_BS_24.02.2009" xfId="7369" xr:uid="{00000000-0005-0000-0000-0000C91C0000}"/>
    <cellStyle name="_IBFSL_Conso_march_06_07_ISL_BS_24.02.2009 2" xfId="7370" xr:uid="{00000000-0005-0000-0000-0000CA1C0000}"/>
    <cellStyle name="_IBFSL_Conso_march_06_07_ISL_BS_24.02.2009_ISL__3CD_FY2010-11" xfId="7371" xr:uid="{00000000-0005-0000-0000-0000CB1C0000}"/>
    <cellStyle name="_IBFSL_Conso_march_06_07_ISL_BS_Aug 09" xfId="7372" xr:uid="{00000000-0005-0000-0000-0000CC1C0000}"/>
    <cellStyle name="_IBFSL_Conso_march_06_07_ISL_BS_Aug 09 2" xfId="7373" xr:uid="{00000000-0005-0000-0000-0000CD1C0000}"/>
    <cellStyle name="_IBFSL_Conso_march_06_07_ISL_BS_Aug 09.z" xfId="7374" xr:uid="{00000000-0005-0000-0000-0000CE1C0000}"/>
    <cellStyle name="_IBFSL_Conso_march_06_07_ISL_BS_Aug 09.z 2" xfId="7375" xr:uid="{00000000-0005-0000-0000-0000CF1C0000}"/>
    <cellStyle name="_IBFSL_Conso_march_06_07_ISL_BS_Aug 09.z_ISL__3CD_FY2010-11" xfId="7376" xr:uid="{00000000-0005-0000-0000-0000D01C0000}"/>
    <cellStyle name="_IBFSL_Conso_march_06_07_ISL_BS_Aug 09_ISL__3CD_FY2010-11" xfId="7377" xr:uid="{00000000-0005-0000-0000-0000D11C0000}"/>
    <cellStyle name="_IBFSL_Conso_march_06_07_ISL_Conso_09_10_Other working" xfId="7378" xr:uid="{00000000-0005-0000-0000-0000D21C0000}"/>
    <cellStyle name="_IBFSL_Conso_march_06_07_ISL_Conso_09_10_Other working 2" xfId="7379" xr:uid="{00000000-0005-0000-0000-0000D31C0000}"/>
    <cellStyle name="_IBFSL_Conso_march_06_07_ISL_conso_August_09_10" xfId="7380" xr:uid="{00000000-0005-0000-0000-0000D41C0000}"/>
    <cellStyle name="_IBFSL_Conso_march_06_07_ISL_conso_August_09_10 2" xfId="7381" xr:uid="{00000000-0005-0000-0000-0000D51C0000}"/>
    <cellStyle name="_IBFSL_Conso_march_06_07_ISL_conso_August_09_10_ISL__3CD_FY2010-11" xfId="7382" xr:uid="{00000000-0005-0000-0000-0000D61C0000}"/>
    <cellStyle name="_IBFSL_Conso_march_06_07_ISL_conso_August_10_11" xfId="7383" xr:uid="{00000000-0005-0000-0000-0000D71C0000}"/>
    <cellStyle name="_IBFSL_Conso_march_06_07_ISL_conso_August_10_11 2" xfId="7384" xr:uid="{00000000-0005-0000-0000-0000D81C0000}"/>
    <cellStyle name="_IBFSL_Conso_march_06_07_ISL_conso_December_08_09" xfId="7385" xr:uid="{00000000-0005-0000-0000-0000D91C0000}"/>
    <cellStyle name="_IBFSL_Conso_march_06_07_ISL_conso_December_08_09 2" xfId="7386" xr:uid="{00000000-0005-0000-0000-0000DA1C0000}"/>
    <cellStyle name="_IBFSL_Conso_march_06_07_ISL_conso_December_08_09_ISL__3CD_FY2010-11" xfId="7387" xr:uid="{00000000-0005-0000-0000-0000DB1C0000}"/>
    <cellStyle name="_IBFSL_Conso_march_06_07_ISL_conso_December_08_09_Results" xfId="7388" xr:uid="{00000000-0005-0000-0000-0000DC1C0000}"/>
    <cellStyle name="_IBFSL_Conso_march_06_07_ISL_conso_December_08_09_Results 2" xfId="7389" xr:uid="{00000000-0005-0000-0000-0000DD1C0000}"/>
    <cellStyle name="_IBFSL_Conso_march_06_07_ISL_conso_December_08_09_Xl0000012" xfId="7390" xr:uid="{00000000-0005-0000-0000-0000DE1C0000}"/>
    <cellStyle name="_IBFSL_Conso_march_06_07_ISL_conso_December_08_09_Xl0000012 2" xfId="7391" xr:uid="{00000000-0005-0000-0000-0000DF1C0000}"/>
    <cellStyle name="_IBFSL_Conso_march_06_07_ISL_conso_December_09_10" xfId="7392" xr:uid="{00000000-0005-0000-0000-0000E01C0000}"/>
    <cellStyle name="_IBFSL_Conso_march_06_07_ISL_conso_December_09_10 2" xfId="7393" xr:uid="{00000000-0005-0000-0000-0000E11C0000}"/>
    <cellStyle name="_IBFSL_Conso_march_06_07_ISL_conso_December_09_10_ISL__3CD_FY2010-11" xfId="7394" xr:uid="{00000000-0005-0000-0000-0000E21C0000}"/>
    <cellStyle name="_IBFSL_Conso_march_06_07_ISL_conso_December_10_11" xfId="7395" xr:uid="{00000000-0005-0000-0000-0000E31C0000}"/>
    <cellStyle name="_IBFSL_Conso_march_06_07_ISL_conso_December_10_11 2" xfId="7396" xr:uid="{00000000-0005-0000-0000-0000E41C0000}"/>
    <cellStyle name="_IBFSL_Conso_march_06_07_ISL_conso_February_09_10" xfId="7397" xr:uid="{00000000-0005-0000-0000-0000E51C0000}"/>
    <cellStyle name="_IBFSL_Conso_march_06_07_ISL_conso_February_09_10 2" xfId="7398" xr:uid="{00000000-0005-0000-0000-0000E61C0000}"/>
    <cellStyle name="_IBFSL_Conso_march_06_07_ISL_conso_January_09_10" xfId="7399" xr:uid="{00000000-0005-0000-0000-0000E71C0000}"/>
    <cellStyle name="_IBFSL_Conso_march_06_07_ISL_conso_January_09_10 2" xfId="7400" xr:uid="{00000000-0005-0000-0000-0000E81C0000}"/>
    <cellStyle name="_IBFSL_Conso_march_06_07_ISL_conso_July_08_09" xfId="7401" xr:uid="{00000000-0005-0000-0000-0000E91C0000}"/>
    <cellStyle name="_IBFSL_Conso_march_06_07_ISL_conso_July_08_09 2" xfId="7402" xr:uid="{00000000-0005-0000-0000-0000EA1C0000}"/>
    <cellStyle name="_IBFSL_Conso_march_06_07_ISL_conso_July_08_09_ISL__3CD_FY2010-11" xfId="7403" xr:uid="{00000000-0005-0000-0000-0000EB1C0000}"/>
    <cellStyle name="_IBFSL_Conso_march_06_07_ISL_conso_July_08_09_Results" xfId="7404" xr:uid="{00000000-0005-0000-0000-0000EC1C0000}"/>
    <cellStyle name="_IBFSL_Conso_march_06_07_ISL_conso_July_08_09_Results 2" xfId="7405" xr:uid="{00000000-0005-0000-0000-0000ED1C0000}"/>
    <cellStyle name="_IBFSL_Conso_march_06_07_ISL_conso_July_08_09_Xl0000012" xfId="7406" xr:uid="{00000000-0005-0000-0000-0000EE1C0000}"/>
    <cellStyle name="_IBFSL_Conso_march_06_07_ISL_conso_July_08_09_Xl0000012 2" xfId="7407" xr:uid="{00000000-0005-0000-0000-0000EF1C0000}"/>
    <cellStyle name="_IBFSL_Conso_march_06_07_ISL_conso_July_09_10" xfId="7408" xr:uid="{00000000-0005-0000-0000-0000F01C0000}"/>
    <cellStyle name="_IBFSL_Conso_march_06_07_ISL_conso_July_09_10 2" xfId="7409" xr:uid="{00000000-0005-0000-0000-0000F11C0000}"/>
    <cellStyle name="_IBFSL_Conso_march_06_07_ISL_conso_July_09_10_ISL__3CD_FY2010-11" xfId="7410" xr:uid="{00000000-0005-0000-0000-0000F21C0000}"/>
    <cellStyle name="_IBFSL_Conso_march_06_07_ISL_conso_July_10_11" xfId="7411" xr:uid="{00000000-0005-0000-0000-0000F31C0000}"/>
    <cellStyle name="_IBFSL_Conso_march_06_07_ISL_conso_July_10_11 2" xfId="7412" xr:uid="{00000000-0005-0000-0000-0000F41C0000}"/>
    <cellStyle name="_IBFSL_Conso_march_06_07_ISL_conso_June_09_10" xfId="7413" xr:uid="{00000000-0005-0000-0000-0000F51C0000}"/>
    <cellStyle name="_IBFSL_Conso_march_06_07_ISL_conso_June_09_10 2" xfId="7414" xr:uid="{00000000-0005-0000-0000-0000F61C0000}"/>
    <cellStyle name="_IBFSL_Conso_march_06_07_ISL_conso_June_09_10_ISL__3CD_FY2010-11" xfId="7415" xr:uid="{00000000-0005-0000-0000-0000F71C0000}"/>
    <cellStyle name="_IBFSL_Conso_march_06_07_ISL_conso_June_10_11" xfId="7416" xr:uid="{00000000-0005-0000-0000-0000F81C0000}"/>
    <cellStyle name="_IBFSL_Conso_march_06_07_ISL_conso_June_10_11 2" xfId="7417" xr:uid="{00000000-0005-0000-0000-0000F91C0000}"/>
    <cellStyle name="_IBFSL_Conso_march_06_07_ISL_conso_March_08_09" xfId="7418" xr:uid="{00000000-0005-0000-0000-0000FA1C0000}"/>
    <cellStyle name="_IBFSL_Conso_march_06_07_ISL_conso_March_08_09 2" xfId="7419" xr:uid="{00000000-0005-0000-0000-0000FB1C0000}"/>
    <cellStyle name="_IBFSL_Conso_march_06_07_ISL_conso_March_08_09_ISL__3CD_FY2010-11" xfId="7420" xr:uid="{00000000-0005-0000-0000-0000FC1C0000}"/>
    <cellStyle name="_IBFSL_Conso_march_06_07_ISL_conso_March_09_10" xfId="7421" xr:uid="{00000000-0005-0000-0000-0000FD1C0000}"/>
    <cellStyle name="_IBFSL_Conso_march_06_07_ISL_conso_March_09_10 2" xfId="7422" xr:uid="{00000000-0005-0000-0000-0000FE1C0000}"/>
    <cellStyle name="_IBFSL_Conso_march_06_07_ISL_conso_May_09_10" xfId="7423" xr:uid="{00000000-0005-0000-0000-0000FF1C0000}"/>
    <cellStyle name="_IBFSL_Conso_march_06_07_ISL_conso_May_09_10 2" xfId="7424" xr:uid="{00000000-0005-0000-0000-0000001D0000}"/>
    <cellStyle name="_IBFSL_Conso_march_06_07_ISL_conso_May_09_10_ISL__3CD_FY2010-11" xfId="7425" xr:uid="{00000000-0005-0000-0000-0000011D0000}"/>
    <cellStyle name="_IBFSL_Conso_march_06_07_ISL_conso_May_10_11" xfId="7426" xr:uid="{00000000-0005-0000-0000-0000021D0000}"/>
    <cellStyle name="_IBFSL_Conso_march_06_07_ISL_conso_May_10_11 2" xfId="7427" xr:uid="{00000000-0005-0000-0000-0000031D0000}"/>
    <cellStyle name="_IBFSL_Conso_march_06_07_ISL_conso_November_09_10" xfId="7428" xr:uid="{00000000-0005-0000-0000-0000041D0000}"/>
    <cellStyle name="_IBFSL_Conso_march_06_07_ISL_conso_November_09_10 2" xfId="7429" xr:uid="{00000000-0005-0000-0000-0000051D0000}"/>
    <cellStyle name="_IBFSL_Conso_march_06_07_ISL_conso_November_09_10_ISL__3CD_FY2010-11" xfId="7430" xr:uid="{00000000-0005-0000-0000-0000061D0000}"/>
    <cellStyle name="_IBFSL_Conso_march_06_07_ISL_conso_November_10_11" xfId="7431" xr:uid="{00000000-0005-0000-0000-0000071D0000}"/>
    <cellStyle name="_IBFSL_Conso_march_06_07_ISL_conso_November_10_11 2" xfId="7432" xr:uid="{00000000-0005-0000-0000-0000081D0000}"/>
    <cellStyle name="_IBFSL_Conso_march_06_07_ISL_conso_October_09_10" xfId="7433" xr:uid="{00000000-0005-0000-0000-0000091D0000}"/>
    <cellStyle name="_IBFSL_Conso_march_06_07_ISL_conso_October_09_10 2" xfId="7434" xr:uid="{00000000-0005-0000-0000-00000A1D0000}"/>
    <cellStyle name="_IBFSL_Conso_march_06_07_ISL_conso_October_09_10_ISL__3CD_FY2010-11" xfId="7435" xr:uid="{00000000-0005-0000-0000-00000B1D0000}"/>
    <cellStyle name="_IBFSL_Conso_march_06_07_ISL_conso_October_10_11" xfId="7436" xr:uid="{00000000-0005-0000-0000-00000C1D0000}"/>
    <cellStyle name="_IBFSL_Conso_march_06_07_ISL_conso_October_10_11 2" xfId="7437" xr:uid="{00000000-0005-0000-0000-00000D1D0000}"/>
    <cellStyle name="_IBFSL_Conso_march_06_07_ISL_conso_September_08_09" xfId="7438" xr:uid="{00000000-0005-0000-0000-00000E1D0000}"/>
    <cellStyle name="_IBFSL_Conso_march_06_07_ISL_conso_September_08_09 2" xfId="7439" xr:uid="{00000000-0005-0000-0000-00000F1D0000}"/>
    <cellStyle name="_IBFSL_Conso_march_06_07_ISL_conso_September_08_09_ISL__3CD_FY2010-11" xfId="7440" xr:uid="{00000000-0005-0000-0000-0000101D0000}"/>
    <cellStyle name="_IBFSL_Conso_march_06_07_ISL_conso_September_08_09_Results" xfId="7441" xr:uid="{00000000-0005-0000-0000-0000111D0000}"/>
    <cellStyle name="_IBFSL_Conso_march_06_07_ISL_conso_September_08_09_Results 2" xfId="7442" xr:uid="{00000000-0005-0000-0000-0000121D0000}"/>
    <cellStyle name="_IBFSL_Conso_march_06_07_ISL_conso_September_08_09_Xl0000012" xfId="7443" xr:uid="{00000000-0005-0000-0000-0000131D0000}"/>
    <cellStyle name="_IBFSL_Conso_march_06_07_ISL_conso_September_08_09_Xl0000012 2" xfId="7444" xr:uid="{00000000-0005-0000-0000-0000141D0000}"/>
    <cellStyle name="_IBFSL_Conso_march_06_07_ISL_conso_September_09_10" xfId="7445" xr:uid="{00000000-0005-0000-0000-0000151D0000}"/>
    <cellStyle name="_IBFSL_Conso_march_06_07_ISL_conso_September_09_10 2" xfId="7446" xr:uid="{00000000-0005-0000-0000-0000161D0000}"/>
    <cellStyle name="_IBFSL_Conso_march_06_07_ISL_conso_September_09_10_ISL__3CD_FY2010-11" xfId="7447" xr:uid="{00000000-0005-0000-0000-0000171D0000}"/>
    <cellStyle name="_IBFSL_Conso_march_06_07_ISL_conso_September_10_11" xfId="7448" xr:uid="{00000000-0005-0000-0000-0000181D0000}"/>
    <cellStyle name="_IBFSL_Conso_march_06_07_ISL_conso_September_10_11 2" xfId="7449" xr:uid="{00000000-0005-0000-0000-0000191D0000}"/>
    <cellStyle name="_IBFSL_Conso_march_06_07_ISL_June_10" xfId="7450" xr:uid="{00000000-0005-0000-0000-00001A1D0000}"/>
    <cellStyle name="_IBFSL_Conso_march_06_07_ISL_June_10 2" xfId="7451" xr:uid="{00000000-0005-0000-0000-00001B1D0000}"/>
    <cellStyle name="_IBFSL_Conso_march_06_07_ISL_MAR_2008_09" xfId="7452" xr:uid="{00000000-0005-0000-0000-00001C1D0000}"/>
    <cellStyle name="_IBFSL_Conso_march_06_07_ISL_March_08_09.final_11.12.2009" xfId="7453" xr:uid="{00000000-0005-0000-0000-00001D1D0000}"/>
    <cellStyle name="_IBFSL_Conso_march_06_07_ISL_March_08_09.final_11.12.2009_ISL__3CD_FY2010-11" xfId="7454" xr:uid="{00000000-0005-0000-0000-00001E1D0000}"/>
    <cellStyle name="_IBFSL_Conso_march_06_07_ISL_Provisions_30.09.2010" xfId="7455" xr:uid="{00000000-0005-0000-0000-00001F1D0000}"/>
    <cellStyle name="_IBFSL_Conso_march_06_07_ITR6_2009_10_ICPL1" xfId="7456" xr:uid="{00000000-0005-0000-0000-0000201D0000}"/>
    <cellStyle name="_IBFSL_Conso_march_06_07_ITR6_2009_10_ICPL1_ISL__3CD_FY2010-11" xfId="7457" xr:uid="{00000000-0005-0000-0000-0000211D0000}"/>
    <cellStyle name="_IBFSL_Conso_march_06_07_ITR6_2009_10_ISL_Vivek" xfId="7458" xr:uid="{00000000-0005-0000-0000-0000221D0000}"/>
    <cellStyle name="_IBFSL_Conso_march_06_07_ITR6_2009_10_ISL_Vivek_ISL__3CD_FY2010-11" xfId="7459" xr:uid="{00000000-0005-0000-0000-0000231D0000}"/>
    <cellStyle name="_IBFSL_Conso_march_06_07_loan" xfId="7460" xr:uid="{00000000-0005-0000-0000-0000241D0000}"/>
    <cellStyle name="_IBFSL_Conso_march_06_07_loan_ISL__3CD_FY2010-11" xfId="7461" xr:uid="{00000000-0005-0000-0000-0000251D0000}"/>
    <cellStyle name="_IBFSL_Conso_march_06_07_Provision" xfId="7462" xr:uid="{00000000-0005-0000-0000-0000261D0000}"/>
    <cellStyle name="_IBFSL_Conso_march_06_07_Provision for Exp - FY 0809" xfId="7463" xr:uid="{00000000-0005-0000-0000-0000271D0000}"/>
    <cellStyle name="_IBFSL_Conso_march_06_07_Provision for Exp - FY 0809_ISL__3CD_FY2010-11" xfId="7464" xr:uid="{00000000-0005-0000-0000-0000281D0000}"/>
    <cellStyle name="_IBFSL_Conso_march_06_07_Provision March 09 (1)" xfId="7465" xr:uid="{00000000-0005-0000-0000-0000291D0000}"/>
    <cellStyle name="_IBFSL_Conso_march_06_07_provisions q3" xfId="7466" xr:uid="{00000000-0005-0000-0000-00002A1D0000}"/>
    <cellStyle name="_IBFSL_Conso_march_06_07_Result" xfId="7467" xr:uid="{00000000-0005-0000-0000-00002B1D0000}"/>
    <cellStyle name="_IBFSL_Conso_march_06_07_Result 2" xfId="7468" xr:uid="{00000000-0005-0000-0000-00002C1D0000}"/>
    <cellStyle name="_IBFSL_Conso_march_06_07_Results" xfId="7469" xr:uid="{00000000-0005-0000-0000-00002D1D0000}"/>
    <cellStyle name="_IBFSL_Conso_march_06_07_Results 2" xfId="7470" xr:uid="{00000000-0005-0000-0000-00002E1D0000}"/>
    <cellStyle name="_IBFSL_Conso_march_06_07_Standalone Financials - March 31, 2010 - Printable" xfId="7471" xr:uid="{00000000-0005-0000-0000-00002F1D0000}"/>
    <cellStyle name="_IBFSL_Conso_march_06_07_Standalone Financials - March 31, 2010 - Printable_ISL__3CD_FY2010-11" xfId="7472" xr:uid="{00000000-0005-0000-0000-0000301D0000}"/>
    <cellStyle name="_IBFSL_Conso_march_06_07_Xl0000012" xfId="7473" xr:uid="{00000000-0005-0000-0000-0000311D0000}"/>
    <cellStyle name="_IBFSL_Conso_march_06_07_Xl0000012 2" xfId="7474" xr:uid="{00000000-0005-0000-0000-0000321D0000}"/>
    <cellStyle name="_IBFSL_Conso_March_08_09 " xfId="7475" xr:uid="{00000000-0005-0000-0000-0000331D0000}"/>
    <cellStyle name="_IBFSL_Conso_March_08_09  2" xfId="7476" xr:uid="{00000000-0005-0000-0000-0000341D0000}"/>
    <cellStyle name="_IBFSL_Conso_March_08_09 _Book1 (2)" xfId="7477" xr:uid="{00000000-0005-0000-0000-0000351D0000}"/>
    <cellStyle name="_IBFSL_Conso_March_08_09 _Book1 (2) 2" xfId="7478" xr:uid="{00000000-0005-0000-0000-0000361D0000}"/>
    <cellStyle name="_IBFSL_Conso_March_08_09 _Book2" xfId="7479" xr:uid="{00000000-0005-0000-0000-0000371D0000}"/>
    <cellStyle name="_IBFSL_Conso_March_08_09 _Book2 2" xfId="7480" xr:uid="{00000000-0005-0000-0000-0000381D0000}"/>
    <cellStyle name="_IBFSL_Conso_March_08_09 _Book2_ISL__3CD_FY2010-11" xfId="7481" xr:uid="{00000000-0005-0000-0000-0000391D0000}"/>
    <cellStyle name="_IBFSL_Conso_March_08_09 _ISL June 09" xfId="7482" xr:uid="{00000000-0005-0000-0000-00003A1D0000}"/>
    <cellStyle name="_IBFSL_Conso_March_08_09 _ISL June 09 2" xfId="7483" xr:uid="{00000000-0005-0000-0000-00003B1D0000}"/>
    <cellStyle name="_IBFSL_Conso_March_08_09 _ISL June 09_ISL__3CD_FY2010-11" xfId="7484" xr:uid="{00000000-0005-0000-0000-00003C1D0000}"/>
    <cellStyle name="_IBFSL_Conso_March_08_09 _ISL Rev" xfId="7485" xr:uid="{00000000-0005-0000-0000-00003D1D0000}"/>
    <cellStyle name="_IBFSL_Conso_March_08_09 _ISL Rev 2" xfId="7486" xr:uid="{00000000-0005-0000-0000-00003E1D0000}"/>
    <cellStyle name="_IBFSL_Conso_March_08_09 _ISL Rev_ISL__3CD_FY2010-11" xfId="7487" xr:uid="{00000000-0005-0000-0000-00003F1D0000}"/>
    <cellStyle name="_IBFSL_Conso_March_08_09 _ISL Rev_Results" xfId="7488" xr:uid="{00000000-0005-0000-0000-0000401D0000}"/>
    <cellStyle name="_IBFSL_Conso_March_08_09 _ISL Rev_Results 2" xfId="7489" xr:uid="{00000000-0005-0000-0000-0000411D0000}"/>
    <cellStyle name="_IBFSL_Conso_March_08_09 _ISL Rev_Xl0000012" xfId="7490" xr:uid="{00000000-0005-0000-0000-0000421D0000}"/>
    <cellStyle name="_IBFSL_Conso_March_08_09 _ISL Rev_Xl0000012 2" xfId="7491" xr:uid="{00000000-0005-0000-0000-0000431D0000}"/>
    <cellStyle name="_IBFSL_Conso_March_08_09 _ISL__3CD_FY2010-11" xfId="7492" xr:uid="{00000000-0005-0000-0000-0000441D0000}"/>
    <cellStyle name="_IBFSL_Conso_March_08_09 _ISL_Conso_09_10_Other working" xfId="7493" xr:uid="{00000000-0005-0000-0000-0000451D0000}"/>
    <cellStyle name="_IBFSL_Conso_March_08_09 _ISL_Conso_09_10_Other working 2" xfId="7494" xr:uid="{00000000-0005-0000-0000-0000461D0000}"/>
    <cellStyle name="_IBFSL_Conso_March_08_09 _ISL_conso_August_09_10" xfId="7495" xr:uid="{00000000-0005-0000-0000-0000471D0000}"/>
    <cellStyle name="_IBFSL_Conso_March_08_09 _ISL_conso_August_09_10 2" xfId="7496" xr:uid="{00000000-0005-0000-0000-0000481D0000}"/>
    <cellStyle name="_IBFSL_Conso_March_08_09 _ISL_conso_August_09_10_ISL__3CD_FY2010-11" xfId="7497" xr:uid="{00000000-0005-0000-0000-0000491D0000}"/>
    <cellStyle name="_IBFSL_Conso_March_08_09 _ISL_conso_August_10_11" xfId="7498" xr:uid="{00000000-0005-0000-0000-00004A1D0000}"/>
    <cellStyle name="_IBFSL_Conso_March_08_09 _ISL_conso_August_10_11 2" xfId="7499" xr:uid="{00000000-0005-0000-0000-00004B1D0000}"/>
    <cellStyle name="_IBFSL_Conso_March_08_09 _ISL_conso_December_09_10" xfId="7500" xr:uid="{00000000-0005-0000-0000-00004C1D0000}"/>
    <cellStyle name="_IBFSL_Conso_March_08_09 _ISL_conso_December_09_10 2" xfId="7501" xr:uid="{00000000-0005-0000-0000-00004D1D0000}"/>
    <cellStyle name="_IBFSL_Conso_March_08_09 _ISL_conso_December_09_10_ISL__3CD_FY2010-11" xfId="7502" xr:uid="{00000000-0005-0000-0000-00004E1D0000}"/>
    <cellStyle name="_IBFSL_Conso_March_08_09 _ISL_conso_December_10_11" xfId="7503" xr:uid="{00000000-0005-0000-0000-00004F1D0000}"/>
    <cellStyle name="_IBFSL_Conso_March_08_09 _ISL_conso_December_10_11 2" xfId="7504" xr:uid="{00000000-0005-0000-0000-0000501D0000}"/>
    <cellStyle name="_IBFSL_Conso_March_08_09 _ISL_conso_February_09_10" xfId="7505" xr:uid="{00000000-0005-0000-0000-0000511D0000}"/>
    <cellStyle name="_IBFSL_Conso_March_08_09 _ISL_conso_February_09_10 2" xfId="7506" xr:uid="{00000000-0005-0000-0000-0000521D0000}"/>
    <cellStyle name="_IBFSL_Conso_March_08_09 _ISL_conso_January_09_10" xfId="7507" xr:uid="{00000000-0005-0000-0000-0000531D0000}"/>
    <cellStyle name="_IBFSL_Conso_March_08_09 _ISL_conso_January_09_10 2" xfId="7508" xr:uid="{00000000-0005-0000-0000-0000541D0000}"/>
    <cellStyle name="_IBFSL_Conso_March_08_09 _ISL_conso_July_09_10" xfId="7509" xr:uid="{00000000-0005-0000-0000-0000551D0000}"/>
    <cellStyle name="_IBFSL_Conso_March_08_09 _ISL_conso_July_09_10 2" xfId="7510" xr:uid="{00000000-0005-0000-0000-0000561D0000}"/>
    <cellStyle name="_IBFSL_Conso_March_08_09 _ISL_conso_July_09_10_ISL__3CD_FY2010-11" xfId="7511" xr:uid="{00000000-0005-0000-0000-0000571D0000}"/>
    <cellStyle name="_IBFSL_Conso_March_08_09 _ISL_conso_July_10_11" xfId="7512" xr:uid="{00000000-0005-0000-0000-0000581D0000}"/>
    <cellStyle name="_IBFSL_Conso_March_08_09 _ISL_conso_July_10_11 2" xfId="7513" xr:uid="{00000000-0005-0000-0000-0000591D0000}"/>
    <cellStyle name="_IBFSL_Conso_March_08_09 _ISL_conso_June_09_10" xfId="7514" xr:uid="{00000000-0005-0000-0000-00005A1D0000}"/>
    <cellStyle name="_IBFSL_Conso_March_08_09 _ISL_conso_June_09_10 2" xfId="7515" xr:uid="{00000000-0005-0000-0000-00005B1D0000}"/>
    <cellStyle name="_IBFSL_Conso_March_08_09 _ISL_conso_June_09_10_ISL__3CD_FY2010-11" xfId="7516" xr:uid="{00000000-0005-0000-0000-00005C1D0000}"/>
    <cellStyle name="_IBFSL_Conso_March_08_09 _ISL_conso_June_10_11" xfId="7517" xr:uid="{00000000-0005-0000-0000-00005D1D0000}"/>
    <cellStyle name="_IBFSL_Conso_March_08_09 _ISL_conso_June_10_11 2" xfId="7518" xr:uid="{00000000-0005-0000-0000-00005E1D0000}"/>
    <cellStyle name="_IBFSL_Conso_March_08_09 _ISL_conso_March_08_09" xfId="7519" xr:uid="{00000000-0005-0000-0000-00005F1D0000}"/>
    <cellStyle name="_IBFSL_Conso_March_08_09 _ISL_conso_March_08_09 2" xfId="7520" xr:uid="{00000000-0005-0000-0000-0000601D0000}"/>
    <cellStyle name="_IBFSL_Conso_March_08_09 _ISL_conso_March_08_09_ISL__3CD_FY2010-11" xfId="7521" xr:uid="{00000000-0005-0000-0000-0000611D0000}"/>
    <cellStyle name="_IBFSL_Conso_March_08_09 _ISL_conso_March_09_10" xfId="7522" xr:uid="{00000000-0005-0000-0000-0000621D0000}"/>
    <cellStyle name="_IBFSL_Conso_March_08_09 _ISL_conso_March_09_10 2" xfId="7523" xr:uid="{00000000-0005-0000-0000-0000631D0000}"/>
    <cellStyle name="_IBFSL_Conso_March_08_09 _ISL_conso_May_09_10" xfId="7524" xr:uid="{00000000-0005-0000-0000-0000641D0000}"/>
    <cellStyle name="_IBFSL_Conso_March_08_09 _ISL_conso_May_09_10 2" xfId="7525" xr:uid="{00000000-0005-0000-0000-0000651D0000}"/>
    <cellStyle name="_IBFSL_Conso_March_08_09 _ISL_conso_May_09_10_ISL__3CD_FY2010-11" xfId="7526" xr:uid="{00000000-0005-0000-0000-0000661D0000}"/>
    <cellStyle name="_IBFSL_Conso_March_08_09 _ISL_conso_May_10_11" xfId="7527" xr:uid="{00000000-0005-0000-0000-0000671D0000}"/>
    <cellStyle name="_IBFSL_Conso_March_08_09 _ISL_conso_May_10_11 2" xfId="7528" xr:uid="{00000000-0005-0000-0000-0000681D0000}"/>
    <cellStyle name="_IBFSL_Conso_March_08_09 _ISL_conso_November_09_10" xfId="7529" xr:uid="{00000000-0005-0000-0000-0000691D0000}"/>
    <cellStyle name="_IBFSL_Conso_March_08_09 _ISL_conso_November_09_10 2" xfId="7530" xr:uid="{00000000-0005-0000-0000-00006A1D0000}"/>
    <cellStyle name="_IBFSL_Conso_March_08_09 _ISL_conso_November_09_10_ISL__3CD_FY2010-11" xfId="7531" xr:uid="{00000000-0005-0000-0000-00006B1D0000}"/>
    <cellStyle name="_IBFSL_Conso_March_08_09 _ISL_conso_November_10_11" xfId="7532" xr:uid="{00000000-0005-0000-0000-00006C1D0000}"/>
    <cellStyle name="_IBFSL_Conso_March_08_09 _ISL_conso_November_10_11 2" xfId="7533" xr:uid="{00000000-0005-0000-0000-00006D1D0000}"/>
    <cellStyle name="_IBFSL_Conso_March_08_09 _ISL_conso_October_09_10" xfId="7534" xr:uid="{00000000-0005-0000-0000-00006E1D0000}"/>
    <cellStyle name="_IBFSL_Conso_March_08_09 _ISL_conso_October_09_10 2" xfId="7535" xr:uid="{00000000-0005-0000-0000-00006F1D0000}"/>
    <cellStyle name="_IBFSL_Conso_March_08_09 _ISL_conso_October_09_10_ISL__3CD_FY2010-11" xfId="7536" xr:uid="{00000000-0005-0000-0000-0000701D0000}"/>
    <cellStyle name="_IBFSL_Conso_March_08_09 _ISL_conso_October_10_11" xfId="7537" xr:uid="{00000000-0005-0000-0000-0000711D0000}"/>
    <cellStyle name="_IBFSL_Conso_March_08_09 _ISL_conso_October_10_11 2" xfId="7538" xr:uid="{00000000-0005-0000-0000-0000721D0000}"/>
    <cellStyle name="_IBFSL_Conso_March_08_09 _ISL_conso_September_09_10" xfId="7539" xr:uid="{00000000-0005-0000-0000-0000731D0000}"/>
    <cellStyle name="_IBFSL_Conso_March_08_09 _ISL_conso_September_09_10 2" xfId="7540" xr:uid="{00000000-0005-0000-0000-0000741D0000}"/>
    <cellStyle name="_IBFSL_Conso_March_08_09 _ISL_conso_September_09_10_ISL__3CD_FY2010-11" xfId="7541" xr:uid="{00000000-0005-0000-0000-0000751D0000}"/>
    <cellStyle name="_IBFSL_Conso_March_08_09 _ISL_conso_September_10_11" xfId="7542" xr:uid="{00000000-0005-0000-0000-0000761D0000}"/>
    <cellStyle name="_IBFSL_Conso_March_08_09 _ISL_conso_September_10_11 2" xfId="7543" xr:uid="{00000000-0005-0000-0000-0000771D0000}"/>
    <cellStyle name="_IBFSL_Conso_March_08_09 _ISL_June_10" xfId="7544" xr:uid="{00000000-0005-0000-0000-0000781D0000}"/>
    <cellStyle name="_IBFSL_Conso_March_08_09 _ISL_June_10 2" xfId="7545" xr:uid="{00000000-0005-0000-0000-0000791D0000}"/>
    <cellStyle name="_IBFSL_Conso_March_08_09 _Result" xfId="7546" xr:uid="{00000000-0005-0000-0000-00007A1D0000}"/>
    <cellStyle name="_IBFSL_Conso_March_08_09 _Result 2" xfId="7547" xr:uid="{00000000-0005-0000-0000-00007B1D0000}"/>
    <cellStyle name="_IBFSL_Conso_March_08_09 _Results" xfId="7548" xr:uid="{00000000-0005-0000-0000-00007C1D0000}"/>
    <cellStyle name="_IBFSL_Conso_March_08_09 _Results 2" xfId="7549" xr:uid="{00000000-0005-0000-0000-00007D1D0000}"/>
    <cellStyle name="_IBFSL_Conso_March_08_09 _Xl0000012" xfId="7550" xr:uid="{00000000-0005-0000-0000-00007E1D0000}"/>
    <cellStyle name="_IBFSL_Conso_March_08_09 _Xl0000012 2" xfId="7551" xr:uid="{00000000-0005-0000-0000-00007F1D0000}"/>
    <cellStyle name="_IBFSL_Conso_May_08_09 " xfId="7552" xr:uid="{00000000-0005-0000-0000-0000801D0000}"/>
    <cellStyle name="_IBFSL_Conso_May_08_09  10" xfId="7553" xr:uid="{00000000-0005-0000-0000-0000811D0000}"/>
    <cellStyle name="_IBFSL_Conso_May_08_09  10 2" xfId="7554" xr:uid="{00000000-0005-0000-0000-0000821D0000}"/>
    <cellStyle name="_IBFSL_Conso_May_08_09  11" xfId="7555" xr:uid="{00000000-0005-0000-0000-0000831D0000}"/>
    <cellStyle name="_IBFSL_Conso_May_08_09  11 2" xfId="7556" xr:uid="{00000000-0005-0000-0000-0000841D0000}"/>
    <cellStyle name="_IBFSL_Conso_May_08_09  12" xfId="7557" xr:uid="{00000000-0005-0000-0000-0000851D0000}"/>
    <cellStyle name="_IBFSL_Conso_May_08_09  12 2" xfId="7558" xr:uid="{00000000-0005-0000-0000-0000861D0000}"/>
    <cellStyle name="_IBFSL_Conso_May_08_09  13" xfId="7559" xr:uid="{00000000-0005-0000-0000-0000871D0000}"/>
    <cellStyle name="_IBFSL_Conso_May_08_09  13 2" xfId="7560" xr:uid="{00000000-0005-0000-0000-0000881D0000}"/>
    <cellStyle name="_IBFSL_Conso_May_08_09  14" xfId="7561" xr:uid="{00000000-0005-0000-0000-0000891D0000}"/>
    <cellStyle name="_IBFSL_Conso_May_08_09  14 2" xfId="7562" xr:uid="{00000000-0005-0000-0000-00008A1D0000}"/>
    <cellStyle name="_IBFSL_Conso_May_08_09  15" xfId="7563" xr:uid="{00000000-0005-0000-0000-00008B1D0000}"/>
    <cellStyle name="_IBFSL_Conso_May_08_09  15 2" xfId="7564" xr:uid="{00000000-0005-0000-0000-00008C1D0000}"/>
    <cellStyle name="_IBFSL_Conso_May_08_09  16" xfId="7565" xr:uid="{00000000-0005-0000-0000-00008D1D0000}"/>
    <cellStyle name="_IBFSL_Conso_May_08_09  16 2" xfId="7566" xr:uid="{00000000-0005-0000-0000-00008E1D0000}"/>
    <cellStyle name="_IBFSL_Conso_May_08_09  17" xfId="7567" xr:uid="{00000000-0005-0000-0000-00008F1D0000}"/>
    <cellStyle name="_IBFSL_Conso_May_08_09  17 2" xfId="7568" xr:uid="{00000000-0005-0000-0000-0000901D0000}"/>
    <cellStyle name="_IBFSL_Conso_May_08_09  18" xfId="7569" xr:uid="{00000000-0005-0000-0000-0000911D0000}"/>
    <cellStyle name="_IBFSL_Conso_May_08_09  18 2" xfId="7570" xr:uid="{00000000-0005-0000-0000-0000921D0000}"/>
    <cellStyle name="_IBFSL_Conso_May_08_09  19" xfId="7571" xr:uid="{00000000-0005-0000-0000-0000931D0000}"/>
    <cellStyle name="_IBFSL_Conso_May_08_09  19 2" xfId="7572" xr:uid="{00000000-0005-0000-0000-0000941D0000}"/>
    <cellStyle name="_IBFSL_Conso_May_08_09  2" xfId="7573" xr:uid="{00000000-0005-0000-0000-0000951D0000}"/>
    <cellStyle name="_IBFSL_Conso_May_08_09  2 2" xfId="7574" xr:uid="{00000000-0005-0000-0000-0000961D0000}"/>
    <cellStyle name="_IBFSL_Conso_May_08_09  20" xfId="7575" xr:uid="{00000000-0005-0000-0000-0000971D0000}"/>
    <cellStyle name="_IBFSL_Conso_May_08_09  21" xfId="7576" xr:uid="{00000000-0005-0000-0000-0000981D0000}"/>
    <cellStyle name="_IBFSL_Conso_May_08_09  22" xfId="7577" xr:uid="{00000000-0005-0000-0000-0000991D0000}"/>
    <cellStyle name="_IBFSL_Conso_May_08_09  23" xfId="7578" xr:uid="{00000000-0005-0000-0000-00009A1D0000}"/>
    <cellStyle name="_IBFSL_Conso_May_08_09  3" xfId="7579" xr:uid="{00000000-0005-0000-0000-00009B1D0000}"/>
    <cellStyle name="_IBFSL_Conso_May_08_09  3 2" xfId="7580" xr:uid="{00000000-0005-0000-0000-00009C1D0000}"/>
    <cellStyle name="_IBFSL_Conso_May_08_09  4" xfId="7581" xr:uid="{00000000-0005-0000-0000-00009D1D0000}"/>
    <cellStyle name="_IBFSL_Conso_May_08_09  4 2" xfId="7582" xr:uid="{00000000-0005-0000-0000-00009E1D0000}"/>
    <cellStyle name="_IBFSL_Conso_May_08_09  5" xfId="7583" xr:uid="{00000000-0005-0000-0000-00009F1D0000}"/>
    <cellStyle name="_IBFSL_Conso_May_08_09  5 2" xfId="7584" xr:uid="{00000000-0005-0000-0000-0000A01D0000}"/>
    <cellStyle name="_IBFSL_Conso_May_08_09  6" xfId="7585" xr:uid="{00000000-0005-0000-0000-0000A11D0000}"/>
    <cellStyle name="_IBFSL_Conso_May_08_09  6 2" xfId="7586" xr:uid="{00000000-0005-0000-0000-0000A21D0000}"/>
    <cellStyle name="_IBFSL_Conso_May_08_09  7" xfId="7587" xr:uid="{00000000-0005-0000-0000-0000A31D0000}"/>
    <cellStyle name="_IBFSL_Conso_May_08_09  7 2" xfId="7588" xr:uid="{00000000-0005-0000-0000-0000A41D0000}"/>
    <cellStyle name="_IBFSL_Conso_May_08_09  8" xfId="7589" xr:uid="{00000000-0005-0000-0000-0000A51D0000}"/>
    <cellStyle name="_IBFSL_Conso_May_08_09  8 2" xfId="7590" xr:uid="{00000000-0005-0000-0000-0000A61D0000}"/>
    <cellStyle name="_IBFSL_Conso_May_08_09  9" xfId="7591" xr:uid="{00000000-0005-0000-0000-0000A71D0000}"/>
    <cellStyle name="_IBFSL_Conso_May_08_09  9 2" xfId="7592" xr:uid="{00000000-0005-0000-0000-0000A81D0000}"/>
    <cellStyle name="_IBFSL_Conso_May_08_09 _Book1" xfId="7593" xr:uid="{00000000-0005-0000-0000-0000A91D0000}"/>
    <cellStyle name="_IBFSL_Conso_May_08_09 _Book1 (2)" xfId="7594" xr:uid="{00000000-0005-0000-0000-0000AA1D0000}"/>
    <cellStyle name="_IBFSL_Conso_May_08_09 _Book1 (2) 2" xfId="7595" xr:uid="{00000000-0005-0000-0000-0000AB1D0000}"/>
    <cellStyle name="_IBFSL_Conso_May_08_09 _Book1 10" xfId="7596" xr:uid="{00000000-0005-0000-0000-0000AC1D0000}"/>
    <cellStyle name="_IBFSL_Conso_May_08_09 _Book1 11" xfId="7597" xr:uid="{00000000-0005-0000-0000-0000AD1D0000}"/>
    <cellStyle name="_IBFSL_Conso_May_08_09 _Book1 2" xfId="7598" xr:uid="{00000000-0005-0000-0000-0000AE1D0000}"/>
    <cellStyle name="_IBFSL_Conso_May_08_09 _Book1 3" xfId="7599" xr:uid="{00000000-0005-0000-0000-0000AF1D0000}"/>
    <cellStyle name="_IBFSL_Conso_May_08_09 _Book1 4" xfId="7600" xr:uid="{00000000-0005-0000-0000-0000B01D0000}"/>
    <cellStyle name="_IBFSL_Conso_May_08_09 _Book1 5" xfId="7601" xr:uid="{00000000-0005-0000-0000-0000B11D0000}"/>
    <cellStyle name="_IBFSL_Conso_May_08_09 _Book1 6" xfId="7602" xr:uid="{00000000-0005-0000-0000-0000B21D0000}"/>
    <cellStyle name="_IBFSL_Conso_May_08_09 _Book1 7" xfId="7603" xr:uid="{00000000-0005-0000-0000-0000B31D0000}"/>
    <cellStyle name="_IBFSL_Conso_May_08_09 _Book1 8" xfId="7604" xr:uid="{00000000-0005-0000-0000-0000B41D0000}"/>
    <cellStyle name="_IBFSL_Conso_May_08_09 _Book1 9" xfId="7605" xr:uid="{00000000-0005-0000-0000-0000B51D0000}"/>
    <cellStyle name="_IBFSL_Conso_May_08_09 _Book1_ISL__3CD_FY2010-11" xfId="7606" xr:uid="{00000000-0005-0000-0000-0000B61D0000}"/>
    <cellStyle name="_IBFSL_Conso_May_08_09 _Book2" xfId="7607" xr:uid="{00000000-0005-0000-0000-0000B71D0000}"/>
    <cellStyle name="_IBFSL_Conso_May_08_09 _Book2 2" xfId="7608" xr:uid="{00000000-0005-0000-0000-0000B81D0000}"/>
    <cellStyle name="_IBFSL_Conso_May_08_09 _Book2_ISL__3CD_FY2010-11" xfId="7609" xr:uid="{00000000-0005-0000-0000-0000B91D0000}"/>
    <cellStyle name="_IBFSL_Conso_May_08_09 _Book4" xfId="7610" xr:uid="{00000000-0005-0000-0000-0000BA1D0000}"/>
    <cellStyle name="_IBFSL_Conso_May_08_09 _Book4 2" xfId="7611" xr:uid="{00000000-0005-0000-0000-0000BB1D0000}"/>
    <cellStyle name="_IBFSL_Conso_May_08_09 _Book4_ISL__3CD_FY2010-11" xfId="7612" xr:uid="{00000000-0005-0000-0000-0000BC1D0000}"/>
    <cellStyle name="_IBFSL_Conso_May_08_09 _ISL June 09" xfId="7613" xr:uid="{00000000-0005-0000-0000-0000BD1D0000}"/>
    <cellStyle name="_IBFSL_Conso_May_08_09 _ISL June 09 2" xfId="7614" xr:uid="{00000000-0005-0000-0000-0000BE1D0000}"/>
    <cellStyle name="_IBFSL_Conso_May_08_09 _ISL June 09_ISL__3CD_FY2010-11" xfId="7615" xr:uid="{00000000-0005-0000-0000-0000BF1D0000}"/>
    <cellStyle name="_IBFSL_Conso_May_08_09 _ISL Rev" xfId="7616" xr:uid="{00000000-0005-0000-0000-0000C01D0000}"/>
    <cellStyle name="_IBFSL_Conso_May_08_09 _ISL Rev 2" xfId="7617" xr:uid="{00000000-0005-0000-0000-0000C11D0000}"/>
    <cellStyle name="_IBFSL_Conso_May_08_09 _ISL Rev_ISL__3CD_FY2010-11" xfId="7618" xr:uid="{00000000-0005-0000-0000-0000C21D0000}"/>
    <cellStyle name="_IBFSL_Conso_May_08_09 _ISL Rev_Results" xfId="7619" xr:uid="{00000000-0005-0000-0000-0000C31D0000}"/>
    <cellStyle name="_IBFSL_Conso_May_08_09 _ISL Rev_Results 2" xfId="7620" xr:uid="{00000000-0005-0000-0000-0000C41D0000}"/>
    <cellStyle name="_IBFSL_Conso_May_08_09 _ISL Rev_Xl0000012" xfId="7621" xr:uid="{00000000-0005-0000-0000-0000C51D0000}"/>
    <cellStyle name="_IBFSL_Conso_May_08_09 _ISL Rev_Xl0000012 2" xfId="7622" xr:uid="{00000000-0005-0000-0000-0000C61D0000}"/>
    <cellStyle name="_IBFSL_Conso_May_08_09 _ISL__3CD_FY2010-11" xfId="7623" xr:uid="{00000000-0005-0000-0000-0000C71D0000}"/>
    <cellStyle name="_IBFSL_Conso_May_08_09 _ISL_BS_03.03.2009" xfId="7624" xr:uid="{00000000-0005-0000-0000-0000C81D0000}"/>
    <cellStyle name="_IBFSL_Conso_May_08_09 _ISL_BS_03.03.2009 2" xfId="7625" xr:uid="{00000000-0005-0000-0000-0000C91D0000}"/>
    <cellStyle name="_IBFSL_Conso_May_08_09 _ISL_BS_03.03.2009_ISL__3CD_FY2010-11" xfId="7626" xr:uid="{00000000-0005-0000-0000-0000CA1D0000}"/>
    <cellStyle name="_IBFSL_Conso_May_08_09 _ISL_BS_08.03.2009" xfId="7627" xr:uid="{00000000-0005-0000-0000-0000CB1D0000}"/>
    <cellStyle name="_IBFSL_Conso_May_08_09 _ISL_BS_08.03.2009 2" xfId="7628" xr:uid="{00000000-0005-0000-0000-0000CC1D0000}"/>
    <cellStyle name="_IBFSL_Conso_May_08_09 _ISL_BS_08.03.2009_ISL__3CD_FY2010-11" xfId="7629" xr:uid="{00000000-0005-0000-0000-0000CD1D0000}"/>
    <cellStyle name="_IBFSL_Conso_May_08_09 _ISL_BS_15.03.2009" xfId="7630" xr:uid="{00000000-0005-0000-0000-0000CE1D0000}"/>
    <cellStyle name="_IBFSL_Conso_May_08_09 _ISL_BS_15.03.2009 2" xfId="7631" xr:uid="{00000000-0005-0000-0000-0000CF1D0000}"/>
    <cellStyle name="_IBFSL_Conso_May_08_09 _ISL_BS_15.03.2009_ISL__3CD_FY2010-11" xfId="7632" xr:uid="{00000000-0005-0000-0000-0000D01D0000}"/>
    <cellStyle name="_IBFSL_Conso_May_08_09 _ISL_BS_2008-09- First Cut" xfId="7633" xr:uid="{00000000-0005-0000-0000-0000D11D0000}"/>
    <cellStyle name="_IBFSL_Conso_May_08_09 _ISL_BS_2008-09- First Cut 2" xfId="7634" xr:uid="{00000000-0005-0000-0000-0000D21D0000}"/>
    <cellStyle name="_IBFSL_Conso_May_08_09 _ISL_BS_2008-09- First Cut_ISL__3CD_FY2010-11" xfId="7635" xr:uid="{00000000-0005-0000-0000-0000D31D0000}"/>
    <cellStyle name="_IBFSL_Conso_May_08_09 _ISL_BS_21.09.2009" xfId="7636" xr:uid="{00000000-0005-0000-0000-0000D41D0000}"/>
    <cellStyle name="_IBFSL_Conso_May_08_09 _ISL_BS_21.09.2009 2" xfId="7637" xr:uid="{00000000-0005-0000-0000-0000D51D0000}"/>
    <cellStyle name="_IBFSL_Conso_May_08_09 _ISL_BS_23.02.2009" xfId="7638" xr:uid="{00000000-0005-0000-0000-0000D61D0000}"/>
    <cellStyle name="_IBFSL_Conso_May_08_09 _ISL_BS_23.02.2009 2" xfId="7639" xr:uid="{00000000-0005-0000-0000-0000D71D0000}"/>
    <cellStyle name="_IBFSL_Conso_May_08_09 _ISL_BS_23.02.2009_ISL__3CD_FY2010-11" xfId="7640" xr:uid="{00000000-0005-0000-0000-0000D81D0000}"/>
    <cellStyle name="_IBFSL_Conso_May_08_09 _ISL_BS_24.02.2009" xfId="7641" xr:uid="{00000000-0005-0000-0000-0000D91D0000}"/>
    <cellStyle name="_IBFSL_Conso_May_08_09 _ISL_BS_24.02.2009 2" xfId="7642" xr:uid="{00000000-0005-0000-0000-0000DA1D0000}"/>
    <cellStyle name="_IBFSL_Conso_May_08_09 _ISL_BS_24.02.2009_ISL__3CD_FY2010-11" xfId="7643" xr:uid="{00000000-0005-0000-0000-0000DB1D0000}"/>
    <cellStyle name="_IBFSL_Conso_May_08_09 _ISL_BS_Aug 09" xfId="7644" xr:uid="{00000000-0005-0000-0000-0000DC1D0000}"/>
    <cellStyle name="_IBFSL_Conso_May_08_09 _ISL_BS_Aug 09 2" xfId="7645" xr:uid="{00000000-0005-0000-0000-0000DD1D0000}"/>
    <cellStyle name="_IBFSL_Conso_May_08_09 _ISL_BS_Aug 09.z" xfId="7646" xr:uid="{00000000-0005-0000-0000-0000DE1D0000}"/>
    <cellStyle name="_IBFSL_Conso_May_08_09 _ISL_BS_Aug 09.z 2" xfId="7647" xr:uid="{00000000-0005-0000-0000-0000DF1D0000}"/>
    <cellStyle name="_IBFSL_Conso_May_08_09 _ISL_BS_Aug 09.z_ISL__3CD_FY2010-11" xfId="7648" xr:uid="{00000000-0005-0000-0000-0000E01D0000}"/>
    <cellStyle name="_IBFSL_Conso_May_08_09 _ISL_BS_Aug 09_ISL__3CD_FY2010-11" xfId="7649" xr:uid="{00000000-0005-0000-0000-0000E11D0000}"/>
    <cellStyle name="_IBFSL_Conso_May_08_09 _ISL_Conso_09_10_Other working" xfId="7650" xr:uid="{00000000-0005-0000-0000-0000E21D0000}"/>
    <cellStyle name="_IBFSL_Conso_May_08_09 _ISL_Conso_09_10_Other working 2" xfId="7651" xr:uid="{00000000-0005-0000-0000-0000E31D0000}"/>
    <cellStyle name="_IBFSL_Conso_May_08_09 _ISL_conso_August_09_10" xfId="7652" xr:uid="{00000000-0005-0000-0000-0000E41D0000}"/>
    <cellStyle name="_IBFSL_Conso_May_08_09 _ISL_conso_August_09_10 2" xfId="7653" xr:uid="{00000000-0005-0000-0000-0000E51D0000}"/>
    <cellStyle name="_IBFSL_Conso_May_08_09 _ISL_conso_August_09_10_ISL__3CD_FY2010-11" xfId="7654" xr:uid="{00000000-0005-0000-0000-0000E61D0000}"/>
    <cellStyle name="_IBFSL_Conso_May_08_09 _ISL_conso_August_10_11" xfId="7655" xr:uid="{00000000-0005-0000-0000-0000E71D0000}"/>
    <cellStyle name="_IBFSL_Conso_May_08_09 _ISL_conso_August_10_11 2" xfId="7656" xr:uid="{00000000-0005-0000-0000-0000E81D0000}"/>
    <cellStyle name="_IBFSL_Conso_May_08_09 _ISL_conso_December_08_09" xfId="7657" xr:uid="{00000000-0005-0000-0000-0000E91D0000}"/>
    <cellStyle name="_IBFSL_Conso_May_08_09 _ISL_conso_December_08_09 2" xfId="7658" xr:uid="{00000000-0005-0000-0000-0000EA1D0000}"/>
    <cellStyle name="_IBFSL_Conso_May_08_09 _ISL_conso_December_08_09_ISL__3CD_FY2010-11" xfId="7659" xr:uid="{00000000-0005-0000-0000-0000EB1D0000}"/>
    <cellStyle name="_IBFSL_Conso_May_08_09 _ISL_conso_December_08_09_Results" xfId="7660" xr:uid="{00000000-0005-0000-0000-0000EC1D0000}"/>
    <cellStyle name="_IBFSL_Conso_May_08_09 _ISL_conso_December_08_09_Results 2" xfId="7661" xr:uid="{00000000-0005-0000-0000-0000ED1D0000}"/>
    <cellStyle name="_IBFSL_Conso_May_08_09 _ISL_conso_December_08_09_Xl0000012" xfId="7662" xr:uid="{00000000-0005-0000-0000-0000EE1D0000}"/>
    <cellStyle name="_IBFSL_Conso_May_08_09 _ISL_conso_December_08_09_Xl0000012 2" xfId="7663" xr:uid="{00000000-0005-0000-0000-0000EF1D0000}"/>
    <cellStyle name="_IBFSL_Conso_May_08_09 _ISL_conso_December_09_10" xfId="7664" xr:uid="{00000000-0005-0000-0000-0000F01D0000}"/>
    <cellStyle name="_IBFSL_Conso_May_08_09 _ISL_conso_December_09_10 2" xfId="7665" xr:uid="{00000000-0005-0000-0000-0000F11D0000}"/>
    <cellStyle name="_IBFSL_Conso_May_08_09 _ISL_conso_December_09_10_ISL__3CD_FY2010-11" xfId="7666" xr:uid="{00000000-0005-0000-0000-0000F21D0000}"/>
    <cellStyle name="_IBFSL_Conso_May_08_09 _ISL_conso_December_10_11" xfId="7667" xr:uid="{00000000-0005-0000-0000-0000F31D0000}"/>
    <cellStyle name="_IBFSL_Conso_May_08_09 _ISL_conso_December_10_11 2" xfId="7668" xr:uid="{00000000-0005-0000-0000-0000F41D0000}"/>
    <cellStyle name="_IBFSL_Conso_May_08_09 _ISL_conso_February_09_10" xfId="7669" xr:uid="{00000000-0005-0000-0000-0000F51D0000}"/>
    <cellStyle name="_IBFSL_Conso_May_08_09 _ISL_conso_February_09_10 2" xfId="7670" xr:uid="{00000000-0005-0000-0000-0000F61D0000}"/>
    <cellStyle name="_IBFSL_Conso_May_08_09 _ISL_conso_January_09_10" xfId="7671" xr:uid="{00000000-0005-0000-0000-0000F71D0000}"/>
    <cellStyle name="_IBFSL_Conso_May_08_09 _ISL_conso_January_09_10 2" xfId="7672" xr:uid="{00000000-0005-0000-0000-0000F81D0000}"/>
    <cellStyle name="_IBFSL_Conso_May_08_09 _ISL_conso_July_08_09" xfId="7673" xr:uid="{00000000-0005-0000-0000-0000F91D0000}"/>
    <cellStyle name="_IBFSL_Conso_May_08_09 _ISL_conso_July_08_09 2" xfId="7674" xr:uid="{00000000-0005-0000-0000-0000FA1D0000}"/>
    <cellStyle name="_IBFSL_Conso_May_08_09 _ISL_conso_July_08_09_ISL__3CD_FY2010-11" xfId="7675" xr:uid="{00000000-0005-0000-0000-0000FB1D0000}"/>
    <cellStyle name="_IBFSL_Conso_May_08_09 _ISL_conso_July_08_09_Results" xfId="7676" xr:uid="{00000000-0005-0000-0000-0000FC1D0000}"/>
    <cellStyle name="_IBFSL_Conso_May_08_09 _ISL_conso_July_08_09_Results 2" xfId="7677" xr:uid="{00000000-0005-0000-0000-0000FD1D0000}"/>
    <cellStyle name="_IBFSL_Conso_May_08_09 _ISL_conso_July_08_09_Xl0000012" xfId="7678" xr:uid="{00000000-0005-0000-0000-0000FE1D0000}"/>
    <cellStyle name="_IBFSL_Conso_May_08_09 _ISL_conso_July_08_09_Xl0000012 2" xfId="7679" xr:uid="{00000000-0005-0000-0000-0000FF1D0000}"/>
    <cellStyle name="_IBFSL_Conso_May_08_09 _ISL_conso_July_09_10" xfId="7680" xr:uid="{00000000-0005-0000-0000-0000001E0000}"/>
    <cellStyle name="_IBFSL_Conso_May_08_09 _ISL_conso_July_09_10 2" xfId="7681" xr:uid="{00000000-0005-0000-0000-0000011E0000}"/>
    <cellStyle name="_IBFSL_Conso_May_08_09 _ISL_conso_July_09_10_ISL__3CD_FY2010-11" xfId="7682" xr:uid="{00000000-0005-0000-0000-0000021E0000}"/>
    <cellStyle name="_IBFSL_Conso_May_08_09 _ISL_conso_July_10_11" xfId="7683" xr:uid="{00000000-0005-0000-0000-0000031E0000}"/>
    <cellStyle name="_IBFSL_Conso_May_08_09 _ISL_conso_July_10_11 2" xfId="7684" xr:uid="{00000000-0005-0000-0000-0000041E0000}"/>
    <cellStyle name="_IBFSL_Conso_May_08_09 _ISL_conso_June_09_10" xfId="7685" xr:uid="{00000000-0005-0000-0000-0000051E0000}"/>
    <cellStyle name="_IBFSL_Conso_May_08_09 _ISL_conso_June_09_10 2" xfId="7686" xr:uid="{00000000-0005-0000-0000-0000061E0000}"/>
    <cellStyle name="_IBFSL_Conso_May_08_09 _ISL_conso_June_09_10_ISL__3CD_FY2010-11" xfId="7687" xr:uid="{00000000-0005-0000-0000-0000071E0000}"/>
    <cellStyle name="_IBFSL_Conso_May_08_09 _ISL_conso_June_10_11" xfId="7688" xr:uid="{00000000-0005-0000-0000-0000081E0000}"/>
    <cellStyle name="_IBFSL_Conso_May_08_09 _ISL_conso_June_10_11 2" xfId="7689" xr:uid="{00000000-0005-0000-0000-0000091E0000}"/>
    <cellStyle name="_IBFSL_Conso_May_08_09 _ISL_conso_March_08_09" xfId="7690" xr:uid="{00000000-0005-0000-0000-00000A1E0000}"/>
    <cellStyle name="_IBFSL_Conso_May_08_09 _ISL_conso_March_08_09 2" xfId="7691" xr:uid="{00000000-0005-0000-0000-00000B1E0000}"/>
    <cellStyle name="_IBFSL_Conso_May_08_09 _ISL_conso_March_08_09_ISL__3CD_FY2010-11" xfId="7692" xr:uid="{00000000-0005-0000-0000-00000C1E0000}"/>
    <cellStyle name="_IBFSL_Conso_May_08_09 _ISL_conso_March_09_10" xfId="7693" xr:uid="{00000000-0005-0000-0000-00000D1E0000}"/>
    <cellStyle name="_IBFSL_Conso_May_08_09 _ISL_conso_March_09_10 2" xfId="7694" xr:uid="{00000000-0005-0000-0000-00000E1E0000}"/>
    <cellStyle name="_IBFSL_Conso_May_08_09 _ISL_conso_May_09_10" xfId="7695" xr:uid="{00000000-0005-0000-0000-00000F1E0000}"/>
    <cellStyle name="_IBFSL_Conso_May_08_09 _ISL_conso_May_09_10 2" xfId="7696" xr:uid="{00000000-0005-0000-0000-0000101E0000}"/>
    <cellStyle name="_IBFSL_Conso_May_08_09 _ISL_conso_May_09_10_ISL__3CD_FY2010-11" xfId="7697" xr:uid="{00000000-0005-0000-0000-0000111E0000}"/>
    <cellStyle name="_IBFSL_Conso_May_08_09 _ISL_conso_May_10_11" xfId="7698" xr:uid="{00000000-0005-0000-0000-0000121E0000}"/>
    <cellStyle name="_IBFSL_Conso_May_08_09 _ISL_conso_May_10_11 2" xfId="7699" xr:uid="{00000000-0005-0000-0000-0000131E0000}"/>
    <cellStyle name="_IBFSL_Conso_May_08_09 _ISL_conso_November_09_10" xfId="7700" xr:uid="{00000000-0005-0000-0000-0000141E0000}"/>
    <cellStyle name="_IBFSL_Conso_May_08_09 _ISL_conso_November_09_10 2" xfId="7701" xr:uid="{00000000-0005-0000-0000-0000151E0000}"/>
    <cellStyle name="_IBFSL_Conso_May_08_09 _ISL_conso_November_09_10_ISL__3CD_FY2010-11" xfId="7702" xr:uid="{00000000-0005-0000-0000-0000161E0000}"/>
    <cellStyle name="_IBFSL_Conso_May_08_09 _ISL_conso_November_10_11" xfId="7703" xr:uid="{00000000-0005-0000-0000-0000171E0000}"/>
    <cellStyle name="_IBFSL_Conso_May_08_09 _ISL_conso_November_10_11 2" xfId="7704" xr:uid="{00000000-0005-0000-0000-0000181E0000}"/>
    <cellStyle name="_IBFSL_Conso_May_08_09 _ISL_conso_October_09_10" xfId="7705" xr:uid="{00000000-0005-0000-0000-0000191E0000}"/>
    <cellStyle name="_IBFSL_Conso_May_08_09 _ISL_conso_October_09_10 2" xfId="7706" xr:uid="{00000000-0005-0000-0000-00001A1E0000}"/>
    <cellStyle name="_IBFSL_Conso_May_08_09 _ISL_conso_October_09_10_ISL__3CD_FY2010-11" xfId="7707" xr:uid="{00000000-0005-0000-0000-00001B1E0000}"/>
    <cellStyle name="_IBFSL_Conso_May_08_09 _ISL_conso_October_10_11" xfId="7708" xr:uid="{00000000-0005-0000-0000-00001C1E0000}"/>
    <cellStyle name="_IBFSL_Conso_May_08_09 _ISL_conso_October_10_11 2" xfId="7709" xr:uid="{00000000-0005-0000-0000-00001D1E0000}"/>
    <cellStyle name="_IBFSL_Conso_May_08_09 _ISL_conso_September_08_09" xfId="7710" xr:uid="{00000000-0005-0000-0000-00001E1E0000}"/>
    <cellStyle name="_IBFSL_Conso_May_08_09 _ISL_conso_September_08_09 2" xfId="7711" xr:uid="{00000000-0005-0000-0000-00001F1E0000}"/>
    <cellStyle name="_IBFSL_Conso_May_08_09 _ISL_conso_September_08_09_ISL__3CD_FY2010-11" xfId="7712" xr:uid="{00000000-0005-0000-0000-0000201E0000}"/>
    <cellStyle name="_IBFSL_Conso_May_08_09 _ISL_conso_September_08_09_Results" xfId="7713" xr:uid="{00000000-0005-0000-0000-0000211E0000}"/>
    <cellStyle name="_IBFSL_Conso_May_08_09 _ISL_conso_September_08_09_Results 2" xfId="7714" xr:uid="{00000000-0005-0000-0000-0000221E0000}"/>
    <cellStyle name="_IBFSL_Conso_May_08_09 _ISL_conso_September_08_09_Xl0000012" xfId="7715" xr:uid="{00000000-0005-0000-0000-0000231E0000}"/>
    <cellStyle name="_IBFSL_Conso_May_08_09 _ISL_conso_September_08_09_Xl0000012 2" xfId="7716" xr:uid="{00000000-0005-0000-0000-0000241E0000}"/>
    <cellStyle name="_IBFSL_Conso_May_08_09 _ISL_conso_September_09_10" xfId="7717" xr:uid="{00000000-0005-0000-0000-0000251E0000}"/>
    <cellStyle name="_IBFSL_Conso_May_08_09 _ISL_conso_September_09_10 2" xfId="7718" xr:uid="{00000000-0005-0000-0000-0000261E0000}"/>
    <cellStyle name="_IBFSL_Conso_May_08_09 _ISL_conso_September_09_10_ISL__3CD_FY2010-11" xfId="7719" xr:uid="{00000000-0005-0000-0000-0000271E0000}"/>
    <cellStyle name="_IBFSL_Conso_May_08_09 _ISL_conso_September_10_11" xfId="7720" xr:uid="{00000000-0005-0000-0000-0000281E0000}"/>
    <cellStyle name="_IBFSL_Conso_May_08_09 _ISL_conso_September_10_11 2" xfId="7721" xr:uid="{00000000-0005-0000-0000-0000291E0000}"/>
    <cellStyle name="_IBFSL_Conso_May_08_09 _ISL_June_10" xfId="7722" xr:uid="{00000000-0005-0000-0000-00002A1E0000}"/>
    <cellStyle name="_IBFSL_Conso_May_08_09 _ISL_June_10 2" xfId="7723" xr:uid="{00000000-0005-0000-0000-00002B1E0000}"/>
    <cellStyle name="_IBFSL_Conso_May_08_09 _ITR6_2009_10_ISL_Vivek" xfId="7724" xr:uid="{00000000-0005-0000-0000-00002C1E0000}"/>
    <cellStyle name="_IBFSL_Conso_May_08_09 _ITR6_2009_10_ISL_Vivek_ISL__3CD_FY2010-11" xfId="7725" xr:uid="{00000000-0005-0000-0000-00002D1E0000}"/>
    <cellStyle name="_IBFSL_Conso_May_08_09 _Provision for Exp - FY 0809" xfId="7726" xr:uid="{00000000-0005-0000-0000-00002E1E0000}"/>
    <cellStyle name="_IBFSL_Conso_May_08_09 _Provision for Exp - FY 0809_ISL__3CD_FY2010-11" xfId="7727" xr:uid="{00000000-0005-0000-0000-00002F1E0000}"/>
    <cellStyle name="_IBFSL_Conso_May_08_09 _Result" xfId="7728" xr:uid="{00000000-0005-0000-0000-0000301E0000}"/>
    <cellStyle name="_IBFSL_Conso_May_08_09 _Result 2" xfId="7729" xr:uid="{00000000-0005-0000-0000-0000311E0000}"/>
    <cellStyle name="_IBFSL_Conso_May_08_09 _Results" xfId="7730" xr:uid="{00000000-0005-0000-0000-0000321E0000}"/>
    <cellStyle name="_IBFSL_Conso_May_08_09 _Results 2" xfId="7731" xr:uid="{00000000-0005-0000-0000-0000331E0000}"/>
    <cellStyle name="_IBFSL_Conso_May_08_09 _Xl0000012" xfId="7732" xr:uid="{00000000-0005-0000-0000-0000341E0000}"/>
    <cellStyle name="_IBFSL_Conso_May_08_09 _Xl0000012 2" xfId="7733" xr:uid="{00000000-0005-0000-0000-0000351E0000}"/>
    <cellStyle name="_IBFSL_Conso_September_08_09 " xfId="7734" xr:uid="{00000000-0005-0000-0000-0000361E0000}"/>
    <cellStyle name="_IBFSL_Conso_September_08_09  10" xfId="7735" xr:uid="{00000000-0005-0000-0000-0000371E0000}"/>
    <cellStyle name="_IBFSL_Conso_September_08_09  10 2" xfId="7736" xr:uid="{00000000-0005-0000-0000-0000381E0000}"/>
    <cellStyle name="_IBFSL_Conso_September_08_09  11" xfId="7737" xr:uid="{00000000-0005-0000-0000-0000391E0000}"/>
    <cellStyle name="_IBFSL_Conso_September_08_09  11 2" xfId="7738" xr:uid="{00000000-0005-0000-0000-00003A1E0000}"/>
    <cellStyle name="_IBFSL_Conso_September_08_09  12" xfId="7739" xr:uid="{00000000-0005-0000-0000-00003B1E0000}"/>
    <cellStyle name="_IBFSL_Conso_September_08_09  12 2" xfId="7740" xr:uid="{00000000-0005-0000-0000-00003C1E0000}"/>
    <cellStyle name="_IBFSL_Conso_September_08_09  13" xfId="7741" xr:uid="{00000000-0005-0000-0000-00003D1E0000}"/>
    <cellStyle name="_IBFSL_Conso_September_08_09  13 2" xfId="7742" xr:uid="{00000000-0005-0000-0000-00003E1E0000}"/>
    <cellStyle name="_IBFSL_Conso_September_08_09  14" xfId="7743" xr:uid="{00000000-0005-0000-0000-00003F1E0000}"/>
    <cellStyle name="_IBFSL_Conso_September_08_09  14 2" xfId="7744" xr:uid="{00000000-0005-0000-0000-0000401E0000}"/>
    <cellStyle name="_IBFSL_Conso_September_08_09  15" xfId="7745" xr:uid="{00000000-0005-0000-0000-0000411E0000}"/>
    <cellStyle name="_IBFSL_Conso_September_08_09  15 2" xfId="7746" xr:uid="{00000000-0005-0000-0000-0000421E0000}"/>
    <cellStyle name="_IBFSL_Conso_September_08_09  16" xfId="7747" xr:uid="{00000000-0005-0000-0000-0000431E0000}"/>
    <cellStyle name="_IBFSL_Conso_September_08_09  16 2" xfId="7748" xr:uid="{00000000-0005-0000-0000-0000441E0000}"/>
    <cellStyle name="_IBFSL_Conso_September_08_09  17" xfId="7749" xr:uid="{00000000-0005-0000-0000-0000451E0000}"/>
    <cellStyle name="_IBFSL_Conso_September_08_09  17 2" xfId="7750" xr:uid="{00000000-0005-0000-0000-0000461E0000}"/>
    <cellStyle name="_IBFSL_Conso_September_08_09  18" xfId="7751" xr:uid="{00000000-0005-0000-0000-0000471E0000}"/>
    <cellStyle name="_IBFSL_Conso_September_08_09  18 2" xfId="7752" xr:uid="{00000000-0005-0000-0000-0000481E0000}"/>
    <cellStyle name="_IBFSL_Conso_September_08_09  19" xfId="7753" xr:uid="{00000000-0005-0000-0000-0000491E0000}"/>
    <cellStyle name="_IBFSL_Conso_September_08_09  19 2" xfId="7754" xr:uid="{00000000-0005-0000-0000-00004A1E0000}"/>
    <cellStyle name="_IBFSL_Conso_September_08_09  2" xfId="7755" xr:uid="{00000000-0005-0000-0000-00004B1E0000}"/>
    <cellStyle name="_IBFSL_Conso_September_08_09  2 2" xfId="7756" xr:uid="{00000000-0005-0000-0000-00004C1E0000}"/>
    <cellStyle name="_IBFSL_Conso_September_08_09  20" xfId="7757" xr:uid="{00000000-0005-0000-0000-00004D1E0000}"/>
    <cellStyle name="_IBFSL_Conso_September_08_09  21" xfId="7758" xr:uid="{00000000-0005-0000-0000-00004E1E0000}"/>
    <cellStyle name="_IBFSL_Conso_September_08_09  22" xfId="7759" xr:uid="{00000000-0005-0000-0000-00004F1E0000}"/>
    <cellStyle name="_IBFSL_Conso_September_08_09  23" xfId="7760" xr:uid="{00000000-0005-0000-0000-0000501E0000}"/>
    <cellStyle name="_IBFSL_Conso_September_08_09  3" xfId="7761" xr:uid="{00000000-0005-0000-0000-0000511E0000}"/>
    <cellStyle name="_IBFSL_Conso_September_08_09  3 2" xfId="7762" xr:uid="{00000000-0005-0000-0000-0000521E0000}"/>
    <cellStyle name="_IBFSL_Conso_September_08_09  4" xfId="7763" xr:uid="{00000000-0005-0000-0000-0000531E0000}"/>
    <cellStyle name="_IBFSL_Conso_September_08_09  4 2" xfId="7764" xr:uid="{00000000-0005-0000-0000-0000541E0000}"/>
    <cellStyle name="_IBFSL_Conso_September_08_09  5" xfId="7765" xr:uid="{00000000-0005-0000-0000-0000551E0000}"/>
    <cellStyle name="_IBFSL_Conso_September_08_09  5 2" xfId="7766" xr:uid="{00000000-0005-0000-0000-0000561E0000}"/>
    <cellStyle name="_IBFSL_Conso_September_08_09  6" xfId="7767" xr:uid="{00000000-0005-0000-0000-0000571E0000}"/>
    <cellStyle name="_IBFSL_Conso_September_08_09  6 2" xfId="7768" xr:uid="{00000000-0005-0000-0000-0000581E0000}"/>
    <cellStyle name="_IBFSL_Conso_September_08_09  7" xfId="7769" xr:uid="{00000000-0005-0000-0000-0000591E0000}"/>
    <cellStyle name="_IBFSL_Conso_September_08_09  7 2" xfId="7770" xr:uid="{00000000-0005-0000-0000-00005A1E0000}"/>
    <cellStyle name="_IBFSL_Conso_September_08_09  8" xfId="7771" xr:uid="{00000000-0005-0000-0000-00005B1E0000}"/>
    <cellStyle name="_IBFSL_Conso_September_08_09  8 2" xfId="7772" xr:uid="{00000000-0005-0000-0000-00005C1E0000}"/>
    <cellStyle name="_IBFSL_Conso_September_08_09  9" xfId="7773" xr:uid="{00000000-0005-0000-0000-00005D1E0000}"/>
    <cellStyle name="_IBFSL_Conso_September_08_09  9 2" xfId="7774" xr:uid="{00000000-0005-0000-0000-00005E1E0000}"/>
    <cellStyle name="_IBFSL_Conso_September_08_09 _Book1" xfId="7775" xr:uid="{00000000-0005-0000-0000-00005F1E0000}"/>
    <cellStyle name="_IBFSL_Conso_September_08_09 _Book1 (2)" xfId="7776" xr:uid="{00000000-0005-0000-0000-0000601E0000}"/>
    <cellStyle name="_IBFSL_Conso_September_08_09 _Book1 (2) 2" xfId="7777" xr:uid="{00000000-0005-0000-0000-0000611E0000}"/>
    <cellStyle name="_IBFSL_Conso_September_08_09 _Book1 10" xfId="7778" xr:uid="{00000000-0005-0000-0000-0000621E0000}"/>
    <cellStyle name="_IBFSL_Conso_September_08_09 _Book1 11" xfId="7779" xr:uid="{00000000-0005-0000-0000-0000631E0000}"/>
    <cellStyle name="_IBFSL_Conso_September_08_09 _Book1 2" xfId="7780" xr:uid="{00000000-0005-0000-0000-0000641E0000}"/>
    <cellStyle name="_IBFSL_Conso_September_08_09 _Book1 3" xfId="7781" xr:uid="{00000000-0005-0000-0000-0000651E0000}"/>
    <cellStyle name="_IBFSL_Conso_September_08_09 _Book1 4" xfId="7782" xr:uid="{00000000-0005-0000-0000-0000661E0000}"/>
    <cellStyle name="_IBFSL_Conso_September_08_09 _Book1 5" xfId="7783" xr:uid="{00000000-0005-0000-0000-0000671E0000}"/>
    <cellStyle name="_IBFSL_Conso_September_08_09 _Book1 6" xfId="7784" xr:uid="{00000000-0005-0000-0000-0000681E0000}"/>
    <cellStyle name="_IBFSL_Conso_September_08_09 _Book1 7" xfId="7785" xr:uid="{00000000-0005-0000-0000-0000691E0000}"/>
    <cellStyle name="_IBFSL_Conso_September_08_09 _Book1 8" xfId="7786" xr:uid="{00000000-0005-0000-0000-00006A1E0000}"/>
    <cellStyle name="_IBFSL_Conso_September_08_09 _Book1 9" xfId="7787" xr:uid="{00000000-0005-0000-0000-00006B1E0000}"/>
    <cellStyle name="_IBFSL_Conso_September_08_09 _Book1_ISL__3CD_FY2010-11" xfId="7788" xr:uid="{00000000-0005-0000-0000-00006C1E0000}"/>
    <cellStyle name="_IBFSL_Conso_September_08_09 _Book2" xfId="7789" xr:uid="{00000000-0005-0000-0000-00006D1E0000}"/>
    <cellStyle name="_IBFSL_Conso_September_08_09 _Book2 2" xfId="7790" xr:uid="{00000000-0005-0000-0000-00006E1E0000}"/>
    <cellStyle name="_IBFSL_Conso_September_08_09 _Book2_ISL__3CD_FY2010-11" xfId="7791" xr:uid="{00000000-0005-0000-0000-00006F1E0000}"/>
    <cellStyle name="_IBFSL_Conso_September_08_09 _Book4" xfId="7792" xr:uid="{00000000-0005-0000-0000-0000701E0000}"/>
    <cellStyle name="_IBFSL_Conso_September_08_09 _Book4 2" xfId="7793" xr:uid="{00000000-0005-0000-0000-0000711E0000}"/>
    <cellStyle name="_IBFSL_Conso_September_08_09 _Book4_ISL__3CD_FY2010-11" xfId="7794" xr:uid="{00000000-0005-0000-0000-0000721E0000}"/>
    <cellStyle name="_IBFSL_Conso_September_08_09 _ISL June 09" xfId="7795" xr:uid="{00000000-0005-0000-0000-0000731E0000}"/>
    <cellStyle name="_IBFSL_Conso_September_08_09 _ISL June 09 2" xfId="7796" xr:uid="{00000000-0005-0000-0000-0000741E0000}"/>
    <cellStyle name="_IBFSL_Conso_September_08_09 _ISL June 09_ISL__3CD_FY2010-11" xfId="7797" xr:uid="{00000000-0005-0000-0000-0000751E0000}"/>
    <cellStyle name="_IBFSL_Conso_September_08_09 _ISL Rev" xfId="7798" xr:uid="{00000000-0005-0000-0000-0000761E0000}"/>
    <cellStyle name="_IBFSL_Conso_September_08_09 _ISL Rev 2" xfId="7799" xr:uid="{00000000-0005-0000-0000-0000771E0000}"/>
    <cellStyle name="_IBFSL_Conso_September_08_09 _ISL Rev_ISL__3CD_FY2010-11" xfId="7800" xr:uid="{00000000-0005-0000-0000-0000781E0000}"/>
    <cellStyle name="_IBFSL_Conso_September_08_09 _ISL Rev_Results" xfId="7801" xr:uid="{00000000-0005-0000-0000-0000791E0000}"/>
    <cellStyle name="_IBFSL_Conso_September_08_09 _ISL Rev_Results 2" xfId="7802" xr:uid="{00000000-0005-0000-0000-00007A1E0000}"/>
    <cellStyle name="_IBFSL_Conso_September_08_09 _ISL Rev_Xl0000012" xfId="7803" xr:uid="{00000000-0005-0000-0000-00007B1E0000}"/>
    <cellStyle name="_IBFSL_Conso_September_08_09 _ISL Rev_Xl0000012 2" xfId="7804" xr:uid="{00000000-0005-0000-0000-00007C1E0000}"/>
    <cellStyle name="_IBFSL_Conso_September_08_09 _ISL__3CD_FY2010-11" xfId="7805" xr:uid="{00000000-0005-0000-0000-00007D1E0000}"/>
    <cellStyle name="_IBFSL_Conso_September_08_09 _ISL_BS_03.03.2009" xfId="7806" xr:uid="{00000000-0005-0000-0000-00007E1E0000}"/>
    <cellStyle name="_IBFSL_Conso_September_08_09 _ISL_BS_03.03.2009 2" xfId="7807" xr:uid="{00000000-0005-0000-0000-00007F1E0000}"/>
    <cellStyle name="_IBFSL_Conso_September_08_09 _ISL_BS_03.03.2009_ISL__3CD_FY2010-11" xfId="7808" xr:uid="{00000000-0005-0000-0000-0000801E0000}"/>
    <cellStyle name="_IBFSL_Conso_September_08_09 _ISL_BS_08.03.2009" xfId="7809" xr:uid="{00000000-0005-0000-0000-0000811E0000}"/>
    <cellStyle name="_IBFSL_Conso_September_08_09 _ISL_BS_08.03.2009 2" xfId="7810" xr:uid="{00000000-0005-0000-0000-0000821E0000}"/>
    <cellStyle name="_IBFSL_Conso_September_08_09 _ISL_BS_08.03.2009_ISL__3CD_FY2010-11" xfId="7811" xr:uid="{00000000-0005-0000-0000-0000831E0000}"/>
    <cellStyle name="_IBFSL_Conso_September_08_09 _ISL_BS_15.03.2009" xfId="7812" xr:uid="{00000000-0005-0000-0000-0000841E0000}"/>
    <cellStyle name="_IBFSL_Conso_September_08_09 _ISL_BS_15.03.2009 2" xfId="7813" xr:uid="{00000000-0005-0000-0000-0000851E0000}"/>
    <cellStyle name="_IBFSL_Conso_September_08_09 _ISL_BS_15.03.2009_ISL__3CD_FY2010-11" xfId="7814" xr:uid="{00000000-0005-0000-0000-0000861E0000}"/>
    <cellStyle name="_IBFSL_Conso_September_08_09 _ISL_BS_2008-09- First Cut" xfId="7815" xr:uid="{00000000-0005-0000-0000-0000871E0000}"/>
    <cellStyle name="_IBFSL_Conso_September_08_09 _ISL_BS_2008-09- First Cut 2" xfId="7816" xr:uid="{00000000-0005-0000-0000-0000881E0000}"/>
    <cellStyle name="_IBFSL_Conso_September_08_09 _ISL_BS_2008-09- First Cut_ISL__3CD_FY2010-11" xfId="7817" xr:uid="{00000000-0005-0000-0000-0000891E0000}"/>
    <cellStyle name="_IBFSL_Conso_September_08_09 _ISL_BS_21.09.2009" xfId="7818" xr:uid="{00000000-0005-0000-0000-00008A1E0000}"/>
    <cellStyle name="_IBFSL_Conso_September_08_09 _ISL_BS_21.09.2009 2" xfId="7819" xr:uid="{00000000-0005-0000-0000-00008B1E0000}"/>
    <cellStyle name="_IBFSL_Conso_September_08_09 _ISL_BS_23.02.2009" xfId="7820" xr:uid="{00000000-0005-0000-0000-00008C1E0000}"/>
    <cellStyle name="_IBFSL_Conso_September_08_09 _ISL_BS_23.02.2009 2" xfId="7821" xr:uid="{00000000-0005-0000-0000-00008D1E0000}"/>
    <cellStyle name="_IBFSL_Conso_September_08_09 _ISL_BS_23.02.2009_ISL__3CD_FY2010-11" xfId="7822" xr:uid="{00000000-0005-0000-0000-00008E1E0000}"/>
    <cellStyle name="_IBFSL_Conso_September_08_09 _ISL_BS_24.02.2009" xfId="7823" xr:uid="{00000000-0005-0000-0000-00008F1E0000}"/>
    <cellStyle name="_IBFSL_Conso_September_08_09 _ISL_BS_24.02.2009 2" xfId="7824" xr:uid="{00000000-0005-0000-0000-0000901E0000}"/>
    <cellStyle name="_IBFSL_Conso_September_08_09 _ISL_BS_24.02.2009_ISL__3CD_FY2010-11" xfId="7825" xr:uid="{00000000-0005-0000-0000-0000911E0000}"/>
    <cellStyle name="_IBFSL_Conso_September_08_09 _ISL_BS_Aug 09" xfId="7826" xr:uid="{00000000-0005-0000-0000-0000921E0000}"/>
    <cellStyle name="_IBFSL_Conso_September_08_09 _ISL_BS_Aug 09 2" xfId="7827" xr:uid="{00000000-0005-0000-0000-0000931E0000}"/>
    <cellStyle name="_IBFSL_Conso_September_08_09 _ISL_BS_Aug 09.z" xfId="7828" xr:uid="{00000000-0005-0000-0000-0000941E0000}"/>
    <cellStyle name="_IBFSL_Conso_September_08_09 _ISL_BS_Aug 09.z 2" xfId="7829" xr:uid="{00000000-0005-0000-0000-0000951E0000}"/>
    <cellStyle name="_IBFSL_Conso_September_08_09 _ISL_BS_Aug 09.z_ISL__3CD_FY2010-11" xfId="7830" xr:uid="{00000000-0005-0000-0000-0000961E0000}"/>
    <cellStyle name="_IBFSL_Conso_September_08_09 _ISL_BS_Aug 09_ISL__3CD_FY2010-11" xfId="7831" xr:uid="{00000000-0005-0000-0000-0000971E0000}"/>
    <cellStyle name="_IBFSL_Conso_September_08_09 _ISL_Conso_09_10_Other working" xfId="7832" xr:uid="{00000000-0005-0000-0000-0000981E0000}"/>
    <cellStyle name="_IBFSL_Conso_September_08_09 _ISL_Conso_09_10_Other working 2" xfId="7833" xr:uid="{00000000-0005-0000-0000-0000991E0000}"/>
    <cellStyle name="_IBFSL_Conso_September_08_09 _ISL_conso_August_09_10" xfId="7834" xr:uid="{00000000-0005-0000-0000-00009A1E0000}"/>
    <cellStyle name="_IBFSL_Conso_September_08_09 _ISL_conso_August_09_10 2" xfId="7835" xr:uid="{00000000-0005-0000-0000-00009B1E0000}"/>
    <cellStyle name="_IBFSL_Conso_September_08_09 _ISL_conso_August_09_10_ISL__3CD_FY2010-11" xfId="7836" xr:uid="{00000000-0005-0000-0000-00009C1E0000}"/>
    <cellStyle name="_IBFSL_Conso_September_08_09 _ISL_conso_August_10_11" xfId="7837" xr:uid="{00000000-0005-0000-0000-00009D1E0000}"/>
    <cellStyle name="_IBFSL_Conso_September_08_09 _ISL_conso_August_10_11 2" xfId="7838" xr:uid="{00000000-0005-0000-0000-00009E1E0000}"/>
    <cellStyle name="_IBFSL_Conso_September_08_09 _ISL_conso_December_08_09" xfId="7839" xr:uid="{00000000-0005-0000-0000-00009F1E0000}"/>
    <cellStyle name="_IBFSL_Conso_September_08_09 _ISL_conso_December_08_09 2" xfId="7840" xr:uid="{00000000-0005-0000-0000-0000A01E0000}"/>
    <cellStyle name="_IBFSL_Conso_September_08_09 _ISL_conso_December_08_09_ISL__3CD_FY2010-11" xfId="7841" xr:uid="{00000000-0005-0000-0000-0000A11E0000}"/>
    <cellStyle name="_IBFSL_Conso_September_08_09 _ISL_conso_December_08_09_Results" xfId="7842" xr:uid="{00000000-0005-0000-0000-0000A21E0000}"/>
    <cellStyle name="_IBFSL_Conso_September_08_09 _ISL_conso_December_08_09_Results 2" xfId="7843" xr:uid="{00000000-0005-0000-0000-0000A31E0000}"/>
    <cellStyle name="_IBFSL_Conso_September_08_09 _ISL_conso_December_08_09_Xl0000012" xfId="7844" xr:uid="{00000000-0005-0000-0000-0000A41E0000}"/>
    <cellStyle name="_IBFSL_Conso_September_08_09 _ISL_conso_December_08_09_Xl0000012 2" xfId="7845" xr:uid="{00000000-0005-0000-0000-0000A51E0000}"/>
    <cellStyle name="_IBFSL_Conso_September_08_09 _ISL_conso_December_09_10" xfId="7846" xr:uid="{00000000-0005-0000-0000-0000A61E0000}"/>
    <cellStyle name="_IBFSL_Conso_September_08_09 _ISL_conso_December_09_10 2" xfId="7847" xr:uid="{00000000-0005-0000-0000-0000A71E0000}"/>
    <cellStyle name="_IBFSL_Conso_September_08_09 _ISL_conso_December_09_10_ISL__3CD_FY2010-11" xfId="7848" xr:uid="{00000000-0005-0000-0000-0000A81E0000}"/>
    <cellStyle name="_IBFSL_Conso_September_08_09 _ISL_conso_December_10_11" xfId="7849" xr:uid="{00000000-0005-0000-0000-0000A91E0000}"/>
    <cellStyle name="_IBFSL_Conso_September_08_09 _ISL_conso_December_10_11 2" xfId="7850" xr:uid="{00000000-0005-0000-0000-0000AA1E0000}"/>
    <cellStyle name="_IBFSL_Conso_September_08_09 _ISL_conso_February_09_10" xfId="7851" xr:uid="{00000000-0005-0000-0000-0000AB1E0000}"/>
    <cellStyle name="_IBFSL_Conso_September_08_09 _ISL_conso_February_09_10 2" xfId="7852" xr:uid="{00000000-0005-0000-0000-0000AC1E0000}"/>
    <cellStyle name="_IBFSL_Conso_September_08_09 _ISL_conso_January_09_10" xfId="7853" xr:uid="{00000000-0005-0000-0000-0000AD1E0000}"/>
    <cellStyle name="_IBFSL_Conso_September_08_09 _ISL_conso_January_09_10 2" xfId="7854" xr:uid="{00000000-0005-0000-0000-0000AE1E0000}"/>
    <cellStyle name="_IBFSL_Conso_September_08_09 _ISL_conso_July_09_10" xfId="7855" xr:uid="{00000000-0005-0000-0000-0000AF1E0000}"/>
    <cellStyle name="_IBFSL_Conso_September_08_09 _ISL_conso_July_09_10 2" xfId="7856" xr:uid="{00000000-0005-0000-0000-0000B01E0000}"/>
    <cellStyle name="_IBFSL_Conso_September_08_09 _ISL_conso_July_09_10_ISL__3CD_FY2010-11" xfId="7857" xr:uid="{00000000-0005-0000-0000-0000B11E0000}"/>
    <cellStyle name="_IBFSL_Conso_September_08_09 _ISL_conso_July_10_11" xfId="7858" xr:uid="{00000000-0005-0000-0000-0000B21E0000}"/>
    <cellStyle name="_IBFSL_Conso_September_08_09 _ISL_conso_July_10_11 2" xfId="7859" xr:uid="{00000000-0005-0000-0000-0000B31E0000}"/>
    <cellStyle name="_IBFSL_Conso_September_08_09 _ISL_conso_June_09_10" xfId="7860" xr:uid="{00000000-0005-0000-0000-0000B41E0000}"/>
    <cellStyle name="_IBFSL_Conso_September_08_09 _ISL_conso_June_09_10 2" xfId="7861" xr:uid="{00000000-0005-0000-0000-0000B51E0000}"/>
    <cellStyle name="_IBFSL_Conso_September_08_09 _ISL_conso_June_09_10_ISL__3CD_FY2010-11" xfId="7862" xr:uid="{00000000-0005-0000-0000-0000B61E0000}"/>
    <cellStyle name="_IBFSL_Conso_September_08_09 _ISL_conso_June_10_11" xfId="7863" xr:uid="{00000000-0005-0000-0000-0000B71E0000}"/>
    <cellStyle name="_IBFSL_Conso_September_08_09 _ISL_conso_June_10_11 2" xfId="7864" xr:uid="{00000000-0005-0000-0000-0000B81E0000}"/>
    <cellStyle name="_IBFSL_Conso_September_08_09 _ISL_conso_March_08_09" xfId="7865" xr:uid="{00000000-0005-0000-0000-0000B91E0000}"/>
    <cellStyle name="_IBFSL_Conso_September_08_09 _ISL_conso_March_08_09 2" xfId="7866" xr:uid="{00000000-0005-0000-0000-0000BA1E0000}"/>
    <cellStyle name="_IBFSL_Conso_September_08_09 _ISL_conso_March_08_09_ISL__3CD_FY2010-11" xfId="7867" xr:uid="{00000000-0005-0000-0000-0000BB1E0000}"/>
    <cellStyle name="_IBFSL_Conso_September_08_09 _ISL_conso_March_09_10" xfId="7868" xr:uid="{00000000-0005-0000-0000-0000BC1E0000}"/>
    <cellStyle name="_IBFSL_Conso_September_08_09 _ISL_conso_March_09_10 2" xfId="7869" xr:uid="{00000000-0005-0000-0000-0000BD1E0000}"/>
    <cellStyle name="_IBFSL_Conso_September_08_09 _ISL_conso_May_09_10" xfId="7870" xr:uid="{00000000-0005-0000-0000-0000BE1E0000}"/>
    <cellStyle name="_IBFSL_Conso_September_08_09 _ISL_conso_May_09_10 2" xfId="7871" xr:uid="{00000000-0005-0000-0000-0000BF1E0000}"/>
    <cellStyle name="_IBFSL_Conso_September_08_09 _ISL_conso_May_09_10_ISL__3CD_FY2010-11" xfId="7872" xr:uid="{00000000-0005-0000-0000-0000C01E0000}"/>
    <cellStyle name="_IBFSL_Conso_September_08_09 _ISL_conso_May_10_11" xfId="7873" xr:uid="{00000000-0005-0000-0000-0000C11E0000}"/>
    <cellStyle name="_IBFSL_Conso_September_08_09 _ISL_conso_May_10_11 2" xfId="7874" xr:uid="{00000000-0005-0000-0000-0000C21E0000}"/>
    <cellStyle name="_IBFSL_Conso_September_08_09 _ISL_conso_November_09_10" xfId="7875" xr:uid="{00000000-0005-0000-0000-0000C31E0000}"/>
    <cellStyle name="_IBFSL_Conso_September_08_09 _ISL_conso_November_09_10 2" xfId="7876" xr:uid="{00000000-0005-0000-0000-0000C41E0000}"/>
    <cellStyle name="_IBFSL_Conso_September_08_09 _ISL_conso_November_09_10_ISL__3CD_FY2010-11" xfId="7877" xr:uid="{00000000-0005-0000-0000-0000C51E0000}"/>
    <cellStyle name="_IBFSL_Conso_September_08_09 _ISL_conso_November_10_11" xfId="7878" xr:uid="{00000000-0005-0000-0000-0000C61E0000}"/>
    <cellStyle name="_IBFSL_Conso_September_08_09 _ISL_conso_November_10_11 2" xfId="7879" xr:uid="{00000000-0005-0000-0000-0000C71E0000}"/>
    <cellStyle name="_IBFSL_Conso_September_08_09 _ISL_conso_October_09_10" xfId="7880" xr:uid="{00000000-0005-0000-0000-0000C81E0000}"/>
    <cellStyle name="_IBFSL_Conso_September_08_09 _ISL_conso_October_09_10 2" xfId="7881" xr:uid="{00000000-0005-0000-0000-0000C91E0000}"/>
    <cellStyle name="_IBFSL_Conso_September_08_09 _ISL_conso_October_09_10_ISL__3CD_FY2010-11" xfId="7882" xr:uid="{00000000-0005-0000-0000-0000CA1E0000}"/>
    <cellStyle name="_IBFSL_Conso_September_08_09 _ISL_conso_October_10_11" xfId="7883" xr:uid="{00000000-0005-0000-0000-0000CB1E0000}"/>
    <cellStyle name="_IBFSL_Conso_September_08_09 _ISL_conso_October_10_11 2" xfId="7884" xr:uid="{00000000-0005-0000-0000-0000CC1E0000}"/>
    <cellStyle name="_IBFSL_Conso_September_08_09 _ISL_conso_September_08_09" xfId="7885" xr:uid="{00000000-0005-0000-0000-0000CD1E0000}"/>
    <cellStyle name="_IBFSL_Conso_September_08_09 _ISL_conso_September_08_09 2" xfId="7886" xr:uid="{00000000-0005-0000-0000-0000CE1E0000}"/>
    <cellStyle name="_IBFSL_Conso_September_08_09 _ISL_conso_September_08_09 2 2" xfId="7887" xr:uid="{00000000-0005-0000-0000-0000CF1E0000}"/>
    <cellStyle name="_IBFSL_Conso_September_08_09 _ISL_conso_September_08_09 3" xfId="7888" xr:uid="{00000000-0005-0000-0000-0000D01E0000}"/>
    <cellStyle name="_IBFSL_Conso_September_08_09 _ISL_conso_September_08_09_ISL__3CD_FY2010-11" xfId="7889" xr:uid="{00000000-0005-0000-0000-0000D11E0000}"/>
    <cellStyle name="_IBFSL_Conso_September_08_09 _ISL_conso_September_08_09_Results" xfId="7890" xr:uid="{00000000-0005-0000-0000-0000D21E0000}"/>
    <cellStyle name="_IBFSL_Conso_September_08_09 _ISL_conso_September_08_09_Results 2" xfId="7891" xr:uid="{00000000-0005-0000-0000-0000D31E0000}"/>
    <cellStyle name="_IBFSL_Conso_September_08_09 _ISL_conso_September_08_09_Xl0000012" xfId="7892" xr:uid="{00000000-0005-0000-0000-0000D41E0000}"/>
    <cellStyle name="_IBFSL_Conso_September_08_09 _ISL_conso_September_08_09_Xl0000012 2" xfId="7893" xr:uid="{00000000-0005-0000-0000-0000D51E0000}"/>
    <cellStyle name="_IBFSL_Conso_September_08_09 _ISL_conso_September_09_10" xfId="7894" xr:uid="{00000000-0005-0000-0000-0000D61E0000}"/>
    <cellStyle name="_IBFSL_Conso_September_08_09 _ISL_conso_September_09_10 2" xfId="7895" xr:uid="{00000000-0005-0000-0000-0000D71E0000}"/>
    <cellStyle name="_IBFSL_Conso_September_08_09 _ISL_conso_September_09_10_ISL__3CD_FY2010-11" xfId="7896" xr:uid="{00000000-0005-0000-0000-0000D81E0000}"/>
    <cellStyle name="_IBFSL_Conso_September_08_09 _ISL_conso_September_10_11" xfId="7897" xr:uid="{00000000-0005-0000-0000-0000D91E0000}"/>
    <cellStyle name="_IBFSL_Conso_September_08_09 _ISL_conso_September_10_11 2" xfId="7898" xr:uid="{00000000-0005-0000-0000-0000DA1E0000}"/>
    <cellStyle name="_IBFSL_Conso_September_08_09 _ISL_June_10" xfId="7899" xr:uid="{00000000-0005-0000-0000-0000DB1E0000}"/>
    <cellStyle name="_IBFSL_Conso_September_08_09 _ISL_June_10 2" xfId="7900" xr:uid="{00000000-0005-0000-0000-0000DC1E0000}"/>
    <cellStyle name="_IBFSL_Conso_September_08_09 _ITR6_2009_10_ISL_Vivek" xfId="7901" xr:uid="{00000000-0005-0000-0000-0000DD1E0000}"/>
    <cellStyle name="_IBFSL_Conso_September_08_09 _ITR6_2009_10_ISL_Vivek_ISL__3CD_FY2010-11" xfId="7902" xr:uid="{00000000-0005-0000-0000-0000DE1E0000}"/>
    <cellStyle name="_IBFSL_Conso_September_08_09 _Provision for Exp - FY 0809" xfId="7903" xr:uid="{00000000-0005-0000-0000-0000DF1E0000}"/>
    <cellStyle name="_IBFSL_Conso_September_08_09 _Provision for Exp - FY 0809_ISL__3CD_FY2010-11" xfId="7904" xr:uid="{00000000-0005-0000-0000-0000E01E0000}"/>
    <cellStyle name="_IBFSL_Conso_September_08_09 _Result" xfId="7905" xr:uid="{00000000-0005-0000-0000-0000E11E0000}"/>
    <cellStyle name="_IBFSL_Conso_September_08_09 _Result 2" xfId="7906" xr:uid="{00000000-0005-0000-0000-0000E21E0000}"/>
    <cellStyle name="_IBFSL_Conso_September_08_09 _Results" xfId="7907" xr:uid="{00000000-0005-0000-0000-0000E31E0000}"/>
    <cellStyle name="_IBFSL_Conso_September_08_09 _Results 2" xfId="7908" xr:uid="{00000000-0005-0000-0000-0000E41E0000}"/>
    <cellStyle name="_IBFSL_Conso_September_08_09 _Xl0000012" xfId="7909" xr:uid="{00000000-0005-0000-0000-0000E51E0000}"/>
    <cellStyle name="_IBFSL_Conso_September_08_09 _Xl0000012 2" xfId="7910" xr:uid="{00000000-0005-0000-0000-0000E61E0000}"/>
    <cellStyle name="_IBFSL_Conso_September_08_09 _Xl0000012 2 2" xfId="7911" xr:uid="{00000000-0005-0000-0000-0000E71E0000}"/>
    <cellStyle name="_IBM - RAID 5 Prices - 260405_Rev 01" xfId="7912" xr:uid="{00000000-0005-0000-0000-0000E81E0000}"/>
    <cellStyle name="_IBM - RAID 5 Prices - 260405_Rev 01 2" xfId="7913" xr:uid="{00000000-0005-0000-0000-0000E91E0000}"/>
    <cellStyle name="_IBREAL - Segment Working 31.12.2008" xfId="7914" xr:uid="{00000000-0005-0000-0000-0000EA1E0000}"/>
    <cellStyle name="_IBREAL - Segment Working 31.12.2008 2" xfId="7915" xr:uid="{00000000-0005-0000-0000-0000EB1E0000}"/>
    <cellStyle name="_IBREL Adv Tax Q2 08" xfId="7916" xr:uid="{00000000-0005-0000-0000-0000EC1E0000}"/>
    <cellStyle name="_IBREL Adv Tax Q2 08_Advance Tax Summary" xfId="7917" xr:uid="{00000000-0005-0000-0000-0000ED1E0000}"/>
    <cellStyle name="_IBREL Adv Tax Q2 08_Advance Tax Summary 2" xfId="7918" xr:uid="{00000000-0005-0000-0000-0000EE1E0000}"/>
    <cellStyle name="_IBREL Adv Tax Q2 08_ISL Group - Advance Tax working for 3rd Instalment" xfId="7919" xr:uid="{00000000-0005-0000-0000-0000EF1E0000}"/>
    <cellStyle name="_IBREL Adv Tax Q2 08_Xl0000013" xfId="7920" xr:uid="{00000000-0005-0000-0000-0000F01E0000}"/>
    <cellStyle name="_ICAL Working File" xfId="7921" xr:uid="{00000000-0005-0000-0000-0000F11E0000}"/>
    <cellStyle name="_ICAL-BS Final Working _New format" xfId="7922" xr:uid="{00000000-0005-0000-0000-0000F21E0000}"/>
    <cellStyle name="_ICAPSL 31.03.2009 ver 7" xfId="7923" xr:uid="{00000000-0005-0000-0000-0000F31E0000}"/>
    <cellStyle name="_ICAPSL 31.03.2009 ver 7_269SS &amp; T IIAPL 09-10" xfId="7924" xr:uid="{00000000-0005-0000-0000-0000F41E0000}"/>
    <cellStyle name="_ICAPSL 31.03.2009 ver 7_Tax Audit Report  ICSL F.Y.09-10" xfId="7925" xr:uid="{00000000-0005-0000-0000-0000F51E0000}"/>
    <cellStyle name="_ICASL 10.09.2006" xfId="7926" xr:uid="{00000000-0005-0000-0000-0000F61E0000}"/>
    <cellStyle name="_ICASL 10.09.2006 2" xfId="7927" xr:uid="{00000000-0005-0000-0000-0000F71E0000}"/>
    <cellStyle name="_ICASL 10.09.2006 2 2" xfId="7928" xr:uid="{00000000-0005-0000-0000-0000F81E0000}"/>
    <cellStyle name="_ICASL 10.09.2006 3" xfId="7929" xr:uid="{00000000-0005-0000-0000-0000F91E0000}"/>
    <cellStyle name="_ICASL 10.09.2006_269SS &amp; T IIAPL 09-10" xfId="7930" xr:uid="{00000000-0005-0000-0000-0000FA1E0000}"/>
    <cellStyle name="_ICASL 10.09.2006_Abstract-2007-08" xfId="7931" xr:uid="{00000000-0005-0000-0000-0000FB1E0000}"/>
    <cellStyle name="_ICASL 10.09.2006_Abstract-2007-08 2" xfId="7932" xr:uid="{00000000-0005-0000-0000-0000FC1E0000}"/>
    <cellStyle name="_ICASL 10.09.2006_Advance Tax Format_F.Y. 2010-11" xfId="7933" xr:uid="{00000000-0005-0000-0000-0000FD1E0000}"/>
    <cellStyle name="_ICASL 10.09.2006_Advance Tax Sophia Jun 09" xfId="7934" xr:uid="{00000000-0005-0000-0000-0000FE1E0000}"/>
    <cellStyle name="_ICASL 10.09.2006_Asset Management Company Limited" xfId="7935" xr:uid="{00000000-0005-0000-0000-0000FF1E0000}"/>
    <cellStyle name="_ICASL 10.09.2006_Base File For Segment" xfId="7936" xr:uid="{00000000-0005-0000-0000-0000001F0000}"/>
    <cellStyle name="_ICASL 10.09.2006_Book1" xfId="7937" xr:uid="{00000000-0005-0000-0000-0000011F0000}"/>
    <cellStyle name="_ICASL 10.09.2006_Book1 (2)" xfId="7938" xr:uid="{00000000-0005-0000-0000-0000021F0000}"/>
    <cellStyle name="_ICASL 10.09.2006_Book1 (2) 2" xfId="7939" xr:uid="{00000000-0005-0000-0000-0000031F0000}"/>
    <cellStyle name="_ICASL 10.09.2006_Bracond Balance Sheet  PL_301108_krishanu" xfId="7940" xr:uid="{00000000-0005-0000-0000-0000041F0000}"/>
    <cellStyle name="_ICASL 10.09.2006_BS _IB Asset Management _3103_ver5" xfId="7941" xr:uid="{00000000-0005-0000-0000-0000051F0000}"/>
    <cellStyle name="_ICASL 10.09.2006_BS _IB Asset Management _3103_ver5_IAMCL BS working -New format_31.03 V5" xfId="7942" xr:uid="{00000000-0005-0000-0000-0000061F0000}"/>
    <cellStyle name="_ICASL 10.09.2006_CCL_3353_2007-08" xfId="7943" xr:uid="{00000000-0005-0000-0000-0000071F0000}"/>
    <cellStyle name="_ICASL 10.09.2006_ChlorisProperties_3351_Dec.08" xfId="7944" xr:uid="{00000000-0005-0000-0000-0000081F0000}"/>
    <cellStyle name="_ICASL 10.09.2006_Consol Balance Sheet_Sophia_Dec08_Ibrel_1.3" xfId="7945" xr:uid="{00000000-0005-0000-0000-0000091F0000}"/>
    <cellStyle name="_ICASL 10.09.2006_CRAR - dec- 10v-12" xfId="7946" xr:uid="{00000000-0005-0000-0000-00000A1F0000}"/>
    <cellStyle name="_ICASL 10.09.2006_CRAR - dec- 10v-12 2" xfId="7947" xr:uid="{00000000-0005-0000-0000-00000B1F0000}"/>
    <cellStyle name="_ICASL 10.09.2006_detail (2)" xfId="7948" xr:uid="{00000000-0005-0000-0000-00000C1F0000}"/>
    <cellStyle name="_ICASL 10.09.2006_Detail of IPO funding" xfId="7949" xr:uid="{00000000-0005-0000-0000-00000D1F0000}"/>
    <cellStyle name="_ICASL 10.09.2006_Details" xfId="7950" xr:uid="{00000000-0005-0000-0000-00000E1F0000}"/>
    <cellStyle name="_ICASL 10.09.2006_Entries Passed in Conso for profit on sale of invRevised 30.07.08" xfId="7951" xr:uid="{00000000-0005-0000-0000-00000F1F0000}"/>
    <cellStyle name="_ICASL 10.09.2006_Entries Passed in Conso for profit on sale of invRevised 30.07.08 2" xfId="7952" xr:uid="{00000000-0005-0000-0000-0000101F0000}"/>
    <cellStyle name="_ICASL 10.09.2006_Entries Passed in Conso for profit on sale of invRevised 30.07.08_IREL_3000_08-09" xfId="7953" xr:uid="{00000000-0005-0000-0000-0000111F0000}"/>
    <cellStyle name="_ICASL 10.09.2006_Entries Passed in Conso for profit on sale of invRevised 30.07.08_IREL_3000_08-09 2" xfId="7954" xr:uid="{00000000-0005-0000-0000-0000121F0000}"/>
    <cellStyle name="_ICASL 10.09.2006_Entries Passed in Conso for profit on sale of invRevised 30.07.08_IREL_3000_08-09 2 2" xfId="7955" xr:uid="{00000000-0005-0000-0000-0000131F0000}"/>
    <cellStyle name="_ICASL 10.09.2006_Entries Passed in Conso for profit on sale of invRevised 30.07.08_IREL_3000_08-09 3" xfId="7956" xr:uid="{00000000-0005-0000-0000-0000141F0000}"/>
    <cellStyle name="_ICASL 10.09.2006_Entries Passed in Conso for profit on sale of invRevised 30.07.08_IREL_3000_08-09 stage 3" xfId="7957" xr:uid="{00000000-0005-0000-0000-0000151F0000}"/>
    <cellStyle name="_ICASL 10.09.2006_Entries Passed in Conso for profit on sale of invRevised 30.07.08_IREL_3000_08-09 stage 3 2" xfId="7958" xr:uid="{00000000-0005-0000-0000-0000161F0000}"/>
    <cellStyle name="_ICASL 10.09.2006_Entries Passed in Conso for profit on sale of invRevised 30.07.08_IREL_3000_08-09 stage 3_IREL_3000_08-09" xfId="7959" xr:uid="{00000000-0005-0000-0000-0000171F0000}"/>
    <cellStyle name="_ICASL 10.09.2006_Entries Passed in Conso for profit on sale of invRevised 30.07.08_IREL_3000_08-09 stage 3_IREL_3000_08-09 2" xfId="7960" xr:uid="{00000000-0005-0000-0000-0000181F0000}"/>
    <cellStyle name="_ICASL 10.09.2006_Entries Passed in Conso for profit on sale of invRevised 30.07.08_IREL_3000_08-09 stage 3_IREL_3000_08-09 2 2" xfId="7961" xr:uid="{00000000-0005-0000-0000-0000191F0000}"/>
    <cellStyle name="_ICASL 10.09.2006_Entries Passed in Conso for profit on sale of invRevised 30.07.08_IREL_3000_08-09 stage 3_IREL_3000_08-09 3" xfId="7962" xr:uid="{00000000-0005-0000-0000-00001A1F0000}"/>
    <cellStyle name="_ICASL 10.09.2006_Entries Passed in Conso for profit on sale of invRevised 30.07.08_IREL_3000_08-09_IBREAL_BS PACK-Version.02" xfId="7963" xr:uid="{00000000-0005-0000-0000-00001B1F0000}"/>
    <cellStyle name="_ICASL 10.09.2006_Entries Passed in Conso for profit on sale of invRevised 30.07.08_IREL_3000_08-09_IBREAL_BS PACK-Version.02 2" xfId="7964" xr:uid="{00000000-0005-0000-0000-00001C1F0000}"/>
    <cellStyle name="_ICASL 10.09.2006_Entries Passed in Conso for profit on sale of invRevised 30.07.08_IREL_3000_08-09_IBREAL_BS PACK-Version.02 2 2" xfId="7965" xr:uid="{00000000-0005-0000-0000-00001D1F0000}"/>
    <cellStyle name="_ICASL 10.09.2006_Entries Passed in Conso for profit on sale of invRevised 30.07.08_IREL_3000_08-09_IBREAL_BS PACK-Version.02 3" xfId="7966" xr:uid="{00000000-0005-0000-0000-00001E1F0000}"/>
    <cellStyle name="_ICASL 10.09.2006_Entries Passed in Conso for profit on sale of invRevised 30.07.08_IREL_3000_08-09_IBREAL_BS PACK-Version.02_IBREAL_BS PACK-Version.03" xfId="7967" xr:uid="{00000000-0005-0000-0000-00001F1F0000}"/>
    <cellStyle name="_ICASL 10.09.2006_Entries Passed in Conso for profit on sale of invRevised 30.07.08_IREL_3000_08-09_IBREAL_BS PACK-Version.02_IBREAL_BS PACK-Version.03 2" xfId="7968" xr:uid="{00000000-0005-0000-0000-0000201F0000}"/>
    <cellStyle name="_ICASL 10.09.2006_Entries Passed in Conso for profit on sale of invRevised 30.07.08_IREL_3000_08-09_IBREAL_BS PACK-Version.02_IBREAL_BS PACK-Version.03 2 2" xfId="7969" xr:uid="{00000000-0005-0000-0000-0000211F0000}"/>
    <cellStyle name="_ICASL 10.09.2006_Entries Passed in Conso for profit on sale of invRevised 30.07.08_IREL_3000_08-09_IBREAL_BS PACK-Version.02_IBREAL_BS PACK-Version.03 3" xfId="7970" xr:uid="{00000000-0005-0000-0000-0000221F0000}"/>
    <cellStyle name="_ICASL 10.09.2006_Entries Passed in Conso for profit on sale of invRevised 30.07.08_IREL_3000_08-09_IBREAL_BS PACK-Version.02_IBREAL_BS PACK-Version.03_IBREAL_BS PACK-Version.07" xfId="7971" xr:uid="{00000000-0005-0000-0000-0000231F0000}"/>
    <cellStyle name="_ICASL 10.09.2006_Entries Passed in Conso for profit on sale of invRevised 30.07.08_IREL_3000_08-09_IBREAL_BS PACK-Version.02_IBREAL_BS PACK-Version.03_IBREAL_BS PACK-Version.07 2" xfId="7972" xr:uid="{00000000-0005-0000-0000-0000241F0000}"/>
    <cellStyle name="_ICASL 10.09.2006_Entries Passed in Conso for profit on sale of invRevised 30.07.08_IREL_3000_08-09_IBREAL_BS PACK-Version.02_IBREAL_BS PACK-Version.03_IBREAL_BS PACK-Version.07 2 2" xfId="7973" xr:uid="{00000000-0005-0000-0000-0000251F0000}"/>
    <cellStyle name="_ICASL 10.09.2006_Entries Passed in Conso for profit on sale of invRevised 30.07.08_IREL_3000_08-09_IBREAL_BS PACK-Version.02_IBREAL_BS PACK-Version.03_IBREAL_BS PACK-Version.07 3" xfId="7974" xr:uid="{00000000-0005-0000-0000-0000261F0000}"/>
    <cellStyle name="_ICASL 10.09.2006_EPL_3346_2007-08(C)" xfId="7975" xr:uid="{00000000-0005-0000-0000-0000271F0000}"/>
    <cellStyle name="_ICASL 10.09.2006_FD Detail" xfId="7976" xr:uid="{00000000-0005-0000-0000-0000281F0000}"/>
    <cellStyle name="_ICASL 10.09.2006_FD Detail_Xl0000013" xfId="7977" xr:uid="{00000000-0005-0000-0000-0000291F0000}"/>
    <cellStyle name="_ICASL 10.09.2006_Final Consol Balance Sheet_Sophia_Dec08_27.01.08" xfId="7978" xr:uid="{00000000-0005-0000-0000-00002A1F0000}"/>
    <cellStyle name="_ICASL 10.09.2006_Fixed Assets consolidated" xfId="7979" xr:uid="{00000000-0005-0000-0000-00002B1F0000}"/>
    <cellStyle name="_ICASL 10.09.2006_IAMCL BS working -New format_31.03 V5" xfId="7980" xr:uid="{00000000-0005-0000-0000-00002C1F0000}"/>
    <cellStyle name="_ICASL 10.09.2006_IB Asset Management _2910" xfId="7981" xr:uid="{00000000-0005-0000-0000-00002D1F0000}"/>
    <cellStyle name="_ICASL 10.09.2006_IB Asset Management _2910_IB Collection Agency_3103 V3" xfId="7982" xr:uid="{00000000-0005-0000-0000-00002E1F0000}"/>
    <cellStyle name="_ICASL 10.09.2006_IB Asset Management _2910_IB Collection Agency_3103 V3_ICAL-New Format_31.03 V4" xfId="7983" xr:uid="{00000000-0005-0000-0000-00002F1F0000}"/>
    <cellStyle name="_ICASL 10.09.2006_IB Asset Management _2910_ICAL-BS Final Working _New format" xfId="7984" xr:uid="{00000000-0005-0000-0000-0000301F0000}"/>
    <cellStyle name="_ICASL 10.09.2006_IB Asset Management _3103_ver5" xfId="7985" xr:uid="{00000000-0005-0000-0000-0000311F0000}"/>
    <cellStyle name="_ICASL 10.09.2006_IB Asset Management_3103 V2" xfId="7986" xr:uid="{00000000-0005-0000-0000-0000321F0000}"/>
    <cellStyle name="_ICASL 10.09.2006_IB Asset Management_3103 V4" xfId="7987" xr:uid="{00000000-0005-0000-0000-0000331F0000}"/>
    <cellStyle name="_ICASL 10.09.2006_IB Asset Management_3103 V5" xfId="7988" xr:uid="{00000000-0005-0000-0000-0000341F0000}"/>
    <cellStyle name="_ICASL 10.09.2006_IB Collection Agency_3103 V3" xfId="7989" xr:uid="{00000000-0005-0000-0000-0000351F0000}"/>
    <cellStyle name="_ICASL 10.09.2006_IB Collection Agency_3103 V3_ICAL-New Format_31.03 V4" xfId="7990" xr:uid="{00000000-0005-0000-0000-0000361F0000}"/>
    <cellStyle name="_ICASL 10.09.2006_IB Infrastructure Credit" xfId="7991" xr:uid="{00000000-0005-0000-0000-0000371F0000}"/>
    <cellStyle name="_ICASL 10.09.2006_IB Infrastructure Credit-3103_V6" xfId="7992" xr:uid="{00000000-0005-0000-0000-0000381F0000}"/>
    <cellStyle name="_ICASL 10.09.2006_IB Infrastructure Credit-3103_V7" xfId="7993" xr:uid="{00000000-0005-0000-0000-0000391F0000}"/>
    <cellStyle name="_ICASL 10.09.2006_IB Life Insurance_3103 V4" xfId="7994" xr:uid="{00000000-0005-0000-0000-00003A1F0000}"/>
    <cellStyle name="_ICASL 10.09.2006_IB Trustee Company_3103 V4" xfId="7995" xr:uid="{00000000-0005-0000-0000-00003B1F0000}"/>
    <cellStyle name="_ICASL 10.09.2006_IBFSL 30 Sep 11 V8" xfId="7996" xr:uid="{00000000-0005-0000-0000-00003C1F0000}"/>
    <cellStyle name="_ICASL 10.09.2006_IBFSL 31 May V1" xfId="7997" xr:uid="{00000000-0005-0000-0000-00003D1F0000}"/>
    <cellStyle name="_ICASL 10.09.2006_IBFSL 31 May V1_Xl0000013" xfId="7998" xr:uid="{00000000-0005-0000-0000-00003E1F0000}"/>
    <cellStyle name="_ICASL 10.09.2006_IBFSL_Conso_March_10_11" xfId="7999" xr:uid="{00000000-0005-0000-0000-00003F1F0000}"/>
    <cellStyle name="_ICASL 10.09.2006_IBLIC_BS  Final working -New_Format_31.03 V5" xfId="8000" xr:uid="{00000000-0005-0000-0000-0000401F0000}"/>
    <cellStyle name="_ICASL 10.09.2006_Ibulls BS Final woirking -New format_31.03 V5" xfId="8001" xr:uid="{00000000-0005-0000-0000-0000411F0000}"/>
    <cellStyle name="_ICASL 10.09.2006_IbullsSales_3009V3 (3)" xfId="8002" xr:uid="{00000000-0005-0000-0000-0000421F0000}"/>
    <cellStyle name="_ICASL 10.09.2006_IbullsSales_3103" xfId="8003" xr:uid="{00000000-0005-0000-0000-0000431F0000}"/>
    <cellStyle name="_ICASL 10.09.2006_IbullsSales_3103 V2" xfId="8004" xr:uid="{00000000-0005-0000-0000-0000441F0000}"/>
    <cellStyle name="_ICASL 10.09.2006_IbullsSales_3103 V5" xfId="8005" xr:uid="{00000000-0005-0000-0000-0000451F0000}"/>
    <cellStyle name="_ICASL 10.09.2006_ICAL-BS Final Working _New format" xfId="8006" xr:uid="{00000000-0005-0000-0000-0000461F0000}"/>
    <cellStyle name="_ICASL 10.09.2006_ICL_BS_30.06.2009" xfId="8007" xr:uid="{00000000-0005-0000-0000-0000471F0000}"/>
    <cellStyle name="_ICASL 10.09.2006_ICPL_BS_31.03.2009_new" xfId="8008" xr:uid="{00000000-0005-0000-0000-0000481F0000}"/>
    <cellStyle name="_ICASL 10.09.2006_ICPL_BS_31.03.2009_new_ISL__3CD_FY2010-11" xfId="8009" xr:uid="{00000000-0005-0000-0000-0000491F0000}"/>
    <cellStyle name="_ICASL 10.09.2006_IDSL_31.03.2010" xfId="8010" xr:uid="{00000000-0005-0000-0000-00004A1F0000}"/>
    <cellStyle name="_ICASL 10.09.2006_IFCPL 31 03 2010 VER6 Final" xfId="8011" xr:uid="{00000000-0005-0000-0000-00004B1F0000}"/>
    <cellStyle name="_ICASL 10.09.2006_IHFL_Dec_23_2008" xfId="8012" xr:uid="{00000000-0005-0000-0000-00004C1F0000}"/>
    <cellStyle name="_ICASL 10.09.2006_IHFL_Dec_23_2008_Xl0000013" xfId="8013" xr:uid="{00000000-0005-0000-0000-00004D1F0000}"/>
    <cellStyle name="_ICASL 10.09.2006_IHFL_SEP_30_2009 XIII AUDIT- Sch II" xfId="8014" xr:uid="{00000000-0005-0000-0000-00004E1F0000}"/>
    <cellStyle name="_ICASL 10.09.2006_IIAL 31.03.2010 VER2" xfId="8015" xr:uid="{00000000-0005-0000-0000-00004F1F0000}"/>
    <cellStyle name="_ICASL 10.09.2006_IICL_March'11" xfId="8016" xr:uid="{00000000-0005-0000-0000-0000501F0000}"/>
    <cellStyle name="_ICASL 10.09.2006_IIDL_3227_2008_09" xfId="8017" xr:uid="{00000000-0005-0000-0000-0000511F0000}"/>
    <cellStyle name="_ICASL 10.09.2006_IIDL_3227_2008_09_Advance Tax Summary" xfId="8018" xr:uid="{00000000-0005-0000-0000-0000521F0000}"/>
    <cellStyle name="_ICASL 10.09.2006_IIDL_3227_2008_09_Advance Tax Summary 2" xfId="8019" xr:uid="{00000000-0005-0000-0000-0000531F0000}"/>
    <cellStyle name="_ICASL 10.09.2006_IIDL_3227_2008_09_ISL Group - Advance Tax working for 3rd Instalment" xfId="8020" xr:uid="{00000000-0005-0000-0000-0000541F0000}"/>
    <cellStyle name="_ICASL 10.09.2006_IIDL_3227_2008_09_Xl0000013" xfId="8021" xr:uid="{00000000-0005-0000-0000-0000551F0000}"/>
    <cellStyle name="_ICASL 10.09.2006_Indiabulls Asset Management Company Limited printable" xfId="8022" xr:uid="{00000000-0005-0000-0000-0000561F0000}"/>
    <cellStyle name="_ICASL 10.09.2006_IREL_3000_08-09" xfId="8023" xr:uid="{00000000-0005-0000-0000-0000571F0000}"/>
    <cellStyle name="_ICASL 10.09.2006_IREL_3000_08-09 2" xfId="8024" xr:uid="{00000000-0005-0000-0000-0000581F0000}"/>
    <cellStyle name="_ICASL 10.09.2006_ISL_March_08_09.final_11.12.2009" xfId="8025" xr:uid="{00000000-0005-0000-0000-0000591F0000}"/>
    <cellStyle name="_ICASL 10.09.2006_ISL_March_08_09.final_11.12.2009_ISL__3CD_FY2010-11" xfId="8026" xr:uid="{00000000-0005-0000-0000-00005A1F0000}"/>
    <cellStyle name="_ICASL 10.09.2006_ITCL_BS working _New format_31.03 V7" xfId="8027" xr:uid="{00000000-0005-0000-0000-00005B1F0000}"/>
    <cellStyle name="_ICASL 10.09.2006_ITCL-New format_31.03 V6" xfId="8028" xr:uid="{00000000-0005-0000-0000-00005C1F0000}"/>
    <cellStyle name="_ICASL 10.09.2006_NFCL working file" xfId="8029" xr:uid="{00000000-0005-0000-0000-00005D1F0000}"/>
    <cellStyle name="_ICASL 10.09.2006_NFCL_ Tax Audit Report FY08-09 " xfId="8030" xr:uid="{00000000-0005-0000-0000-00005E1F0000}"/>
    <cellStyle name="_ICASL 10.09.2006_Revised Consol Balance Sheet_Sophia_Jan09_10.02.2009" xfId="8031" xr:uid="{00000000-0005-0000-0000-00005F1F0000}"/>
    <cellStyle name="_ICASL 10.09.2006_Sophia Consol for Printout 22 Jun 09" xfId="8032" xr:uid="{00000000-0005-0000-0000-0000601F0000}"/>
    <cellStyle name="_ICASL 10.09.2006_Sophia Consol_march_09_05 June  09_1" xfId="8033" xr:uid="{00000000-0005-0000-0000-0000611F0000}"/>
    <cellStyle name="_ICASL 10.09.2006_Tax Audit Report  F.Y.08-09" xfId="8034" xr:uid="{00000000-0005-0000-0000-0000621F0000}"/>
    <cellStyle name="_ICASL 10.09.2006_Tax Audit Report  ICSL F.Y.09-10" xfId="8035" xr:uid="{00000000-0005-0000-0000-0000631F0000}"/>
    <cellStyle name="_ICASL 10.09.2006_Treasury ICD Interest_ MIS_ 23  09 2009(final)" xfId="8036" xr:uid="{00000000-0005-0000-0000-0000641F0000}"/>
    <cellStyle name="_ICASL 10.09.2006_Treasury ICD Interest_ MIS_ 30. 06 2009(final)" xfId="8037" xr:uid="{00000000-0005-0000-0000-0000651F0000}"/>
    <cellStyle name="_ICASL 10.09.2006_Treasury ICD Interest_ MIS_ 30. 09 2009(final)" xfId="8038" xr:uid="{00000000-0005-0000-0000-0000661F0000}"/>
    <cellStyle name="_ICASL 10.09.2006_Treasury ICD Interest_ MIS_ 31 05 2009" xfId="8039" xr:uid="{00000000-0005-0000-0000-0000671F0000}"/>
    <cellStyle name="_ICASL 10.09.2006_Treasury ICD Interest_ MIS_ 31 10 2009" xfId="8040" xr:uid="{00000000-0005-0000-0000-0000681F0000}"/>
    <cellStyle name="_ICASL 10.09.2006_Treasury ICD Interest_ MIS_ 31.10.2009" xfId="8041" xr:uid="{00000000-0005-0000-0000-0000691F0000}"/>
    <cellStyle name="_ICASL 10.09.2006_Treasury ICD Interest_ MIS_ 310309" xfId="8042" xr:uid="{00000000-0005-0000-0000-00006A1F0000}"/>
    <cellStyle name="_ICCL31 03 2008 Final" xfId="8043" xr:uid="{00000000-0005-0000-0000-00006B1F0000}"/>
    <cellStyle name="_ICCL31 03 2008 Final (3)" xfId="8044" xr:uid="{00000000-0005-0000-0000-00006C1F0000}"/>
    <cellStyle name="_ICCL31 03 2008 Final (3)_BS _IB Asset Management _3103_ver5" xfId="8045" xr:uid="{00000000-0005-0000-0000-00006D1F0000}"/>
    <cellStyle name="_ICCL31 03 2008 Final (3)_BS _IB Asset Management _3103_ver5_IAMCL BS working -New format_31.03 V5" xfId="8046" xr:uid="{00000000-0005-0000-0000-00006E1F0000}"/>
    <cellStyle name="_ICCL31 03 2008 Final (3)_IAMCL BS working -New format_31.03 V5" xfId="8047" xr:uid="{00000000-0005-0000-0000-00006F1F0000}"/>
    <cellStyle name="_ICCL31 03 2008 Final (3)_IB Asset Management _2910" xfId="8048" xr:uid="{00000000-0005-0000-0000-0000701F0000}"/>
    <cellStyle name="_ICCL31 03 2008 Final (3)_IB Asset Management _2910_IB Collection Agency_3103 V3" xfId="8049" xr:uid="{00000000-0005-0000-0000-0000711F0000}"/>
    <cellStyle name="_ICCL31 03 2008 Final (3)_IB Asset Management _2910_IB Collection Agency_3103 V3_ICAL-New Format_31.03 V4" xfId="8050" xr:uid="{00000000-0005-0000-0000-0000721F0000}"/>
    <cellStyle name="_ICCL31 03 2008 Final (3)_IB Asset Management _2910_ICAL-BS Final Working _New format" xfId="8051" xr:uid="{00000000-0005-0000-0000-0000731F0000}"/>
    <cellStyle name="_ICCL31 03 2008 Final (3)_IB Asset Management_3103 V5" xfId="8052" xr:uid="{00000000-0005-0000-0000-0000741F0000}"/>
    <cellStyle name="_ICCL31 03 2008 Final (3)_IB Collection Agency_3103 V3" xfId="8053" xr:uid="{00000000-0005-0000-0000-0000751F0000}"/>
    <cellStyle name="_ICCL31 03 2008 Final (3)_IB Collection Agency_3103 V3_ICAL-New Format_31.03 V4" xfId="8054" xr:uid="{00000000-0005-0000-0000-0000761F0000}"/>
    <cellStyle name="_ICCL31 03 2008 Final (3)_Ibulls BS Final woirking -New format_31.03 V5" xfId="8055" xr:uid="{00000000-0005-0000-0000-0000771F0000}"/>
    <cellStyle name="_ICCL31 03 2008 Final (3)_IbullsSales_3009V3 (3)" xfId="8056" xr:uid="{00000000-0005-0000-0000-0000781F0000}"/>
    <cellStyle name="_ICCL31 03 2008 Final (3)_IbullsSales_3103 V5" xfId="8057" xr:uid="{00000000-0005-0000-0000-0000791F0000}"/>
    <cellStyle name="_ICCL31 03 2008 Final (3)_ICAL-BS Final Working _New format" xfId="8058" xr:uid="{00000000-0005-0000-0000-00007A1F0000}"/>
    <cellStyle name="_ICCL31 03 2008 Final (3)_Indiabulls Asset Management Company Limited printable" xfId="8059" xr:uid="{00000000-0005-0000-0000-00007B1F0000}"/>
    <cellStyle name="_ICCL31 03 2008 Final_BS _IB Asset Management _3103_ver5" xfId="8060" xr:uid="{00000000-0005-0000-0000-00007C1F0000}"/>
    <cellStyle name="_ICCL31 03 2008 Final_BS _IB Asset Management _3103_ver5_IAMCL BS working -New format_31.03 V5" xfId="8061" xr:uid="{00000000-0005-0000-0000-00007D1F0000}"/>
    <cellStyle name="_ICCL31 03 2008 Final_IAMCL BS working -New format_31.03 V5" xfId="8062" xr:uid="{00000000-0005-0000-0000-00007E1F0000}"/>
    <cellStyle name="_ICCL31 03 2008 Final_IB Asset Management _2910" xfId="8063" xr:uid="{00000000-0005-0000-0000-00007F1F0000}"/>
    <cellStyle name="_ICCL31 03 2008 Final_IB Asset Management _2910_IB Collection Agency_3103 V3" xfId="8064" xr:uid="{00000000-0005-0000-0000-0000801F0000}"/>
    <cellStyle name="_ICCL31 03 2008 Final_IB Asset Management _2910_IB Collection Agency_3103 V3_ICAL-New Format_31.03 V4" xfId="8065" xr:uid="{00000000-0005-0000-0000-0000811F0000}"/>
    <cellStyle name="_ICCL31 03 2008 Final_IB Asset Management _2910_ICAL-BS Final Working _New format" xfId="8066" xr:uid="{00000000-0005-0000-0000-0000821F0000}"/>
    <cellStyle name="_ICCL31 03 2008 Final_IB Asset Management_3103 V5" xfId="8067" xr:uid="{00000000-0005-0000-0000-0000831F0000}"/>
    <cellStyle name="_ICCL31 03 2008 Final_IB Collection Agency_3103 V3" xfId="8068" xr:uid="{00000000-0005-0000-0000-0000841F0000}"/>
    <cellStyle name="_ICCL31 03 2008 Final_IB Collection Agency_3103 V3_ICAL-New Format_31.03 V4" xfId="8069" xr:uid="{00000000-0005-0000-0000-0000851F0000}"/>
    <cellStyle name="_ICCL31 03 2008 Final_Ibulls BS Final woirking -New format_31.03 V5" xfId="8070" xr:uid="{00000000-0005-0000-0000-0000861F0000}"/>
    <cellStyle name="_ICCL31 03 2008 Final_IbullsSales_3009V3 (3)" xfId="8071" xr:uid="{00000000-0005-0000-0000-0000871F0000}"/>
    <cellStyle name="_ICCL31 03 2008 Final_IbullsSales_3103 V5" xfId="8072" xr:uid="{00000000-0005-0000-0000-0000881F0000}"/>
    <cellStyle name="_ICCL31 03 2008 Final_ICAL-BS Final Working _New format" xfId="8073" xr:uid="{00000000-0005-0000-0000-0000891F0000}"/>
    <cellStyle name="_ICCL31 03 2008 Final_Indiabulls Asset Management Company Limited printable" xfId="8074" xr:uid="{00000000-0005-0000-0000-00008A1F0000}"/>
    <cellStyle name="_ICD - IFCPL (March 08)" xfId="8075" xr:uid="{00000000-0005-0000-0000-00008B1F0000}"/>
    <cellStyle name="_ICD - IFCPL (March 08)_NFCL working file" xfId="8076" xr:uid="{00000000-0005-0000-0000-00008C1F0000}"/>
    <cellStyle name="_ICD - IFCPL (March 08)_Tax Audit Report  F.Y.08-09" xfId="8077" xr:uid="{00000000-0005-0000-0000-00008D1F0000}"/>
    <cellStyle name="_ICD - IFCPL (March 08)_Tax Audit Report  ICSL F.Y.09-10" xfId="8078" xr:uid="{00000000-0005-0000-0000-00008E1F0000}"/>
    <cellStyle name="_ICD (3)" xfId="8079" xr:uid="{00000000-0005-0000-0000-00008F1F0000}"/>
    <cellStyle name="_ICD (3) 2" xfId="8080" xr:uid="{00000000-0005-0000-0000-0000901F0000}"/>
    <cellStyle name="_ICD Detail External from IBREL 23Jun'08" xfId="8081" xr:uid="{00000000-0005-0000-0000-0000911F0000}"/>
    <cellStyle name="_ICD Detail External from IBREL 23Jun'08 2" xfId="8082" xr:uid="{00000000-0005-0000-0000-0000921F0000}"/>
    <cellStyle name="_ICD Detail External from IBREL 23Jun'08 2 2" xfId="8083" xr:uid="{00000000-0005-0000-0000-0000931F0000}"/>
    <cellStyle name="_ICD Detail External from IBREL 23Jun'08 3" xfId="8084" xr:uid="{00000000-0005-0000-0000-0000941F0000}"/>
    <cellStyle name="_ICD from IREL" xfId="8085" xr:uid="{00000000-0005-0000-0000-0000951F0000}"/>
    <cellStyle name="_ICD from IREL 2" xfId="8086" xr:uid="{00000000-0005-0000-0000-0000961F0000}"/>
    <cellStyle name="_ICD from IREL 2 2" xfId="8087" xr:uid="{00000000-0005-0000-0000-0000971F0000}"/>
    <cellStyle name="_ICD from IREL 3" xfId="8088" xr:uid="{00000000-0005-0000-0000-0000981F0000}"/>
    <cellStyle name="_ICD from IREL_Abstract-2007-08" xfId="8089" xr:uid="{00000000-0005-0000-0000-0000991F0000}"/>
    <cellStyle name="_ICD from IREL_Abstract-2007-08 2" xfId="8090" xr:uid="{00000000-0005-0000-0000-00009A1F0000}"/>
    <cellStyle name="_ICD from IREL_Advance Tax Summary" xfId="8091" xr:uid="{00000000-0005-0000-0000-00009B1F0000}"/>
    <cellStyle name="_ICD from IREL_Advance Tax Summary 2" xfId="8092" xr:uid="{00000000-0005-0000-0000-00009C1F0000}"/>
    <cellStyle name="_ICD from IREL_Aug consl backup-land adv &amp; Ext ICD" xfId="8093" xr:uid="{00000000-0005-0000-0000-00009D1F0000}"/>
    <cellStyle name="_ICD from IREL_Aug consl backup-land adv &amp; Ext ICD 2" xfId="8094" xr:uid="{00000000-0005-0000-0000-00009E1F0000}"/>
    <cellStyle name="_ICD from IREL_Entries Passed in Conso for profit on sale of invRevised 30.07.08" xfId="8095" xr:uid="{00000000-0005-0000-0000-00009F1F0000}"/>
    <cellStyle name="_ICD from IREL_Entries Passed in Conso for profit on sale of invRevised 30.07.08 2" xfId="8096" xr:uid="{00000000-0005-0000-0000-0000A01F0000}"/>
    <cellStyle name="_ICD from IREL_Entries Passed in Conso for profit on sale of invRevised 30.07.08_IREL_3000_08-09" xfId="8097" xr:uid="{00000000-0005-0000-0000-0000A11F0000}"/>
    <cellStyle name="_ICD from IREL_Entries Passed in Conso for profit on sale of invRevised 30.07.08_IREL_3000_08-09 2" xfId="8098" xr:uid="{00000000-0005-0000-0000-0000A21F0000}"/>
    <cellStyle name="_ICD from IREL_Entries Passed in Conso for profit on sale of invRevised 30.07.08_IREL_3000_08-09 2 2" xfId="8099" xr:uid="{00000000-0005-0000-0000-0000A31F0000}"/>
    <cellStyle name="_ICD from IREL_Entries Passed in Conso for profit on sale of invRevised 30.07.08_IREL_3000_08-09 3" xfId="8100" xr:uid="{00000000-0005-0000-0000-0000A41F0000}"/>
    <cellStyle name="_ICD from IREL_Entries Passed in Conso for profit on sale of invRevised 30.07.08_IREL_3000_08-09 stage 3" xfId="8101" xr:uid="{00000000-0005-0000-0000-0000A51F0000}"/>
    <cellStyle name="_ICD from IREL_Entries Passed in Conso for profit on sale of invRevised 30.07.08_IREL_3000_08-09 stage 3 2" xfId="8102" xr:uid="{00000000-0005-0000-0000-0000A61F0000}"/>
    <cellStyle name="_ICD from IREL_Entries Passed in Conso for profit on sale of invRevised 30.07.08_IREL_3000_08-09 stage 3_IREL_3000_08-09" xfId="8103" xr:uid="{00000000-0005-0000-0000-0000A71F0000}"/>
    <cellStyle name="_ICD from IREL_Entries Passed in Conso for profit on sale of invRevised 30.07.08_IREL_3000_08-09 stage 3_IREL_3000_08-09 2" xfId="8104" xr:uid="{00000000-0005-0000-0000-0000A81F0000}"/>
    <cellStyle name="_ICD from IREL_Entries Passed in Conso for profit on sale of invRevised 30.07.08_IREL_3000_08-09 stage 3_IREL_3000_08-09 2 2" xfId="8105" xr:uid="{00000000-0005-0000-0000-0000A91F0000}"/>
    <cellStyle name="_ICD from IREL_Entries Passed in Conso for profit on sale of invRevised 30.07.08_IREL_3000_08-09 stage 3_IREL_3000_08-09 3" xfId="8106" xr:uid="{00000000-0005-0000-0000-0000AA1F0000}"/>
    <cellStyle name="_ICD from IREL_Entries Passed in Conso for profit on sale of invRevised 30.07.08_IREL_3000_08-09_IBREAL_BS PACK-Version.02" xfId="8107" xr:uid="{00000000-0005-0000-0000-0000AB1F0000}"/>
    <cellStyle name="_ICD from IREL_Entries Passed in Conso for profit on sale of invRevised 30.07.08_IREL_3000_08-09_IBREAL_BS PACK-Version.02 2" xfId="8108" xr:uid="{00000000-0005-0000-0000-0000AC1F0000}"/>
    <cellStyle name="_ICD from IREL_Entries Passed in Conso for profit on sale of invRevised 30.07.08_IREL_3000_08-09_IBREAL_BS PACK-Version.02 2 2" xfId="8109" xr:uid="{00000000-0005-0000-0000-0000AD1F0000}"/>
    <cellStyle name="_ICD from IREL_Entries Passed in Conso for profit on sale of invRevised 30.07.08_IREL_3000_08-09_IBREAL_BS PACK-Version.02 3" xfId="8110" xr:uid="{00000000-0005-0000-0000-0000AE1F0000}"/>
    <cellStyle name="_ICD from IREL_Entries Passed in Conso for profit on sale of invRevised 30.07.08_IREL_3000_08-09_IBREAL_BS PACK-Version.02_IBREAL_BS PACK-Version.03" xfId="8111" xr:uid="{00000000-0005-0000-0000-0000AF1F0000}"/>
    <cellStyle name="_ICD from IREL_Entries Passed in Conso for profit on sale of invRevised 30.07.08_IREL_3000_08-09_IBREAL_BS PACK-Version.02_IBREAL_BS PACK-Version.03 2" xfId="8112" xr:uid="{00000000-0005-0000-0000-0000B01F0000}"/>
    <cellStyle name="_ICD from IREL_Entries Passed in Conso for profit on sale of invRevised 30.07.08_IREL_3000_08-09_IBREAL_BS PACK-Version.02_IBREAL_BS PACK-Version.03 2 2" xfId="8113" xr:uid="{00000000-0005-0000-0000-0000B11F0000}"/>
    <cellStyle name="_ICD from IREL_Entries Passed in Conso for profit on sale of invRevised 30.07.08_IREL_3000_08-09_IBREAL_BS PACK-Version.02_IBREAL_BS PACK-Version.03 3" xfId="8114" xr:uid="{00000000-0005-0000-0000-0000B21F0000}"/>
    <cellStyle name="_ICD from IREL_Entries Passed in Conso for profit on sale of invRevised 30.07.08_IREL_3000_08-09_IBREAL_BS PACK-Version.02_IBREAL_BS PACK-Version.03_IBREAL_BS PACK-Version.07" xfId="8115" xr:uid="{00000000-0005-0000-0000-0000B31F0000}"/>
    <cellStyle name="_ICD from IREL_Entries Passed in Conso for profit on sale of invRevised 30.07.08_IREL_3000_08-09_IBREAL_BS PACK-Version.02_IBREAL_BS PACK-Version.03_IBREAL_BS PACK-Version.07 2" xfId="8116" xr:uid="{00000000-0005-0000-0000-0000B41F0000}"/>
    <cellStyle name="_ICD from IREL_Entries Passed in Conso for profit on sale of invRevised 30.07.08_IREL_3000_08-09_IBREAL_BS PACK-Version.02_IBREAL_BS PACK-Version.03_IBREAL_BS PACK-Version.07 2 2" xfId="8117" xr:uid="{00000000-0005-0000-0000-0000B51F0000}"/>
    <cellStyle name="_ICD from IREL_Entries Passed in Conso for profit on sale of invRevised 30.07.08_IREL_3000_08-09_IBREAL_BS PACK-Version.02_IBREAL_BS PACK-Version.03_IBREAL_BS PACK-Version.07 3" xfId="8118" xr:uid="{00000000-0005-0000-0000-0000B61F0000}"/>
    <cellStyle name="_ICD from IREL_Fornax" xfId="8119" xr:uid="{00000000-0005-0000-0000-0000B71F0000}"/>
    <cellStyle name="_ICD from IREL_Fornax 2" xfId="8120" xr:uid="{00000000-0005-0000-0000-0000B81F0000}"/>
    <cellStyle name="_ICD from IREL_IREL_3000_08-09" xfId="8121" xr:uid="{00000000-0005-0000-0000-0000B91F0000}"/>
    <cellStyle name="_ICD from IREL_IREL_3000_08-09 2" xfId="8122" xr:uid="{00000000-0005-0000-0000-0000BA1F0000}"/>
    <cellStyle name="_ICD from IREL_ISL Group - Advance Tax working for 3rd Instalment" xfId="8123" xr:uid="{00000000-0005-0000-0000-0000BB1F0000}"/>
    <cellStyle name="_ICD from IREL_Land Control Sheet Aug 31.08 - Recon" xfId="8124" xr:uid="{00000000-0005-0000-0000-0000BC1F0000}"/>
    <cellStyle name="_ICD from IREL_Land Control Sheet Aug 31.08 - Recon 2" xfId="8125" xr:uid="{00000000-0005-0000-0000-0000BD1F0000}"/>
    <cellStyle name="_ICD from IREL_Land Control Sheet Sep 26.08" xfId="8126" xr:uid="{00000000-0005-0000-0000-0000BE1F0000}"/>
    <cellStyle name="_ICD from IREL_Land Control Sheet Sep 26.08 2" xfId="8127" xr:uid="{00000000-0005-0000-0000-0000BF1F0000}"/>
    <cellStyle name="_ICD from IREL_Xl0000013" xfId="8128" xr:uid="{00000000-0005-0000-0000-0000C01F0000}"/>
    <cellStyle name="_ICD Interest MIS 311208" xfId="8129" xr:uid="{00000000-0005-0000-0000-0000C11F0000}"/>
    <cellStyle name="_ICD Interest MIS 311208 2" xfId="8130" xr:uid="{00000000-0005-0000-0000-0000C21F0000}"/>
    <cellStyle name="_icd_icapsl" xfId="8131" xr:uid="{00000000-0005-0000-0000-0000C31F0000}"/>
    <cellStyle name="_icd_icapsl_269SS &amp; T IIAPL 09-10" xfId="8132" xr:uid="{00000000-0005-0000-0000-0000C41F0000}"/>
    <cellStyle name="_icd_icapsl_IICL 269_2009_10" xfId="8133" xr:uid="{00000000-0005-0000-0000-0000C51F0000}"/>
    <cellStyle name="_icd_icapsl_NFCL working file" xfId="8134" xr:uid="{00000000-0005-0000-0000-0000C61F0000}"/>
    <cellStyle name="_icd_icapsl_Tax Audit Report  F.Y.08-09" xfId="8135" xr:uid="{00000000-0005-0000-0000-0000C71F0000}"/>
    <cellStyle name="_icd_icapsl_Tax Audit Report  ICSL F.Y.09-10" xfId="8136" xr:uid="{00000000-0005-0000-0000-0000C81F0000}"/>
    <cellStyle name="_ICEL 10.09.2006" xfId="8137" xr:uid="{00000000-0005-0000-0000-0000C91F0000}"/>
    <cellStyle name="_ICEL 10.09.2006 2" xfId="8138" xr:uid="{00000000-0005-0000-0000-0000CA1F0000}"/>
    <cellStyle name="_ICEL 10.09.2006 2 2" xfId="8139" xr:uid="{00000000-0005-0000-0000-0000CB1F0000}"/>
    <cellStyle name="_ICEL 10.09.2006 3" xfId="8140" xr:uid="{00000000-0005-0000-0000-0000CC1F0000}"/>
    <cellStyle name="_ICEL 10.09.2006_269SS &amp; T IIAPL 09-10" xfId="8141" xr:uid="{00000000-0005-0000-0000-0000CD1F0000}"/>
    <cellStyle name="_ICEL 10.09.2006_Abstract-2007-08" xfId="8142" xr:uid="{00000000-0005-0000-0000-0000CE1F0000}"/>
    <cellStyle name="_ICEL 10.09.2006_Abstract-2007-08 2" xfId="8143" xr:uid="{00000000-0005-0000-0000-0000CF1F0000}"/>
    <cellStyle name="_ICEL 10.09.2006_Advance Tax Format_F.Y. 2010-11" xfId="8144" xr:uid="{00000000-0005-0000-0000-0000D01F0000}"/>
    <cellStyle name="_ICEL 10.09.2006_Advance Tax Sophia Jun 09" xfId="8145" xr:uid="{00000000-0005-0000-0000-0000D11F0000}"/>
    <cellStyle name="_ICEL 10.09.2006_Asset Management Company Limited" xfId="8146" xr:uid="{00000000-0005-0000-0000-0000D21F0000}"/>
    <cellStyle name="_ICEL 10.09.2006_Base File For Segment" xfId="8147" xr:uid="{00000000-0005-0000-0000-0000D31F0000}"/>
    <cellStyle name="_ICEL 10.09.2006_Book1" xfId="8148" xr:uid="{00000000-0005-0000-0000-0000D41F0000}"/>
    <cellStyle name="_ICEL 10.09.2006_Book1 (2)" xfId="8149" xr:uid="{00000000-0005-0000-0000-0000D51F0000}"/>
    <cellStyle name="_ICEL 10.09.2006_Book1 (2) 2" xfId="8150" xr:uid="{00000000-0005-0000-0000-0000D61F0000}"/>
    <cellStyle name="_ICEL 10.09.2006_Bracond Balance Sheet  PL_301108_krishanu" xfId="8151" xr:uid="{00000000-0005-0000-0000-0000D71F0000}"/>
    <cellStyle name="_ICEL 10.09.2006_BS _IB Asset Management _3103_ver5" xfId="8152" xr:uid="{00000000-0005-0000-0000-0000D81F0000}"/>
    <cellStyle name="_ICEL 10.09.2006_BS _IB Asset Management _3103_ver5_IAMCL BS working -New format_31.03 V5" xfId="8153" xr:uid="{00000000-0005-0000-0000-0000D91F0000}"/>
    <cellStyle name="_ICEL 10.09.2006_CCL_3353_2007-08" xfId="8154" xr:uid="{00000000-0005-0000-0000-0000DA1F0000}"/>
    <cellStyle name="_ICEL 10.09.2006_ChlorisProperties_3351_Dec.08" xfId="8155" xr:uid="{00000000-0005-0000-0000-0000DB1F0000}"/>
    <cellStyle name="_ICEL 10.09.2006_Consol Balance Sheet_Sophia_Dec08_Ibrel_1.3" xfId="8156" xr:uid="{00000000-0005-0000-0000-0000DC1F0000}"/>
    <cellStyle name="_ICEL 10.09.2006_CRAR - dec- 10v-12" xfId="8157" xr:uid="{00000000-0005-0000-0000-0000DD1F0000}"/>
    <cellStyle name="_ICEL 10.09.2006_CRAR - dec- 10v-12 2" xfId="8158" xr:uid="{00000000-0005-0000-0000-0000DE1F0000}"/>
    <cellStyle name="_ICEL 10.09.2006_detail (2)" xfId="8159" xr:uid="{00000000-0005-0000-0000-0000DF1F0000}"/>
    <cellStyle name="_ICEL 10.09.2006_Detail of IPO funding" xfId="8160" xr:uid="{00000000-0005-0000-0000-0000E01F0000}"/>
    <cellStyle name="_ICEL 10.09.2006_Details" xfId="8161" xr:uid="{00000000-0005-0000-0000-0000E11F0000}"/>
    <cellStyle name="_ICEL 10.09.2006_Entries Passed in Conso for profit on sale of invRevised 30.07.08" xfId="8162" xr:uid="{00000000-0005-0000-0000-0000E21F0000}"/>
    <cellStyle name="_ICEL 10.09.2006_Entries Passed in Conso for profit on sale of invRevised 30.07.08 2" xfId="8163" xr:uid="{00000000-0005-0000-0000-0000E31F0000}"/>
    <cellStyle name="_ICEL 10.09.2006_Entries Passed in Conso for profit on sale of invRevised 30.07.08_IREL_3000_08-09" xfId="8164" xr:uid="{00000000-0005-0000-0000-0000E41F0000}"/>
    <cellStyle name="_ICEL 10.09.2006_Entries Passed in Conso for profit on sale of invRevised 30.07.08_IREL_3000_08-09 2" xfId="8165" xr:uid="{00000000-0005-0000-0000-0000E51F0000}"/>
    <cellStyle name="_ICEL 10.09.2006_Entries Passed in Conso for profit on sale of invRevised 30.07.08_IREL_3000_08-09 2 2" xfId="8166" xr:uid="{00000000-0005-0000-0000-0000E61F0000}"/>
    <cellStyle name="_ICEL 10.09.2006_Entries Passed in Conso for profit on sale of invRevised 30.07.08_IREL_3000_08-09 3" xfId="8167" xr:uid="{00000000-0005-0000-0000-0000E71F0000}"/>
    <cellStyle name="_ICEL 10.09.2006_Entries Passed in Conso for profit on sale of invRevised 30.07.08_IREL_3000_08-09 stage 3" xfId="8168" xr:uid="{00000000-0005-0000-0000-0000E81F0000}"/>
    <cellStyle name="_ICEL 10.09.2006_Entries Passed in Conso for profit on sale of invRevised 30.07.08_IREL_3000_08-09 stage 3 2" xfId="8169" xr:uid="{00000000-0005-0000-0000-0000E91F0000}"/>
    <cellStyle name="_ICEL 10.09.2006_Entries Passed in Conso for profit on sale of invRevised 30.07.08_IREL_3000_08-09 stage 3_IREL_3000_08-09" xfId="8170" xr:uid="{00000000-0005-0000-0000-0000EA1F0000}"/>
    <cellStyle name="_ICEL 10.09.2006_Entries Passed in Conso for profit on sale of invRevised 30.07.08_IREL_3000_08-09 stage 3_IREL_3000_08-09 2" xfId="8171" xr:uid="{00000000-0005-0000-0000-0000EB1F0000}"/>
    <cellStyle name="_ICEL 10.09.2006_Entries Passed in Conso for profit on sale of invRevised 30.07.08_IREL_3000_08-09 stage 3_IREL_3000_08-09 2 2" xfId="8172" xr:uid="{00000000-0005-0000-0000-0000EC1F0000}"/>
    <cellStyle name="_ICEL 10.09.2006_Entries Passed in Conso for profit on sale of invRevised 30.07.08_IREL_3000_08-09 stage 3_IREL_3000_08-09 3" xfId="8173" xr:uid="{00000000-0005-0000-0000-0000ED1F0000}"/>
    <cellStyle name="_ICEL 10.09.2006_Entries Passed in Conso for profit on sale of invRevised 30.07.08_IREL_3000_08-09_IBREAL_BS PACK-Version.02" xfId="8174" xr:uid="{00000000-0005-0000-0000-0000EE1F0000}"/>
    <cellStyle name="_ICEL 10.09.2006_Entries Passed in Conso for profit on sale of invRevised 30.07.08_IREL_3000_08-09_IBREAL_BS PACK-Version.02 2" xfId="8175" xr:uid="{00000000-0005-0000-0000-0000EF1F0000}"/>
    <cellStyle name="_ICEL 10.09.2006_Entries Passed in Conso for profit on sale of invRevised 30.07.08_IREL_3000_08-09_IBREAL_BS PACK-Version.02 2 2" xfId="8176" xr:uid="{00000000-0005-0000-0000-0000F01F0000}"/>
    <cellStyle name="_ICEL 10.09.2006_Entries Passed in Conso for profit on sale of invRevised 30.07.08_IREL_3000_08-09_IBREAL_BS PACK-Version.02 3" xfId="8177" xr:uid="{00000000-0005-0000-0000-0000F11F0000}"/>
    <cellStyle name="_ICEL 10.09.2006_Entries Passed in Conso for profit on sale of invRevised 30.07.08_IREL_3000_08-09_IBREAL_BS PACK-Version.02_IBREAL_BS PACK-Version.03" xfId="8178" xr:uid="{00000000-0005-0000-0000-0000F21F0000}"/>
    <cellStyle name="_ICEL 10.09.2006_Entries Passed in Conso for profit on sale of invRevised 30.07.08_IREL_3000_08-09_IBREAL_BS PACK-Version.02_IBREAL_BS PACK-Version.03 2" xfId="8179" xr:uid="{00000000-0005-0000-0000-0000F31F0000}"/>
    <cellStyle name="_ICEL 10.09.2006_Entries Passed in Conso for profit on sale of invRevised 30.07.08_IREL_3000_08-09_IBREAL_BS PACK-Version.02_IBREAL_BS PACK-Version.03 2 2" xfId="8180" xr:uid="{00000000-0005-0000-0000-0000F41F0000}"/>
    <cellStyle name="_ICEL 10.09.2006_Entries Passed in Conso for profit on sale of invRevised 30.07.08_IREL_3000_08-09_IBREAL_BS PACK-Version.02_IBREAL_BS PACK-Version.03 3" xfId="8181" xr:uid="{00000000-0005-0000-0000-0000F51F0000}"/>
    <cellStyle name="_ICEL 10.09.2006_Entries Passed in Conso for profit on sale of invRevised 30.07.08_IREL_3000_08-09_IBREAL_BS PACK-Version.02_IBREAL_BS PACK-Version.03_IBREAL_BS PACK-Version.07" xfId="8182" xr:uid="{00000000-0005-0000-0000-0000F61F0000}"/>
    <cellStyle name="_ICEL 10.09.2006_Entries Passed in Conso for profit on sale of invRevised 30.07.08_IREL_3000_08-09_IBREAL_BS PACK-Version.02_IBREAL_BS PACK-Version.03_IBREAL_BS PACK-Version.07 2" xfId="8183" xr:uid="{00000000-0005-0000-0000-0000F71F0000}"/>
    <cellStyle name="_ICEL 10.09.2006_Entries Passed in Conso for profit on sale of invRevised 30.07.08_IREL_3000_08-09_IBREAL_BS PACK-Version.02_IBREAL_BS PACK-Version.03_IBREAL_BS PACK-Version.07 2 2" xfId="8184" xr:uid="{00000000-0005-0000-0000-0000F81F0000}"/>
    <cellStyle name="_ICEL 10.09.2006_Entries Passed in Conso for profit on sale of invRevised 30.07.08_IREL_3000_08-09_IBREAL_BS PACK-Version.02_IBREAL_BS PACK-Version.03_IBREAL_BS PACK-Version.07 3" xfId="8185" xr:uid="{00000000-0005-0000-0000-0000F91F0000}"/>
    <cellStyle name="_ICEL 10.09.2006_EPL_3346_2007-08(C)" xfId="8186" xr:uid="{00000000-0005-0000-0000-0000FA1F0000}"/>
    <cellStyle name="_ICEL 10.09.2006_FD Detail" xfId="8187" xr:uid="{00000000-0005-0000-0000-0000FB1F0000}"/>
    <cellStyle name="_ICEL 10.09.2006_FD Detail_Xl0000013" xfId="8188" xr:uid="{00000000-0005-0000-0000-0000FC1F0000}"/>
    <cellStyle name="_ICEL 10.09.2006_Final Consol Balance Sheet_Sophia_Dec08_27.01.08" xfId="8189" xr:uid="{00000000-0005-0000-0000-0000FD1F0000}"/>
    <cellStyle name="_ICEL 10.09.2006_Fixed Assets consolidated" xfId="8190" xr:uid="{00000000-0005-0000-0000-0000FE1F0000}"/>
    <cellStyle name="_ICEL 10.09.2006_IAMCL BS working -New format_31.03 V5" xfId="8191" xr:uid="{00000000-0005-0000-0000-0000FF1F0000}"/>
    <cellStyle name="_ICEL 10.09.2006_IB Asset Management _2910" xfId="8192" xr:uid="{00000000-0005-0000-0000-000000200000}"/>
    <cellStyle name="_ICEL 10.09.2006_IB Asset Management _2910_IB Collection Agency_3103 V3" xfId="8193" xr:uid="{00000000-0005-0000-0000-000001200000}"/>
    <cellStyle name="_ICEL 10.09.2006_IB Asset Management _2910_IB Collection Agency_3103 V3_ICAL-New Format_31.03 V4" xfId="8194" xr:uid="{00000000-0005-0000-0000-000002200000}"/>
    <cellStyle name="_ICEL 10.09.2006_IB Asset Management _2910_ICAL-BS Final Working _New format" xfId="8195" xr:uid="{00000000-0005-0000-0000-000003200000}"/>
    <cellStyle name="_ICEL 10.09.2006_IB Asset Management _3103_ver5" xfId="8196" xr:uid="{00000000-0005-0000-0000-000004200000}"/>
    <cellStyle name="_ICEL 10.09.2006_IB Asset Management_3103 V2" xfId="8197" xr:uid="{00000000-0005-0000-0000-000005200000}"/>
    <cellStyle name="_ICEL 10.09.2006_IB Asset Management_3103 V4" xfId="8198" xr:uid="{00000000-0005-0000-0000-000006200000}"/>
    <cellStyle name="_ICEL 10.09.2006_IB Asset Management_3103 V5" xfId="8199" xr:uid="{00000000-0005-0000-0000-000007200000}"/>
    <cellStyle name="_ICEL 10.09.2006_IB Collection Agency_3103 V3" xfId="8200" xr:uid="{00000000-0005-0000-0000-000008200000}"/>
    <cellStyle name="_ICEL 10.09.2006_IB Collection Agency_3103 V3_ICAL-New Format_31.03 V4" xfId="8201" xr:uid="{00000000-0005-0000-0000-000009200000}"/>
    <cellStyle name="_ICEL 10.09.2006_IB Infrastructure Credit" xfId="8202" xr:uid="{00000000-0005-0000-0000-00000A200000}"/>
    <cellStyle name="_ICEL 10.09.2006_IB Infrastructure Credit-3103_V6" xfId="8203" xr:uid="{00000000-0005-0000-0000-00000B200000}"/>
    <cellStyle name="_ICEL 10.09.2006_IB Infrastructure Credit-3103_V7" xfId="8204" xr:uid="{00000000-0005-0000-0000-00000C200000}"/>
    <cellStyle name="_ICEL 10.09.2006_IB Life Insurance_3103 V4" xfId="8205" xr:uid="{00000000-0005-0000-0000-00000D200000}"/>
    <cellStyle name="_ICEL 10.09.2006_IB Trustee Company_3103 V4" xfId="8206" xr:uid="{00000000-0005-0000-0000-00000E200000}"/>
    <cellStyle name="_ICEL 10.09.2006_IBFSL 30 Sep 11 V8" xfId="8207" xr:uid="{00000000-0005-0000-0000-00000F200000}"/>
    <cellStyle name="_ICEL 10.09.2006_IBFSL 31 May V1" xfId="8208" xr:uid="{00000000-0005-0000-0000-000010200000}"/>
    <cellStyle name="_ICEL 10.09.2006_IBFSL 31 May V1_Xl0000013" xfId="8209" xr:uid="{00000000-0005-0000-0000-000011200000}"/>
    <cellStyle name="_ICEL 10.09.2006_IBFSL_Conso_March_10_11" xfId="8210" xr:uid="{00000000-0005-0000-0000-000012200000}"/>
    <cellStyle name="_ICEL 10.09.2006_IBLIC_BS  Final working -New_Format_31.03 V5" xfId="8211" xr:uid="{00000000-0005-0000-0000-000013200000}"/>
    <cellStyle name="_ICEL 10.09.2006_Ibulls BS Final woirking -New format_31.03 V5" xfId="8212" xr:uid="{00000000-0005-0000-0000-000014200000}"/>
    <cellStyle name="_ICEL 10.09.2006_IbullsSales_3009V3 (3)" xfId="8213" xr:uid="{00000000-0005-0000-0000-000015200000}"/>
    <cellStyle name="_ICEL 10.09.2006_IbullsSales_3103" xfId="8214" xr:uid="{00000000-0005-0000-0000-000016200000}"/>
    <cellStyle name="_ICEL 10.09.2006_IbullsSales_3103 V2" xfId="8215" xr:uid="{00000000-0005-0000-0000-000017200000}"/>
    <cellStyle name="_ICEL 10.09.2006_IbullsSales_3103 V5" xfId="8216" xr:uid="{00000000-0005-0000-0000-000018200000}"/>
    <cellStyle name="_ICEL 10.09.2006_ICAL-BS Final Working _New format" xfId="8217" xr:uid="{00000000-0005-0000-0000-000019200000}"/>
    <cellStyle name="_ICEL 10.09.2006_ICL_BS_30.06.2009" xfId="8218" xr:uid="{00000000-0005-0000-0000-00001A200000}"/>
    <cellStyle name="_ICEL 10.09.2006_ICPL_BS_31.03.2009_new" xfId="8219" xr:uid="{00000000-0005-0000-0000-00001B200000}"/>
    <cellStyle name="_ICEL 10.09.2006_ICPL_BS_31.03.2009_new_ISL__3CD_FY2010-11" xfId="8220" xr:uid="{00000000-0005-0000-0000-00001C200000}"/>
    <cellStyle name="_ICEL 10.09.2006_IDSL_31.03.2010" xfId="8221" xr:uid="{00000000-0005-0000-0000-00001D200000}"/>
    <cellStyle name="_ICEL 10.09.2006_IFCPL 31 03 2010 VER6 Final" xfId="8222" xr:uid="{00000000-0005-0000-0000-00001E200000}"/>
    <cellStyle name="_ICEL 10.09.2006_IHFL_Dec_23_2008" xfId="8223" xr:uid="{00000000-0005-0000-0000-00001F200000}"/>
    <cellStyle name="_ICEL 10.09.2006_IHFL_Dec_23_2008_Xl0000013" xfId="8224" xr:uid="{00000000-0005-0000-0000-000020200000}"/>
    <cellStyle name="_ICEL 10.09.2006_IHFL_SEP_30_2009 XIII AUDIT- Sch II" xfId="8225" xr:uid="{00000000-0005-0000-0000-000021200000}"/>
    <cellStyle name="_ICEL 10.09.2006_IIAL 31.03.2010 VER2" xfId="8226" xr:uid="{00000000-0005-0000-0000-000022200000}"/>
    <cellStyle name="_ICEL 10.09.2006_IICL_March'11" xfId="8227" xr:uid="{00000000-0005-0000-0000-000023200000}"/>
    <cellStyle name="_ICEL 10.09.2006_IIDL_3227_2008_09" xfId="8228" xr:uid="{00000000-0005-0000-0000-000024200000}"/>
    <cellStyle name="_ICEL 10.09.2006_IIDL_3227_2008_09_Advance Tax Summary" xfId="8229" xr:uid="{00000000-0005-0000-0000-000025200000}"/>
    <cellStyle name="_ICEL 10.09.2006_IIDL_3227_2008_09_Advance Tax Summary 2" xfId="8230" xr:uid="{00000000-0005-0000-0000-000026200000}"/>
    <cellStyle name="_ICEL 10.09.2006_IIDL_3227_2008_09_ISL Group - Advance Tax working for 3rd Instalment" xfId="8231" xr:uid="{00000000-0005-0000-0000-000027200000}"/>
    <cellStyle name="_ICEL 10.09.2006_IIDL_3227_2008_09_Xl0000013" xfId="8232" xr:uid="{00000000-0005-0000-0000-000028200000}"/>
    <cellStyle name="_ICEL 10.09.2006_Indiabulls Asset Management Company Limited printable" xfId="8233" xr:uid="{00000000-0005-0000-0000-000029200000}"/>
    <cellStyle name="_ICEL 10.09.2006_IREL_3000_08-09" xfId="8234" xr:uid="{00000000-0005-0000-0000-00002A200000}"/>
    <cellStyle name="_ICEL 10.09.2006_IREL_3000_08-09 2" xfId="8235" xr:uid="{00000000-0005-0000-0000-00002B200000}"/>
    <cellStyle name="_ICEL 10.09.2006_ISL_March_08_09.final_11.12.2009" xfId="8236" xr:uid="{00000000-0005-0000-0000-00002C200000}"/>
    <cellStyle name="_ICEL 10.09.2006_ISL_March_08_09.final_11.12.2009_ISL__3CD_FY2010-11" xfId="8237" xr:uid="{00000000-0005-0000-0000-00002D200000}"/>
    <cellStyle name="_ICEL 10.09.2006_ITCL_BS working _New format_31.03 V7" xfId="8238" xr:uid="{00000000-0005-0000-0000-00002E200000}"/>
    <cellStyle name="_ICEL 10.09.2006_ITCL-New format_31.03 V6" xfId="8239" xr:uid="{00000000-0005-0000-0000-00002F200000}"/>
    <cellStyle name="_ICEL 10.09.2006_NFCL working file" xfId="8240" xr:uid="{00000000-0005-0000-0000-000030200000}"/>
    <cellStyle name="_ICEL 10.09.2006_NFCL_ Tax Audit Report FY08-09 " xfId="8241" xr:uid="{00000000-0005-0000-0000-000031200000}"/>
    <cellStyle name="_ICEL 10.09.2006_Revised Consol Balance Sheet_Sophia_Jan09_10.02.2009" xfId="8242" xr:uid="{00000000-0005-0000-0000-000032200000}"/>
    <cellStyle name="_ICEL 10.09.2006_Sophia Consol for Printout 22 Jun 09" xfId="8243" xr:uid="{00000000-0005-0000-0000-000033200000}"/>
    <cellStyle name="_ICEL 10.09.2006_Sophia Consol_march_09_05 June  09_1" xfId="8244" xr:uid="{00000000-0005-0000-0000-000034200000}"/>
    <cellStyle name="_ICEL 10.09.2006_Tax Audit Report  F.Y.08-09" xfId="8245" xr:uid="{00000000-0005-0000-0000-000035200000}"/>
    <cellStyle name="_ICEL 10.09.2006_Tax Audit Report  ICSL F.Y.09-10" xfId="8246" xr:uid="{00000000-0005-0000-0000-000036200000}"/>
    <cellStyle name="_ICEL 10.09.2006_Treasury ICD Interest_ MIS_ 23  09 2009(final)" xfId="8247" xr:uid="{00000000-0005-0000-0000-000037200000}"/>
    <cellStyle name="_ICEL 10.09.2006_Treasury ICD Interest_ MIS_ 30. 06 2009(final)" xfId="8248" xr:uid="{00000000-0005-0000-0000-000038200000}"/>
    <cellStyle name="_ICEL 10.09.2006_Treasury ICD Interest_ MIS_ 30. 09 2009(final)" xfId="8249" xr:uid="{00000000-0005-0000-0000-000039200000}"/>
    <cellStyle name="_ICEL 10.09.2006_Treasury ICD Interest_ MIS_ 31 05 2009" xfId="8250" xr:uid="{00000000-0005-0000-0000-00003A200000}"/>
    <cellStyle name="_ICEL 10.09.2006_Treasury ICD Interest_ MIS_ 31 10 2009" xfId="8251" xr:uid="{00000000-0005-0000-0000-00003B200000}"/>
    <cellStyle name="_ICEL 10.09.2006_Treasury ICD Interest_ MIS_ 31.10.2009" xfId="8252" xr:uid="{00000000-0005-0000-0000-00003C200000}"/>
    <cellStyle name="_ICEL 10.09.2006_Treasury ICD Interest_ MIS_ 310309" xfId="8253" xr:uid="{00000000-0005-0000-0000-00003D200000}"/>
    <cellStyle name="_ICICI FC PYT" xfId="8254" xr:uid="{00000000-0005-0000-0000-00003E200000}"/>
    <cellStyle name="_ICICI IHFL Assign 2 SEP'06" xfId="8255" xr:uid="{00000000-0005-0000-0000-00003F200000}"/>
    <cellStyle name="_ICICI IHFL Assign 2 SEP'06 2" xfId="8256" xr:uid="{00000000-0005-0000-0000-000040200000}"/>
    <cellStyle name="_ICICI IHFL Assign 2 SEP'06_Indiabulls Asset Management Company Limited printable" xfId="8257" xr:uid="{00000000-0005-0000-0000-000041200000}"/>
    <cellStyle name="_ICICI MIS" xfId="8258" xr:uid="{00000000-0005-0000-0000-000042200000}"/>
    <cellStyle name="_ICICI MIS (2)" xfId="8259" xr:uid="{00000000-0005-0000-0000-000043200000}"/>
    <cellStyle name="_ICICI MIS (2) 2" xfId="8260" xr:uid="{00000000-0005-0000-0000-000044200000}"/>
    <cellStyle name="_ICICI MIS (2)_Indiabulls Asset Management Company Limited printable" xfId="8261" xr:uid="{00000000-0005-0000-0000-000045200000}"/>
    <cellStyle name="_ICICI MIS 2" xfId="8262" xr:uid="{00000000-0005-0000-0000-000046200000}"/>
    <cellStyle name="_ICICI MIS 3" xfId="8263" xr:uid="{00000000-0005-0000-0000-000047200000}"/>
    <cellStyle name="_ICICI MIS 4" xfId="8264" xr:uid="{00000000-0005-0000-0000-000048200000}"/>
    <cellStyle name="_ICICI MIS 5" xfId="8265" xr:uid="{00000000-0005-0000-0000-000049200000}"/>
    <cellStyle name="_ICICI MIS 6" xfId="8266" xr:uid="{00000000-0005-0000-0000-00004A200000}"/>
    <cellStyle name="_ICICI MIS 7" xfId="8267" xr:uid="{00000000-0005-0000-0000-00004B200000}"/>
    <cellStyle name="_ICICI MIS 8" xfId="8268" xr:uid="{00000000-0005-0000-0000-00004C200000}"/>
    <cellStyle name="_ICICI MIS 9" xfId="8269" xr:uid="{00000000-0005-0000-0000-00004D200000}"/>
    <cellStyle name="_ICICI MIS REPORT AS ON 03 SEP cv &amp; fes" xfId="8270" xr:uid="{00000000-0005-0000-0000-00004E200000}"/>
    <cellStyle name="_ICICI MIS REPORT AS ON 03 SEP cv &amp; fes 2" xfId="8271" xr:uid="{00000000-0005-0000-0000-00004F200000}"/>
    <cellStyle name="_ICICI MIS REPORT AS ON 03 SEP cv &amp; fes_Indiabulls Asset Management Company Limited printable" xfId="8272" xr:uid="{00000000-0005-0000-0000-000050200000}"/>
    <cellStyle name="_ICICI MIS_Indiabulls Asset Management Company Limited printable" xfId="8273" xr:uid="{00000000-0005-0000-0000-000051200000}"/>
    <cellStyle name="_ICPL 10.09.2007" xfId="8274" xr:uid="{00000000-0005-0000-0000-000052200000}"/>
    <cellStyle name="_ICPL 10.09.2007 2" xfId="8275" xr:uid="{00000000-0005-0000-0000-000053200000}"/>
    <cellStyle name="_ICPL 10.09.2007_Detail of IPO funding" xfId="8276" xr:uid="{00000000-0005-0000-0000-000054200000}"/>
    <cellStyle name="_ICPL 10.09.2007_FDR Int Calculation as per BS" xfId="8277" xr:uid="{00000000-0005-0000-0000-000055200000}"/>
    <cellStyle name="_ICPL 10.09.2007_ICL_BS_30.06.2009" xfId="8278" xr:uid="{00000000-0005-0000-0000-000056200000}"/>
    <cellStyle name="_ICPL 10.09.2007_ICPL_BS_31.03.2009_new" xfId="8279" xr:uid="{00000000-0005-0000-0000-000057200000}"/>
    <cellStyle name="_ICPL 10.09.2007_ICPL_BS_31.03.2009_new_ISL__3CD_FY2010-11" xfId="8280" xr:uid="{00000000-0005-0000-0000-000058200000}"/>
    <cellStyle name="_ICPL 10.09.2007_IDSL_31.03.2010" xfId="8281" xr:uid="{00000000-0005-0000-0000-000059200000}"/>
    <cellStyle name="_ICPL 10.09.2007_IFCPL 31 03 2010 VER6 Final" xfId="8282" xr:uid="{00000000-0005-0000-0000-00005A200000}"/>
    <cellStyle name="_ICPL 10.09.2007_ISL_March_08_09.final_11.12.2009" xfId="8283" xr:uid="{00000000-0005-0000-0000-00005B200000}"/>
    <cellStyle name="_ICPL 10.09.2007_ISL_March_08_09.final_11.12.2009_ISL__3CD_FY2010-11" xfId="8284" xr:uid="{00000000-0005-0000-0000-00005C200000}"/>
    <cellStyle name="_ICPL_16.03.2008_rev" xfId="8285" xr:uid="{00000000-0005-0000-0000-00005D200000}"/>
    <cellStyle name="_ICPL_24.01.2008" xfId="8286" xr:uid="{00000000-0005-0000-0000-00005E200000}"/>
    <cellStyle name="_ICPL_BS_31.03.2009" xfId="8287" xr:uid="{00000000-0005-0000-0000-00005F200000}"/>
    <cellStyle name="_ICPL_BS_31.03.2009_ISL__3CD_FY2010-11" xfId="8288" xr:uid="{00000000-0005-0000-0000-000060200000}"/>
    <cellStyle name="_ICPL_COMPUTATION_FY2008-09" xfId="8289" xr:uid="{00000000-0005-0000-0000-000061200000}"/>
    <cellStyle name="_ICRA IPO" xfId="8290" xr:uid="{00000000-0005-0000-0000-000062200000}"/>
    <cellStyle name="_ICRA IPO 2" xfId="8291" xr:uid="{00000000-0005-0000-0000-000063200000}"/>
    <cellStyle name="_ICRA IPO_Indiabulls Asset Management Company Limited printable" xfId="8292" xr:uid="{00000000-0005-0000-0000-000064200000}"/>
    <cellStyle name="_ICSL Exp Working Nov 07" xfId="8293" xr:uid="{00000000-0005-0000-0000-000065200000}"/>
    <cellStyle name="_ICSL Exp Working Nov 07 2" xfId="8294" xr:uid="{00000000-0005-0000-0000-000066200000}"/>
    <cellStyle name="_ICSL- HOLD DETAILS-" xfId="8295" xr:uid="{00000000-0005-0000-0000-000067200000}"/>
    <cellStyle name="_ICSL- HOLD DETAILS- 2" xfId="8296" xr:uid="{00000000-0005-0000-0000-000068200000}"/>
    <cellStyle name="_ICSL- HOLD DETAILS-_IHFL_September_30_2010 VERSION 10" xfId="8297" xr:uid="{00000000-0005-0000-0000-000069200000}"/>
    <cellStyle name="_ICSL, IFSL,&amp; IHFL Excel Tracker 23.11.2007" xfId="8298" xr:uid="{00000000-0005-0000-0000-00006A200000}"/>
    <cellStyle name="_ICSL, IFSL,&amp; IHFL Excel Tracker 23.11.2007 2" xfId="8299" xr:uid="{00000000-0005-0000-0000-00006B200000}"/>
    <cellStyle name="_ICSL, IFSL,&amp; IHFL Excel Tracker 23.11.2007_IHFL_September_30_2010 VERSION 10" xfId="8300" xr:uid="{00000000-0005-0000-0000-00006C200000}"/>
    <cellStyle name="_ICSL_ APRIL FINAL_06" xfId="8301" xr:uid="{00000000-0005-0000-0000-00006D200000}"/>
    <cellStyle name="_ICSL_ APRIL FINAL_06 2" xfId="8302" xr:uid="{00000000-0005-0000-0000-00006E200000}"/>
    <cellStyle name="_ICSL_ APRIL FINAL_06_Details of Assets &amp; Liablilities" xfId="8303" xr:uid="{00000000-0005-0000-0000-00006F200000}"/>
    <cellStyle name="_ICSL_ APRIL FINAL_06_Details of Assets &amp; Liablilities 2" xfId="8304" xr:uid="{00000000-0005-0000-0000-000070200000}"/>
    <cellStyle name="_ICSL_ APRIL FINAL_06_Details of Assets &amp; Liablilities 3" xfId="8305" xr:uid="{00000000-0005-0000-0000-000071200000}"/>
    <cellStyle name="_ICSL_ APRIL FINAL_06_IBL_09.12.2009" xfId="8306" xr:uid="{00000000-0005-0000-0000-000072200000}"/>
    <cellStyle name="_ICSL_ APRIL FINAL_06_IBL_09.12.2009 2" xfId="8307" xr:uid="{00000000-0005-0000-0000-000073200000}"/>
    <cellStyle name="_ICSL_ APRIL FINAL_06_ICL_22 12 2009" xfId="8308" xr:uid="{00000000-0005-0000-0000-000074200000}"/>
    <cellStyle name="_ICSL_ APRIL FINAL_06_ICL_22 12 2009 2" xfId="8309" xr:uid="{00000000-0005-0000-0000-000075200000}"/>
    <cellStyle name="_ICSL_ APRIL FINAL_06_Indiabulls Asset Management Company Limited printable" xfId="8310" xr:uid="{00000000-0005-0000-0000-000076200000}"/>
    <cellStyle name="_ICSL_ May_31 _06" xfId="8311" xr:uid="{00000000-0005-0000-0000-000077200000}"/>
    <cellStyle name="_ICSL_ May_31 _06 2" xfId="8312" xr:uid="{00000000-0005-0000-0000-000078200000}"/>
    <cellStyle name="_ICSL_ May_31 _06_Details of Assets &amp; Liablilities" xfId="8313" xr:uid="{00000000-0005-0000-0000-000079200000}"/>
    <cellStyle name="_ICSL_ May_31 _06_Details of Assets &amp; Liablilities 2" xfId="8314" xr:uid="{00000000-0005-0000-0000-00007A200000}"/>
    <cellStyle name="_ICSL_ May_31 _06_Details of Assets &amp; Liablilities 3" xfId="8315" xr:uid="{00000000-0005-0000-0000-00007B200000}"/>
    <cellStyle name="_ICSL_ May_31 _06_IBL_09.12.2009" xfId="8316" xr:uid="{00000000-0005-0000-0000-00007C200000}"/>
    <cellStyle name="_ICSL_ May_31 _06_IBL_09.12.2009 2" xfId="8317" xr:uid="{00000000-0005-0000-0000-00007D200000}"/>
    <cellStyle name="_ICSL_ May_31 _06_ICL_22 12 2009" xfId="8318" xr:uid="{00000000-0005-0000-0000-00007E200000}"/>
    <cellStyle name="_ICSL_ May_31 _06_ICL_22 12 2009 2" xfId="8319" xr:uid="{00000000-0005-0000-0000-00007F200000}"/>
    <cellStyle name="_ICSL_ May_31 _06_Indiabulls Asset Management Company Limited printable" xfId="8320" xr:uid="{00000000-0005-0000-0000-000080200000}"/>
    <cellStyle name="_IEGL  10.09.2006" xfId="8321" xr:uid="{00000000-0005-0000-0000-000081200000}"/>
    <cellStyle name="_IEGL  10.09.2006 2" xfId="8322" xr:uid="{00000000-0005-0000-0000-000082200000}"/>
    <cellStyle name="_IEGL  10.09.2006 2 2" xfId="8323" xr:uid="{00000000-0005-0000-0000-000083200000}"/>
    <cellStyle name="_IEGL  10.09.2006 3" xfId="8324" xr:uid="{00000000-0005-0000-0000-000084200000}"/>
    <cellStyle name="_IEGL  10.09.2006_269SS &amp; T IIAPL 09-10" xfId="8325" xr:uid="{00000000-0005-0000-0000-000085200000}"/>
    <cellStyle name="_IEGL  10.09.2006_Abstract-2007-08" xfId="8326" xr:uid="{00000000-0005-0000-0000-000086200000}"/>
    <cellStyle name="_IEGL  10.09.2006_Abstract-2007-08 2" xfId="8327" xr:uid="{00000000-0005-0000-0000-000087200000}"/>
    <cellStyle name="_IEGL  10.09.2006_Advance Tax Format_F.Y. 2010-11" xfId="8328" xr:uid="{00000000-0005-0000-0000-000088200000}"/>
    <cellStyle name="_IEGL  10.09.2006_Advance Tax Sophia Jun 09" xfId="8329" xr:uid="{00000000-0005-0000-0000-000089200000}"/>
    <cellStyle name="_IEGL  10.09.2006_Asset Management Company Limited" xfId="8330" xr:uid="{00000000-0005-0000-0000-00008A200000}"/>
    <cellStyle name="_IEGL  10.09.2006_Base File For Segment" xfId="8331" xr:uid="{00000000-0005-0000-0000-00008B200000}"/>
    <cellStyle name="_IEGL  10.09.2006_Book1" xfId="8332" xr:uid="{00000000-0005-0000-0000-00008C200000}"/>
    <cellStyle name="_IEGL  10.09.2006_Book1 (2)" xfId="8333" xr:uid="{00000000-0005-0000-0000-00008D200000}"/>
    <cellStyle name="_IEGL  10.09.2006_Book1 (2) 2" xfId="8334" xr:uid="{00000000-0005-0000-0000-00008E200000}"/>
    <cellStyle name="_IEGL  10.09.2006_Bracond Balance Sheet  PL_301108_krishanu" xfId="8335" xr:uid="{00000000-0005-0000-0000-00008F200000}"/>
    <cellStyle name="_IEGL  10.09.2006_BS _IB Asset Management _3103_ver5" xfId="8336" xr:uid="{00000000-0005-0000-0000-000090200000}"/>
    <cellStyle name="_IEGL  10.09.2006_BS _IB Asset Management _3103_ver5_IAMCL BS working -New format_31.03 V5" xfId="8337" xr:uid="{00000000-0005-0000-0000-000091200000}"/>
    <cellStyle name="_IEGL  10.09.2006_CCL_3353_2007-08" xfId="8338" xr:uid="{00000000-0005-0000-0000-000092200000}"/>
    <cellStyle name="_IEGL  10.09.2006_ChlorisProperties_3351_Dec.08" xfId="8339" xr:uid="{00000000-0005-0000-0000-000093200000}"/>
    <cellStyle name="_IEGL  10.09.2006_Consol Balance Sheet_Sophia_Dec08_Ibrel_1.3" xfId="8340" xr:uid="{00000000-0005-0000-0000-000094200000}"/>
    <cellStyle name="_IEGL  10.09.2006_CRAR - dec- 10v-12" xfId="8341" xr:uid="{00000000-0005-0000-0000-000095200000}"/>
    <cellStyle name="_IEGL  10.09.2006_CRAR - dec- 10v-12 2" xfId="8342" xr:uid="{00000000-0005-0000-0000-000096200000}"/>
    <cellStyle name="_IEGL  10.09.2006_detail (2)" xfId="8343" xr:uid="{00000000-0005-0000-0000-000097200000}"/>
    <cellStyle name="_IEGL  10.09.2006_Detail of IPO funding" xfId="8344" xr:uid="{00000000-0005-0000-0000-000098200000}"/>
    <cellStyle name="_IEGL  10.09.2006_Details" xfId="8345" xr:uid="{00000000-0005-0000-0000-000099200000}"/>
    <cellStyle name="_IEGL  10.09.2006_Entries Passed in Conso for profit on sale of invRevised 30.07.08" xfId="8346" xr:uid="{00000000-0005-0000-0000-00009A200000}"/>
    <cellStyle name="_IEGL  10.09.2006_Entries Passed in Conso for profit on sale of invRevised 30.07.08 2" xfId="8347" xr:uid="{00000000-0005-0000-0000-00009B200000}"/>
    <cellStyle name="_IEGL  10.09.2006_Entries Passed in Conso for profit on sale of invRevised 30.07.08_IREL_3000_08-09" xfId="8348" xr:uid="{00000000-0005-0000-0000-00009C200000}"/>
    <cellStyle name="_IEGL  10.09.2006_Entries Passed in Conso for profit on sale of invRevised 30.07.08_IREL_3000_08-09 2" xfId="8349" xr:uid="{00000000-0005-0000-0000-00009D200000}"/>
    <cellStyle name="_IEGL  10.09.2006_Entries Passed in Conso for profit on sale of invRevised 30.07.08_IREL_3000_08-09 2 2" xfId="8350" xr:uid="{00000000-0005-0000-0000-00009E200000}"/>
    <cellStyle name="_IEGL  10.09.2006_Entries Passed in Conso for profit on sale of invRevised 30.07.08_IREL_3000_08-09 3" xfId="8351" xr:uid="{00000000-0005-0000-0000-00009F200000}"/>
    <cellStyle name="_IEGL  10.09.2006_Entries Passed in Conso for profit on sale of invRevised 30.07.08_IREL_3000_08-09 stage 3" xfId="8352" xr:uid="{00000000-0005-0000-0000-0000A0200000}"/>
    <cellStyle name="_IEGL  10.09.2006_Entries Passed in Conso for profit on sale of invRevised 30.07.08_IREL_3000_08-09 stage 3 2" xfId="8353" xr:uid="{00000000-0005-0000-0000-0000A1200000}"/>
    <cellStyle name="_IEGL  10.09.2006_Entries Passed in Conso for profit on sale of invRevised 30.07.08_IREL_3000_08-09 stage 3_IREL_3000_08-09" xfId="8354" xr:uid="{00000000-0005-0000-0000-0000A2200000}"/>
    <cellStyle name="_IEGL  10.09.2006_Entries Passed in Conso for profit on sale of invRevised 30.07.08_IREL_3000_08-09 stage 3_IREL_3000_08-09 2" xfId="8355" xr:uid="{00000000-0005-0000-0000-0000A3200000}"/>
    <cellStyle name="_IEGL  10.09.2006_Entries Passed in Conso for profit on sale of invRevised 30.07.08_IREL_3000_08-09 stage 3_IREL_3000_08-09 2 2" xfId="8356" xr:uid="{00000000-0005-0000-0000-0000A4200000}"/>
    <cellStyle name="_IEGL  10.09.2006_Entries Passed in Conso for profit on sale of invRevised 30.07.08_IREL_3000_08-09 stage 3_IREL_3000_08-09 3" xfId="8357" xr:uid="{00000000-0005-0000-0000-0000A5200000}"/>
    <cellStyle name="_IEGL  10.09.2006_Entries Passed in Conso for profit on sale of invRevised 30.07.08_IREL_3000_08-09_IBREAL_BS PACK-Version.02" xfId="8358" xr:uid="{00000000-0005-0000-0000-0000A6200000}"/>
    <cellStyle name="_IEGL  10.09.2006_Entries Passed in Conso for profit on sale of invRevised 30.07.08_IREL_3000_08-09_IBREAL_BS PACK-Version.02 2" xfId="8359" xr:uid="{00000000-0005-0000-0000-0000A7200000}"/>
    <cellStyle name="_IEGL  10.09.2006_Entries Passed in Conso for profit on sale of invRevised 30.07.08_IREL_3000_08-09_IBREAL_BS PACK-Version.02 2 2" xfId="8360" xr:uid="{00000000-0005-0000-0000-0000A8200000}"/>
    <cellStyle name="_IEGL  10.09.2006_Entries Passed in Conso for profit on sale of invRevised 30.07.08_IREL_3000_08-09_IBREAL_BS PACK-Version.02 3" xfId="8361" xr:uid="{00000000-0005-0000-0000-0000A9200000}"/>
    <cellStyle name="_IEGL  10.09.2006_Entries Passed in Conso for profit on sale of invRevised 30.07.08_IREL_3000_08-09_IBREAL_BS PACK-Version.02_IBREAL_BS PACK-Version.03" xfId="8362" xr:uid="{00000000-0005-0000-0000-0000AA200000}"/>
    <cellStyle name="_IEGL  10.09.2006_Entries Passed in Conso for profit on sale of invRevised 30.07.08_IREL_3000_08-09_IBREAL_BS PACK-Version.02_IBREAL_BS PACK-Version.03 2" xfId="8363" xr:uid="{00000000-0005-0000-0000-0000AB200000}"/>
    <cellStyle name="_IEGL  10.09.2006_Entries Passed in Conso for profit on sale of invRevised 30.07.08_IREL_3000_08-09_IBREAL_BS PACK-Version.02_IBREAL_BS PACK-Version.03 2 2" xfId="8364" xr:uid="{00000000-0005-0000-0000-0000AC200000}"/>
    <cellStyle name="_IEGL  10.09.2006_Entries Passed in Conso for profit on sale of invRevised 30.07.08_IREL_3000_08-09_IBREAL_BS PACK-Version.02_IBREAL_BS PACK-Version.03 3" xfId="8365" xr:uid="{00000000-0005-0000-0000-0000AD200000}"/>
    <cellStyle name="_IEGL  10.09.2006_Entries Passed in Conso for profit on sale of invRevised 30.07.08_IREL_3000_08-09_IBREAL_BS PACK-Version.02_IBREAL_BS PACK-Version.03_IBREAL_BS PACK-Version.07" xfId="8366" xr:uid="{00000000-0005-0000-0000-0000AE200000}"/>
    <cellStyle name="_IEGL  10.09.2006_Entries Passed in Conso for profit on sale of invRevised 30.07.08_IREL_3000_08-09_IBREAL_BS PACK-Version.02_IBREAL_BS PACK-Version.03_IBREAL_BS PACK-Version.07 2" xfId="8367" xr:uid="{00000000-0005-0000-0000-0000AF200000}"/>
    <cellStyle name="_IEGL  10.09.2006_Entries Passed in Conso for profit on sale of invRevised 30.07.08_IREL_3000_08-09_IBREAL_BS PACK-Version.02_IBREAL_BS PACK-Version.03_IBREAL_BS PACK-Version.07 2 2" xfId="8368" xr:uid="{00000000-0005-0000-0000-0000B0200000}"/>
    <cellStyle name="_IEGL  10.09.2006_Entries Passed in Conso for profit on sale of invRevised 30.07.08_IREL_3000_08-09_IBREAL_BS PACK-Version.02_IBREAL_BS PACK-Version.03_IBREAL_BS PACK-Version.07 3" xfId="8369" xr:uid="{00000000-0005-0000-0000-0000B1200000}"/>
    <cellStyle name="_IEGL  10.09.2006_EPL_3346_2007-08(C)" xfId="8370" xr:uid="{00000000-0005-0000-0000-0000B2200000}"/>
    <cellStyle name="_IEGL  10.09.2006_FD Detail" xfId="8371" xr:uid="{00000000-0005-0000-0000-0000B3200000}"/>
    <cellStyle name="_IEGL  10.09.2006_FD Detail_Xl0000013" xfId="8372" xr:uid="{00000000-0005-0000-0000-0000B4200000}"/>
    <cellStyle name="_IEGL  10.09.2006_Final Consol Balance Sheet_Sophia_Dec08_27.01.08" xfId="8373" xr:uid="{00000000-0005-0000-0000-0000B5200000}"/>
    <cellStyle name="_IEGL  10.09.2006_Fixed Assets consolidated" xfId="8374" xr:uid="{00000000-0005-0000-0000-0000B6200000}"/>
    <cellStyle name="_IEGL  10.09.2006_IAMCL BS working -New format_31.03 V5" xfId="8375" xr:uid="{00000000-0005-0000-0000-0000B7200000}"/>
    <cellStyle name="_IEGL  10.09.2006_IB Asset Management _2910" xfId="8376" xr:uid="{00000000-0005-0000-0000-0000B8200000}"/>
    <cellStyle name="_IEGL  10.09.2006_IB Asset Management _2910_IB Collection Agency_3103 V3" xfId="8377" xr:uid="{00000000-0005-0000-0000-0000B9200000}"/>
    <cellStyle name="_IEGL  10.09.2006_IB Asset Management _2910_IB Collection Agency_3103 V3_ICAL-New Format_31.03 V4" xfId="8378" xr:uid="{00000000-0005-0000-0000-0000BA200000}"/>
    <cellStyle name="_IEGL  10.09.2006_IB Asset Management _2910_ICAL-BS Final Working _New format" xfId="8379" xr:uid="{00000000-0005-0000-0000-0000BB200000}"/>
    <cellStyle name="_IEGL  10.09.2006_IB Asset Management _3103_ver5" xfId="8380" xr:uid="{00000000-0005-0000-0000-0000BC200000}"/>
    <cellStyle name="_IEGL  10.09.2006_IB Asset Management_3103 V2" xfId="8381" xr:uid="{00000000-0005-0000-0000-0000BD200000}"/>
    <cellStyle name="_IEGL  10.09.2006_IB Asset Management_3103 V4" xfId="8382" xr:uid="{00000000-0005-0000-0000-0000BE200000}"/>
    <cellStyle name="_IEGL  10.09.2006_IB Asset Management_3103 V5" xfId="8383" xr:uid="{00000000-0005-0000-0000-0000BF200000}"/>
    <cellStyle name="_IEGL  10.09.2006_IB Collection Agency_3103 V3" xfId="8384" xr:uid="{00000000-0005-0000-0000-0000C0200000}"/>
    <cellStyle name="_IEGL  10.09.2006_IB Collection Agency_3103 V3_ICAL-New Format_31.03 V4" xfId="8385" xr:uid="{00000000-0005-0000-0000-0000C1200000}"/>
    <cellStyle name="_IEGL  10.09.2006_IB Infrastructure Credit" xfId="8386" xr:uid="{00000000-0005-0000-0000-0000C2200000}"/>
    <cellStyle name="_IEGL  10.09.2006_IB Infrastructure Credit-3103_V6" xfId="8387" xr:uid="{00000000-0005-0000-0000-0000C3200000}"/>
    <cellStyle name="_IEGL  10.09.2006_IB Infrastructure Credit-3103_V7" xfId="8388" xr:uid="{00000000-0005-0000-0000-0000C4200000}"/>
    <cellStyle name="_IEGL  10.09.2006_IB Life Insurance_3103 V4" xfId="8389" xr:uid="{00000000-0005-0000-0000-0000C5200000}"/>
    <cellStyle name="_IEGL  10.09.2006_IB Trustee Company_3103 V4" xfId="8390" xr:uid="{00000000-0005-0000-0000-0000C6200000}"/>
    <cellStyle name="_IEGL  10.09.2006_IBFSL 30 Sep 11 V8" xfId="8391" xr:uid="{00000000-0005-0000-0000-0000C7200000}"/>
    <cellStyle name="_IEGL  10.09.2006_IBFSL 31 May V1" xfId="8392" xr:uid="{00000000-0005-0000-0000-0000C8200000}"/>
    <cellStyle name="_IEGL  10.09.2006_IBFSL 31 May V1_Xl0000013" xfId="8393" xr:uid="{00000000-0005-0000-0000-0000C9200000}"/>
    <cellStyle name="_IEGL  10.09.2006_IBFSL_Conso_March_10_11" xfId="8394" xr:uid="{00000000-0005-0000-0000-0000CA200000}"/>
    <cellStyle name="_IEGL  10.09.2006_IBLIC_BS  Final working -New_Format_31.03 V5" xfId="8395" xr:uid="{00000000-0005-0000-0000-0000CB200000}"/>
    <cellStyle name="_IEGL  10.09.2006_Ibulls BS Final woirking -New format_31.03 V5" xfId="8396" xr:uid="{00000000-0005-0000-0000-0000CC200000}"/>
    <cellStyle name="_IEGL  10.09.2006_IbullsSales_3009V3 (3)" xfId="8397" xr:uid="{00000000-0005-0000-0000-0000CD200000}"/>
    <cellStyle name="_IEGL  10.09.2006_IbullsSales_3103" xfId="8398" xr:uid="{00000000-0005-0000-0000-0000CE200000}"/>
    <cellStyle name="_IEGL  10.09.2006_IbullsSales_3103 V2" xfId="8399" xr:uid="{00000000-0005-0000-0000-0000CF200000}"/>
    <cellStyle name="_IEGL  10.09.2006_IbullsSales_3103 V5" xfId="8400" xr:uid="{00000000-0005-0000-0000-0000D0200000}"/>
    <cellStyle name="_IEGL  10.09.2006_ICAL-BS Final Working _New format" xfId="8401" xr:uid="{00000000-0005-0000-0000-0000D1200000}"/>
    <cellStyle name="_IEGL  10.09.2006_ICL_BS_30.06.2009" xfId="8402" xr:uid="{00000000-0005-0000-0000-0000D2200000}"/>
    <cellStyle name="_IEGL  10.09.2006_ICPL_BS_31.03.2009_new" xfId="8403" xr:uid="{00000000-0005-0000-0000-0000D3200000}"/>
    <cellStyle name="_IEGL  10.09.2006_ICPL_BS_31.03.2009_new_ISL__3CD_FY2010-11" xfId="8404" xr:uid="{00000000-0005-0000-0000-0000D4200000}"/>
    <cellStyle name="_IEGL  10.09.2006_IDSL_31.03.2010" xfId="8405" xr:uid="{00000000-0005-0000-0000-0000D5200000}"/>
    <cellStyle name="_IEGL  10.09.2006_IFCPL 31 03 2010 VER6 Final" xfId="8406" xr:uid="{00000000-0005-0000-0000-0000D6200000}"/>
    <cellStyle name="_IEGL  10.09.2006_IHFL_Dec_23_2008" xfId="8407" xr:uid="{00000000-0005-0000-0000-0000D7200000}"/>
    <cellStyle name="_IEGL  10.09.2006_IHFL_Dec_23_2008_Xl0000013" xfId="8408" xr:uid="{00000000-0005-0000-0000-0000D8200000}"/>
    <cellStyle name="_IEGL  10.09.2006_IHFL_SEP_30_2009 XIII AUDIT- Sch II" xfId="8409" xr:uid="{00000000-0005-0000-0000-0000D9200000}"/>
    <cellStyle name="_IEGL  10.09.2006_IIAL 31.03.2010 VER2" xfId="8410" xr:uid="{00000000-0005-0000-0000-0000DA200000}"/>
    <cellStyle name="_IEGL  10.09.2006_IICL_March'11" xfId="8411" xr:uid="{00000000-0005-0000-0000-0000DB200000}"/>
    <cellStyle name="_IEGL  10.09.2006_IIDL_3227_2008_09" xfId="8412" xr:uid="{00000000-0005-0000-0000-0000DC200000}"/>
    <cellStyle name="_IEGL  10.09.2006_IIDL_3227_2008_09_Advance Tax Summary" xfId="8413" xr:uid="{00000000-0005-0000-0000-0000DD200000}"/>
    <cellStyle name="_IEGL  10.09.2006_IIDL_3227_2008_09_Advance Tax Summary 2" xfId="8414" xr:uid="{00000000-0005-0000-0000-0000DE200000}"/>
    <cellStyle name="_IEGL  10.09.2006_IIDL_3227_2008_09_ISL Group - Advance Tax working for 3rd Instalment" xfId="8415" xr:uid="{00000000-0005-0000-0000-0000DF200000}"/>
    <cellStyle name="_IEGL  10.09.2006_IIDL_3227_2008_09_Xl0000013" xfId="8416" xr:uid="{00000000-0005-0000-0000-0000E0200000}"/>
    <cellStyle name="_IEGL  10.09.2006_Indiabulls Asset Management Company Limited printable" xfId="8417" xr:uid="{00000000-0005-0000-0000-0000E1200000}"/>
    <cellStyle name="_IEGL  10.09.2006_IREL_3000_08-09" xfId="8418" xr:uid="{00000000-0005-0000-0000-0000E2200000}"/>
    <cellStyle name="_IEGL  10.09.2006_IREL_3000_08-09 2" xfId="8419" xr:uid="{00000000-0005-0000-0000-0000E3200000}"/>
    <cellStyle name="_IEGL  10.09.2006_ISL_March_08_09.final_11.12.2009" xfId="8420" xr:uid="{00000000-0005-0000-0000-0000E4200000}"/>
    <cellStyle name="_IEGL  10.09.2006_ISL_March_08_09.final_11.12.2009_ISL__3CD_FY2010-11" xfId="8421" xr:uid="{00000000-0005-0000-0000-0000E5200000}"/>
    <cellStyle name="_IEGL  10.09.2006_ITCL_BS working _New format_31.03 V7" xfId="8422" xr:uid="{00000000-0005-0000-0000-0000E6200000}"/>
    <cellStyle name="_IEGL  10.09.2006_ITCL-New format_31.03 V6" xfId="8423" xr:uid="{00000000-0005-0000-0000-0000E7200000}"/>
    <cellStyle name="_IEGL  10.09.2006_NFCL working file" xfId="8424" xr:uid="{00000000-0005-0000-0000-0000E8200000}"/>
    <cellStyle name="_IEGL  10.09.2006_NFCL_ Tax Audit Report FY08-09 " xfId="8425" xr:uid="{00000000-0005-0000-0000-0000E9200000}"/>
    <cellStyle name="_IEGL  10.09.2006_Revised Consol Balance Sheet_Sophia_Jan09_10.02.2009" xfId="8426" xr:uid="{00000000-0005-0000-0000-0000EA200000}"/>
    <cellStyle name="_IEGL  10.09.2006_Sophia Consol for Printout 22 Jun 09" xfId="8427" xr:uid="{00000000-0005-0000-0000-0000EB200000}"/>
    <cellStyle name="_IEGL  10.09.2006_Sophia Consol_march_09_05 June  09_1" xfId="8428" xr:uid="{00000000-0005-0000-0000-0000EC200000}"/>
    <cellStyle name="_IEGL  10.09.2006_Tax Audit Report  F.Y.08-09" xfId="8429" xr:uid="{00000000-0005-0000-0000-0000ED200000}"/>
    <cellStyle name="_IEGL  10.09.2006_Tax Audit Report  ICSL F.Y.09-10" xfId="8430" xr:uid="{00000000-0005-0000-0000-0000EE200000}"/>
    <cellStyle name="_IEGL  10.09.2006_Treasury ICD Interest_ MIS_ 23  09 2009(final)" xfId="8431" xr:uid="{00000000-0005-0000-0000-0000EF200000}"/>
    <cellStyle name="_IEGL  10.09.2006_Treasury ICD Interest_ MIS_ 30. 06 2009(final)" xfId="8432" xr:uid="{00000000-0005-0000-0000-0000F0200000}"/>
    <cellStyle name="_IEGL  10.09.2006_Treasury ICD Interest_ MIS_ 30. 09 2009(final)" xfId="8433" xr:uid="{00000000-0005-0000-0000-0000F1200000}"/>
    <cellStyle name="_IEGL  10.09.2006_Treasury ICD Interest_ MIS_ 31 05 2009" xfId="8434" xr:uid="{00000000-0005-0000-0000-0000F2200000}"/>
    <cellStyle name="_IEGL  10.09.2006_Treasury ICD Interest_ MIS_ 31 10 2009" xfId="8435" xr:uid="{00000000-0005-0000-0000-0000F3200000}"/>
    <cellStyle name="_IEGL  10.09.2006_Treasury ICD Interest_ MIS_ 31.10.2009" xfId="8436" xr:uid="{00000000-0005-0000-0000-0000F4200000}"/>
    <cellStyle name="_IEGL  10.09.2006_Treasury ICD Interest_ MIS_ 310309" xfId="8437" xr:uid="{00000000-0005-0000-0000-0000F5200000}"/>
    <cellStyle name="_iegl-adv" xfId="8438" xr:uid="{00000000-0005-0000-0000-0000F6200000}"/>
    <cellStyle name="_iegl-adv 2" xfId="8439" xr:uid="{00000000-0005-0000-0000-0000F7200000}"/>
    <cellStyle name="_IEL 10.03.2006" xfId="8440" xr:uid="{00000000-0005-0000-0000-0000F8200000}"/>
    <cellStyle name="_IEL 10.03.2006 2" xfId="8441" xr:uid="{00000000-0005-0000-0000-0000F9200000}"/>
    <cellStyle name="_IEL 10.03.2006 2 2" xfId="8442" xr:uid="{00000000-0005-0000-0000-0000FA200000}"/>
    <cellStyle name="_IEL 10.03.2006 3" xfId="8443" xr:uid="{00000000-0005-0000-0000-0000FB200000}"/>
    <cellStyle name="_IEL 10.03.2006_269SS &amp; T IIAPL 09-10" xfId="8444" xr:uid="{00000000-0005-0000-0000-0000FC200000}"/>
    <cellStyle name="_IEL 10.03.2006_Abstract-2007-08" xfId="8445" xr:uid="{00000000-0005-0000-0000-0000FD200000}"/>
    <cellStyle name="_IEL 10.03.2006_Abstract-2007-08 2" xfId="8446" xr:uid="{00000000-0005-0000-0000-0000FE200000}"/>
    <cellStyle name="_IEL 10.03.2006_Advance Tax Format_F.Y. 2010-11" xfId="8447" xr:uid="{00000000-0005-0000-0000-0000FF200000}"/>
    <cellStyle name="_IEL 10.03.2006_Advance Tax Sophia Jun 09" xfId="8448" xr:uid="{00000000-0005-0000-0000-000000210000}"/>
    <cellStyle name="_IEL 10.03.2006_Asset Management Company Limited" xfId="8449" xr:uid="{00000000-0005-0000-0000-000001210000}"/>
    <cellStyle name="_IEL 10.03.2006_Base File For Segment" xfId="8450" xr:uid="{00000000-0005-0000-0000-000002210000}"/>
    <cellStyle name="_IEL 10.03.2006_Book1" xfId="8451" xr:uid="{00000000-0005-0000-0000-000003210000}"/>
    <cellStyle name="_IEL 10.03.2006_Book1 (2)" xfId="8452" xr:uid="{00000000-0005-0000-0000-000004210000}"/>
    <cellStyle name="_IEL 10.03.2006_Book1 (2) 2" xfId="8453" xr:uid="{00000000-0005-0000-0000-000005210000}"/>
    <cellStyle name="_IEL 10.03.2006_Bracond Balance Sheet  PL_301108_krishanu" xfId="8454" xr:uid="{00000000-0005-0000-0000-000006210000}"/>
    <cellStyle name="_IEL 10.03.2006_BS _IB Asset Management _3103_ver5" xfId="8455" xr:uid="{00000000-0005-0000-0000-000007210000}"/>
    <cellStyle name="_IEL 10.03.2006_BS _IB Asset Management _3103_ver5_IAMCL BS working -New format_31.03 V5" xfId="8456" xr:uid="{00000000-0005-0000-0000-000008210000}"/>
    <cellStyle name="_IEL 10.03.2006_CCL_3353_2007-08" xfId="8457" xr:uid="{00000000-0005-0000-0000-000009210000}"/>
    <cellStyle name="_IEL 10.03.2006_ChlorisProperties_3351_Dec.08" xfId="8458" xr:uid="{00000000-0005-0000-0000-00000A210000}"/>
    <cellStyle name="_IEL 10.03.2006_Consol Balance Sheet_Sophia_Dec08_Ibrel_1.3" xfId="8459" xr:uid="{00000000-0005-0000-0000-00000B210000}"/>
    <cellStyle name="_IEL 10.03.2006_CRAR - dec- 10v-12" xfId="8460" xr:uid="{00000000-0005-0000-0000-00000C210000}"/>
    <cellStyle name="_IEL 10.03.2006_CRAR - dec- 10v-12 2" xfId="8461" xr:uid="{00000000-0005-0000-0000-00000D210000}"/>
    <cellStyle name="_IEL 10.03.2006_detail (2)" xfId="8462" xr:uid="{00000000-0005-0000-0000-00000E210000}"/>
    <cellStyle name="_IEL 10.03.2006_Detail of IPO funding" xfId="8463" xr:uid="{00000000-0005-0000-0000-00000F210000}"/>
    <cellStyle name="_IEL 10.03.2006_Details" xfId="8464" xr:uid="{00000000-0005-0000-0000-000010210000}"/>
    <cellStyle name="_IEL 10.03.2006_Entries Passed in Conso for profit on sale of invRevised 30.07.08" xfId="8465" xr:uid="{00000000-0005-0000-0000-000011210000}"/>
    <cellStyle name="_IEL 10.03.2006_Entries Passed in Conso for profit on sale of invRevised 30.07.08 2" xfId="8466" xr:uid="{00000000-0005-0000-0000-000012210000}"/>
    <cellStyle name="_IEL 10.03.2006_Entries Passed in Conso for profit on sale of invRevised 30.07.08_IREL_3000_08-09" xfId="8467" xr:uid="{00000000-0005-0000-0000-000013210000}"/>
    <cellStyle name="_IEL 10.03.2006_Entries Passed in Conso for profit on sale of invRevised 30.07.08_IREL_3000_08-09 2" xfId="8468" xr:uid="{00000000-0005-0000-0000-000014210000}"/>
    <cellStyle name="_IEL 10.03.2006_Entries Passed in Conso for profit on sale of invRevised 30.07.08_IREL_3000_08-09 2 2" xfId="8469" xr:uid="{00000000-0005-0000-0000-000015210000}"/>
    <cellStyle name="_IEL 10.03.2006_Entries Passed in Conso for profit on sale of invRevised 30.07.08_IREL_3000_08-09 3" xfId="8470" xr:uid="{00000000-0005-0000-0000-000016210000}"/>
    <cellStyle name="_IEL 10.03.2006_Entries Passed in Conso for profit on sale of invRevised 30.07.08_IREL_3000_08-09 stage 3" xfId="8471" xr:uid="{00000000-0005-0000-0000-000017210000}"/>
    <cellStyle name="_IEL 10.03.2006_Entries Passed in Conso for profit on sale of invRevised 30.07.08_IREL_3000_08-09 stage 3 2" xfId="8472" xr:uid="{00000000-0005-0000-0000-000018210000}"/>
    <cellStyle name="_IEL 10.03.2006_Entries Passed in Conso for profit on sale of invRevised 30.07.08_IREL_3000_08-09 stage 3_IREL_3000_08-09" xfId="8473" xr:uid="{00000000-0005-0000-0000-000019210000}"/>
    <cellStyle name="_IEL 10.03.2006_Entries Passed in Conso for profit on sale of invRevised 30.07.08_IREL_3000_08-09 stage 3_IREL_3000_08-09 2" xfId="8474" xr:uid="{00000000-0005-0000-0000-00001A210000}"/>
    <cellStyle name="_IEL 10.03.2006_Entries Passed in Conso for profit on sale of invRevised 30.07.08_IREL_3000_08-09 stage 3_IREL_3000_08-09 2 2" xfId="8475" xr:uid="{00000000-0005-0000-0000-00001B210000}"/>
    <cellStyle name="_IEL 10.03.2006_Entries Passed in Conso for profit on sale of invRevised 30.07.08_IREL_3000_08-09 stage 3_IREL_3000_08-09 3" xfId="8476" xr:uid="{00000000-0005-0000-0000-00001C210000}"/>
    <cellStyle name="_IEL 10.03.2006_Entries Passed in Conso for profit on sale of invRevised 30.07.08_IREL_3000_08-09_IBREAL_BS PACK-Version.02" xfId="8477" xr:uid="{00000000-0005-0000-0000-00001D210000}"/>
    <cellStyle name="_IEL 10.03.2006_Entries Passed in Conso for profit on sale of invRevised 30.07.08_IREL_3000_08-09_IBREAL_BS PACK-Version.02 2" xfId="8478" xr:uid="{00000000-0005-0000-0000-00001E210000}"/>
    <cellStyle name="_IEL 10.03.2006_Entries Passed in Conso for profit on sale of invRevised 30.07.08_IREL_3000_08-09_IBREAL_BS PACK-Version.02 2 2" xfId="8479" xr:uid="{00000000-0005-0000-0000-00001F210000}"/>
    <cellStyle name="_IEL 10.03.2006_Entries Passed in Conso for profit on sale of invRevised 30.07.08_IREL_3000_08-09_IBREAL_BS PACK-Version.02 3" xfId="8480" xr:uid="{00000000-0005-0000-0000-000020210000}"/>
    <cellStyle name="_IEL 10.03.2006_Entries Passed in Conso for profit on sale of invRevised 30.07.08_IREL_3000_08-09_IBREAL_BS PACK-Version.02_IBREAL_BS PACK-Version.03" xfId="8481" xr:uid="{00000000-0005-0000-0000-000021210000}"/>
    <cellStyle name="_IEL 10.03.2006_Entries Passed in Conso for profit on sale of invRevised 30.07.08_IREL_3000_08-09_IBREAL_BS PACK-Version.02_IBREAL_BS PACK-Version.03 2" xfId="8482" xr:uid="{00000000-0005-0000-0000-000022210000}"/>
    <cellStyle name="_IEL 10.03.2006_Entries Passed in Conso for profit on sale of invRevised 30.07.08_IREL_3000_08-09_IBREAL_BS PACK-Version.02_IBREAL_BS PACK-Version.03 2 2" xfId="8483" xr:uid="{00000000-0005-0000-0000-000023210000}"/>
    <cellStyle name="_IEL 10.03.2006_Entries Passed in Conso for profit on sale of invRevised 30.07.08_IREL_3000_08-09_IBREAL_BS PACK-Version.02_IBREAL_BS PACK-Version.03 3" xfId="8484" xr:uid="{00000000-0005-0000-0000-000024210000}"/>
    <cellStyle name="_IEL 10.03.2006_Entries Passed in Conso for profit on sale of invRevised 30.07.08_IREL_3000_08-09_IBREAL_BS PACK-Version.02_IBREAL_BS PACK-Version.03_IBREAL_BS PACK-Version.07" xfId="8485" xr:uid="{00000000-0005-0000-0000-000025210000}"/>
    <cellStyle name="_IEL 10.03.2006_Entries Passed in Conso for profit on sale of invRevised 30.07.08_IREL_3000_08-09_IBREAL_BS PACK-Version.02_IBREAL_BS PACK-Version.03_IBREAL_BS PACK-Version.07 2" xfId="8486" xr:uid="{00000000-0005-0000-0000-000026210000}"/>
    <cellStyle name="_IEL 10.03.2006_Entries Passed in Conso for profit on sale of invRevised 30.07.08_IREL_3000_08-09_IBREAL_BS PACK-Version.02_IBREAL_BS PACK-Version.03_IBREAL_BS PACK-Version.07 2 2" xfId="8487" xr:uid="{00000000-0005-0000-0000-000027210000}"/>
    <cellStyle name="_IEL 10.03.2006_Entries Passed in Conso for profit on sale of invRevised 30.07.08_IREL_3000_08-09_IBREAL_BS PACK-Version.02_IBREAL_BS PACK-Version.03_IBREAL_BS PACK-Version.07 3" xfId="8488" xr:uid="{00000000-0005-0000-0000-000028210000}"/>
    <cellStyle name="_IEL 10.03.2006_EPL_3346_2007-08(C)" xfId="8489" xr:uid="{00000000-0005-0000-0000-000029210000}"/>
    <cellStyle name="_IEL 10.03.2006_FD Detail" xfId="8490" xr:uid="{00000000-0005-0000-0000-00002A210000}"/>
    <cellStyle name="_IEL 10.03.2006_FD Detail_Xl0000013" xfId="8491" xr:uid="{00000000-0005-0000-0000-00002B210000}"/>
    <cellStyle name="_IEL 10.03.2006_Final Consol Balance Sheet_Sophia_Dec08_27.01.08" xfId="8492" xr:uid="{00000000-0005-0000-0000-00002C210000}"/>
    <cellStyle name="_IEL 10.03.2006_Fixed Assets consolidated" xfId="8493" xr:uid="{00000000-0005-0000-0000-00002D210000}"/>
    <cellStyle name="_IEL 10.03.2006_IAMCL BS working -New format_31.03 V5" xfId="8494" xr:uid="{00000000-0005-0000-0000-00002E210000}"/>
    <cellStyle name="_IEL 10.03.2006_IB Asset Management _2910" xfId="8495" xr:uid="{00000000-0005-0000-0000-00002F210000}"/>
    <cellStyle name="_IEL 10.03.2006_IB Asset Management _2910_IB Collection Agency_3103 V3" xfId="8496" xr:uid="{00000000-0005-0000-0000-000030210000}"/>
    <cellStyle name="_IEL 10.03.2006_IB Asset Management _2910_IB Collection Agency_3103 V3_ICAL-New Format_31.03 V4" xfId="8497" xr:uid="{00000000-0005-0000-0000-000031210000}"/>
    <cellStyle name="_IEL 10.03.2006_IB Asset Management _2910_ICAL-BS Final Working _New format" xfId="8498" xr:uid="{00000000-0005-0000-0000-000032210000}"/>
    <cellStyle name="_IEL 10.03.2006_IB Asset Management _3103_ver5" xfId="8499" xr:uid="{00000000-0005-0000-0000-000033210000}"/>
    <cellStyle name="_IEL 10.03.2006_IB Asset Management_3103 V2" xfId="8500" xr:uid="{00000000-0005-0000-0000-000034210000}"/>
    <cellStyle name="_IEL 10.03.2006_IB Asset Management_3103 V4" xfId="8501" xr:uid="{00000000-0005-0000-0000-000035210000}"/>
    <cellStyle name="_IEL 10.03.2006_IB Asset Management_3103 V5" xfId="8502" xr:uid="{00000000-0005-0000-0000-000036210000}"/>
    <cellStyle name="_IEL 10.03.2006_IB Collection Agency_3103 V3" xfId="8503" xr:uid="{00000000-0005-0000-0000-000037210000}"/>
    <cellStyle name="_IEL 10.03.2006_IB Collection Agency_3103 V3_ICAL-New Format_31.03 V4" xfId="8504" xr:uid="{00000000-0005-0000-0000-000038210000}"/>
    <cellStyle name="_IEL 10.03.2006_IB Infrastructure Credit" xfId="8505" xr:uid="{00000000-0005-0000-0000-000039210000}"/>
    <cellStyle name="_IEL 10.03.2006_IB Infrastructure Credit-3103_V6" xfId="8506" xr:uid="{00000000-0005-0000-0000-00003A210000}"/>
    <cellStyle name="_IEL 10.03.2006_IB Infrastructure Credit-3103_V7" xfId="8507" xr:uid="{00000000-0005-0000-0000-00003B210000}"/>
    <cellStyle name="_IEL 10.03.2006_IB Life Insurance_3103 V4" xfId="8508" xr:uid="{00000000-0005-0000-0000-00003C210000}"/>
    <cellStyle name="_IEL 10.03.2006_IB Trustee Company_3103 V4" xfId="8509" xr:uid="{00000000-0005-0000-0000-00003D210000}"/>
    <cellStyle name="_IEL 10.03.2006_IBFSL 30 Sep 11 V8" xfId="8510" xr:uid="{00000000-0005-0000-0000-00003E210000}"/>
    <cellStyle name="_IEL 10.03.2006_IBFSL 31 May V1" xfId="8511" xr:uid="{00000000-0005-0000-0000-00003F210000}"/>
    <cellStyle name="_IEL 10.03.2006_IBFSL 31 May V1_Xl0000013" xfId="8512" xr:uid="{00000000-0005-0000-0000-000040210000}"/>
    <cellStyle name="_IEL 10.03.2006_IBFSL_Conso_March_10_11" xfId="8513" xr:uid="{00000000-0005-0000-0000-000041210000}"/>
    <cellStyle name="_IEL 10.03.2006_IBLIC_BS  Final working -New_Format_31.03 V5" xfId="8514" xr:uid="{00000000-0005-0000-0000-000042210000}"/>
    <cellStyle name="_IEL 10.03.2006_Ibulls BS Final woirking -New format_31.03 V5" xfId="8515" xr:uid="{00000000-0005-0000-0000-000043210000}"/>
    <cellStyle name="_IEL 10.03.2006_IbullsSales_3009V3 (3)" xfId="8516" xr:uid="{00000000-0005-0000-0000-000044210000}"/>
    <cellStyle name="_IEL 10.03.2006_IbullsSales_3103" xfId="8517" xr:uid="{00000000-0005-0000-0000-000045210000}"/>
    <cellStyle name="_IEL 10.03.2006_IbullsSales_3103 V2" xfId="8518" xr:uid="{00000000-0005-0000-0000-000046210000}"/>
    <cellStyle name="_IEL 10.03.2006_IbullsSales_3103 V5" xfId="8519" xr:uid="{00000000-0005-0000-0000-000047210000}"/>
    <cellStyle name="_IEL 10.03.2006_ICAL-BS Final Working _New format" xfId="8520" xr:uid="{00000000-0005-0000-0000-000048210000}"/>
    <cellStyle name="_IEL 10.03.2006_ICL_BS_30.06.2009" xfId="8521" xr:uid="{00000000-0005-0000-0000-000049210000}"/>
    <cellStyle name="_IEL 10.03.2006_ICPL_BS_31.03.2009_new" xfId="8522" xr:uid="{00000000-0005-0000-0000-00004A210000}"/>
    <cellStyle name="_IEL 10.03.2006_ICPL_BS_31.03.2009_new_ISL__3CD_FY2010-11" xfId="8523" xr:uid="{00000000-0005-0000-0000-00004B210000}"/>
    <cellStyle name="_IEL 10.03.2006_IDSL_31.03.2010" xfId="8524" xr:uid="{00000000-0005-0000-0000-00004C210000}"/>
    <cellStyle name="_IEL 10.03.2006_IFCPL 31 03 2010 VER6 Final" xfId="8525" xr:uid="{00000000-0005-0000-0000-00004D210000}"/>
    <cellStyle name="_IEL 10.03.2006_IHFL_Dec_23_2008" xfId="8526" xr:uid="{00000000-0005-0000-0000-00004E210000}"/>
    <cellStyle name="_IEL 10.03.2006_IHFL_Dec_23_2008_Xl0000013" xfId="8527" xr:uid="{00000000-0005-0000-0000-00004F210000}"/>
    <cellStyle name="_IEL 10.03.2006_IHFL_SEP_30_2009 XIII AUDIT- Sch II" xfId="8528" xr:uid="{00000000-0005-0000-0000-000050210000}"/>
    <cellStyle name="_IEL 10.03.2006_IIAL 31.03.2010 VER2" xfId="8529" xr:uid="{00000000-0005-0000-0000-000051210000}"/>
    <cellStyle name="_IEL 10.03.2006_IICL_March'11" xfId="8530" xr:uid="{00000000-0005-0000-0000-000052210000}"/>
    <cellStyle name="_IEL 10.03.2006_IIDL_3227_2008_09" xfId="8531" xr:uid="{00000000-0005-0000-0000-000053210000}"/>
    <cellStyle name="_IEL 10.03.2006_IIDL_3227_2008_09_Advance Tax Summary" xfId="8532" xr:uid="{00000000-0005-0000-0000-000054210000}"/>
    <cellStyle name="_IEL 10.03.2006_IIDL_3227_2008_09_Advance Tax Summary 2" xfId="8533" xr:uid="{00000000-0005-0000-0000-000055210000}"/>
    <cellStyle name="_IEL 10.03.2006_IIDL_3227_2008_09_ISL Group - Advance Tax working for 3rd Instalment" xfId="8534" xr:uid="{00000000-0005-0000-0000-000056210000}"/>
    <cellStyle name="_IEL 10.03.2006_IIDL_3227_2008_09_Xl0000013" xfId="8535" xr:uid="{00000000-0005-0000-0000-000057210000}"/>
    <cellStyle name="_IEL 10.03.2006_Indiabulls Asset Management Company Limited printable" xfId="8536" xr:uid="{00000000-0005-0000-0000-000058210000}"/>
    <cellStyle name="_IEL 10.03.2006_IREL_3000_08-09" xfId="8537" xr:uid="{00000000-0005-0000-0000-000059210000}"/>
    <cellStyle name="_IEL 10.03.2006_IREL_3000_08-09 2" xfId="8538" xr:uid="{00000000-0005-0000-0000-00005A210000}"/>
    <cellStyle name="_IEL 10.03.2006_ISL_March_08_09.final_11.12.2009" xfId="8539" xr:uid="{00000000-0005-0000-0000-00005B210000}"/>
    <cellStyle name="_IEL 10.03.2006_ISL_March_08_09.final_11.12.2009_ISL__3CD_FY2010-11" xfId="8540" xr:uid="{00000000-0005-0000-0000-00005C210000}"/>
    <cellStyle name="_IEL 10.03.2006_ITCL_BS working _New format_31.03 V7" xfId="8541" xr:uid="{00000000-0005-0000-0000-00005D210000}"/>
    <cellStyle name="_IEL 10.03.2006_ITCL-New format_31.03 V6" xfId="8542" xr:uid="{00000000-0005-0000-0000-00005E210000}"/>
    <cellStyle name="_IEL 10.03.2006_NFCL working file" xfId="8543" xr:uid="{00000000-0005-0000-0000-00005F210000}"/>
    <cellStyle name="_IEL 10.03.2006_NFCL_ Tax Audit Report FY08-09 " xfId="8544" xr:uid="{00000000-0005-0000-0000-000060210000}"/>
    <cellStyle name="_IEL 10.03.2006_Revised Consol Balance Sheet_Sophia_Jan09_10.02.2009" xfId="8545" xr:uid="{00000000-0005-0000-0000-000061210000}"/>
    <cellStyle name="_IEL 10.03.2006_Sophia Consol for Printout 22 Jun 09" xfId="8546" xr:uid="{00000000-0005-0000-0000-000062210000}"/>
    <cellStyle name="_IEL 10.03.2006_Sophia Consol_march_09_05 June  09_1" xfId="8547" xr:uid="{00000000-0005-0000-0000-000063210000}"/>
    <cellStyle name="_IEL 10.03.2006_Tax Audit Report  F.Y.08-09" xfId="8548" xr:uid="{00000000-0005-0000-0000-000064210000}"/>
    <cellStyle name="_IEL 10.03.2006_Tax Audit Report  ICSL F.Y.09-10" xfId="8549" xr:uid="{00000000-0005-0000-0000-000065210000}"/>
    <cellStyle name="_IEL 10.03.2006_Treasury ICD Interest_ MIS_ 23  09 2009(final)" xfId="8550" xr:uid="{00000000-0005-0000-0000-000066210000}"/>
    <cellStyle name="_IEL 10.03.2006_Treasury ICD Interest_ MIS_ 30. 06 2009(final)" xfId="8551" xr:uid="{00000000-0005-0000-0000-000067210000}"/>
    <cellStyle name="_IEL 10.03.2006_Treasury ICD Interest_ MIS_ 30. 09 2009(final)" xfId="8552" xr:uid="{00000000-0005-0000-0000-000068210000}"/>
    <cellStyle name="_IEL 10.03.2006_Treasury ICD Interest_ MIS_ 31 05 2009" xfId="8553" xr:uid="{00000000-0005-0000-0000-000069210000}"/>
    <cellStyle name="_IEL 10.03.2006_Treasury ICD Interest_ MIS_ 31 10 2009" xfId="8554" xr:uid="{00000000-0005-0000-0000-00006A210000}"/>
    <cellStyle name="_IEL 10.03.2006_Treasury ICD Interest_ MIS_ 31.10.2009" xfId="8555" xr:uid="{00000000-0005-0000-0000-00006B210000}"/>
    <cellStyle name="_IEL 10.03.2006_Treasury ICD Interest_ MIS_ 310309" xfId="8556" xr:uid="{00000000-0005-0000-0000-00006C210000}"/>
    <cellStyle name="_IEL 10.09.2006" xfId="8557" xr:uid="{00000000-0005-0000-0000-00006D210000}"/>
    <cellStyle name="_IEL 10.09.2006 2" xfId="8558" xr:uid="{00000000-0005-0000-0000-00006E210000}"/>
    <cellStyle name="_IEL 10.09.2006 2 2" xfId="8559" xr:uid="{00000000-0005-0000-0000-00006F210000}"/>
    <cellStyle name="_IEL 10.09.2006 3" xfId="8560" xr:uid="{00000000-0005-0000-0000-000070210000}"/>
    <cellStyle name="_IEL 10.09.2006_269SS &amp; T IIAPL 09-10" xfId="8561" xr:uid="{00000000-0005-0000-0000-000071210000}"/>
    <cellStyle name="_IEL 10.09.2006_Abstract-2007-08" xfId="8562" xr:uid="{00000000-0005-0000-0000-000072210000}"/>
    <cellStyle name="_IEL 10.09.2006_Abstract-2007-08 2" xfId="8563" xr:uid="{00000000-0005-0000-0000-000073210000}"/>
    <cellStyle name="_IEL 10.09.2006_Advance Tax Format_F.Y. 2010-11" xfId="8564" xr:uid="{00000000-0005-0000-0000-000074210000}"/>
    <cellStyle name="_IEL 10.09.2006_Advance Tax Sophia Jun 09" xfId="8565" xr:uid="{00000000-0005-0000-0000-000075210000}"/>
    <cellStyle name="_IEL 10.09.2006_Asset Management Company Limited" xfId="8566" xr:uid="{00000000-0005-0000-0000-000076210000}"/>
    <cellStyle name="_IEL 10.09.2006_Base File For Segment" xfId="8567" xr:uid="{00000000-0005-0000-0000-000077210000}"/>
    <cellStyle name="_IEL 10.09.2006_Book1" xfId="8568" xr:uid="{00000000-0005-0000-0000-000078210000}"/>
    <cellStyle name="_IEL 10.09.2006_Book1 (2)" xfId="8569" xr:uid="{00000000-0005-0000-0000-000079210000}"/>
    <cellStyle name="_IEL 10.09.2006_Book1 (2) 2" xfId="8570" xr:uid="{00000000-0005-0000-0000-00007A210000}"/>
    <cellStyle name="_IEL 10.09.2006_Bracond Balance Sheet  PL_301108_krishanu" xfId="8571" xr:uid="{00000000-0005-0000-0000-00007B210000}"/>
    <cellStyle name="_IEL 10.09.2006_BS _IB Asset Management _3103_ver5" xfId="8572" xr:uid="{00000000-0005-0000-0000-00007C210000}"/>
    <cellStyle name="_IEL 10.09.2006_BS _IB Asset Management _3103_ver5_IAMCL BS working -New format_31.03 V5" xfId="8573" xr:uid="{00000000-0005-0000-0000-00007D210000}"/>
    <cellStyle name="_IEL 10.09.2006_CCL_3353_2007-08" xfId="8574" xr:uid="{00000000-0005-0000-0000-00007E210000}"/>
    <cellStyle name="_IEL 10.09.2006_ChlorisProperties_3351_Dec.08" xfId="8575" xr:uid="{00000000-0005-0000-0000-00007F210000}"/>
    <cellStyle name="_IEL 10.09.2006_Consol Balance Sheet_Sophia_Dec08_Ibrel_1.3" xfId="8576" xr:uid="{00000000-0005-0000-0000-000080210000}"/>
    <cellStyle name="_IEL 10.09.2006_CRAR - dec- 10v-12" xfId="8577" xr:uid="{00000000-0005-0000-0000-000081210000}"/>
    <cellStyle name="_IEL 10.09.2006_CRAR - dec- 10v-12 2" xfId="8578" xr:uid="{00000000-0005-0000-0000-000082210000}"/>
    <cellStyle name="_IEL 10.09.2006_detail (2)" xfId="8579" xr:uid="{00000000-0005-0000-0000-000083210000}"/>
    <cellStyle name="_IEL 10.09.2006_Detail of IPO funding" xfId="8580" xr:uid="{00000000-0005-0000-0000-000084210000}"/>
    <cellStyle name="_IEL 10.09.2006_Details" xfId="8581" xr:uid="{00000000-0005-0000-0000-000085210000}"/>
    <cellStyle name="_IEL 10.09.2006_Entries Passed in Conso for profit on sale of invRevised 30.07.08" xfId="8582" xr:uid="{00000000-0005-0000-0000-000086210000}"/>
    <cellStyle name="_IEL 10.09.2006_Entries Passed in Conso for profit on sale of invRevised 30.07.08 2" xfId="8583" xr:uid="{00000000-0005-0000-0000-000087210000}"/>
    <cellStyle name="_IEL 10.09.2006_Entries Passed in Conso for profit on sale of invRevised 30.07.08_IREL_3000_08-09" xfId="8584" xr:uid="{00000000-0005-0000-0000-000088210000}"/>
    <cellStyle name="_IEL 10.09.2006_Entries Passed in Conso for profit on sale of invRevised 30.07.08_IREL_3000_08-09 2" xfId="8585" xr:uid="{00000000-0005-0000-0000-000089210000}"/>
    <cellStyle name="_IEL 10.09.2006_Entries Passed in Conso for profit on sale of invRevised 30.07.08_IREL_3000_08-09 2 2" xfId="8586" xr:uid="{00000000-0005-0000-0000-00008A210000}"/>
    <cellStyle name="_IEL 10.09.2006_Entries Passed in Conso for profit on sale of invRevised 30.07.08_IREL_3000_08-09 3" xfId="8587" xr:uid="{00000000-0005-0000-0000-00008B210000}"/>
    <cellStyle name="_IEL 10.09.2006_Entries Passed in Conso for profit on sale of invRevised 30.07.08_IREL_3000_08-09 stage 3" xfId="8588" xr:uid="{00000000-0005-0000-0000-00008C210000}"/>
    <cellStyle name="_IEL 10.09.2006_Entries Passed in Conso for profit on sale of invRevised 30.07.08_IREL_3000_08-09 stage 3 2" xfId="8589" xr:uid="{00000000-0005-0000-0000-00008D210000}"/>
    <cellStyle name="_IEL 10.09.2006_Entries Passed in Conso for profit on sale of invRevised 30.07.08_IREL_3000_08-09 stage 3_IREL_3000_08-09" xfId="8590" xr:uid="{00000000-0005-0000-0000-00008E210000}"/>
    <cellStyle name="_IEL 10.09.2006_Entries Passed in Conso for profit on sale of invRevised 30.07.08_IREL_3000_08-09 stage 3_IREL_3000_08-09 2" xfId="8591" xr:uid="{00000000-0005-0000-0000-00008F210000}"/>
    <cellStyle name="_IEL 10.09.2006_Entries Passed in Conso for profit on sale of invRevised 30.07.08_IREL_3000_08-09 stage 3_IREL_3000_08-09 2 2" xfId="8592" xr:uid="{00000000-0005-0000-0000-000090210000}"/>
    <cellStyle name="_IEL 10.09.2006_Entries Passed in Conso for profit on sale of invRevised 30.07.08_IREL_3000_08-09 stage 3_IREL_3000_08-09 3" xfId="8593" xr:uid="{00000000-0005-0000-0000-000091210000}"/>
    <cellStyle name="_IEL 10.09.2006_Entries Passed in Conso for profit on sale of invRevised 30.07.08_IREL_3000_08-09_IBREAL_BS PACK-Version.02" xfId="8594" xr:uid="{00000000-0005-0000-0000-000092210000}"/>
    <cellStyle name="_IEL 10.09.2006_Entries Passed in Conso for profit on sale of invRevised 30.07.08_IREL_3000_08-09_IBREAL_BS PACK-Version.02 2" xfId="8595" xr:uid="{00000000-0005-0000-0000-000093210000}"/>
    <cellStyle name="_IEL 10.09.2006_Entries Passed in Conso for profit on sale of invRevised 30.07.08_IREL_3000_08-09_IBREAL_BS PACK-Version.02 2 2" xfId="8596" xr:uid="{00000000-0005-0000-0000-000094210000}"/>
    <cellStyle name="_IEL 10.09.2006_Entries Passed in Conso for profit on sale of invRevised 30.07.08_IREL_3000_08-09_IBREAL_BS PACK-Version.02 3" xfId="8597" xr:uid="{00000000-0005-0000-0000-000095210000}"/>
    <cellStyle name="_IEL 10.09.2006_Entries Passed in Conso for profit on sale of invRevised 30.07.08_IREL_3000_08-09_IBREAL_BS PACK-Version.02_IBREAL_BS PACK-Version.03" xfId="8598" xr:uid="{00000000-0005-0000-0000-000096210000}"/>
    <cellStyle name="_IEL 10.09.2006_Entries Passed in Conso for profit on sale of invRevised 30.07.08_IREL_3000_08-09_IBREAL_BS PACK-Version.02_IBREAL_BS PACK-Version.03 2" xfId="8599" xr:uid="{00000000-0005-0000-0000-000097210000}"/>
    <cellStyle name="_IEL 10.09.2006_Entries Passed in Conso for profit on sale of invRevised 30.07.08_IREL_3000_08-09_IBREAL_BS PACK-Version.02_IBREAL_BS PACK-Version.03 2 2" xfId="8600" xr:uid="{00000000-0005-0000-0000-000098210000}"/>
    <cellStyle name="_IEL 10.09.2006_Entries Passed in Conso for profit on sale of invRevised 30.07.08_IREL_3000_08-09_IBREAL_BS PACK-Version.02_IBREAL_BS PACK-Version.03 3" xfId="8601" xr:uid="{00000000-0005-0000-0000-000099210000}"/>
    <cellStyle name="_IEL 10.09.2006_Entries Passed in Conso for profit on sale of invRevised 30.07.08_IREL_3000_08-09_IBREAL_BS PACK-Version.02_IBREAL_BS PACK-Version.03_IBREAL_BS PACK-Version.07" xfId="8602" xr:uid="{00000000-0005-0000-0000-00009A210000}"/>
    <cellStyle name="_IEL 10.09.2006_Entries Passed in Conso for profit on sale of invRevised 30.07.08_IREL_3000_08-09_IBREAL_BS PACK-Version.02_IBREAL_BS PACK-Version.03_IBREAL_BS PACK-Version.07 2" xfId="8603" xr:uid="{00000000-0005-0000-0000-00009B210000}"/>
    <cellStyle name="_IEL 10.09.2006_Entries Passed in Conso for profit on sale of invRevised 30.07.08_IREL_3000_08-09_IBREAL_BS PACK-Version.02_IBREAL_BS PACK-Version.03_IBREAL_BS PACK-Version.07 2 2" xfId="8604" xr:uid="{00000000-0005-0000-0000-00009C210000}"/>
    <cellStyle name="_IEL 10.09.2006_Entries Passed in Conso for profit on sale of invRevised 30.07.08_IREL_3000_08-09_IBREAL_BS PACK-Version.02_IBREAL_BS PACK-Version.03_IBREAL_BS PACK-Version.07 3" xfId="8605" xr:uid="{00000000-0005-0000-0000-00009D210000}"/>
    <cellStyle name="_IEL 10.09.2006_EPL_3346_2007-08(C)" xfId="8606" xr:uid="{00000000-0005-0000-0000-00009E210000}"/>
    <cellStyle name="_IEL 10.09.2006_FD Detail" xfId="8607" xr:uid="{00000000-0005-0000-0000-00009F210000}"/>
    <cellStyle name="_IEL 10.09.2006_FD Detail_Xl0000013" xfId="8608" xr:uid="{00000000-0005-0000-0000-0000A0210000}"/>
    <cellStyle name="_IEL 10.09.2006_Final Consol Balance Sheet_Sophia_Dec08_27.01.08" xfId="8609" xr:uid="{00000000-0005-0000-0000-0000A1210000}"/>
    <cellStyle name="_IEL 10.09.2006_Fixed Assets consolidated" xfId="8610" xr:uid="{00000000-0005-0000-0000-0000A2210000}"/>
    <cellStyle name="_IEL 10.09.2006_IAMCL BS working -New format_31.03 V5" xfId="8611" xr:uid="{00000000-0005-0000-0000-0000A3210000}"/>
    <cellStyle name="_IEL 10.09.2006_IB Asset Management _2910" xfId="8612" xr:uid="{00000000-0005-0000-0000-0000A4210000}"/>
    <cellStyle name="_IEL 10.09.2006_IB Asset Management _2910_IB Collection Agency_3103 V3" xfId="8613" xr:uid="{00000000-0005-0000-0000-0000A5210000}"/>
    <cellStyle name="_IEL 10.09.2006_IB Asset Management _2910_IB Collection Agency_3103 V3_ICAL-New Format_31.03 V4" xfId="8614" xr:uid="{00000000-0005-0000-0000-0000A6210000}"/>
    <cellStyle name="_IEL 10.09.2006_IB Asset Management _2910_ICAL-BS Final Working _New format" xfId="8615" xr:uid="{00000000-0005-0000-0000-0000A7210000}"/>
    <cellStyle name="_IEL 10.09.2006_IB Asset Management _3103_ver5" xfId="8616" xr:uid="{00000000-0005-0000-0000-0000A8210000}"/>
    <cellStyle name="_IEL 10.09.2006_IB Asset Management_3103 V2" xfId="8617" xr:uid="{00000000-0005-0000-0000-0000A9210000}"/>
    <cellStyle name="_IEL 10.09.2006_IB Asset Management_3103 V4" xfId="8618" xr:uid="{00000000-0005-0000-0000-0000AA210000}"/>
    <cellStyle name="_IEL 10.09.2006_IB Asset Management_3103 V5" xfId="8619" xr:uid="{00000000-0005-0000-0000-0000AB210000}"/>
    <cellStyle name="_IEL 10.09.2006_IB Collection Agency_3103 V3" xfId="8620" xr:uid="{00000000-0005-0000-0000-0000AC210000}"/>
    <cellStyle name="_IEL 10.09.2006_IB Collection Agency_3103 V3_ICAL-New Format_31.03 V4" xfId="8621" xr:uid="{00000000-0005-0000-0000-0000AD210000}"/>
    <cellStyle name="_IEL 10.09.2006_IB Infrastructure Credit" xfId="8622" xr:uid="{00000000-0005-0000-0000-0000AE210000}"/>
    <cellStyle name="_IEL 10.09.2006_IB Infrastructure Credit-3103_V6" xfId="8623" xr:uid="{00000000-0005-0000-0000-0000AF210000}"/>
    <cellStyle name="_IEL 10.09.2006_IB Infrastructure Credit-3103_V7" xfId="8624" xr:uid="{00000000-0005-0000-0000-0000B0210000}"/>
    <cellStyle name="_IEL 10.09.2006_IB Life Insurance_3103 V4" xfId="8625" xr:uid="{00000000-0005-0000-0000-0000B1210000}"/>
    <cellStyle name="_IEL 10.09.2006_IB Trustee Company_3103 V4" xfId="8626" xr:uid="{00000000-0005-0000-0000-0000B2210000}"/>
    <cellStyle name="_IEL 10.09.2006_IBFSL 30 Sep 11 V8" xfId="8627" xr:uid="{00000000-0005-0000-0000-0000B3210000}"/>
    <cellStyle name="_IEL 10.09.2006_IBFSL 31 May V1" xfId="8628" xr:uid="{00000000-0005-0000-0000-0000B4210000}"/>
    <cellStyle name="_IEL 10.09.2006_IBFSL 31 May V1_Xl0000013" xfId="8629" xr:uid="{00000000-0005-0000-0000-0000B5210000}"/>
    <cellStyle name="_IEL 10.09.2006_IBFSL_Conso_March_10_11" xfId="8630" xr:uid="{00000000-0005-0000-0000-0000B6210000}"/>
    <cellStyle name="_IEL 10.09.2006_IBLIC_BS  Final working -New_Format_31.03 V5" xfId="8631" xr:uid="{00000000-0005-0000-0000-0000B7210000}"/>
    <cellStyle name="_IEL 10.09.2006_Ibulls BS Final woirking -New format_31.03 V5" xfId="8632" xr:uid="{00000000-0005-0000-0000-0000B8210000}"/>
    <cellStyle name="_IEL 10.09.2006_IbullsSales_3009V3 (3)" xfId="8633" xr:uid="{00000000-0005-0000-0000-0000B9210000}"/>
    <cellStyle name="_IEL 10.09.2006_IbullsSales_3103" xfId="8634" xr:uid="{00000000-0005-0000-0000-0000BA210000}"/>
    <cellStyle name="_IEL 10.09.2006_IbullsSales_3103 V2" xfId="8635" xr:uid="{00000000-0005-0000-0000-0000BB210000}"/>
    <cellStyle name="_IEL 10.09.2006_IbullsSales_3103 V5" xfId="8636" xr:uid="{00000000-0005-0000-0000-0000BC210000}"/>
    <cellStyle name="_IEL 10.09.2006_ICAL-BS Final Working _New format" xfId="8637" xr:uid="{00000000-0005-0000-0000-0000BD210000}"/>
    <cellStyle name="_IEL 10.09.2006_ICL_BS_30.06.2009" xfId="8638" xr:uid="{00000000-0005-0000-0000-0000BE210000}"/>
    <cellStyle name="_IEL 10.09.2006_ICPL_BS_31.03.2009_new" xfId="8639" xr:uid="{00000000-0005-0000-0000-0000BF210000}"/>
    <cellStyle name="_IEL 10.09.2006_ICPL_BS_31.03.2009_new_ISL__3CD_FY2010-11" xfId="8640" xr:uid="{00000000-0005-0000-0000-0000C0210000}"/>
    <cellStyle name="_IEL 10.09.2006_IDSL_31.03.2010" xfId="8641" xr:uid="{00000000-0005-0000-0000-0000C1210000}"/>
    <cellStyle name="_IEL 10.09.2006_IFCPL 31 03 2010 VER6 Final" xfId="8642" xr:uid="{00000000-0005-0000-0000-0000C2210000}"/>
    <cellStyle name="_IEL 10.09.2006_IHFL_Dec_23_2008" xfId="8643" xr:uid="{00000000-0005-0000-0000-0000C3210000}"/>
    <cellStyle name="_IEL 10.09.2006_IHFL_Dec_23_2008_Xl0000013" xfId="8644" xr:uid="{00000000-0005-0000-0000-0000C4210000}"/>
    <cellStyle name="_IEL 10.09.2006_IHFL_SEP_30_2009 XIII AUDIT- Sch II" xfId="8645" xr:uid="{00000000-0005-0000-0000-0000C5210000}"/>
    <cellStyle name="_IEL 10.09.2006_IIAL 31.03.2010 VER2" xfId="8646" xr:uid="{00000000-0005-0000-0000-0000C6210000}"/>
    <cellStyle name="_IEL 10.09.2006_IICL_March'11" xfId="8647" xr:uid="{00000000-0005-0000-0000-0000C7210000}"/>
    <cellStyle name="_IEL 10.09.2006_IIDL_3227_2008_09" xfId="8648" xr:uid="{00000000-0005-0000-0000-0000C8210000}"/>
    <cellStyle name="_IEL 10.09.2006_IIDL_3227_2008_09_Advance Tax Summary" xfId="8649" xr:uid="{00000000-0005-0000-0000-0000C9210000}"/>
    <cellStyle name="_IEL 10.09.2006_IIDL_3227_2008_09_Advance Tax Summary 2" xfId="8650" xr:uid="{00000000-0005-0000-0000-0000CA210000}"/>
    <cellStyle name="_IEL 10.09.2006_IIDL_3227_2008_09_ISL Group - Advance Tax working for 3rd Instalment" xfId="8651" xr:uid="{00000000-0005-0000-0000-0000CB210000}"/>
    <cellStyle name="_IEL 10.09.2006_IIDL_3227_2008_09_Xl0000013" xfId="8652" xr:uid="{00000000-0005-0000-0000-0000CC210000}"/>
    <cellStyle name="_IEL 10.09.2006_Indiabulls Asset Management Company Limited printable" xfId="8653" xr:uid="{00000000-0005-0000-0000-0000CD210000}"/>
    <cellStyle name="_IEL 10.09.2006_IREL_3000_08-09" xfId="8654" xr:uid="{00000000-0005-0000-0000-0000CE210000}"/>
    <cellStyle name="_IEL 10.09.2006_IREL_3000_08-09 2" xfId="8655" xr:uid="{00000000-0005-0000-0000-0000CF210000}"/>
    <cellStyle name="_IEL 10.09.2006_ISL_March_08_09.final_11.12.2009" xfId="8656" xr:uid="{00000000-0005-0000-0000-0000D0210000}"/>
    <cellStyle name="_IEL 10.09.2006_ISL_March_08_09.final_11.12.2009_ISL__3CD_FY2010-11" xfId="8657" xr:uid="{00000000-0005-0000-0000-0000D1210000}"/>
    <cellStyle name="_IEL 10.09.2006_ITCL_BS working _New format_31.03 V7" xfId="8658" xr:uid="{00000000-0005-0000-0000-0000D2210000}"/>
    <cellStyle name="_IEL 10.09.2006_ITCL-New format_31.03 V6" xfId="8659" xr:uid="{00000000-0005-0000-0000-0000D3210000}"/>
    <cellStyle name="_IEL 10.09.2006_NFCL working file" xfId="8660" xr:uid="{00000000-0005-0000-0000-0000D4210000}"/>
    <cellStyle name="_IEL 10.09.2006_NFCL_ Tax Audit Report FY08-09 " xfId="8661" xr:uid="{00000000-0005-0000-0000-0000D5210000}"/>
    <cellStyle name="_IEL 10.09.2006_Revised Consol Balance Sheet_Sophia_Jan09_10.02.2009" xfId="8662" xr:uid="{00000000-0005-0000-0000-0000D6210000}"/>
    <cellStyle name="_IEL 10.09.2006_Sophia Consol for Printout 22 Jun 09" xfId="8663" xr:uid="{00000000-0005-0000-0000-0000D7210000}"/>
    <cellStyle name="_IEL 10.09.2006_Sophia Consol_march_09_05 June  09_1" xfId="8664" xr:uid="{00000000-0005-0000-0000-0000D8210000}"/>
    <cellStyle name="_IEL 10.09.2006_Tax Audit Report  F.Y.08-09" xfId="8665" xr:uid="{00000000-0005-0000-0000-0000D9210000}"/>
    <cellStyle name="_IEL 10.09.2006_Tax Audit Report  ICSL F.Y.09-10" xfId="8666" xr:uid="{00000000-0005-0000-0000-0000DA210000}"/>
    <cellStyle name="_IEL 10.09.2006_Treasury ICD Interest_ MIS_ 23  09 2009(final)" xfId="8667" xr:uid="{00000000-0005-0000-0000-0000DB210000}"/>
    <cellStyle name="_IEL 10.09.2006_Treasury ICD Interest_ MIS_ 30. 06 2009(final)" xfId="8668" xr:uid="{00000000-0005-0000-0000-0000DC210000}"/>
    <cellStyle name="_IEL 10.09.2006_Treasury ICD Interest_ MIS_ 30. 09 2009(final)" xfId="8669" xr:uid="{00000000-0005-0000-0000-0000DD210000}"/>
    <cellStyle name="_IEL 10.09.2006_Treasury ICD Interest_ MIS_ 31 05 2009" xfId="8670" xr:uid="{00000000-0005-0000-0000-0000DE210000}"/>
    <cellStyle name="_IEL 10.09.2006_Treasury ICD Interest_ MIS_ 31 10 2009" xfId="8671" xr:uid="{00000000-0005-0000-0000-0000DF210000}"/>
    <cellStyle name="_IEL 10.09.2006_Treasury ICD Interest_ MIS_ 31.10.2009" xfId="8672" xr:uid="{00000000-0005-0000-0000-0000E0210000}"/>
    <cellStyle name="_IEL 10.09.2006_Treasury ICD Interest_ MIS_ 310309" xfId="8673" xr:uid="{00000000-0005-0000-0000-0000E1210000}"/>
    <cellStyle name="_IFCPL" xfId="8674" xr:uid="{00000000-0005-0000-0000-0000E2210000}"/>
    <cellStyle name="_IFCPL (3)" xfId="8675" xr:uid="{00000000-0005-0000-0000-0000E3210000}"/>
    <cellStyle name="_IFCPL 10.03.2006" xfId="8676" xr:uid="{00000000-0005-0000-0000-0000E4210000}"/>
    <cellStyle name="_IFCPL 10.03.2006 2" xfId="8677" xr:uid="{00000000-0005-0000-0000-0000E5210000}"/>
    <cellStyle name="_IFCPL 10.03.2006 2 2" xfId="8678" xr:uid="{00000000-0005-0000-0000-0000E6210000}"/>
    <cellStyle name="_IFCPL 10.03.2006 3" xfId="8679" xr:uid="{00000000-0005-0000-0000-0000E7210000}"/>
    <cellStyle name="_IFCPL 10.03.2006_269SS &amp; T IIAPL 09-10" xfId="8680" xr:uid="{00000000-0005-0000-0000-0000E8210000}"/>
    <cellStyle name="_IFCPL 10.03.2006_Abstract-2007-08" xfId="8681" xr:uid="{00000000-0005-0000-0000-0000E9210000}"/>
    <cellStyle name="_IFCPL 10.03.2006_Abstract-2007-08 2" xfId="8682" xr:uid="{00000000-0005-0000-0000-0000EA210000}"/>
    <cellStyle name="_IFCPL 10.03.2006_Advance Tax Format_F.Y. 2010-11" xfId="8683" xr:uid="{00000000-0005-0000-0000-0000EB210000}"/>
    <cellStyle name="_IFCPL 10.03.2006_Advance Tax Sophia Jun 09" xfId="8684" xr:uid="{00000000-0005-0000-0000-0000EC210000}"/>
    <cellStyle name="_IFCPL 10.03.2006_Asset Management Company Limited" xfId="8685" xr:uid="{00000000-0005-0000-0000-0000ED210000}"/>
    <cellStyle name="_IFCPL 10.03.2006_Base File For Segment" xfId="8686" xr:uid="{00000000-0005-0000-0000-0000EE210000}"/>
    <cellStyle name="_IFCPL 10.03.2006_Book1" xfId="8687" xr:uid="{00000000-0005-0000-0000-0000EF210000}"/>
    <cellStyle name="_IFCPL 10.03.2006_Book1 (2)" xfId="8688" xr:uid="{00000000-0005-0000-0000-0000F0210000}"/>
    <cellStyle name="_IFCPL 10.03.2006_Book1 (2) 2" xfId="8689" xr:uid="{00000000-0005-0000-0000-0000F1210000}"/>
    <cellStyle name="_IFCPL 10.03.2006_Bracond Balance Sheet  PL_301108_krishanu" xfId="8690" xr:uid="{00000000-0005-0000-0000-0000F2210000}"/>
    <cellStyle name="_IFCPL 10.03.2006_BS _IB Asset Management _3103_ver5" xfId="8691" xr:uid="{00000000-0005-0000-0000-0000F3210000}"/>
    <cellStyle name="_IFCPL 10.03.2006_BS _IB Asset Management _3103_ver5_IAMCL BS working -New format_31.03 V5" xfId="8692" xr:uid="{00000000-0005-0000-0000-0000F4210000}"/>
    <cellStyle name="_IFCPL 10.03.2006_CCL_3353_2007-08" xfId="8693" xr:uid="{00000000-0005-0000-0000-0000F5210000}"/>
    <cellStyle name="_IFCPL 10.03.2006_ChlorisProperties_3351_Dec.08" xfId="8694" xr:uid="{00000000-0005-0000-0000-0000F6210000}"/>
    <cellStyle name="_IFCPL 10.03.2006_Consol Balance Sheet_Sophia_Dec08_Ibrel_1.3" xfId="8695" xr:uid="{00000000-0005-0000-0000-0000F7210000}"/>
    <cellStyle name="_IFCPL 10.03.2006_CRAR - dec- 10v-12" xfId="8696" xr:uid="{00000000-0005-0000-0000-0000F8210000}"/>
    <cellStyle name="_IFCPL 10.03.2006_CRAR - dec- 10v-12 2" xfId="8697" xr:uid="{00000000-0005-0000-0000-0000F9210000}"/>
    <cellStyle name="_IFCPL 10.03.2006_detail (2)" xfId="8698" xr:uid="{00000000-0005-0000-0000-0000FA210000}"/>
    <cellStyle name="_IFCPL 10.03.2006_Detail of IPO funding" xfId="8699" xr:uid="{00000000-0005-0000-0000-0000FB210000}"/>
    <cellStyle name="_IFCPL 10.03.2006_Details" xfId="8700" xr:uid="{00000000-0005-0000-0000-0000FC210000}"/>
    <cellStyle name="_IFCPL 10.03.2006_Entries Passed in Conso for profit on sale of invRevised 30.07.08" xfId="8701" xr:uid="{00000000-0005-0000-0000-0000FD210000}"/>
    <cellStyle name="_IFCPL 10.03.2006_Entries Passed in Conso for profit on sale of invRevised 30.07.08 2" xfId="8702" xr:uid="{00000000-0005-0000-0000-0000FE210000}"/>
    <cellStyle name="_IFCPL 10.03.2006_Entries Passed in Conso for profit on sale of invRevised 30.07.08_IREL_3000_08-09" xfId="8703" xr:uid="{00000000-0005-0000-0000-0000FF210000}"/>
    <cellStyle name="_IFCPL 10.03.2006_Entries Passed in Conso for profit on sale of invRevised 30.07.08_IREL_3000_08-09 2" xfId="8704" xr:uid="{00000000-0005-0000-0000-000000220000}"/>
    <cellStyle name="_IFCPL 10.03.2006_Entries Passed in Conso for profit on sale of invRevised 30.07.08_IREL_3000_08-09 2 2" xfId="8705" xr:uid="{00000000-0005-0000-0000-000001220000}"/>
    <cellStyle name="_IFCPL 10.03.2006_Entries Passed in Conso for profit on sale of invRevised 30.07.08_IREL_3000_08-09 3" xfId="8706" xr:uid="{00000000-0005-0000-0000-000002220000}"/>
    <cellStyle name="_IFCPL 10.03.2006_Entries Passed in Conso for profit on sale of invRevised 30.07.08_IREL_3000_08-09 stage 3" xfId="8707" xr:uid="{00000000-0005-0000-0000-000003220000}"/>
    <cellStyle name="_IFCPL 10.03.2006_Entries Passed in Conso for profit on sale of invRevised 30.07.08_IREL_3000_08-09 stage 3 2" xfId="8708" xr:uid="{00000000-0005-0000-0000-000004220000}"/>
    <cellStyle name="_IFCPL 10.03.2006_Entries Passed in Conso for profit on sale of invRevised 30.07.08_IREL_3000_08-09 stage 3_IREL_3000_08-09" xfId="8709" xr:uid="{00000000-0005-0000-0000-000005220000}"/>
    <cellStyle name="_IFCPL 10.03.2006_Entries Passed in Conso for profit on sale of invRevised 30.07.08_IREL_3000_08-09 stage 3_IREL_3000_08-09 2" xfId="8710" xr:uid="{00000000-0005-0000-0000-000006220000}"/>
    <cellStyle name="_IFCPL 10.03.2006_Entries Passed in Conso for profit on sale of invRevised 30.07.08_IREL_3000_08-09 stage 3_IREL_3000_08-09 2 2" xfId="8711" xr:uid="{00000000-0005-0000-0000-000007220000}"/>
    <cellStyle name="_IFCPL 10.03.2006_Entries Passed in Conso for profit on sale of invRevised 30.07.08_IREL_3000_08-09 stage 3_IREL_3000_08-09 3" xfId="8712" xr:uid="{00000000-0005-0000-0000-000008220000}"/>
    <cellStyle name="_IFCPL 10.03.2006_Entries Passed in Conso for profit on sale of invRevised 30.07.08_IREL_3000_08-09_IBREAL_BS PACK-Version.02" xfId="8713" xr:uid="{00000000-0005-0000-0000-000009220000}"/>
    <cellStyle name="_IFCPL 10.03.2006_Entries Passed in Conso for profit on sale of invRevised 30.07.08_IREL_3000_08-09_IBREAL_BS PACK-Version.02 2" xfId="8714" xr:uid="{00000000-0005-0000-0000-00000A220000}"/>
    <cellStyle name="_IFCPL 10.03.2006_Entries Passed in Conso for profit on sale of invRevised 30.07.08_IREL_3000_08-09_IBREAL_BS PACK-Version.02 2 2" xfId="8715" xr:uid="{00000000-0005-0000-0000-00000B220000}"/>
    <cellStyle name="_IFCPL 10.03.2006_Entries Passed in Conso for profit on sale of invRevised 30.07.08_IREL_3000_08-09_IBREAL_BS PACK-Version.02 3" xfId="8716" xr:uid="{00000000-0005-0000-0000-00000C220000}"/>
    <cellStyle name="_IFCPL 10.03.2006_Entries Passed in Conso for profit on sale of invRevised 30.07.08_IREL_3000_08-09_IBREAL_BS PACK-Version.02_IBREAL_BS PACK-Version.03" xfId="8717" xr:uid="{00000000-0005-0000-0000-00000D220000}"/>
    <cellStyle name="_IFCPL 10.03.2006_Entries Passed in Conso for profit on sale of invRevised 30.07.08_IREL_3000_08-09_IBREAL_BS PACK-Version.02_IBREAL_BS PACK-Version.03 2" xfId="8718" xr:uid="{00000000-0005-0000-0000-00000E220000}"/>
    <cellStyle name="_IFCPL 10.03.2006_Entries Passed in Conso for profit on sale of invRevised 30.07.08_IREL_3000_08-09_IBREAL_BS PACK-Version.02_IBREAL_BS PACK-Version.03 2 2" xfId="8719" xr:uid="{00000000-0005-0000-0000-00000F220000}"/>
    <cellStyle name="_IFCPL 10.03.2006_Entries Passed in Conso for profit on sale of invRevised 30.07.08_IREL_3000_08-09_IBREAL_BS PACK-Version.02_IBREAL_BS PACK-Version.03 3" xfId="8720" xr:uid="{00000000-0005-0000-0000-000010220000}"/>
    <cellStyle name="_IFCPL 10.03.2006_Entries Passed in Conso for profit on sale of invRevised 30.07.08_IREL_3000_08-09_IBREAL_BS PACK-Version.02_IBREAL_BS PACK-Version.03_IBREAL_BS PACK-Version.07" xfId="8721" xr:uid="{00000000-0005-0000-0000-000011220000}"/>
    <cellStyle name="_IFCPL 10.03.2006_Entries Passed in Conso for profit on sale of invRevised 30.07.08_IREL_3000_08-09_IBREAL_BS PACK-Version.02_IBREAL_BS PACK-Version.03_IBREAL_BS PACK-Version.07 2" xfId="8722" xr:uid="{00000000-0005-0000-0000-000012220000}"/>
    <cellStyle name="_IFCPL 10.03.2006_Entries Passed in Conso for profit on sale of invRevised 30.07.08_IREL_3000_08-09_IBREAL_BS PACK-Version.02_IBREAL_BS PACK-Version.03_IBREAL_BS PACK-Version.07 2 2" xfId="8723" xr:uid="{00000000-0005-0000-0000-000013220000}"/>
    <cellStyle name="_IFCPL 10.03.2006_Entries Passed in Conso for profit on sale of invRevised 30.07.08_IREL_3000_08-09_IBREAL_BS PACK-Version.02_IBREAL_BS PACK-Version.03_IBREAL_BS PACK-Version.07 3" xfId="8724" xr:uid="{00000000-0005-0000-0000-000014220000}"/>
    <cellStyle name="_IFCPL 10.03.2006_EPL_3346_2007-08(C)" xfId="8725" xr:uid="{00000000-0005-0000-0000-000015220000}"/>
    <cellStyle name="_IFCPL 10.03.2006_FD Detail" xfId="8726" xr:uid="{00000000-0005-0000-0000-000016220000}"/>
    <cellStyle name="_IFCPL 10.03.2006_FD Detail_Xl0000013" xfId="8727" xr:uid="{00000000-0005-0000-0000-000017220000}"/>
    <cellStyle name="_IFCPL 10.03.2006_Final Consol Balance Sheet_Sophia_Dec08_27.01.08" xfId="8728" xr:uid="{00000000-0005-0000-0000-000018220000}"/>
    <cellStyle name="_IFCPL 10.03.2006_Fixed Assets consolidated" xfId="8729" xr:uid="{00000000-0005-0000-0000-000019220000}"/>
    <cellStyle name="_IFCPL 10.03.2006_IAMCL BS working -New format_31.03 V5" xfId="8730" xr:uid="{00000000-0005-0000-0000-00001A220000}"/>
    <cellStyle name="_IFCPL 10.03.2006_IB Asset Management _2910" xfId="8731" xr:uid="{00000000-0005-0000-0000-00001B220000}"/>
    <cellStyle name="_IFCPL 10.03.2006_IB Asset Management _2910_IB Collection Agency_3103 V3" xfId="8732" xr:uid="{00000000-0005-0000-0000-00001C220000}"/>
    <cellStyle name="_IFCPL 10.03.2006_IB Asset Management _2910_IB Collection Agency_3103 V3_ICAL-New Format_31.03 V4" xfId="8733" xr:uid="{00000000-0005-0000-0000-00001D220000}"/>
    <cellStyle name="_IFCPL 10.03.2006_IB Asset Management _2910_ICAL-BS Final Working _New format" xfId="8734" xr:uid="{00000000-0005-0000-0000-00001E220000}"/>
    <cellStyle name="_IFCPL 10.03.2006_IB Asset Management _3103_ver5" xfId="8735" xr:uid="{00000000-0005-0000-0000-00001F220000}"/>
    <cellStyle name="_IFCPL 10.03.2006_IB Asset Management_3103 V2" xfId="8736" xr:uid="{00000000-0005-0000-0000-000020220000}"/>
    <cellStyle name="_IFCPL 10.03.2006_IB Asset Management_3103 V4" xfId="8737" xr:uid="{00000000-0005-0000-0000-000021220000}"/>
    <cellStyle name="_IFCPL 10.03.2006_IB Asset Management_3103 V5" xfId="8738" xr:uid="{00000000-0005-0000-0000-000022220000}"/>
    <cellStyle name="_IFCPL 10.03.2006_IB Collection Agency_3103 V3" xfId="8739" xr:uid="{00000000-0005-0000-0000-000023220000}"/>
    <cellStyle name="_IFCPL 10.03.2006_IB Collection Agency_3103 V3_ICAL-New Format_31.03 V4" xfId="8740" xr:uid="{00000000-0005-0000-0000-000024220000}"/>
    <cellStyle name="_IFCPL 10.03.2006_IB Infrastructure Credit" xfId="8741" xr:uid="{00000000-0005-0000-0000-000025220000}"/>
    <cellStyle name="_IFCPL 10.03.2006_IB Infrastructure Credit-3103_V6" xfId="8742" xr:uid="{00000000-0005-0000-0000-000026220000}"/>
    <cellStyle name="_IFCPL 10.03.2006_IB Infrastructure Credit-3103_V7" xfId="8743" xr:uid="{00000000-0005-0000-0000-000027220000}"/>
    <cellStyle name="_IFCPL 10.03.2006_IB Life Insurance_3103 V4" xfId="8744" xr:uid="{00000000-0005-0000-0000-000028220000}"/>
    <cellStyle name="_IFCPL 10.03.2006_IB Trustee Company_3103 V4" xfId="8745" xr:uid="{00000000-0005-0000-0000-000029220000}"/>
    <cellStyle name="_IFCPL 10.03.2006_IBFSL 30 Sep 11 V8" xfId="8746" xr:uid="{00000000-0005-0000-0000-00002A220000}"/>
    <cellStyle name="_IFCPL 10.03.2006_IBFSL 31 May V1" xfId="8747" xr:uid="{00000000-0005-0000-0000-00002B220000}"/>
    <cellStyle name="_IFCPL 10.03.2006_IBFSL 31 May V1_Xl0000013" xfId="8748" xr:uid="{00000000-0005-0000-0000-00002C220000}"/>
    <cellStyle name="_IFCPL 10.03.2006_IBFSL_Conso_March_10_11" xfId="8749" xr:uid="{00000000-0005-0000-0000-00002D220000}"/>
    <cellStyle name="_IFCPL 10.03.2006_IBLIC_BS  Final working -New_Format_31.03 V5" xfId="8750" xr:uid="{00000000-0005-0000-0000-00002E220000}"/>
    <cellStyle name="_IFCPL 10.03.2006_Ibulls BS Final woirking -New format_31.03 V5" xfId="8751" xr:uid="{00000000-0005-0000-0000-00002F220000}"/>
    <cellStyle name="_IFCPL 10.03.2006_IbullsSales_3009V3 (3)" xfId="8752" xr:uid="{00000000-0005-0000-0000-000030220000}"/>
    <cellStyle name="_IFCPL 10.03.2006_IbullsSales_3103" xfId="8753" xr:uid="{00000000-0005-0000-0000-000031220000}"/>
    <cellStyle name="_IFCPL 10.03.2006_IbullsSales_3103 V2" xfId="8754" xr:uid="{00000000-0005-0000-0000-000032220000}"/>
    <cellStyle name="_IFCPL 10.03.2006_IbullsSales_3103 V5" xfId="8755" xr:uid="{00000000-0005-0000-0000-000033220000}"/>
    <cellStyle name="_IFCPL 10.03.2006_ICAL-BS Final Working _New format" xfId="8756" xr:uid="{00000000-0005-0000-0000-000034220000}"/>
    <cellStyle name="_IFCPL 10.03.2006_ICL_BS_30.06.2009" xfId="8757" xr:uid="{00000000-0005-0000-0000-000035220000}"/>
    <cellStyle name="_IFCPL 10.03.2006_ICPL_BS_31.03.2009_new" xfId="8758" xr:uid="{00000000-0005-0000-0000-000036220000}"/>
    <cellStyle name="_IFCPL 10.03.2006_ICPL_BS_31.03.2009_new_ISL__3CD_FY2010-11" xfId="8759" xr:uid="{00000000-0005-0000-0000-000037220000}"/>
    <cellStyle name="_IFCPL 10.03.2006_IDSL_31.03.2010" xfId="8760" xr:uid="{00000000-0005-0000-0000-000038220000}"/>
    <cellStyle name="_IFCPL 10.03.2006_IFCPL 31 03 2010 VER6 Final" xfId="8761" xr:uid="{00000000-0005-0000-0000-000039220000}"/>
    <cellStyle name="_IFCPL 10.03.2006_IHFL_Dec_23_2008" xfId="8762" xr:uid="{00000000-0005-0000-0000-00003A220000}"/>
    <cellStyle name="_IFCPL 10.03.2006_IHFL_Dec_23_2008_Xl0000013" xfId="8763" xr:uid="{00000000-0005-0000-0000-00003B220000}"/>
    <cellStyle name="_IFCPL 10.03.2006_IHFL_SEP_30_2009 XIII AUDIT- Sch II" xfId="8764" xr:uid="{00000000-0005-0000-0000-00003C220000}"/>
    <cellStyle name="_IFCPL 10.03.2006_IIAL 31.03.2010 VER2" xfId="8765" xr:uid="{00000000-0005-0000-0000-00003D220000}"/>
    <cellStyle name="_IFCPL 10.03.2006_IICL_March'11" xfId="8766" xr:uid="{00000000-0005-0000-0000-00003E220000}"/>
    <cellStyle name="_IFCPL 10.03.2006_IIDL_3227_2008_09" xfId="8767" xr:uid="{00000000-0005-0000-0000-00003F220000}"/>
    <cellStyle name="_IFCPL 10.03.2006_IIDL_3227_2008_09_Advance Tax Summary" xfId="8768" xr:uid="{00000000-0005-0000-0000-000040220000}"/>
    <cellStyle name="_IFCPL 10.03.2006_IIDL_3227_2008_09_Advance Tax Summary 2" xfId="8769" xr:uid="{00000000-0005-0000-0000-000041220000}"/>
    <cellStyle name="_IFCPL 10.03.2006_IIDL_3227_2008_09_ISL Group - Advance Tax working for 3rd Instalment" xfId="8770" xr:uid="{00000000-0005-0000-0000-000042220000}"/>
    <cellStyle name="_IFCPL 10.03.2006_IIDL_3227_2008_09_Xl0000013" xfId="8771" xr:uid="{00000000-0005-0000-0000-000043220000}"/>
    <cellStyle name="_IFCPL 10.03.2006_Indiabulls Asset Management Company Limited printable" xfId="8772" xr:uid="{00000000-0005-0000-0000-000044220000}"/>
    <cellStyle name="_IFCPL 10.03.2006_IREL_3000_08-09" xfId="8773" xr:uid="{00000000-0005-0000-0000-000045220000}"/>
    <cellStyle name="_IFCPL 10.03.2006_IREL_3000_08-09 2" xfId="8774" xr:uid="{00000000-0005-0000-0000-000046220000}"/>
    <cellStyle name="_IFCPL 10.03.2006_ISL_March_08_09.final_11.12.2009" xfId="8775" xr:uid="{00000000-0005-0000-0000-000047220000}"/>
    <cellStyle name="_IFCPL 10.03.2006_ISL_March_08_09.final_11.12.2009_ISL__3CD_FY2010-11" xfId="8776" xr:uid="{00000000-0005-0000-0000-000048220000}"/>
    <cellStyle name="_IFCPL 10.03.2006_ITCL_BS working _New format_31.03 V7" xfId="8777" xr:uid="{00000000-0005-0000-0000-000049220000}"/>
    <cellStyle name="_IFCPL 10.03.2006_ITCL-New format_31.03 V6" xfId="8778" xr:uid="{00000000-0005-0000-0000-00004A220000}"/>
    <cellStyle name="_IFCPL 10.03.2006_NFCL working file" xfId="8779" xr:uid="{00000000-0005-0000-0000-00004B220000}"/>
    <cellStyle name="_IFCPL 10.03.2006_NFCL_ Tax Audit Report FY08-09 " xfId="8780" xr:uid="{00000000-0005-0000-0000-00004C220000}"/>
    <cellStyle name="_IFCPL 10.03.2006_Revised Consol Balance Sheet_Sophia_Jan09_10.02.2009" xfId="8781" xr:uid="{00000000-0005-0000-0000-00004D220000}"/>
    <cellStyle name="_IFCPL 10.03.2006_Sophia Consol for Printout 22 Jun 09" xfId="8782" xr:uid="{00000000-0005-0000-0000-00004E220000}"/>
    <cellStyle name="_IFCPL 10.03.2006_Sophia Consol_march_09_05 June  09_1" xfId="8783" xr:uid="{00000000-0005-0000-0000-00004F220000}"/>
    <cellStyle name="_IFCPL 10.03.2006_Tax Audit Report  F.Y.08-09" xfId="8784" xr:uid="{00000000-0005-0000-0000-000050220000}"/>
    <cellStyle name="_IFCPL 10.03.2006_Tax Audit Report  ICSL F.Y.09-10" xfId="8785" xr:uid="{00000000-0005-0000-0000-000051220000}"/>
    <cellStyle name="_IFCPL 10.03.2006_Treasury ICD Interest_ MIS_ 23  09 2009(final)" xfId="8786" xr:uid="{00000000-0005-0000-0000-000052220000}"/>
    <cellStyle name="_IFCPL 10.03.2006_Treasury ICD Interest_ MIS_ 30. 06 2009(final)" xfId="8787" xr:uid="{00000000-0005-0000-0000-000053220000}"/>
    <cellStyle name="_IFCPL 10.03.2006_Treasury ICD Interest_ MIS_ 30. 09 2009(final)" xfId="8788" xr:uid="{00000000-0005-0000-0000-000054220000}"/>
    <cellStyle name="_IFCPL 10.03.2006_Treasury ICD Interest_ MIS_ 31 05 2009" xfId="8789" xr:uid="{00000000-0005-0000-0000-000055220000}"/>
    <cellStyle name="_IFCPL 10.03.2006_Treasury ICD Interest_ MIS_ 31 10 2009" xfId="8790" xr:uid="{00000000-0005-0000-0000-000056220000}"/>
    <cellStyle name="_IFCPL 10.03.2006_Treasury ICD Interest_ MIS_ 31.10.2009" xfId="8791" xr:uid="{00000000-0005-0000-0000-000057220000}"/>
    <cellStyle name="_IFCPL 10.03.2006_Treasury ICD Interest_ MIS_ 310309" xfId="8792" xr:uid="{00000000-0005-0000-0000-000058220000}"/>
    <cellStyle name="_IFCPL 10.09.2006" xfId="8793" xr:uid="{00000000-0005-0000-0000-000059220000}"/>
    <cellStyle name="_IFCPL 10.09.2006 2" xfId="8794" xr:uid="{00000000-0005-0000-0000-00005A220000}"/>
    <cellStyle name="_IFCPL 10.09.2006 2 2" xfId="8795" xr:uid="{00000000-0005-0000-0000-00005B220000}"/>
    <cellStyle name="_IFCPL 10.09.2006 3" xfId="8796" xr:uid="{00000000-0005-0000-0000-00005C220000}"/>
    <cellStyle name="_IFCPL 10.09.2006_269SS &amp; T IIAPL 09-10" xfId="8797" xr:uid="{00000000-0005-0000-0000-00005D220000}"/>
    <cellStyle name="_IFCPL 10.09.2006_Abstract-2007-08" xfId="8798" xr:uid="{00000000-0005-0000-0000-00005E220000}"/>
    <cellStyle name="_IFCPL 10.09.2006_Abstract-2007-08 2" xfId="8799" xr:uid="{00000000-0005-0000-0000-00005F220000}"/>
    <cellStyle name="_IFCPL 10.09.2006_Advance Tax Format_F.Y. 2010-11" xfId="8800" xr:uid="{00000000-0005-0000-0000-000060220000}"/>
    <cellStyle name="_IFCPL 10.09.2006_Advance Tax Sophia Jun 09" xfId="8801" xr:uid="{00000000-0005-0000-0000-000061220000}"/>
    <cellStyle name="_IFCPL 10.09.2006_Asset Management Company Limited" xfId="8802" xr:uid="{00000000-0005-0000-0000-000062220000}"/>
    <cellStyle name="_IFCPL 10.09.2006_Base File For Segment" xfId="8803" xr:uid="{00000000-0005-0000-0000-000063220000}"/>
    <cellStyle name="_IFCPL 10.09.2006_Book1" xfId="8804" xr:uid="{00000000-0005-0000-0000-000064220000}"/>
    <cellStyle name="_IFCPL 10.09.2006_Book1 (2)" xfId="8805" xr:uid="{00000000-0005-0000-0000-000065220000}"/>
    <cellStyle name="_IFCPL 10.09.2006_Book1 (2) 2" xfId="8806" xr:uid="{00000000-0005-0000-0000-000066220000}"/>
    <cellStyle name="_IFCPL 10.09.2006_Bracond Balance Sheet  PL_301108_krishanu" xfId="8807" xr:uid="{00000000-0005-0000-0000-000067220000}"/>
    <cellStyle name="_IFCPL 10.09.2006_BS _IB Asset Management _3103_ver5" xfId="8808" xr:uid="{00000000-0005-0000-0000-000068220000}"/>
    <cellStyle name="_IFCPL 10.09.2006_BS _IB Asset Management _3103_ver5_IAMCL BS working -New format_31.03 V5" xfId="8809" xr:uid="{00000000-0005-0000-0000-000069220000}"/>
    <cellStyle name="_IFCPL 10.09.2006_CCL_3353_2007-08" xfId="8810" xr:uid="{00000000-0005-0000-0000-00006A220000}"/>
    <cellStyle name="_IFCPL 10.09.2006_ChlorisProperties_3351_Dec.08" xfId="8811" xr:uid="{00000000-0005-0000-0000-00006B220000}"/>
    <cellStyle name="_IFCPL 10.09.2006_Consol Balance Sheet_Sophia_Dec08_Ibrel_1.3" xfId="8812" xr:uid="{00000000-0005-0000-0000-00006C220000}"/>
    <cellStyle name="_IFCPL 10.09.2006_CRAR - dec- 10v-12" xfId="8813" xr:uid="{00000000-0005-0000-0000-00006D220000}"/>
    <cellStyle name="_IFCPL 10.09.2006_CRAR - dec- 10v-12 2" xfId="8814" xr:uid="{00000000-0005-0000-0000-00006E220000}"/>
    <cellStyle name="_IFCPL 10.09.2006_detail (2)" xfId="8815" xr:uid="{00000000-0005-0000-0000-00006F220000}"/>
    <cellStyle name="_IFCPL 10.09.2006_Detail of IPO funding" xfId="8816" xr:uid="{00000000-0005-0000-0000-000070220000}"/>
    <cellStyle name="_IFCPL 10.09.2006_Details" xfId="8817" xr:uid="{00000000-0005-0000-0000-000071220000}"/>
    <cellStyle name="_IFCPL 10.09.2006_Entries Passed in Conso for profit on sale of invRevised 30.07.08" xfId="8818" xr:uid="{00000000-0005-0000-0000-000072220000}"/>
    <cellStyle name="_IFCPL 10.09.2006_Entries Passed in Conso for profit on sale of invRevised 30.07.08 2" xfId="8819" xr:uid="{00000000-0005-0000-0000-000073220000}"/>
    <cellStyle name="_IFCPL 10.09.2006_Entries Passed in Conso for profit on sale of invRevised 30.07.08_IREL_3000_08-09" xfId="8820" xr:uid="{00000000-0005-0000-0000-000074220000}"/>
    <cellStyle name="_IFCPL 10.09.2006_Entries Passed in Conso for profit on sale of invRevised 30.07.08_IREL_3000_08-09 2" xfId="8821" xr:uid="{00000000-0005-0000-0000-000075220000}"/>
    <cellStyle name="_IFCPL 10.09.2006_Entries Passed in Conso for profit on sale of invRevised 30.07.08_IREL_3000_08-09 2 2" xfId="8822" xr:uid="{00000000-0005-0000-0000-000076220000}"/>
    <cellStyle name="_IFCPL 10.09.2006_Entries Passed in Conso for profit on sale of invRevised 30.07.08_IREL_3000_08-09 3" xfId="8823" xr:uid="{00000000-0005-0000-0000-000077220000}"/>
    <cellStyle name="_IFCPL 10.09.2006_Entries Passed in Conso for profit on sale of invRevised 30.07.08_IREL_3000_08-09 stage 3" xfId="8824" xr:uid="{00000000-0005-0000-0000-000078220000}"/>
    <cellStyle name="_IFCPL 10.09.2006_Entries Passed in Conso for profit on sale of invRevised 30.07.08_IREL_3000_08-09 stage 3 2" xfId="8825" xr:uid="{00000000-0005-0000-0000-000079220000}"/>
    <cellStyle name="_IFCPL 10.09.2006_Entries Passed in Conso for profit on sale of invRevised 30.07.08_IREL_3000_08-09 stage 3_IREL_3000_08-09" xfId="8826" xr:uid="{00000000-0005-0000-0000-00007A220000}"/>
    <cellStyle name="_IFCPL 10.09.2006_Entries Passed in Conso for profit on sale of invRevised 30.07.08_IREL_3000_08-09 stage 3_IREL_3000_08-09 2" xfId="8827" xr:uid="{00000000-0005-0000-0000-00007B220000}"/>
    <cellStyle name="_IFCPL 10.09.2006_Entries Passed in Conso for profit on sale of invRevised 30.07.08_IREL_3000_08-09 stage 3_IREL_3000_08-09 2 2" xfId="8828" xr:uid="{00000000-0005-0000-0000-00007C220000}"/>
    <cellStyle name="_IFCPL 10.09.2006_Entries Passed in Conso for profit on sale of invRevised 30.07.08_IREL_3000_08-09 stage 3_IREL_3000_08-09 3" xfId="8829" xr:uid="{00000000-0005-0000-0000-00007D220000}"/>
    <cellStyle name="_IFCPL 10.09.2006_Entries Passed in Conso for profit on sale of invRevised 30.07.08_IREL_3000_08-09_IBREAL_BS PACK-Version.02" xfId="8830" xr:uid="{00000000-0005-0000-0000-00007E220000}"/>
    <cellStyle name="_IFCPL 10.09.2006_Entries Passed in Conso for profit on sale of invRevised 30.07.08_IREL_3000_08-09_IBREAL_BS PACK-Version.02 2" xfId="8831" xr:uid="{00000000-0005-0000-0000-00007F220000}"/>
    <cellStyle name="_IFCPL 10.09.2006_Entries Passed in Conso for profit on sale of invRevised 30.07.08_IREL_3000_08-09_IBREAL_BS PACK-Version.02 2 2" xfId="8832" xr:uid="{00000000-0005-0000-0000-000080220000}"/>
    <cellStyle name="_IFCPL 10.09.2006_Entries Passed in Conso for profit on sale of invRevised 30.07.08_IREL_3000_08-09_IBREAL_BS PACK-Version.02 3" xfId="8833" xr:uid="{00000000-0005-0000-0000-000081220000}"/>
    <cellStyle name="_IFCPL 10.09.2006_Entries Passed in Conso for profit on sale of invRevised 30.07.08_IREL_3000_08-09_IBREAL_BS PACK-Version.02_IBREAL_BS PACK-Version.03" xfId="8834" xr:uid="{00000000-0005-0000-0000-000082220000}"/>
    <cellStyle name="_IFCPL 10.09.2006_Entries Passed in Conso for profit on sale of invRevised 30.07.08_IREL_3000_08-09_IBREAL_BS PACK-Version.02_IBREAL_BS PACK-Version.03 2" xfId="8835" xr:uid="{00000000-0005-0000-0000-000083220000}"/>
    <cellStyle name="_IFCPL 10.09.2006_Entries Passed in Conso for profit on sale of invRevised 30.07.08_IREL_3000_08-09_IBREAL_BS PACK-Version.02_IBREAL_BS PACK-Version.03 2 2" xfId="8836" xr:uid="{00000000-0005-0000-0000-000084220000}"/>
    <cellStyle name="_IFCPL 10.09.2006_Entries Passed in Conso for profit on sale of invRevised 30.07.08_IREL_3000_08-09_IBREAL_BS PACK-Version.02_IBREAL_BS PACK-Version.03 3" xfId="8837" xr:uid="{00000000-0005-0000-0000-000085220000}"/>
    <cellStyle name="_IFCPL 10.09.2006_Entries Passed in Conso for profit on sale of invRevised 30.07.08_IREL_3000_08-09_IBREAL_BS PACK-Version.02_IBREAL_BS PACK-Version.03_IBREAL_BS PACK-Version.07" xfId="8838" xr:uid="{00000000-0005-0000-0000-000086220000}"/>
    <cellStyle name="_IFCPL 10.09.2006_Entries Passed in Conso for profit on sale of invRevised 30.07.08_IREL_3000_08-09_IBREAL_BS PACK-Version.02_IBREAL_BS PACK-Version.03_IBREAL_BS PACK-Version.07 2" xfId="8839" xr:uid="{00000000-0005-0000-0000-000087220000}"/>
    <cellStyle name="_IFCPL 10.09.2006_Entries Passed in Conso for profit on sale of invRevised 30.07.08_IREL_3000_08-09_IBREAL_BS PACK-Version.02_IBREAL_BS PACK-Version.03_IBREAL_BS PACK-Version.07 2 2" xfId="8840" xr:uid="{00000000-0005-0000-0000-000088220000}"/>
    <cellStyle name="_IFCPL 10.09.2006_Entries Passed in Conso for profit on sale of invRevised 30.07.08_IREL_3000_08-09_IBREAL_BS PACK-Version.02_IBREAL_BS PACK-Version.03_IBREAL_BS PACK-Version.07 3" xfId="8841" xr:uid="{00000000-0005-0000-0000-000089220000}"/>
    <cellStyle name="_IFCPL 10.09.2006_EPL_3346_2007-08(C)" xfId="8842" xr:uid="{00000000-0005-0000-0000-00008A220000}"/>
    <cellStyle name="_IFCPL 10.09.2006_FD Detail" xfId="8843" xr:uid="{00000000-0005-0000-0000-00008B220000}"/>
    <cellStyle name="_IFCPL 10.09.2006_FD Detail_Xl0000013" xfId="8844" xr:uid="{00000000-0005-0000-0000-00008C220000}"/>
    <cellStyle name="_IFCPL 10.09.2006_Final Consol Balance Sheet_Sophia_Dec08_27.01.08" xfId="8845" xr:uid="{00000000-0005-0000-0000-00008D220000}"/>
    <cellStyle name="_IFCPL 10.09.2006_Fixed Assets consolidated" xfId="8846" xr:uid="{00000000-0005-0000-0000-00008E220000}"/>
    <cellStyle name="_IFCPL 10.09.2006_IAMCL BS working -New format_31.03 V5" xfId="8847" xr:uid="{00000000-0005-0000-0000-00008F220000}"/>
    <cellStyle name="_IFCPL 10.09.2006_IB Asset Management _2910" xfId="8848" xr:uid="{00000000-0005-0000-0000-000090220000}"/>
    <cellStyle name="_IFCPL 10.09.2006_IB Asset Management _2910_IB Collection Agency_3103 V3" xfId="8849" xr:uid="{00000000-0005-0000-0000-000091220000}"/>
    <cellStyle name="_IFCPL 10.09.2006_IB Asset Management _2910_IB Collection Agency_3103 V3_ICAL-New Format_31.03 V4" xfId="8850" xr:uid="{00000000-0005-0000-0000-000092220000}"/>
    <cellStyle name="_IFCPL 10.09.2006_IB Asset Management _2910_ICAL-BS Final Working _New format" xfId="8851" xr:uid="{00000000-0005-0000-0000-000093220000}"/>
    <cellStyle name="_IFCPL 10.09.2006_IB Asset Management _3103_ver5" xfId="8852" xr:uid="{00000000-0005-0000-0000-000094220000}"/>
    <cellStyle name="_IFCPL 10.09.2006_IB Asset Management_3103 V2" xfId="8853" xr:uid="{00000000-0005-0000-0000-000095220000}"/>
    <cellStyle name="_IFCPL 10.09.2006_IB Asset Management_3103 V4" xfId="8854" xr:uid="{00000000-0005-0000-0000-000096220000}"/>
    <cellStyle name="_IFCPL 10.09.2006_IB Asset Management_3103 V5" xfId="8855" xr:uid="{00000000-0005-0000-0000-000097220000}"/>
    <cellStyle name="_IFCPL 10.09.2006_IB Collection Agency_3103 V3" xfId="8856" xr:uid="{00000000-0005-0000-0000-000098220000}"/>
    <cellStyle name="_IFCPL 10.09.2006_IB Collection Agency_3103 V3_ICAL-New Format_31.03 V4" xfId="8857" xr:uid="{00000000-0005-0000-0000-000099220000}"/>
    <cellStyle name="_IFCPL 10.09.2006_IB Infrastructure Credit" xfId="8858" xr:uid="{00000000-0005-0000-0000-00009A220000}"/>
    <cellStyle name="_IFCPL 10.09.2006_IB Infrastructure Credit-3103_V6" xfId="8859" xr:uid="{00000000-0005-0000-0000-00009B220000}"/>
    <cellStyle name="_IFCPL 10.09.2006_IB Infrastructure Credit-3103_V7" xfId="8860" xr:uid="{00000000-0005-0000-0000-00009C220000}"/>
    <cellStyle name="_IFCPL 10.09.2006_IB Life Insurance_3103 V4" xfId="8861" xr:uid="{00000000-0005-0000-0000-00009D220000}"/>
    <cellStyle name="_IFCPL 10.09.2006_IB Trustee Company_3103 V4" xfId="8862" xr:uid="{00000000-0005-0000-0000-00009E220000}"/>
    <cellStyle name="_IFCPL 10.09.2006_IBFSL 30 Sep 11 V8" xfId="8863" xr:uid="{00000000-0005-0000-0000-00009F220000}"/>
    <cellStyle name="_IFCPL 10.09.2006_IBFSL 31 May V1" xfId="8864" xr:uid="{00000000-0005-0000-0000-0000A0220000}"/>
    <cellStyle name="_IFCPL 10.09.2006_IBFSL 31 May V1_Xl0000013" xfId="8865" xr:uid="{00000000-0005-0000-0000-0000A1220000}"/>
    <cellStyle name="_IFCPL 10.09.2006_IBFSL_Conso_March_10_11" xfId="8866" xr:uid="{00000000-0005-0000-0000-0000A2220000}"/>
    <cellStyle name="_IFCPL 10.09.2006_IBLIC_BS  Final working -New_Format_31.03 V5" xfId="8867" xr:uid="{00000000-0005-0000-0000-0000A3220000}"/>
    <cellStyle name="_IFCPL 10.09.2006_Ibulls BS Final woirking -New format_31.03 V5" xfId="8868" xr:uid="{00000000-0005-0000-0000-0000A4220000}"/>
    <cellStyle name="_IFCPL 10.09.2006_IbullsSales_3009V3 (3)" xfId="8869" xr:uid="{00000000-0005-0000-0000-0000A5220000}"/>
    <cellStyle name="_IFCPL 10.09.2006_IbullsSales_3103" xfId="8870" xr:uid="{00000000-0005-0000-0000-0000A6220000}"/>
    <cellStyle name="_IFCPL 10.09.2006_IbullsSales_3103 V2" xfId="8871" xr:uid="{00000000-0005-0000-0000-0000A7220000}"/>
    <cellStyle name="_IFCPL 10.09.2006_IbullsSales_3103 V5" xfId="8872" xr:uid="{00000000-0005-0000-0000-0000A8220000}"/>
    <cellStyle name="_IFCPL 10.09.2006_ICAL-BS Final Working _New format" xfId="8873" xr:uid="{00000000-0005-0000-0000-0000A9220000}"/>
    <cellStyle name="_IFCPL 10.09.2006_ICL_BS_30.06.2009" xfId="8874" xr:uid="{00000000-0005-0000-0000-0000AA220000}"/>
    <cellStyle name="_IFCPL 10.09.2006_ICPL_BS_31.03.2009_new" xfId="8875" xr:uid="{00000000-0005-0000-0000-0000AB220000}"/>
    <cellStyle name="_IFCPL 10.09.2006_ICPL_BS_31.03.2009_new_ISL__3CD_FY2010-11" xfId="8876" xr:uid="{00000000-0005-0000-0000-0000AC220000}"/>
    <cellStyle name="_IFCPL 10.09.2006_IDSL_31.03.2010" xfId="8877" xr:uid="{00000000-0005-0000-0000-0000AD220000}"/>
    <cellStyle name="_IFCPL 10.09.2006_IFCPL 31 03 2010 VER6 Final" xfId="8878" xr:uid="{00000000-0005-0000-0000-0000AE220000}"/>
    <cellStyle name="_IFCPL 10.09.2006_IHFL_Dec_23_2008" xfId="8879" xr:uid="{00000000-0005-0000-0000-0000AF220000}"/>
    <cellStyle name="_IFCPL 10.09.2006_IHFL_Dec_23_2008_Xl0000013" xfId="8880" xr:uid="{00000000-0005-0000-0000-0000B0220000}"/>
    <cellStyle name="_IFCPL 10.09.2006_IHFL_SEP_30_2009 XIII AUDIT- Sch II" xfId="8881" xr:uid="{00000000-0005-0000-0000-0000B1220000}"/>
    <cellStyle name="_IFCPL 10.09.2006_IIAL 31.03.2010 VER2" xfId="8882" xr:uid="{00000000-0005-0000-0000-0000B2220000}"/>
    <cellStyle name="_IFCPL 10.09.2006_IICL_March'11" xfId="8883" xr:uid="{00000000-0005-0000-0000-0000B3220000}"/>
    <cellStyle name="_IFCPL 10.09.2006_IIDL_3227_2008_09" xfId="8884" xr:uid="{00000000-0005-0000-0000-0000B4220000}"/>
    <cellStyle name="_IFCPL 10.09.2006_IIDL_3227_2008_09_Advance Tax Summary" xfId="8885" xr:uid="{00000000-0005-0000-0000-0000B5220000}"/>
    <cellStyle name="_IFCPL 10.09.2006_IIDL_3227_2008_09_Advance Tax Summary 2" xfId="8886" xr:uid="{00000000-0005-0000-0000-0000B6220000}"/>
    <cellStyle name="_IFCPL 10.09.2006_IIDL_3227_2008_09_ISL Group - Advance Tax working for 3rd Instalment" xfId="8887" xr:uid="{00000000-0005-0000-0000-0000B7220000}"/>
    <cellStyle name="_IFCPL 10.09.2006_IIDL_3227_2008_09_Xl0000013" xfId="8888" xr:uid="{00000000-0005-0000-0000-0000B8220000}"/>
    <cellStyle name="_IFCPL 10.09.2006_Indiabulls Asset Management Company Limited printable" xfId="8889" xr:uid="{00000000-0005-0000-0000-0000B9220000}"/>
    <cellStyle name="_IFCPL 10.09.2006_IREL_3000_08-09" xfId="8890" xr:uid="{00000000-0005-0000-0000-0000BA220000}"/>
    <cellStyle name="_IFCPL 10.09.2006_IREL_3000_08-09 2" xfId="8891" xr:uid="{00000000-0005-0000-0000-0000BB220000}"/>
    <cellStyle name="_IFCPL 10.09.2006_ISL_March_08_09.final_11.12.2009" xfId="8892" xr:uid="{00000000-0005-0000-0000-0000BC220000}"/>
    <cellStyle name="_IFCPL 10.09.2006_ISL_March_08_09.final_11.12.2009_ISL__3CD_FY2010-11" xfId="8893" xr:uid="{00000000-0005-0000-0000-0000BD220000}"/>
    <cellStyle name="_IFCPL 10.09.2006_ITCL_BS working _New format_31.03 V7" xfId="8894" xr:uid="{00000000-0005-0000-0000-0000BE220000}"/>
    <cellStyle name="_IFCPL 10.09.2006_ITCL-New format_31.03 V6" xfId="8895" xr:uid="{00000000-0005-0000-0000-0000BF220000}"/>
    <cellStyle name="_IFCPL 10.09.2006_NFCL working file" xfId="8896" xr:uid="{00000000-0005-0000-0000-0000C0220000}"/>
    <cellStyle name="_IFCPL 10.09.2006_NFCL_ Tax Audit Report FY08-09 " xfId="8897" xr:uid="{00000000-0005-0000-0000-0000C1220000}"/>
    <cellStyle name="_IFCPL 10.09.2006_Revised Consol Balance Sheet_Sophia_Jan09_10.02.2009" xfId="8898" xr:uid="{00000000-0005-0000-0000-0000C2220000}"/>
    <cellStyle name="_IFCPL 10.09.2006_Sophia Consol for Printout 22 Jun 09" xfId="8899" xr:uid="{00000000-0005-0000-0000-0000C3220000}"/>
    <cellStyle name="_IFCPL 10.09.2006_Sophia Consol_march_09_05 June  09_1" xfId="8900" xr:uid="{00000000-0005-0000-0000-0000C4220000}"/>
    <cellStyle name="_IFCPL 10.09.2006_Tax Audit Report  F.Y.08-09" xfId="8901" xr:uid="{00000000-0005-0000-0000-0000C5220000}"/>
    <cellStyle name="_IFCPL 10.09.2006_Tax Audit Report  ICSL F.Y.09-10" xfId="8902" xr:uid="{00000000-0005-0000-0000-0000C6220000}"/>
    <cellStyle name="_IFCPL 10.09.2006_Treasury ICD Interest_ MIS_ 23  09 2009(final)" xfId="8903" xr:uid="{00000000-0005-0000-0000-0000C7220000}"/>
    <cellStyle name="_IFCPL 10.09.2006_Treasury ICD Interest_ MIS_ 30. 06 2009(final)" xfId="8904" xr:uid="{00000000-0005-0000-0000-0000C8220000}"/>
    <cellStyle name="_IFCPL 10.09.2006_Treasury ICD Interest_ MIS_ 30. 09 2009(final)" xfId="8905" xr:uid="{00000000-0005-0000-0000-0000C9220000}"/>
    <cellStyle name="_IFCPL 10.09.2006_Treasury ICD Interest_ MIS_ 31 05 2009" xfId="8906" xr:uid="{00000000-0005-0000-0000-0000CA220000}"/>
    <cellStyle name="_IFCPL 10.09.2006_Treasury ICD Interest_ MIS_ 31 10 2009" xfId="8907" xr:uid="{00000000-0005-0000-0000-0000CB220000}"/>
    <cellStyle name="_IFCPL 10.09.2006_Treasury ICD Interest_ MIS_ 31.10.2009" xfId="8908" xr:uid="{00000000-0005-0000-0000-0000CC220000}"/>
    <cellStyle name="_IFCPL 10.09.2006_Treasury ICD Interest_ MIS_ 310309" xfId="8909" xr:uid="{00000000-0005-0000-0000-0000CD220000}"/>
    <cellStyle name="_IFCPL 31.03.2007 Audit New1" xfId="8910" xr:uid="{00000000-0005-0000-0000-0000CE220000}"/>
    <cellStyle name="_IFCPL 31.03.2007 Audit New1 2" xfId="8911" xr:uid="{00000000-0005-0000-0000-0000CF220000}"/>
    <cellStyle name="_IFCPL 31.03.2007 Audit New1 3" xfId="8912" xr:uid="{00000000-0005-0000-0000-0000D0220000}"/>
    <cellStyle name="_IFCPL 31.03.2007 Audit New1_269SS &amp; T IIAPL 09-10" xfId="8913" xr:uid="{00000000-0005-0000-0000-0000D1220000}"/>
    <cellStyle name="_IFCPL 31.03.2007 Audit New1_Advance Tax Format_F.Y. 2010-11" xfId="8914" xr:uid="{00000000-0005-0000-0000-0000D2220000}"/>
    <cellStyle name="_IFCPL 31.03.2007 Audit New1_Asset Management Company Limited" xfId="8915" xr:uid="{00000000-0005-0000-0000-0000D3220000}"/>
    <cellStyle name="_IFCPL 31.03.2007 Audit New1_BS _IB Asset Management _3103_ver5" xfId="8916" xr:uid="{00000000-0005-0000-0000-0000D4220000}"/>
    <cellStyle name="_IFCPL 31.03.2007 Audit New1_BS _IB Asset Management _3103_ver5_IAMCL BS working -New format_31.03 V5" xfId="8917" xr:uid="{00000000-0005-0000-0000-0000D5220000}"/>
    <cellStyle name="_IFCPL 31.03.2007 Audit New1_CRAR - dec- 10v-12" xfId="8918" xr:uid="{00000000-0005-0000-0000-0000D6220000}"/>
    <cellStyle name="_IFCPL 31.03.2007 Audit New1_CRAR - dec- 10v-12 2" xfId="8919" xr:uid="{00000000-0005-0000-0000-0000D7220000}"/>
    <cellStyle name="_IFCPL 31.03.2007 Audit New1_Detail of IPO funding" xfId="8920" xr:uid="{00000000-0005-0000-0000-0000D8220000}"/>
    <cellStyle name="_IFCPL 31.03.2007 Audit New1_IAMCL BS working -New format_31.03 V5" xfId="8921" xr:uid="{00000000-0005-0000-0000-0000D9220000}"/>
    <cellStyle name="_IFCPL 31.03.2007 Audit New1_IB Asset Management _2910" xfId="8922" xr:uid="{00000000-0005-0000-0000-0000DA220000}"/>
    <cellStyle name="_IFCPL 31.03.2007 Audit New1_IB Asset Management _2910_IB Collection Agency_3103 V3" xfId="8923" xr:uid="{00000000-0005-0000-0000-0000DB220000}"/>
    <cellStyle name="_IFCPL 31.03.2007 Audit New1_IB Asset Management _2910_IB Collection Agency_3103 V3_ICAL-New Format_31.03 V4" xfId="8924" xr:uid="{00000000-0005-0000-0000-0000DC220000}"/>
    <cellStyle name="_IFCPL 31.03.2007 Audit New1_IB Asset Management _2910_ICAL-BS Final Working _New format" xfId="8925" xr:uid="{00000000-0005-0000-0000-0000DD220000}"/>
    <cellStyle name="_IFCPL 31.03.2007 Audit New1_IB Asset Management _3103_ver5" xfId="8926" xr:uid="{00000000-0005-0000-0000-0000DE220000}"/>
    <cellStyle name="_IFCPL 31.03.2007 Audit New1_IB Asset Management_3103 V2" xfId="8927" xr:uid="{00000000-0005-0000-0000-0000DF220000}"/>
    <cellStyle name="_IFCPL 31.03.2007 Audit New1_IB Asset Management_3103 V4" xfId="8928" xr:uid="{00000000-0005-0000-0000-0000E0220000}"/>
    <cellStyle name="_IFCPL 31.03.2007 Audit New1_IB Asset Management_3103 V5" xfId="8929" xr:uid="{00000000-0005-0000-0000-0000E1220000}"/>
    <cellStyle name="_IFCPL 31.03.2007 Audit New1_IB Collection Agency_3103 V3" xfId="8930" xr:uid="{00000000-0005-0000-0000-0000E2220000}"/>
    <cellStyle name="_IFCPL 31.03.2007 Audit New1_IB Collection Agency_3103 V3_ICAL-New Format_31.03 V4" xfId="8931" xr:uid="{00000000-0005-0000-0000-0000E3220000}"/>
    <cellStyle name="_IFCPL 31.03.2007 Audit New1_IB Infrastructure Credit" xfId="8932" xr:uid="{00000000-0005-0000-0000-0000E4220000}"/>
    <cellStyle name="_IFCPL 31.03.2007 Audit New1_IB Infrastructure Credit-3103_V6" xfId="8933" xr:uid="{00000000-0005-0000-0000-0000E5220000}"/>
    <cellStyle name="_IFCPL 31.03.2007 Audit New1_IB Infrastructure Credit-3103_V7" xfId="8934" xr:uid="{00000000-0005-0000-0000-0000E6220000}"/>
    <cellStyle name="_IFCPL 31.03.2007 Audit New1_IB Life Insurance_3103 V4" xfId="8935" xr:uid="{00000000-0005-0000-0000-0000E7220000}"/>
    <cellStyle name="_IFCPL 31.03.2007 Audit New1_IB Trustee Company_3103 V4" xfId="8936" xr:uid="{00000000-0005-0000-0000-0000E8220000}"/>
    <cellStyle name="_IFCPL 31.03.2007 Audit New1_IBFSL 30 Sep 11 V8" xfId="8937" xr:uid="{00000000-0005-0000-0000-0000E9220000}"/>
    <cellStyle name="_IFCPL 31.03.2007 Audit New1_IBFSL_Conso_March_10_11" xfId="8938" xr:uid="{00000000-0005-0000-0000-0000EA220000}"/>
    <cellStyle name="_IFCPL 31.03.2007 Audit New1_IBLIC_BS  Final working -New_Format_31.03 V5" xfId="8939" xr:uid="{00000000-0005-0000-0000-0000EB220000}"/>
    <cellStyle name="_IFCPL 31.03.2007 Audit New1_Ibulls BS Final woirking -New format_31.03 V5" xfId="8940" xr:uid="{00000000-0005-0000-0000-0000EC220000}"/>
    <cellStyle name="_IFCPL 31.03.2007 Audit New1_IbullsSales_3009V3 (3)" xfId="8941" xr:uid="{00000000-0005-0000-0000-0000ED220000}"/>
    <cellStyle name="_IFCPL 31.03.2007 Audit New1_IbullsSales_3103" xfId="8942" xr:uid="{00000000-0005-0000-0000-0000EE220000}"/>
    <cellStyle name="_IFCPL 31.03.2007 Audit New1_IbullsSales_3103 V2" xfId="8943" xr:uid="{00000000-0005-0000-0000-0000EF220000}"/>
    <cellStyle name="_IFCPL 31.03.2007 Audit New1_IbullsSales_3103 V5" xfId="8944" xr:uid="{00000000-0005-0000-0000-0000F0220000}"/>
    <cellStyle name="_IFCPL 31.03.2007 Audit New1_ICAL-BS Final Working _New format" xfId="8945" xr:uid="{00000000-0005-0000-0000-0000F1220000}"/>
    <cellStyle name="_IFCPL 31.03.2007 Audit New1_IFCPL 31 03 2010 VER6 Final" xfId="8946" xr:uid="{00000000-0005-0000-0000-0000F2220000}"/>
    <cellStyle name="_IFCPL 31.03.2007 Audit New1_IFCPL 31.03.09 ver 6 - RBI Return" xfId="8947" xr:uid="{00000000-0005-0000-0000-0000F3220000}"/>
    <cellStyle name="_IFCPL 31.03.2007 Audit New1_IFCPL Financials - March 2009" xfId="8948" xr:uid="{00000000-0005-0000-0000-0000F4220000}"/>
    <cellStyle name="_IFCPL 31.03.2007 Audit New1_IFCPL Financials - March 2009 2" xfId="8949" xr:uid="{00000000-0005-0000-0000-0000F5220000}"/>
    <cellStyle name="_IFCPL 31.03.2007 Audit New1_IFCPL Financials - March 2009 With Computation" xfId="8950" xr:uid="{00000000-0005-0000-0000-0000F6220000}"/>
    <cellStyle name="_IFCPL 31.03.2007 Audit New1_IFCPL Financials - March 2009 With Computation 2" xfId="8951" xr:uid="{00000000-0005-0000-0000-0000F7220000}"/>
    <cellStyle name="_IFCPL 31.03.2007 Audit New1_IFCPL Financials - March 2009 With Computation_Detail of IPO funding" xfId="8952" xr:uid="{00000000-0005-0000-0000-0000F8220000}"/>
    <cellStyle name="_IFCPL 31.03.2007 Audit New1_IFCPL Financials - March 2009 With Computation_IFCPL 31 03 2010 VER6 Final" xfId="8953" xr:uid="{00000000-0005-0000-0000-0000F9220000}"/>
    <cellStyle name="_IFCPL 31.03.2007 Audit New1_IFCPL Financials - March 2009_FDR working" xfId="8954" xr:uid="{00000000-0005-0000-0000-0000FA220000}"/>
    <cellStyle name="_IFCPL 31.03.2007 Audit New1_IFCPL Financials - March 2009_IFCPL 31 03 2010 VER6 Final" xfId="8955" xr:uid="{00000000-0005-0000-0000-0000FB220000}"/>
    <cellStyle name="_IFCPL 31.03.2007 Audit New1_IHFL_SEP_30_2009 XIII AUDIT- Sch II" xfId="8956" xr:uid="{00000000-0005-0000-0000-0000FC220000}"/>
    <cellStyle name="_IFCPL 31.03.2007 Audit New1_IIAL 31.03.2010 VER2" xfId="8957" xr:uid="{00000000-0005-0000-0000-0000FD220000}"/>
    <cellStyle name="_IFCPL 31.03.2007 Audit New1_IICL_March'11" xfId="8958" xr:uid="{00000000-0005-0000-0000-0000FE220000}"/>
    <cellStyle name="_IFCPL 31.03.2007 Audit New1_Indiabulls Asset Management Company Limited printable" xfId="8959" xr:uid="{00000000-0005-0000-0000-0000FF220000}"/>
    <cellStyle name="_IFCPL 31.03.2007 Audit New1_ITCL_BS working _New format_31.03 V7" xfId="8960" xr:uid="{00000000-0005-0000-0000-000000230000}"/>
    <cellStyle name="_IFCPL 31.03.2007 Audit New1_ITCL-New format_31.03 V6" xfId="8961" xr:uid="{00000000-0005-0000-0000-000001230000}"/>
    <cellStyle name="_IFCPL 31.03.2007 Audit New1_NFCL working file" xfId="8962" xr:uid="{00000000-0005-0000-0000-000002230000}"/>
    <cellStyle name="_IFCPL 31.03.2007 Audit New1_NFCL_ Tax Audit Report FY08-09 " xfId="8963" xr:uid="{00000000-0005-0000-0000-000003230000}"/>
    <cellStyle name="_IFCPL 31.03.2007 Audit New1_Tax Audit Report  F.Y.08-09" xfId="8964" xr:uid="{00000000-0005-0000-0000-000004230000}"/>
    <cellStyle name="_IFCPL 31.03.2007 Audit New1_Tax Audit Report  ICSL F.Y.09-10" xfId="8965" xr:uid="{00000000-0005-0000-0000-000005230000}"/>
    <cellStyle name="_IFCPL 31.03.2007 Audit New1_Xl0000013" xfId="8966" xr:uid="{00000000-0005-0000-0000-000006230000}"/>
    <cellStyle name="_IFSL_dec_06_07" xfId="8967" xr:uid="{00000000-0005-0000-0000-000007230000}"/>
    <cellStyle name="_IFSL_dec_06_07 2" xfId="8968" xr:uid="{00000000-0005-0000-0000-000008230000}"/>
    <cellStyle name="_IFSL_dec_06_07 2 2" xfId="8969" xr:uid="{00000000-0005-0000-0000-000009230000}"/>
    <cellStyle name="_IFSL_dec_06_07 3" xfId="8970" xr:uid="{00000000-0005-0000-0000-00000A230000}"/>
    <cellStyle name="_IFSL_dec_06_07 3 2" xfId="8971" xr:uid="{00000000-0005-0000-0000-00000B230000}"/>
    <cellStyle name="_IFSL_dec_06_07 4" xfId="8972" xr:uid="{00000000-0005-0000-0000-00000C230000}"/>
    <cellStyle name="_IFSL_dec_06_07 4 2" xfId="8973" xr:uid="{00000000-0005-0000-0000-00000D230000}"/>
    <cellStyle name="_IFSL_dec_06_07 5" xfId="8974" xr:uid="{00000000-0005-0000-0000-00000E230000}"/>
    <cellStyle name="_IFSL_dec_06_07 5 2" xfId="8975" xr:uid="{00000000-0005-0000-0000-00000F230000}"/>
    <cellStyle name="_IFSL_dec_06_07 6" xfId="8976" xr:uid="{00000000-0005-0000-0000-000010230000}"/>
    <cellStyle name="_IFSL_dec_06_07_detail" xfId="8977" xr:uid="{00000000-0005-0000-0000-000011230000}"/>
    <cellStyle name="_IFSL_dec_06_07_detail (2)" xfId="8978" xr:uid="{00000000-0005-0000-0000-000012230000}"/>
    <cellStyle name="_IFSL_dec_06_07_detail (2) 2" xfId="8979" xr:uid="{00000000-0005-0000-0000-000013230000}"/>
    <cellStyle name="_IFSL_dec_06_07_detail 2" xfId="8980" xr:uid="{00000000-0005-0000-0000-000014230000}"/>
    <cellStyle name="_IFSL_dec_06_07_detail to be added in june,2008" xfId="8981" xr:uid="{00000000-0005-0000-0000-000015230000}"/>
    <cellStyle name="_IFSL_dec_06_07_detail to be added in june,2008 2" xfId="8982" xr:uid="{00000000-0005-0000-0000-000016230000}"/>
    <cellStyle name="_IFSL_dec_06_07_Details of Assets &amp; Liablilities" xfId="8983" xr:uid="{00000000-0005-0000-0000-000017230000}"/>
    <cellStyle name="_IFSL_dec_06_07_Details of Assets &amp; Liablilities 2" xfId="8984" xr:uid="{00000000-0005-0000-0000-000018230000}"/>
    <cellStyle name="_IFSL_dec_06_07_Details of Assets &amp; Liablilities 3" xfId="8985" xr:uid="{00000000-0005-0000-0000-000019230000}"/>
    <cellStyle name="_IFSL_dec_06_07_IBL_09.12.2009" xfId="8986" xr:uid="{00000000-0005-0000-0000-00001A230000}"/>
    <cellStyle name="_IFSL_dec_06_07_IBL_09.12.2009 2" xfId="8987" xr:uid="{00000000-0005-0000-0000-00001B230000}"/>
    <cellStyle name="_IFSL_dec_06_07_ICL_22 12 2009" xfId="8988" xr:uid="{00000000-0005-0000-0000-00001C230000}"/>
    <cellStyle name="_IFSL_dec_06_07_ICL_22 12 2009 2" xfId="8989" xr:uid="{00000000-0005-0000-0000-00001D230000}"/>
    <cellStyle name="_IFSL_dec_06_07_Indiabulls Asset Management Company Limited printable" xfId="8990" xr:uid="{00000000-0005-0000-0000-00001E230000}"/>
    <cellStyle name="_IFSL_dec_06_07_IRECPL_Himanshu Shah Bill" xfId="8991" xr:uid="{00000000-0005-0000-0000-00001F230000}"/>
    <cellStyle name="_IFSL_dec_06_07_IRECPL_Himanshu Shah Bill 2" xfId="8992" xr:uid="{00000000-0005-0000-0000-000020230000}"/>
    <cellStyle name="_IFSL_dec_06_07_ISL_ Adv Tax 2009-10 Q3" xfId="8993" xr:uid="{00000000-0005-0000-0000-000021230000}"/>
    <cellStyle name="_IFSL_dec_06_07_ISL_ Adv Tax 2009-10 Q3 2" xfId="8994" xr:uid="{00000000-0005-0000-0000-000022230000}"/>
    <cellStyle name="_IFSL_dec_06_07_ISL_conso_September_09_10" xfId="8995" xr:uid="{00000000-0005-0000-0000-000023230000}"/>
    <cellStyle name="_IFSL_dec_06_07_ISL_conso_September_09_10 2" xfId="8996" xr:uid="{00000000-0005-0000-0000-000024230000}"/>
    <cellStyle name="_IFSL_dec_06_07_ISL_conso_September_09_10 2 2" xfId="8997" xr:uid="{00000000-0005-0000-0000-000025230000}"/>
    <cellStyle name="_IFSL_dec_06_07_ISL_conso_September_09_10 3" xfId="8998" xr:uid="{00000000-0005-0000-0000-000026230000}"/>
    <cellStyle name="_IFSL_dec_06_07_ISL_Provisions_30.09.2010" xfId="8999" xr:uid="{00000000-0005-0000-0000-000027230000}"/>
    <cellStyle name="_IFSL_dec_06_07_ISL_Provisions_30.09.2010 2" xfId="9000" xr:uid="{00000000-0005-0000-0000-000028230000}"/>
    <cellStyle name="_IFSL_dec_06_07_Provision" xfId="9001" xr:uid="{00000000-0005-0000-0000-000029230000}"/>
    <cellStyle name="_IFSL_dec_06_07_Provision 2" xfId="9002" xr:uid="{00000000-0005-0000-0000-00002A230000}"/>
    <cellStyle name="_IFSL_dec_06_07_Provision for Exp - FY 0809" xfId="9003" xr:uid="{00000000-0005-0000-0000-00002B230000}"/>
    <cellStyle name="_IFSL_dec_06_07_provisions q3" xfId="9004" xr:uid="{00000000-0005-0000-0000-00002C230000}"/>
    <cellStyle name="_IFSL_dec_06_07_provisions q3 2" xfId="9005" xr:uid="{00000000-0005-0000-0000-00002D230000}"/>
    <cellStyle name="_IFSL_dec_06_07_Results" xfId="9006" xr:uid="{00000000-0005-0000-0000-00002E230000}"/>
    <cellStyle name="_IFSL_dec_06_07_Results 2" xfId="9007" xr:uid="{00000000-0005-0000-0000-00002F230000}"/>
    <cellStyle name="_IFSL_dec_06_07_Results 2 2" xfId="9008" xr:uid="{00000000-0005-0000-0000-000030230000}"/>
    <cellStyle name="_IFSL_dec_06_07_Results 3" xfId="9009" xr:uid="{00000000-0005-0000-0000-000031230000}"/>
    <cellStyle name="_IFSL_Dec_07_08" xfId="9010" xr:uid="{00000000-0005-0000-0000-000032230000}"/>
    <cellStyle name="_IFSL_Dec_07_08 2" xfId="9011" xr:uid="{00000000-0005-0000-0000-000033230000}"/>
    <cellStyle name="_IFSL_Dec_07_08 3" xfId="9012" xr:uid="{00000000-0005-0000-0000-000034230000}"/>
    <cellStyle name="_IFSL_Dec_07_08_Details of Assets &amp; Liablilities" xfId="9013" xr:uid="{00000000-0005-0000-0000-000035230000}"/>
    <cellStyle name="_IFSL_Dec_07_08_Details of Assets &amp; Liablilities 2" xfId="9014" xr:uid="{00000000-0005-0000-0000-000036230000}"/>
    <cellStyle name="_IFSL_Dec_07_08_Details of Assets &amp; Liablilities 3" xfId="9015" xr:uid="{00000000-0005-0000-0000-000037230000}"/>
    <cellStyle name="_IFSL_Dec_07_08_IBL_09.12.2009" xfId="9016" xr:uid="{00000000-0005-0000-0000-000038230000}"/>
    <cellStyle name="_IFSL_Dec_07_08_IBL_09.12.2009 2" xfId="9017" xr:uid="{00000000-0005-0000-0000-000039230000}"/>
    <cellStyle name="_IFSL_Dec_07_08_ICL_22 12 2009" xfId="9018" xr:uid="{00000000-0005-0000-0000-00003A230000}"/>
    <cellStyle name="_IFSL_Dec_07_08_ICL_22 12 2009 2" xfId="9019" xr:uid="{00000000-0005-0000-0000-00003B230000}"/>
    <cellStyle name="_IFSL_Dec_07_08_IHFL_September_30_2010 VERSION 10" xfId="9020" xr:uid="{00000000-0005-0000-0000-00003C230000}"/>
    <cellStyle name="_IFSL_Dec_07_08_Indiabulls Asset Management Company Limited printable" xfId="9021" xr:uid="{00000000-0005-0000-0000-00003D230000}"/>
    <cellStyle name="_IFSL_Dec_07_08_ISL_ Adv Tax 2009-10 Q3" xfId="9022" xr:uid="{00000000-0005-0000-0000-00003E230000}"/>
    <cellStyle name="_IFSL_Dec_07_08_ISL_ Adv Tax 2009-10 Q3 2" xfId="9023" xr:uid="{00000000-0005-0000-0000-00003F230000}"/>
    <cellStyle name="_IFSL_Dec_07_08_ISL_conso_September_09_10" xfId="9024" xr:uid="{00000000-0005-0000-0000-000040230000}"/>
    <cellStyle name="_IFSL_Dec_07_08_ISL_conso_September_09_10 2" xfId="9025" xr:uid="{00000000-0005-0000-0000-000041230000}"/>
    <cellStyle name="_IFSL_Dec_07_08_ISL_conso_September_09_10 2 2" xfId="9026" xr:uid="{00000000-0005-0000-0000-000042230000}"/>
    <cellStyle name="_IFSL_Dec_07_08_ISL_conso_September_09_10 3" xfId="9027" xr:uid="{00000000-0005-0000-0000-000043230000}"/>
    <cellStyle name="_IFSL_Dec_07_08_ISL_Provisions_30.09.2010" xfId="9028" xr:uid="{00000000-0005-0000-0000-000044230000}"/>
    <cellStyle name="_IFSL_Dec_07_08_ISL_Provisions_30.09.2010 2" xfId="9029" xr:uid="{00000000-0005-0000-0000-000045230000}"/>
    <cellStyle name="_IFSL_Dec_07_08_Provision" xfId="9030" xr:uid="{00000000-0005-0000-0000-000046230000}"/>
    <cellStyle name="_IFSL_Dec_07_08_Provision 2" xfId="9031" xr:uid="{00000000-0005-0000-0000-000047230000}"/>
    <cellStyle name="_IFSL_Dec_07_08_Provision for Exp - FY 0809" xfId="9032" xr:uid="{00000000-0005-0000-0000-000048230000}"/>
    <cellStyle name="_IFSL_Dec_07_08_provisions q3" xfId="9033" xr:uid="{00000000-0005-0000-0000-000049230000}"/>
    <cellStyle name="_IFSL_Dec_07_08_provisions q3 2" xfId="9034" xr:uid="{00000000-0005-0000-0000-00004A230000}"/>
    <cellStyle name="_IFSL_Dec_07_08_Results" xfId="9035" xr:uid="{00000000-0005-0000-0000-00004B230000}"/>
    <cellStyle name="_IFSL_Dec_07_08_Results 2" xfId="9036" xr:uid="{00000000-0005-0000-0000-00004C230000}"/>
    <cellStyle name="_IFSL_Dec_07_08_Results 2 2" xfId="9037" xr:uid="{00000000-0005-0000-0000-00004D230000}"/>
    <cellStyle name="_IFSL_Dec_07_08_Results 3" xfId="9038" xr:uid="{00000000-0005-0000-0000-00004E230000}"/>
    <cellStyle name="_IFSL_jan_06_07" xfId="9039" xr:uid="{00000000-0005-0000-0000-00004F230000}"/>
    <cellStyle name="_IFSL_jan_06_07 2" xfId="9040" xr:uid="{00000000-0005-0000-0000-000050230000}"/>
    <cellStyle name="_IFSL_jan_06_07 2 2" xfId="9041" xr:uid="{00000000-0005-0000-0000-000051230000}"/>
    <cellStyle name="_IFSL_jan_06_07 3" xfId="9042" xr:uid="{00000000-0005-0000-0000-000052230000}"/>
    <cellStyle name="_IFSL_jan_06_07 3 2" xfId="9043" xr:uid="{00000000-0005-0000-0000-000053230000}"/>
    <cellStyle name="_IFSL_jan_06_07 4" xfId="9044" xr:uid="{00000000-0005-0000-0000-000054230000}"/>
    <cellStyle name="_IFSL_jan_06_07 4 2" xfId="9045" xr:uid="{00000000-0005-0000-0000-000055230000}"/>
    <cellStyle name="_IFSL_jan_06_07 5" xfId="9046" xr:uid="{00000000-0005-0000-0000-000056230000}"/>
    <cellStyle name="_IFSL_jan_06_07 5 2" xfId="9047" xr:uid="{00000000-0005-0000-0000-000057230000}"/>
    <cellStyle name="_IFSL_jan_06_07 6" xfId="9048" xr:uid="{00000000-0005-0000-0000-000058230000}"/>
    <cellStyle name="_IFSL_jan_06_07_Abstract-2007-08" xfId="9049" xr:uid="{00000000-0005-0000-0000-000059230000}"/>
    <cellStyle name="_IFSL_jan_06_07_Abstract-2007-08 2" xfId="9050" xr:uid="{00000000-0005-0000-0000-00005A230000}"/>
    <cellStyle name="_IFSL_jan_06_07_ACL_3402_2008-09" xfId="9051" xr:uid="{00000000-0005-0000-0000-00005B230000}"/>
    <cellStyle name="_IFSL_jan_06_07_ACL_3402_2008-09 2" xfId="9052" xr:uid="{00000000-0005-0000-0000-00005C230000}"/>
    <cellStyle name="_IFSL_jan_06_07_ADL_3373_2008-09" xfId="9053" xr:uid="{00000000-0005-0000-0000-00005D230000}"/>
    <cellStyle name="_IFSL_jan_06_07_ADL_3373_2008-09 2" xfId="9054" xr:uid="{00000000-0005-0000-0000-00005E230000}"/>
    <cellStyle name="_IFSL_jan_06_07_Book1 (2)" xfId="9055" xr:uid="{00000000-0005-0000-0000-00005F230000}"/>
    <cellStyle name="_IFSL_jan_06_07_Book1 (2) 2" xfId="9056" xr:uid="{00000000-0005-0000-0000-000060230000}"/>
    <cellStyle name="_IFSL_jan_06_07_Book2" xfId="9057" xr:uid="{00000000-0005-0000-0000-000061230000}"/>
    <cellStyle name="_IFSL_jan_06_07_Book2 2" xfId="9058" xr:uid="{00000000-0005-0000-0000-000062230000}"/>
    <cellStyle name="_IFSL_jan_06_07_CIL_3415_2008-09" xfId="9059" xr:uid="{00000000-0005-0000-0000-000063230000}"/>
    <cellStyle name="_IFSL_jan_06_07_CIL_3415_2008-09 2" xfId="9060" xr:uid="{00000000-0005-0000-0000-000064230000}"/>
    <cellStyle name="_IFSL_jan_06_07_detail (2)" xfId="9061" xr:uid="{00000000-0005-0000-0000-000065230000}"/>
    <cellStyle name="_IFSL_jan_06_07_detail (2) 2" xfId="9062" xr:uid="{00000000-0005-0000-0000-000066230000}"/>
    <cellStyle name="_IFSL_jan_06_07_Details of Assets &amp; Liablilities" xfId="9063" xr:uid="{00000000-0005-0000-0000-000067230000}"/>
    <cellStyle name="_IFSL_jan_06_07_Details of Assets &amp; Liablilities 2" xfId="9064" xr:uid="{00000000-0005-0000-0000-000068230000}"/>
    <cellStyle name="_IFSL_jan_06_07_Details of Assets &amp; Liablilities 3" xfId="9065" xr:uid="{00000000-0005-0000-0000-000069230000}"/>
    <cellStyle name="_IFSL_jan_06_07_FD Detail" xfId="9066" xr:uid="{00000000-0005-0000-0000-00006A230000}"/>
    <cellStyle name="_IFSL_jan_06_07_FDR Int Calculation as per BS" xfId="9067" xr:uid="{00000000-0005-0000-0000-00006B230000}"/>
    <cellStyle name="_IFSL_jan_06_07_IBL_3441_2008-09" xfId="9068" xr:uid="{00000000-0005-0000-0000-00006C230000}"/>
    <cellStyle name="_IFSL_jan_06_07_IBL_3441_2008-09 2" xfId="9069" xr:uid="{00000000-0005-0000-0000-00006D230000}"/>
    <cellStyle name="_IFSL_jan_06_07_ICL_09 12 2009" xfId="9070" xr:uid="{00000000-0005-0000-0000-00006E230000}"/>
    <cellStyle name="_IFSL_jan_06_07_ICL_09 12 2009 2" xfId="9071" xr:uid="{00000000-0005-0000-0000-00006F230000}"/>
    <cellStyle name="_IFSL_jan_06_07_ICL_22 12 2009" xfId="9072" xr:uid="{00000000-0005-0000-0000-000070230000}"/>
    <cellStyle name="_IFSL_jan_06_07_ICL_22 12 2009 2" xfId="9073" xr:uid="{00000000-0005-0000-0000-000071230000}"/>
    <cellStyle name="_IFSL_jan_06_07_IEL_3210_ 2007-2008" xfId="9074" xr:uid="{00000000-0005-0000-0000-000072230000}"/>
    <cellStyle name="_IFSL_jan_06_07_IEL_3210_ 2007-2008 2" xfId="9075" xr:uid="{00000000-0005-0000-0000-000073230000}"/>
    <cellStyle name="_IFSL_jan_06_07_IEL_3210_ 2007-2008 3" xfId="9076" xr:uid="{00000000-0005-0000-0000-000074230000}"/>
    <cellStyle name="_IFSL_jan_06_07_IEL_3210_ 2007-2008_260508" xfId="9077" xr:uid="{00000000-0005-0000-0000-000075230000}"/>
    <cellStyle name="_IFSL_jan_06_07_IEL_3210_ 2007-2008_260508 2" xfId="9078" xr:uid="{00000000-0005-0000-0000-000076230000}"/>
    <cellStyle name="_IFSL_jan_06_07_IEL_3210_ 2007-2008_260508 3" xfId="9079" xr:uid="{00000000-0005-0000-0000-000077230000}"/>
    <cellStyle name="_IFSL_jan_06_07_IESL_09.12.2009" xfId="9080" xr:uid="{00000000-0005-0000-0000-000078230000}"/>
    <cellStyle name="_IFSL_jan_06_07_IESL_09.12.2009 2" xfId="9081" xr:uid="{00000000-0005-0000-0000-000079230000}"/>
    <cellStyle name="_IFSL_jan_06_07_IIDL_3227_2008_09" xfId="9082" xr:uid="{00000000-0005-0000-0000-00007A230000}"/>
    <cellStyle name="_IFSL_jan_06_07_IIDL_3227_2008_09 2" xfId="9083" xr:uid="{00000000-0005-0000-0000-00007B230000}"/>
    <cellStyle name="_IFSL_jan_06_07_Indiabulls Asset Management Company Limited printable" xfId="9084" xr:uid="{00000000-0005-0000-0000-00007C230000}"/>
    <cellStyle name="_IFSL_jan_06_07_ISL_conso_September_09_10" xfId="9085" xr:uid="{00000000-0005-0000-0000-00007D230000}"/>
    <cellStyle name="_IFSL_jan_06_07_ISL_conso_September_09_10 2" xfId="9086" xr:uid="{00000000-0005-0000-0000-00007E230000}"/>
    <cellStyle name="_IFSL_jan_06_07_ISL_conso_September_09_10 2 2" xfId="9087" xr:uid="{00000000-0005-0000-0000-00007F230000}"/>
    <cellStyle name="_IFSL_jan_06_07_ISL_conso_September_09_10 3" xfId="9088" xr:uid="{00000000-0005-0000-0000-000080230000}"/>
    <cellStyle name="_IFSL_jan_06_07_ISL_Provisions_30.09.2010" xfId="9089" xr:uid="{00000000-0005-0000-0000-000081230000}"/>
    <cellStyle name="_IFSL_jan_06_07_ISL_Provisions_30.09.2010 2" xfId="9090" xr:uid="{00000000-0005-0000-0000-000082230000}"/>
    <cellStyle name="_IFSL_jan_06_07_Land  CWIP status" xfId="9091" xr:uid="{00000000-0005-0000-0000-000083230000}"/>
    <cellStyle name="_IFSL_jan_06_07_Land  CWIP status 2" xfId="9092" xr:uid="{00000000-0005-0000-0000-000084230000}"/>
    <cellStyle name="_IFSL_jan_06_07_Power Group - Advance Tax working for 3rd Installment" xfId="9093" xr:uid="{00000000-0005-0000-0000-000085230000}"/>
    <cellStyle name="_IFSL_jan_06_07_Power Group - Advance Tax working for 3rd Installment 2" xfId="9094" xr:uid="{00000000-0005-0000-0000-000086230000}"/>
    <cellStyle name="_IFSL_jan_06_07_Provision" xfId="9095" xr:uid="{00000000-0005-0000-0000-000087230000}"/>
    <cellStyle name="_IFSL_jan_06_07_Provision 2" xfId="9096" xr:uid="{00000000-0005-0000-0000-000088230000}"/>
    <cellStyle name="_IFSL_jan_06_07_Provision for Exp - FY 0809" xfId="9097" xr:uid="{00000000-0005-0000-0000-000089230000}"/>
    <cellStyle name="_IFSL_jan_06_07_provisions q3" xfId="9098" xr:uid="{00000000-0005-0000-0000-00008A230000}"/>
    <cellStyle name="_IFSL_jan_06_07_provisions q3 2" xfId="9099" xr:uid="{00000000-0005-0000-0000-00008B230000}"/>
    <cellStyle name="_IFSL_jan_06_07_Results" xfId="9100" xr:uid="{00000000-0005-0000-0000-00008C230000}"/>
    <cellStyle name="_IFSL_jan_06_07_Results 2" xfId="9101" xr:uid="{00000000-0005-0000-0000-00008D230000}"/>
    <cellStyle name="_IFSL_jan_06_07_Results 2 2" xfId="9102" xr:uid="{00000000-0005-0000-0000-00008E230000}"/>
    <cellStyle name="_IFSL_jan_06_07_Results 3" xfId="9103" xr:uid="{00000000-0005-0000-0000-00008F230000}"/>
    <cellStyle name="_IFSL_jan_06_07_Sheet1" xfId="9104" xr:uid="{00000000-0005-0000-0000-000090230000}"/>
    <cellStyle name="_IFSL_January_07_08" xfId="9105" xr:uid="{00000000-0005-0000-0000-000091230000}"/>
    <cellStyle name="_IFSL_January_07_08 2" xfId="9106" xr:uid="{00000000-0005-0000-0000-000092230000}"/>
    <cellStyle name="_IFSL_January_07_08 3" xfId="9107" xr:uid="{00000000-0005-0000-0000-000093230000}"/>
    <cellStyle name="_IFSL_January_07_08_ISL_conso_September_09_10" xfId="9108" xr:uid="{00000000-0005-0000-0000-000094230000}"/>
    <cellStyle name="_IFSL_January_07_08_ISL_conso_September_09_10 2" xfId="9109" xr:uid="{00000000-0005-0000-0000-000095230000}"/>
    <cellStyle name="_IFSL_January_07_08_ISL_conso_September_09_10 2 2" xfId="9110" xr:uid="{00000000-0005-0000-0000-000096230000}"/>
    <cellStyle name="_IFSL_January_07_08_ISL_conso_September_09_10 3" xfId="9111" xr:uid="{00000000-0005-0000-0000-000097230000}"/>
    <cellStyle name="_IFSL_January_07_08_ISL_Provisions_30.09.2010" xfId="9112" xr:uid="{00000000-0005-0000-0000-000098230000}"/>
    <cellStyle name="_IFSL_January_07_08_ISL_Provisions_30.09.2010 2" xfId="9113" xr:uid="{00000000-0005-0000-0000-000099230000}"/>
    <cellStyle name="_IFSL_January_07_08_Provision" xfId="9114" xr:uid="{00000000-0005-0000-0000-00009A230000}"/>
    <cellStyle name="_IFSL_January_07_08_Provision 2" xfId="9115" xr:uid="{00000000-0005-0000-0000-00009B230000}"/>
    <cellStyle name="_IFSL_January_07_08_Provision for Exp - FY 0809" xfId="9116" xr:uid="{00000000-0005-0000-0000-00009C230000}"/>
    <cellStyle name="_IFSL_January_07_08_provisions q3" xfId="9117" xr:uid="{00000000-0005-0000-0000-00009D230000}"/>
    <cellStyle name="_IFSL_January_07_08_provisions q3 2" xfId="9118" xr:uid="{00000000-0005-0000-0000-00009E230000}"/>
    <cellStyle name="_IFSL_January_07_08_Results" xfId="9119" xr:uid="{00000000-0005-0000-0000-00009F230000}"/>
    <cellStyle name="_IFSL_January_07_08_Results 2" xfId="9120" xr:uid="{00000000-0005-0000-0000-0000A0230000}"/>
    <cellStyle name="_IFSL_January_07_08_Results 2 2" xfId="9121" xr:uid="{00000000-0005-0000-0000-0000A1230000}"/>
    <cellStyle name="_IFSL_January_07_08_Results 3" xfId="9122" xr:uid="{00000000-0005-0000-0000-0000A2230000}"/>
    <cellStyle name="_IFSL_Jun_06_07" xfId="9123" xr:uid="{00000000-0005-0000-0000-0000A3230000}"/>
    <cellStyle name="_IFSL_Jun_06_07 2" xfId="9124" xr:uid="{00000000-0005-0000-0000-0000A4230000}"/>
    <cellStyle name="_IFSL_Jun_06_07 3" xfId="9125" xr:uid="{00000000-0005-0000-0000-0000A5230000}"/>
    <cellStyle name="_IFSL_Jun_06_07_Details of Assets &amp; Liablilities" xfId="9126" xr:uid="{00000000-0005-0000-0000-0000A6230000}"/>
    <cellStyle name="_IFSL_Jun_06_07_Details of Assets &amp; Liablilities 2" xfId="9127" xr:uid="{00000000-0005-0000-0000-0000A7230000}"/>
    <cellStyle name="_IFSL_Jun_06_07_Details of Assets &amp; Liablilities 3" xfId="9128" xr:uid="{00000000-0005-0000-0000-0000A8230000}"/>
    <cellStyle name="_IFSL_Jun_06_07_IBL_09.12.2009" xfId="9129" xr:uid="{00000000-0005-0000-0000-0000A9230000}"/>
    <cellStyle name="_IFSL_Jun_06_07_IBL_09.12.2009 2" xfId="9130" xr:uid="{00000000-0005-0000-0000-0000AA230000}"/>
    <cellStyle name="_IFSL_Jun_06_07_ICL_22 12 2009" xfId="9131" xr:uid="{00000000-0005-0000-0000-0000AB230000}"/>
    <cellStyle name="_IFSL_Jun_06_07_ICL_22 12 2009 2" xfId="9132" xr:uid="{00000000-0005-0000-0000-0000AC230000}"/>
    <cellStyle name="_IFSL_Jun_06_07_IHFL_September_30_2010 VERSION 10" xfId="9133" xr:uid="{00000000-0005-0000-0000-0000AD230000}"/>
    <cellStyle name="_IFSL_Jun_06_07_Indiabulls Asset Management Company Limited printable" xfId="9134" xr:uid="{00000000-0005-0000-0000-0000AE230000}"/>
    <cellStyle name="_IFSL_Jun_06_07_ISL_ Adv Tax 2009-10 Q3" xfId="9135" xr:uid="{00000000-0005-0000-0000-0000AF230000}"/>
    <cellStyle name="_IFSL_Jun_06_07_ISL_ Adv Tax 2009-10 Q3 2" xfId="9136" xr:uid="{00000000-0005-0000-0000-0000B0230000}"/>
    <cellStyle name="_IFSL_Jun_06_07_ISL_conso_September_09_10" xfId="9137" xr:uid="{00000000-0005-0000-0000-0000B1230000}"/>
    <cellStyle name="_IFSL_Jun_06_07_ISL_conso_September_09_10 2" xfId="9138" xr:uid="{00000000-0005-0000-0000-0000B2230000}"/>
    <cellStyle name="_IFSL_Jun_06_07_ISL_conso_September_09_10 2 2" xfId="9139" xr:uid="{00000000-0005-0000-0000-0000B3230000}"/>
    <cellStyle name="_IFSL_Jun_06_07_ISL_conso_September_09_10 3" xfId="9140" xr:uid="{00000000-0005-0000-0000-0000B4230000}"/>
    <cellStyle name="_IFSL_Jun_06_07_ISL_Provisions_30.09.2010" xfId="9141" xr:uid="{00000000-0005-0000-0000-0000B5230000}"/>
    <cellStyle name="_IFSL_Jun_06_07_ISL_Provisions_30.09.2010 2" xfId="9142" xr:uid="{00000000-0005-0000-0000-0000B6230000}"/>
    <cellStyle name="_IFSL_Jun_06_07_Provision" xfId="9143" xr:uid="{00000000-0005-0000-0000-0000B7230000}"/>
    <cellStyle name="_IFSL_Jun_06_07_Provision 2" xfId="9144" xr:uid="{00000000-0005-0000-0000-0000B8230000}"/>
    <cellStyle name="_IFSL_Jun_06_07_Provision for Exp - FY 0809" xfId="9145" xr:uid="{00000000-0005-0000-0000-0000B9230000}"/>
    <cellStyle name="_IFSL_Jun_06_07_provisions q3" xfId="9146" xr:uid="{00000000-0005-0000-0000-0000BA230000}"/>
    <cellStyle name="_IFSL_Jun_06_07_provisions q3 2" xfId="9147" xr:uid="{00000000-0005-0000-0000-0000BB230000}"/>
    <cellStyle name="_IFSL_Jun_06_07_Results" xfId="9148" xr:uid="{00000000-0005-0000-0000-0000BC230000}"/>
    <cellStyle name="_IFSL_Jun_06_07_Results 2" xfId="9149" xr:uid="{00000000-0005-0000-0000-0000BD230000}"/>
    <cellStyle name="_IFSL_Jun_06_07_Results 2 2" xfId="9150" xr:uid="{00000000-0005-0000-0000-0000BE230000}"/>
    <cellStyle name="_IFSL_Jun_06_07_Results 3" xfId="9151" xr:uid="{00000000-0005-0000-0000-0000BF230000}"/>
    <cellStyle name="_IFSL_june_07_08" xfId="9152" xr:uid="{00000000-0005-0000-0000-0000C0230000}"/>
    <cellStyle name="_IFSL_june_07_08 2" xfId="9153" xr:uid="{00000000-0005-0000-0000-0000C1230000}"/>
    <cellStyle name="_IFSL_june_07_08 3" xfId="9154" xr:uid="{00000000-0005-0000-0000-0000C2230000}"/>
    <cellStyle name="_IFSL_june_07_08_Details of Assets &amp; Liablilities" xfId="9155" xr:uid="{00000000-0005-0000-0000-0000C3230000}"/>
    <cellStyle name="_IFSL_june_07_08_Details of Assets &amp; Liablilities 2" xfId="9156" xr:uid="{00000000-0005-0000-0000-0000C4230000}"/>
    <cellStyle name="_IFSL_june_07_08_Details of Assets &amp; Liablilities 3" xfId="9157" xr:uid="{00000000-0005-0000-0000-0000C5230000}"/>
    <cellStyle name="_IFSL_june_07_08_IBL_09.12.2009" xfId="9158" xr:uid="{00000000-0005-0000-0000-0000C6230000}"/>
    <cellStyle name="_IFSL_june_07_08_IBL_09.12.2009 2" xfId="9159" xr:uid="{00000000-0005-0000-0000-0000C7230000}"/>
    <cellStyle name="_IFSL_june_07_08_ICL_22 12 2009" xfId="9160" xr:uid="{00000000-0005-0000-0000-0000C8230000}"/>
    <cellStyle name="_IFSL_june_07_08_ICL_22 12 2009 2" xfId="9161" xr:uid="{00000000-0005-0000-0000-0000C9230000}"/>
    <cellStyle name="_IFSL_june_07_08_IHFL_September_30_2010 VERSION 10" xfId="9162" xr:uid="{00000000-0005-0000-0000-0000CA230000}"/>
    <cellStyle name="_IFSL_june_07_08_Indiabulls Asset Management Company Limited printable" xfId="9163" xr:uid="{00000000-0005-0000-0000-0000CB230000}"/>
    <cellStyle name="_IFSL_june_07_08_ISL_ Adv Tax 2009-10 Q3" xfId="9164" xr:uid="{00000000-0005-0000-0000-0000CC230000}"/>
    <cellStyle name="_IFSL_june_07_08_ISL_ Adv Tax 2009-10 Q3 2" xfId="9165" xr:uid="{00000000-0005-0000-0000-0000CD230000}"/>
    <cellStyle name="_IFSL_june_07_08_ISL_conso_September_09_10" xfId="9166" xr:uid="{00000000-0005-0000-0000-0000CE230000}"/>
    <cellStyle name="_IFSL_june_07_08_ISL_conso_September_09_10 2" xfId="9167" xr:uid="{00000000-0005-0000-0000-0000CF230000}"/>
    <cellStyle name="_IFSL_june_07_08_ISL_conso_September_09_10 2 2" xfId="9168" xr:uid="{00000000-0005-0000-0000-0000D0230000}"/>
    <cellStyle name="_IFSL_june_07_08_ISL_conso_September_09_10 3" xfId="9169" xr:uid="{00000000-0005-0000-0000-0000D1230000}"/>
    <cellStyle name="_IFSL_june_07_08_ISL_Provisions_30.09.2010" xfId="9170" xr:uid="{00000000-0005-0000-0000-0000D2230000}"/>
    <cellStyle name="_IFSL_june_07_08_ISL_Provisions_30.09.2010 2" xfId="9171" xr:uid="{00000000-0005-0000-0000-0000D3230000}"/>
    <cellStyle name="_IFSL_june_07_08_Provision" xfId="9172" xr:uid="{00000000-0005-0000-0000-0000D4230000}"/>
    <cellStyle name="_IFSL_june_07_08_Provision 2" xfId="9173" xr:uid="{00000000-0005-0000-0000-0000D5230000}"/>
    <cellStyle name="_IFSL_june_07_08_Provision for Exp - FY 0809" xfId="9174" xr:uid="{00000000-0005-0000-0000-0000D6230000}"/>
    <cellStyle name="_IFSL_june_07_08_provisions q3" xfId="9175" xr:uid="{00000000-0005-0000-0000-0000D7230000}"/>
    <cellStyle name="_IFSL_june_07_08_provisions q3 2" xfId="9176" xr:uid="{00000000-0005-0000-0000-0000D8230000}"/>
    <cellStyle name="_IFSL_june_07_08_Results" xfId="9177" xr:uid="{00000000-0005-0000-0000-0000D9230000}"/>
    <cellStyle name="_IFSL_june_07_08_Results 2" xfId="9178" xr:uid="{00000000-0005-0000-0000-0000DA230000}"/>
    <cellStyle name="_IFSL_june_07_08_Results 2 2" xfId="9179" xr:uid="{00000000-0005-0000-0000-0000DB230000}"/>
    <cellStyle name="_IFSL_june_07_08_Results 3" xfId="9180" xr:uid="{00000000-0005-0000-0000-0000DC230000}"/>
    <cellStyle name="_IFSL_Mar_05_06" xfId="9181" xr:uid="{00000000-0005-0000-0000-0000DD230000}"/>
    <cellStyle name="_IFSL_Mar_05_06 2" xfId="9182" xr:uid="{00000000-0005-0000-0000-0000DE230000}"/>
    <cellStyle name="_IFSL_Mar_05_06 2 2" xfId="9183" xr:uid="{00000000-0005-0000-0000-0000DF230000}"/>
    <cellStyle name="_IFSL_Mar_05_06 3" xfId="9184" xr:uid="{00000000-0005-0000-0000-0000E0230000}"/>
    <cellStyle name="_IFSL_Mar_05_06 3 2" xfId="9185" xr:uid="{00000000-0005-0000-0000-0000E1230000}"/>
    <cellStyle name="_IFSL_Mar_05_06 4" xfId="9186" xr:uid="{00000000-0005-0000-0000-0000E2230000}"/>
    <cellStyle name="_IFSL_Mar_05_06 4 2" xfId="9187" xr:uid="{00000000-0005-0000-0000-0000E3230000}"/>
    <cellStyle name="_IFSL_Mar_05_06 5" xfId="9188" xr:uid="{00000000-0005-0000-0000-0000E4230000}"/>
    <cellStyle name="_IFSL_Mar_05_06 5 2" xfId="9189" xr:uid="{00000000-0005-0000-0000-0000E5230000}"/>
    <cellStyle name="_IFSL_Mar_05_06 6" xfId="9190" xr:uid="{00000000-0005-0000-0000-0000E6230000}"/>
    <cellStyle name="_IFSL_Mar_05_06_detail" xfId="9191" xr:uid="{00000000-0005-0000-0000-0000E7230000}"/>
    <cellStyle name="_IFSL_Mar_05_06_detail (2)" xfId="9192" xr:uid="{00000000-0005-0000-0000-0000E8230000}"/>
    <cellStyle name="_IFSL_Mar_05_06_detail (2) 2" xfId="9193" xr:uid="{00000000-0005-0000-0000-0000E9230000}"/>
    <cellStyle name="_IFSL_Mar_05_06_detail 2" xfId="9194" xr:uid="{00000000-0005-0000-0000-0000EA230000}"/>
    <cellStyle name="_IFSL_Mar_05_06_detail to be added in june,2008" xfId="9195" xr:uid="{00000000-0005-0000-0000-0000EB230000}"/>
    <cellStyle name="_IFSL_Mar_05_06_detail to be added in june,2008 2" xfId="9196" xr:uid="{00000000-0005-0000-0000-0000EC230000}"/>
    <cellStyle name="_IFSL_Mar_05_06_Details of Assets &amp; Liablilities" xfId="9197" xr:uid="{00000000-0005-0000-0000-0000ED230000}"/>
    <cellStyle name="_IFSL_Mar_05_06_Details of Assets &amp; Liablilities 2" xfId="9198" xr:uid="{00000000-0005-0000-0000-0000EE230000}"/>
    <cellStyle name="_IFSL_Mar_05_06_Details of Assets &amp; Liablilities 3" xfId="9199" xr:uid="{00000000-0005-0000-0000-0000EF230000}"/>
    <cellStyle name="_IFSL_Mar_05_06_IBL_09.12.2009" xfId="9200" xr:uid="{00000000-0005-0000-0000-0000F0230000}"/>
    <cellStyle name="_IFSL_Mar_05_06_IBL_09.12.2009 2" xfId="9201" xr:uid="{00000000-0005-0000-0000-0000F1230000}"/>
    <cellStyle name="_IFSL_Mar_05_06_ICL_22 12 2009" xfId="9202" xr:uid="{00000000-0005-0000-0000-0000F2230000}"/>
    <cellStyle name="_IFSL_Mar_05_06_ICL_22 12 2009 2" xfId="9203" xr:uid="{00000000-0005-0000-0000-0000F3230000}"/>
    <cellStyle name="_IFSL_Mar_05_06_Indiabulls Asset Management Company Limited printable" xfId="9204" xr:uid="{00000000-0005-0000-0000-0000F4230000}"/>
    <cellStyle name="_IFSL_Mar_05_06_IRECPL_Himanshu Shah Bill" xfId="9205" xr:uid="{00000000-0005-0000-0000-0000F5230000}"/>
    <cellStyle name="_IFSL_Mar_05_06_IRECPL_Himanshu Shah Bill 2" xfId="9206" xr:uid="{00000000-0005-0000-0000-0000F6230000}"/>
    <cellStyle name="_IFSL_Mar_05_06_ISL_ Adv Tax 2009-10 Q3" xfId="9207" xr:uid="{00000000-0005-0000-0000-0000F7230000}"/>
    <cellStyle name="_IFSL_Mar_05_06_ISL_ Adv Tax 2009-10 Q3 2" xfId="9208" xr:uid="{00000000-0005-0000-0000-0000F8230000}"/>
    <cellStyle name="_IFSL_Mar_05_06_ISL_conso_September_09_10" xfId="9209" xr:uid="{00000000-0005-0000-0000-0000F9230000}"/>
    <cellStyle name="_IFSL_Mar_05_06_ISL_conso_September_09_10 2" xfId="9210" xr:uid="{00000000-0005-0000-0000-0000FA230000}"/>
    <cellStyle name="_IFSL_Mar_05_06_ISL_conso_September_09_10 2 2" xfId="9211" xr:uid="{00000000-0005-0000-0000-0000FB230000}"/>
    <cellStyle name="_IFSL_Mar_05_06_ISL_conso_September_09_10 3" xfId="9212" xr:uid="{00000000-0005-0000-0000-0000FC230000}"/>
    <cellStyle name="_IFSL_Mar_05_06_ISL_Provisions_30.09.2010" xfId="9213" xr:uid="{00000000-0005-0000-0000-0000FD230000}"/>
    <cellStyle name="_IFSL_Mar_05_06_ISL_Provisions_30.09.2010 2" xfId="9214" xr:uid="{00000000-0005-0000-0000-0000FE230000}"/>
    <cellStyle name="_IFSL_Mar_05_06_Provision" xfId="9215" xr:uid="{00000000-0005-0000-0000-0000FF230000}"/>
    <cellStyle name="_IFSL_Mar_05_06_Provision 2" xfId="9216" xr:uid="{00000000-0005-0000-0000-000000240000}"/>
    <cellStyle name="_IFSL_Mar_05_06_Provision for Exp - FY 0809" xfId="9217" xr:uid="{00000000-0005-0000-0000-000001240000}"/>
    <cellStyle name="_IFSL_Mar_05_06_provisions q3" xfId="9218" xr:uid="{00000000-0005-0000-0000-000002240000}"/>
    <cellStyle name="_IFSL_Mar_05_06_provisions q3 2" xfId="9219" xr:uid="{00000000-0005-0000-0000-000003240000}"/>
    <cellStyle name="_IFSL_Mar_05_06_Results" xfId="9220" xr:uid="{00000000-0005-0000-0000-000004240000}"/>
    <cellStyle name="_IFSL_Mar_05_06_Results 2" xfId="9221" xr:uid="{00000000-0005-0000-0000-000005240000}"/>
    <cellStyle name="_IFSL_Mar_05_06_Results 2 2" xfId="9222" xr:uid="{00000000-0005-0000-0000-000006240000}"/>
    <cellStyle name="_IFSL_Mar_05_06_Results 3" xfId="9223" xr:uid="{00000000-0005-0000-0000-000007240000}"/>
    <cellStyle name="_IFSL_march_06_07" xfId="9224" xr:uid="{00000000-0005-0000-0000-000008240000}"/>
    <cellStyle name="_IFSL_march_06_07 2" xfId="9225" xr:uid="{00000000-0005-0000-0000-000009240000}"/>
    <cellStyle name="_IFSL_march_06_07_Indiabulls Asset Management Company Limited printable" xfId="9226" xr:uid="{00000000-0005-0000-0000-00000A240000}"/>
    <cellStyle name="_IFSL_Nov_07_08" xfId="9227" xr:uid="{00000000-0005-0000-0000-00000B240000}"/>
    <cellStyle name="_IFSL_Nov_07_08 2" xfId="9228" xr:uid="{00000000-0005-0000-0000-00000C240000}"/>
    <cellStyle name="_IFSL_Nov_07_08 3" xfId="9229" xr:uid="{00000000-0005-0000-0000-00000D240000}"/>
    <cellStyle name="_IFSL_Nov_07_08_Details of Assets &amp; Liablilities" xfId="9230" xr:uid="{00000000-0005-0000-0000-00000E240000}"/>
    <cellStyle name="_IFSL_Nov_07_08_Details of Assets &amp; Liablilities 2" xfId="9231" xr:uid="{00000000-0005-0000-0000-00000F240000}"/>
    <cellStyle name="_IFSL_Nov_07_08_Details of Assets &amp; Liablilities 3" xfId="9232" xr:uid="{00000000-0005-0000-0000-000010240000}"/>
    <cellStyle name="_IFSL_Nov_07_08_IBL_09.12.2009" xfId="9233" xr:uid="{00000000-0005-0000-0000-000011240000}"/>
    <cellStyle name="_IFSL_Nov_07_08_IBL_09.12.2009 2" xfId="9234" xr:uid="{00000000-0005-0000-0000-000012240000}"/>
    <cellStyle name="_IFSL_Nov_07_08_ICL_22 12 2009" xfId="9235" xr:uid="{00000000-0005-0000-0000-000013240000}"/>
    <cellStyle name="_IFSL_Nov_07_08_ICL_22 12 2009 2" xfId="9236" xr:uid="{00000000-0005-0000-0000-000014240000}"/>
    <cellStyle name="_IFSL_Nov_07_08_IHFL_September_30_2010 VERSION 10" xfId="9237" xr:uid="{00000000-0005-0000-0000-000015240000}"/>
    <cellStyle name="_IFSL_Nov_07_08_Indiabulls Asset Management Company Limited printable" xfId="9238" xr:uid="{00000000-0005-0000-0000-000016240000}"/>
    <cellStyle name="_IFSL_Nov_07_08_ISL_ Adv Tax 2009-10 Q3" xfId="9239" xr:uid="{00000000-0005-0000-0000-000017240000}"/>
    <cellStyle name="_IFSL_Nov_07_08_ISL_ Adv Tax 2009-10 Q3 2" xfId="9240" xr:uid="{00000000-0005-0000-0000-000018240000}"/>
    <cellStyle name="_IFSL_Nov_07_08_ISL_conso_September_09_10" xfId="9241" xr:uid="{00000000-0005-0000-0000-000019240000}"/>
    <cellStyle name="_IFSL_Nov_07_08_ISL_conso_September_09_10 2" xfId="9242" xr:uid="{00000000-0005-0000-0000-00001A240000}"/>
    <cellStyle name="_IFSL_Nov_07_08_ISL_conso_September_09_10 2 2" xfId="9243" xr:uid="{00000000-0005-0000-0000-00001B240000}"/>
    <cellStyle name="_IFSL_Nov_07_08_ISL_conso_September_09_10 3" xfId="9244" xr:uid="{00000000-0005-0000-0000-00001C240000}"/>
    <cellStyle name="_IFSL_Nov_07_08_ISL_Provisions_30.09.2010" xfId="9245" xr:uid="{00000000-0005-0000-0000-00001D240000}"/>
    <cellStyle name="_IFSL_Nov_07_08_ISL_Provisions_30.09.2010 2" xfId="9246" xr:uid="{00000000-0005-0000-0000-00001E240000}"/>
    <cellStyle name="_IFSL_Nov_07_08_Provision" xfId="9247" xr:uid="{00000000-0005-0000-0000-00001F240000}"/>
    <cellStyle name="_IFSL_Nov_07_08_Provision 2" xfId="9248" xr:uid="{00000000-0005-0000-0000-000020240000}"/>
    <cellStyle name="_IFSL_Nov_07_08_Provision for Exp - FY 0809" xfId="9249" xr:uid="{00000000-0005-0000-0000-000021240000}"/>
    <cellStyle name="_IFSL_Nov_07_08_provisions q3" xfId="9250" xr:uid="{00000000-0005-0000-0000-000022240000}"/>
    <cellStyle name="_IFSL_Nov_07_08_provisions q3 2" xfId="9251" xr:uid="{00000000-0005-0000-0000-000023240000}"/>
    <cellStyle name="_IFSL_Nov_07_08_Results" xfId="9252" xr:uid="{00000000-0005-0000-0000-000024240000}"/>
    <cellStyle name="_IFSL_Nov_07_08_Results 2" xfId="9253" xr:uid="{00000000-0005-0000-0000-000025240000}"/>
    <cellStyle name="_IFSL_Nov_07_08_Results 2 2" xfId="9254" xr:uid="{00000000-0005-0000-0000-000026240000}"/>
    <cellStyle name="_IFSL_Nov_07_08_Results 3" xfId="9255" xr:uid="{00000000-0005-0000-0000-000027240000}"/>
    <cellStyle name="_IFSL_oct_06_07" xfId="9256" xr:uid="{00000000-0005-0000-0000-000028240000}"/>
    <cellStyle name="_IFSL_oct_06_07 2" xfId="9257" xr:uid="{00000000-0005-0000-0000-000029240000}"/>
    <cellStyle name="_IFSL_oct_06_07 2 2" xfId="9258" xr:uid="{00000000-0005-0000-0000-00002A240000}"/>
    <cellStyle name="_IFSL_oct_06_07 3" xfId="9259" xr:uid="{00000000-0005-0000-0000-00002B240000}"/>
    <cellStyle name="_IFSL_oct_06_07 3 2" xfId="9260" xr:uid="{00000000-0005-0000-0000-00002C240000}"/>
    <cellStyle name="_IFSL_oct_06_07 4" xfId="9261" xr:uid="{00000000-0005-0000-0000-00002D240000}"/>
    <cellStyle name="_IFSL_oct_06_07 4 2" xfId="9262" xr:uid="{00000000-0005-0000-0000-00002E240000}"/>
    <cellStyle name="_IFSL_oct_06_07 5" xfId="9263" xr:uid="{00000000-0005-0000-0000-00002F240000}"/>
    <cellStyle name="_IFSL_oct_06_07 5 2" xfId="9264" xr:uid="{00000000-0005-0000-0000-000030240000}"/>
    <cellStyle name="_IFSL_oct_06_07 6" xfId="9265" xr:uid="{00000000-0005-0000-0000-000031240000}"/>
    <cellStyle name="_IFSL_oct_06_07_detail" xfId="9266" xr:uid="{00000000-0005-0000-0000-000032240000}"/>
    <cellStyle name="_IFSL_oct_06_07_detail (2)" xfId="9267" xr:uid="{00000000-0005-0000-0000-000033240000}"/>
    <cellStyle name="_IFSL_oct_06_07_detail (2) 2" xfId="9268" xr:uid="{00000000-0005-0000-0000-000034240000}"/>
    <cellStyle name="_IFSL_oct_06_07_detail 2" xfId="9269" xr:uid="{00000000-0005-0000-0000-000035240000}"/>
    <cellStyle name="_IFSL_oct_06_07_detail to be added in june,2008" xfId="9270" xr:uid="{00000000-0005-0000-0000-000036240000}"/>
    <cellStyle name="_IFSL_oct_06_07_detail to be added in june,2008 2" xfId="9271" xr:uid="{00000000-0005-0000-0000-000037240000}"/>
    <cellStyle name="_IFSL_oct_06_07_Details of Assets &amp; Liablilities" xfId="9272" xr:uid="{00000000-0005-0000-0000-000038240000}"/>
    <cellStyle name="_IFSL_oct_06_07_Details of Assets &amp; Liablilities 2" xfId="9273" xr:uid="{00000000-0005-0000-0000-000039240000}"/>
    <cellStyle name="_IFSL_oct_06_07_Details of Assets &amp; Liablilities 3" xfId="9274" xr:uid="{00000000-0005-0000-0000-00003A240000}"/>
    <cellStyle name="_IFSL_oct_06_07_IBL_09.12.2009" xfId="9275" xr:uid="{00000000-0005-0000-0000-00003B240000}"/>
    <cellStyle name="_IFSL_oct_06_07_IBL_09.12.2009 2" xfId="9276" xr:uid="{00000000-0005-0000-0000-00003C240000}"/>
    <cellStyle name="_IFSL_oct_06_07_ICL_22 12 2009" xfId="9277" xr:uid="{00000000-0005-0000-0000-00003D240000}"/>
    <cellStyle name="_IFSL_oct_06_07_ICL_22 12 2009 2" xfId="9278" xr:uid="{00000000-0005-0000-0000-00003E240000}"/>
    <cellStyle name="_IFSL_oct_06_07_Indiabulls Asset Management Company Limited printable" xfId="9279" xr:uid="{00000000-0005-0000-0000-00003F240000}"/>
    <cellStyle name="_IFSL_oct_06_07_IRECPL_Himanshu Shah Bill" xfId="9280" xr:uid="{00000000-0005-0000-0000-000040240000}"/>
    <cellStyle name="_IFSL_oct_06_07_IRECPL_Himanshu Shah Bill 2" xfId="9281" xr:uid="{00000000-0005-0000-0000-000041240000}"/>
    <cellStyle name="_IFSL_oct_06_07_ISL_ Adv Tax 2009-10 Q3" xfId="9282" xr:uid="{00000000-0005-0000-0000-000042240000}"/>
    <cellStyle name="_IFSL_oct_06_07_ISL_ Adv Tax 2009-10 Q3 2" xfId="9283" xr:uid="{00000000-0005-0000-0000-000043240000}"/>
    <cellStyle name="_IFSL_oct_06_07_ISL_conso_September_09_10" xfId="9284" xr:uid="{00000000-0005-0000-0000-000044240000}"/>
    <cellStyle name="_IFSL_oct_06_07_ISL_conso_September_09_10 2" xfId="9285" xr:uid="{00000000-0005-0000-0000-000045240000}"/>
    <cellStyle name="_IFSL_oct_06_07_ISL_conso_September_09_10 2 2" xfId="9286" xr:uid="{00000000-0005-0000-0000-000046240000}"/>
    <cellStyle name="_IFSL_oct_06_07_ISL_conso_September_09_10 3" xfId="9287" xr:uid="{00000000-0005-0000-0000-000047240000}"/>
    <cellStyle name="_IFSL_oct_06_07_ISL_Provisions_30.09.2010" xfId="9288" xr:uid="{00000000-0005-0000-0000-000048240000}"/>
    <cellStyle name="_IFSL_oct_06_07_ISL_Provisions_30.09.2010 2" xfId="9289" xr:uid="{00000000-0005-0000-0000-000049240000}"/>
    <cellStyle name="_IFSL_oct_06_07_Provision" xfId="9290" xr:uid="{00000000-0005-0000-0000-00004A240000}"/>
    <cellStyle name="_IFSL_oct_06_07_Provision 2" xfId="9291" xr:uid="{00000000-0005-0000-0000-00004B240000}"/>
    <cellStyle name="_IFSL_oct_06_07_Provision for Exp - FY 0809" xfId="9292" xr:uid="{00000000-0005-0000-0000-00004C240000}"/>
    <cellStyle name="_IFSL_oct_06_07_provisions q3" xfId="9293" xr:uid="{00000000-0005-0000-0000-00004D240000}"/>
    <cellStyle name="_IFSL_oct_06_07_provisions q3 2" xfId="9294" xr:uid="{00000000-0005-0000-0000-00004E240000}"/>
    <cellStyle name="_IFSL_oct_06_07_Results" xfId="9295" xr:uid="{00000000-0005-0000-0000-00004F240000}"/>
    <cellStyle name="_IFSL_oct_06_07_Results 2" xfId="9296" xr:uid="{00000000-0005-0000-0000-000050240000}"/>
    <cellStyle name="_IFSL_oct_06_07_Results 2 2" xfId="9297" xr:uid="{00000000-0005-0000-0000-000051240000}"/>
    <cellStyle name="_IFSL_oct_06_07_Results 3" xfId="9298" xr:uid="{00000000-0005-0000-0000-000052240000}"/>
    <cellStyle name="_IHFL  PROV. FOR Electricity 23.09.07" xfId="9299" xr:uid="{00000000-0005-0000-0000-000053240000}"/>
    <cellStyle name="_IHFL  PROV. FOR Electricity 23.09.07_IHFL_September_30_2010 VERSION 10" xfId="9300" xr:uid="{00000000-0005-0000-0000-000054240000}"/>
    <cellStyle name="_IHFL - Tax Audit Working fileB" xfId="9301" xr:uid="{00000000-0005-0000-0000-000055240000}"/>
    <cellStyle name="_IHFL 10.03.2006" xfId="9302" xr:uid="{00000000-0005-0000-0000-000056240000}"/>
    <cellStyle name="_IHFL 10.03.2006 2" xfId="9303" xr:uid="{00000000-0005-0000-0000-000057240000}"/>
    <cellStyle name="_IHFL 10.03.2006 2 2" xfId="9304" xr:uid="{00000000-0005-0000-0000-000058240000}"/>
    <cellStyle name="_IHFL 10.03.2006 3" xfId="9305" xr:uid="{00000000-0005-0000-0000-000059240000}"/>
    <cellStyle name="_IHFL 10.03.2006_269SS &amp; T IIAPL 09-10" xfId="9306" xr:uid="{00000000-0005-0000-0000-00005A240000}"/>
    <cellStyle name="_IHFL 10.03.2006_Abstract-2007-08" xfId="9307" xr:uid="{00000000-0005-0000-0000-00005B240000}"/>
    <cellStyle name="_IHFL 10.03.2006_Abstract-2007-08 2" xfId="9308" xr:uid="{00000000-0005-0000-0000-00005C240000}"/>
    <cellStyle name="_IHFL 10.03.2006_Advance Tax Format_F.Y. 2010-11" xfId="9309" xr:uid="{00000000-0005-0000-0000-00005D240000}"/>
    <cellStyle name="_IHFL 10.03.2006_Advance Tax Sophia Jun 09" xfId="9310" xr:uid="{00000000-0005-0000-0000-00005E240000}"/>
    <cellStyle name="_IHFL 10.03.2006_Asset Management Company Limited" xfId="9311" xr:uid="{00000000-0005-0000-0000-00005F240000}"/>
    <cellStyle name="_IHFL 10.03.2006_Base File For Segment" xfId="9312" xr:uid="{00000000-0005-0000-0000-000060240000}"/>
    <cellStyle name="_IHFL 10.03.2006_Book1" xfId="9313" xr:uid="{00000000-0005-0000-0000-000061240000}"/>
    <cellStyle name="_IHFL 10.03.2006_Book1 (2)" xfId="9314" xr:uid="{00000000-0005-0000-0000-000062240000}"/>
    <cellStyle name="_IHFL 10.03.2006_Book1 (2) 2" xfId="9315" xr:uid="{00000000-0005-0000-0000-000063240000}"/>
    <cellStyle name="_IHFL 10.03.2006_Bracond Balance Sheet  PL_301108_krishanu" xfId="9316" xr:uid="{00000000-0005-0000-0000-000064240000}"/>
    <cellStyle name="_IHFL 10.03.2006_BS _IB Asset Management _3103_ver5" xfId="9317" xr:uid="{00000000-0005-0000-0000-000065240000}"/>
    <cellStyle name="_IHFL 10.03.2006_BS _IB Asset Management _3103_ver5_IAMCL BS working -New format_31.03 V5" xfId="9318" xr:uid="{00000000-0005-0000-0000-000066240000}"/>
    <cellStyle name="_IHFL 10.03.2006_CCL_3353_2007-08" xfId="9319" xr:uid="{00000000-0005-0000-0000-000067240000}"/>
    <cellStyle name="_IHFL 10.03.2006_ChlorisProperties_3351_Dec.08" xfId="9320" xr:uid="{00000000-0005-0000-0000-000068240000}"/>
    <cellStyle name="_IHFL 10.03.2006_Consol Balance Sheet_Sophia_Dec08_Ibrel_1.3" xfId="9321" xr:uid="{00000000-0005-0000-0000-000069240000}"/>
    <cellStyle name="_IHFL 10.03.2006_CRAR - dec- 10v-12" xfId="9322" xr:uid="{00000000-0005-0000-0000-00006A240000}"/>
    <cellStyle name="_IHFL 10.03.2006_CRAR - dec- 10v-12 2" xfId="9323" xr:uid="{00000000-0005-0000-0000-00006B240000}"/>
    <cellStyle name="_IHFL 10.03.2006_detail (2)" xfId="9324" xr:uid="{00000000-0005-0000-0000-00006C240000}"/>
    <cellStyle name="_IHFL 10.03.2006_Detail of IPO funding" xfId="9325" xr:uid="{00000000-0005-0000-0000-00006D240000}"/>
    <cellStyle name="_IHFL 10.03.2006_Details" xfId="9326" xr:uid="{00000000-0005-0000-0000-00006E240000}"/>
    <cellStyle name="_IHFL 10.03.2006_Entries Passed in Conso for profit on sale of invRevised 30.07.08" xfId="9327" xr:uid="{00000000-0005-0000-0000-00006F240000}"/>
    <cellStyle name="_IHFL 10.03.2006_Entries Passed in Conso for profit on sale of invRevised 30.07.08 2" xfId="9328" xr:uid="{00000000-0005-0000-0000-000070240000}"/>
    <cellStyle name="_IHFL 10.03.2006_Entries Passed in Conso for profit on sale of invRevised 30.07.08_IREL_3000_08-09" xfId="9329" xr:uid="{00000000-0005-0000-0000-000071240000}"/>
    <cellStyle name="_IHFL 10.03.2006_Entries Passed in Conso for profit on sale of invRevised 30.07.08_IREL_3000_08-09 2" xfId="9330" xr:uid="{00000000-0005-0000-0000-000072240000}"/>
    <cellStyle name="_IHFL 10.03.2006_Entries Passed in Conso for profit on sale of invRevised 30.07.08_IREL_3000_08-09 2 2" xfId="9331" xr:uid="{00000000-0005-0000-0000-000073240000}"/>
    <cellStyle name="_IHFL 10.03.2006_Entries Passed in Conso for profit on sale of invRevised 30.07.08_IREL_3000_08-09 3" xfId="9332" xr:uid="{00000000-0005-0000-0000-000074240000}"/>
    <cellStyle name="_IHFL 10.03.2006_Entries Passed in Conso for profit on sale of invRevised 30.07.08_IREL_3000_08-09 stage 3" xfId="9333" xr:uid="{00000000-0005-0000-0000-000075240000}"/>
    <cellStyle name="_IHFL 10.03.2006_Entries Passed in Conso for profit on sale of invRevised 30.07.08_IREL_3000_08-09 stage 3 2" xfId="9334" xr:uid="{00000000-0005-0000-0000-000076240000}"/>
    <cellStyle name="_IHFL 10.03.2006_Entries Passed in Conso for profit on sale of invRevised 30.07.08_IREL_3000_08-09 stage 3_IREL_3000_08-09" xfId="9335" xr:uid="{00000000-0005-0000-0000-000077240000}"/>
    <cellStyle name="_IHFL 10.03.2006_Entries Passed in Conso for profit on sale of invRevised 30.07.08_IREL_3000_08-09 stage 3_IREL_3000_08-09 2" xfId="9336" xr:uid="{00000000-0005-0000-0000-000078240000}"/>
    <cellStyle name="_IHFL 10.03.2006_Entries Passed in Conso for profit on sale of invRevised 30.07.08_IREL_3000_08-09 stage 3_IREL_3000_08-09 2 2" xfId="9337" xr:uid="{00000000-0005-0000-0000-000079240000}"/>
    <cellStyle name="_IHFL 10.03.2006_Entries Passed in Conso for profit on sale of invRevised 30.07.08_IREL_3000_08-09 stage 3_IREL_3000_08-09 3" xfId="9338" xr:uid="{00000000-0005-0000-0000-00007A240000}"/>
    <cellStyle name="_IHFL 10.03.2006_Entries Passed in Conso for profit on sale of invRevised 30.07.08_IREL_3000_08-09_IBREAL_BS PACK-Version.02" xfId="9339" xr:uid="{00000000-0005-0000-0000-00007B240000}"/>
    <cellStyle name="_IHFL 10.03.2006_Entries Passed in Conso for profit on sale of invRevised 30.07.08_IREL_3000_08-09_IBREAL_BS PACK-Version.02 2" xfId="9340" xr:uid="{00000000-0005-0000-0000-00007C240000}"/>
    <cellStyle name="_IHFL 10.03.2006_Entries Passed in Conso for profit on sale of invRevised 30.07.08_IREL_3000_08-09_IBREAL_BS PACK-Version.02 2 2" xfId="9341" xr:uid="{00000000-0005-0000-0000-00007D240000}"/>
    <cellStyle name="_IHFL 10.03.2006_Entries Passed in Conso for profit on sale of invRevised 30.07.08_IREL_3000_08-09_IBREAL_BS PACK-Version.02 3" xfId="9342" xr:uid="{00000000-0005-0000-0000-00007E240000}"/>
    <cellStyle name="_IHFL 10.03.2006_Entries Passed in Conso for profit on sale of invRevised 30.07.08_IREL_3000_08-09_IBREAL_BS PACK-Version.02_IBREAL_BS PACK-Version.03" xfId="9343" xr:uid="{00000000-0005-0000-0000-00007F240000}"/>
    <cellStyle name="_IHFL 10.03.2006_Entries Passed in Conso for profit on sale of invRevised 30.07.08_IREL_3000_08-09_IBREAL_BS PACK-Version.02_IBREAL_BS PACK-Version.03 2" xfId="9344" xr:uid="{00000000-0005-0000-0000-000080240000}"/>
    <cellStyle name="_IHFL 10.03.2006_Entries Passed in Conso for profit on sale of invRevised 30.07.08_IREL_3000_08-09_IBREAL_BS PACK-Version.02_IBREAL_BS PACK-Version.03 2 2" xfId="9345" xr:uid="{00000000-0005-0000-0000-000081240000}"/>
    <cellStyle name="_IHFL 10.03.2006_Entries Passed in Conso for profit on sale of invRevised 30.07.08_IREL_3000_08-09_IBREAL_BS PACK-Version.02_IBREAL_BS PACK-Version.03 3" xfId="9346" xr:uid="{00000000-0005-0000-0000-000082240000}"/>
    <cellStyle name="_IHFL 10.03.2006_Entries Passed in Conso for profit on sale of invRevised 30.07.08_IREL_3000_08-09_IBREAL_BS PACK-Version.02_IBREAL_BS PACK-Version.03_IBREAL_BS PACK-Version.07" xfId="9347" xr:uid="{00000000-0005-0000-0000-000083240000}"/>
    <cellStyle name="_IHFL 10.03.2006_Entries Passed in Conso for profit on sale of invRevised 30.07.08_IREL_3000_08-09_IBREAL_BS PACK-Version.02_IBREAL_BS PACK-Version.03_IBREAL_BS PACK-Version.07 2" xfId="9348" xr:uid="{00000000-0005-0000-0000-000084240000}"/>
    <cellStyle name="_IHFL 10.03.2006_Entries Passed in Conso for profit on sale of invRevised 30.07.08_IREL_3000_08-09_IBREAL_BS PACK-Version.02_IBREAL_BS PACK-Version.03_IBREAL_BS PACK-Version.07 2 2" xfId="9349" xr:uid="{00000000-0005-0000-0000-000085240000}"/>
    <cellStyle name="_IHFL 10.03.2006_Entries Passed in Conso for profit on sale of invRevised 30.07.08_IREL_3000_08-09_IBREAL_BS PACK-Version.02_IBREAL_BS PACK-Version.03_IBREAL_BS PACK-Version.07 3" xfId="9350" xr:uid="{00000000-0005-0000-0000-000086240000}"/>
    <cellStyle name="_IHFL 10.03.2006_EPL_3346_2007-08(C)" xfId="9351" xr:uid="{00000000-0005-0000-0000-000087240000}"/>
    <cellStyle name="_IHFL 10.03.2006_FD Detail" xfId="9352" xr:uid="{00000000-0005-0000-0000-000088240000}"/>
    <cellStyle name="_IHFL 10.03.2006_FD Detail_Xl0000013" xfId="9353" xr:uid="{00000000-0005-0000-0000-000089240000}"/>
    <cellStyle name="_IHFL 10.03.2006_Final Consol Balance Sheet_Sophia_Dec08_27.01.08" xfId="9354" xr:uid="{00000000-0005-0000-0000-00008A240000}"/>
    <cellStyle name="_IHFL 10.03.2006_Fixed Assets consolidated" xfId="9355" xr:uid="{00000000-0005-0000-0000-00008B240000}"/>
    <cellStyle name="_IHFL 10.03.2006_IAMCL BS working -New format_31.03 V5" xfId="9356" xr:uid="{00000000-0005-0000-0000-00008C240000}"/>
    <cellStyle name="_IHFL 10.03.2006_IB Asset Management _2910" xfId="9357" xr:uid="{00000000-0005-0000-0000-00008D240000}"/>
    <cellStyle name="_IHFL 10.03.2006_IB Asset Management _2910_IB Collection Agency_3103 V3" xfId="9358" xr:uid="{00000000-0005-0000-0000-00008E240000}"/>
    <cellStyle name="_IHFL 10.03.2006_IB Asset Management _2910_IB Collection Agency_3103 V3_ICAL-New Format_31.03 V4" xfId="9359" xr:uid="{00000000-0005-0000-0000-00008F240000}"/>
    <cellStyle name="_IHFL 10.03.2006_IB Asset Management _2910_ICAL-BS Final Working _New format" xfId="9360" xr:uid="{00000000-0005-0000-0000-000090240000}"/>
    <cellStyle name="_IHFL 10.03.2006_IB Asset Management _3103_ver5" xfId="9361" xr:uid="{00000000-0005-0000-0000-000091240000}"/>
    <cellStyle name="_IHFL 10.03.2006_IB Asset Management_3103 V2" xfId="9362" xr:uid="{00000000-0005-0000-0000-000092240000}"/>
    <cellStyle name="_IHFL 10.03.2006_IB Asset Management_3103 V4" xfId="9363" xr:uid="{00000000-0005-0000-0000-000093240000}"/>
    <cellStyle name="_IHFL 10.03.2006_IB Asset Management_3103 V5" xfId="9364" xr:uid="{00000000-0005-0000-0000-000094240000}"/>
    <cellStyle name="_IHFL 10.03.2006_IB Collection Agency_3103 V3" xfId="9365" xr:uid="{00000000-0005-0000-0000-000095240000}"/>
    <cellStyle name="_IHFL 10.03.2006_IB Collection Agency_3103 V3_ICAL-New Format_31.03 V4" xfId="9366" xr:uid="{00000000-0005-0000-0000-000096240000}"/>
    <cellStyle name="_IHFL 10.03.2006_IB Infrastructure Credit" xfId="9367" xr:uid="{00000000-0005-0000-0000-000097240000}"/>
    <cellStyle name="_IHFL 10.03.2006_IB Infrastructure Credit-3103_V6" xfId="9368" xr:uid="{00000000-0005-0000-0000-000098240000}"/>
    <cellStyle name="_IHFL 10.03.2006_IB Infrastructure Credit-3103_V7" xfId="9369" xr:uid="{00000000-0005-0000-0000-000099240000}"/>
    <cellStyle name="_IHFL 10.03.2006_IB Life Insurance_3103 V4" xfId="9370" xr:uid="{00000000-0005-0000-0000-00009A240000}"/>
    <cellStyle name="_IHFL 10.03.2006_IB Trustee Company_3103 V4" xfId="9371" xr:uid="{00000000-0005-0000-0000-00009B240000}"/>
    <cellStyle name="_IHFL 10.03.2006_IBFSL 30 Sep 11 V8" xfId="9372" xr:uid="{00000000-0005-0000-0000-00009C240000}"/>
    <cellStyle name="_IHFL 10.03.2006_IBFSL 31 May V1" xfId="9373" xr:uid="{00000000-0005-0000-0000-00009D240000}"/>
    <cellStyle name="_IHFL 10.03.2006_IBFSL 31 May V1_Xl0000013" xfId="9374" xr:uid="{00000000-0005-0000-0000-00009E240000}"/>
    <cellStyle name="_IHFL 10.03.2006_IBFSL_Conso_March_10_11" xfId="9375" xr:uid="{00000000-0005-0000-0000-00009F240000}"/>
    <cellStyle name="_IHFL 10.03.2006_IBLIC_BS  Final working -New_Format_31.03 V5" xfId="9376" xr:uid="{00000000-0005-0000-0000-0000A0240000}"/>
    <cellStyle name="_IHFL 10.03.2006_Ibulls BS Final woirking -New format_31.03 V5" xfId="9377" xr:uid="{00000000-0005-0000-0000-0000A1240000}"/>
    <cellStyle name="_IHFL 10.03.2006_IbullsSales_3103" xfId="9378" xr:uid="{00000000-0005-0000-0000-0000A2240000}"/>
    <cellStyle name="_IHFL 10.03.2006_IbullsSales_3103 V2" xfId="9379" xr:uid="{00000000-0005-0000-0000-0000A3240000}"/>
    <cellStyle name="_IHFL 10.03.2006_IbullsSales_3103 V5" xfId="9380" xr:uid="{00000000-0005-0000-0000-0000A4240000}"/>
    <cellStyle name="_IHFL 10.03.2006_ICAL-BS Final Working _New format" xfId="9381" xr:uid="{00000000-0005-0000-0000-0000A5240000}"/>
    <cellStyle name="_IHFL 10.03.2006_ICL_BS_30.06.2009" xfId="9382" xr:uid="{00000000-0005-0000-0000-0000A6240000}"/>
    <cellStyle name="_IHFL 10.03.2006_ICPL_BS_31.03.2009_new" xfId="9383" xr:uid="{00000000-0005-0000-0000-0000A7240000}"/>
    <cellStyle name="_IHFL 10.03.2006_ICPL_BS_31.03.2009_new_ISL__3CD_FY2010-11" xfId="9384" xr:uid="{00000000-0005-0000-0000-0000A8240000}"/>
    <cellStyle name="_IHFL 10.03.2006_IDSL_31.03.2010" xfId="9385" xr:uid="{00000000-0005-0000-0000-0000A9240000}"/>
    <cellStyle name="_IHFL 10.03.2006_IFCPL 31 03 2010 VER6 Final" xfId="9386" xr:uid="{00000000-0005-0000-0000-0000AA240000}"/>
    <cellStyle name="_IHFL 10.03.2006_IHFL_Dec_23_2008" xfId="9387" xr:uid="{00000000-0005-0000-0000-0000AB240000}"/>
    <cellStyle name="_IHFL 10.03.2006_IHFL_Dec_23_2008_Xl0000013" xfId="9388" xr:uid="{00000000-0005-0000-0000-0000AC240000}"/>
    <cellStyle name="_IHFL 10.03.2006_IHFL_SEP_30_2009 XIII AUDIT- Sch II" xfId="9389" xr:uid="{00000000-0005-0000-0000-0000AD240000}"/>
    <cellStyle name="_IHFL 10.03.2006_IIAL 31.03.2010 VER2" xfId="9390" xr:uid="{00000000-0005-0000-0000-0000AE240000}"/>
    <cellStyle name="_IHFL 10.03.2006_IICL_March'11" xfId="9391" xr:uid="{00000000-0005-0000-0000-0000AF240000}"/>
    <cellStyle name="_IHFL 10.03.2006_IIDL_3227_2008_09" xfId="9392" xr:uid="{00000000-0005-0000-0000-0000B0240000}"/>
    <cellStyle name="_IHFL 10.03.2006_IIDL_3227_2008_09_Advance Tax Summary" xfId="9393" xr:uid="{00000000-0005-0000-0000-0000B1240000}"/>
    <cellStyle name="_IHFL 10.03.2006_IIDL_3227_2008_09_Advance Tax Summary 2" xfId="9394" xr:uid="{00000000-0005-0000-0000-0000B2240000}"/>
    <cellStyle name="_IHFL 10.03.2006_IIDL_3227_2008_09_ISL Group - Advance Tax working for 3rd Instalment" xfId="9395" xr:uid="{00000000-0005-0000-0000-0000B3240000}"/>
    <cellStyle name="_IHFL 10.03.2006_IIDL_3227_2008_09_Xl0000013" xfId="9396" xr:uid="{00000000-0005-0000-0000-0000B4240000}"/>
    <cellStyle name="_IHFL 10.03.2006_Indiabulls Asset Management Company Limited printable" xfId="9397" xr:uid="{00000000-0005-0000-0000-0000B5240000}"/>
    <cellStyle name="_IHFL 10.03.2006_IREL_3000_08-09" xfId="9398" xr:uid="{00000000-0005-0000-0000-0000B6240000}"/>
    <cellStyle name="_IHFL 10.03.2006_IREL_3000_08-09 2" xfId="9399" xr:uid="{00000000-0005-0000-0000-0000B7240000}"/>
    <cellStyle name="_IHFL 10.03.2006_ISL_March_08_09.final_11.12.2009" xfId="9400" xr:uid="{00000000-0005-0000-0000-0000B8240000}"/>
    <cellStyle name="_IHFL 10.03.2006_ISL_March_08_09.final_11.12.2009_ISL__3CD_FY2010-11" xfId="9401" xr:uid="{00000000-0005-0000-0000-0000B9240000}"/>
    <cellStyle name="_IHFL 10.03.2006_ITCL_BS working _New format_31.03 V7" xfId="9402" xr:uid="{00000000-0005-0000-0000-0000BA240000}"/>
    <cellStyle name="_IHFL 10.03.2006_ITCL-New format_31.03 V6" xfId="9403" xr:uid="{00000000-0005-0000-0000-0000BB240000}"/>
    <cellStyle name="_IHFL 10.03.2006_NFCL working file" xfId="9404" xr:uid="{00000000-0005-0000-0000-0000BC240000}"/>
    <cellStyle name="_IHFL 10.03.2006_NFCL_ Tax Audit Report FY08-09 " xfId="9405" xr:uid="{00000000-0005-0000-0000-0000BD240000}"/>
    <cellStyle name="_IHFL 10.03.2006_Revised Consol Balance Sheet_Sophia_Jan09_10.02.2009" xfId="9406" xr:uid="{00000000-0005-0000-0000-0000BE240000}"/>
    <cellStyle name="_IHFL 10.03.2006_Sophia Consol for Printout 22 Jun 09" xfId="9407" xr:uid="{00000000-0005-0000-0000-0000BF240000}"/>
    <cellStyle name="_IHFL 10.03.2006_Sophia Consol_march_09_05 June  09_1" xfId="9408" xr:uid="{00000000-0005-0000-0000-0000C0240000}"/>
    <cellStyle name="_IHFL 10.03.2006_Tax Audit Report  F.Y.08-09" xfId="9409" xr:uid="{00000000-0005-0000-0000-0000C1240000}"/>
    <cellStyle name="_IHFL 10.03.2006_Tax Audit Report  ICSL F.Y.09-10" xfId="9410" xr:uid="{00000000-0005-0000-0000-0000C2240000}"/>
    <cellStyle name="_IHFL 10.03.2006_Treasury ICD Interest_ MIS_ 23  09 2009(final)" xfId="9411" xr:uid="{00000000-0005-0000-0000-0000C3240000}"/>
    <cellStyle name="_IHFL 10.03.2006_Treasury ICD Interest_ MIS_ 30. 06 2009(final)" xfId="9412" xr:uid="{00000000-0005-0000-0000-0000C4240000}"/>
    <cellStyle name="_IHFL 10.03.2006_Treasury ICD Interest_ MIS_ 30. 09 2009(final)" xfId="9413" xr:uid="{00000000-0005-0000-0000-0000C5240000}"/>
    <cellStyle name="_IHFL 10.03.2006_Treasury ICD Interest_ MIS_ 31 05 2009" xfId="9414" xr:uid="{00000000-0005-0000-0000-0000C6240000}"/>
    <cellStyle name="_IHFL 10.03.2006_Treasury ICD Interest_ MIS_ 31 10 2009" xfId="9415" xr:uid="{00000000-0005-0000-0000-0000C7240000}"/>
    <cellStyle name="_IHFL 10.03.2006_Treasury ICD Interest_ MIS_ 31.10.2009" xfId="9416" xr:uid="{00000000-0005-0000-0000-0000C8240000}"/>
    <cellStyle name="_IHFL 10.03.2006_Treasury ICD Interest_ MIS_ 310309" xfId="9417" xr:uid="{00000000-0005-0000-0000-0000C9240000}"/>
    <cellStyle name="_IHFL as at June 30-2007 FINAL 2" xfId="9418" xr:uid="{00000000-0005-0000-0000-0000CA240000}"/>
    <cellStyle name="_IHFL as at June 30-2007 FINAL 2 2" xfId="9419" xr:uid="{00000000-0005-0000-0000-0000CB240000}"/>
    <cellStyle name="_IHFL as at June 30-2007 FINAL 2_Advance Tax Format_F.Y. 2010-11" xfId="9420" xr:uid="{00000000-0005-0000-0000-0000CC240000}"/>
    <cellStyle name="_IHFL as at June 30-2007 FINAL 2_Asset Management Company Limited" xfId="9421" xr:uid="{00000000-0005-0000-0000-0000CD240000}"/>
    <cellStyle name="_IHFL as at June 30-2007 FINAL 2_BS _IB Asset Management _3103_ver5" xfId="9422" xr:uid="{00000000-0005-0000-0000-0000CE240000}"/>
    <cellStyle name="_IHFL as at June 30-2007 FINAL 2_BS _IB Asset Management _3103_ver5_IAMCL BS working -New format_31.03 V5" xfId="9423" xr:uid="{00000000-0005-0000-0000-0000CF240000}"/>
    <cellStyle name="_IHFL as at June 30-2007 FINAL 2_CRAR - dec- 10v-12" xfId="9424" xr:uid="{00000000-0005-0000-0000-0000D0240000}"/>
    <cellStyle name="_IHFL as at June 30-2007 FINAL 2_CRAR - dec- 10v-12 2" xfId="9425" xr:uid="{00000000-0005-0000-0000-0000D1240000}"/>
    <cellStyle name="_IHFL as at June 30-2007 FINAL 2_IAMCL BS working -New format_31.03 V5" xfId="9426" xr:uid="{00000000-0005-0000-0000-0000D2240000}"/>
    <cellStyle name="_IHFL as at June 30-2007 FINAL 2_IB Asset Management _2910" xfId="9427" xr:uid="{00000000-0005-0000-0000-0000D3240000}"/>
    <cellStyle name="_IHFL as at June 30-2007 FINAL 2_IB Asset Management _2910_IB Collection Agency_3103 V3" xfId="9428" xr:uid="{00000000-0005-0000-0000-0000D4240000}"/>
    <cellStyle name="_IHFL as at June 30-2007 FINAL 2_IB Asset Management _2910_IB Collection Agency_3103 V3_ICAL-New Format_31.03 V4" xfId="9429" xr:uid="{00000000-0005-0000-0000-0000D5240000}"/>
    <cellStyle name="_IHFL as at June 30-2007 FINAL 2_IB Asset Management _2910_ICAL-BS Final Working _New format" xfId="9430" xr:uid="{00000000-0005-0000-0000-0000D6240000}"/>
    <cellStyle name="_IHFL as at June 30-2007 FINAL 2_IB Asset Management _3103_ver5" xfId="9431" xr:uid="{00000000-0005-0000-0000-0000D7240000}"/>
    <cellStyle name="_IHFL as at June 30-2007 FINAL 2_IB Asset Management_3103 V2" xfId="9432" xr:uid="{00000000-0005-0000-0000-0000D8240000}"/>
    <cellStyle name="_IHFL as at June 30-2007 FINAL 2_IB Asset Management_3103 V4" xfId="9433" xr:uid="{00000000-0005-0000-0000-0000D9240000}"/>
    <cellStyle name="_IHFL as at June 30-2007 FINAL 2_IB Asset Management_3103 V5" xfId="9434" xr:uid="{00000000-0005-0000-0000-0000DA240000}"/>
    <cellStyle name="_IHFL as at June 30-2007 FINAL 2_IB Collection Agency_3103 V3" xfId="9435" xr:uid="{00000000-0005-0000-0000-0000DB240000}"/>
    <cellStyle name="_IHFL as at June 30-2007 FINAL 2_IB Collection Agency_3103 V3_ICAL-New Format_31.03 V4" xfId="9436" xr:uid="{00000000-0005-0000-0000-0000DC240000}"/>
    <cellStyle name="_IHFL as at June 30-2007 FINAL 2_IB Infrastructure Credit" xfId="9437" xr:uid="{00000000-0005-0000-0000-0000DD240000}"/>
    <cellStyle name="_IHFL as at June 30-2007 FINAL 2_IB Infrastructure Credit-3103_V6" xfId="9438" xr:uid="{00000000-0005-0000-0000-0000DE240000}"/>
    <cellStyle name="_IHFL as at June 30-2007 FINAL 2_IB Infrastructure Credit-3103_V7" xfId="9439" xr:uid="{00000000-0005-0000-0000-0000DF240000}"/>
    <cellStyle name="_IHFL as at June 30-2007 FINAL 2_IB Life Insurance_3103 V4" xfId="9440" xr:uid="{00000000-0005-0000-0000-0000E0240000}"/>
    <cellStyle name="_IHFL as at June 30-2007 FINAL 2_IB Trustee Company_3103 V4" xfId="9441" xr:uid="{00000000-0005-0000-0000-0000E1240000}"/>
    <cellStyle name="_IHFL as at June 30-2007 FINAL 2_IBFSL_Conso_March_10_11" xfId="9442" xr:uid="{00000000-0005-0000-0000-0000E2240000}"/>
    <cellStyle name="_IHFL as at June 30-2007 FINAL 2_IBLIC_BS  Final working -New_Format_31.03 V5" xfId="9443" xr:uid="{00000000-0005-0000-0000-0000E3240000}"/>
    <cellStyle name="_IHFL as at June 30-2007 FINAL 2_Ibulls BS Final woirking -New format_31.03 V5" xfId="9444" xr:uid="{00000000-0005-0000-0000-0000E4240000}"/>
    <cellStyle name="_IHFL as at June 30-2007 FINAL 2_IbullsSales_3103" xfId="9445" xr:uid="{00000000-0005-0000-0000-0000E5240000}"/>
    <cellStyle name="_IHFL as at June 30-2007 FINAL 2_IbullsSales_3103 V2" xfId="9446" xr:uid="{00000000-0005-0000-0000-0000E6240000}"/>
    <cellStyle name="_IHFL as at June 30-2007 FINAL 2_IbullsSales_3103 V5" xfId="9447" xr:uid="{00000000-0005-0000-0000-0000E7240000}"/>
    <cellStyle name="_IHFL as at June 30-2007 FINAL 2_ICAL-BS Final Working _New format" xfId="9448" xr:uid="{00000000-0005-0000-0000-0000E8240000}"/>
    <cellStyle name="_IHFL as at June 30-2007 FINAL 2_IHFL_SEP_30_2009 XIII AUDIT- Sch II" xfId="9449" xr:uid="{00000000-0005-0000-0000-0000E9240000}"/>
    <cellStyle name="_IHFL as at June 30-2007 FINAL 2_IICL_March'11" xfId="9450" xr:uid="{00000000-0005-0000-0000-0000EA240000}"/>
    <cellStyle name="_IHFL as at June 30-2007 FINAL 2_Indiabulls Asset Management Company Limited printable" xfId="9451" xr:uid="{00000000-0005-0000-0000-0000EB240000}"/>
    <cellStyle name="_IHFL as at June 30-2007 FINAL 2_ITCL_BS working _New format_31.03 V7" xfId="9452" xr:uid="{00000000-0005-0000-0000-0000EC240000}"/>
    <cellStyle name="_IHFL as at June 30-2007 FINAL 2_ITCL-New format_31.03 V6" xfId="9453" xr:uid="{00000000-0005-0000-0000-0000ED240000}"/>
    <cellStyle name="_IHFL as at June 30-2007 FINAL 2_NFCL working file" xfId="9454" xr:uid="{00000000-0005-0000-0000-0000EE240000}"/>
    <cellStyle name="_IHFL as at June 30-2007 FINAL 2_NFCL_ Tax Audit Report FY08-09 " xfId="9455" xr:uid="{00000000-0005-0000-0000-0000EF240000}"/>
    <cellStyle name="_IHFL as at June 30-2007 FINAL 2_Tax Audit Report  F.Y.08-09" xfId="9456" xr:uid="{00000000-0005-0000-0000-0000F0240000}"/>
    <cellStyle name="_IHFL as at June 30-2007 FINAL 2_Tax Audit Report  ICSL F.Y.09-10" xfId="9457" xr:uid="{00000000-0005-0000-0000-0000F1240000}"/>
    <cellStyle name="_IHFL as at June 30-2007 FINAL 2_Xl0000013" xfId="9458" xr:uid="{00000000-0005-0000-0000-0000F2240000}"/>
    <cellStyle name="_IHFL BAJAJ Apr'08 UPTO RSM  RCM" xfId="9459" xr:uid="{00000000-0005-0000-0000-0000F3240000}"/>
    <cellStyle name="_IHFL BAJAJ Apr'08 UPTO RSM  RCM 2" xfId="9460" xr:uid="{00000000-0005-0000-0000-0000F4240000}"/>
    <cellStyle name="_IHFL Bajaj March'08 UPTO RSM  RCM" xfId="9461" xr:uid="{00000000-0005-0000-0000-0000F5240000}"/>
    <cellStyle name="_IHFL Bajaj March'08 UPTO RSM  RCM 2" xfId="9462" xr:uid="{00000000-0005-0000-0000-0000F6240000}"/>
    <cellStyle name="_IHFL BALANCE SHEET JULY 2007" xfId="9463" xr:uid="{00000000-0005-0000-0000-0000F7240000}"/>
    <cellStyle name="_IHFL BALANCE SHEET JULY 2007_Asset Management Company Limited" xfId="9464" xr:uid="{00000000-0005-0000-0000-0000F8240000}"/>
    <cellStyle name="_IHFL BALANCE SHEET JULY 2007_BS _IB Asset Management _3103_ver5" xfId="9465" xr:uid="{00000000-0005-0000-0000-0000F9240000}"/>
    <cellStyle name="_IHFL BALANCE SHEET JULY 2007_BS _IB Asset Management _3103_ver5_IAMCL BS working -New format_31.03 V5" xfId="9466" xr:uid="{00000000-0005-0000-0000-0000FA240000}"/>
    <cellStyle name="_IHFL BALANCE SHEET JULY 2007_IAMCL BS working -New format_31.03 V5" xfId="9467" xr:uid="{00000000-0005-0000-0000-0000FB240000}"/>
    <cellStyle name="_IHFL BALANCE SHEET JULY 2007_IB Asset Management _2910" xfId="9468" xr:uid="{00000000-0005-0000-0000-0000FC240000}"/>
    <cellStyle name="_IHFL BALANCE SHEET JULY 2007_IB Asset Management _2910_IB Collection Agency_3103 V3" xfId="9469" xr:uid="{00000000-0005-0000-0000-0000FD240000}"/>
    <cellStyle name="_IHFL BALANCE SHEET JULY 2007_IB Asset Management _2910_IB Collection Agency_3103 V3_ICAL-New Format_31.03 V4" xfId="9470" xr:uid="{00000000-0005-0000-0000-0000FE240000}"/>
    <cellStyle name="_IHFL BALANCE SHEET JULY 2007_IB Asset Management _2910_ICAL-BS Final Working _New format" xfId="9471" xr:uid="{00000000-0005-0000-0000-0000FF240000}"/>
    <cellStyle name="_IHFL BALANCE SHEET JULY 2007_IB Asset Management _3103_ver5" xfId="9472" xr:uid="{00000000-0005-0000-0000-000000250000}"/>
    <cellStyle name="_IHFL BALANCE SHEET JULY 2007_IB Asset Management_3103 V2" xfId="9473" xr:uid="{00000000-0005-0000-0000-000001250000}"/>
    <cellStyle name="_IHFL BALANCE SHEET JULY 2007_IB Asset Management_3103 V4" xfId="9474" xr:uid="{00000000-0005-0000-0000-000002250000}"/>
    <cellStyle name="_IHFL BALANCE SHEET JULY 2007_IB Asset Management_3103 V5" xfId="9475" xr:uid="{00000000-0005-0000-0000-000003250000}"/>
    <cellStyle name="_IHFL BALANCE SHEET JULY 2007_IB Collection Agency_3103 V3" xfId="9476" xr:uid="{00000000-0005-0000-0000-000004250000}"/>
    <cellStyle name="_IHFL BALANCE SHEET JULY 2007_IB Collection Agency_3103 V3_ICAL-New Format_31.03 V4" xfId="9477" xr:uid="{00000000-0005-0000-0000-000005250000}"/>
    <cellStyle name="_IHFL BALANCE SHEET JULY 2007_IB Infrastructure Credit" xfId="9478" xr:uid="{00000000-0005-0000-0000-000006250000}"/>
    <cellStyle name="_IHFL BALANCE SHEET JULY 2007_IB Infrastructure Credit-3103_V6" xfId="9479" xr:uid="{00000000-0005-0000-0000-000007250000}"/>
    <cellStyle name="_IHFL BALANCE SHEET JULY 2007_IB Infrastructure Credit-3103_V7" xfId="9480" xr:uid="{00000000-0005-0000-0000-000008250000}"/>
    <cellStyle name="_IHFL BALANCE SHEET JULY 2007_IB Life Insurance_3103 V4" xfId="9481" xr:uid="{00000000-0005-0000-0000-000009250000}"/>
    <cellStyle name="_IHFL BALANCE SHEET JULY 2007_IB Trustee Company_3103 V4" xfId="9482" xr:uid="{00000000-0005-0000-0000-00000A250000}"/>
    <cellStyle name="_IHFL BALANCE SHEET JULY 2007_IBLIC_BS  Final working -New_Format_31.03 V5" xfId="9483" xr:uid="{00000000-0005-0000-0000-00000B250000}"/>
    <cellStyle name="_IHFL BALANCE SHEET JULY 2007_Ibulls BS Final woirking -New format_31.03 V5" xfId="9484" xr:uid="{00000000-0005-0000-0000-00000C250000}"/>
    <cellStyle name="_IHFL BALANCE SHEET JULY 2007_IbullsSales_3103" xfId="9485" xr:uid="{00000000-0005-0000-0000-00000D250000}"/>
    <cellStyle name="_IHFL BALANCE SHEET JULY 2007_IbullsSales_3103 V2" xfId="9486" xr:uid="{00000000-0005-0000-0000-00000E250000}"/>
    <cellStyle name="_IHFL BALANCE SHEET JULY 2007_IbullsSales_3103 V5" xfId="9487" xr:uid="{00000000-0005-0000-0000-00000F250000}"/>
    <cellStyle name="_IHFL BALANCE SHEET JULY 2007_ICAL-BS Final Working _New format" xfId="9488" xr:uid="{00000000-0005-0000-0000-000010250000}"/>
    <cellStyle name="_IHFL BALANCE SHEET JULY 2007_IHFL_September_30_2010 VERSION 10" xfId="9489" xr:uid="{00000000-0005-0000-0000-000011250000}"/>
    <cellStyle name="_IHFL BALANCE SHEET JULY 2007_IICL_March'11" xfId="9490" xr:uid="{00000000-0005-0000-0000-000012250000}"/>
    <cellStyle name="_IHFL BALANCE SHEET JULY 2007_Indiabulls Asset Management Company Limited printable" xfId="9491" xr:uid="{00000000-0005-0000-0000-000013250000}"/>
    <cellStyle name="_IHFL BALANCE SHEET JULY 2007_ITCL_BS working _New format_31.03 V7" xfId="9492" xr:uid="{00000000-0005-0000-0000-000014250000}"/>
    <cellStyle name="_IHFL BALANCE SHEET JULY 2007_ITCL-New format_31.03 V6" xfId="9493" xr:uid="{00000000-0005-0000-0000-000015250000}"/>
    <cellStyle name="_IHFL BALANCE SHEET JULY 2007_NFCL working file" xfId="9494" xr:uid="{00000000-0005-0000-0000-000016250000}"/>
    <cellStyle name="_IHFL BALANCE SHEET JULY 2007_Tax Audit Report  F.Y.08-09" xfId="9495" xr:uid="{00000000-0005-0000-0000-000017250000}"/>
    <cellStyle name="_IHFL BALANCE SHEET JULY 2007_Tax Audit Report  ICSL F.Y.09-10" xfId="9496" xr:uid="{00000000-0005-0000-0000-000018250000}"/>
    <cellStyle name="_IHFL BALANCE SHEET JULY 2007_Xl0000013" xfId="9497" xr:uid="{00000000-0005-0000-0000-000019250000}"/>
    <cellStyle name="_IHFL Balancesheet as at Aug 31ST 2007" xfId="9498" xr:uid="{00000000-0005-0000-0000-00001A250000}"/>
    <cellStyle name="_IHFL Balancesheet as at Aug 31ST 2007 2" xfId="9499" xr:uid="{00000000-0005-0000-0000-00001B250000}"/>
    <cellStyle name="_IHFL Balancesheet as at Aug 31ST 2007_Advance Tax Format_F.Y. 2010-11" xfId="9500" xr:uid="{00000000-0005-0000-0000-00001C250000}"/>
    <cellStyle name="_IHFL Balancesheet as at Aug 31ST 2007_Asset Management Company Limited" xfId="9501" xr:uid="{00000000-0005-0000-0000-00001D250000}"/>
    <cellStyle name="_IHFL Balancesheet as at Aug 31ST 2007_BS _IB Asset Management _3103_ver5" xfId="9502" xr:uid="{00000000-0005-0000-0000-00001E250000}"/>
    <cellStyle name="_IHFL Balancesheet as at Aug 31ST 2007_BS _IB Asset Management _3103_ver5_IAMCL BS working -New format_31.03 V5" xfId="9503" xr:uid="{00000000-0005-0000-0000-00001F250000}"/>
    <cellStyle name="_IHFL Balancesheet as at Aug 31ST 2007_CRAR - dec- 10v-12" xfId="9504" xr:uid="{00000000-0005-0000-0000-000020250000}"/>
    <cellStyle name="_IHFL Balancesheet as at Aug 31ST 2007_CRAR - dec- 10v-12 2" xfId="9505" xr:uid="{00000000-0005-0000-0000-000021250000}"/>
    <cellStyle name="_IHFL Balancesheet as at Aug 31ST 2007_IAMCL BS working -New format_31.03 V5" xfId="9506" xr:uid="{00000000-0005-0000-0000-000022250000}"/>
    <cellStyle name="_IHFL Balancesheet as at Aug 31ST 2007_IB Asset Management _2910" xfId="9507" xr:uid="{00000000-0005-0000-0000-000023250000}"/>
    <cellStyle name="_IHFL Balancesheet as at Aug 31ST 2007_IB Asset Management _2910_IB Collection Agency_3103 V3" xfId="9508" xr:uid="{00000000-0005-0000-0000-000024250000}"/>
    <cellStyle name="_IHFL Balancesheet as at Aug 31ST 2007_IB Asset Management _2910_IB Collection Agency_3103 V3_ICAL-New Format_31.03 V4" xfId="9509" xr:uid="{00000000-0005-0000-0000-000025250000}"/>
    <cellStyle name="_IHFL Balancesheet as at Aug 31ST 2007_IB Asset Management _2910_ICAL-BS Final Working _New format" xfId="9510" xr:uid="{00000000-0005-0000-0000-000026250000}"/>
    <cellStyle name="_IHFL Balancesheet as at Aug 31ST 2007_IB Asset Management _3103_ver5" xfId="9511" xr:uid="{00000000-0005-0000-0000-000027250000}"/>
    <cellStyle name="_IHFL Balancesheet as at Aug 31ST 2007_IB Asset Management_3103 V2" xfId="9512" xr:uid="{00000000-0005-0000-0000-000028250000}"/>
    <cellStyle name="_IHFL Balancesheet as at Aug 31ST 2007_IB Asset Management_3103 V4" xfId="9513" xr:uid="{00000000-0005-0000-0000-000029250000}"/>
    <cellStyle name="_IHFL Balancesheet as at Aug 31ST 2007_IB Asset Management_3103 V5" xfId="9514" xr:uid="{00000000-0005-0000-0000-00002A250000}"/>
    <cellStyle name="_IHFL Balancesheet as at Aug 31ST 2007_IB Collection Agency_3103 V3" xfId="9515" xr:uid="{00000000-0005-0000-0000-00002B250000}"/>
    <cellStyle name="_IHFL Balancesheet as at Aug 31ST 2007_IB Collection Agency_3103 V3_ICAL-New Format_31.03 V4" xfId="9516" xr:uid="{00000000-0005-0000-0000-00002C250000}"/>
    <cellStyle name="_IHFL Balancesheet as at Aug 31ST 2007_IB Infrastructure Credit" xfId="9517" xr:uid="{00000000-0005-0000-0000-00002D250000}"/>
    <cellStyle name="_IHFL Balancesheet as at Aug 31ST 2007_IB Infrastructure Credit-3103_V6" xfId="9518" xr:uid="{00000000-0005-0000-0000-00002E250000}"/>
    <cellStyle name="_IHFL Balancesheet as at Aug 31ST 2007_IB Infrastructure Credit-3103_V7" xfId="9519" xr:uid="{00000000-0005-0000-0000-00002F250000}"/>
    <cellStyle name="_IHFL Balancesheet as at Aug 31ST 2007_IB Life Insurance_3103 V4" xfId="9520" xr:uid="{00000000-0005-0000-0000-000030250000}"/>
    <cellStyle name="_IHFL Balancesheet as at Aug 31ST 2007_IB Trustee Company_3103 V4" xfId="9521" xr:uid="{00000000-0005-0000-0000-000031250000}"/>
    <cellStyle name="_IHFL Balancesheet as at Aug 31ST 2007_IBFSL_Conso_March_10_11" xfId="9522" xr:uid="{00000000-0005-0000-0000-000032250000}"/>
    <cellStyle name="_IHFL Balancesheet as at Aug 31ST 2007_IBLIC_BS  Final working -New_Format_31.03 V5" xfId="9523" xr:uid="{00000000-0005-0000-0000-000033250000}"/>
    <cellStyle name="_IHFL Balancesheet as at Aug 31ST 2007_Ibulls BS Final woirking -New format_31.03 V5" xfId="9524" xr:uid="{00000000-0005-0000-0000-000034250000}"/>
    <cellStyle name="_IHFL Balancesheet as at Aug 31ST 2007_IbullsSales_3103" xfId="9525" xr:uid="{00000000-0005-0000-0000-000035250000}"/>
    <cellStyle name="_IHFL Balancesheet as at Aug 31ST 2007_IbullsSales_3103 V2" xfId="9526" xr:uid="{00000000-0005-0000-0000-000036250000}"/>
    <cellStyle name="_IHFL Balancesheet as at Aug 31ST 2007_IbullsSales_3103 V5" xfId="9527" xr:uid="{00000000-0005-0000-0000-000037250000}"/>
    <cellStyle name="_IHFL Balancesheet as at Aug 31ST 2007_ICAL-BS Final Working _New format" xfId="9528" xr:uid="{00000000-0005-0000-0000-000038250000}"/>
    <cellStyle name="_IHFL Balancesheet as at Aug 31ST 2007_IHFL_SEP_30_2009 XIII AUDIT- Sch II" xfId="9529" xr:uid="{00000000-0005-0000-0000-000039250000}"/>
    <cellStyle name="_IHFL Balancesheet as at Aug 31ST 2007_IICL_March'11" xfId="9530" xr:uid="{00000000-0005-0000-0000-00003A250000}"/>
    <cellStyle name="_IHFL Balancesheet as at Aug 31ST 2007_Indiabulls Asset Management Company Limited printable" xfId="9531" xr:uid="{00000000-0005-0000-0000-00003B250000}"/>
    <cellStyle name="_IHFL Balancesheet as at Aug 31ST 2007_ITCL_BS working _New format_31.03 V7" xfId="9532" xr:uid="{00000000-0005-0000-0000-00003C250000}"/>
    <cellStyle name="_IHFL Balancesheet as at Aug 31ST 2007_ITCL-New format_31.03 V6" xfId="9533" xr:uid="{00000000-0005-0000-0000-00003D250000}"/>
    <cellStyle name="_IHFL Balancesheet as at Aug 31ST 2007_NFCL working file" xfId="9534" xr:uid="{00000000-0005-0000-0000-00003E250000}"/>
    <cellStyle name="_IHFL Balancesheet as at Aug 31ST 2007_NFCL_ Tax Audit Report FY08-09 " xfId="9535" xr:uid="{00000000-0005-0000-0000-00003F250000}"/>
    <cellStyle name="_IHFL Balancesheet as at Aug 31ST 2007_Tax Audit Report  F.Y.08-09" xfId="9536" xr:uid="{00000000-0005-0000-0000-000040250000}"/>
    <cellStyle name="_IHFL Balancesheet as at Aug 31ST 2007_Tax Audit Report  ICSL F.Y.09-10" xfId="9537" xr:uid="{00000000-0005-0000-0000-000041250000}"/>
    <cellStyle name="_IHFL Balancesheet as at Aug 31ST 2007_Xl0000013" xfId="9538" xr:uid="{00000000-0005-0000-0000-000042250000}"/>
    <cellStyle name="_IHFL BALANCESHEET AS AT FEB 28, 2007" xfId="9539" xr:uid="{00000000-0005-0000-0000-000043250000}"/>
    <cellStyle name="_IHFL BALANCESHEET AS AT FEB 28, 2007 2" xfId="9540" xr:uid="{00000000-0005-0000-0000-000044250000}"/>
    <cellStyle name="_IHFL BALANCESHEET AS AT FEB 28, 2007 3" xfId="9541" xr:uid="{00000000-0005-0000-0000-000045250000}"/>
    <cellStyle name="_IHFL BALANCESHEET AS AT FEB 28, 2007_Advance Tax Format_F.Y. 2010-11" xfId="9542" xr:uid="{00000000-0005-0000-0000-000046250000}"/>
    <cellStyle name="_IHFL BALANCESHEET AS AT FEB 28, 2007_Asset Management Company Limited" xfId="9543" xr:uid="{00000000-0005-0000-0000-000047250000}"/>
    <cellStyle name="_IHFL BALANCESHEET AS AT FEB 28, 2007_Book1" xfId="9544" xr:uid="{00000000-0005-0000-0000-000048250000}"/>
    <cellStyle name="_IHFL BALANCESHEET AS AT FEB 28, 2007_BS _IB Asset Management _3103_ver5" xfId="9545" xr:uid="{00000000-0005-0000-0000-000049250000}"/>
    <cellStyle name="_IHFL BALANCESHEET AS AT FEB 28, 2007_BS _IB Asset Management _3103_ver5_IAMCL BS working -New format_31.03 V5" xfId="9546" xr:uid="{00000000-0005-0000-0000-00004A250000}"/>
    <cellStyle name="_IHFL BALANCESHEET AS AT FEB 28, 2007_CRAR - dec- 10v-12" xfId="9547" xr:uid="{00000000-0005-0000-0000-00004B250000}"/>
    <cellStyle name="_IHFL BALANCESHEET AS AT FEB 28, 2007_CRAR - dec- 10v-12 2" xfId="9548" xr:uid="{00000000-0005-0000-0000-00004C250000}"/>
    <cellStyle name="_IHFL BALANCESHEET AS AT FEB 28, 2007_Detail of IPO funding" xfId="9549" xr:uid="{00000000-0005-0000-0000-00004D250000}"/>
    <cellStyle name="_IHFL BALANCESHEET AS AT FEB 28, 2007_Details of Assets &amp; Liablilities" xfId="9550" xr:uid="{00000000-0005-0000-0000-00004E250000}"/>
    <cellStyle name="_IHFL BALANCESHEET AS AT FEB 28, 2007_IAMCL BS working -New format_31.03 V5" xfId="9551" xr:uid="{00000000-0005-0000-0000-00004F250000}"/>
    <cellStyle name="_IHFL BALANCESHEET AS AT FEB 28, 2007_IB Asset Management _2910" xfId="9552" xr:uid="{00000000-0005-0000-0000-000050250000}"/>
    <cellStyle name="_IHFL BALANCESHEET AS AT FEB 28, 2007_IB Asset Management _2910_IB Collection Agency_3103 V3" xfId="9553" xr:uid="{00000000-0005-0000-0000-000051250000}"/>
    <cellStyle name="_IHFL BALANCESHEET AS AT FEB 28, 2007_IB Asset Management _2910_IB Collection Agency_3103 V3_ICAL-New Format_31.03 V4" xfId="9554" xr:uid="{00000000-0005-0000-0000-000052250000}"/>
    <cellStyle name="_IHFL BALANCESHEET AS AT FEB 28, 2007_IB Asset Management _2910_ICAL-BS Final Working _New format" xfId="9555" xr:uid="{00000000-0005-0000-0000-000053250000}"/>
    <cellStyle name="_IHFL BALANCESHEET AS AT FEB 28, 2007_IB Asset Management _3103_ver5" xfId="9556" xr:uid="{00000000-0005-0000-0000-000054250000}"/>
    <cellStyle name="_IHFL BALANCESHEET AS AT FEB 28, 2007_IB Asset Management_3103 V2" xfId="9557" xr:uid="{00000000-0005-0000-0000-000055250000}"/>
    <cellStyle name="_IHFL BALANCESHEET AS AT FEB 28, 2007_IB Asset Management_3103 V4" xfId="9558" xr:uid="{00000000-0005-0000-0000-000056250000}"/>
    <cellStyle name="_IHFL BALANCESHEET AS AT FEB 28, 2007_IB Asset Management_3103 V5" xfId="9559" xr:uid="{00000000-0005-0000-0000-000057250000}"/>
    <cellStyle name="_IHFL BALANCESHEET AS AT FEB 28, 2007_IB Collection Agency_3103 V3" xfId="9560" xr:uid="{00000000-0005-0000-0000-000058250000}"/>
    <cellStyle name="_IHFL BALANCESHEET AS AT FEB 28, 2007_IB Collection Agency_3103 V3_ICAL-New Format_31.03 V4" xfId="9561" xr:uid="{00000000-0005-0000-0000-000059250000}"/>
    <cellStyle name="_IHFL BALANCESHEET AS AT FEB 28, 2007_IB Infrastructure Credit" xfId="9562" xr:uid="{00000000-0005-0000-0000-00005A250000}"/>
    <cellStyle name="_IHFL BALANCESHEET AS AT FEB 28, 2007_IB Infrastructure Credit-3103_V6" xfId="9563" xr:uid="{00000000-0005-0000-0000-00005B250000}"/>
    <cellStyle name="_IHFL BALANCESHEET AS AT FEB 28, 2007_IB Infrastructure Credit-3103_V7" xfId="9564" xr:uid="{00000000-0005-0000-0000-00005C250000}"/>
    <cellStyle name="_IHFL BALANCESHEET AS AT FEB 28, 2007_IB Life Insurance_3103 V4" xfId="9565" xr:uid="{00000000-0005-0000-0000-00005D250000}"/>
    <cellStyle name="_IHFL BALANCESHEET AS AT FEB 28, 2007_IB Trustee Company_3103 V4" xfId="9566" xr:uid="{00000000-0005-0000-0000-00005E250000}"/>
    <cellStyle name="_IHFL BALANCESHEET AS AT FEB 28, 2007_IBFSL 30 Sep 11 V8" xfId="9567" xr:uid="{00000000-0005-0000-0000-00005F250000}"/>
    <cellStyle name="_IHFL BALANCESHEET AS AT FEB 28, 2007_IBFSL_Conso_March_10_11" xfId="9568" xr:uid="{00000000-0005-0000-0000-000060250000}"/>
    <cellStyle name="_IHFL BALANCESHEET AS AT FEB 28, 2007_IBLIC_BS  Final working -New_Format_31.03 V5" xfId="9569" xr:uid="{00000000-0005-0000-0000-000061250000}"/>
    <cellStyle name="_IHFL BALANCESHEET AS AT FEB 28, 2007_Ibulls BS Final woirking -New format_31.03 V5" xfId="9570" xr:uid="{00000000-0005-0000-0000-000062250000}"/>
    <cellStyle name="_IHFL BALANCESHEET AS AT FEB 28, 2007_IbullsSales_3103" xfId="9571" xr:uid="{00000000-0005-0000-0000-000063250000}"/>
    <cellStyle name="_IHFL BALANCESHEET AS AT FEB 28, 2007_IbullsSales_3103 V2" xfId="9572" xr:uid="{00000000-0005-0000-0000-000064250000}"/>
    <cellStyle name="_IHFL BALANCESHEET AS AT FEB 28, 2007_IbullsSales_3103 V5" xfId="9573" xr:uid="{00000000-0005-0000-0000-000065250000}"/>
    <cellStyle name="_IHFL BALANCESHEET AS AT FEB 28, 2007_ICAL-BS Final Working _New format" xfId="9574" xr:uid="{00000000-0005-0000-0000-000066250000}"/>
    <cellStyle name="_IHFL BALANCESHEET AS AT FEB 28, 2007_ICL_BS_30.06.2009" xfId="9575" xr:uid="{00000000-0005-0000-0000-000067250000}"/>
    <cellStyle name="_IHFL BALANCESHEET AS AT FEB 28, 2007_ICPL_BS_31.03.2009_new" xfId="9576" xr:uid="{00000000-0005-0000-0000-000068250000}"/>
    <cellStyle name="_IHFL BALANCESHEET AS AT FEB 28, 2007_ICPL_BS_31.03.2009_new_ISL__3CD_FY2010-11" xfId="9577" xr:uid="{00000000-0005-0000-0000-000069250000}"/>
    <cellStyle name="_IHFL BALANCESHEET AS AT FEB 28, 2007_IFCPL 31 03 2010 VER6 Final" xfId="9578" xr:uid="{00000000-0005-0000-0000-00006A250000}"/>
    <cellStyle name="_IHFL BALANCESHEET AS AT FEB 28, 2007_IHFL_SEP_30_2009 XIII AUDIT- Sch II" xfId="9579" xr:uid="{00000000-0005-0000-0000-00006B250000}"/>
    <cellStyle name="_IHFL BALANCESHEET AS AT FEB 28, 2007_IIAL 31.03.2010 VER2" xfId="9580" xr:uid="{00000000-0005-0000-0000-00006C250000}"/>
    <cellStyle name="_IHFL BALANCESHEET AS AT FEB 28, 2007_IICL_March'11" xfId="9581" xr:uid="{00000000-0005-0000-0000-00006D250000}"/>
    <cellStyle name="_IHFL BALANCESHEET AS AT FEB 28, 2007_Indiabulls Asset Management Company Limited printable" xfId="9582" xr:uid="{00000000-0005-0000-0000-00006E250000}"/>
    <cellStyle name="_IHFL BALANCESHEET AS AT FEB 28, 2007_ISL_March_08_09.final_11.12.2009" xfId="9583" xr:uid="{00000000-0005-0000-0000-00006F250000}"/>
    <cellStyle name="_IHFL BALANCESHEET AS AT FEB 28, 2007_ISL_March_08_09.final_11.12.2009_ISL__3CD_FY2010-11" xfId="9584" xr:uid="{00000000-0005-0000-0000-000070250000}"/>
    <cellStyle name="_IHFL BALANCESHEET AS AT FEB 28, 2007_ITCL_BS working _New format_31.03 V7" xfId="9585" xr:uid="{00000000-0005-0000-0000-000071250000}"/>
    <cellStyle name="_IHFL BALANCESHEET AS AT FEB 28, 2007_ITCL-New format_31.03 V6" xfId="9586" xr:uid="{00000000-0005-0000-0000-000072250000}"/>
    <cellStyle name="_IHFL BALANCESHEET AS AT FEB 28, 2007_NFCL working file" xfId="9587" xr:uid="{00000000-0005-0000-0000-000073250000}"/>
    <cellStyle name="_IHFL BALANCESHEET AS AT FEB 28, 2007_NFCL_ Tax Audit Report FY08-09 " xfId="9588" xr:uid="{00000000-0005-0000-0000-000074250000}"/>
    <cellStyle name="_IHFL BALANCESHEET AS AT FEB 28, 2007_Tax Audit Report  F.Y.08-09" xfId="9589" xr:uid="{00000000-0005-0000-0000-000075250000}"/>
    <cellStyle name="_IHFL BALANCESHEET AS AT FEB 28, 2007_Tax Audit Report  ICSL F.Y.09-10" xfId="9590" xr:uid="{00000000-0005-0000-0000-000076250000}"/>
    <cellStyle name="_IHFL BALANCESHEET AS AT FEB 28, 2007_Xl0000013" xfId="9591" xr:uid="{00000000-0005-0000-0000-000077250000}"/>
    <cellStyle name="_IHFL BALANCESHEET AS AT March 31, 2007-final" xfId="9592" xr:uid="{00000000-0005-0000-0000-000078250000}"/>
    <cellStyle name="_IHFL BALANCESHEET AS AT March 31, 2007-final 2" xfId="9593" xr:uid="{00000000-0005-0000-0000-000079250000}"/>
    <cellStyle name="_IHFL BALANCESHEET AS AT March 31, 2007-final 3" xfId="9594" xr:uid="{00000000-0005-0000-0000-00007A250000}"/>
    <cellStyle name="_IHFL BALANCESHEET AS AT March 31, 2007-final_Advance Tax Format_F.Y. 2010-11" xfId="9595" xr:uid="{00000000-0005-0000-0000-00007B250000}"/>
    <cellStyle name="_IHFL BALANCESHEET AS AT March 31, 2007-final_Asset Management Company Limited" xfId="9596" xr:uid="{00000000-0005-0000-0000-00007C250000}"/>
    <cellStyle name="_IHFL BALANCESHEET AS AT March 31, 2007-final_Book1" xfId="9597" xr:uid="{00000000-0005-0000-0000-00007D250000}"/>
    <cellStyle name="_IHFL BALANCESHEET AS AT March 31, 2007-final_BS _IB Asset Management _3103_ver5" xfId="9598" xr:uid="{00000000-0005-0000-0000-00007E250000}"/>
    <cellStyle name="_IHFL BALANCESHEET AS AT March 31, 2007-final_BS _IB Asset Management _3103_ver5_IAMCL BS working -New format_31.03 V5" xfId="9599" xr:uid="{00000000-0005-0000-0000-00007F250000}"/>
    <cellStyle name="_IHFL BALANCESHEET AS AT March 31, 2007-final_CRAR - dec- 10v-12" xfId="9600" xr:uid="{00000000-0005-0000-0000-000080250000}"/>
    <cellStyle name="_IHFL BALANCESHEET AS AT March 31, 2007-final_CRAR - dec- 10v-12 2" xfId="9601" xr:uid="{00000000-0005-0000-0000-000081250000}"/>
    <cellStyle name="_IHFL BALANCESHEET AS AT March 31, 2007-final_Detail of IPO funding" xfId="9602" xr:uid="{00000000-0005-0000-0000-000082250000}"/>
    <cellStyle name="_IHFL BALANCESHEET AS AT March 31, 2007-final_Details of Assets &amp; Liablilities" xfId="9603" xr:uid="{00000000-0005-0000-0000-000083250000}"/>
    <cellStyle name="_IHFL BALANCESHEET AS AT March 31, 2007-final_IAMCL BS working -New format_31.03 V5" xfId="9604" xr:uid="{00000000-0005-0000-0000-000084250000}"/>
    <cellStyle name="_IHFL BALANCESHEET AS AT March 31, 2007-final_IB Asset Management _2910" xfId="9605" xr:uid="{00000000-0005-0000-0000-000085250000}"/>
    <cellStyle name="_IHFL BALANCESHEET AS AT March 31, 2007-final_IB Asset Management _2910_IB Collection Agency_3103 V3" xfId="9606" xr:uid="{00000000-0005-0000-0000-000086250000}"/>
    <cellStyle name="_IHFL BALANCESHEET AS AT March 31, 2007-final_IB Asset Management _2910_IB Collection Agency_3103 V3_ICAL-New Format_31.03 V4" xfId="9607" xr:uid="{00000000-0005-0000-0000-000087250000}"/>
    <cellStyle name="_IHFL BALANCESHEET AS AT March 31, 2007-final_IB Asset Management _2910_ICAL-BS Final Working _New format" xfId="9608" xr:uid="{00000000-0005-0000-0000-000088250000}"/>
    <cellStyle name="_IHFL BALANCESHEET AS AT March 31, 2007-final_IB Asset Management _3103_ver5" xfId="9609" xr:uid="{00000000-0005-0000-0000-000089250000}"/>
    <cellStyle name="_IHFL BALANCESHEET AS AT March 31, 2007-final_IB Asset Management_3103 V2" xfId="9610" xr:uid="{00000000-0005-0000-0000-00008A250000}"/>
    <cellStyle name="_IHFL BALANCESHEET AS AT March 31, 2007-final_IB Asset Management_3103 V4" xfId="9611" xr:uid="{00000000-0005-0000-0000-00008B250000}"/>
    <cellStyle name="_IHFL BALANCESHEET AS AT March 31, 2007-final_IB Asset Management_3103 V5" xfId="9612" xr:uid="{00000000-0005-0000-0000-00008C250000}"/>
    <cellStyle name="_IHFL BALANCESHEET AS AT March 31, 2007-final_IB Collection Agency_3103 V3" xfId="9613" xr:uid="{00000000-0005-0000-0000-00008D250000}"/>
    <cellStyle name="_IHFL BALANCESHEET AS AT March 31, 2007-final_IB Collection Agency_3103 V3_ICAL-New Format_31.03 V4" xfId="9614" xr:uid="{00000000-0005-0000-0000-00008E250000}"/>
    <cellStyle name="_IHFL BALANCESHEET AS AT March 31, 2007-final_IB Infrastructure Credit" xfId="9615" xr:uid="{00000000-0005-0000-0000-00008F250000}"/>
    <cellStyle name="_IHFL BALANCESHEET AS AT March 31, 2007-final_IB Infrastructure Credit-3103_V6" xfId="9616" xr:uid="{00000000-0005-0000-0000-000090250000}"/>
    <cellStyle name="_IHFL BALANCESHEET AS AT March 31, 2007-final_IB Infrastructure Credit-3103_V7" xfId="9617" xr:uid="{00000000-0005-0000-0000-000091250000}"/>
    <cellStyle name="_IHFL BALANCESHEET AS AT March 31, 2007-final_IB Life Insurance_3103 V4" xfId="9618" xr:uid="{00000000-0005-0000-0000-000092250000}"/>
    <cellStyle name="_IHFL BALANCESHEET AS AT March 31, 2007-final_IB Trustee Company_3103 V4" xfId="9619" xr:uid="{00000000-0005-0000-0000-000093250000}"/>
    <cellStyle name="_IHFL BALANCESHEET AS AT March 31, 2007-final_IBFSL 30 Sep 11 V8" xfId="9620" xr:uid="{00000000-0005-0000-0000-000094250000}"/>
    <cellStyle name="_IHFL BALANCESHEET AS AT March 31, 2007-final_IBFSL_Conso_March_10_11" xfId="9621" xr:uid="{00000000-0005-0000-0000-000095250000}"/>
    <cellStyle name="_IHFL BALANCESHEET AS AT March 31, 2007-final_IBLIC_BS  Final working -New_Format_31.03 V5" xfId="9622" xr:uid="{00000000-0005-0000-0000-000096250000}"/>
    <cellStyle name="_IHFL BALANCESHEET AS AT March 31, 2007-final_Ibulls BS Final woirking -New format_31.03 V5" xfId="9623" xr:uid="{00000000-0005-0000-0000-000097250000}"/>
    <cellStyle name="_IHFL BALANCESHEET AS AT March 31, 2007-final_IbullsSales_3103" xfId="9624" xr:uid="{00000000-0005-0000-0000-000098250000}"/>
    <cellStyle name="_IHFL BALANCESHEET AS AT March 31, 2007-final_IbullsSales_3103 V2" xfId="9625" xr:uid="{00000000-0005-0000-0000-000099250000}"/>
    <cellStyle name="_IHFL BALANCESHEET AS AT March 31, 2007-final_IbullsSales_3103 V5" xfId="9626" xr:uid="{00000000-0005-0000-0000-00009A250000}"/>
    <cellStyle name="_IHFL BALANCESHEET AS AT March 31, 2007-final_ICAL-BS Final Working _New format" xfId="9627" xr:uid="{00000000-0005-0000-0000-00009B250000}"/>
    <cellStyle name="_IHFL BALANCESHEET AS AT March 31, 2007-final_ICL_BS_30.06.2009" xfId="9628" xr:uid="{00000000-0005-0000-0000-00009C250000}"/>
    <cellStyle name="_IHFL BALANCESHEET AS AT March 31, 2007-final_ICPL_BS_31.03.2009_new" xfId="9629" xr:uid="{00000000-0005-0000-0000-00009D250000}"/>
    <cellStyle name="_IHFL BALANCESHEET AS AT March 31, 2007-final_ICPL_BS_31.03.2009_new_ISL__3CD_FY2010-11" xfId="9630" xr:uid="{00000000-0005-0000-0000-00009E250000}"/>
    <cellStyle name="_IHFL BALANCESHEET AS AT March 31, 2007-final_IFCPL 31 03 2010 VER6 Final" xfId="9631" xr:uid="{00000000-0005-0000-0000-00009F250000}"/>
    <cellStyle name="_IHFL BALANCESHEET AS AT March 31, 2007-final_IHFL_SEP_30_2009 XIII AUDIT- Sch II" xfId="9632" xr:uid="{00000000-0005-0000-0000-0000A0250000}"/>
    <cellStyle name="_IHFL BALANCESHEET AS AT March 31, 2007-final_IIAL 31.03.2010 VER2" xfId="9633" xr:uid="{00000000-0005-0000-0000-0000A1250000}"/>
    <cellStyle name="_IHFL BALANCESHEET AS AT March 31, 2007-final_IICL_March'11" xfId="9634" xr:uid="{00000000-0005-0000-0000-0000A2250000}"/>
    <cellStyle name="_IHFL BALANCESHEET AS AT March 31, 2007-final_Indiabulls Asset Management Company Limited printable" xfId="9635" xr:uid="{00000000-0005-0000-0000-0000A3250000}"/>
    <cellStyle name="_IHFL BALANCESHEET AS AT March 31, 2007-final_ISL_March_08_09.final_11.12.2009" xfId="9636" xr:uid="{00000000-0005-0000-0000-0000A4250000}"/>
    <cellStyle name="_IHFL BALANCESHEET AS AT March 31, 2007-final_ISL_March_08_09.final_11.12.2009_ISL__3CD_FY2010-11" xfId="9637" xr:uid="{00000000-0005-0000-0000-0000A5250000}"/>
    <cellStyle name="_IHFL BALANCESHEET AS AT March 31, 2007-final_ITCL_BS working _New format_31.03 V7" xfId="9638" xr:uid="{00000000-0005-0000-0000-0000A6250000}"/>
    <cellStyle name="_IHFL BALANCESHEET AS AT March 31, 2007-final_ITCL-New format_31.03 V6" xfId="9639" xr:uid="{00000000-0005-0000-0000-0000A7250000}"/>
    <cellStyle name="_IHFL BALANCESHEET AS AT March 31, 2007-final_NFCL working file" xfId="9640" xr:uid="{00000000-0005-0000-0000-0000A8250000}"/>
    <cellStyle name="_IHFL BALANCESHEET AS AT March 31, 2007-final_NFCL_ Tax Audit Report FY08-09 " xfId="9641" xr:uid="{00000000-0005-0000-0000-0000A9250000}"/>
    <cellStyle name="_IHFL BALANCESHEET AS AT March 31, 2007-final_Tax Audit Report  F.Y.08-09" xfId="9642" xr:uid="{00000000-0005-0000-0000-0000AA250000}"/>
    <cellStyle name="_IHFL BALANCESHEET AS AT March 31, 2007-final_Tax Audit Report  ICSL F.Y.09-10" xfId="9643" xr:uid="{00000000-0005-0000-0000-0000AB250000}"/>
    <cellStyle name="_IHFL BALANCESHEET AS AT March 31, 2007-final_Xl0000013" xfId="9644" xr:uid="{00000000-0005-0000-0000-0000AC250000}"/>
    <cellStyle name="_IHFL Balancesheet as at sep 30th 2007 revised as on 08-10-2007 final" xfId="9645" xr:uid="{00000000-0005-0000-0000-0000AD250000}"/>
    <cellStyle name="_IHFL Balancesheet as at sep 30th 2007 revised as on 08-10-2007 final 2" xfId="9646" xr:uid="{00000000-0005-0000-0000-0000AE250000}"/>
    <cellStyle name="_IHFL Balancesheet as at sep 30th 2007 revised as on 08-10-2007 final_Advance Tax Format_F.Y. 2010-11" xfId="9647" xr:uid="{00000000-0005-0000-0000-0000AF250000}"/>
    <cellStyle name="_IHFL Balancesheet as at sep 30th 2007 revised as on 08-10-2007 final_Asset Management Company Limited" xfId="9648" xr:uid="{00000000-0005-0000-0000-0000B0250000}"/>
    <cellStyle name="_IHFL Balancesheet as at sep 30th 2007 revised as on 08-10-2007 final_BS _IB Asset Management _3103_ver5" xfId="9649" xr:uid="{00000000-0005-0000-0000-0000B1250000}"/>
    <cellStyle name="_IHFL Balancesheet as at sep 30th 2007 revised as on 08-10-2007 final_BS _IB Asset Management _3103_ver5_IAMCL BS working -New format_31.03 V5" xfId="9650" xr:uid="{00000000-0005-0000-0000-0000B2250000}"/>
    <cellStyle name="_IHFL Balancesheet as at sep 30th 2007 revised as on 08-10-2007 final_CRAR - dec- 10v-12" xfId="9651" xr:uid="{00000000-0005-0000-0000-0000B3250000}"/>
    <cellStyle name="_IHFL Balancesheet as at sep 30th 2007 revised as on 08-10-2007 final_CRAR - dec- 10v-12 2" xfId="9652" xr:uid="{00000000-0005-0000-0000-0000B4250000}"/>
    <cellStyle name="_IHFL Balancesheet as at sep 30th 2007 revised as on 08-10-2007 final_IAMCL BS working -New format_31.03 V5" xfId="9653" xr:uid="{00000000-0005-0000-0000-0000B5250000}"/>
    <cellStyle name="_IHFL Balancesheet as at sep 30th 2007 revised as on 08-10-2007 final_IB Asset Management _2910" xfId="9654" xr:uid="{00000000-0005-0000-0000-0000B6250000}"/>
    <cellStyle name="_IHFL Balancesheet as at sep 30th 2007 revised as on 08-10-2007 final_IB Asset Management _2910_IB Collection Agency_3103 V3" xfId="9655" xr:uid="{00000000-0005-0000-0000-0000B7250000}"/>
    <cellStyle name="_IHFL Balancesheet as at sep 30th 2007 revised as on 08-10-2007 final_IB Asset Management _2910_IB Collection Agency_3103 V3_ICAL-New Format_31.03 V4" xfId="9656" xr:uid="{00000000-0005-0000-0000-0000B8250000}"/>
    <cellStyle name="_IHFL Balancesheet as at sep 30th 2007 revised as on 08-10-2007 final_IB Asset Management _2910_ICAL-BS Final Working _New format" xfId="9657" xr:uid="{00000000-0005-0000-0000-0000B9250000}"/>
    <cellStyle name="_IHFL Balancesheet as at sep 30th 2007 revised as on 08-10-2007 final_IB Asset Management _3103_ver5" xfId="9658" xr:uid="{00000000-0005-0000-0000-0000BA250000}"/>
    <cellStyle name="_IHFL Balancesheet as at sep 30th 2007 revised as on 08-10-2007 final_IB Asset Management_3103 V2" xfId="9659" xr:uid="{00000000-0005-0000-0000-0000BB250000}"/>
    <cellStyle name="_IHFL Balancesheet as at sep 30th 2007 revised as on 08-10-2007 final_IB Asset Management_3103 V4" xfId="9660" xr:uid="{00000000-0005-0000-0000-0000BC250000}"/>
    <cellStyle name="_IHFL Balancesheet as at sep 30th 2007 revised as on 08-10-2007 final_IB Asset Management_3103 V5" xfId="9661" xr:uid="{00000000-0005-0000-0000-0000BD250000}"/>
    <cellStyle name="_IHFL Balancesheet as at sep 30th 2007 revised as on 08-10-2007 final_IB Collection Agency_3103 V3" xfId="9662" xr:uid="{00000000-0005-0000-0000-0000BE250000}"/>
    <cellStyle name="_IHFL Balancesheet as at sep 30th 2007 revised as on 08-10-2007 final_IB Collection Agency_3103 V3_ICAL-New Format_31.03 V4" xfId="9663" xr:uid="{00000000-0005-0000-0000-0000BF250000}"/>
    <cellStyle name="_IHFL Balancesheet as at sep 30th 2007 revised as on 08-10-2007 final_IB Infrastructure Credit" xfId="9664" xr:uid="{00000000-0005-0000-0000-0000C0250000}"/>
    <cellStyle name="_IHFL Balancesheet as at sep 30th 2007 revised as on 08-10-2007 final_IB Infrastructure Credit-3103_V6" xfId="9665" xr:uid="{00000000-0005-0000-0000-0000C1250000}"/>
    <cellStyle name="_IHFL Balancesheet as at sep 30th 2007 revised as on 08-10-2007 final_IB Infrastructure Credit-3103_V7" xfId="9666" xr:uid="{00000000-0005-0000-0000-0000C2250000}"/>
    <cellStyle name="_IHFL Balancesheet as at sep 30th 2007 revised as on 08-10-2007 final_IB Life Insurance_3103 V4" xfId="9667" xr:uid="{00000000-0005-0000-0000-0000C3250000}"/>
    <cellStyle name="_IHFL Balancesheet as at sep 30th 2007 revised as on 08-10-2007 final_IB Trustee Company_3103 V4" xfId="9668" xr:uid="{00000000-0005-0000-0000-0000C4250000}"/>
    <cellStyle name="_IHFL Balancesheet as at sep 30th 2007 revised as on 08-10-2007 final_IBFSL_Conso_March_10_11" xfId="9669" xr:uid="{00000000-0005-0000-0000-0000C5250000}"/>
    <cellStyle name="_IHFL Balancesheet as at sep 30th 2007 revised as on 08-10-2007 final_IBLIC_BS  Final working -New_Format_31.03 V5" xfId="9670" xr:uid="{00000000-0005-0000-0000-0000C6250000}"/>
    <cellStyle name="_IHFL Balancesheet as at sep 30th 2007 revised as on 08-10-2007 final_Ibulls BS Final woirking -New format_31.03 V5" xfId="9671" xr:uid="{00000000-0005-0000-0000-0000C7250000}"/>
    <cellStyle name="_IHFL Balancesheet as at sep 30th 2007 revised as on 08-10-2007 final_IbullsSales_3103" xfId="9672" xr:uid="{00000000-0005-0000-0000-0000C8250000}"/>
    <cellStyle name="_IHFL Balancesheet as at sep 30th 2007 revised as on 08-10-2007 final_IbullsSales_3103 V2" xfId="9673" xr:uid="{00000000-0005-0000-0000-0000C9250000}"/>
    <cellStyle name="_IHFL Balancesheet as at sep 30th 2007 revised as on 08-10-2007 final_IbullsSales_3103 V5" xfId="9674" xr:uid="{00000000-0005-0000-0000-0000CA250000}"/>
    <cellStyle name="_IHFL Balancesheet as at sep 30th 2007 revised as on 08-10-2007 final_ICAL-BS Final Working _New format" xfId="9675" xr:uid="{00000000-0005-0000-0000-0000CB250000}"/>
    <cellStyle name="_IHFL Balancesheet as at sep 30th 2007 revised as on 08-10-2007 final_IHFL_SEP_30_2009 XIII AUDIT- Sch II" xfId="9676" xr:uid="{00000000-0005-0000-0000-0000CC250000}"/>
    <cellStyle name="_IHFL Balancesheet as at sep 30th 2007 revised as on 08-10-2007 final_IICL_March'11" xfId="9677" xr:uid="{00000000-0005-0000-0000-0000CD250000}"/>
    <cellStyle name="_IHFL Balancesheet as at sep 30th 2007 revised as on 08-10-2007 final_Indiabulls Asset Management Company Limited printable" xfId="9678" xr:uid="{00000000-0005-0000-0000-0000CE250000}"/>
    <cellStyle name="_IHFL Balancesheet as at sep 30th 2007 revised as on 08-10-2007 final_ITCL_BS working _New format_31.03 V7" xfId="9679" xr:uid="{00000000-0005-0000-0000-0000CF250000}"/>
    <cellStyle name="_IHFL Balancesheet as at sep 30th 2007 revised as on 08-10-2007 final_ITCL-New format_31.03 V6" xfId="9680" xr:uid="{00000000-0005-0000-0000-0000D0250000}"/>
    <cellStyle name="_IHFL Balancesheet as at sep 30th 2007 revised as on 08-10-2007 final_NFCL working file" xfId="9681" xr:uid="{00000000-0005-0000-0000-0000D1250000}"/>
    <cellStyle name="_IHFL Balancesheet as at sep 30th 2007 revised as on 08-10-2007 final_NFCL_ Tax Audit Report FY08-09 " xfId="9682" xr:uid="{00000000-0005-0000-0000-0000D2250000}"/>
    <cellStyle name="_IHFL Balancesheet as at sep 30th 2007 revised as on 08-10-2007 final_Tax Audit Report  F.Y.08-09" xfId="9683" xr:uid="{00000000-0005-0000-0000-0000D3250000}"/>
    <cellStyle name="_IHFL Balancesheet as at sep 30th 2007 revised as on 08-10-2007 final_Tax Audit Report  ICSL F.Y.09-10" xfId="9684" xr:uid="{00000000-0005-0000-0000-0000D4250000}"/>
    <cellStyle name="_IHFL Balancesheet as at sep 30th 2007 revised as on 08-10-2007 final_Xl0000013" xfId="9685" xr:uid="{00000000-0005-0000-0000-0000D5250000}"/>
    <cellStyle name="_IHFL computaiton 31st Mar09" xfId="9686" xr:uid="{00000000-0005-0000-0000-0000D6250000}"/>
    <cellStyle name="_IHFL computaiton 31st Mar09 2" xfId="9687" xr:uid="{00000000-0005-0000-0000-0000D7250000}"/>
    <cellStyle name="_IHFL computaiton 31st Mar09_Advance Tax Format_F.Y. 2010-11" xfId="9688" xr:uid="{00000000-0005-0000-0000-0000D8250000}"/>
    <cellStyle name="_IHFL computaiton 31st Mar09_CRAR - dec- 10v-12" xfId="9689" xr:uid="{00000000-0005-0000-0000-0000D9250000}"/>
    <cellStyle name="_IHFL computaiton 31st Mar09_CRAR - dec- 10v-12 2" xfId="9690" xr:uid="{00000000-0005-0000-0000-0000DA250000}"/>
    <cellStyle name="_IHFL computaiton 31st Mar09_IBFSL_Conso_March_10_11" xfId="9691" xr:uid="{00000000-0005-0000-0000-0000DB250000}"/>
    <cellStyle name="_IHFL computaiton 31st Mar09_IHFL_SEP_30_2009 XIII AUDIT- Sch II" xfId="9692" xr:uid="{00000000-0005-0000-0000-0000DC250000}"/>
    <cellStyle name="_IHFL computaiton 31st Mar09_Xl0000013" xfId="9693" xr:uid="{00000000-0005-0000-0000-0000DD250000}"/>
    <cellStyle name="_IHFL DELINQUENCY (3)" xfId="9694" xr:uid="{00000000-0005-0000-0000-0000DE250000}"/>
    <cellStyle name="_IHFL DELINQUENCY (3) 2" xfId="9695" xr:uid="{00000000-0005-0000-0000-0000DF250000}"/>
    <cellStyle name="_IHFL DELINQUENCY (3)_Details of Assets &amp; Liablilities" xfId="9696" xr:uid="{00000000-0005-0000-0000-0000E0250000}"/>
    <cellStyle name="_IHFL DELINQUENCY (3)_Details of Assets &amp; Liablilities 2" xfId="9697" xr:uid="{00000000-0005-0000-0000-0000E1250000}"/>
    <cellStyle name="_IHFL DELINQUENCY (3)_Details of Assets &amp; Liablilities 3" xfId="9698" xr:uid="{00000000-0005-0000-0000-0000E2250000}"/>
    <cellStyle name="_IHFL DELINQUENCY (3)_IBL_09.12.2009" xfId="9699" xr:uid="{00000000-0005-0000-0000-0000E3250000}"/>
    <cellStyle name="_IHFL DELINQUENCY (3)_IBL_09.12.2009 2" xfId="9700" xr:uid="{00000000-0005-0000-0000-0000E4250000}"/>
    <cellStyle name="_IHFL DELINQUENCY (3)_ICL_22 12 2009" xfId="9701" xr:uid="{00000000-0005-0000-0000-0000E5250000}"/>
    <cellStyle name="_IHFL DELINQUENCY (3)_ICL_22 12 2009 2" xfId="9702" xr:uid="{00000000-0005-0000-0000-0000E6250000}"/>
    <cellStyle name="_IHFL DELINQUENCY (3)_Indiabulls Asset Management Company Limited printable" xfId="9703" xr:uid="{00000000-0005-0000-0000-0000E7250000}"/>
    <cellStyle name="_IHFL Exp.(Neha)" xfId="9704" xr:uid="{00000000-0005-0000-0000-0000E8250000}"/>
    <cellStyle name="_IHFL Exp.(Neha)_IHFL_September_30_2010 VERSION 10" xfId="9705" xr:uid="{00000000-0005-0000-0000-0000E9250000}"/>
    <cellStyle name="_IHFL Expenses (jitendra)" xfId="9706" xr:uid="{00000000-0005-0000-0000-0000EA250000}"/>
    <cellStyle name="_IHFL Expenses (jitendra)_IHFL_September_30_2010 VERSION 10" xfId="9707" xr:uid="{00000000-0005-0000-0000-0000EB250000}"/>
    <cellStyle name="_IHFL MNYL July'08 UPTO RSM &amp; RCM" xfId="9708" xr:uid="{00000000-0005-0000-0000-0000EC250000}"/>
    <cellStyle name="_IHFL MNYL July'08 UPTO RSM &amp; RCM 2" xfId="9709" xr:uid="{00000000-0005-0000-0000-0000ED250000}"/>
    <cellStyle name="_IHFL PROVISION for Feb'09" xfId="9710" xr:uid="{00000000-0005-0000-0000-0000EE250000}"/>
    <cellStyle name="_ihfl provision_march09" xfId="9711" xr:uid="{00000000-0005-0000-0000-0000EF250000}"/>
    <cellStyle name="_ihfl provision_march09 2" xfId="9712" xr:uid="{00000000-0005-0000-0000-0000F0250000}"/>
    <cellStyle name="_IHFL REF FEE UPTO28.02.2009" xfId="9713" xr:uid="{00000000-0005-0000-0000-0000F1250000}"/>
    <cellStyle name="_IHFL REF FEE UPTO28.02.2009 2" xfId="9714" xr:uid="{00000000-0005-0000-0000-0000F2250000}"/>
    <cellStyle name="_IHFL Sales Executive Incentive Aug'2008" xfId="9715" xr:uid="{00000000-0005-0000-0000-0000F3250000}"/>
    <cellStyle name="_IHFL Sales Executive Incentive Aug'2008 2" xfId="9716" xr:uid="{00000000-0005-0000-0000-0000F4250000}"/>
    <cellStyle name="_IHFL Sales Executive Incentive June'2008" xfId="9717" xr:uid="{00000000-0005-0000-0000-0000F5250000}"/>
    <cellStyle name="_IHFL Sales Executive Incentive June'2008 2" xfId="9718" xr:uid="{00000000-0005-0000-0000-0000F6250000}"/>
    <cellStyle name="_IHFL Sales Executive Incentive Sep'2008" xfId="9719" xr:uid="{00000000-0005-0000-0000-0000F7250000}"/>
    <cellStyle name="_IHFL Sales Executive Incentive Sep'2008 2" xfId="9720" xr:uid="{00000000-0005-0000-0000-0000F8250000}"/>
    <cellStyle name="_IHFL SEP_092706sep FINAL1" xfId="9721" xr:uid="{00000000-0005-0000-0000-0000F9250000}"/>
    <cellStyle name="_IHFL SEP_092706sep FINAL1 2" xfId="9722" xr:uid="{00000000-0005-0000-0000-0000FA250000}"/>
    <cellStyle name="_IHFL SEP_092706sep FINAL1 3" xfId="9723" xr:uid="{00000000-0005-0000-0000-0000FB250000}"/>
    <cellStyle name="_IHFL SEP_092706sep FINAL1_Advance Tax Format_F.Y. 2010-11" xfId="9724" xr:uid="{00000000-0005-0000-0000-0000FC250000}"/>
    <cellStyle name="_IHFL SEP_092706sep FINAL1_Asset Management Company Limited" xfId="9725" xr:uid="{00000000-0005-0000-0000-0000FD250000}"/>
    <cellStyle name="_IHFL SEP_092706sep FINAL1_Book1" xfId="9726" xr:uid="{00000000-0005-0000-0000-0000FE250000}"/>
    <cellStyle name="_IHFL SEP_092706sep FINAL1_BS _IB Asset Management _3103_ver5" xfId="9727" xr:uid="{00000000-0005-0000-0000-0000FF250000}"/>
    <cellStyle name="_IHFL SEP_092706sep FINAL1_BS _IB Asset Management _3103_ver5_IAMCL BS working -New format_31.03 V5" xfId="9728" xr:uid="{00000000-0005-0000-0000-000000260000}"/>
    <cellStyle name="_IHFL SEP_092706sep FINAL1_CRAR - dec- 10v-12" xfId="9729" xr:uid="{00000000-0005-0000-0000-000001260000}"/>
    <cellStyle name="_IHFL SEP_092706sep FINAL1_CRAR - dec- 10v-12 2" xfId="9730" xr:uid="{00000000-0005-0000-0000-000002260000}"/>
    <cellStyle name="_IHFL SEP_092706sep FINAL1_Detail of IPO funding" xfId="9731" xr:uid="{00000000-0005-0000-0000-000003260000}"/>
    <cellStyle name="_IHFL SEP_092706sep FINAL1_Details of Assets &amp; Liablilities" xfId="9732" xr:uid="{00000000-0005-0000-0000-000004260000}"/>
    <cellStyle name="_IHFL SEP_092706sep FINAL1_IAMCL BS working -New format_31.03 V5" xfId="9733" xr:uid="{00000000-0005-0000-0000-000005260000}"/>
    <cellStyle name="_IHFL SEP_092706sep FINAL1_IB Asset Management _2910" xfId="9734" xr:uid="{00000000-0005-0000-0000-000006260000}"/>
    <cellStyle name="_IHFL SEP_092706sep FINAL1_IB Asset Management _2910_IB Collection Agency_3103 V3" xfId="9735" xr:uid="{00000000-0005-0000-0000-000007260000}"/>
    <cellStyle name="_IHFL SEP_092706sep FINAL1_IB Asset Management _2910_IB Collection Agency_3103 V3_ICAL-New Format_31.03 V4" xfId="9736" xr:uid="{00000000-0005-0000-0000-000008260000}"/>
    <cellStyle name="_IHFL SEP_092706sep FINAL1_IB Asset Management _2910_ICAL-BS Final Working _New format" xfId="9737" xr:uid="{00000000-0005-0000-0000-000009260000}"/>
    <cellStyle name="_IHFL SEP_092706sep FINAL1_IB Asset Management _3103_ver5" xfId="9738" xr:uid="{00000000-0005-0000-0000-00000A260000}"/>
    <cellStyle name="_IHFL SEP_092706sep FINAL1_IB Asset Management_3103 V2" xfId="9739" xr:uid="{00000000-0005-0000-0000-00000B260000}"/>
    <cellStyle name="_IHFL SEP_092706sep FINAL1_IB Asset Management_3103 V4" xfId="9740" xr:uid="{00000000-0005-0000-0000-00000C260000}"/>
    <cellStyle name="_IHFL SEP_092706sep FINAL1_IB Asset Management_3103 V5" xfId="9741" xr:uid="{00000000-0005-0000-0000-00000D260000}"/>
    <cellStyle name="_IHFL SEP_092706sep FINAL1_IB Collection Agency_3103 V3" xfId="9742" xr:uid="{00000000-0005-0000-0000-00000E260000}"/>
    <cellStyle name="_IHFL SEP_092706sep FINAL1_IB Collection Agency_3103 V3_ICAL-New Format_31.03 V4" xfId="9743" xr:uid="{00000000-0005-0000-0000-00000F260000}"/>
    <cellStyle name="_IHFL SEP_092706sep FINAL1_IB Infrastructure Credit" xfId="9744" xr:uid="{00000000-0005-0000-0000-000010260000}"/>
    <cellStyle name="_IHFL SEP_092706sep FINAL1_IB Infrastructure Credit-3103_V6" xfId="9745" xr:uid="{00000000-0005-0000-0000-000011260000}"/>
    <cellStyle name="_IHFL SEP_092706sep FINAL1_IB Infrastructure Credit-3103_V7" xfId="9746" xr:uid="{00000000-0005-0000-0000-000012260000}"/>
    <cellStyle name="_IHFL SEP_092706sep FINAL1_IB Life Insurance_3103 V4" xfId="9747" xr:uid="{00000000-0005-0000-0000-000013260000}"/>
    <cellStyle name="_IHFL SEP_092706sep FINAL1_IB Trustee Company_3103 V4" xfId="9748" xr:uid="{00000000-0005-0000-0000-000014260000}"/>
    <cellStyle name="_IHFL SEP_092706sep FINAL1_IBFSL 30 Sep 11 V8" xfId="9749" xr:uid="{00000000-0005-0000-0000-000015260000}"/>
    <cellStyle name="_IHFL SEP_092706sep FINAL1_IBFSL_Conso_March_10_11" xfId="9750" xr:uid="{00000000-0005-0000-0000-000016260000}"/>
    <cellStyle name="_IHFL SEP_092706sep FINAL1_IBLIC_BS  Final working -New_Format_31.03 V5" xfId="9751" xr:uid="{00000000-0005-0000-0000-000017260000}"/>
    <cellStyle name="_IHFL SEP_092706sep FINAL1_Ibulls BS Final woirking -New format_31.03 V5" xfId="9752" xr:uid="{00000000-0005-0000-0000-000018260000}"/>
    <cellStyle name="_IHFL SEP_092706sep FINAL1_IbullsSales_3103" xfId="9753" xr:uid="{00000000-0005-0000-0000-000019260000}"/>
    <cellStyle name="_IHFL SEP_092706sep FINAL1_IbullsSales_3103 V2" xfId="9754" xr:uid="{00000000-0005-0000-0000-00001A260000}"/>
    <cellStyle name="_IHFL SEP_092706sep FINAL1_IbullsSales_3103 V5" xfId="9755" xr:uid="{00000000-0005-0000-0000-00001B260000}"/>
    <cellStyle name="_IHFL SEP_092706sep FINAL1_ICAL-BS Final Working _New format" xfId="9756" xr:uid="{00000000-0005-0000-0000-00001C260000}"/>
    <cellStyle name="_IHFL SEP_092706sep FINAL1_ICL_BS_30.06.2009" xfId="9757" xr:uid="{00000000-0005-0000-0000-00001D260000}"/>
    <cellStyle name="_IHFL SEP_092706sep FINAL1_ICPL_BS_31.03.2009_new" xfId="9758" xr:uid="{00000000-0005-0000-0000-00001E260000}"/>
    <cellStyle name="_IHFL SEP_092706sep FINAL1_ICPL_BS_31.03.2009_new_ISL__3CD_FY2010-11" xfId="9759" xr:uid="{00000000-0005-0000-0000-00001F260000}"/>
    <cellStyle name="_IHFL SEP_092706sep FINAL1_IFCPL 31 03 2010 VER6 Final" xfId="9760" xr:uid="{00000000-0005-0000-0000-000020260000}"/>
    <cellStyle name="_IHFL SEP_092706sep FINAL1_IHFL_SEP_30_2009 XIII AUDIT- Sch II" xfId="9761" xr:uid="{00000000-0005-0000-0000-000021260000}"/>
    <cellStyle name="_IHFL SEP_092706sep FINAL1_IIAL 31.03.2010 VER2" xfId="9762" xr:uid="{00000000-0005-0000-0000-000022260000}"/>
    <cellStyle name="_IHFL SEP_092706sep FINAL1_IICL_March'11" xfId="9763" xr:uid="{00000000-0005-0000-0000-000023260000}"/>
    <cellStyle name="_IHFL SEP_092706sep FINAL1_Indiabulls Asset Management Company Limited printable" xfId="9764" xr:uid="{00000000-0005-0000-0000-000024260000}"/>
    <cellStyle name="_IHFL SEP_092706sep FINAL1_ISL_March_08_09.final_11.12.2009" xfId="9765" xr:uid="{00000000-0005-0000-0000-000025260000}"/>
    <cellStyle name="_IHFL SEP_092706sep FINAL1_ISL_March_08_09.final_11.12.2009_ISL__3CD_FY2010-11" xfId="9766" xr:uid="{00000000-0005-0000-0000-000026260000}"/>
    <cellStyle name="_IHFL SEP_092706sep FINAL1_ITCL_BS working _New format_31.03 V7" xfId="9767" xr:uid="{00000000-0005-0000-0000-000027260000}"/>
    <cellStyle name="_IHFL SEP_092706sep FINAL1_ITCL-New format_31.03 V6" xfId="9768" xr:uid="{00000000-0005-0000-0000-000028260000}"/>
    <cellStyle name="_IHFL SEP_092706sep FINAL1_NFCL working file" xfId="9769" xr:uid="{00000000-0005-0000-0000-000029260000}"/>
    <cellStyle name="_IHFL SEP_092706sep FINAL1_NFCL_ Tax Audit Report FY08-09 " xfId="9770" xr:uid="{00000000-0005-0000-0000-00002A260000}"/>
    <cellStyle name="_IHFL SEP_092706sep FINAL1_Tax Audit Report  F.Y.08-09" xfId="9771" xr:uid="{00000000-0005-0000-0000-00002B260000}"/>
    <cellStyle name="_IHFL SEP_092706sep FINAL1_Tax Audit Report  ICSL F.Y.09-10" xfId="9772" xr:uid="{00000000-0005-0000-0000-00002C260000}"/>
    <cellStyle name="_IHFL SEP_092706sep FINAL1_Xl0000013" xfId="9773" xr:uid="{00000000-0005-0000-0000-00002D260000}"/>
    <cellStyle name="_IHFL_36_deduction" xfId="9774" xr:uid="{00000000-0005-0000-0000-00002E260000}"/>
    <cellStyle name="_IHFL_36_deduction 2" xfId="9775" xr:uid="{00000000-0005-0000-0000-00002F260000}"/>
    <cellStyle name="_IHFL_36_deduction_Indiabulls Asset Management Company Limited printable" xfId="9776" xr:uid="{00000000-0005-0000-0000-000030260000}"/>
    <cellStyle name="_IHFL_Aug_06" xfId="9777" xr:uid="{00000000-0005-0000-0000-000031260000}"/>
    <cellStyle name="_IHFL_Aug_06_BS _IB Asset Management _3103_ver5" xfId="9778" xr:uid="{00000000-0005-0000-0000-000032260000}"/>
    <cellStyle name="_IHFL_Aug_06_BS _IB Asset Management _3103_ver5_IAMCL BS working -New format_31.03 V5" xfId="9779" xr:uid="{00000000-0005-0000-0000-000033260000}"/>
    <cellStyle name="_IHFL_Aug_06_IAMCL BS working -New format_31.03 V5" xfId="9780" xr:uid="{00000000-0005-0000-0000-000034260000}"/>
    <cellStyle name="_IHFL_Aug_06_IB Asset Management _2910" xfId="9781" xr:uid="{00000000-0005-0000-0000-000035260000}"/>
    <cellStyle name="_IHFL_Aug_06_IB Asset Management _2910_IB Collection Agency_3103 V3" xfId="9782" xr:uid="{00000000-0005-0000-0000-000036260000}"/>
    <cellStyle name="_IHFL_Aug_06_IB Asset Management _2910_IB Collection Agency_3103 V3_ICAL-New Format_31.03 V4" xfId="9783" xr:uid="{00000000-0005-0000-0000-000037260000}"/>
    <cellStyle name="_IHFL_Aug_06_IB Asset Management _2910_ICAL-BS Final Working _New format" xfId="9784" xr:uid="{00000000-0005-0000-0000-000038260000}"/>
    <cellStyle name="_IHFL_Aug_06_IB Asset Management_3103 V5" xfId="9785" xr:uid="{00000000-0005-0000-0000-000039260000}"/>
    <cellStyle name="_IHFL_Aug_06_IB Collection Agency_3103 V3" xfId="9786" xr:uid="{00000000-0005-0000-0000-00003A260000}"/>
    <cellStyle name="_IHFL_Aug_06_IB Collection Agency_3103 V3_ICAL-New Format_31.03 V4" xfId="9787" xr:uid="{00000000-0005-0000-0000-00003B260000}"/>
    <cellStyle name="_IHFL_Aug_06_Ibulls BS Final woirking -New format_31.03 V5" xfId="9788" xr:uid="{00000000-0005-0000-0000-00003C260000}"/>
    <cellStyle name="_IHFL_Aug_06_IbullsSales_3103 V5" xfId="9789" xr:uid="{00000000-0005-0000-0000-00003D260000}"/>
    <cellStyle name="_IHFL_Aug_06_ICAL-BS Final Working _New format" xfId="9790" xr:uid="{00000000-0005-0000-0000-00003E260000}"/>
    <cellStyle name="_IHFL_Aug_06_Indiabulls Asset Management Company Limited printable" xfId="9791" xr:uid="{00000000-0005-0000-0000-00003F260000}"/>
    <cellStyle name="_IHFL_Aug_06_Xl0000013" xfId="9792" xr:uid="{00000000-0005-0000-0000-000040260000}"/>
    <cellStyle name="_IHFL_Dec_23_2008" xfId="9793" xr:uid="{00000000-0005-0000-0000-000041260000}"/>
    <cellStyle name="_IHFL_Dec_23_2008_Xl0000013" xfId="9794" xr:uid="{00000000-0005-0000-0000-000042260000}"/>
    <cellStyle name="_IHFL_Mar_05_06" xfId="9795" xr:uid="{00000000-0005-0000-0000-000043260000}"/>
    <cellStyle name="_IHFL_NOV_30_2009 version 2 AFTER PROVISIONS_CAR" xfId="9796" xr:uid="{00000000-0005-0000-0000-000044260000}"/>
    <cellStyle name="_IHFL-ICICI DEAL3-DPC" xfId="9797" xr:uid="{00000000-0005-0000-0000-000045260000}"/>
    <cellStyle name="_IHFL-ICICI DEAL3-DPC 2" xfId="9798" xr:uid="{00000000-0005-0000-0000-000046260000}"/>
    <cellStyle name="_IHFL-ICICI DEAL3-DPC_Indiabulls Asset Management Company Limited printable" xfId="9799" xr:uid="{00000000-0005-0000-0000-000047260000}"/>
    <cellStyle name="_IIAP March0708" xfId="9800" xr:uid="{00000000-0005-0000-0000-000048260000}"/>
    <cellStyle name="_IIAPL 10.03.2006" xfId="9801" xr:uid="{00000000-0005-0000-0000-000049260000}"/>
    <cellStyle name="_IIAPL 10.03.2006 2" xfId="9802" xr:uid="{00000000-0005-0000-0000-00004A260000}"/>
    <cellStyle name="_IIAPL 10.03.2006 2 2" xfId="9803" xr:uid="{00000000-0005-0000-0000-00004B260000}"/>
    <cellStyle name="_IIAPL 10.03.2006 3" xfId="9804" xr:uid="{00000000-0005-0000-0000-00004C260000}"/>
    <cellStyle name="_IIAPL 10.03.2006_269SS &amp; T IIAPL 09-10" xfId="9805" xr:uid="{00000000-0005-0000-0000-00004D260000}"/>
    <cellStyle name="_IIAPL 10.03.2006_Abstract-2007-08" xfId="9806" xr:uid="{00000000-0005-0000-0000-00004E260000}"/>
    <cellStyle name="_IIAPL 10.03.2006_Abstract-2007-08 2" xfId="9807" xr:uid="{00000000-0005-0000-0000-00004F260000}"/>
    <cellStyle name="_IIAPL 10.03.2006_Advance Tax Format_F.Y. 2010-11" xfId="9808" xr:uid="{00000000-0005-0000-0000-000050260000}"/>
    <cellStyle name="_IIAPL 10.03.2006_Advance Tax Sophia Jun 09" xfId="9809" xr:uid="{00000000-0005-0000-0000-000051260000}"/>
    <cellStyle name="_IIAPL 10.03.2006_Asset Management Company Limited" xfId="9810" xr:uid="{00000000-0005-0000-0000-000052260000}"/>
    <cellStyle name="_IIAPL 10.03.2006_Base File For Segment" xfId="9811" xr:uid="{00000000-0005-0000-0000-000053260000}"/>
    <cellStyle name="_IIAPL 10.03.2006_Book1" xfId="9812" xr:uid="{00000000-0005-0000-0000-000054260000}"/>
    <cellStyle name="_IIAPL 10.03.2006_Book1 (2)" xfId="9813" xr:uid="{00000000-0005-0000-0000-000055260000}"/>
    <cellStyle name="_IIAPL 10.03.2006_Book1 (2) 2" xfId="9814" xr:uid="{00000000-0005-0000-0000-000056260000}"/>
    <cellStyle name="_IIAPL 10.03.2006_Bracond Balance Sheet  PL_301108_krishanu" xfId="9815" xr:uid="{00000000-0005-0000-0000-000057260000}"/>
    <cellStyle name="_IIAPL 10.03.2006_BS _IB Asset Management _3103_ver5" xfId="9816" xr:uid="{00000000-0005-0000-0000-000058260000}"/>
    <cellStyle name="_IIAPL 10.03.2006_BS _IB Asset Management _3103_ver5_IAMCL BS working -New format_31.03 V5" xfId="9817" xr:uid="{00000000-0005-0000-0000-000059260000}"/>
    <cellStyle name="_IIAPL 10.03.2006_CCL_3353_2007-08" xfId="9818" xr:uid="{00000000-0005-0000-0000-00005A260000}"/>
    <cellStyle name="_IIAPL 10.03.2006_ChlorisProperties_3351_Dec.08" xfId="9819" xr:uid="{00000000-0005-0000-0000-00005B260000}"/>
    <cellStyle name="_IIAPL 10.03.2006_Consol Balance Sheet_Sophia_Dec08_Ibrel_1.3" xfId="9820" xr:uid="{00000000-0005-0000-0000-00005C260000}"/>
    <cellStyle name="_IIAPL 10.03.2006_CRAR - dec- 10v-12" xfId="9821" xr:uid="{00000000-0005-0000-0000-00005D260000}"/>
    <cellStyle name="_IIAPL 10.03.2006_CRAR - dec- 10v-12 2" xfId="9822" xr:uid="{00000000-0005-0000-0000-00005E260000}"/>
    <cellStyle name="_IIAPL 10.03.2006_detail (2)" xfId="9823" xr:uid="{00000000-0005-0000-0000-00005F260000}"/>
    <cellStyle name="_IIAPL 10.03.2006_Detail of IPO funding" xfId="9824" xr:uid="{00000000-0005-0000-0000-000060260000}"/>
    <cellStyle name="_IIAPL 10.03.2006_Details" xfId="9825" xr:uid="{00000000-0005-0000-0000-000061260000}"/>
    <cellStyle name="_IIAPL 10.03.2006_Entries Passed in Conso for profit on sale of invRevised 30.07.08" xfId="9826" xr:uid="{00000000-0005-0000-0000-000062260000}"/>
    <cellStyle name="_IIAPL 10.03.2006_Entries Passed in Conso for profit on sale of invRevised 30.07.08 2" xfId="9827" xr:uid="{00000000-0005-0000-0000-000063260000}"/>
    <cellStyle name="_IIAPL 10.03.2006_Entries Passed in Conso for profit on sale of invRevised 30.07.08_IREL_3000_08-09" xfId="9828" xr:uid="{00000000-0005-0000-0000-000064260000}"/>
    <cellStyle name="_IIAPL 10.03.2006_Entries Passed in Conso for profit on sale of invRevised 30.07.08_IREL_3000_08-09 2" xfId="9829" xr:uid="{00000000-0005-0000-0000-000065260000}"/>
    <cellStyle name="_IIAPL 10.03.2006_Entries Passed in Conso for profit on sale of invRevised 30.07.08_IREL_3000_08-09 2 2" xfId="9830" xr:uid="{00000000-0005-0000-0000-000066260000}"/>
    <cellStyle name="_IIAPL 10.03.2006_Entries Passed in Conso for profit on sale of invRevised 30.07.08_IREL_3000_08-09 3" xfId="9831" xr:uid="{00000000-0005-0000-0000-000067260000}"/>
    <cellStyle name="_IIAPL 10.03.2006_Entries Passed in Conso for profit on sale of invRevised 30.07.08_IREL_3000_08-09 stage 3" xfId="9832" xr:uid="{00000000-0005-0000-0000-000068260000}"/>
    <cellStyle name="_IIAPL 10.03.2006_Entries Passed in Conso for profit on sale of invRevised 30.07.08_IREL_3000_08-09 stage 3 2" xfId="9833" xr:uid="{00000000-0005-0000-0000-000069260000}"/>
    <cellStyle name="_IIAPL 10.03.2006_Entries Passed in Conso for profit on sale of invRevised 30.07.08_IREL_3000_08-09 stage 3_IREL_3000_08-09" xfId="9834" xr:uid="{00000000-0005-0000-0000-00006A260000}"/>
    <cellStyle name="_IIAPL 10.03.2006_Entries Passed in Conso for profit on sale of invRevised 30.07.08_IREL_3000_08-09 stage 3_IREL_3000_08-09 2" xfId="9835" xr:uid="{00000000-0005-0000-0000-00006B260000}"/>
    <cellStyle name="_IIAPL 10.03.2006_Entries Passed in Conso for profit on sale of invRevised 30.07.08_IREL_3000_08-09 stage 3_IREL_3000_08-09 2 2" xfId="9836" xr:uid="{00000000-0005-0000-0000-00006C260000}"/>
    <cellStyle name="_IIAPL 10.03.2006_Entries Passed in Conso for profit on sale of invRevised 30.07.08_IREL_3000_08-09 stage 3_IREL_3000_08-09 3" xfId="9837" xr:uid="{00000000-0005-0000-0000-00006D260000}"/>
    <cellStyle name="_IIAPL 10.03.2006_Entries Passed in Conso for profit on sale of invRevised 30.07.08_IREL_3000_08-09_IBREAL_BS PACK-Version.02" xfId="9838" xr:uid="{00000000-0005-0000-0000-00006E260000}"/>
    <cellStyle name="_IIAPL 10.03.2006_Entries Passed in Conso for profit on sale of invRevised 30.07.08_IREL_3000_08-09_IBREAL_BS PACK-Version.02 2" xfId="9839" xr:uid="{00000000-0005-0000-0000-00006F260000}"/>
    <cellStyle name="_IIAPL 10.03.2006_Entries Passed in Conso for profit on sale of invRevised 30.07.08_IREL_3000_08-09_IBREAL_BS PACK-Version.02 2 2" xfId="9840" xr:uid="{00000000-0005-0000-0000-000070260000}"/>
    <cellStyle name="_IIAPL 10.03.2006_Entries Passed in Conso for profit on sale of invRevised 30.07.08_IREL_3000_08-09_IBREAL_BS PACK-Version.02 3" xfId="9841" xr:uid="{00000000-0005-0000-0000-000071260000}"/>
    <cellStyle name="_IIAPL 10.03.2006_Entries Passed in Conso for profit on sale of invRevised 30.07.08_IREL_3000_08-09_IBREAL_BS PACK-Version.02_IBREAL_BS PACK-Version.03" xfId="9842" xr:uid="{00000000-0005-0000-0000-000072260000}"/>
    <cellStyle name="_IIAPL 10.03.2006_Entries Passed in Conso for profit on sale of invRevised 30.07.08_IREL_3000_08-09_IBREAL_BS PACK-Version.02_IBREAL_BS PACK-Version.03 2" xfId="9843" xr:uid="{00000000-0005-0000-0000-000073260000}"/>
    <cellStyle name="_IIAPL 10.03.2006_Entries Passed in Conso for profit on sale of invRevised 30.07.08_IREL_3000_08-09_IBREAL_BS PACK-Version.02_IBREAL_BS PACK-Version.03 2 2" xfId="9844" xr:uid="{00000000-0005-0000-0000-000074260000}"/>
    <cellStyle name="_IIAPL 10.03.2006_Entries Passed in Conso for profit on sale of invRevised 30.07.08_IREL_3000_08-09_IBREAL_BS PACK-Version.02_IBREAL_BS PACK-Version.03 3" xfId="9845" xr:uid="{00000000-0005-0000-0000-000075260000}"/>
    <cellStyle name="_IIAPL 10.03.2006_Entries Passed in Conso for profit on sale of invRevised 30.07.08_IREL_3000_08-09_IBREAL_BS PACK-Version.02_IBREAL_BS PACK-Version.03_IBREAL_BS PACK-Version.07" xfId="9846" xr:uid="{00000000-0005-0000-0000-000076260000}"/>
    <cellStyle name="_IIAPL 10.03.2006_Entries Passed in Conso for profit on sale of invRevised 30.07.08_IREL_3000_08-09_IBREAL_BS PACK-Version.02_IBREAL_BS PACK-Version.03_IBREAL_BS PACK-Version.07 2" xfId="9847" xr:uid="{00000000-0005-0000-0000-000077260000}"/>
    <cellStyle name="_IIAPL 10.03.2006_Entries Passed in Conso for profit on sale of invRevised 30.07.08_IREL_3000_08-09_IBREAL_BS PACK-Version.02_IBREAL_BS PACK-Version.03_IBREAL_BS PACK-Version.07 2 2" xfId="9848" xr:uid="{00000000-0005-0000-0000-000078260000}"/>
    <cellStyle name="_IIAPL 10.03.2006_Entries Passed in Conso for profit on sale of invRevised 30.07.08_IREL_3000_08-09_IBREAL_BS PACK-Version.02_IBREAL_BS PACK-Version.03_IBREAL_BS PACK-Version.07 3" xfId="9849" xr:uid="{00000000-0005-0000-0000-000079260000}"/>
    <cellStyle name="_IIAPL 10.03.2006_EPL_3346_2007-08(C)" xfId="9850" xr:uid="{00000000-0005-0000-0000-00007A260000}"/>
    <cellStyle name="_IIAPL 10.03.2006_FD Detail" xfId="9851" xr:uid="{00000000-0005-0000-0000-00007B260000}"/>
    <cellStyle name="_IIAPL 10.03.2006_FD Detail_Xl0000013" xfId="9852" xr:uid="{00000000-0005-0000-0000-00007C260000}"/>
    <cellStyle name="_IIAPL 10.03.2006_Final Consol Balance Sheet_Sophia_Dec08_27.01.08" xfId="9853" xr:uid="{00000000-0005-0000-0000-00007D260000}"/>
    <cellStyle name="_IIAPL 10.03.2006_Fixed Assets consolidated" xfId="9854" xr:uid="{00000000-0005-0000-0000-00007E260000}"/>
    <cellStyle name="_IIAPL 10.03.2006_IAMCL BS working -New format_31.03 V5" xfId="9855" xr:uid="{00000000-0005-0000-0000-00007F260000}"/>
    <cellStyle name="_IIAPL 10.03.2006_IB Asset Management _2910" xfId="9856" xr:uid="{00000000-0005-0000-0000-000080260000}"/>
    <cellStyle name="_IIAPL 10.03.2006_IB Asset Management _2910_IB Collection Agency_3103 V3" xfId="9857" xr:uid="{00000000-0005-0000-0000-000081260000}"/>
    <cellStyle name="_IIAPL 10.03.2006_IB Asset Management _2910_IB Collection Agency_3103 V3_ICAL-New Format_31.03 V4" xfId="9858" xr:uid="{00000000-0005-0000-0000-000082260000}"/>
    <cellStyle name="_IIAPL 10.03.2006_IB Asset Management _2910_ICAL-BS Final Working _New format" xfId="9859" xr:uid="{00000000-0005-0000-0000-000083260000}"/>
    <cellStyle name="_IIAPL 10.03.2006_IB Asset Management _3103_ver5" xfId="9860" xr:uid="{00000000-0005-0000-0000-000084260000}"/>
    <cellStyle name="_IIAPL 10.03.2006_IB Asset Management_3103 V2" xfId="9861" xr:uid="{00000000-0005-0000-0000-000085260000}"/>
    <cellStyle name="_IIAPL 10.03.2006_IB Asset Management_3103 V4" xfId="9862" xr:uid="{00000000-0005-0000-0000-000086260000}"/>
    <cellStyle name="_IIAPL 10.03.2006_IB Asset Management_3103 V5" xfId="9863" xr:uid="{00000000-0005-0000-0000-000087260000}"/>
    <cellStyle name="_IIAPL 10.03.2006_IB Collection Agency_3103 V3" xfId="9864" xr:uid="{00000000-0005-0000-0000-000088260000}"/>
    <cellStyle name="_IIAPL 10.03.2006_IB Collection Agency_3103 V3_ICAL-New Format_31.03 V4" xfId="9865" xr:uid="{00000000-0005-0000-0000-000089260000}"/>
    <cellStyle name="_IIAPL 10.03.2006_IB Infrastructure Credit" xfId="9866" xr:uid="{00000000-0005-0000-0000-00008A260000}"/>
    <cellStyle name="_IIAPL 10.03.2006_IB Infrastructure Credit-3103_V6" xfId="9867" xr:uid="{00000000-0005-0000-0000-00008B260000}"/>
    <cellStyle name="_IIAPL 10.03.2006_IB Infrastructure Credit-3103_V7" xfId="9868" xr:uid="{00000000-0005-0000-0000-00008C260000}"/>
    <cellStyle name="_IIAPL 10.03.2006_IB Life Insurance_3103 V4" xfId="9869" xr:uid="{00000000-0005-0000-0000-00008D260000}"/>
    <cellStyle name="_IIAPL 10.03.2006_IB Trustee Company_3103 V4" xfId="9870" xr:uid="{00000000-0005-0000-0000-00008E260000}"/>
    <cellStyle name="_IIAPL 10.03.2006_IBFSL 30 Sep 11 V8" xfId="9871" xr:uid="{00000000-0005-0000-0000-00008F260000}"/>
    <cellStyle name="_IIAPL 10.03.2006_IBFSL 31 May V1" xfId="9872" xr:uid="{00000000-0005-0000-0000-000090260000}"/>
    <cellStyle name="_IIAPL 10.03.2006_IBFSL 31 May V1_Xl0000013" xfId="9873" xr:uid="{00000000-0005-0000-0000-000091260000}"/>
    <cellStyle name="_IIAPL 10.03.2006_IBFSL_Conso_March_10_11" xfId="9874" xr:uid="{00000000-0005-0000-0000-000092260000}"/>
    <cellStyle name="_IIAPL 10.03.2006_IBLIC_BS  Final working -New_Format_31.03 V5" xfId="9875" xr:uid="{00000000-0005-0000-0000-000093260000}"/>
    <cellStyle name="_IIAPL 10.03.2006_Ibulls BS Final woirking -New format_31.03 V5" xfId="9876" xr:uid="{00000000-0005-0000-0000-000094260000}"/>
    <cellStyle name="_IIAPL 10.03.2006_IbullsSales_3103" xfId="9877" xr:uid="{00000000-0005-0000-0000-000095260000}"/>
    <cellStyle name="_IIAPL 10.03.2006_IbullsSales_3103 V2" xfId="9878" xr:uid="{00000000-0005-0000-0000-000096260000}"/>
    <cellStyle name="_IIAPL 10.03.2006_IbullsSales_3103 V5" xfId="9879" xr:uid="{00000000-0005-0000-0000-000097260000}"/>
    <cellStyle name="_IIAPL 10.03.2006_ICAL-BS Final Working _New format" xfId="9880" xr:uid="{00000000-0005-0000-0000-000098260000}"/>
    <cellStyle name="_IIAPL 10.03.2006_ICL_BS_30.06.2009" xfId="9881" xr:uid="{00000000-0005-0000-0000-000099260000}"/>
    <cellStyle name="_IIAPL 10.03.2006_ICPL_BS_31.03.2009_new" xfId="9882" xr:uid="{00000000-0005-0000-0000-00009A260000}"/>
    <cellStyle name="_IIAPL 10.03.2006_ICPL_BS_31.03.2009_new_ISL__3CD_FY2010-11" xfId="9883" xr:uid="{00000000-0005-0000-0000-00009B260000}"/>
    <cellStyle name="_IIAPL 10.03.2006_IDSL_31.03.2010" xfId="9884" xr:uid="{00000000-0005-0000-0000-00009C260000}"/>
    <cellStyle name="_IIAPL 10.03.2006_IFCPL 31 03 2010 VER6 Final" xfId="9885" xr:uid="{00000000-0005-0000-0000-00009D260000}"/>
    <cellStyle name="_IIAPL 10.03.2006_IHFL_Dec_23_2008" xfId="9886" xr:uid="{00000000-0005-0000-0000-00009E260000}"/>
    <cellStyle name="_IIAPL 10.03.2006_IHFL_Dec_23_2008_Xl0000013" xfId="9887" xr:uid="{00000000-0005-0000-0000-00009F260000}"/>
    <cellStyle name="_IIAPL 10.03.2006_IHFL_SEP_30_2009 XIII AUDIT- Sch II" xfId="9888" xr:uid="{00000000-0005-0000-0000-0000A0260000}"/>
    <cellStyle name="_IIAPL 10.03.2006_IIAL 31.03.2010 VER2" xfId="9889" xr:uid="{00000000-0005-0000-0000-0000A1260000}"/>
    <cellStyle name="_IIAPL 10.03.2006_IICL_March'11" xfId="9890" xr:uid="{00000000-0005-0000-0000-0000A2260000}"/>
    <cellStyle name="_IIAPL 10.03.2006_IIDL_3227_2008_09" xfId="9891" xr:uid="{00000000-0005-0000-0000-0000A3260000}"/>
    <cellStyle name="_IIAPL 10.03.2006_IIDL_3227_2008_09_Advance Tax Summary" xfId="9892" xr:uid="{00000000-0005-0000-0000-0000A4260000}"/>
    <cellStyle name="_IIAPL 10.03.2006_IIDL_3227_2008_09_Advance Tax Summary 2" xfId="9893" xr:uid="{00000000-0005-0000-0000-0000A5260000}"/>
    <cellStyle name="_IIAPL 10.03.2006_IIDL_3227_2008_09_ISL Group - Advance Tax working for 3rd Instalment" xfId="9894" xr:uid="{00000000-0005-0000-0000-0000A6260000}"/>
    <cellStyle name="_IIAPL 10.03.2006_IIDL_3227_2008_09_Xl0000013" xfId="9895" xr:uid="{00000000-0005-0000-0000-0000A7260000}"/>
    <cellStyle name="_IIAPL 10.03.2006_Indiabulls Asset Management Company Limited printable" xfId="9896" xr:uid="{00000000-0005-0000-0000-0000A8260000}"/>
    <cellStyle name="_IIAPL 10.03.2006_IREL_3000_08-09" xfId="9897" xr:uid="{00000000-0005-0000-0000-0000A9260000}"/>
    <cellStyle name="_IIAPL 10.03.2006_IREL_3000_08-09 2" xfId="9898" xr:uid="{00000000-0005-0000-0000-0000AA260000}"/>
    <cellStyle name="_IIAPL 10.03.2006_ISL_March_08_09.final_11.12.2009" xfId="9899" xr:uid="{00000000-0005-0000-0000-0000AB260000}"/>
    <cellStyle name="_IIAPL 10.03.2006_ISL_March_08_09.final_11.12.2009_ISL__3CD_FY2010-11" xfId="9900" xr:uid="{00000000-0005-0000-0000-0000AC260000}"/>
    <cellStyle name="_IIAPL 10.03.2006_ITCL_BS working _New format_31.03 V7" xfId="9901" xr:uid="{00000000-0005-0000-0000-0000AD260000}"/>
    <cellStyle name="_IIAPL 10.03.2006_ITCL-New format_31.03 V6" xfId="9902" xr:uid="{00000000-0005-0000-0000-0000AE260000}"/>
    <cellStyle name="_IIAPL 10.03.2006_NFCL working file" xfId="9903" xr:uid="{00000000-0005-0000-0000-0000AF260000}"/>
    <cellStyle name="_IIAPL 10.03.2006_NFCL_ Tax Audit Report FY08-09 " xfId="9904" xr:uid="{00000000-0005-0000-0000-0000B0260000}"/>
    <cellStyle name="_IIAPL 10.03.2006_Revised Consol Balance Sheet_Sophia_Jan09_10.02.2009" xfId="9905" xr:uid="{00000000-0005-0000-0000-0000B1260000}"/>
    <cellStyle name="_IIAPL 10.03.2006_Sophia Consol for Printout 22 Jun 09" xfId="9906" xr:uid="{00000000-0005-0000-0000-0000B2260000}"/>
    <cellStyle name="_IIAPL 10.03.2006_Sophia Consol_march_09_05 June  09_1" xfId="9907" xr:uid="{00000000-0005-0000-0000-0000B3260000}"/>
    <cellStyle name="_IIAPL 10.03.2006_Tax Audit Report  F.Y.08-09" xfId="9908" xr:uid="{00000000-0005-0000-0000-0000B4260000}"/>
    <cellStyle name="_IIAPL 10.03.2006_Tax Audit Report  ICSL F.Y.09-10" xfId="9909" xr:uid="{00000000-0005-0000-0000-0000B5260000}"/>
    <cellStyle name="_IIAPL 10.03.2006_Treasury ICD Interest_ MIS_ 23  09 2009(final)" xfId="9910" xr:uid="{00000000-0005-0000-0000-0000B6260000}"/>
    <cellStyle name="_IIAPL 10.03.2006_Treasury ICD Interest_ MIS_ 30. 06 2009(final)" xfId="9911" xr:uid="{00000000-0005-0000-0000-0000B7260000}"/>
    <cellStyle name="_IIAPL 10.03.2006_Treasury ICD Interest_ MIS_ 30. 09 2009(final)" xfId="9912" xr:uid="{00000000-0005-0000-0000-0000B8260000}"/>
    <cellStyle name="_IIAPL 10.03.2006_Treasury ICD Interest_ MIS_ 31 05 2009" xfId="9913" xr:uid="{00000000-0005-0000-0000-0000B9260000}"/>
    <cellStyle name="_IIAPL 10.03.2006_Treasury ICD Interest_ MIS_ 31 10 2009" xfId="9914" xr:uid="{00000000-0005-0000-0000-0000BA260000}"/>
    <cellStyle name="_IIAPL 10.03.2006_Treasury ICD Interest_ MIS_ 31.10.2009" xfId="9915" xr:uid="{00000000-0005-0000-0000-0000BB260000}"/>
    <cellStyle name="_IIAPL 10.03.2006_Treasury ICD Interest_ MIS_ 310309" xfId="9916" xr:uid="{00000000-0005-0000-0000-0000BC260000}"/>
    <cellStyle name="_IIAPL 10.09.2006" xfId="9917" xr:uid="{00000000-0005-0000-0000-0000BD260000}"/>
    <cellStyle name="_IIAPL 10.09.2006 2" xfId="9918" xr:uid="{00000000-0005-0000-0000-0000BE260000}"/>
    <cellStyle name="_IIAPL 10.09.2006 2 2" xfId="9919" xr:uid="{00000000-0005-0000-0000-0000BF260000}"/>
    <cellStyle name="_IIAPL 10.09.2006 3" xfId="9920" xr:uid="{00000000-0005-0000-0000-0000C0260000}"/>
    <cellStyle name="_IIAPL 10.09.2006_269SS &amp; T IIAPL 09-10" xfId="9921" xr:uid="{00000000-0005-0000-0000-0000C1260000}"/>
    <cellStyle name="_IIAPL 10.09.2006_Abstract-2007-08" xfId="9922" xr:uid="{00000000-0005-0000-0000-0000C2260000}"/>
    <cellStyle name="_IIAPL 10.09.2006_Abstract-2007-08 2" xfId="9923" xr:uid="{00000000-0005-0000-0000-0000C3260000}"/>
    <cellStyle name="_IIAPL 10.09.2006_Advance Tax Format_F.Y. 2010-11" xfId="9924" xr:uid="{00000000-0005-0000-0000-0000C4260000}"/>
    <cellStyle name="_IIAPL 10.09.2006_Advance Tax Sophia Jun 09" xfId="9925" xr:uid="{00000000-0005-0000-0000-0000C5260000}"/>
    <cellStyle name="_IIAPL 10.09.2006_Asset Management Company Limited" xfId="9926" xr:uid="{00000000-0005-0000-0000-0000C6260000}"/>
    <cellStyle name="_IIAPL 10.09.2006_Base File For Segment" xfId="9927" xr:uid="{00000000-0005-0000-0000-0000C7260000}"/>
    <cellStyle name="_IIAPL 10.09.2006_Book1" xfId="9928" xr:uid="{00000000-0005-0000-0000-0000C8260000}"/>
    <cellStyle name="_IIAPL 10.09.2006_Book1 (2)" xfId="9929" xr:uid="{00000000-0005-0000-0000-0000C9260000}"/>
    <cellStyle name="_IIAPL 10.09.2006_Book1 (2) 2" xfId="9930" xr:uid="{00000000-0005-0000-0000-0000CA260000}"/>
    <cellStyle name="_IIAPL 10.09.2006_Bracond Balance Sheet  PL_301108_krishanu" xfId="9931" xr:uid="{00000000-0005-0000-0000-0000CB260000}"/>
    <cellStyle name="_IIAPL 10.09.2006_BS _IB Asset Management _3103_ver5" xfId="9932" xr:uid="{00000000-0005-0000-0000-0000CC260000}"/>
    <cellStyle name="_IIAPL 10.09.2006_BS _IB Asset Management _3103_ver5_IAMCL BS working -New format_31.03 V5" xfId="9933" xr:uid="{00000000-0005-0000-0000-0000CD260000}"/>
    <cellStyle name="_IIAPL 10.09.2006_CCL_3353_2007-08" xfId="9934" xr:uid="{00000000-0005-0000-0000-0000CE260000}"/>
    <cellStyle name="_IIAPL 10.09.2006_ChlorisProperties_3351_Dec.08" xfId="9935" xr:uid="{00000000-0005-0000-0000-0000CF260000}"/>
    <cellStyle name="_IIAPL 10.09.2006_Consol Balance Sheet_Sophia_Dec08_Ibrel_1.3" xfId="9936" xr:uid="{00000000-0005-0000-0000-0000D0260000}"/>
    <cellStyle name="_IIAPL 10.09.2006_CRAR - dec- 10v-12" xfId="9937" xr:uid="{00000000-0005-0000-0000-0000D1260000}"/>
    <cellStyle name="_IIAPL 10.09.2006_CRAR - dec- 10v-12 2" xfId="9938" xr:uid="{00000000-0005-0000-0000-0000D2260000}"/>
    <cellStyle name="_IIAPL 10.09.2006_detail (2)" xfId="9939" xr:uid="{00000000-0005-0000-0000-0000D3260000}"/>
    <cellStyle name="_IIAPL 10.09.2006_Detail of IPO funding" xfId="9940" xr:uid="{00000000-0005-0000-0000-0000D4260000}"/>
    <cellStyle name="_IIAPL 10.09.2006_Details" xfId="9941" xr:uid="{00000000-0005-0000-0000-0000D5260000}"/>
    <cellStyle name="_IIAPL 10.09.2006_Entries Passed in Conso for profit on sale of invRevised 30.07.08" xfId="9942" xr:uid="{00000000-0005-0000-0000-0000D6260000}"/>
    <cellStyle name="_IIAPL 10.09.2006_Entries Passed in Conso for profit on sale of invRevised 30.07.08 2" xfId="9943" xr:uid="{00000000-0005-0000-0000-0000D7260000}"/>
    <cellStyle name="_IIAPL 10.09.2006_Entries Passed in Conso for profit on sale of invRevised 30.07.08_IREL_3000_08-09" xfId="9944" xr:uid="{00000000-0005-0000-0000-0000D8260000}"/>
    <cellStyle name="_IIAPL 10.09.2006_Entries Passed in Conso for profit on sale of invRevised 30.07.08_IREL_3000_08-09 2" xfId="9945" xr:uid="{00000000-0005-0000-0000-0000D9260000}"/>
    <cellStyle name="_IIAPL 10.09.2006_Entries Passed in Conso for profit on sale of invRevised 30.07.08_IREL_3000_08-09 2 2" xfId="9946" xr:uid="{00000000-0005-0000-0000-0000DA260000}"/>
    <cellStyle name="_IIAPL 10.09.2006_Entries Passed in Conso for profit on sale of invRevised 30.07.08_IREL_3000_08-09 3" xfId="9947" xr:uid="{00000000-0005-0000-0000-0000DB260000}"/>
    <cellStyle name="_IIAPL 10.09.2006_Entries Passed in Conso for profit on sale of invRevised 30.07.08_IREL_3000_08-09 stage 3" xfId="9948" xr:uid="{00000000-0005-0000-0000-0000DC260000}"/>
    <cellStyle name="_IIAPL 10.09.2006_Entries Passed in Conso for profit on sale of invRevised 30.07.08_IREL_3000_08-09 stage 3 2" xfId="9949" xr:uid="{00000000-0005-0000-0000-0000DD260000}"/>
    <cellStyle name="_IIAPL 10.09.2006_Entries Passed in Conso for profit on sale of invRevised 30.07.08_IREL_3000_08-09 stage 3_IREL_3000_08-09" xfId="9950" xr:uid="{00000000-0005-0000-0000-0000DE260000}"/>
    <cellStyle name="_IIAPL 10.09.2006_Entries Passed in Conso for profit on sale of invRevised 30.07.08_IREL_3000_08-09 stage 3_IREL_3000_08-09 2" xfId="9951" xr:uid="{00000000-0005-0000-0000-0000DF260000}"/>
    <cellStyle name="_IIAPL 10.09.2006_Entries Passed in Conso for profit on sale of invRevised 30.07.08_IREL_3000_08-09 stage 3_IREL_3000_08-09 2 2" xfId="9952" xr:uid="{00000000-0005-0000-0000-0000E0260000}"/>
    <cellStyle name="_IIAPL 10.09.2006_Entries Passed in Conso for profit on sale of invRevised 30.07.08_IREL_3000_08-09 stage 3_IREL_3000_08-09 3" xfId="9953" xr:uid="{00000000-0005-0000-0000-0000E1260000}"/>
    <cellStyle name="_IIAPL 10.09.2006_Entries Passed in Conso for profit on sale of invRevised 30.07.08_IREL_3000_08-09_IBREAL_BS PACK-Version.02" xfId="9954" xr:uid="{00000000-0005-0000-0000-0000E2260000}"/>
    <cellStyle name="_IIAPL 10.09.2006_Entries Passed in Conso for profit on sale of invRevised 30.07.08_IREL_3000_08-09_IBREAL_BS PACK-Version.02 2" xfId="9955" xr:uid="{00000000-0005-0000-0000-0000E3260000}"/>
    <cellStyle name="_IIAPL 10.09.2006_Entries Passed in Conso for profit on sale of invRevised 30.07.08_IREL_3000_08-09_IBREAL_BS PACK-Version.02 2 2" xfId="9956" xr:uid="{00000000-0005-0000-0000-0000E4260000}"/>
    <cellStyle name="_IIAPL 10.09.2006_Entries Passed in Conso for profit on sale of invRevised 30.07.08_IREL_3000_08-09_IBREAL_BS PACK-Version.02 3" xfId="9957" xr:uid="{00000000-0005-0000-0000-0000E5260000}"/>
    <cellStyle name="_IIAPL 10.09.2006_Entries Passed in Conso for profit on sale of invRevised 30.07.08_IREL_3000_08-09_IBREAL_BS PACK-Version.02_IBREAL_BS PACK-Version.03" xfId="9958" xr:uid="{00000000-0005-0000-0000-0000E6260000}"/>
    <cellStyle name="_IIAPL 10.09.2006_Entries Passed in Conso for profit on sale of invRevised 30.07.08_IREL_3000_08-09_IBREAL_BS PACK-Version.02_IBREAL_BS PACK-Version.03 2" xfId="9959" xr:uid="{00000000-0005-0000-0000-0000E7260000}"/>
    <cellStyle name="_IIAPL 10.09.2006_Entries Passed in Conso for profit on sale of invRevised 30.07.08_IREL_3000_08-09_IBREAL_BS PACK-Version.02_IBREAL_BS PACK-Version.03 2 2" xfId="9960" xr:uid="{00000000-0005-0000-0000-0000E8260000}"/>
    <cellStyle name="_IIAPL 10.09.2006_Entries Passed in Conso for profit on sale of invRevised 30.07.08_IREL_3000_08-09_IBREAL_BS PACK-Version.02_IBREAL_BS PACK-Version.03 3" xfId="9961" xr:uid="{00000000-0005-0000-0000-0000E9260000}"/>
    <cellStyle name="_IIAPL 10.09.2006_Entries Passed in Conso for profit on sale of invRevised 30.07.08_IREL_3000_08-09_IBREAL_BS PACK-Version.02_IBREAL_BS PACK-Version.03_IBREAL_BS PACK-Version.07" xfId="9962" xr:uid="{00000000-0005-0000-0000-0000EA260000}"/>
    <cellStyle name="_IIAPL 10.09.2006_Entries Passed in Conso for profit on sale of invRevised 30.07.08_IREL_3000_08-09_IBREAL_BS PACK-Version.02_IBREAL_BS PACK-Version.03_IBREAL_BS PACK-Version.07 2" xfId="9963" xr:uid="{00000000-0005-0000-0000-0000EB260000}"/>
    <cellStyle name="_IIAPL 10.09.2006_Entries Passed in Conso for profit on sale of invRevised 30.07.08_IREL_3000_08-09_IBREAL_BS PACK-Version.02_IBREAL_BS PACK-Version.03_IBREAL_BS PACK-Version.07 2 2" xfId="9964" xr:uid="{00000000-0005-0000-0000-0000EC260000}"/>
    <cellStyle name="_IIAPL 10.09.2006_Entries Passed in Conso for profit on sale of invRevised 30.07.08_IREL_3000_08-09_IBREAL_BS PACK-Version.02_IBREAL_BS PACK-Version.03_IBREAL_BS PACK-Version.07 3" xfId="9965" xr:uid="{00000000-0005-0000-0000-0000ED260000}"/>
    <cellStyle name="_IIAPL 10.09.2006_EPL_3346_2007-08(C)" xfId="9966" xr:uid="{00000000-0005-0000-0000-0000EE260000}"/>
    <cellStyle name="_IIAPL 10.09.2006_FD Detail" xfId="9967" xr:uid="{00000000-0005-0000-0000-0000EF260000}"/>
    <cellStyle name="_IIAPL 10.09.2006_FD Detail_Xl0000013" xfId="9968" xr:uid="{00000000-0005-0000-0000-0000F0260000}"/>
    <cellStyle name="_IIAPL 10.09.2006_Final Consol Balance Sheet_Sophia_Dec08_27.01.08" xfId="9969" xr:uid="{00000000-0005-0000-0000-0000F1260000}"/>
    <cellStyle name="_IIAPL 10.09.2006_Fixed Assets consolidated" xfId="9970" xr:uid="{00000000-0005-0000-0000-0000F2260000}"/>
    <cellStyle name="_IIAPL 10.09.2006_IAMCL BS working -New format_31.03 V5" xfId="9971" xr:uid="{00000000-0005-0000-0000-0000F3260000}"/>
    <cellStyle name="_IIAPL 10.09.2006_IB Asset Management _2910" xfId="9972" xr:uid="{00000000-0005-0000-0000-0000F4260000}"/>
    <cellStyle name="_IIAPL 10.09.2006_IB Asset Management _2910_IB Collection Agency_3103 V3" xfId="9973" xr:uid="{00000000-0005-0000-0000-0000F5260000}"/>
    <cellStyle name="_IIAPL 10.09.2006_IB Asset Management _2910_IB Collection Agency_3103 V3_ICAL-New Format_31.03 V4" xfId="9974" xr:uid="{00000000-0005-0000-0000-0000F6260000}"/>
    <cellStyle name="_IIAPL 10.09.2006_IB Asset Management _2910_ICAL-BS Final Working _New format" xfId="9975" xr:uid="{00000000-0005-0000-0000-0000F7260000}"/>
    <cellStyle name="_IIAPL 10.09.2006_IB Asset Management _3103_ver5" xfId="9976" xr:uid="{00000000-0005-0000-0000-0000F8260000}"/>
    <cellStyle name="_IIAPL 10.09.2006_IB Asset Management_3103 V2" xfId="9977" xr:uid="{00000000-0005-0000-0000-0000F9260000}"/>
    <cellStyle name="_IIAPL 10.09.2006_IB Asset Management_3103 V4" xfId="9978" xr:uid="{00000000-0005-0000-0000-0000FA260000}"/>
    <cellStyle name="_IIAPL 10.09.2006_IB Asset Management_3103 V5" xfId="9979" xr:uid="{00000000-0005-0000-0000-0000FB260000}"/>
    <cellStyle name="_IIAPL 10.09.2006_IB Collection Agency_3103 V3" xfId="9980" xr:uid="{00000000-0005-0000-0000-0000FC260000}"/>
    <cellStyle name="_IIAPL 10.09.2006_IB Collection Agency_3103 V3_ICAL-New Format_31.03 V4" xfId="9981" xr:uid="{00000000-0005-0000-0000-0000FD260000}"/>
    <cellStyle name="_IIAPL 10.09.2006_IB Infrastructure Credit" xfId="9982" xr:uid="{00000000-0005-0000-0000-0000FE260000}"/>
    <cellStyle name="_IIAPL 10.09.2006_IB Infrastructure Credit-3103_V6" xfId="9983" xr:uid="{00000000-0005-0000-0000-0000FF260000}"/>
    <cellStyle name="_IIAPL 10.09.2006_IB Infrastructure Credit-3103_V7" xfId="9984" xr:uid="{00000000-0005-0000-0000-000000270000}"/>
    <cellStyle name="_IIAPL 10.09.2006_IB Life Insurance_3103 V4" xfId="9985" xr:uid="{00000000-0005-0000-0000-000001270000}"/>
    <cellStyle name="_IIAPL 10.09.2006_IB Trustee Company_3103 V4" xfId="9986" xr:uid="{00000000-0005-0000-0000-000002270000}"/>
    <cellStyle name="_IIAPL 10.09.2006_IBFSL 30 Sep 11 V8" xfId="9987" xr:uid="{00000000-0005-0000-0000-000003270000}"/>
    <cellStyle name="_IIAPL 10.09.2006_IBFSL 31 May V1" xfId="9988" xr:uid="{00000000-0005-0000-0000-000004270000}"/>
    <cellStyle name="_IIAPL 10.09.2006_IBFSL 31 May V1_Xl0000013" xfId="9989" xr:uid="{00000000-0005-0000-0000-000005270000}"/>
    <cellStyle name="_IIAPL 10.09.2006_IBFSL_Conso_March_10_11" xfId="9990" xr:uid="{00000000-0005-0000-0000-000006270000}"/>
    <cellStyle name="_IIAPL 10.09.2006_IBLIC_BS  Final working -New_Format_31.03 V5" xfId="9991" xr:uid="{00000000-0005-0000-0000-000007270000}"/>
    <cellStyle name="_IIAPL 10.09.2006_Ibulls BS Final woirking -New format_31.03 V5" xfId="9992" xr:uid="{00000000-0005-0000-0000-000008270000}"/>
    <cellStyle name="_IIAPL 10.09.2006_IbullsSales_3103" xfId="9993" xr:uid="{00000000-0005-0000-0000-000009270000}"/>
    <cellStyle name="_IIAPL 10.09.2006_IbullsSales_3103 V2" xfId="9994" xr:uid="{00000000-0005-0000-0000-00000A270000}"/>
    <cellStyle name="_IIAPL 10.09.2006_IbullsSales_3103 V5" xfId="9995" xr:uid="{00000000-0005-0000-0000-00000B270000}"/>
    <cellStyle name="_IIAPL 10.09.2006_ICAL-BS Final Working _New format" xfId="9996" xr:uid="{00000000-0005-0000-0000-00000C270000}"/>
    <cellStyle name="_IIAPL 10.09.2006_ICL_BS_30.06.2009" xfId="9997" xr:uid="{00000000-0005-0000-0000-00000D270000}"/>
    <cellStyle name="_IIAPL 10.09.2006_ICPL_BS_31.03.2009_new" xfId="9998" xr:uid="{00000000-0005-0000-0000-00000E270000}"/>
    <cellStyle name="_IIAPL 10.09.2006_ICPL_BS_31.03.2009_new_ISL__3CD_FY2010-11" xfId="9999" xr:uid="{00000000-0005-0000-0000-00000F270000}"/>
    <cellStyle name="_IIAPL 10.09.2006_IDSL_31.03.2010" xfId="10000" xr:uid="{00000000-0005-0000-0000-000010270000}"/>
    <cellStyle name="_IIAPL 10.09.2006_IFCPL 31 03 2010 VER6 Final" xfId="10001" xr:uid="{00000000-0005-0000-0000-000011270000}"/>
    <cellStyle name="_IIAPL 10.09.2006_IHFL_Dec_23_2008" xfId="10002" xr:uid="{00000000-0005-0000-0000-000012270000}"/>
    <cellStyle name="_IIAPL 10.09.2006_IHFL_Dec_23_2008_Xl0000013" xfId="10003" xr:uid="{00000000-0005-0000-0000-000013270000}"/>
    <cellStyle name="_IIAPL 10.09.2006_IHFL_SEP_30_2009 XIII AUDIT- Sch II" xfId="10004" xr:uid="{00000000-0005-0000-0000-000014270000}"/>
    <cellStyle name="_IIAPL 10.09.2006_IIAL 31.03.2010 VER2" xfId="10005" xr:uid="{00000000-0005-0000-0000-000015270000}"/>
    <cellStyle name="_IIAPL 10.09.2006_IICL_March'11" xfId="10006" xr:uid="{00000000-0005-0000-0000-000016270000}"/>
    <cellStyle name="_IIAPL 10.09.2006_IIDL_3227_2008_09" xfId="10007" xr:uid="{00000000-0005-0000-0000-000017270000}"/>
    <cellStyle name="_IIAPL 10.09.2006_IIDL_3227_2008_09_Advance Tax Summary" xfId="10008" xr:uid="{00000000-0005-0000-0000-000018270000}"/>
    <cellStyle name="_IIAPL 10.09.2006_IIDL_3227_2008_09_Advance Tax Summary 2" xfId="10009" xr:uid="{00000000-0005-0000-0000-000019270000}"/>
    <cellStyle name="_IIAPL 10.09.2006_IIDL_3227_2008_09_ISL Group - Advance Tax working for 3rd Instalment" xfId="10010" xr:uid="{00000000-0005-0000-0000-00001A270000}"/>
    <cellStyle name="_IIAPL 10.09.2006_IIDL_3227_2008_09_Xl0000013" xfId="10011" xr:uid="{00000000-0005-0000-0000-00001B270000}"/>
    <cellStyle name="_IIAPL 10.09.2006_Indiabulls Asset Management Company Limited printable" xfId="10012" xr:uid="{00000000-0005-0000-0000-00001C270000}"/>
    <cellStyle name="_IIAPL 10.09.2006_IREL_3000_08-09" xfId="10013" xr:uid="{00000000-0005-0000-0000-00001D270000}"/>
    <cellStyle name="_IIAPL 10.09.2006_IREL_3000_08-09 2" xfId="10014" xr:uid="{00000000-0005-0000-0000-00001E270000}"/>
    <cellStyle name="_IIAPL 10.09.2006_ISL_March_08_09.final_11.12.2009" xfId="10015" xr:uid="{00000000-0005-0000-0000-00001F270000}"/>
    <cellStyle name="_IIAPL 10.09.2006_ISL_March_08_09.final_11.12.2009_ISL__3CD_FY2010-11" xfId="10016" xr:uid="{00000000-0005-0000-0000-000020270000}"/>
    <cellStyle name="_IIAPL 10.09.2006_ITCL_BS working _New format_31.03 V7" xfId="10017" xr:uid="{00000000-0005-0000-0000-000021270000}"/>
    <cellStyle name="_IIAPL 10.09.2006_ITCL-New format_31.03 V6" xfId="10018" xr:uid="{00000000-0005-0000-0000-000022270000}"/>
    <cellStyle name="_IIAPL 10.09.2006_NFCL working file" xfId="10019" xr:uid="{00000000-0005-0000-0000-000023270000}"/>
    <cellStyle name="_IIAPL 10.09.2006_NFCL_ Tax Audit Report FY08-09 " xfId="10020" xr:uid="{00000000-0005-0000-0000-000024270000}"/>
    <cellStyle name="_IIAPL 10.09.2006_Revised Consol Balance Sheet_Sophia_Jan09_10.02.2009" xfId="10021" xr:uid="{00000000-0005-0000-0000-000025270000}"/>
    <cellStyle name="_IIAPL 10.09.2006_Sophia Consol for Printout 22 Jun 09" xfId="10022" xr:uid="{00000000-0005-0000-0000-000026270000}"/>
    <cellStyle name="_IIAPL 10.09.2006_Sophia Consol_march_09_05 June  09_1" xfId="10023" xr:uid="{00000000-0005-0000-0000-000027270000}"/>
    <cellStyle name="_IIAPL 10.09.2006_Tax Audit Report  F.Y.08-09" xfId="10024" xr:uid="{00000000-0005-0000-0000-000028270000}"/>
    <cellStyle name="_IIAPL 10.09.2006_Tax Audit Report  ICSL F.Y.09-10" xfId="10025" xr:uid="{00000000-0005-0000-0000-000029270000}"/>
    <cellStyle name="_IIAPL 10.09.2006_Treasury ICD Interest_ MIS_ 23  09 2009(final)" xfId="10026" xr:uid="{00000000-0005-0000-0000-00002A270000}"/>
    <cellStyle name="_IIAPL 10.09.2006_Treasury ICD Interest_ MIS_ 30. 06 2009(final)" xfId="10027" xr:uid="{00000000-0005-0000-0000-00002B270000}"/>
    <cellStyle name="_IIAPL 10.09.2006_Treasury ICD Interest_ MIS_ 30. 09 2009(final)" xfId="10028" xr:uid="{00000000-0005-0000-0000-00002C270000}"/>
    <cellStyle name="_IIAPL 10.09.2006_Treasury ICD Interest_ MIS_ 31 05 2009" xfId="10029" xr:uid="{00000000-0005-0000-0000-00002D270000}"/>
    <cellStyle name="_IIAPL 10.09.2006_Treasury ICD Interest_ MIS_ 31 10 2009" xfId="10030" xr:uid="{00000000-0005-0000-0000-00002E270000}"/>
    <cellStyle name="_IIAPL 10.09.2006_Treasury ICD Interest_ MIS_ 31.10.2009" xfId="10031" xr:uid="{00000000-0005-0000-0000-00002F270000}"/>
    <cellStyle name="_IIAPL 10.09.2006_Treasury ICD Interest_ MIS_ 310309" xfId="10032" xr:uid="{00000000-0005-0000-0000-000030270000}"/>
    <cellStyle name="_IIAPL_Mar_05_06" xfId="10033" xr:uid="{00000000-0005-0000-0000-000031270000}"/>
    <cellStyle name="_IICL 269_2009_10" xfId="10034" xr:uid="{00000000-0005-0000-0000-000032270000}"/>
    <cellStyle name="_IICL 31 03 09 (4)FinalA xls123 (4)" xfId="10035" xr:uid="{00000000-0005-0000-0000-000033270000}"/>
    <cellStyle name="_IICL 31.03.2009 printable" xfId="10036" xr:uid="{00000000-0005-0000-0000-000034270000}"/>
    <cellStyle name="_IICL Working File" xfId="10037" xr:uid="{00000000-0005-0000-0000-000035270000}"/>
    <cellStyle name="_IICL_ tax audit report Final" xfId="10038" xr:uid="{00000000-0005-0000-0000-000036270000}"/>
    <cellStyle name="_IIL 10.03.2006" xfId="10039" xr:uid="{00000000-0005-0000-0000-000037270000}"/>
    <cellStyle name="_IIL 10.03.2006 2" xfId="10040" xr:uid="{00000000-0005-0000-0000-000038270000}"/>
    <cellStyle name="_IIL 10.03.2006 2 2" xfId="10041" xr:uid="{00000000-0005-0000-0000-000039270000}"/>
    <cellStyle name="_IIL 10.03.2006 3" xfId="10042" xr:uid="{00000000-0005-0000-0000-00003A270000}"/>
    <cellStyle name="_IIL 10.03.2006_269SS &amp; T IIAPL 09-10" xfId="10043" xr:uid="{00000000-0005-0000-0000-00003B270000}"/>
    <cellStyle name="_IIL 10.03.2006_Abstract-2007-08" xfId="10044" xr:uid="{00000000-0005-0000-0000-00003C270000}"/>
    <cellStyle name="_IIL 10.03.2006_Abstract-2007-08 2" xfId="10045" xr:uid="{00000000-0005-0000-0000-00003D270000}"/>
    <cellStyle name="_IIL 10.03.2006_Advance Tax Format_F.Y. 2010-11" xfId="10046" xr:uid="{00000000-0005-0000-0000-00003E270000}"/>
    <cellStyle name="_IIL 10.03.2006_Advance Tax Sophia Jun 09" xfId="10047" xr:uid="{00000000-0005-0000-0000-00003F270000}"/>
    <cellStyle name="_IIL 10.03.2006_Asset Management Company Limited" xfId="10048" xr:uid="{00000000-0005-0000-0000-000040270000}"/>
    <cellStyle name="_IIL 10.03.2006_Base File For Segment" xfId="10049" xr:uid="{00000000-0005-0000-0000-000041270000}"/>
    <cellStyle name="_IIL 10.03.2006_Book1" xfId="10050" xr:uid="{00000000-0005-0000-0000-000042270000}"/>
    <cellStyle name="_IIL 10.03.2006_Book1 (2)" xfId="10051" xr:uid="{00000000-0005-0000-0000-000043270000}"/>
    <cellStyle name="_IIL 10.03.2006_Book1 (2) 2" xfId="10052" xr:uid="{00000000-0005-0000-0000-000044270000}"/>
    <cellStyle name="_IIL 10.03.2006_Bracond Balance Sheet  PL_301108_krishanu" xfId="10053" xr:uid="{00000000-0005-0000-0000-000045270000}"/>
    <cellStyle name="_IIL 10.03.2006_BS _IB Asset Management _3103_ver5" xfId="10054" xr:uid="{00000000-0005-0000-0000-000046270000}"/>
    <cellStyle name="_IIL 10.03.2006_BS _IB Asset Management _3103_ver5_IAMCL BS working -New format_31.03 V5" xfId="10055" xr:uid="{00000000-0005-0000-0000-000047270000}"/>
    <cellStyle name="_IIL 10.03.2006_CCL_3353_2007-08" xfId="10056" xr:uid="{00000000-0005-0000-0000-000048270000}"/>
    <cellStyle name="_IIL 10.03.2006_ChlorisProperties_3351_Dec.08" xfId="10057" xr:uid="{00000000-0005-0000-0000-000049270000}"/>
    <cellStyle name="_IIL 10.03.2006_Consol Balance Sheet_Sophia_Dec08_Ibrel_1.3" xfId="10058" xr:uid="{00000000-0005-0000-0000-00004A270000}"/>
    <cellStyle name="_IIL 10.03.2006_CRAR - dec- 10v-12" xfId="10059" xr:uid="{00000000-0005-0000-0000-00004B270000}"/>
    <cellStyle name="_IIL 10.03.2006_CRAR - dec- 10v-12 2" xfId="10060" xr:uid="{00000000-0005-0000-0000-00004C270000}"/>
    <cellStyle name="_IIL 10.03.2006_detail (2)" xfId="10061" xr:uid="{00000000-0005-0000-0000-00004D270000}"/>
    <cellStyle name="_IIL 10.03.2006_Detail of IPO funding" xfId="10062" xr:uid="{00000000-0005-0000-0000-00004E270000}"/>
    <cellStyle name="_IIL 10.03.2006_Details" xfId="10063" xr:uid="{00000000-0005-0000-0000-00004F270000}"/>
    <cellStyle name="_IIL 10.03.2006_Entries Passed in Conso for profit on sale of invRevised 30.07.08" xfId="10064" xr:uid="{00000000-0005-0000-0000-000050270000}"/>
    <cellStyle name="_IIL 10.03.2006_Entries Passed in Conso for profit on sale of invRevised 30.07.08 2" xfId="10065" xr:uid="{00000000-0005-0000-0000-000051270000}"/>
    <cellStyle name="_IIL 10.03.2006_Entries Passed in Conso for profit on sale of invRevised 30.07.08_IREL_3000_08-09" xfId="10066" xr:uid="{00000000-0005-0000-0000-000052270000}"/>
    <cellStyle name="_IIL 10.03.2006_Entries Passed in Conso for profit on sale of invRevised 30.07.08_IREL_3000_08-09 2" xfId="10067" xr:uid="{00000000-0005-0000-0000-000053270000}"/>
    <cellStyle name="_IIL 10.03.2006_Entries Passed in Conso for profit on sale of invRevised 30.07.08_IREL_3000_08-09 2 2" xfId="10068" xr:uid="{00000000-0005-0000-0000-000054270000}"/>
    <cellStyle name="_IIL 10.03.2006_Entries Passed in Conso for profit on sale of invRevised 30.07.08_IREL_3000_08-09 3" xfId="10069" xr:uid="{00000000-0005-0000-0000-000055270000}"/>
    <cellStyle name="_IIL 10.03.2006_Entries Passed in Conso for profit on sale of invRevised 30.07.08_IREL_3000_08-09 stage 3" xfId="10070" xr:uid="{00000000-0005-0000-0000-000056270000}"/>
    <cellStyle name="_IIL 10.03.2006_Entries Passed in Conso for profit on sale of invRevised 30.07.08_IREL_3000_08-09 stage 3 2" xfId="10071" xr:uid="{00000000-0005-0000-0000-000057270000}"/>
    <cellStyle name="_IIL 10.03.2006_Entries Passed in Conso for profit on sale of invRevised 30.07.08_IREL_3000_08-09 stage 3_IREL_3000_08-09" xfId="10072" xr:uid="{00000000-0005-0000-0000-000058270000}"/>
    <cellStyle name="_IIL 10.03.2006_Entries Passed in Conso for profit on sale of invRevised 30.07.08_IREL_3000_08-09 stage 3_IREL_3000_08-09 2" xfId="10073" xr:uid="{00000000-0005-0000-0000-000059270000}"/>
    <cellStyle name="_IIL 10.03.2006_Entries Passed in Conso for profit on sale of invRevised 30.07.08_IREL_3000_08-09 stage 3_IREL_3000_08-09 2 2" xfId="10074" xr:uid="{00000000-0005-0000-0000-00005A270000}"/>
    <cellStyle name="_IIL 10.03.2006_Entries Passed in Conso for profit on sale of invRevised 30.07.08_IREL_3000_08-09 stage 3_IREL_3000_08-09 3" xfId="10075" xr:uid="{00000000-0005-0000-0000-00005B270000}"/>
    <cellStyle name="_IIL 10.03.2006_Entries Passed in Conso for profit on sale of invRevised 30.07.08_IREL_3000_08-09_IBREAL_BS PACK-Version.02" xfId="10076" xr:uid="{00000000-0005-0000-0000-00005C270000}"/>
    <cellStyle name="_IIL 10.03.2006_Entries Passed in Conso for profit on sale of invRevised 30.07.08_IREL_3000_08-09_IBREAL_BS PACK-Version.02 2" xfId="10077" xr:uid="{00000000-0005-0000-0000-00005D270000}"/>
    <cellStyle name="_IIL 10.03.2006_Entries Passed in Conso for profit on sale of invRevised 30.07.08_IREL_3000_08-09_IBREAL_BS PACK-Version.02 2 2" xfId="10078" xr:uid="{00000000-0005-0000-0000-00005E270000}"/>
    <cellStyle name="_IIL 10.03.2006_Entries Passed in Conso for profit on sale of invRevised 30.07.08_IREL_3000_08-09_IBREAL_BS PACK-Version.02 3" xfId="10079" xr:uid="{00000000-0005-0000-0000-00005F270000}"/>
    <cellStyle name="_IIL 10.03.2006_Entries Passed in Conso for profit on sale of invRevised 30.07.08_IREL_3000_08-09_IBREAL_BS PACK-Version.02_IBREAL_BS PACK-Version.03" xfId="10080" xr:uid="{00000000-0005-0000-0000-000060270000}"/>
    <cellStyle name="_IIL 10.03.2006_Entries Passed in Conso for profit on sale of invRevised 30.07.08_IREL_3000_08-09_IBREAL_BS PACK-Version.02_IBREAL_BS PACK-Version.03 2" xfId="10081" xr:uid="{00000000-0005-0000-0000-000061270000}"/>
    <cellStyle name="_IIL 10.03.2006_Entries Passed in Conso for profit on sale of invRevised 30.07.08_IREL_3000_08-09_IBREAL_BS PACK-Version.02_IBREAL_BS PACK-Version.03 2 2" xfId="10082" xr:uid="{00000000-0005-0000-0000-000062270000}"/>
    <cellStyle name="_IIL 10.03.2006_Entries Passed in Conso for profit on sale of invRevised 30.07.08_IREL_3000_08-09_IBREAL_BS PACK-Version.02_IBREAL_BS PACK-Version.03 3" xfId="10083" xr:uid="{00000000-0005-0000-0000-000063270000}"/>
    <cellStyle name="_IIL 10.03.2006_Entries Passed in Conso for profit on sale of invRevised 30.07.08_IREL_3000_08-09_IBREAL_BS PACK-Version.02_IBREAL_BS PACK-Version.03_IBREAL_BS PACK-Version.07" xfId="10084" xr:uid="{00000000-0005-0000-0000-000064270000}"/>
    <cellStyle name="_IIL 10.03.2006_Entries Passed in Conso for profit on sale of invRevised 30.07.08_IREL_3000_08-09_IBREAL_BS PACK-Version.02_IBREAL_BS PACK-Version.03_IBREAL_BS PACK-Version.07 2" xfId="10085" xr:uid="{00000000-0005-0000-0000-000065270000}"/>
    <cellStyle name="_IIL 10.03.2006_Entries Passed in Conso for profit on sale of invRevised 30.07.08_IREL_3000_08-09_IBREAL_BS PACK-Version.02_IBREAL_BS PACK-Version.03_IBREAL_BS PACK-Version.07 2 2" xfId="10086" xr:uid="{00000000-0005-0000-0000-000066270000}"/>
    <cellStyle name="_IIL 10.03.2006_Entries Passed in Conso for profit on sale of invRevised 30.07.08_IREL_3000_08-09_IBREAL_BS PACK-Version.02_IBREAL_BS PACK-Version.03_IBREAL_BS PACK-Version.07 3" xfId="10087" xr:uid="{00000000-0005-0000-0000-000067270000}"/>
    <cellStyle name="_IIL 10.03.2006_EPL_3346_2007-08(C)" xfId="10088" xr:uid="{00000000-0005-0000-0000-000068270000}"/>
    <cellStyle name="_IIL 10.03.2006_FD Detail" xfId="10089" xr:uid="{00000000-0005-0000-0000-000069270000}"/>
    <cellStyle name="_IIL 10.03.2006_FD Detail_Xl0000013" xfId="10090" xr:uid="{00000000-0005-0000-0000-00006A270000}"/>
    <cellStyle name="_IIL 10.03.2006_Final Consol Balance Sheet_Sophia_Dec08_27.01.08" xfId="10091" xr:uid="{00000000-0005-0000-0000-00006B270000}"/>
    <cellStyle name="_IIL 10.03.2006_Fixed Assets consolidated" xfId="10092" xr:uid="{00000000-0005-0000-0000-00006C270000}"/>
    <cellStyle name="_IIL 10.03.2006_IAMCL BS working -New format_31.03 V5" xfId="10093" xr:uid="{00000000-0005-0000-0000-00006D270000}"/>
    <cellStyle name="_IIL 10.03.2006_IB Asset Management _2910" xfId="10094" xr:uid="{00000000-0005-0000-0000-00006E270000}"/>
    <cellStyle name="_IIL 10.03.2006_IB Asset Management _2910_IB Collection Agency_3103 V3" xfId="10095" xr:uid="{00000000-0005-0000-0000-00006F270000}"/>
    <cellStyle name="_IIL 10.03.2006_IB Asset Management _2910_IB Collection Agency_3103 V3_ICAL-New Format_31.03 V4" xfId="10096" xr:uid="{00000000-0005-0000-0000-000070270000}"/>
    <cellStyle name="_IIL 10.03.2006_IB Asset Management _2910_ICAL-BS Final Working _New format" xfId="10097" xr:uid="{00000000-0005-0000-0000-000071270000}"/>
    <cellStyle name="_IIL 10.03.2006_IB Asset Management _3103_ver5" xfId="10098" xr:uid="{00000000-0005-0000-0000-000072270000}"/>
    <cellStyle name="_IIL 10.03.2006_IB Asset Management_3103 V2" xfId="10099" xr:uid="{00000000-0005-0000-0000-000073270000}"/>
    <cellStyle name="_IIL 10.03.2006_IB Asset Management_3103 V4" xfId="10100" xr:uid="{00000000-0005-0000-0000-000074270000}"/>
    <cellStyle name="_IIL 10.03.2006_IB Asset Management_3103 V5" xfId="10101" xr:uid="{00000000-0005-0000-0000-000075270000}"/>
    <cellStyle name="_IIL 10.03.2006_IB Collection Agency_3103 V3" xfId="10102" xr:uid="{00000000-0005-0000-0000-000076270000}"/>
    <cellStyle name="_IIL 10.03.2006_IB Collection Agency_3103 V3_ICAL-New Format_31.03 V4" xfId="10103" xr:uid="{00000000-0005-0000-0000-000077270000}"/>
    <cellStyle name="_IIL 10.03.2006_IB Infrastructure Credit" xfId="10104" xr:uid="{00000000-0005-0000-0000-000078270000}"/>
    <cellStyle name="_IIL 10.03.2006_IB Infrastructure Credit-3103_V6" xfId="10105" xr:uid="{00000000-0005-0000-0000-000079270000}"/>
    <cellStyle name="_IIL 10.03.2006_IB Infrastructure Credit-3103_V7" xfId="10106" xr:uid="{00000000-0005-0000-0000-00007A270000}"/>
    <cellStyle name="_IIL 10.03.2006_IB Life Insurance_3103 V4" xfId="10107" xr:uid="{00000000-0005-0000-0000-00007B270000}"/>
    <cellStyle name="_IIL 10.03.2006_IB Trustee Company_3103 V4" xfId="10108" xr:uid="{00000000-0005-0000-0000-00007C270000}"/>
    <cellStyle name="_IIL 10.03.2006_IBFSL 30 Sep 11 V8" xfId="10109" xr:uid="{00000000-0005-0000-0000-00007D270000}"/>
    <cellStyle name="_IIL 10.03.2006_IBFSL 31 May V1" xfId="10110" xr:uid="{00000000-0005-0000-0000-00007E270000}"/>
    <cellStyle name="_IIL 10.03.2006_IBFSL 31 May V1_Xl0000013" xfId="10111" xr:uid="{00000000-0005-0000-0000-00007F270000}"/>
    <cellStyle name="_IIL 10.03.2006_IBFSL_Conso_March_10_11" xfId="10112" xr:uid="{00000000-0005-0000-0000-000080270000}"/>
    <cellStyle name="_IIL 10.03.2006_IBLIC_BS  Final working -New_Format_31.03 V5" xfId="10113" xr:uid="{00000000-0005-0000-0000-000081270000}"/>
    <cellStyle name="_IIL 10.03.2006_Ibulls BS Final woirking -New format_31.03 V5" xfId="10114" xr:uid="{00000000-0005-0000-0000-000082270000}"/>
    <cellStyle name="_IIL 10.03.2006_IbullsSales_3103" xfId="10115" xr:uid="{00000000-0005-0000-0000-000083270000}"/>
    <cellStyle name="_IIL 10.03.2006_IbullsSales_3103 V2" xfId="10116" xr:uid="{00000000-0005-0000-0000-000084270000}"/>
    <cellStyle name="_IIL 10.03.2006_IbullsSales_3103 V5" xfId="10117" xr:uid="{00000000-0005-0000-0000-000085270000}"/>
    <cellStyle name="_IIL 10.03.2006_ICAL-BS Final Working _New format" xfId="10118" xr:uid="{00000000-0005-0000-0000-000086270000}"/>
    <cellStyle name="_IIL 10.03.2006_ICL_BS_30.06.2009" xfId="10119" xr:uid="{00000000-0005-0000-0000-000087270000}"/>
    <cellStyle name="_IIL 10.03.2006_ICPL_BS_31.03.2009_new" xfId="10120" xr:uid="{00000000-0005-0000-0000-000088270000}"/>
    <cellStyle name="_IIL 10.03.2006_ICPL_BS_31.03.2009_new_ISL__3CD_FY2010-11" xfId="10121" xr:uid="{00000000-0005-0000-0000-000089270000}"/>
    <cellStyle name="_IIL 10.03.2006_IDSL_31.03.2010" xfId="10122" xr:uid="{00000000-0005-0000-0000-00008A270000}"/>
    <cellStyle name="_IIL 10.03.2006_IFCPL 31 03 2010 VER6 Final" xfId="10123" xr:uid="{00000000-0005-0000-0000-00008B270000}"/>
    <cellStyle name="_IIL 10.03.2006_IHFL_Dec_23_2008" xfId="10124" xr:uid="{00000000-0005-0000-0000-00008C270000}"/>
    <cellStyle name="_IIL 10.03.2006_IHFL_Dec_23_2008_Xl0000013" xfId="10125" xr:uid="{00000000-0005-0000-0000-00008D270000}"/>
    <cellStyle name="_IIL 10.03.2006_IHFL_SEP_30_2009 XIII AUDIT- Sch II" xfId="10126" xr:uid="{00000000-0005-0000-0000-00008E270000}"/>
    <cellStyle name="_IIL 10.03.2006_IIAL 31.03.2010 VER2" xfId="10127" xr:uid="{00000000-0005-0000-0000-00008F270000}"/>
    <cellStyle name="_IIL 10.03.2006_IICL_March'11" xfId="10128" xr:uid="{00000000-0005-0000-0000-000090270000}"/>
    <cellStyle name="_IIL 10.03.2006_IIDL_3227_2008_09" xfId="10129" xr:uid="{00000000-0005-0000-0000-000091270000}"/>
    <cellStyle name="_IIL 10.03.2006_IIDL_3227_2008_09_Advance Tax Summary" xfId="10130" xr:uid="{00000000-0005-0000-0000-000092270000}"/>
    <cellStyle name="_IIL 10.03.2006_IIDL_3227_2008_09_Advance Tax Summary 2" xfId="10131" xr:uid="{00000000-0005-0000-0000-000093270000}"/>
    <cellStyle name="_IIL 10.03.2006_IIDL_3227_2008_09_ISL Group - Advance Tax working for 3rd Instalment" xfId="10132" xr:uid="{00000000-0005-0000-0000-000094270000}"/>
    <cellStyle name="_IIL 10.03.2006_IIDL_3227_2008_09_Xl0000013" xfId="10133" xr:uid="{00000000-0005-0000-0000-000095270000}"/>
    <cellStyle name="_IIL 10.03.2006_Indiabulls Asset Management Company Limited printable" xfId="10134" xr:uid="{00000000-0005-0000-0000-000096270000}"/>
    <cellStyle name="_IIL 10.03.2006_IREL_3000_08-09" xfId="10135" xr:uid="{00000000-0005-0000-0000-000097270000}"/>
    <cellStyle name="_IIL 10.03.2006_IREL_3000_08-09 2" xfId="10136" xr:uid="{00000000-0005-0000-0000-000098270000}"/>
    <cellStyle name="_IIL 10.03.2006_ISL_March_08_09.final_11.12.2009" xfId="10137" xr:uid="{00000000-0005-0000-0000-000099270000}"/>
    <cellStyle name="_IIL 10.03.2006_ISL_March_08_09.final_11.12.2009_ISL__3CD_FY2010-11" xfId="10138" xr:uid="{00000000-0005-0000-0000-00009A270000}"/>
    <cellStyle name="_IIL 10.03.2006_ITCL_BS working _New format_31.03 V7" xfId="10139" xr:uid="{00000000-0005-0000-0000-00009B270000}"/>
    <cellStyle name="_IIL 10.03.2006_ITCL-New format_31.03 V6" xfId="10140" xr:uid="{00000000-0005-0000-0000-00009C270000}"/>
    <cellStyle name="_IIL 10.03.2006_NFCL working file" xfId="10141" xr:uid="{00000000-0005-0000-0000-00009D270000}"/>
    <cellStyle name="_IIL 10.03.2006_NFCL_ Tax Audit Report FY08-09 " xfId="10142" xr:uid="{00000000-0005-0000-0000-00009E270000}"/>
    <cellStyle name="_IIL 10.03.2006_Revised Consol Balance Sheet_Sophia_Jan09_10.02.2009" xfId="10143" xr:uid="{00000000-0005-0000-0000-00009F270000}"/>
    <cellStyle name="_IIL 10.03.2006_Sophia Consol for Printout 22 Jun 09" xfId="10144" xr:uid="{00000000-0005-0000-0000-0000A0270000}"/>
    <cellStyle name="_IIL 10.03.2006_Sophia Consol_march_09_05 June  09_1" xfId="10145" xr:uid="{00000000-0005-0000-0000-0000A1270000}"/>
    <cellStyle name="_IIL 10.03.2006_Tax Audit Report  F.Y.08-09" xfId="10146" xr:uid="{00000000-0005-0000-0000-0000A2270000}"/>
    <cellStyle name="_IIL 10.03.2006_Tax Audit Report  ICSL F.Y.09-10" xfId="10147" xr:uid="{00000000-0005-0000-0000-0000A3270000}"/>
    <cellStyle name="_IIL 10.03.2006_Treasury ICD Interest_ MIS_ 23  09 2009(final)" xfId="10148" xr:uid="{00000000-0005-0000-0000-0000A4270000}"/>
    <cellStyle name="_IIL 10.03.2006_Treasury ICD Interest_ MIS_ 30. 06 2009(final)" xfId="10149" xr:uid="{00000000-0005-0000-0000-0000A5270000}"/>
    <cellStyle name="_IIL 10.03.2006_Treasury ICD Interest_ MIS_ 30. 09 2009(final)" xfId="10150" xr:uid="{00000000-0005-0000-0000-0000A6270000}"/>
    <cellStyle name="_IIL 10.03.2006_Treasury ICD Interest_ MIS_ 31 05 2009" xfId="10151" xr:uid="{00000000-0005-0000-0000-0000A7270000}"/>
    <cellStyle name="_IIL 10.03.2006_Treasury ICD Interest_ MIS_ 31 10 2009" xfId="10152" xr:uid="{00000000-0005-0000-0000-0000A8270000}"/>
    <cellStyle name="_IIL 10.03.2006_Treasury ICD Interest_ MIS_ 31.10.2009" xfId="10153" xr:uid="{00000000-0005-0000-0000-0000A9270000}"/>
    <cellStyle name="_IIL 10.03.2006_Treasury ICD Interest_ MIS_ 310309" xfId="10154" xr:uid="{00000000-0005-0000-0000-0000AA270000}"/>
    <cellStyle name="_IIL 10.09.2006" xfId="10155" xr:uid="{00000000-0005-0000-0000-0000AB270000}"/>
    <cellStyle name="_IIL 10.09.2006 2" xfId="10156" xr:uid="{00000000-0005-0000-0000-0000AC270000}"/>
    <cellStyle name="_IIL 10.09.2006 2 2" xfId="10157" xr:uid="{00000000-0005-0000-0000-0000AD270000}"/>
    <cellStyle name="_IIL 10.09.2006 3" xfId="10158" xr:uid="{00000000-0005-0000-0000-0000AE270000}"/>
    <cellStyle name="_IIL 10.09.2006_269SS &amp; T IIAPL 09-10" xfId="10159" xr:uid="{00000000-0005-0000-0000-0000AF270000}"/>
    <cellStyle name="_IIL 10.09.2006_Abstract-2007-08" xfId="10160" xr:uid="{00000000-0005-0000-0000-0000B0270000}"/>
    <cellStyle name="_IIL 10.09.2006_Abstract-2007-08 2" xfId="10161" xr:uid="{00000000-0005-0000-0000-0000B1270000}"/>
    <cellStyle name="_IIL 10.09.2006_Advance Tax Format_F.Y. 2010-11" xfId="10162" xr:uid="{00000000-0005-0000-0000-0000B2270000}"/>
    <cellStyle name="_IIL 10.09.2006_Advance Tax Sophia Jun 09" xfId="10163" xr:uid="{00000000-0005-0000-0000-0000B3270000}"/>
    <cellStyle name="_IIL 10.09.2006_Asset Management Company Limited" xfId="10164" xr:uid="{00000000-0005-0000-0000-0000B4270000}"/>
    <cellStyle name="_IIL 10.09.2006_Base File For Segment" xfId="10165" xr:uid="{00000000-0005-0000-0000-0000B5270000}"/>
    <cellStyle name="_IIL 10.09.2006_Book1" xfId="10166" xr:uid="{00000000-0005-0000-0000-0000B6270000}"/>
    <cellStyle name="_IIL 10.09.2006_Book1 (2)" xfId="10167" xr:uid="{00000000-0005-0000-0000-0000B7270000}"/>
    <cellStyle name="_IIL 10.09.2006_Book1 (2) 2" xfId="10168" xr:uid="{00000000-0005-0000-0000-0000B8270000}"/>
    <cellStyle name="_IIL 10.09.2006_Bracond Balance Sheet  PL_301108_krishanu" xfId="10169" xr:uid="{00000000-0005-0000-0000-0000B9270000}"/>
    <cellStyle name="_IIL 10.09.2006_BS _IB Asset Management _3103_ver5" xfId="10170" xr:uid="{00000000-0005-0000-0000-0000BA270000}"/>
    <cellStyle name="_IIL 10.09.2006_BS _IB Asset Management _3103_ver5_IAMCL BS working -New format_31.03 V5" xfId="10171" xr:uid="{00000000-0005-0000-0000-0000BB270000}"/>
    <cellStyle name="_IIL 10.09.2006_CCL_3353_2007-08" xfId="10172" xr:uid="{00000000-0005-0000-0000-0000BC270000}"/>
    <cellStyle name="_IIL 10.09.2006_ChlorisProperties_3351_Dec.08" xfId="10173" xr:uid="{00000000-0005-0000-0000-0000BD270000}"/>
    <cellStyle name="_IIL 10.09.2006_Consol Balance Sheet_Sophia_Dec08_Ibrel_1.3" xfId="10174" xr:uid="{00000000-0005-0000-0000-0000BE270000}"/>
    <cellStyle name="_IIL 10.09.2006_CRAR - dec- 10v-12" xfId="10175" xr:uid="{00000000-0005-0000-0000-0000BF270000}"/>
    <cellStyle name="_IIL 10.09.2006_CRAR - dec- 10v-12 2" xfId="10176" xr:uid="{00000000-0005-0000-0000-0000C0270000}"/>
    <cellStyle name="_IIL 10.09.2006_detail (2)" xfId="10177" xr:uid="{00000000-0005-0000-0000-0000C1270000}"/>
    <cellStyle name="_IIL 10.09.2006_Detail of IPO funding" xfId="10178" xr:uid="{00000000-0005-0000-0000-0000C2270000}"/>
    <cellStyle name="_IIL 10.09.2006_Details" xfId="10179" xr:uid="{00000000-0005-0000-0000-0000C3270000}"/>
    <cellStyle name="_IIL 10.09.2006_Entries Passed in Conso for profit on sale of invRevised 30.07.08" xfId="10180" xr:uid="{00000000-0005-0000-0000-0000C4270000}"/>
    <cellStyle name="_IIL 10.09.2006_Entries Passed in Conso for profit on sale of invRevised 30.07.08 2" xfId="10181" xr:uid="{00000000-0005-0000-0000-0000C5270000}"/>
    <cellStyle name="_IIL 10.09.2006_Entries Passed in Conso for profit on sale of invRevised 30.07.08_IREL_3000_08-09" xfId="10182" xr:uid="{00000000-0005-0000-0000-0000C6270000}"/>
    <cellStyle name="_IIL 10.09.2006_Entries Passed in Conso for profit on sale of invRevised 30.07.08_IREL_3000_08-09 2" xfId="10183" xr:uid="{00000000-0005-0000-0000-0000C7270000}"/>
    <cellStyle name="_IIL 10.09.2006_Entries Passed in Conso for profit on sale of invRevised 30.07.08_IREL_3000_08-09 2 2" xfId="10184" xr:uid="{00000000-0005-0000-0000-0000C8270000}"/>
    <cellStyle name="_IIL 10.09.2006_Entries Passed in Conso for profit on sale of invRevised 30.07.08_IREL_3000_08-09 3" xfId="10185" xr:uid="{00000000-0005-0000-0000-0000C9270000}"/>
    <cellStyle name="_IIL 10.09.2006_Entries Passed in Conso for profit on sale of invRevised 30.07.08_IREL_3000_08-09 stage 3" xfId="10186" xr:uid="{00000000-0005-0000-0000-0000CA270000}"/>
    <cellStyle name="_IIL 10.09.2006_Entries Passed in Conso for profit on sale of invRevised 30.07.08_IREL_3000_08-09 stage 3 2" xfId="10187" xr:uid="{00000000-0005-0000-0000-0000CB270000}"/>
    <cellStyle name="_IIL 10.09.2006_Entries Passed in Conso for profit on sale of invRevised 30.07.08_IREL_3000_08-09 stage 3_IREL_3000_08-09" xfId="10188" xr:uid="{00000000-0005-0000-0000-0000CC270000}"/>
    <cellStyle name="_IIL 10.09.2006_Entries Passed in Conso for profit on sale of invRevised 30.07.08_IREL_3000_08-09 stage 3_IREL_3000_08-09 2" xfId="10189" xr:uid="{00000000-0005-0000-0000-0000CD270000}"/>
    <cellStyle name="_IIL 10.09.2006_Entries Passed in Conso for profit on sale of invRevised 30.07.08_IREL_3000_08-09 stage 3_IREL_3000_08-09 2 2" xfId="10190" xr:uid="{00000000-0005-0000-0000-0000CE270000}"/>
    <cellStyle name="_IIL 10.09.2006_Entries Passed in Conso for profit on sale of invRevised 30.07.08_IREL_3000_08-09 stage 3_IREL_3000_08-09 3" xfId="10191" xr:uid="{00000000-0005-0000-0000-0000CF270000}"/>
    <cellStyle name="_IIL 10.09.2006_Entries Passed in Conso for profit on sale of invRevised 30.07.08_IREL_3000_08-09_IBREAL_BS PACK-Version.02" xfId="10192" xr:uid="{00000000-0005-0000-0000-0000D0270000}"/>
    <cellStyle name="_IIL 10.09.2006_Entries Passed in Conso for profit on sale of invRevised 30.07.08_IREL_3000_08-09_IBREAL_BS PACK-Version.02 2" xfId="10193" xr:uid="{00000000-0005-0000-0000-0000D1270000}"/>
    <cellStyle name="_IIL 10.09.2006_Entries Passed in Conso for profit on sale of invRevised 30.07.08_IREL_3000_08-09_IBREAL_BS PACK-Version.02 2 2" xfId="10194" xr:uid="{00000000-0005-0000-0000-0000D2270000}"/>
    <cellStyle name="_IIL 10.09.2006_Entries Passed in Conso for profit on sale of invRevised 30.07.08_IREL_3000_08-09_IBREAL_BS PACK-Version.02 3" xfId="10195" xr:uid="{00000000-0005-0000-0000-0000D3270000}"/>
    <cellStyle name="_IIL 10.09.2006_Entries Passed in Conso for profit on sale of invRevised 30.07.08_IREL_3000_08-09_IBREAL_BS PACK-Version.02_IBREAL_BS PACK-Version.03" xfId="10196" xr:uid="{00000000-0005-0000-0000-0000D4270000}"/>
    <cellStyle name="_IIL 10.09.2006_Entries Passed in Conso for profit on sale of invRevised 30.07.08_IREL_3000_08-09_IBREAL_BS PACK-Version.02_IBREAL_BS PACK-Version.03 2" xfId="10197" xr:uid="{00000000-0005-0000-0000-0000D5270000}"/>
    <cellStyle name="_IIL 10.09.2006_Entries Passed in Conso for profit on sale of invRevised 30.07.08_IREL_3000_08-09_IBREAL_BS PACK-Version.02_IBREAL_BS PACK-Version.03 2 2" xfId="10198" xr:uid="{00000000-0005-0000-0000-0000D6270000}"/>
    <cellStyle name="_IIL 10.09.2006_Entries Passed in Conso for profit on sale of invRevised 30.07.08_IREL_3000_08-09_IBREAL_BS PACK-Version.02_IBREAL_BS PACK-Version.03 3" xfId="10199" xr:uid="{00000000-0005-0000-0000-0000D7270000}"/>
    <cellStyle name="_IIL 10.09.2006_Entries Passed in Conso for profit on sale of invRevised 30.07.08_IREL_3000_08-09_IBREAL_BS PACK-Version.02_IBREAL_BS PACK-Version.03_IBREAL_BS PACK-Version.07" xfId="10200" xr:uid="{00000000-0005-0000-0000-0000D8270000}"/>
    <cellStyle name="_IIL 10.09.2006_Entries Passed in Conso for profit on sale of invRevised 30.07.08_IREL_3000_08-09_IBREAL_BS PACK-Version.02_IBREAL_BS PACK-Version.03_IBREAL_BS PACK-Version.07 2" xfId="10201" xr:uid="{00000000-0005-0000-0000-0000D9270000}"/>
    <cellStyle name="_IIL 10.09.2006_Entries Passed in Conso for profit on sale of invRevised 30.07.08_IREL_3000_08-09_IBREAL_BS PACK-Version.02_IBREAL_BS PACK-Version.03_IBREAL_BS PACK-Version.07 2 2" xfId="10202" xr:uid="{00000000-0005-0000-0000-0000DA270000}"/>
    <cellStyle name="_IIL 10.09.2006_Entries Passed in Conso for profit on sale of invRevised 30.07.08_IREL_3000_08-09_IBREAL_BS PACK-Version.02_IBREAL_BS PACK-Version.03_IBREAL_BS PACK-Version.07 3" xfId="10203" xr:uid="{00000000-0005-0000-0000-0000DB270000}"/>
    <cellStyle name="_IIL 10.09.2006_EPL_3346_2007-08(C)" xfId="10204" xr:uid="{00000000-0005-0000-0000-0000DC270000}"/>
    <cellStyle name="_IIL 10.09.2006_FD Detail" xfId="10205" xr:uid="{00000000-0005-0000-0000-0000DD270000}"/>
    <cellStyle name="_IIL 10.09.2006_FD Detail_Xl0000013" xfId="10206" xr:uid="{00000000-0005-0000-0000-0000DE270000}"/>
    <cellStyle name="_IIL 10.09.2006_Final Consol Balance Sheet_Sophia_Dec08_27.01.08" xfId="10207" xr:uid="{00000000-0005-0000-0000-0000DF270000}"/>
    <cellStyle name="_IIL 10.09.2006_Fixed Assets consolidated" xfId="10208" xr:uid="{00000000-0005-0000-0000-0000E0270000}"/>
    <cellStyle name="_IIL 10.09.2006_IAMCL BS working -New format_31.03 V5" xfId="10209" xr:uid="{00000000-0005-0000-0000-0000E1270000}"/>
    <cellStyle name="_IIL 10.09.2006_IB Asset Management _2910" xfId="10210" xr:uid="{00000000-0005-0000-0000-0000E2270000}"/>
    <cellStyle name="_IIL 10.09.2006_IB Asset Management _2910_IB Collection Agency_3103 V3" xfId="10211" xr:uid="{00000000-0005-0000-0000-0000E3270000}"/>
    <cellStyle name="_IIL 10.09.2006_IB Asset Management _2910_IB Collection Agency_3103 V3_ICAL-New Format_31.03 V4" xfId="10212" xr:uid="{00000000-0005-0000-0000-0000E4270000}"/>
    <cellStyle name="_IIL 10.09.2006_IB Asset Management _2910_ICAL-BS Final Working _New format" xfId="10213" xr:uid="{00000000-0005-0000-0000-0000E5270000}"/>
    <cellStyle name="_IIL 10.09.2006_IB Asset Management _3103_ver5" xfId="10214" xr:uid="{00000000-0005-0000-0000-0000E6270000}"/>
    <cellStyle name="_IIL 10.09.2006_IB Asset Management_3103 V2" xfId="10215" xr:uid="{00000000-0005-0000-0000-0000E7270000}"/>
    <cellStyle name="_IIL 10.09.2006_IB Asset Management_3103 V4" xfId="10216" xr:uid="{00000000-0005-0000-0000-0000E8270000}"/>
    <cellStyle name="_IIL 10.09.2006_IB Asset Management_3103 V5" xfId="10217" xr:uid="{00000000-0005-0000-0000-0000E9270000}"/>
    <cellStyle name="_IIL 10.09.2006_IB Collection Agency_3103 V3" xfId="10218" xr:uid="{00000000-0005-0000-0000-0000EA270000}"/>
    <cellStyle name="_IIL 10.09.2006_IB Collection Agency_3103 V3_ICAL-New Format_31.03 V4" xfId="10219" xr:uid="{00000000-0005-0000-0000-0000EB270000}"/>
    <cellStyle name="_IIL 10.09.2006_IB Infrastructure Credit" xfId="10220" xr:uid="{00000000-0005-0000-0000-0000EC270000}"/>
    <cellStyle name="_IIL 10.09.2006_IB Infrastructure Credit-3103_V6" xfId="10221" xr:uid="{00000000-0005-0000-0000-0000ED270000}"/>
    <cellStyle name="_IIL 10.09.2006_IB Infrastructure Credit-3103_V7" xfId="10222" xr:uid="{00000000-0005-0000-0000-0000EE270000}"/>
    <cellStyle name="_IIL 10.09.2006_IB Life Insurance_3103 V4" xfId="10223" xr:uid="{00000000-0005-0000-0000-0000EF270000}"/>
    <cellStyle name="_IIL 10.09.2006_IB Trustee Company_3103 V4" xfId="10224" xr:uid="{00000000-0005-0000-0000-0000F0270000}"/>
    <cellStyle name="_IIL 10.09.2006_IBFSL 30 Sep 11 V8" xfId="10225" xr:uid="{00000000-0005-0000-0000-0000F1270000}"/>
    <cellStyle name="_IIL 10.09.2006_IBFSL 31 May V1" xfId="10226" xr:uid="{00000000-0005-0000-0000-0000F2270000}"/>
    <cellStyle name="_IIL 10.09.2006_IBFSL 31 May V1_Xl0000013" xfId="10227" xr:uid="{00000000-0005-0000-0000-0000F3270000}"/>
    <cellStyle name="_IIL 10.09.2006_IBFSL_Conso_March_10_11" xfId="10228" xr:uid="{00000000-0005-0000-0000-0000F4270000}"/>
    <cellStyle name="_IIL 10.09.2006_IBLIC_BS  Final working -New_Format_31.03 V5" xfId="10229" xr:uid="{00000000-0005-0000-0000-0000F5270000}"/>
    <cellStyle name="_IIL 10.09.2006_Ibulls BS Final woirking -New format_31.03 V5" xfId="10230" xr:uid="{00000000-0005-0000-0000-0000F6270000}"/>
    <cellStyle name="_IIL 10.09.2006_IbullsSales_3103" xfId="10231" xr:uid="{00000000-0005-0000-0000-0000F7270000}"/>
    <cellStyle name="_IIL 10.09.2006_IbullsSales_3103 V2" xfId="10232" xr:uid="{00000000-0005-0000-0000-0000F8270000}"/>
    <cellStyle name="_IIL 10.09.2006_IbullsSales_3103 V5" xfId="10233" xr:uid="{00000000-0005-0000-0000-0000F9270000}"/>
    <cellStyle name="_IIL 10.09.2006_ICAL-BS Final Working _New format" xfId="10234" xr:uid="{00000000-0005-0000-0000-0000FA270000}"/>
    <cellStyle name="_IIL 10.09.2006_ICL_BS_30.06.2009" xfId="10235" xr:uid="{00000000-0005-0000-0000-0000FB270000}"/>
    <cellStyle name="_IIL 10.09.2006_ICPL_BS_31.03.2009_new" xfId="10236" xr:uid="{00000000-0005-0000-0000-0000FC270000}"/>
    <cellStyle name="_IIL 10.09.2006_ICPL_BS_31.03.2009_new_ISL__3CD_FY2010-11" xfId="10237" xr:uid="{00000000-0005-0000-0000-0000FD270000}"/>
    <cellStyle name="_IIL 10.09.2006_IDSL_31.03.2010" xfId="10238" xr:uid="{00000000-0005-0000-0000-0000FE270000}"/>
    <cellStyle name="_IIL 10.09.2006_IFCPL 31 03 2010 VER6 Final" xfId="10239" xr:uid="{00000000-0005-0000-0000-0000FF270000}"/>
    <cellStyle name="_IIL 10.09.2006_IHFL_Dec_23_2008" xfId="10240" xr:uid="{00000000-0005-0000-0000-000000280000}"/>
    <cellStyle name="_IIL 10.09.2006_IHFL_Dec_23_2008_Xl0000013" xfId="10241" xr:uid="{00000000-0005-0000-0000-000001280000}"/>
    <cellStyle name="_IIL 10.09.2006_IHFL_SEP_30_2009 XIII AUDIT- Sch II" xfId="10242" xr:uid="{00000000-0005-0000-0000-000002280000}"/>
    <cellStyle name="_IIL 10.09.2006_IIAL 31.03.2010 VER2" xfId="10243" xr:uid="{00000000-0005-0000-0000-000003280000}"/>
    <cellStyle name="_IIL 10.09.2006_IICL_March'11" xfId="10244" xr:uid="{00000000-0005-0000-0000-000004280000}"/>
    <cellStyle name="_IIL 10.09.2006_IIDL_3227_2008_09" xfId="10245" xr:uid="{00000000-0005-0000-0000-000005280000}"/>
    <cellStyle name="_IIL 10.09.2006_IIDL_3227_2008_09_Advance Tax Summary" xfId="10246" xr:uid="{00000000-0005-0000-0000-000006280000}"/>
    <cellStyle name="_IIL 10.09.2006_IIDL_3227_2008_09_Advance Tax Summary 2" xfId="10247" xr:uid="{00000000-0005-0000-0000-000007280000}"/>
    <cellStyle name="_IIL 10.09.2006_IIDL_3227_2008_09_ISL Group - Advance Tax working for 3rd Instalment" xfId="10248" xr:uid="{00000000-0005-0000-0000-000008280000}"/>
    <cellStyle name="_IIL 10.09.2006_IIDL_3227_2008_09_Xl0000013" xfId="10249" xr:uid="{00000000-0005-0000-0000-000009280000}"/>
    <cellStyle name="_IIL 10.09.2006_Indiabulls Asset Management Company Limited printable" xfId="10250" xr:uid="{00000000-0005-0000-0000-00000A280000}"/>
    <cellStyle name="_IIL 10.09.2006_IREL_3000_08-09" xfId="10251" xr:uid="{00000000-0005-0000-0000-00000B280000}"/>
    <cellStyle name="_IIL 10.09.2006_IREL_3000_08-09 2" xfId="10252" xr:uid="{00000000-0005-0000-0000-00000C280000}"/>
    <cellStyle name="_IIL 10.09.2006_ISL_March_08_09.final_11.12.2009" xfId="10253" xr:uid="{00000000-0005-0000-0000-00000D280000}"/>
    <cellStyle name="_IIL 10.09.2006_ISL_March_08_09.final_11.12.2009_ISL__3CD_FY2010-11" xfId="10254" xr:uid="{00000000-0005-0000-0000-00000E280000}"/>
    <cellStyle name="_IIL 10.09.2006_ITCL_BS working _New format_31.03 V7" xfId="10255" xr:uid="{00000000-0005-0000-0000-00000F280000}"/>
    <cellStyle name="_IIL 10.09.2006_ITCL-New format_31.03 V6" xfId="10256" xr:uid="{00000000-0005-0000-0000-000010280000}"/>
    <cellStyle name="_IIL 10.09.2006_NFCL working file" xfId="10257" xr:uid="{00000000-0005-0000-0000-000011280000}"/>
    <cellStyle name="_IIL 10.09.2006_NFCL_ Tax Audit Report FY08-09 " xfId="10258" xr:uid="{00000000-0005-0000-0000-000012280000}"/>
    <cellStyle name="_IIL 10.09.2006_Revised Consol Balance Sheet_Sophia_Jan09_10.02.2009" xfId="10259" xr:uid="{00000000-0005-0000-0000-000013280000}"/>
    <cellStyle name="_IIL 10.09.2006_Sophia Consol for Printout 22 Jun 09" xfId="10260" xr:uid="{00000000-0005-0000-0000-000014280000}"/>
    <cellStyle name="_IIL 10.09.2006_Sophia Consol_march_09_05 June  09_1" xfId="10261" xr:uid="{00000000-0005-0000-0000-000015280000}"/>
    <cellStyle name="_IIL 10.09.2006_Tax Audit Report  F.Y.08-09" xfId="10262" xr:uid="{00000000-0005-0000-0000-000016280000}"/>
    <cellStyle name="_IIL 10.09.2006_Tax Audit Report  ICSL F.Y.09-10" xfId="10263" xr:uid="{00000000-0005-0000-0000-000017280000}"/>
    <cellStyle name="_IIL 10.09.2006_Treasury ICD Interest_ MIS_ 23  09 2009(final)" xfId="10264" xr:uid="{00000000-0005-0000-0000-000018280000}"/>
    <cellStyle name="_IIL 10.09.2006_Treasury ICD Interest_ MIS_ 30. 06 2009(final)" xfId="10265" xr:uid="{00000000-0005-0000-0000-000019280000}"/>
    <cellStyle name="_IIL 10.09.2006_Treasury ICD Interest_ MIS_ 30. 09 2009(final)" xfId="10266" xr:uid="{00000000-0005-0000-0000-00001A280000}"/>
    <cellStyle name="_IIL 10.09.2006_Treasury ICD Interest_ MIS_ 31 05 2009" xfId="10267" xr:uid="{00000000-0005-0000-0000-00001B280000}"/>
    <cellStyle name="_IIL 10.09.2006_Treasury ICD Interest_ MIS_ 31 10 2009" xfId="10268" xr:uid="{00000000-0005-0000-0000-00001C280000}"/>
    <cellStyle name="_IIL 10.09.2006_Treasury ICD Interest_ MIS_ 31.10.2009" xfId="10269" xr:uid="{00000000-0005-0000-0000-00001D280000}"/>
    <cellStyle name="_IIL 10.09.2006_Treasury ICD Interest_ MIS_ 310309" xfId="10270" xr:uid="{00000000-0005-0000-0000-00001E280000}"/>
    <cellStyle name="_IIPL  10.09.2006" xfId="10271" xr:uid="{00000000-0005-0000-0000-00001F280000}"/>
    <cellStyle name="_IIPL  10.09.2006 2" xfId="10272" xr:uid="{00000000-0005-0000-0000-000020280000}"/>
    <cellStyle name="_IIPL  10.09.2006 2 2" xfId="10273" xr:uid="{00000000-0005-0000-0000-000021280000}"/>
    <cellStyle name="_IIPL  10.09.2006 3" xfId="10274" xr:uid="{00000000-0005-0000-0000-000022280000}"/>
    <cellStyle name="_IIPL  10.09.2006_269SS &amp; T IIAPL 09-10" xfId="10275" xr:uid="{00000000-0005-0000-0000-000023280000}"/>
    <cellStyle name="_IIPL  10.09.2006_Abstract-2007-08" xfId="10276" xr:uid="{00000000-0005-0000-0000-000024280000}"/>
    <cellStyle name="_IIPL  10.09.2006_Abstract-2007-08 2" xfId="10277" xr:uid="{00000000-0005-0000-0000-000025280000}"/>
    <cellStyle name="_IIPL  10.09.2006_Advance Tax Format_F.Y. 2010-11" xfId="10278" xr:uid="{00000000-0005-0000-0000-000026280000}"/>
    <cellStyle name="_IIPL  10.09.2006_Advance Tax Sophia Jun 09" xfId="10279" xr:uid="{00000000-0005-0000-0000-000027280000}"/>
    <cellStyle name="_IIPL  10.09.2006_Asset Management Company Limited" xfId="10280" xr:uid="{00000000-0005-0000-0000-000028280000}"/>
    <cellStyle name="_IIPL  10.09.2006_Base File For Segment" xfId="10281" xr:uid="{00000000-0005-0000-0000-000029280000}"/>
    <cellStyle name="_IIPL  10.09.2006_Book1" xfId="10282" xr:uid="{00000000-0005-0000-0000-00002A280000}"/>
    <cellStyle name="_IIPL  10.09.2006_Book1 (2)" xfId="10283" xr:uid="{00000000-0005-0000-0000-00002B280000}"/>
    <cellStyle name="_IIPL  10.09.2006_Book1 (2) 2" xfId="10284" xr:uid="{00000000-0005-0000-0000-00002C280000}"/>
    <cellStyle name="_IIPL  10.09.2006_Bracond Balance Sheet  PL_301108_krishanu" xfId="10285" xr:uid="{00000000-0005-0000-0000-00002D280000}"/>
    <cellStyle name="_IIPL  10.09.2006_BS _IB Asset Management _3103_ver5" xfId="10286" xr:uid="{00000000-0005-0000-0000-00002E280000}"/>
    <cellStyle name="_IIPL  10.09.2006_BS _IB Asset Management _3103_ver5_IAMCL BS working -New format_31.03 V5" xfId="10287" xr:uid="{00000000-0005-0000-0000-00002F280000}"/>
    <cellStyle name="_IIPL  10.09.2006_CCL_3353_2007-08" xfId="10288" xr:uid="{00000000-0005-0000-0000-000030280000}"/>
    <cellStyle name="_IIPL  10.09.2006_ChlorisProperties_3351_Dec.08" xfId="10289" xr:uid="{00000000-0005-0000-0000-000031280000}"/>
    <cellStyle name="_IIPL  10.09.2006_Consol Balance Sheet_Sophia_Dec08_Ibrel_1.3" xfId="10290" xr:uid="{00000000-0005-0000-0000-000032280000}"/>
    <cellStyle name="_IIPL  10.09.2006_CRAR - dec- 10v-12" xfId="10291" xr:uid="{00000000-0005-0000-0000-000033280000}"/>
    <cellStyle name="_IIPL  10.09.2006_CRAR - dec- 10v-12 2" xfId="10292" xr:uid="{00000000-0005-0000-0000-000034280000}"/>
    <cellStyle name="_IIPL  10.09.2006_detail (2)" xfId="10293" xr:uid="{00000000-0005-0000-0000-000035280000}"/>
    <cellStyle name="_IIPL  10.09.2006_Detail of IPO funding" xfId="10294" xr:uid="{00000000-0005-0000-0000-000036280000}"/>
    <cellStyle name="_IIPL  10.09.2006_Details" xfId="10295" xr:uid="{00000000-0005-0000-0000-000037280000}"/>
    <cellStyle name="_IIPL  10.09.2006_Entries Passed in Conso for profit on sale of invRevised 30.07.08" xfId="10296" xr:uid="{00000000-0005-0000-0000-000038280000}"/>
    <cellStyle name="_IIPL  10.09.2006_Entries Passed in Conso for profit on sale of invRevised 30.07.08 2" xfId="10297" xr:uid="{00000000-0005-0000-0000-000039280000}"/>
    <cellStyle name="_IIPL  10.09.2006_Entries Passed in Conso for profit on sale of invRevised 30.07.08_IREL_3000_08-09" xfId="10298" xr:uid="{00000000-0005-0000-0000-00003A280000}"/>
    <cellStyle name="_IIPL  10.09.2006_Entries Passed in Conso for profit on sale of invRevised 30.07.08_IREL_3000_08-09 2" xfId="10299" xr:uid="{00000000-0005-0000-0000-00003B280000}"/>
    <cellStyle name="_IIPL  10.09.2006_Entries Passed in Conso for profit on sale of invRevised 30.07.08_IREL_3000_08-09 2 2" xfId="10300" xr:uid="{00000000-0005-0000-0000-00003C280000}"/>
    <cellStyle name="_IIPL  10.09.2006_Entries Passed in Conso for profit on sale of invRevised 30.07.08_IREL_3000_08-09 3" xfId="10301" xr:uid="{00000000-0005-0000-0000-00003D280000}"/>
    <cellStyle name="_IIPL  10.09.2006_Entries Passed in Conso for profit on sale of invRevised 30.07.08_IREL_3000_08-09 stage 3" xfId="10302" xr:uid="{00000000-0005-0000-0000-00003E280000}"/>
    <cellStyle name="_IIPL  10.09.2006_Entries Passed in Conso for profit on sale of invRevised 30.07.08_IREL_3000_08-09 stage 3 2" xfId="10303" xr:uid="{00000000-0005-0000-0000-00003F280000}"/>
    <cellStyle name="_IIPL  10.09.2006_Entries Passed in Conso for profit on sale of invRevised 30.07.08_IREL_3000_08-09 stage 3_IREL_3000_08-09" xfId="10304" xr:uid="{00000000-0005-0000-0000-000040280000}"/>
    <cellStyle name="_IIPL  10.09.2006_Entries Passed in Conso for profit on sale of invRevised 30.07.08_IREL_3000_08-09 stage 3_IREL_3000_08-09 2" xfId="10305" xr:uid="{00000000-0005-0000-0000-000041280000}"/>
    <cellStyle name="_IIPL  10.09.2006_Entries Passed in Conso for profit on sale of invRevised 30.07.08_IREL_3000_08-09 stage 3_IREL_3000_08-09 2 2" xfId="10306" xr:uid="{00000000-0005-0000-0000-000042280000}"/>
    <cellStyle name="_IIPL  10.09.2006_Entries Passed in Conso for profit on sale of invRevised 30.07.08_IREL_3000_08-09 stage 3_IREL_3000_08-09 3" xfId="10307" xr:uid="{00000000-0005-0000-0000-000043280000}"/>
    <cellStyle name="_IIPL  10.09.2006_Entries Passed in Conso for profit on sale of invRevised 30.07.08_IREL_3000_08-09_IBREAL_BS PACK-Version.02" xfId="10308" xr:uid="{00000000-0005-0000-0000-000044280000}"/>
    <cellStyle name="_IIPL  10.09.2006_Entries Passed in Conso for profit on sale of invRevised 30.07.08_IREL_3000_08-09_IBREAL_BS PACK-Version.02 2" xfId="10309" xr:uid="{00000000-0005-0000-0000-000045280000}"/>
    <cellStyle name="_IIPL  10.09.2006_Entries Passed in Conso for profit on sale of invRevised 30.07.08_IREL_3000_08-09_IBREAL_BS PACK-Version.02 2 2" xfId="10310" xr:uid="{00000000-0005-0000-0000-000046280000}"/>
    <cellStyle name="_IIPL  10.09.2006_Entries Passed in Conso for profit on sale of invRevised 30.07.08_IREL_3000_08-09_IBREAL_BS PACK-Version.02 3" xfId="10311" xr:uid="{00000000-0005-0000-0000-000047280000}"/>
    <cellStyle name="_IIPL  10.09.2006_Entries Passed in Conso for profit on sale of invRevised 30.07.08_IREL_3000_08-09_IBREAL_BS PACK-Version.02_IBREAL_BS PACK-Version.03" xfId="10312" xr:uid="{00000000-0005-0000-0000-000048280000}"/>
    <cellStyle name="_IIPL  10.09.2006_Entries Passed in Conso for profit on sale of invRevised 30.07.08_IREL_3000_08-09_IBREAL_BS PACK-Version.02_IBREAL_BS PACK-Version.03 2" xfId="10313" xr:uid="{00000000-0005-0000-0000-000049280000}"/>
    <cellStyle name="_IIPL  10.09.2006_Entries Passed in Conso for profit on sale of invRevised 30.07.08_IREL_3000_08-09_IBREAL_BS PACK-Version.02_IBREAL_BS PACK-Version.03 2 2" xfId="10314" xr:uid="{00000000-0005-0000-0000-00004A280000}"/>
    <cellStyle name="_IIPL  10.09.2006_Entries Passed in Conso for profit on sale of invRevised 30.07.08_IREL_3000_08-09_IBREAL_BS PACK-Version.02_IBREAL_BS PACK-Version.03 3" xfId="10315" xr:uid="{00000000-0005-0000-0000-00004B280000}"/>
    <cellStyle name="_IIPL  10.09.2006_Entries Passed in Conso for profit on sale of invRevised 30.07.08_IREL_3000_08-09_IBREAL_BS PACK-Version.02_IBREAL_BS PACK-Version.03_IBREAL_BS PACK-Version.07" xfId="10316" xr:uid="{00000000-0005-0000-0000-00004C280000}"/>
    <cellStyle name="_IIPL  10.09.2006_Entries Passed in Conso for profit on sale of invRevised 30.07.08_IREL_3000_08-09_IBREAL_BS PACK-Version.02_IBREAL_BS PACK-Version.03_IBREAL_BS PACK-Version.07 2" xfId="10317" xr:uid="{00000000-0005-0000-0000-00004D280000}"/>
    <cellStyle name="_IIPL  10.09.2006_Entries Passed in Conso for profit on sale of invRevised 30.07.08_IREL_3000_08-09_IBREAL_BS PACK-Version.02_IBREAL_BS PACK-Version.03_IBREAL_BS PACK-Version.07 2 2" xfId="10318" xr:uid="{00000000-0005-0000-0000-00004E280000}"/>
    <cellStyle name="_IIPL  10.09.2006_Entries Passed in Conso for profit on sale of invRevised 30.07.08_IREL_3000_08-09_IBREAL_BS PACK-Version.02_IBREAL_BS PACK-Version.03_IBREAL_BS PACK-Version.07 3" xfId="10319" xr:uid="{00000000-0005-0000-0000-00004F280000}"/>
    <cellStyle name="_IIPL  10.09.2006_EPL_3346_2007-08(C)" xfId="10320" xr:uid="{00000000-0005-0000-0000-000050280000}"/>
    <cellStyle name="_IIPL  10.09.2006_FD Detail" xfId="10321" xr:uid="{00000000-0005-0000-0000-000051280000}"/>
    <cellStyle name="_IIPL  10.09.2006_FD Detail_Xl0000013" xfId="10322" xr:uid="{00000000-0005-0000-0000-000052280000}"/>
    <cellStyle name="_IIPL  10.09.2006_Final Consol Balance Sheet_Sophia_Dec08_27.01.08" xfId="10323" xr:uid="{00000000-0005-0000-0000-000053280000}"/>
    <cellStyle name="_IIPL  10.09.2006_Fixed Assets consolidated" xfId="10324" xr:uid="{00000000-0005-0000-0000-000054280000}"/>
    <cellStyle name="_IIPL  10.09.2006_IAMCL BS working -New format_31.03 V5" xfId="10325" xr:uid="{00000000-0005-0000-0000-000055280000}"/>
    <cellStyle name="_IIPL  10.09.2006_IB Asset Management _2910" xfId="10326" xr:uid="{00000000-0005-0000-0000-000056280000}"/>
    <cellStyle name="_IIPL  10.09.2006_IB Asset Management _2910_IB Collection Agency_3103 V3" xfId="10327" xr:uid="{00000000-0005-0000-0000-000057280000}"/>
    <cellStyle name="_IIPL  10.09.2006_IB Asset Management _2910_IB Collection Agency_3103 V3_ICAL-New Format_31.03 V4" xfId="10328" xr:uid="{00000000-0005-0000-0000-000058280000}"/>
    <cellStyle name="_IIPL  10.09.2006_IB Asset Management _2910_ICAL-BS Final Working _New format" xfId="10329" xr:uid="{00000000-0005-0000-0000-000059280000}"/>
    <cellStyle name="_IIPL  10.09.2006_IB Asset Management _3103_ver5" xfId="10330" xr:uid="{00000000-0005-0000-0000-00005A280000}"/>
    <cellStyle name="_IIPL  10.09.2006_IB Asset Management_3103 V2" xfId="10331" xr:uid="{00000000-0005-0000-0000-00005B280000}"/>
    <cellStyle name="_IIPL  10.09.2006_IB Asset Management_3103 V4" xfId="10332" xr:uid="{00000000-0005-0000-0000-00005C280000}"/>
    <cellStyle name="_IIPL  10.09.2006_IB Asset Management_3103 V5" xfId="10333" xr:uid="{00000000-0005-0000-0000-00005D280000}"/>
    <cellStyle name="_IIPL  10.09.2006_IB Collection Agency_3103 V3" xfId="10334" xr:uid="{00000000-0005-0000-0000-00005E280000}"/>
    <cellStyle name="_IIPL  10.09.2006_IB Collection Agency_3103 V3_ICAL-New Format_31.03 V4" xfId="10335" xr:uid="{00000000-0005-0000-0000-00005F280000}"/>
    <cellStyle name="_IIPL  10.09.2006_IB Infrastructure Credit" xfId="10336" xr:uid="{00000000-0005-0000-0000-000060280000}"/>
    <cellStyle name="_IIPL  10.09.2006_IB Infrastructure Credit-3103_V6" xfId="10337" xr:uid="{00000000-0005-0000-0000-000061280000}"/>
    <cellStyle name="_IIPL  10.09.2006_IB Infrastructure Credit-3103_V7" xfId="10338" xr:uid="{00000000-0005-0000-0000-000062280000}"/>
    <cellStyle name="_IIPL  10.09.2006_IB Life Insurance_3103 V4" xfId="10339" xr:uid="{00000000-0005-0000-0000-000063280000}"/>
    <cellStyle name="_IIPL  10.09.2006_IB Trustee Company_3103 V4" xfId="10340" xr:uid="{00000000-0005-0000-0000-000064280000}"/>
    <cellStyle name="_IIPL  10.09.2006_IBFSL 30 Sep 11 V8" xfId="10341" xr:uid="{00000000-0005-0000-0000-000065280000}"/>
    <cellStyle name="_IIPL  10.09.2006_IBFSL 31 May V1" xfId="10342" xr:uid="{00000000-0005-0000-0000-000066280000}"/>
    <cellStyle name="_IIPL  10.09.2006_IBFSL 31 May V1_Xl0000013" xfId="10343" xr:uid="{00000000-0005-0000-0000-000067280000}"/>
    <cellStyle name="_IIPL  10.09.2006_IBFSL_Conso_March_10_11" xfId="10344" xr:uid="{00000000-0005-0000-0000-000068280000}"/>
    <cellStyle name="_IIPL  10.09.2006_IBLIC_BS  Final working -New_Format_31.03 V5" xfId="10345" xr:uid="{00000000-0005-0000-0000-000069280000}"/>
    <cellStyle name="_IIPL  10.09.2006_Ibulls BS Final woirking -New format_31.03 V5" xfId="10346" xr:uid="{00000000-0005-0000-0000-00006A280000}"/>
    <cellStyle name="_IIPL  10.09.2006_IbullsSales_3103" xfId="10347" xr:uid="{00000000-0005-0000-0000-00006B280000}"/>
    <cellStyle name="_IIPL  10.09.2006_IbullsSales_3103 V2" xfId="10348" xr:uid="{00000000-0005-0000-0000-00006C280000}"/>
    <cellStyle name="_IIPL  10.09.2006_IbullsSales_3103 V5" xfId="10349" xr:uid="{00000000-0005-0000-0000-00006D280000}"/>
    <cellStyle name="_IIPL  10.09.2006_ICAL-BS Final Working _New format" xfId="10350" xr:uid="{00000000-0005-0000-0000-00006E280000}"/>
    <cellStyle name="_IIPL  10.09.2006_ICL_BS_30.06.2009" xfId="10351" xr:uid="{00000000-0005-0000-0000-00006F280000}"/>
    <cellStyle name="_IIPL  10.09.2006_ICPL_BS_31.03.2009_new" xfId="10352" xr:uid="{00000000-0005-0000-0000-000070280000}"/>
    <cellStyle name="_IIPL  10.09.2006_ICPL_BS_31.03.2009_new_ISL__3CD_FY2010-11" xfId="10353" xr:uid="{00000000-0005-0000-0000-000071280000}"/>
    <cellStyle name="_IIPL  10.09.2006_IDSL_31.03.2010" xfId="10354" xr:uid="{00000000-0005-0000-0000-000072280000}"/>
    <cellStyle name="_IIPL  10.09.2006_IFCPL 31 03 2010 VER6 Final" xfId="10355" xr:uid="{00000000-0005-0000-0000-000073280000}"/>
    <cellStyle name="_IIPL  10.09.2006_IHFL_Dec_23_2008" xfId="10356" xr:uid="{00000000-0005-0000-0000-000074280000}"/>
    <cellStyle name="_IIPL  10.09.2006_IHFL_Dec_23_2008_Xl0000013" xfId="10357" xr:uid="{00000000-0005-0000-0000-000075280000}"/>
    <cellStyle name="_IIPL  10.09.2006_IHFL_SEP_30_2009 XIII AUDIT- Sch II" xfId="10358" xr:uid="{00000000-0005-0000-0000-000076280000}"/>
    <cellStyle name="_IIPL  10.09.2006_IIAL 31.03.2010 VER2" xfId="10359" xr:uid="{00000000-0005-0000-0000-000077280000}"/>
    <cellStyle name="_IIPL  10.09.2006_IICL_March'11" xfId="10360" xr:uid="{00000000-0005-0000-0000-000078280000}"/>
    <cellStyle name="_IIPL  10.09.2006_IIDL_3227_2008_09" xfId="10361" xr:uid="{00000000-0005-0000-0000-000079280000}"/>
    <cellStyle name="_IIPL  10.09.2006_IIDL_3227_2008_09_Advance Tax Summary" xfId="10362" xr:uid="{00000000-0005-0000-0000-00007A280000}"/>
    <cellStyle name="_IIPL  10.09.2006_IIDL_3227_2008_09_Advance Tax Summary 2" xfId="10363" xr:uid="{00000000-0005-0000-0000-00007B280000}"/>
    <cellStyle name="_IIPL  10.09.2006_IIDL_3227_2008_09_ISL Group - Advance Tax working for 3rd Instalment" xfId="10364" xr:uid="{00000000-0005-0000-0000-00007C280000}"/>
    <cellStyle name="_IIPL  10.09.2006_IIDL_3227_2008_09_Xl0000013" xfId="10365" xr:uid="{00000000-0005-0000-0000-00007D280000}"/>
    <cellStyle name="_IIPL  10.09.2006_Indiabulls Asset Management Company Limited printable" xfId="10366" xr:uid="{00000000-0005-0000-0000-00007E280000}"/>
    <cellStyle name="_IIPL  10.09.2006_IREL_3000_08-09" xfId="10367" xr:uid="{00000000-0005-0000-0000-00007F280000}"/>
    <cellStyle name="_IIPL  10.09.2006_IREL_3000_08-09 2" xfId="10368" xr:uid="{00000000-0005-0000-0000-000080280000}"/>
    <cellStyle name="_IIPL  10.09.2006_ISL_March_08_09.final_11.12.2009" xfId="10369" xr:uid="{00000000-0005-0000-0000-000081280000}"/>
    <cellStyle name="_IIPL  10.09.2006_ISL_March_08_09.final_11.12.2009_ISL__3CD_FY2010-11" xfId="10370" xr:uid="{00000000-0005-0000-0000-000082280000}"/>
    <cellStyle name="_IIPL  10.09.2006_ITCL_BS working _New format_31.03 V7" xfId="10371" xr:uid="{00000000-0005-0000-0000-000083280000}"/>
    <cellStyle name="_IIPL  10.09.2006_ITCL-New format_31.03 V6" xfId="10372" xr:uid="{00000000-0005-0000-0000-000084280000}"/>
    <cellStyle name="_IIPL  10.09.2006_NFCL working file" xfId="10373" xr:uid="{00000000-0005-0000-0000-000085280000}"/>
    <cellStyle name="_IIPL  10.09.2006_NFCL_ Tax Audit Report FY08-09 " xfId="10374" xr:uid="{00000000-0005-0000-0000-000086280000}"/>
    <cellStyle name="_IIPL  10.09.2006_Revised Consol Balance Sheet_Sophia_Jan09_10.02.2009" xfId="10375" xr:uid="{00000000-0005-0000-0000-000087280000}"/>
    <cellStyle name="_IIPL  10.09.2006_Sophia Consol for Printout 22 Jun 09" xfId="10376" xr:uid="{00000000-0005-0000-0000-000088280000}"/>
    <cellStyle name="_IIPL  10.09.2006_Sophia Consol_march_09_05 June  09_1" xfId="10377" xr:uid="{00000000-0005-0000-0000-000089280000}"/>
    <cellStyle name="_IIPL  10.09.2006_Tax Audit Report  F.Y.08-09" xfId="10378" xr:uid="{00000000-0005-0000-0000-00008A280000}"/>
    <cellStyle name="_IIPL  10.09.2006_Tax Audit Report  ICSL F.Y.09-10" xfId="10379" xr:uid="{00000000-0005-0000-0000-00008B280000}"/>
    <cellStyle name="_IIPL  10.09.2006_Treasury ICD Interest_ MIS_ 23  09 2009(final)" xfId="10380" xr:uid="{00000000-0005-0000-0000-00008C280000}"/>
    <cellStyle name="_IIPL  10.09.2006_Treasury ICD Interest_ MIS_ 30. 06 2009(final)" xfId="10381" xr:uid="{00000000-0005-0000-0000-00008D280000}"/>
    <cellStyle name="_IIPL  10.09.2006_Treasury ICD Interest_ MIS_ 30. 09 2009(final)" xfId="10382" xr:uid="{00000000-0005-0000-0000-00008E280000}"/>
    <cellStyle name="_IIPL  10.09.2006_Treasury ICD Interest_ MIS_ 31 05 2009" xfId="10383" xr:uid="{00000000-0005-0000-0000-00008F280000}"/>
    <cellStyle name="_IIPL  10.09.2006_Treasury ICD Interest_ MIS_ 31 10 2009" xfId="10384" xr:uid="{00000000-0005-0000-0000-000090280000}"/>
    <cellStyle name="_IIPL  10.09.2006_Treasury ICD Interest_ MIS_ 31.10.2009" xfId="10385" xr:uid="{00000000-0005-0000-0000-000091280000}"/>
    <cellStyle name="_IIPL  10.09.2006_Treasury ICD Interest_ MIS_ 310309" xfId="10386" xr:uid="{00000000-0005-0000-0000-000092280000}"/>
    <cellStyle name="_ILHL    10.09.2006" xfId="10387" xr:uid="{00000000-0005-0000-0000-000093280000}"/>
    <cellStyle name="_ILHL    10.09.2006 2" xfId="10388" xr:uid="{00000000-0005-0000-0000-000094280000}"/>
    <cellStyle name="_ILHL    10.09.2006 2 2" xfId="10389" xr:uid="{00000000-0005-0000-0000-000095280000}"/>
    <cellStyle name="_ILHL    10.09.2006 3" xfId="10390" xr:uid="{00000000-0005-0000-0000-000096280000}"/>
    <cellStyle name="_ILHL    10.09.2006_269SS &amp; T IIAPL 09-10" xfId="10391" xr:uid="{00000000-0005-0000-0000-000097280000}"/>
    <cellStyle name="_ILHL    10.09.2006_Abstract-2007-08" xfId="10392" xr:uid="{00000000-0005-0000-0000-000098280000}"/>
    <cellStyle name="_ILHL    10.09.2006_Abstract-2007-08 2" xfId="10393" xr:uid="{00000000-0005-0000-0000-000099280000}"/>
    <cellStyle name="_ILHL    10.09.2006_Advance Tax Format_F.Y. 2010-11" xfId="10394" xr:uid="{00000000-0005-0000-0000-00009A280000}"/>
    <cellStyle name="_ILHL    10.09.2006_Advance Tax Sophia Jun 09" xfId="10395" xr:uid="{00000000-0005-0000-0000-00009B280000}"/>
    <cellStyle name="_ILHL    10.09.2006_Asset Management Company Limited" xfId="10396" xr:uid="{00000000-0005-0000-0000-00009C280000}"/>
    <cellStyle name="_ILHL    10.09.2006_Base File For Segment" xfId="10397" xr:uid="{00000000-0005-0000-0000-00009D280000}"/>
    <cellStyle name="_ILHL    10.09.2006_Book1" xfId="10398" xr:uid="{00000000-0005-0000-0000-00009E280000}"/>
    <cellStyle name="_ILHL    10.09.2006_Book1 (2)" xfId="10399" xr:uid="{00000000-0005-0000-0000-00009F280000}"/>
    <cellStyle name="_ILHL    10.09.2006_Book1 (2) 2" xfId="10400" xr:uid="{00000000-0005-0000-0000-0000A0280000}"/>
    <cellStyle name="_ILHL    10.09.2006_Bracond Balance Sheet  PL_301108_krishanu" xfId="10401" xr:uid="{00000000-0005-0000-0000-0000A1280000}"/>
    <cellStyle name="_ILHL    10.09.2006_BS _IB Asset Management _3103_ver5" xfId="10402" xr:uid="{00000000-0005-0000-0000-0000A2280000}"/>
    <cellStyle name="_ILHL    10.09.2006_BS _IB Asset Management _3103_ver5_IAMCL BS working -New format_31.03 V5" xfId="10403" xr:uid="{00000000-0005-0000-0000-0000A3280000}"/>
    <cellStyle name="_ILHL    10.09.2006_CCL_3353_2007-08" xfId="10404" xr:uid="{00000000-0005-0000-0000-0000A4280000}"/>
    <cellStyle name="_ILHL    10.09.2006_ChlorisProperties_3351_Dec.08" xfId="10405" xr:uid="{00000000-0005-0000-0000-0000A5280000}"/>
    <cellStyle name="_ILHL    10.09.2006_Consol Balance Sheet_Sophia_Dec08_Ibrel_1.3" xfId="10406" xr:uid="{00000000-0005-0000-0000-0000A6280000}"/>
    <cellStyle name="_ILHL    10.09.2006_CRAR - dec- 10v-12" xfId="10407" xr:uid="{00000000-0005-0000-0000-0000A7280000}"/>
    <cellStyle name="_ILHL    10.09.2006_CRAR - dec- 10v-12 2" xfId="10408" xr:uid="{00000000-0005-0000-0000-0000A8280000}"/>
    <cellStyle name="_ILHL    10.09.2006_detail (2)" xfId="10409" xr:uid="{00000000-0005-0000-0000-0000A9280000}"/>
    <cellStyle name="_ILHL    10.09.2006_Detail of IPO funding" xfId="10410" xr:uid="{00000000-0005-0000-0000-0000AA280000}"/>
    <cellStyle name="_ILHL    10.09.2006_Details" xfId="10411" xr:uid="{00000000-0005-0000-0000-0000AB280000}"/>
    <cellStyle name="_ILHL    10.09.2006_Entries Passed in Conso for profit on sale of invRevised 30.07.08" xfId="10412" xr:uid="{00000000-0005-0000-0000-0000AC280000}"/>
    <cellStyle name="_ILHL    10.09.2006_Entries Passed in Conso for profit on sale of invRevised 30.07.08 2" xfId="10413" xr:uid="{00000000-0005-0000-0000-0000AD280000}"/>
    <cellStyle name="_ILHL    10.09.2006_Entries Passed in Conso for profit on sale of invRevised 30.07.08_IREL_3000_08-09" xfId="10414" xr:uid="{00000000-0005-0000-0000-0000AE280000}"/>
    <cellStyle name="_ILHL    10.09.2006_Entries Passed in Conso for profit on sale of invRevised 30.07.08_IREL_3000_08-09 2" xfId="10415" xr:uid="{00000000-0005-0000-0000-0000AF280000}"/>
    <cellStyle name="_ILHL    10.09.2006_Entries Passed in Conso for profit on sale of invRevised 30.07.08_IREL_3000_08-09 2 2" xfId="10416" xr:uid="{00000000-0005-0000-0000-0000B0280000}"/>
    <cellStyle name="_ILHL    10.09.2006_Entries Passed in Conso for profit on sale of invRevised 30.07.08_IREL_3000_08-09 3" xfId="10417" xr:uid="{00000000-0005-0000-0000-0000B1280000}"/>
    <cellStyle name="_ILHL    10.09.2006_Entries Passed in Conso for profit on sale of invRevised 30.07.08_IREL_3000_08-09 stage 3" xfId="10418" xr:uid="{00000000-0005-0000-0000-0000B2280000}"/>
    <cellStyle name="_ILHL    10.09.2006_Entries Passed in Conso for profit on sale of invRevised 30.07.08_IREL_3000_08-09 stage 3 2" xfId="10419" xr:uid="{00000000-0005-0000-0000-0000B3280000}"/>
    <cellStyle name="_ILHL    10.09.2006_Entries Passed in Conso for profit on sale of invRevised 30.07.08_IREL_3000_08-09 stage 3_IREL_3000_08-09" xfId="10420" xr:uid="{00000000-0005-0000-0000-0000B4280000}"/>
    <cellStyle name="_ILHL    10.09.2006_Entries Passed in Conso for profit on sale of invRevised 30.07.08_IREL_3000_08-09 stage 3_IREL_3000_08-09 2" xfId="10421" xr:uid="{00000000-0005-0000-0000-0000B5280000}"/>
    <cellStyle name="_ILHL    10.09.2006_Entries Passed in Conso for profit on sale of invRevised 30.07.08_IREL_3000_08-09 stage 3_IREL_3000_08-09 2 2" xfId="10422" xr:uid="{00000000-0005-0000-0000-0000B6280000}"/>
    <cellStyle name="_ILHL    10.09.2006_Entries Passed in Conso for profit on sale of invRevised 30.07.08_IREL_3000_08-09 stage 3_IREL_3000_08-09 3" xfId="10423" xr:uid="{00000000-0005-0000-0000-0000B7280000}"/>
    <cellStyle name="_ILHL    10.09.2006_Entries Passed in Conso for profit on sale of invRevised 30.07.08_IREL_3000_08-09_IBREAL_BS PACK-Version.02" xfId="10424" xr:uid="{00000000-0005-0000-0000-0000B8280000}"/>
    <cellStyle name="_ILHL    10.09.2006_Entries Passed in Conso for profit on sale of invRevised 30.07.08_IREL_3000_08-09_IBREAL_BS PACK-Version.02 2" xfId="10425" xr:uid="{00000000-0005-0000-0000-0000B9280000}"/>
    <cellStyle name="_ILHL    10.09.2006_Entries Passed in Conso for profit on sale of invRevised 30.07.08_IREL_3000_08-09_IBREAL_BS PACK-Version.02 2 2" xfId="10426" xr:uid="{00000000-0005-0000-0000-0000BA280000}"/>
    <cellStyle name="_ILHL    10.09.2006_Entries Passed in Conso for profit on sale of invRevised 30.07.08_IREL_3000_08-09_IBREAL_BS PACK-Version.02 3" xfId="10427" xr:uid="{00000000-0005-0000-0000-0000BB280000}"/>
    <cellStyle name="_ILHL    10.09.2006_Entries Passed in Conso for profit on sale of invRevised 30.07.08_IREL_3000_08-09_IBREAL_BS PACK-Version.02_IBREAL_BS PACK-Version.03" xfId="10428" xr:uid="{00000000-0005-0000-0000-0000BC280000}"/>
    <cellStyle name="_ILHL    10.09.2006_Entries Passed in Conso for profit on sale of invRevised 30.07.08_IREL_3000_08-09_IBREAL_BS PACK-Version.02_IBREAL_BS PACK-Version.03 2" xfId="10429" xr:uid="{00000000-0005-0000-0000-0000BD280000}"/>
    <cellStyle name="_ILHL    10.09.2006_Entries Passed in Conso for profit on sale of invRevised 30.07.08_IREL_3000_08-09_IBREAL_BS PACK-Version.02_IBREAL_BS PACK-Version.03 2 2" xfId="10430" xr:uid="{00000000-0005-0000-0000-0000BE280000}"/>
    <cellStyle name="_ILHL    10.09.2006_Entries Passed in Conso for profit on sale of invRevised 30.07.08_IREL_3000_08-09_IBREAL_BS PACK-Version.02_IBREAL_BS PACK-Version.03 3" xfId="10431" xr:uid="{00000000-0005-0000-0000-0000BF280000}"/>
    <cellStyle name="_ILHL    10.09.2006_Entries Passed in Conso for profit on sale of invRevised 30.07.08_IREL_3000_08-09_IBREAL_BS PACK-Version.02_IBREAL_BS PACK-Version.03_IBREAL_BS PACK-Version.07" xfId="10432" xr:uid="{00000000-0005-0000-0000-0000C0280000}"/>
    <cellStyle name="_ILHL    10.09.2006_Entries Passed in Conso for profit on sale of invRevised 30.07.08_IREL_3000_08-09_IBREAL_BS PACK-Version.02_IBREAL_BS PACK-Version.03_IBREAL_BS PACK-Version.07 2" xfId="10433" xr:uid="{00000000-0005-0000-0000-0000C1280000}"/>
    <cellStyle name="_ILHL    10.09.2006_Entries Passed in Conso for profit on sale of invRevised 30.07.08_IREL_3000_08-09_IBREAL_BS PACK-Version.02_IBREAL_BS PACK-Version.03_IBREAL_BS PACK-Version.07 2 2" xfId="10434" xr:uid="{00000000-0005-0000-0000-0000C2280000}"/>
    <cellStyle name="_ILHL    10.09.2006_Entries Passed in Conso for profit on sale of invRevised 30.07.08_IREL_3000_08-09_IBREAL_BS PACK-Version.02_IBREAL_BS PACK-Version.03_IBREAL_BS PACK-Version.07 3" xfId="10435" xr:uid="{00000000-0005-0000-0000-0000C3280000}"/>
    <cellStyle name="_ILHL    10.09.2006_EPL_3346_2007-08(C)" xfId="10436" xr:uid="{00000000-0005-0000-0000-0000C4280000}"/>
    <cellStyle name="_ILHL    10.09.2006_FD Detail" xfId="10437" xr:uid="{00000000-0005-0000-0000-0000C5280000}"/>
    <cellStyle name="_ILHL    10.09.2006_FD Detail_Xl0000013" xfId="10438" xr:uid="{00000000-0005-0000-0000-0000C6280000}"/>
    <cellStyle name="_ILHL    10.09.2006_Final Consol Balance Sheet_Sophia_Dec08_27.01.08" xfId="10439" xr:uid="{00000000-0005-0000-0000-0000C7280000}"/>
    <cellStyle name="_ILHL    10.09.2006_Fixed Assets consolidated" xfId="10440" xr:uid="{00000000-0005-0000-0000-0000C8280000}"/>
    <cellStyle name="_ILHL    10.09.2006_IAMCL BS working -New format_31.03 V5" xfId="10441" xr:uid="{00000000-0005-0000-0000-0000C9280000}"/>
    <cellStyle name="_ILHL    10.09.2006_IB Asset Management _2910" xfId="10442" xr:uid="{00000000-0005-0000-0000-0000CA280000}"/>
    <cellStyle name="_ILHL    10.09.2006_IB Asset Management _2910_IB Collection Agency_3103 V3" xfId="10443" xr:uid="{00000000-0005-0000-0000-0000CB280000}"/>
    <cellStyle name="_ILHL    10.09.2006_IB Asset Management _2910_IB Collection Agency_3103 V3_ICAL-New Format_31.03 V4" xfId="10444" xr:uid="{00000000-0005-0000-0000-0000CC280000}"/>
    <cellStyle name="_ILHL    10.09.2006_IB Asset Management _2910_ICAL-BS Final Working _New format" xfId="10445" xr:uid="{00000000-0005-0000-0000-0000CD280000}"/>
    <cellStyle name="_ILHL    10.09.2006_IB Asset Management _3103_ver5" xfId="10446" xr:uid="{00000000-0005-0000-0000-0000CE280000}"/>
    <cellStyle name="_ILHL    10.09.2006_IB Asset Management_3103 V2" xfId="10447" xr:uid="{00000000-0005-0000-0000-0000CF280000}"/>
    <cellStyle name="_ILHL    10.09.2006_IB Asset Management_3103 V4" xfId="10448" xr:uid="{00000000-0005-0000-0000-0000D0280000}"/>
    <cellStyle name="_ILHL    10.09.2006_IB Asset Management_3103 V5" xfId="10449" xr:uid="{00000000-0005-0000-0000-0000D1280000}"/>
    <cellStyle name="_ILHL    10.09.2006_IB Collection Agency_3103 V3" xfId="10450" xr:uid="{00000000-0005-0000-0000-0000D2280000}"/>
    <cellStyle name="_ILHL    10.09.2006_IB Collection Agency_3103 V3_ICAL-New Format_31.03 V4" xfId="10451" xr:uid="{00000000-0005-0000-0000-0000D3280000}"/>
    <cellStyle name="_ILHL    10.09.2006_IB Infrastructure Credit" xfId="10452" xr:uid="{00000000-0005-0000-0000-0000D4280000}"/>
    <cellStyle name="_ILHL    10.09.2006_IB Infrastructure Credit-3103_V6" xfId="10453" xr:uid="{00000000-0005-0000-0000-0000D5280000}"/>
    <cellStyle name="_ILHL    10.09.2006_IB Infrastructure Credit-3103_V7" xfId="10454" xr:uid="{00000000-0005-0000-0000-0000D6280000}"/>
    <cellStyle name="_ILHL    10.09.2006_IB Life Insurance_3103 V4" xfId="10455" xr:uid="{00000000-0005-0000-0000-0000D7280000}"/>
    <cellStyle name="_ILHL    10.09.2006_IB Trustee Company_3103 V4" xfId="10456" xr:uid="{00000000-0005-0000-0000-0000D8280000}"/>
    <cellStyle name="_ILHL    10.09.2006_IBFSL 30 Sep 11 V8" xfId="10457" xr:uid="{00000000-0005-0000-0000-0000D9280000}"/>
    <cellStyle name="_ILHL    10.09.2006_IBFSL 31 May V1" xfId="10458" xr:uid="{00000000-0005-0000-0000-0000DA280000}"/>
    <cellStyle name="_ILHL    10.09.2006_IBFSL 31 May V1_Xl0000013" xfId="10459" xr:uid="{00000000-0005-0000-0000-0000DB280000}"/>
    <cellStyle name="_ILHL    10.09.2006_IBFSL_Conso_March_10_11" xfId="10460" xr:uid="{00000000-0005-0000-0000-0000DC280000}"/>
    <cellStyle name="_ILHL    10.09.2006_IBLIC_BS  Final working -New_Format_31.03 V5" xfId="10461" xr:uid="{00000000-0005-0000-0000-0000DD280000}"/>
    <cellStyle name="_ILHL    10.09.2006_Ibulls BS Final woirking -New format_31.03 V5" xfId="10462" xr:uid="{00000000-0005-0000-0000-0000DE280000}"/>
    <cellStyle name="_ILHL    10.09.2006_IbullsSales_3103" xfId="10463" xr:uid="{00000000-0005-0000-0000-0000DF280000}"/>
    <cellStyle name="_ILHL    10.09.2006_IbullsSales_3103 V2" xfId="10464" xr:uid="{00000000-0005-0000-0000-0000E0280000}"/>
    <cellStyle name="_ILHL    10.09.2006_IbullsSales_3103 V5" xfId="10465" xr:uid="{00000000-0005-0000-0000-0000E1280000}"/>
    <cellStyle name="_ILHL    10.09.2006_ICAL-BS Final Working _New format" xfId="10466" xr:uid="{00000000-0005-0000-0000-0000E2280000}"/>
    <cellStyle name="_ILHL    10.09.2006_ICL_BS_30.06.2009" xfId="10467" xr:uid="{00000000-0005-0000-0000-0000E3280000}"/>
    <cellStyle name="_ILHL    10.09.2006_ICPL_BS_31.03.2009_new" xfId="10468" xr:uid="{00000000-0005-0000-0000-0000E4280000}"/>
    <cellStyle name="_ILHL    10.09.2006_ICPL_BS_31.03.2009_new_ISL__3CD_FY2010-11" xfId="10469" xr:uid="{00000000-0005-0000-0000-0000E5280000}"/>
    <cellStyle name="_ILHL    10.09.2006_IDSL_31.03.2010" xfId="10470" xr:uid="{00000000-0005-0000-0000-0000E6280000}"/>
    <cellStyle name="_ILHL    10.09.2006_IFCPL 31 03 2010 VER6 Final" xfId="10471" xr:uid="{00000000-0005-0000-0000-0000E7280000}"/>
    <cellStyle name="_ILHL    10.09.2006_IHFL_Dec_23_2008" xfId="10472" xr:uid="{00000000-0005-0000-0000-0000E8280000}"/>
    <cellStyle name="_ILHL    10.09.2006_IHFL_Dec_23_2008_Xl0000013" xfId="10473" xr:uid="{00000000-0005-0000-0000-0000E9280000}"/>
    <cellStyle name="_ILHL    10.09.2006_IHFL_SEP_30_2009 XIII AUDIT- Sch II" xfId="10474" xr:uid="{00000000-0005-0000-0000-0000EA280000}"/>
    <cellStyle name="_ILHL    10.09.2006_IIAL 31.03.2010 VER2" xfId="10475" xr:uid="{00000000-0005-0000-0000-0000EB280000}"/>
    <cellStyle name="_ILHL    10.09.2006_IICL_March'11" xfId="10476" xr:uid="{00000000-0005-0000-0000-0000EC280000}"/>
    <cellStyle name="_ILHL    10.09.2006_IIDL_3227_2008_09" xfId="10477" xr:uid="{00000000-0005-0000-0000-0000ED280000}"/>
    <cellStyle name="_ILHL    10.09.2006_IIDL_3227_2008_09_Advance Tax Summary" xfId="10478" xr:uid="{00000000-0005-0000-0000-0000EE280000}"/>
    <cellStyle name="_ILHL    10.09.2006_IIDL_3227_2008_09_Advance Tax Summary 2" xfId="10479" xr:uid="{00000000-0005-0000-0000-0000EF280000}"/>
    <cellStyle name="_ILHL    10.09.2006_IIDL_3227_2008_09_ISL Group - Advance Tax working for 3rd Instalment" xfId="10480" xr:uid="{00000000-0005-0000-0000-0000F0280000}"/>
    <cellStyle name="_ILHL    10.09.2006_IIDL_3227_2008_09_Xl0000013" xfId="10481" xr:uid="{00000000-0005-0000-0000-0000F1280000}"/>
    <cellStyle name="_ILHL    10.09.2006_Indiabulls Asset Management Company Limited printable" xfId="10482" xr:uid="{00000000-0005-0000-0000-0000F2280000}"/>
    <cellStyle name="_ILHL    10.09.2006_IREL_3000_08-09" xfId="10483" xr:uid="{00000000-0005-0000-0000-0000F3280000}"/>
    <cellStyle name="_ILHL    10.09.2006_IREL_3000_08-09 2" xfId="10484" xr:uid="{00000000-0005-0000-0000-0000F4280000}"/>
    <cellStyle name="_ILHL    10.09.2006_ISL_March_08_09.final_11.12.2009" xfId="10485" xr:uid="{00000000-0005-0000-0000-0000F5280000}"/>
    <cellStyle name="_ILHL    10.09.2006_ISL_March_08_09.final_11.12.2009_ISL__3CD_FY2010-11" xfId="10486" xr:uid="{00000000-0005-0000-0000-0000F6280000}"/>
    <cellStyle name="_ILHL    10.09.2006_ITCL_BS working _New format_31.03 V7" xfId="10487" xr:uid="{00000000-0005-0000-0000-0000F7280000}"/>
    <cellStyle name="_ILHL    10.09.2006_ITCL-New format_31.03 V6" xfId="10488" xr:uid="{00000000-0005-0000-0000-0000F8280000}"/>
    <cellStyle name="_ILHL    10.09.2006_NFCL working file" xfId="10489" xr:uid="{00000000-0005-0000-0000-0000F9280000}"/>
    <cellStyle name="_ILHL    10.09.2006_NFCL_ Tax Audit Report FY08-09 " xfId="10490" xr:uid="{00000000-0005-0000-0000-0000FA280000}"/>
    <cellStyle name="_ILHL    10.09.2006_Revised Consol Balance Sheet_Sophia_Jan09_10.02.2009" xfId="10491" xr:uid="{00000000-0005-0000-0000-0000FB280000}"/>
    <cellStyle name="_ILHL    10.09.2006_Sophia Consol for Printout 22 Jun 09" xfId="10492" xr:uid="{00000000-0005-0000-0000-0000FC280000}"/>
    <cellStyle name="_ILHL    10.09.2006_Sophia Consol_march_09_05 June  09_1" xfId="10493" xr:uid="{00000000-0005-0000-0000-0000FD280000}"/>
    <cellStyle name="_ILHL    10.09.2006_Tax Audit Report  F.Y.08-09" xfId="10494" xr:uid="{00000000-0005-0000-0000-0000FE280000}"/>
    <cellStyle name="_ILHL    10.09.2006_Tax Audit Report  ICSL F.Y.09-10" xfId="10495" xr:uid="{00000000-0005-0000-0000-0000FF280000}"/>
    <cellStyle name="_ILHL    10.09.2006_Treasury ICD Interest_ MIS_ 23  09 2009(final)" xfId="10496" xr:uid="{00000000-0005-0000-0000-000000290000}"/>
    <cellStyle name="_ILHL    10.09.2006_Treasury ICD Interest_ MIS_ 30. 06 2009(final)" xfId="10497" xr:uid="{00000000-0005-0000-0000-000001290000}"/>
    <cellStyle name="_ILHL    10.09.2006_Treasury ICD Interest_ MIS_ 30. 09 2009(final)" xfId="10498" xr:uid="{00000000-0005-0000-0000-000002290000}"/>
    <cellStyle name="_ILHL    10.09.2006_Treasury ICD Interest_ MIS_ 31 05 2009" xfId="10499" xr:uid="{00000000-0005-0000-0000-000003290000}"/>
    <cellStyle name="_ILHL    10.09.2006_Treasury ICD Interest_ MIS_ 31 10 2009" xfId="10500" xr:uid="{00000000-0005-0000-0000-000004290000}"/>
    <cellStyle name="_ILHL    10.09.2006_Treasury ICD Interest_ MIS_ 31.10.2009" xfId="10501" xr:uid="{00000000-0005-0000-0000-000005290000}"/>
    <cellStyle name="_ILHL    10.09.2006_Treasury ICD Interest_ MIS_ 310309" xfId="10502" xr:uid="{00000000-0005-0000-0000-000006290000}"/>
    <cellStyle name="_ILHL 10.03.2006" xfId="10503" xr:uid="{00000000-0005-0000-0000-000007290000}"/>
    <cellStyle name="_ILHL 10.03.2006 2" xfId="10504" xr:uid="{00000000-0005-0000-0000-000008290000}"/>
    <cellStyle name="_ILHL 10.03.2006 2 2" xfId="10505" xr:uid="{00000000-0005-0000-0000-000009290000}"/>
    <cellStyle name="_ILHL 10.03.2006 3" xfId="10506" xr:uid="{00000000-0005-0000-0000-00000A290000}"/>
    <cellStyle name="_ILHL 10.03.2006_269SS &amp; T IIAPL 09-10" xfId="10507" xr:uid="{00000000-0005-0000-0000-00000B290000}"/>
    <cellStyle name="_ILHL 10.03.2006_Abstract-2007-08" xfId="10508" xr:uid="{00000000-0005-0000-0000-00000C290000}"/>
    <cellStyle name="_ILHL 10.03.2006_Abstract-2007-08 2" xfId="10509" xr:uid="{00000000-0005-0000-0000-00000D290000}"/>
    <cellStyle name="_ILHL 10.03.2006_Advance Tax Format_F.Y. 2010-11" xfId="10510" xr:uid="{00000000-0005-0000-0000-00000E290000}"/>
    <cellStyle name="_ILHL 10.03.2006_Advance Tax Sophia Jun 09" xfId="10511" xr:uid="{00000000-0005-0000-0000-00000F290000}"/>
    <cellStyle name="_ILHL 10.03.2006_Asset Management Company Limited" xfId="10512" xr:uid="{00000000-0005-0000-0000-000010290000}"/>
    <cellStyle name="_ILHL 10.03.2006_Base File For Segment" xfId="10513" xr:uid="{00000000-0005-0000-0000-000011290000}"/>
    <cellStyle name="_ILHL 10.03.2006_Book1" xfId="10514" xr:uid="{00000000-0005-0000-0000-000012290000}"/>
    <cellStyle name="_ILHL 10.03.2006_Book1 (2)" xfId="10515" xr:uid="{00000000-0005-0000-0000-000013290000}"/>
    <cellStyle name="_ILHL 10.03.2006_Book1 (2) 2" xfId="10516" xr:uid="{00000000-0005-0000-0000-000014290000}"/>
    <cellStyle name="_ILHL 10.03.2006_Bracond Balance Sheet  PL_301108_krishanu" xfId="10517" xr:uid="{00000000-0005-0000-0000-000015290000}"/>
    <cellStyle name="_ILHL 10.03.2006_BS _IB Asset Management _3103_ver5" xfId="10518" xr:uid="{00000000-0005-0000-0000-000016290000}"/>
    <cellStyle name="_ILHL 10.03.2006_BS _IB Asset Management _3103_ver5_IAMCL BS working -New format_31.03 V5" xfId="10519" xr:uid="{00000000-0005-0000-0000-000017290000}"/>
    <cellStyle name="_ILHL 10.03.2006_CCL_3353_2007-08" xfId="10520" xr:uid="{00000000-0005-0000-0000-000018290000}"/>
    <cellStyle name="_ILHL 10.03.2006_ChlorisProperties_3351_Dec.08" xfId="10521" xr:uid="{00000000-0005-0000-0000-000019290000}"/>
    <cellStyle name="_ILHL 10.03.2006_Consol Balance Sheet_Sophia_Dec08_Ibrel_1.3" xfId="10522" xr:uid="{00000000-0005-0000-0000-00001A290000}"/>
    <cellStyle name="_ILHL 10.03.2006_CRAR - dec- 10v-12" xfId="10523" xr:uid="{00000000-0005-0000-0000-00001B290000}"/>
    <cellStyle name="_ILHL 10.03.2006_CRAR - dec- 10v-12 2" xfId="10524" xr:uid="{00000000-0005-0000-0000-00001C290000}"/>
    <cellStyle name="_ILHL 10.03.2006_detail (2)" xfId="10525" xr:uid="{00000000-0005-0000-0000-00001D290000}"/>
    <cellStyle name="_ILHL 10.03.2006_Detail of IPO funding" xfId="10526" xr:uid="{00000000-0005-0000-0000-00001E290000}"/>
    <cellStyle name="_ILHL 10.03.2006_Details" xfId="10527" xr:uid="{00000000-0005-0000-0000-00001F290000}"/>
    <cellStyle name="_ILHL 10.03.2006_Entries Passed in Conso for profit on sale of invRevised 30.07.08" xfId="10528" xr:uid="{00000000-0005-0000-0000-000020290000}"/>
    <cellStyle name="_ILHL 10.03.2006_Entries Passed in Conso for profit on sale of invRevised 30.07.08 2" xfId="10529" xr:uid="{00000000-0005-0000-0000-000021290000}"/>
    <cellStyle name="_ILHL 10.03.2006_Entries Passed in Conso for profit on sale of invRevised 30.07.08_IREL_3000_08-09" xfId="10530" xr:uid="{00000000-0005-0000-0000-000022290000}"/>
    <cellStyle name="_ILHL 10.03.2006_Entries Passed in Conso for profit on sale of invRevised 30.07.08_IREL_3000_08-09 2" xfId="10531" xr:uid="{00000000-0005-0000-0000-000023290000}"/>
    <cellStyle name="_ILHL 10.03.2006_Entries Passed in Conso for profit on sale of invRevised 30.07.08_IREL_3000_08-09 2 2" xfId="10532" xr:uid="{00000000-0005-0000-0000-000024290000}"/>
    <cellStyle name="_ILHL 10.03.2006_Entries Passed in Conso for profit on sale of invRevised 30.07.08_IREL_3000_08-09 3" xfId="10533" xr:uid="{00000000-0005-0000-0000-000025290000}"/>
    <cellStyle name="_ILHL 10.03.2006_Entries Passed in Conso for profit on sale of invRevised 30.07.08_IREL_3000_08-09 stage 3" xfId="10534" xr:uid="{00000000-0005-0000-0000-000026290000}"/>
    <cellStyle name="_ILHL 10.03.2006_Entries Passed in Conso for profit on sale of invRevised 30.07.08_IREL_3000_08-09 stage 3 2" xfId="10535" xr:uid="{00000000-0005-0000-0000-000027290000}"/>
    <cellStyle name="_ILHL 10.03.2006_Entries Passed in Conso for profit on sale of invRevised 30.07.08_IREL_3000_08-09 stage 3_IREL_3000_08-09" xfId="10536" xr:uid="{00000000-0005-0000-0000-000028290000}"/>
    <cellStyle name="_ILHL 10.03.2006_Entries Passed in Conso for profit on sale of invRevised 30.07.08_IREL_3000_08-09 stage 3_IREL_3000_08-09 2" xfId="10537" xr:uid="{00000000-0005-0000-0000-000029290000}"/>
    <cellStyle name="_ILHL 10.03.2006_Entries Passed in Conso for profit on sale of invRevised 30.07.08_IREL_3000_08-09 stage 3_IREL_3000_08-09 2 2" xfId="10538" xr:uid="{00000000-0005-0000-0000-00002A290000}"/>
    <cellStyle name="_ILHL 10.03.2006_Entries Passed in Conso for profit on sale of invRevised 30.07.08_IREL_3000_08-09 stage 3_IREL_3000_08-09 3" xfId="10539" xr:uid="{00000000-0005-0000-0000-00002B290000}"/>
    <cellStyle name="_ILHL 10.03.2006_Entries Passed in Conso for profit on sale of invRevised 30.07.08_IREL_3000_08-09_IBREAL_BS PACK-Version.02" xfId="10540" xr:uid="{00000000-0005-0000-0000-00002C290000}"/>
    <cellStyle name="_ILHL 10.03.2006_Entries Passed in Conso for profit on sale of invRevised 30.07.08_IREL_3000_08-09_IBREAL_BS PACK-Version.02 2" xfId="10541" xr:uid="{00000000-0005-0000-0000-00002D290000}"/>
    <cellStyle name="_ILHL 10.03.2006_Entries Passed in Conso for profit on sale of invRevised 30.07.08_IREL_3000_08-09_IBREAL_BS PACK-Version.02 2 2" xfId="10542" xr:uid="{00000000-0005-0000-0000-00002E290000}"/>
    <cellStyle name="_ILHL 10.03.2006_Entries Passed in Conso for profit on sale of invRevised 30.07.08_IREL_3000_08-09_IBREAL_BS PACK-Version.02 3" xfId="10543" xr:uid="{00000000-0005-0000-0000-00002F290000}"/>
    <cellStyle name="_ILHL 10.03.2006_Entries Passed in Conso for profit on sale of invRevised 30.07.08_IREL_3000_08-09_IBREAL_BS PACK-Version.02_IBREAL_BS PACK-Version.03" xfId="10544" xr:uid="{00000000-0005-0000-0000-000030290000}"/>
    <cellStyle name="_ILHL 10.03.2006_Entries Passed in Conso for profit on sale of invRevised 30.07.08_IREL_3000_08-09_IBREAL_BS PACK-Version.02_IBREAL_BS PACK-Version.03 2" xfId="10545" xr:uid="{00000000-0005-0000-0000-000031290000}"/>
    <cellStyle name="_ILHL 10.03.2006_Entries Passed in Conso for profit on sale of invRevised 30.07.08_IREL_3000_08-09_IBREAL_BS PACK-Version.02_IBREAL_BS PACK-Version.03 2 2" xfId="10546" xr:uid="{00000000-0005-0000-0000-000032290000}"/>
    <cellStyle name="_ILHL 10.03.2006_Entries Passed in Conso for profit on sale of invRevised 30.07.08_IREL_3000_08-09_IBREAL_BS PACK-Version.02_IBREAL_BS PACK-Version.03 3" xfId="10547" xr:uid="{00000000-0005-0000-0000-000033290000}"/>
    <cellStyle name="_ILHL 10.03.2006_Entries Passed in Conso for profit on sale of invRevised 30.07.08_IREL_3000_08-09_IBREAL_BS PACK-Version.02_IBREAL_BS PACK-Version.03_IBREAL_BS PACK-Version.07" xfId="10548" xr:uid="{00000000-0005-0000-0000-000034290000}"/>
    <cellStyle name="_ILHL 10.03.2006_Entries Passed in Conso for profit on sale of invRevised 30.07.08_IREL_3000_08-09_IBREAL_BS PACK-Version.02_IBREAL_BS PACK-Version.03_IBREAL_BS PACK-Version.07 2" xfId="10549" xr:uid="{00000000-0005-0000-0000-000035290000}"/>
    <cellStyle name="_ILHL 10.03.2006_Entries Passed in Conso for profit on sale of invRevised 30.07.08_IREL_3000_08-09_IBREAL_BS PACK-Version.02_IBREAL_BS PACK-Version.03_IBREAL_BS PACK-Version.07 2 2" xfId="10550" xr:uid="{00000000-0005-0000-0000-000036290000}"/>
    <cellStyle name="_ILHL 10.03.2006_Entries Passed in Conso for profit on sale of invRevised 30.07.08_IREL_3000_08-09_IBREAL_BS PACK-Version.02_IBREAL_BS PACK-Version.03_IBREAL_BS PACK-Version.07 3" xfId="10551" xr:uid="{00000000-0005-0000-0000-000037290000}"/>
    <cellStyle name="_ILHL 10.03.2006_EPL_3346_2007-08(C)" xfId="10552" xr:uid="{00000000-0005-0000-0000-000038290000}"/>
    <cellStyle name="_ILHL 10.03.2006_FD Detail" xfId="10553" xr:uid="{00000000-0005-0000-0000-000039290000}"/>
    <cellStyle name="_ILHL 10.03.2006_FD Detail_Xl0000013" xfId="10554" xr:uid="{00000000-0005-0000-0000-00003A290000}"/>
    <cellStyle name="_ILHL 10.03.2006_Final Consol Balance Sheet_Sophia_Dec08_27.01.08" xfId="10555" xr:uid="{00000000-0005-0000-0000-00003B290000}"/>
    <cellStyle name="_ILHL 10.03.2006_Fixed Assets consolidated" xfId="10556" xr:uid="{00000000-0005-0000-0000-00003C290000}"/>
    <cellStyle name="_ILHL 10.03.2006_IAMCL BS working -New format_31.03 V5" xfId="10557" xr:uid="{00000000-0005-0000-0000-00003D290000}"/>
    <cellStyle name="_ILHL 10.03.2006_IB Asset Management _2910" xfId="10558" xr:uid="{00000000-0005-0000-0000-00003E290000}"/>
    <cellStyle name="_ILHL 10.03.2006_IB Asset Management _2910_IB Collection Agency_3103 V3" xfId="10559" xr:uid="{00000000-0005-0000-0000-00003F290000}"/>
    <cellStyle name="_ILHL 10.03.2006_IB Asset Management _2910_IB Collection Agency_3103 V3_ICAL-New Format_31.03 V4" xfId="10560" xr:uid="{00000000-0005-0000-0000-000040290000}"/>
    <cellStyle name="_ILHL 10.03.2006_IB Asset Management _2910_ICAL-BS Final Working _New format" xfId="10561" xr:uid="{00000000-0005-0000-0000-000041290000}"/>
    <cellStyle name="_ILHL 10.03.2006_IB Asset Management _3103_ver5" xfId="10562" xr:uid="{00000000-0005-0000-0000-000042290000}"/>
    <cellStyle name="_ILHL 10.03.2006_IB Asset Management_3103 V2" xfId="10563" xr:uid="{00000000-0005-0000-0000-000043290000}"/>
    <cellStyle name="_ILHL 10.03.2006_IB Asset Management_3103 V4" xfId="10564" xr:uid="{00000000-0005-0000-0000-000044290000}"/>
    <cellStyle name="_ILHL 10.03.2006_IB Asset Management_3103 V5" xfId="10565" xr:uid="{00000000-0005-0000-0000-000045290000}"/>
    <cellStyle name="_ILHL 10.03.2006_IB Collection Agency_3103 V3" xfId="10566" xr:uid="{00000000-0005-0000-0000-000046290000}"/>
    <cellStyle name="_ILHL 10.03.2006_IB Collection Agency_3103 V3_ICAL-New Format_31.03 V4" xfId="10567" xr:uid="{00000000-0005-0000-0000-000047290000}"/>
    <cellStyle name="_ILHL 10.03.2006_IB Infrastructure Credit" xfId="10568" xr:uid="{00000000-0005-0000-0000-000048290000}"/>
    <cellStyle name="_ILHL 10.03.2006_IB Infrastructure Credit-3103_V6" xfId="10569" xr:uid="{00000000-0005-0000-0000-000049290000}"/>
    <cellStyle name="_ILHL 10.03.2006_IB Infrastructure Credit-3103_V7" xfId="10570" xr:uid="{00000000-0005-0000-0000-00004A290000}"/>
    <cellStyle name="_ILHL 10.03.2006_IB Life Insurance_3103 V4" xfId="10571" xr:uid="{00000000-0005-0000-0000-00004B290000}"/>
    <cellStyle name="_ILHL 10.03.2006_IB Trustee Company_3103 V4" xfId="10572" xr:uid="{00000000-0005-0000-0000-00004C290000}"/>
    <cellStyle name="_ILHL 10.03.2006_IBFSL 30 Sep 11 V8" xfId="10573" xr:uid="{00000000-0005-0000-0000-00004D290000}"/>
    <cellStyle name="_ILHL 10.03.2006_IBFSL 31 May V1" xfId="10574" xr:uid="{00000000-0005-0000-0000-00004E290000}"/>
    <cellStyle name="_ILHL 10.03.2006_IBFSL 31 May V1_Xl0000013" xfId="10575" xr:uid="{00000000-0005-0000-0000-00004F290000}"/>
    <cellStyle name="_ILHL 10.03.2006_IBFSL_Conso_March_10_11" xfId="10576" xr:uid="{00000000-0005-0000-0000-000050290000}"/>
    <cellStyle name="_ILHL 10.03.2006_IBLIC_BS  Final working -New_Format_31.03 V5" xfId="10577" xr:uid="{00000000-0005-0000-0000-000051290000}"/>
    <cellStyle name="_ILHL 10.03.2006_Ibulls BS Final woirking -New format_31.03 V5" xfId="10578" xr:uid="{00000000-0005-0000-0000-000052290000}"/>
    <cellStyle name="_ILHL 10.03.2006_IbullsSales_3103" xfId="10579" xr:uid="{00000000-0005-0000-0000-000053290000}"/>
    <cellStyle name="_ILHL 10.03.2006_IbullsSales_3103 V2" xfId="10580" xr:uid="{00000000-0005-0000-0000-000054290000}"/>
    <cellStyle name="_ILHL 10.03.2006_IbullsSales_3103 V5" xfId="10581" xr:uid="{00000000-0005-0000-0000-000055290000}"/>
    <cellStyle name="_ILHL 10.03.2006_ICAL-BS Final Working _New format" xfId="10582" xr:uid="{00000000-0005-0000-0000-000056290000}"/>
    <cellStyle name="_ILHL 10.03.2006_ICL_BS_30.06.2009" xfId="10583" xr:uid="{00000000-0005-0000-0000-000057290000}"/>
    <cellStyle name="_ILHL 10.03.2006_ICPL_BS_31.03.2009_new" xfId="10584" xr:uid="{00000000-0005-0000-0000-000058290000}"/>
    <cellStyle name="_ILHL 10.03.2006_ICPL_BS_31.03.2009_new_ISL__3CD_FY2010-11" xfId="10585" xr:uid="{00000000-0005-0000-0000-000059290000}"/>
    <cellStyle name="_ILHL 10.03.2006_IDSL_31.03.2010" xfId="10586" xr:uid="{00000000-0005-0000-0000-00005A290000}"/>
    <cellStyle name="_ILHL 10.03.2006_IFCPL 31 03 2010 VER6 Final" xfId="10587" xr:uid="{00000000-0005-0000-0000-00005B290000}"/>
    <cellStyle name="_ILHL 10.03.2006_IHFL_Dec_23_2008" xfId="10588" xr:uid="{00000000-0005-0000-0000-00005C290000}"/>
    <cellStyle name="_ILHL 10.03.2006_IHFL_Dec_23_2008_Xl0000013" xfId="10589" xr:uid="{00000000-0005-0000-0000-00005D290000}"/>
    <cellStyle name="_ILHL 10.03.2006_IHFL_SEP_30_2009 XIII AUDIT- Sch II" xfId="10590" xr:uid="{00000000-0005-0000-0000-00005E290000}"/>
    <cellStyle name="_ILHL 10.03.2006_IIAL 31.03.2010 VER2" xfId="10591" xr:uid="{00000000-0005-0000-0000-00005F290000}"/>
    <cellStyle name="_ILHL 10.03.2006_IICL_March'11" xfId="10592" xr:uid="{00000000-0005-0000-0000-000060290000}"/>
    <cellStyle name="_ILHL 10.03.2006_IIDL_3227_2008_09" xfId="10593" xr:uid="{00000000-0005-0000-0000-000061290000}"/>
    <cellStyle name="_ILHL 10.03.2006_IIDL_3227_2008_09_Advance Tax Summary" xfId="10594" xr:uid="{00000000-0005-0000-0000-000062290000}"/>
    <cellStyle name="_ILHL 10.03.2006_IIDL_3227_2008_09_Advance Tax Summary 2" xfId="10595" xr:uid="{00000000-0005-0000-0000-000063290000}"/>
    <cellStyle name="_ILHL 10.03.2006_IIDL_3227_2008_09_ISL Group - Advance Tax working for 3rd Instalment" xfId="10596" xr:uid="{00000000-0005-0000-0000-000064290000}"/>
    <cellStyle name="_ILHL 10.03.2006_IIDL_3227_2008_09_Xl0000013" xfId="10597" xr:uid="{00000000-0005-0000-0000-000065290000}"/>
    <cellStyle name="_ILHL 10.03.2006_Indiabulls Asset Management Company Limited printable" xfId="10598" xr:uid="{00000000-0005-0000-0000-000066290000}"/>
    <cellStyle name="_ILHL 10.03.2006_IREL_3000_08-09" xfId="10599" xr:uid="{00000000-0005-0000-0000-000067290000}"/>
    <cellStyle name="_ILHL 10.03.2006_IREL_3000_08-09 2" xfId="10600" xr:uid="{00000000-0005-0000-0000-000068290000}"/>
    <cellStyle name="_ILHL 10.03.2006_ISL_March_08_09.final_11.12.2009" xfId="10601" xr:uid="{00000000-0005-0000-0000-000069290000}"/>
    <cellStyle name="_ILHL 10.03.2006_ISL_March_08_09.final_11.12.2009_ISL__3CD_FY2010-11" xfId="10602" xr:uid="{00000000-0005-0000-0000-00006A290000}"/>
    <cellStyle name="_ILHL 10.03.2006_ITCL_BS working _New format_31.03 V7" xfId="10603" xr:uid="{00000000-0005-0000-0000-00006B290000}"/>
    <cellStyle name="_ILHL 10.03.2006_ITCL-New format_31.03 V6" xfId="10604" xr:uid="{00000000-0005-0000-0000-00006C290000}"/>
    <cellStyle name="_ILHL 10.03.2006_NFCL working file" xfId="10605" xr:uid="{00000000-0005-0000-0000-00006D290000}"/>
    <cellStyle name="_ILHL 10.03.2006_NFCL_ Tax Audit Report FY08-09 " xfId="10606" xr:uid="{00000000-0005-0000-0000-00006E290000}"/>
    <cellStyle name="_ILHL 10.03.2006_Revised Consol Balance Sheet_Sophia_Jan09_10.02.2009" xfId="10607" xr:uid="{00000000-0005-0000-0000-00006F290000}"/>
    <cellStyle name="_ILHL 10.03.2006_Sophia Consol for Printout 22 Jun 09" xfId="10608" xr:uid="{00000000-0005-0000-0000-000070290000}"/>
    <cellStyle name="_ILHL 10.03.2006_Sophia Consol_march_09_05 June  09_1" xfId="10609" xr:uid="{00000000-0005-0000-0000-000071290000}"/>
    <cellStyle name="_ILHL 10.03.2006_Tax Audit Report  F.Y.08-09" xfId="10610" xr:uid="{00000000-0005-0000-0000-000072290000}"/>
    <cellStyle name="_ILHL 10.03.2006_Tax Audit Report  ICSL F.Y.09-10" xfId="10611" xr:uid="{00000000-0005-0000-0000-000073290000}"/>
    <cellStyle name="_ILHL 10.03.2006_Treasury ICD Interest_ MIS_ 23  09 2009(final)" xfId="10612" xr:uid="{00000000-0005-0000-0000-000074290000}"/>
    <cellStyle name="_ILHL 10.03.2006_Treasury ICD Interest_ MIS_ 30. 06 2009(final)" xfId="10613" xr:uid="{00000000-0005-0000-0000-000075290000}"/>
    <cellStyle name="_ILHL 10.03.2006_Treasury ICD Interest_ MIS_ 30. 09 2009(final)" xfId="10614" xr:uid="{00000000-0005-0000-0000-000076290000}"/>
    <cellStyle name="_ILHL 10.03.2006_Treasury ICD Interest_ MIS_ 31 05 2009" xfId="10615" xr:uid="{00000000-0005-0000-0000-000077290000}"/>
    <cellStyle name="_ILHL 10.03.2006_Treasury ICD Interest_ MIS_ 31 10 2009" xfId="10616" xr:uid="{00000000-0005-0000-0000-000078290000}"/>
    <cellStyle name="_ILHL 10.03.2006_Treasury ICD Interest_ MIS_ 31.10.2009" xfId="10617" xr:uid="{00000000-0005-0000-0000-000079290000}"/>
    <cellStyle name="_ILHL 10.03.2006_Treasury ICD Interest_ MIS_ 310309" xfId="10618" xr:uid="{00000000-0005-0000-0000-00007A290000}"/>
    <cellStyle name="_ILHL Trial" xfId="10619" xr:uid="{00000000-0005-0000-0000-00007B290000}"/>
    <cellStyle name="_ILHL Trial 2" xfId="10620" xr:uid="{00000000-0005-0000-0000-00007C290000}"/>
    <cellStyle name="_ILHL Trial 2 2" xfId="10621" xr:uid="{00000000-0005-0000-0000-00007D290000}"/>
    <cellStyle name="_ILHL Trial 3" xfId="10622" xr:uid="{00000000-0005-0000-0000-00007E290000}"/>
    <cellStyle name="_ILHL Trial 3 2" xfId="10623" xr:uid="{00000000-0005-0000-0000-00007F290000}"/>
    <cellStyle name="_ILHL Trial 4" xfId="10624" xr:uid="{00000000-0005-0000-0000-000080290000}"/>
    <cellStyle name="_ILHL Trial 4 2" xfId="10625" xr:uid="{00000000-0005-0000-0000-000081290000}"/>
    <cellStyle name="_ILHL Trial 5" xfId="10626" xr:uid="{00000000-0005-0000-0000-000082290000}"/>
    <cellStyle name="_ILHL Trial 5 2" xfId="10627" xr:uid="{00000000-0005-0000-0000-000083290000}"/>
    <cellStyle name="_ILHL Trial 6" xfId="10628" xr:uid="{00000000-0005-0000-0000-000084290000}"/>
    <cellStyle name="_ILHL Trial_Abstract-2007-08" xfId="10629" xr:uid="{00000000-0005-0000-0000-000085290000}"/>
    <cellStyle name="_ILHL Trial_Abstract-2007-08 2" xfId="10630" xr:uid="{00000000-0005-0000-0000-000086290000}"/>
    <cellStyle name="_ILHL Trial_Advance Tax Sophia Jun 09" xfId="10631" xr:uid="{00000000-0005-0000-0000-000087290000}"/>
    <cellStyle name="_ILHL Trial_Advance Tax Sophia Jun 09 2" xfId="10632" xr:uid="{00000000-0005-0000-0000-000088290000}"/>
    <cellStyle name="_ILHL Trial_Base File For Segment" xfId="10633" xr:uid="{00000000-0005-0000-0000-000089290000}"/>
    <cellStyle name="_ILHL Trial_Base File For Segment 2" xfId="10634" xr:uid="{00000000-0005-0000-0000-00008A290000}"/>
    <cellStyle name="_ILHL Trial_Book1 (2)" xfId="10635" xr:uid="{00000000-0005-0000-0000-00008B290000}"/>
    <cellStyle name="_ILHL Trial_Book1 (2) 2" xfId="10636" xr:uid="{00000000-0005-0000-0000-00008C290000}"/>
    <cellStyle name="_ILHL Trial_Bracond Balance Sheet  PL_301108_krishanu" xfId="10637" xr:uid="{00000000-0005-0000-0000-00008D290000}"/>
    <cellStyle name="_ILHL Trial_Bracond Balance Sheet  PL_301108_krishanu 2" xfId="10638" xr:uid="{00000000-0005-0000-0000-00008E290000}"/>
    <cellStyle name="_ILHL Trial_CCL_3353_2007-08" xfId="10639" xr:uid="{00000000-0005-0000-0000-00008F290000}"/>
    <cellStyle name="_ILHL Trial_CCL_3353_2007-08 2" xfId="10640" xr:uid="{00000000-0005-0000-0000-000090290000}"/>
    <cellStyle name="_ILHL Trial_ChlorisProperties_3351_Dec.08" xfId="10641" xr:uid="{00000000-0005-0000-0000-000091290000}"/>
    <cellStyle name="_ILHL Trial_ChlorisProperties_3351_Dec.08 2" xfId="10642" xr:uid="{00000000-0005-0000-0000-000092290000}"/>
    <cellStyle name="_ILHL Trial_Consol Balance Sheet_Sophia_Dec08_Ibrel_1.3" xfId="10643" xr:uid="{00000000-0005-0000-0000-000093290000}"/>
    <cellStyle name="_ILHL Trial_Consol Balance Sheet_Sophia_Dec08_Ibrel_1.3 2" xfId="10644" xr:uid="{00000000-0005-0000-0000-000094290000}"/>
    <cellStyle name="_ILHL Trial_detail (2)" xfId="10645" xr:uid="{00000000-0005-0000-0000-000095290000}"/>
    <cellStyle name="_ILHL Trial_detail (2) 2" xfId="10646" xr:uid="{00000000-0005-0000-0000-000096290000}"/>
    <cellStyle name="_ILHL Trial_Details" xfId="10647" xr:uid="{00000000-0005-0000-0000-000097290000}"/>
    <cellStyle name="_ILHL Trial_Details 2" xfId="10648" xr:uid="{00000000-0005-0000-0000-000098290000}"/>
    <cellStyle name="_ILHL Trial_EPL_3346_2007-08(C)" xfId="10649" xr:uid="{00000000-0005-0000-0000-000099290000}"/>
    <cellStyle name="_ILHL Trial_EPL_3346_2007-08(C) 2" xfId="10650" xr:uid="{00000000-0005-0000-0000-00009A290000}"/>
    <cellStyle name="_ILHL Trial_Final Consol Balance Sheet_Sophia_Dec08_27.01.08" xfId="10651" xr:uid="{00000000-0005-0000-0000-00009B290000}"/>
    <cellStyle name="_ILHL Trial_Final Consol Balance Sheet_Sophia_Dec08_27.01.08 2" xfId="10652" xr:uid="{00000000-0005-0000-0000-00009C290000}"/>
    <cellStyle name="_ILHL Trial_Fixed Assets consolidated" xfId="10653" xr:uid="{00000000-0005-0000-0000-00009D290000}"/>
    <cellStyle name="_ILHL Trial_Fixed Assets consolidated 2" xfId="10654" xr:uid="{00000000-0005-0000-0000-00009E290000}"/>
    <cellStyle name="_ILHL Trial_IIDL_3227_2008_09" xfId="10655" xr:uid="{00000000-0005-0000-0000-00009F290000}"/>
    <cellStyle name="_ILHL Trial_IIDL_3227_2008_09 2" xfId="10656" xr:uid="{00000000-0005-0000-0000-0000A0290000}"/>
    <cellStyle name="_ILHL Trial_Revised Consol Balance Sheet_Sophia_Jan09_10.02.2009" xfId="10657" xr:uid="{00000000-0005-0000-0000-0000A1290000}"/>
    <cellStyle name="_ILHL Trial_Revised Consol Balance Sheet_Sophia_Jan09_10.02.2009 2" xfId="10658" xr:uid="{00000000-0005-0000-0000-0000A2290000}"/>
    <cellStyle name="_ILHL Trial_Sophia Consol for Printout 22 Jun 09" xfId="10659" xr:uid="{00000000-0005-0000-0000-0000A3290000}"/>
    <cellStyle name="_ILHL Trial_Sophia Consol for Printout 22 Jun 09 2" xfId="10660" xr:uid="{00000000-0005-0000-0000-0000A4290000}"/>
    <cellStyle name="_ILHL Trial_Sophia Consol_march_09_05 June  09_1" xfId="10661" xr:uid="{00000000-0005-0000-0000-0000A5290000}"/>
    <cellStyle name="_ILHL Trial_Sophia Consol_march_09_05 June  09_1 2" xfId="10662" xr:uid="{00000000-0005-0000-0000-0000A6290000}"/>
    <cellStyle name="_ILHL Trial_Treasury ICD Interest_ MIS_ 23  09 2009(final)" xfId="10663" xr:uid="{00000000-0005-0000-0000-0000A7290000}"/>
    <cellStyle name="_ILHL Trial_Treasury ICD Interest_ MIS_ 23  09 2009(final) 2" xfId="10664" xr:uid="{00000000-0005-0000-0000-0000A8290000}"/>
    <cellStyle name="_ILHL Trial_Treasury ICD Interest_ MIS_ 30. 06 2009(final)" xfId="10665" xr:uid="{00000000-0005-0000-0000-0000A9290000}"/>
    <cellStyle name="_ILHL Trial_Treasury ICD Interest_ MIS_ 30. 06 2009(final) 2" xfId="10666" xr:uid="{00000000-0005-0000-0000-0000AA290000}"/>
    <cellStyle name="_ILHL Trial_Treasury ICD Interest_ MIS_ 30. 09 2009(final)" xfId="10667" xr:uid="{00000000-0005-0000-0000-0000AB290000}"/>
    <cellStyle name="_ILHL Trial_Treasury ICD Interest_ MIS_ 30. 09 2009(final) 2" xfId="10668" xr:uid="{00000000-0005-0000-0000-0000AC290000}"/>
    <cellStyle name="_ILHL Trial_Treasury ICD Interest_ MIS_ 31 05 2009" xfId="10669" xr:uid="{00000000-0005-0000-0000-0000AD290000}"/>
    <cellStyle name="_ILHL Trial_Treasury ICD Interest_ MIS_ 31 05 2009 2" xfId="10670" xr:uid="{00000000-0005-0000-0000-0000AE290000}"/>
    <cellStyle name="_ILHL Trial_Treasury ICD Interest_ MIS_ 31 10 2009" xfId="10671" xr:uid="{00000000-0005-0000-0000-0000AF290000}"/>
    <cellStyle name="_ILHL Trial_Treasury ICD Interest_ MIS_ 31 10 2009 2" xfId="10672" xr:uid="{00000000-0005-0000-0000-0000B0290000}"/>
    <cellStyle name="_ILHL Trial_Treasury ICD Interest_ MIS_ 31.10.2009" xfId="10673" xr:uid="{00000000-0005-0000-0000-0000B1290000}"/>
    <cellStyle name="_ILHL Trial_Treasury ICD Interest_ MIS_ 31.10.2009 2" xfId="10674" xr:uid="{00000000-0005-0000-0000-0000B2290000}"/>
    <cellStyle name="_ILHL Trial_Treasury ICD Interest_ MIS_ 310309" xfId="10675" xr:uid="{00000000-0005-0000-0000-0000B3290000}"/>
    <cellStyle name="_ILHL Trial_Treasury ICD Interest_ MIS_ 310309 2" xfId="10676" xr:uid="{00000000-0005-0000-0000-0000B4290000}"/>
    <cellStyle name="_ILICL_November_30_11" xfId="10677" xr:uid="{00000000-0005-0000-0000-0000B5290000}"/>
    <cellStyle name="_ILICL_November_30_11_BS _IB Asset Management _3103_ver5" xfId="10678" xr:uid="{00000000-0005-0000-0000-0000B6290000}"/>
    <cellStyle name="_ILICL_November_30_11_BS _IB Asset Management _3103_ver5_IAMCL BS working -New format_31.03 V5" xfId="10679" xr:uid="{00000000-0005-0000-0000-0000B7290000}"/>
    <cellStyle name="_ILICL_November_30_11_IAMCL BS working -New format_31.03 V5" xfId="10680" xr:uid="{00000000-0005-0000-0000-0000B8290000}"/>
    <cellStyle name="_ILICL_November_30_11_IB Asset Management_3103 V5" xfId="10681" xr:uid="{00000000-0005-0000-0000-0000B9290000}"/>
    <cellStyle name="_ILICL_November_30_11_IB Collection Agency_3103 V3" xfId="10682" xr:uid="{00000000-0005-0000-0000-0000BA290000}"/>
    <cellStyle name="_ILICL_November_30_11_IB Collection Agency_3103 V3_ICAL-New Format_31.03 V4" xfId="10683" xr:uid="{00000000-0005-0000-0000-0000BB290000}"/>
    <cellStyle name="_ILICL_November_30_11_Ibulls BS Final woirking -New format_31.03 V5" xfId="10684" xr:uid="{00000000-0005-0000-0000-0000BC290000}"/>
    <cellStyle name="_ILICL_November_30_11_IbullsSales_3103 V5" xfId="10685" xr:uid="{00000000-0005-0000-0000-0000BD290000}"/>
    <cellStyle name="_ILICL_November_30_11_ICAL-BS Final Working _New format" xfId="10686" xr:uid="{00000000-0005-0000-0000-0000BE290000}"/>
    <cellStyle name="_ILICL_November_30_11_Indiabulls Asset Management Company Limited printable" xfId="10687" xr:uid="{00000000-0005-0000-0000-0000BF290000}"/>
    <cellStyle name="_Incentive conso IHFL-Sept08" xfId="10688" xr:uid="{00000000-0005-0000-0000-0000C0290000}"/>
    <cellStyle name="_Incentive conso IHFL-Sept08 2" xfId="10689" xr:uid="{00000000-0005-0000-0000-0000C1290000}"/>
    <cellStyle name="_Incentive conso- Nov-II" xfId="10690" xr:uid="{00000000-0005-0000-0000-0000C2290000}"/>
    <cellStyle name="_Incentive conso- Nov-II 2" xfId="10691" xr:uid="{00000000-0005-0000-0000-0000C3290000}"/>
    <cellStyle name="_Incentive conso-Sept-III" xfId="10692" xr:uid="{00000000-0005-0000-0000-0000C4290000}"/>
    <cellStyle name="_Incentive conso-Sept-III 2" xfId="10693" xr:uid="{00000000-0005-0000-0000-0000C5290000}"/>
    <cellStyle name="_Incentive Detail ICSL Dec 07" xfId="10694" xr:uid="{00000000-0005-0000-0000-0000C6290000}"/>
    <cellStyle name="_Incentive Detail ICSL Dec 07 2" xfId="10695" xr:uid="{00000000-0005-0000-0000-0000C7290000}"/>
    <cellStyle name="_Incentive Detail ICSL Dec 07_IHFL_September_30_2010 VERSION 10" xfId="10696" xr:uid="{00000000-0005-0000-0000-0000C8290000}"/>
    <cellStyle name="_Incentive Detail ICSL Jan'08" xfId="10697" xr:uid="{00000000-0005-0000-0000-0000C9290000}"/>
    <cellStyle name="_Incentive Detail ICSL Jan'08 2" xfId="10698" xr:uid="{00000000-0005-0000-0000-0000CA290000}"/>
    <cellStyle name="_Incentive Detail ICSL March'08" xfId="10699" xr:uid="{00000000-0005-0000-0000-0000CB290000}"/>
    <cellStyle name="_Incentive Detail ICSL March'08 2" xfId="10700" xr:uid="{00000000-0005-0000-0000-0000CC290000}"/>
    <cellStyle name="_Incentive Details-Dec'07" xfId="10701" xr:uid="{00000000-0005-0000-0000-0000CD290000}"/>
    <cellStyle name="_Incentive Details-Dec'07 2" xfId="10702" xr:uid="{00000000-0005-0000-0000-0000CE290000}"/>
    <cellStyle name="_Incentive details-Dec07-ICSL &amp; IHFL" xfId="10703" xr:uid="{00000000-0005-0000-0000-0000CF290000}"/>
    <cellStyle name="_Incentive details-Dec07-ICSL &amp; IHFL 2" xfId="10704" xr:uid="{00000000-0005-0000-0000-0000D0290000}"/>
    <cellStyle name="_Incentive details-Dec07-ICSL &amp; IHFL-Raw" xfId="10705" xr:uid="{00000000-0005-0000-0000-0000D1290000}"/>
    <cellStyle name="_Incentive details-Dec07-ICSL &amp; IHFL-Raw 2" xfId="10706" xr:uid="{00000000-0005-0000-0000-0000D2290000}"/>
    <cellStyle name="_INCENTIVE FORMAT" xfId="10707" xr:uid="{00000000-0005-0000-0000-0000D3290000}"/>
    <cellStyle name="_INCENTIVE FORMAT 2" xfId="10708" xr:uid="{00000000-0005-0000-0000-0000D4290000}"/>
    <cellStyle name="_incentive pro-ICSL" xfId="10709" xr:uid="{00000000-0005-0000-0000-0000D5290000}"/>
    <cellStyle name="_incentive pro-ICSL 2" xfId="10710" xr:uid="{00000000-0005-0000-0000-0000D6290000}"/>
    <cellStyle name="_incentive pro-ICSL_IHFL_September_30_2010 VERSION 10" xfId="10711" xr:uid="{00000000-0005-0000-0000-0000D7290000}"/>
    <cellStyle name="_Incentive Provision -IFSL &amp; IHFL-Feb'09" xfId="10712" xr:uid="{00000000-0005-0000-0000-0000D8290000}"/>
    <cellStyle name="_Incentive Provision -IFSL &amp; IHFL-Feb'09 2" xfId="10713" xr:uid="{00000000-0005-0000-0000-0000D9290000}"/>
    <cellStyle name="_Incentive Provision Sheet-IFSL &amp; IHFL-Jan09" xfId="10714" xr:uid="{00000000-0005-0000-0000-0000DA290000}"/>
    <cellStyle name="_Incentive Provision Sheet-IFSL &amp; IHFL-Jan09 2" xfId="10715" xr:uid="{00000000-0005-0000-0000-0000DB290000}"/>
    <cellStyle name="_Incentive provision-Dec'08" xfId="10716" xr:uid="{00000000-0005-0000-0000-0000DC290000}"/>
    <cellStyle name="_Incentive provision-Dec'08 2" xfId="10717" xr:uid="{00000000-0005-0000-0000-0000DD290000}"/>
    <cellStyle name="_Incentive_Conso-Dec-08(IFSL)" xfId="10718" xr:uid="{00000000-0005-0000-0000-0000DE290000}"/>
    <cellStyle name="_Incentive_Conso-Dec-08(IFSL) 2" xfId="10719" xr:uid="{00000000-0005-0000-0000-0000DF290000}"/>
    <cellStyle name="_Incentive_Conso-Dec-08(IHFL)" xfId="10720" xr:uid="{00000000-0005-0000-0000-0000E0290000}"/>
    <cellStyle name="_Incentive_Conso-Dec-08(IHFL) 2" xfId="10721" xr:uid="{00000000-0005-0000-0000-0000E1290000}"/>
    <cellStyle name="_Incentive-Salary provision" xfId="10722" xr:uid="{00000000-0005-0000-0000-0000E2290000}"/>
    <cellStyle name="_Incentive-Salary provision 2" xfId="10723" xr:uid="{00000000-0005-0000-0000-0000E3290000}"/>
    <cellStyle name="_Income MYNL Nilgiri" xfId="10724" xr:uid="{00000000-0005-0000-0000-0000E4290000}"/>
    <cellStyle name="_Income MYNL Nilgiri_Indiabulls Asset Management Company Limited printable" xfId="10725" xr:uid="{00000000-0005-0000-0000-0000E5290000}"/>
    <cellStyle name="_Indiabulls Details (3)" xfId="10726" xr:uid="{00000000-0005-0000-0000-0000E6290000}"/>
    <cellStyle name="_Indiabulls Details (3) 2" xfId="10727" xr:uid="{00000000-0005-0000-0000-0000E7290000}"/>
    <cellStyle name="_Indiabulls Details (3)_Indiabulls Asset Management Company Limited printable" xfId="10728" xr:uid="{00000000-0005-0000-0000-0000E8290000}"/>
    <cellStyle name="_Information_IBFSL" xfId="10729" xr:uid="{00000000-0005-0000-0000-0000E9290000}"/>
    <cellStyle name="_Information_IBFSL 2" xfId="10730" xr:uid="{00000000-0005-0000-0000-0000EA290000}"/>
    <cellStyle name="_Information_IBFSL_Indiabulls Asset Management Company Limited printable" xfId="10731" xr:uid="{00000000-0005-0000-0000-0000EB290000}"/>
    <cellStyle name="_INSURANCE ANALAYSIS 31.10.2007" xfId="10732" xr:uid="{00000000-0005-0000-0000-0000EC290000}"/>
    <cellStyle name="_INSURANCE ANALAYSIS 31.10.2007 2" xfId="10733" xr:uid="{00000000-0005-0000-0000-0000ED290000}"/>
    <cellStyle name="_INSURANCE ANALYSIS 30 11 2007 FINAL" xfId="10734" xr:uid="{00000000-0005-0000-0000-0000EE290000}"/>
    <cellStyle name="_INSURANCE ANALYSIS 30 11 2007 FINAL 2" xfId="10735" xr:uid="{00000000-0005-0000-0000-0000EF290000}"/>
    <cellStyle name="_insurance Analysis as 30.09.2007" xfId="10736" xr:uid="{00000000-0005-0000-0000-0000F0290000}"/>
    <cellStyle name="_insurance Analysis as 30.09.2007 2" xfId="10737" xr:uid="{00000000-0005-0000-0000-0000F1290000}"/>
    <cellStyle name="_insurance analysis feb 08" xfId="10738" xr:uid="{00000000-0005-0000-0000-0000F2290000}"/>
    <cellStyle name="_insurance analysis feb 08 2" xfId="10739" xr:uid="{00000000-0005-0000-0000-0000F3290000}"/>
    <cellStyle name="_INSURANCE SUMMARY UP TO 31.08.2007 VERSION I" xfId="10740" xr:uid="{00000000-0005-0000-0000-0000F4290000}"/>
    <cellStyle name="_INSURANCE SUMMARY UP TO 31.08.2007 VERSION I 2" xfId="10741" xr:uid="{00000000-0005-0000-0000-0000F5290000}"/>
    <cellStyle name="_Int analysis for the month of April 08" xfId="10742" xr:uid="{00000000-0005-0000-0000-0000F6290000}"/>
    <cellStyle name="_Int analysis for the month of April 08 2" xfId="10743" xr:uid="{00000000-0005-0000-0000-0000F7290000}"/>
    <cellStyle name="_INT on TL" xfId="10744" xr:uid="{00000000-0005-0000-0000-0000F8290000}"/>
    <cellStyle name="_INT on TL 2" xfId="10745" xr:uid="{00000000-0005-0000-0000-0000F9290000}"/>
    <cellStyle name="_INT on TL_Indiabulls Asset Management Company Limited printable" xfId="10746" xr:uid="{00000000-0005-0000-0000-0000FA290000}"/>
    <cellStyle name="_INTEREST 31.3.2008" xfId="10747" xr:uid="{00000000-0005-0000-0000-0000FB290000}"/>
    <cellStyle name="_INTEREST 31.3.2008 2" xfId="10748" xr:uid="{00000000-0005-0000-0000-0000FC290000}"/>
    <cellStyle name="_INTEREST 31.3.2008_Advance Tax Format_F.Y. 2010-11" xfId="10749" xr:uid="{00000000-0005-0000-0000-0000FD290000}"/>
    <cellStyle name="_INTEREST 31.3.2008_Asset Management Company Limited" xfId="10750" xr:uid="{00000000-0005-0000-0000-0000FE290000}"/>
    <cellStyle name="_INTEREST 31.3.2008_BS _IB Asset Management _3103_ver5" xfId="10751" xr:uid="{00000000-0005-0000-0000-0000FF290000}"/>
    <cellStyle name="_INTEREST 31.3.2008_BS _IB Asset Management _3103_ver5_IAMCL BS working -New format_31.03 V5" xfId="10752" xr:uid="{00000000-0005-0000-0000-0000002A0000}"/>
    <cellStyle name="_INTEREST 31.3.2008_CRAR - dec- 10v-12" xfId="10753" xr:uid="{00000000-0005-0000-0000-0000012A0000}"/>
    <cellStyle name="_INTEREST 31.3.2008_CRAR - dec- 10v-12 2" xfId="10754" xr:uid="{00000000-0005-0000-0000-0000022A0000}"/>
    <cellStyle name="_INTEREST 31.3.2008_IAMCL BS working -New format_31.03 V5" xfId="10755" xr:uid="{00000000-0005-0000-0000-0000032A0000}"/>
    <cellStyle name="_INTEREST 31.3.2008_IB Asset Management _2910" xfId="10756" xr:uid="{00000000-0005-0000-0000-0000042A0000}"/>
    <cellStyle name="_INTEREST 31.3.2008_IB Asset Management _2910_IB Collection Agency_3103 V3" xfId="10757" xr:uid="{00000000-0005-0000-0000-0000052A0000}"/>
    <cellStyle name="_INTEREST 31.3.2008_IB Asset Management _2910_IB Collection Agency_3103 V3_ICAL-New Format_31.03 V4" xfId="10758" xr:uid="{00000000-0005-0000-0000-0000062A0000}"/>
    <cellStyle name="_INTEREST 31.3.2008_IB Asset Management _2910_ICAL-BS Final Working _New format" xfId="10759" xr:uid="{00000000-0005-0000-0000-0000072A0000}"/>
    <cellStyle name="_INTEREST 31.3.2008_IB Asset Management _3103_ver5" xfId="10760" xr:uid="{00000000-0005-0000-0000-0000082A0000}"/>
    <cellStyle name="_INTEREST 31.3.2008_IB Asset Management_3103 V2" xfId="10761" xr:uid="{00000000-0005-0000-0000-0000092A0000}"/>
    <cellStyle name="_INTEREST 31.3.2008_IB Asset Management_3103 V4" xfId="10762" xr:uid="{00000000-0005-0000-0000-00000A2A0000}"/>
    <cellStyle name="_INTEREST 31.3.2008_IB Asset Management_3103 V5" xfId="10763" xr:uid="{00000000-0005-0000-0000-00000B2A0000}"/>
    <cellStyle name="_INTEREST 31.3.2008_IB Collection Agency_3103 V3" xfId="10764" xr:uid="{00000000-0005-0000-0000-00000C2A0000}"/>
    <cellStyle name="_INTEREST 31.3.2008_IB Collection Agency_3103 V3_ICAL-New Format_31.03 V4" xfId="10765" xr:uid="{00000000-0005-0000-0000-00000D2A0000}"/>
    <cellStyle name="_INTEREST 31.3.2008_IB Infrastructure Credit" xfId="10766" xr:uid="{00000000-0005-0000-0000-00000E2A0000}"/>
    <cellStyle name="_INTEREST 31.3.2008_IB Infrastructure Credit-3103_V6" xfId="10767" xr:uid="{00000000-0005-0000-0000-00000F2A0000}"/>
    <cellStyle name="_INTEREST 31.3.2008_IB Infrastructure Credit-3103_V7" xfId="10768" xr:uid="{00000000-0005-0000-0000-0000102A0000}"/>
    <cellStyle name="_INTEREST 31.3.2008_IB Life Insurance_3103 V4" xfId="10769" xr:uid="{00000000-0005-0000-0000-0000112A0000}"/>
    <cellStyle name="_INTEREST 31.3.2008_IB Trustee Company_3103 V4" xfId="10770" xr:uid="{00000000-0005-0000-0000-0000122A0000}"/>
    <cellStyle name="_INTEREST 31.3.2008_IBFSL_Conso_March_10_11" xfId="10771" xr:uid="{00000000-0005-0000-0000-0000132A0000}"/>
    <cellStyle name="_INTEREST 31.3.2008_IBLIC_BS  Final working -New_Format_31.03 V5" xfId="10772" xr:uid="{00000000-0005-0000-0000-0000142A0000}"/>
    <cellStyle name="_INTEREST 31.3.2008_Ibulls BS Final woirking -New format_31.03 V5" xfId="10773" xr:uid="{00000000-0005-0000-0000-0000152A0000}"/>
    <cellStyle name="_INTEREST 31.3.2008_IbullsSales_3103" xfId="10774" xr:uid="{00000000-0005-0000-0000-0000162A0000}"/>
    <cellStyle name="_INTEREST 31.3.2008_IbullsSales_3103 V2" xfId="10775" xr:uid="{00000000-0005-0000-0000-0000172A0000}"/>
    <cellStyle name="_INTEREST 31.3.2008_IbullsSales_3103 V5" xfId="10776" xr:uid="{00000000-0005-0000-0000-0000182A0000}"/>
    <cellStyle name="_INTEREST 31.3.2008_ICAL-BS Final Working _New format" xfId="10777" xr:uid="{00000000-0005-0000-0000-0000192A0000}"/>
    <cellStyle name="_INTEREST 31.3.2008_IHFL_SEP_30_2009 XIII AUDIT- Sch II" xfId="10778" xr:uid="{00000000-0005-0000-0000-00001A2A0000}"/>
    <cellStyle name="_INTEREST 31.3.2008_IICL_March'11" xfId="10779" xr:uid="{00000000-0005-0000-0000-00001B2A0000}"/>
    <cellStyle name="_INTEREST 31.3.2008_Indiabulls Asset Management Company Limited printable" xfId="10780" xr:uid="{00000000-0005-0000-0000-00001C2A0000}"/>
    <cellStyle name="_INTEREST 31.3.2008_ITCL_BS working _New format_31.03 V7" xfId="10781" xr:uid="{00000000-0005-0000-0000-00001D2A0000}"/>
    <cellStyle name="_INTEREST 31.3.2008_ITCL-New format_31.03 V6" xfId="10782" xr:uid="{00000000-0005-0000-0000-00001E2A0000}"/>
    <cellStyle name="_INTEREST 31.3.2008_NFCL working file" xfId="10783" xr:uid="{00000000-0005-0000-0000-00001F2A0000}"/>
    <cellStyle name="_INTEREST 31.3.2008_NFCL_ Tax Audit Report FY08-09 " xfId="10784" xr:uid="{00000000-0005-0000-0000-0000202A0000}"/>
    <cellStyle name="_INTEREST 31.3.2008_Tax Audit Report  F.Y.08-09" xfId="10785" xr:uid="{00000000-0005-0000-0000-0000212A0000}"/>
    <cellStyle name="_INTEREST 31.3.2008_Tax Audit Report  ICSL F.Y.09-10" xfId="10786" xr:uid="{00000000-0005-0000-0000-0000222A0000}"/>
    <cellStyle name="_INTEREST 31.3.2008_Xl0000013" xfId="10787" xr:uid="{00000000-0005-0000-0000-0000232A0000}"/>
    <cellStyle name="_Interest cc" xfId="10788" xr:uid="{00000000-0005-0000-0000-0000242A0000}"/>
    <cellStyle name="_Interest cc 2" xfId="10789" xr:uid="{00000000-0005-0000-0000-0000252A0000}"/>
    <cellStyle name="_Interest cc_Indiabulls Asset Management Company Limited printable" xfId="10790" xr:uid="{00000000-0005-0000-0000-0000262A0000}"/>
    <cellStyle name="_Interest income analysis" xfId="10791" xr:uid="{00000000-0005-0000-0000-0000272A0000}"/>
    <cellStyle name="_Interest income analysis 2" xfId="10792" xr:uid="{00000000-0005-0000-0000-0000282A0000}"/>
    <cellStyle name="_Interest income analysis_Indiabulls Asset Management Company Limited printable" xfId="10793" xr:uid="{00000000-0005-0000-0000-0000292A0000}"/>
    <cellStyle name="_Interest March vs April 08" xfId="10794" xr:uid="{00000000-0005-0000-0000-00002A2A0000}"/>
    <cellStyle name="_Interest March vs April 08 2" xfId="10795" xr:uid="{00000000-0005-0000-0000-00002B2A0000}"/>
    <cellStyle name="_Interest on FDR_working" xfId="10796" xr:uid="{00000000-0005-0000-0000-00002C2A0000}"/>
    <cellStyle name="_interest reversal on cancelled cases" xfId="10797" xr:uid="{00000000-0005-0000-0000-00002D2A0000}"/>
    <cellStyle name="_interest reversal on cancelled cases 2" xfId="10798" xr:uid="{00000000-0005-0000-0000-00002E2A0000}"/>
    <cellStyle name="_interest reversal on cancelled cases_Indiabulls Asset Management Company Limited printable" xfId="10799" xr:uid="{00000000-0005-0000-0000-00002F2A0000}"/>
    <cellStyle name="_Interest working" xfId="10800" xr:uid="{00000000-0005-0000-0000-0000302A0000}"/>
    <cellStyle name="_Interest working 1" xfId="10801" xr:uid="{00000000-0005-0000-0000-0000312A0000}"/>
    <cellStyle name="_Interest working 1 (2)" xfId="10802" xr:uid="{00000000-0005-0000-0000-0000322A0000}"/>
    <cellStyle name="_Interest working 1 (2) 2" xfId="10803" xr:uid="{00000000-0005-0000-0000-0000332A0000}"/>
    <cellStyle name="_Interest working 1 (2) 2 2" xfId="10804" xr:uid="{00000000-0005-0000-0000-0000342A0000}"/>
    <cellStyle name="_Interest working 1 (2) 3" xfId="10805" xr:uid="{00000000-0005-0000-0000-0000352A0000}"/>
    <cellStyle name="_Interest working 1 (2) 3 2" xfId="10806" xr:uid="{00000000-0005-0000-0000-0000362A0000}"/>
    <cellStyle name="_Interest working 1 (2) 4" xfId="10807" xr:uid="{00000000-0005-0000-0000-0000372A0000}"/>
    <cellStyle name="_Interest working 1 (2) 4 2" xfId="10808" xr:uid="{00000000-0005-0000-0000-0000382A0000}"/>
    <cellStyle name="_Interest working 1 (2) 5" xfId="10809" xr:uid="{00000000-0005-0000-0000-0000392A0000}"/>
    <cellStyle name="_Interest working 1 (2) 5 2" xfId="10810" xr:uid="{00000000-0005-0000-0000-00003A2A0000}"/>
    <cellStyle name="_Interest working 1 (2) 6" xfId="10811" xr:uid="{00000000-0005-0000-0000-00003B2A0000}"/>
    <cellStyle name="_Interest working 1 (2)_Abstract-2007-08" xfId="10812" xr:uid="{00000000-0005-0000-0000-00003C2A0000}"/>
    <cellStyle name="_Interest working 1 (2)_Abstract-2007-08 2" xfId="10813" xr:uid="{00000000-0005-0000-0000-00003D2A0000}"/>
    <cellStyle name="_Interest working 1 (2)_ACL_3402_2008-09" xfId="10814" xr:uid="{00000000-0005-0000-0000-00003E2A0000}"/>
    <cellStyle name="_Interest working 1 (2)_ACL_3402_2008-09 2" xfId="10815" xr:uid="{00000000-0005-0000-0000-00003F2A0000}"/>
    <cellStyle name="_Interest working 1 (2)_ADL_3373_2008-09" xfId="10816" xr:uid="{00000000-0005-0000-0000-0000402A0000}"/>
    <cellStyle name="_Interest working 1 (2)_ADL_3373_2008-09 2" xfId="10817" xr:uid="{00000000-0005-0000-0000-0000412A0000}"/>
    <cellStyle name="_Interest working 1 (2)_Book1 (2)" xfId="10818" xr:uid="{00000000-0005-0000-0000-0000422A0000}"/>
    <cellStyle name="_Interest working 1 (2)_Book1 (2) 2" xfId="10819" xr:uid="{00000000-0005-0000-0000-0000432A0000}"/>
    <cellStyle name="_Interest working 1 (2)_CIL_3415_2008-09" xfId="10820" xr:uid="{00000000-0005-0000-0000-0000442A0000}"/>
    <cellStyle name="_Interest working 1 (2)_CIL_3415_2008-09 2" xfId="10821" xr:uid="{00000000-0005-0000-0000-0000452A0000}"/>
    <cellStyle name="_Interest working 1 (2)_detail (2)" xfId="10822" xr:uid="{00000000-0005-0000-0000-0000462A0000}"/>
    <cellStyle name="_Interest working 1 (2)_detail (2) 2" xfId="10823" xr:uid="{00000000-0005-0000-0000-0000472A0000}"/>
    <cellStyle name="_Interest working 1 (2)_IBL_3441_2008-09" xfId="10824" xr:uid="{00000000-0005-0000-0000-0000482A0000}"/>
    <cellStyle name="_Interest working 1 (2)_IBL_3441_2008-09 2" xfId="10825" xr:uid="{00000000-0005-0000-0000-0000492A0000}"/>
    <cellStyle name="_Interest working 1 (2)_IBREL Adv Tax Q2 08" xfId="10826" xr:uid="{00000000-0005-0000-0000-00004A2A0000}"/>
    <cellStyle name="_Interest working 1 (2)_IBREL Adv Tax Q2 08 2" xfId="10827" xr:uid="{00000000-0005-0000-0000-00004B2A0000}"/>
    <cellStyle name="_Interest working 1 (2)_IIDL_3227_2008_09" xfId="10828" xr:uid="{00000000-0005-0000-0000-00004C2A0000}"/>
    <cellStyle name="_Interest working 1 (2)_IIDL_3227_2008_09 2" xfId="10829" xr:uid="{00000000-0005-0000-0000-00004D2A0000}"/>
    <cellStyle name="_Interest working 1 (2)_Indiabulls Asset Management Company Limited printable" xfId="10830" xr:uid="{00000000-0005-0000-0000-00004E2A0000}"/>
    <cellStyle name="_Interest working 1 (2)_IPGL_3355_2007-08" xfId="10831" xr:uid="{00000000-0005-0000-0000-00004F2A0000}"/>
    <cellStyle name="_Interest working 1 (2)_IPGL_3355_2007-08 2" xfId="10832" xr:uid="{00000000-0005-0000-0000-0000502A0000}"/>
    <cellStyle name="_Interest working 1 (2)_Land  CWIP status" xfId="10833" xr:uid="{00000000-0005-0000-0000-0000512A0000}"/>
    <cellStyle name="_Interest working 1 (2)_Land  CWIP status 2" xfId="10834" xr:uid="{00000000-0005-0000-0000-0000522A0000}"/>
    <cellStyle name="_Interest working 1 2" xfId="10835" xr:uid="{00000000-0005-0000-0000-0000532A0000}"/>
    <cellStyle name="_Interest working 1 2 2" xfId="10836" xr:uid="{00000000-0005-0000-0000-0000542A0000}"/>
    <cellStyle name="_Interest working 1 3" xfId="10837" xr:uid="{00000000-0005-0000-0000-0000552A0000}"/>
    <cellStyle name="_Interest working 1 3 2" xfId="10838" xr:uid="{00000000-0005-0000-0000-0000562A0000}"/>
    <cellStyle name="_Interest working 1 4" xfId="10839" xr:uid="{00000000-0005-0000-0000-0000572A0000}"/>
    <cellStyle name="_Interest working 1 4 2" xfId="10840" xr:uid="{00000000-0005-0000-0000-0000582A0000}"/>
    <cellStyle name="_Interest working 1 5" xfId="10841" xr:uid="{00000000-0005-0000-0000-0000592A0000}"/>
    <cellStyle name="_Interest working 1 5 2" xfId="10842" xr:uid="{00000000-0005-0000-0000-00005A2A0000}"/>
    <cellStyle name="_Interest working 1 6" xfId="10843" xr:uid="{00000000-0005-0000-0000-00005B2A0000}"/>
    <cellStyle name="_Interest working 1 7" xfId="10844" xr:uid="{00000000-0005-0000-0000-00005C2A0000}"/>
    <cellStyle name="_Interest working 1_CCL_3353_2007-08" xfId="10845" xr:uid="{00000000-0005-0000-0000-00005D2A0000}"/>
    <cellStyle name="_Interest working 1_CCL_3353_2007-08 2" xfId="10846" xr:uid="{00000000-0005-0000-0000-00005E2A0000}"/>
    <cellStyle name="_Interest working 1_detail" xfId="10847" xr:uid="{00000000-0005-0000-0000-00005F2A0000}"/>
    <cellStyle name="_Interest working 1_detail (2)" xfId="10848" xr:uid="{00000000-0005-0000-0000-0000602A0000}"/>
    <cellStyle name="_Interest working 1_detail (2) 2" xfId="10849" xr:uid="{00000000-0005-0000-0000-0000612A0000}"/>
    <cellStyle name="_Interest working 1_detail 2" xfId="10850" xr:uid="{00000000-0005-0000-0000-0000622A0000}"/>
    <cellStyle name="_Interest working 1_detail to be added in june,2008" xfId="10851" xr:uid="{00000000-0005-0000-0000-0000632A0000}"/>
    <cellStyle name="_Interest working 1_detail to be added in june,2008 2" xfId="10852" xr:uid="{00000000-0005-0000-0000-0000642A0000}"/>
    <cellStyle name="_Interest working 1_EPL_3346_2007-08(C)" xfId="10853" xr:uid="{00000000-0005-0000-0000-0000652A0000}"/>
    <cellStyle name="_Interest working 1_EPL_3346_2007-08(C) 2" xfId="10854" xr:uid="{00000000-0005-0000-0000-0000662A0000}"/>
    <cellStyle name="_Interest working 1_IIDL_3227_2007-08" xfId="10855" xr:uid="{00000000-0005-0000-0000-0000672A0000}"/>
    <cellStyle name="_Interest working 1_IIDL_3227_2007-08 2" xfId="10856" xr:uid="{00000000-0005-0000-0000-0000682A0000}"/>
    <cellStyle name="_Interest working 1_IPGL_3355_2007-08" xfId="10857" xr:uid="{00000000-0005-0000-0000-0000692A0000}"/>
    <cellStyle name="_Interest working 1_IPGL_3355_2007-08 2" xfId="10858" xr:uid="{00000000-0005-0000-0000-00006A2A0000}"/>
    <cellStyle name="_Interest working 2" xfId="10859" xr:uid="{00000000-0005-0000-0000-00006B2A0000}"/>
    <cellStyle name="_Interest working 2 2" xfId="10860" xr:uid="{00000000-0005-0000-0000-00006C2A0000}"/>
    <cellStyle name="_Interest working 3" xfId="10861" xr:uid="{00000000-0005-0000-0000-00006D2A0000}"/>
    <cellStyle name="_Interest working 3 2" xfId="10862" xr:uid="{00000000-0005-0000-0000-00006E2A0000}"/>
    <cellStyle name="_Interest working 4" xfId="10863" xr:uid="{00000000-0005-0000-0000-00006F2A0000}"/>
    <cellStyle name="_Interest working 4 2" xfId="10864" xr:uid="{00000000-0005-0000-0000-0000702A0000}"/>
    <cellStyle name="_Interest working 5" xfId="10865" xr:uid="{00000000-0005-0000-0000-0000712A0000}"/>
    <cellStyle name="_Interest working 5 2" xfId="10866" xr:uid="{00000000-0005-0000-0000-0000722A0000}"/>
    <cellStyle name="_Interest working 6" xfId="10867" xr:uid="{00000000-0005-0000-0000-0000732A0000}"/>
    <cellStyle name="_Interest working 7" xfId="10868" xr:uid="{00000000-0005-0000-0000-0000742A0000}"/>
    <cellStyle name="_Interest working_detail" xfId="10869" xr:uid="{00000000-0005-0000-0000-0000752A0000}"/>
    <cellStyle name="_Interest working_detail (2)" xfId="10870" xr:uid="{00000000-0005-0000-0000-0000762A0000}"/>
    <cellStyle name="_Interest working_detail (2) 2" xfId="10871" xr:uid="{00000000-0005-0000-0000-0000772A0000}"/>
    <cellStyle name="_Interest working_detail 2" xfId="10872" xr:uid="{00000000-0005-0000-0000-0000782A0000}"/>
    <cellStyle name="_Interest working_detail to be added in june,2008" xfId="10873" xr:uid="{00000000-0005-0000-0000-0000792A0000}"/>
    <cellStyle name="_Interest working_detail to be added in june,2008 2" xfId="10874" xr:uid="{00000000-0005-0000-0000-00007A2A0000}"/>
    <cellStyle name="_Interest working_IIDL_3227_2007-08" xfId="10875" xr:uid="{00000000-0005-0000-0000-00007B2A0000}"/>
    <cellStyle name="_Interest working_IIDL_3227_2007-08 2" xfId="10876" xr:uid="{00000000-0005-0000-0000-00007C2A0000}"/>
    <cellStyle name="_Interest working_Indiabulls Asset Management Company Limited printable" xfId="10877" xr:uid="{00000000-0005-0000-0000-00007D2A0000}"/>
    <cellStyle name="_Interest working_IPGL_3355_2007-08" xfId="10878" xr:uid="{00000000-0005-0000-0000-00007E2A0000}"/>
    <cellStyle name="_Interest working_IPGL_3355_2007-08 2" xfId="10879" xr:uid="{00000000-0005-0000-0000-00007F2A0000}"/>
    <cellStyle name="_Intt 234BC" xfId="10880" xr:uid="{00000000-0005-0000-0000-0000802A0000}"/>
    <cellStyle name="_Intt 234BC 2" xfId="10881" xr:uid="{00000000-0005-0000-0000-0000812A0000}"/>
    <cellStyle name="_Intt Exp on Loans-IBHFL-30.6.2009" xfId="10882" xr:uid="{00000000-0005-0000-0000-0000822A0000}"/>
    <cellStyle name="_INTT WORKING" xfId="10883" xr:uid="{00000000-0005-0000-0000-0000832A0000}"/>
    <cellStyle name="_INTT WORKING 2" xfId="10884" xr:uid="{00000000-0005-0000-0000-0000842A0000}"/>
    <cellStyle name="_INTT WORKING 2 2" xfId="10885" xr:uid="{00000000-0005-0000-0000-0000852A0000}"/>
    <cellStyle name="_INTT WORKING 3" xfId="10886" xr:uid="{00000000-0005-0000-0000-0000862A0000}"/>
    <cellStyle name="_INTT WORKING 3 2" xfId="10887" xr:uid="{00000000-0005-0000-0000-0000872A0000}"/>
    <cellStyle name="_INTT WORKING 4" xfId="10888" xr:uid="{00000000-0005-0000-0000-0000882A0000}"/>
    <cellStyle name="_INTT WORKING 4 2" xfId="10889" xr:uid="{00000000-0005-0000-0000-0000892A0000}"/>
    <cellStyle name="_INTT WORKING 5" xfId="10890" xr:uid="{00000000-0005-0000-0000-00008A2A0000}"/>
    <cellStyle name="_INTT WORKING 5 2" xfId="10891" xr:uid="{00000000-0005-0000-0000-00008B2A0000}"/>
    <cellStyle name="_INTT WORKING 6" xfId="10892" xr:uid="{00000000-0005-0000-0000-00008C2A0000}"/>
    <cellStyle name="_INTT WORKING_detail" xfId="10893" xr:uid="{00000000-0005-0000-0000-00008D2A0000}"/>
    <cellStyle name="_INTT WORKING_detail (2)" xfId="10894" xr:uid="{00000000-0005-0000-0000-00008E2A0000}"/>
    <cellStyle name="_INTT WORKING_detail (2) 2" xfId="10895" xr:uid="{00000000-0005-0000-0000-00008F2A0000}"/>
    <cellStyle name="_INTT WORKING_detail 2" xfId="10896" xr:uid="{00000000-0005-0000-0000-0000902A0000}"/>
    <cellStyle name="_INTT WORKING_detail to be added in june,2008" xfId="10897" xr:uid="{00000000-0005-0000-0000-0000912A0000}"/>
    <cellStyle name="_INTT WORKING_detail to be added in june,2008 2" xfId="10898" xr:uid="{00000000-0005-0000-0000-0000922A0000}"/>
    <cellStyle name="_INTT WORKING_Details of Assets &amp; Liablilities" xfId="10899" xr:uid="{00000000-0005-0000-0000-0000932A0000}"/>
    <cellStyle name="_INTT WORKING_Details of Assets &amp; Liablilities 2" xfId="10900" xr:uid="{00000000-0005-0000-0000-0000942A0000}"/>
    <cellStyle name="_INTT WORKING_Details of Assets &amp; Liablilities 3" xfId="10901" xr:uid="{00000000-0005-0000-0000-0000952A0000}"/>
    <cellStyle name="_INTT WORKING_IBL_09.12.2009" xfId="10902" xr:uid="{00000000-0005-0000-0000-0000962A0000}"/>
    <cellStyle name="_INTT WORKING_IBL_09.12.2009 2" xfId="10903" xr:uid="{00000000-0005-0000-0000-0000972A0000}"/>
    <cellStyle name="_INTT WORKING_ICL_22 12 2009" xfId="10904" xr:uid="{00000000-0005-0000-0000-0000982A0000}"/>
    <cellStyle name="_INTT WORKING_ICL_22 12 2009 2" xfId="10905" xr:uid="{00000000-0005-0000-0000-0000992A0000}"/>
    <cellStyle name="_INTT WORKING_Indiabulls Asset Management Company Limited printable" xfId="10906" xr:uid="{00000000-0005-0000-0000-00009A2A0000}"/>
    <cellStyle name="_INTT WORKING_IRECPL_Himanshu Shah Bill" xfId="10907" xr:uid="{00000000-0005-0000-0000-00009B2A0000}"/>
    <cellStyle name="_INTT WORKING_IRECPL_Himanshu Shah Bill 2" xfId="10908" xr:uid="{00000000-0005-0000-0000-00009C2A0000}"/>
    <cellStyle name="_INTT WORKING_ISL_ Adv Tax 2009-10 Q3" xfId="10909" xr:uid="{00000000-0005-0000-0000-00009D2A0000}"/>
    <cellStyle name="_INTT WORKING_ISL_ Adv Tax 2009-10 Q3 2" xfId="10910" xr:uid="{00000000-0005-0000-0000-00009E2A0000}"/>
    <cellStyle name="_INTT WORKING_ISL_conso_September_09_10" xfId="10911" xr:uid="{00000000-0005-0000-0000-00009F2A0000}"/>
    <cellStyle name="_INTT WORKING_ISL_conso_September_09_10 2" xfId="10912" xr:uid="{00000000-0005-0000-0000-0000A02A0000}"/>
    <cellStyle name="_INTT WORKING_ISL_conso_September_09_10 2 2" xfId="10913" xr:uid="{00000000-0005-0000-0000-0000A12A0000}"/>
    <cellStyle name="_INTT WORKING_ISL_conso_September_09_10 3" xfId="10914" xr:uid="{00000000-0005-0000-0000-0000A22A0000}"/>
    <cellStyle name="_INTT WORKING_ISL_Provisions_30.09.2010" xfId="10915" xr:uid="{00000000-0005-0000-0000-0000A32A0000}"/>
    <cellStyle name="_INTT WORKING_ISL_Provisions_30.09.2010 2" xfId="10916" xr:uid="{00000000-0005-0000-0000-0000A42A0000}"/>
    <cellStyle name="_INTT WORKING_Provision" xfId="10917" xr:uid="{00000000-0005-0000-0000-0000A52A0000}"/>
    <cellStyle name="_INTT WORKING_Provision 2" xfId="10918" xr:uid="{00000000-0005-0000-0000-0000A62A0000}"/>
    <cellStyle name="_INTT WORKING_Provision for Exp - FY 0809" xfId="10919" xr:uid="{00000000-0005-0000-0000-0000A72A0000}"/>
    <cellStyle name="_INTT WORKING_provisions q3" xfId="10920" xr:uid="{00000000-0005-0000-0000-0000A82A0000}"/>
    <cellStyle name="_INTT WORKING_provisions q3 2" xfId="10921" xr:uid="{00000000-0005-0000-0000-0000A92A0000}"/>
    <cellStyle name="_INTT WORKING_Results" xfId="10922" xr:uid="{00000000-0005-0000-0000-0000AA2A0000}"/>
    <cellStyle name="_INTT WORKING_Results 2" xfId="10923" xr:uid="{00000000-0005-0000-0000-0000AB2A0000}"/>
    <cellStyle name="_INTT WORKING_Results 2 2" xfId="10924" xr:uid="{00000000-0005-0000-0000-0000AC2A0000}"/>
    <cellStyle name="_INTT WORKING_Results 3" xfId="10925" xr:uid="{00000000-0005-0000-0000-0000AD2A0000}"/>
    <cellStyle name="_IPO detail sheet" xfId="10926" xr:uid="{00000000-0005-0000-0000-0000AE2A0000}"/>
    <cellStyle name="_IPO detail sheet 2" xfId="10927" xr:uid="{00000000-0005-0000-0000-0000AF2A0000}"/>
    <cellStyle name="_IPO detail sheet_Indiabulls Asset Management Company Limited printable" xfId="10928" xr:uid="{00000000-0005-0000-0000-0000B02A0000}"/>
    <cellStyle name="_IPPL  10.09.2006" xfId="10929" xr:uid="{00000000-0005-0000-0000-0000B12A0000}"/>
    <cellStyle name="_IPPL  10.09.2006 2" xfId="10930" xr:uid="{00000000-0005-0000-0000-0000B22A0000}"/>
    <cellStyle name="_IPPL  10.09.2006 2 2" xfId="10931" xr:uid="{00000000-0005-0000-0000-0000B32A0000}"/>
    <cellStyle name="_IPPL  10.09.2006 3" xfId="10932" xr:uid="{00000000-0005-0000-0000-0000B42A0000}"/>
    <cellStyle name="_IPPL  10.09.2006_269SS &amp; T IIAPL 09-10" xfId="10933" xr:uid="{00000000-0005-0000-0000-0000B52A0000}"/>
    <cellStyle name="_IPPL  10.09.2006_Abstract-2007-08" xfId="10934" xr:uid="{00000000-0005-0000-0000-0000B62A0000}"/>
    <cellStyle name="_IPPL  10.09.2006_Abstract-2007-08 2" xfId="10935" xr:uid="{00000000-0005-0000-0000-0000B72A0000}"/>
    <cellStyle name="_IPPL  10.09.2006_Advance Tax Format_F.Y. 2010-11" xfId="10936" xr:uid="{00000000-0005-0000-0000-0000B82A0000}"/>
    <cellStyle name="_IPPL  10.09.2006_Advance Tax Sophia Jun 09" xfId="10937" xr:uid="{00000000-0005-0000-0000-0000B92A0000}"/>
    <cellStyle name="_IPPL  10.09.2006_Asset Management Company Limited" xfId="10938" xr:uid="{00000000-0005-0000-0000-0000BA2A0000}"/>
    <cellStyle name="_IPPL  10.09.2006_Base File For Segment" xfId="10939" xr:uid="{00000000-0005-0000-0000-0000BB2A0000}"/>
    <cellStyle name="_IPPL  10.09.2006_Book1" xfId="10940" xr:uid="{00000000-0005-0000-0000-0000BC2A0000}"/>
    <cellStyle name="_IPPL  10.09.2006_Book1 (2)" xfId="10941" xr:uid="{00000000-0005-0000-0000-0000BD2A0000}"/>
    <cellStyle name="_IPPL  10.09.2006_Book1 (2) 2" xfId="10942" xr:uid="{00000000-0005-0000-0000-0000BE2A0000}"/>
    <cellStyle name="_IPPL  10.09.2006_Bracond Balance Sheet  PL_301108_krishanu" xfId="10943" xr:uid="{00000000-0005-0000-0000-0000BF2A0000}"/>
    <cellStyle name="_IPPL  10.09.2006_BS _IB Asset Management _3103_ver5" xfId="10944" xr:uid="{00000000-0005-0000-0000-0000C02A0000}"/>
    <cellStyle name="_IPPL  10.09.2006_BS _IB Asset Management _3103_ver5_IAMCL BS working -New format_31.03 V5" xfId="10945" xr:uid="{00000000-0005-0000-0000-0000C12A0000}"/>
    <cellStyle name="_IPPL  10.09.2006_CCL_3353_2007-08" xfId="10946" xr:uid="{00000000-0005-0000-0000-0000C22A0000}"/>
    <cellStyle name="_IPPL  10.09.2006_ChlorisProperties_3351_Dec.08" xfId="10947" xr:uid="{00000000-0005-0000-0000-0000C32A0000}"/>
    <cellStyle name="_IPPL  10.09.2006_Consol Balance Sheet_Sophia_Dec08_Ibrel_1.3" xfId="10948" xr:uid="{00000000-0005-0000-0000-0000C42A0000}"/>
    <cellStyle name="_IPPL  10.09.2006_CRAR - dec- 10v-12" xfId="10949" xr:uid="{00000000-0005-0000-0000-0000C52A0000}"/>
    <cellStyle name="_IPPL  10.09.2006_CRAR - dec- 10v-12 2" xfId="10950" xr:uid="{00000000-0005-0000-0000-0000C62A0000}"/>
    <cellStyle name="_IPPL  10.09.2006_detail (2)" xfId="10951" xr:uid="{00000000-0005-0000-0000-0000C72A0000}"/>
    <cellStyle name="_IPPL  10.09.2006_Detail of IPO funding" xfId="10952" xr:uid="{00000000-0005-0000-0000-0000C82A0000}"/>
    <cellStyle name="_IPPL  10.09.2006_Details" xfId="10953" xr:uid="{00000000-0005-0000-0000-0000C92A0000}"/>
    <cellStyle name="_IPPL  10.09.2006_Entries Passed in Conso for profit on sale of invRevised 30.07.08" xfId="10954" xr:uid="{00000000-0005-0000-0000-0000CA2A0000}"/>
    <cellStyle name="_IPPL  10.09.2006_Entries Passed in Conso for profit on sale of invRevised 30.07.08 2" xfId="10955" xr:uid="{00000000-0005-0000-0000-0000CB2A0000}"/>
    <cellStyle name="_IPPL  10.09.2006_Entries Passed in Conso for profit on sale of invRevised 30.07.08_IREL_3000_08-09" xfId="10956" xr:uid="{00000000-0005-0000-0000-0000CC2A0000}"/>
    <cellStyle name="_IPPL  10.09.2006_Entries Passed in Conso for profit on sale of invRevised 30.07.08_IREL_3000_08-09 2" xfId="10957" xr:uid="{00000000-0005-0000-0000-0000CD2A0000}"/>
    <cellStyle name="_IPPL  10.09.2006_Entries Passed in Conso for profit on sale of invRevised 30.07.08_IREL_3000_08-09 2 2" xfId="10958" xr:uid="{00000000-0005-0000-0000-0000CE2A0000}"/>
    <cellStyle name="_IPPL  10.09.2006_Entries Passed in Conso for profit on sale of invRevised 30.07.08_IREL_3000_08-09 3" xfId="10959" xr:uid="{00000000-0005-0000-0000-0000CF2A0000}"/>
    <cellStyle name="_IPPL  10.09.2006_Entries Passed in Conso for profit on sale of invRevised 30.07.08_IREL_3000_08-09 stage 3" xfId="10960" xr:uid="{00000000-0005-0000-0000-0000D02A0000}"/>
    <cellStyle name="_IPPL  10.09.2006_Entries Passed in Conso for profit on sale of invRevised 30.07.08_IREL_3000_08-09 stage 3 2" xfId="10961" xr:uid="{00000000-0005-0000-0000-0000D12A0000}"/>
    <cellStyle name="_IPPL  10.09.2006_Entries Passed in Conso for profit on sale of invRevised 30.07.08_IREL_3000_08-09 stage 3_IREL_3000_08-09" xfId="10962" xr:uid="{00000000-0005-0000-0000-0000D22A0000}"/>
    <cellStyle name="_IPPL  10.09.2006_Entries Passed in Conso for profit on sale of invRevised 30.07.08_IREL_3000_08-09 stage 3_IREL_3000_08-09 2" xfId="10963" xr:uid="{00000000-0005-0000-0000-0000D32A0000}"/>
    <cellStyle name="_IPPL  10.09.2006_Entries Passed in Conso for profit on sale of invRevised 30.07.08_IREL_3000_08-09 stage 3_IREL_3000_08-09 2 2" xfId="10964" xr:uid="{00000000-0005-0000-0000-0000D42A0000}"/>
    <cellStyle name="_IPPL  10.09.2006_Entries Passed in Conso for profit on sale of invRevised 30.07.08_IREL_3000_08-09 stage 3_IREL_3000_08-09 3" xfId="10965" xr:uid="{00000000-0005-0000-0000-0000D52A0000}"/>
    <cellStyle name="_IPPL  10.09.2006_Entries Passed in Conso for profit on sale of invRevised 30.07.08_IREL_3000_08-09_IBREAL_BS PACK-Version.02" xfId="10966" xr:uid="{00000000-0005-0000-0000-0000D62A0000}"/>
    <cellStyle name="_IPPL  10.09.2006_Entries Passed in Conso for profit on sale of invRevised 30.07.08_IREL_3000_08-09_IBREAL_BS PACK-Version.02 2" xfId="10967" xr:uid="{00000000-0005-0000-0000-0000D72A0000}"/>
    <cellStyle name="_IPPL  10.09.2006_Entries Passed in Conso for profit on sale of invRevised 30.07.08_IREL_3000_08-09_IBREAL_BS PACK-Version.02 2 2" xfId="10968" xr:uid="{00000000-0005-0000-0000-0000D82A0000}"/>
    <cellStyle name="_IPPL  10.09.2006_Entries Passed in Conso for profit on sale of invRevised 30.07.08_IREL_3000_08-09_IBREAL_BS PACK-Version.02 3" xfId="10969" xr:uid="{00000000-0005-0000-0000-0000D92A0000}"/>
    <cellStyle name="_IPPL  10.09.2006_Entries Passed in Conso for profit on sale of invRevised 30.07.08_IREL_3000_08-09_IBREAL_BS PACK-Version.02_IBREAL_BS PACK-Version.03" xfId="10970" xr:uid="{00000000-0005-0000-0000-0000DA2A0000}"/>
    <cellStyle name="_IPPL  10.09.2006_Entries Passed in Conso for profit on sale of invRevised 30.07.08_IREL_3000_08-09_IBREAL_BS PACK-Version.02_IBREAL_BS PACK-Version.03 2" xfId="10971" xr:uid="{00000000-0005-0000-0000-0000DB2A0000}"/>
    <cellStyle name="_IPPL  10.09.2006_Entries Passed in Conso for profit on sale of invRevised 30.07.08_IREL_3000_08-09_IBREAL_BS PACK-Version.02_IBREAL_BS PACK-Version.03 2 2" xfId="10972" xr:uid="{00000000-0005-0000-0000-0000DC2A0000}"/>
    <cellStyle name="_IPPL  10.09.2006_Entries Passed in Conso for profit on sale of invRevised 30.07.08_IREL_3000_08-09_IBREAL_BS PACK-Version.02_IBREAL_BS PACK-Version.03 3" xfId="10973" xr:uid="{00000000-0005-0000-0000-0000DD2A0000}"/>
    <cellStyle name="_IPPL  10.09.2006_Entries Passed in Conso for profit on sale of invRevised 30.07.08_IREL_3000_08-09_IBREAL_BS PACK-Version.02_IBREAL_BS PACK-Version.03_IBREAL_BS PACK-Version.07" xfId="10974" xr:uid="{00000000-0005-0000-0000-0000DE2A0000}"/>
    <cellStyle name="_IPPL  10.09.2006_Entries Passed in Conso for profit on sale of invRevised 30.07.08_IREL_3000_08-09_IBREAL_BS PACK-Version.02_IBREAL_BS PACK-Version.03_IBREAL_BS PACK-Version.07 2" xfId="10975" xr:uid="{00000000-0005-0000-0000-0000DF2A0000}"/>
    <cellStyle name="_IPPL  10.09.2006_Entries Passed in Conso for profit on sale of invRevised 30.07.08_IREL_3000_08-09_IBREAL_BS PACK-Version.02_IBREAL_BS PACK-Version.03_IBREAL_BS PACK-Version.07 2 2" xfId="10976" xr:uid="{00000000-0005-0000-0000-0000E02A0000}"/>
    <cellStyle name="_IPPL  10.09.2006_Entries Passed in Conso for profit on sale of invRevised 30.07.08_IREL_3000_08-09_IBREAL_BS PACK-Version.02_IBREAL_BS PACK-Version.03_IBREAL_BS PACK-Version.07 3" xfId="10977" xr:uid="{00000000-0005-0000-0000-0000E12A0000}"/>
    <cellStyle name="_IPPL  10.09.2006_EPL_3346_2007-08(C)" xfId="10978" xr:uid="{00000000-0005-0000-0000-0000E22A0000}"/>
    <cellStyle name="_IPPL  10.09.2006_FD Detail" xfId="10979" xr:uid="{00000000-0005-0000-0000-0000E32A0000}"/>
    <cellStyle name="_IPPL  10.09.2006_FD Detail_Xl0000013" xfId="10980" xr:uid="{00000000-0005-0000-0000-0000E42A0000}"/>
    <cellStyle name="_IPPL  10.09.2006_Final Consol Balance Sheet_Sophia_Dec08_27.01.08" xfId="10981" xr:uid="{00000000-0005-0000-0000-0000E52A0000}"/>
    <cellStyle name="_IPPL  10.09.2006_Fixed Assets consolidated" xfId="10982" xr:uid="{00000000-0005-0000-0000-0000E62A0000}"/>
    <cellStyle name="_IPPL  10.09.2006_IAMCL BS working -New format_31.03 V5" xfId="10983" xr:uid="{00000000-0005-0000-0000-0000E72A0000}"/>
    <cellStyle name="_IPPL  10.09.2006_IB Asset Management _2910" xfId="10984" xr:uid="{00000000-0005-0000-0000-0000E82A0000}"/>
    <cellStyle name="_IPPL  10.09.2006_IB Asset Management _2910_IB Collection Agency_3103 V3" xfId="10985" xr:uid="{00000000-0005-0000-0000-0000E92A0000}"/>
    <cellStyle name="_IPPL  10.09.2006_IB Asset Management _2910_IB Collection Agency_3103 V3_ICAL-New Format_31.03 V4" xfId="10986" xr:uid="{00000000-0005-0000-0000-0000EA2A0000}"/>
    <cellStyle name="_IPPL  10.09.2006_IB Asset Management _2910_ICAL-BS Final Working _New format" xfId="10987" xr:uid="{00000000-0005-0000-0000-0000EB2A0000}"/>
    <cellStyle name="_IPPL  10.09.2006_IB Asset Management _3103_ver5" xfId="10988" xr:uid="{00000000-0005-0000-0000-0000EC2A0000}"/>
    <cellStyle name="_IPPL  10.09.2006_IB Asset Management_3103 V2" xfId="10989" xr:uid="{00000000-0005-0000-0000-0000ED2A0000}"/>
    <cellStyle name="_IPPL  10.09.2006_IB Asset Management_3103 V4" xfId="10990" xr:uid="{00000000-0005-0000-0000-0000EE2A0000}"/>
    <cellStyle name="_IPPL  10.09.2006_IB Asset Management_3103 V5" xfId="10991" xr:uid="{00000000-0005-0000-0000-0000EF2A0000}"/>
    <cellStyle name="_IPPL  10.09.2006_IB Collection Agency_3103 V3" xfId="10992" xr:uid="{00000000-0005-0000-0000-0000F02A0000}"/>
    <cellStyle name="_IPPL  10.09.2006_IB Collection Agency_3103 V3_ICAL-New Format_31.03 V4" xfId="10993" xr:uid="{00000000-0005-0000-0000-0000F12A0000}"/>
    <cellStyle name="_IPPL  10.09.2006_IB Infrastructure Credit" xfId="10994" xr:uid="{00000000-0005-0000-0000-0000F22A0000}"/>
    <cellStyle name="_IPPL  10.09.2006_IB Infrastructure Credit-3103_V6" xfId="10995" xr:uid="{00000000-0005-0000-0000-0000F32A0000}"/>
    <cellStyle name="_IPPL  10.09.2006_IB Infrastructure Credit-3103_V7" xfId="10996" xr:uid="{00000000-0005-0000-0000-0000F42A0000}"/>
    <cellStyle name="_IPPL  10.09.2006_IB Life Insurance_3103 V4" xfId="10997" xr:uid="{00000000-0005-0000-0000-0000F52A0000}"/>
    <cellStyle name="_IPPL  10.09.2006_IB Trustee Company_3103 V4" xfId="10998" xr:uid="{00000000-0005-0000-0000-0000F62A0000}"/>
    <cellStyle name="_IPPL  10.09.2006_IBFSL 30 Sep 11 V8" xfId="10999" xr:uid="{00000000-0005-0000-0000-0000F72A0000}"/>
    <cellStyle name="_IPPL  10.09.2006_IBFSL 31 May V1" xfId="11000" xr:uid="{00000000-0005-0000-0000-0000F82A0000}"/>
    <cellStyle name="_IPPL  10.09.2006_IBFSL 31 May V1_Xl0000013" xfId="11001" xr:uid="{00000000-0005-0000-0000-0000F92A0000}"/>
    <cellStyle name="_IPPL  10.09.2006_IBFSL_Conso_March_10_11" xfId="11002" xr:uid="{00000000-0005-0000-0000-0000FA2A0000}"/>
    <cellStyle name="_IPPL  10.09.2006_IBLIC_BS  Final working -New_Format_31.03 V5" xfId="11003" xr:uid="{00000000-0005-0000-0000-0000FB2A0000}"/>
    <cellStyle name="_IPPL  10.09.2006_Ibulls BS Final woirking -New format_31.03 V5" xfId="11004" xr:uid="{00000000-0005-0000-0000-0000FC2A0000}"/>
    <cellStyle name="_IPPL  10.09.2006_IbullsSales_3103" xfId="11005" xr:uid="{00000000-0005-0000-0000-0000FD2A0000}"/>
    <cellStyle name="_IPPL  10.09.2006_IbullsSales_3103 V2" xfId="11006" xr:uid="{00000000-0005-0000-0000-0000FE2A0000}"/>
    <cellStyle name="_IPPL  10.09.2006_IbullsSales_3103 V5" xfId="11007" xr:uid="{00000000-0005-0000-0000-0000FF2A0000}"/>
    <cellStyle name="_IPPL  10.09.2006_ICAL-BS Final Working _New format" xfId="11008" xr:uid="{00000000-0005-0000-0000-0000002B0000}"/>
    <cellStyle name="_IPPL  10.09.2006_ICL_BS_30.06.2009" xfId="11009" xr:uid="{00000000-0005-0000-0000-0000012B0000}"/>
    <cellStyle name="_IPPL  10.09.2006_ICPL_BS_31.03.2009_new" xfId="11010" xr:uid="{00000000-0005-0000-0000-0000022B0000}"/>
    <cellStyle name="_IPPL  10.09.2006_ICPL_BS_31.03.2009_new_ISL__3CD_FY2010-11" xfId="11011" xr:uid="{00000000-0005-0000-0000-0000032B0000}"/>
    <cellStyle name="_IPPL  10.09.2006_IDSL_31.03.2010" xfId="11012" xr:uid="{00000000-0005-0000-0000-0000042B0000}"/>
    <cellStyle name="_IPPL  10.09.2006_IFCPL 31 03 2010 VER6 Final" xfId="11013" xr:uid="{00000000-0005-0000-0000-0000052B0000}"/>
    <cellStyle name="_IPPL  10.09.2006_IHFL_Dec_23_2008" xfId="11014" xr:uid="{00000000-0005-0000-0000-0000062B0000}"/>
    <cellStyle name="_IPPL  10.09.2006_IHFL_Dec_23_2008_Xl0000013" xfId="11015" xr:uid="{00000000-0005-0000-0000-0000072B0000}"/>
    <cellStyle name="_IPPL  10.09.2006_IHFL_SEP_30_2009 XIII AUDIT- Sch II" xfId="11016" xr:uid="{00000000-0005-0000-0000-0000082B0000}"/>
    <cellStyle name="_IPPL  10.09.2006_IIAL 31.03.2010 VER2" xfId="11017" xr:uid="{00000000-0005-0000-0000-0000092B0000}"/>
    <cellStyle name="_IPPL  10.09.2006_IICL_March'11" xfId="11018" xr:uid="{00000000-0005-0000-0000-00000A2B0000}"/>
    <cellStyle name="_IPPL  10.09.2006_IIDL_3227_2008_09" xfId="11019" xr:uid="{00000000-0005-0000-0000-00000B2B0000}"/>
    <cellStyle name="_IPPL  10.09.2006_IIDL_3227_2008_09_Advance Tax Summary" xfId="11020" xr:uid="{00000000-0005-0000-0000-00000C2B0000}"/>
    <cellStyle name="_IPPL  10.09.2006_IIDL_3227_2008_09_Advance Tax Summary 2" xfId="11021" xr:uid="{00000000-0005-0000-0000-00000D2B0000}"/>
    <cellStyle name="_IPPL  10.09.2006_IIDL_3227_2008_09_ISL Group - Advance Tax working for 3rd Instalment" xfId="11022" xr:uid="{00000000-0005-0000-0000-00000E2B0000}"/>
    <cellStyle name="_IPPL  10.09.2006_IIDL_3227_2008_09_Xl0000013" xfId="11023" xr:uid="{00000000-0005-0000-0000-00000F2B0000}"/>
    <cellStyle name="_IPPL  10.09.2006_Indiabulls Asset Management Company Limited printable" xfId="11024" xr:uid="{00000000-0005-0000-0000-0000102B0000}"/>
    <cellStyle name="_IPPL  10.09.2006_IREL_3000_08-09" xfId="11025" xr:uid="{00000000-0005-0000-0000-0000112B0000}"/>
    <cellStyle name="_IPPL  10.09.2006_IREL_3000_08-09 2" xfId="11026" xr:uid="{00000000-0005-0000-0000-0000122B0000}"/>
    <cellStyle name="_IPPL  10.09.2006_ISL_March_08_09.final_11.12.2009" xfId="11027" xr:uid="{00000000-0005-0000-0000-0000132B0000}"/>
    <cellStyle name="_IPPL  10.09.2006_ISL_March_08_09.final_11.12.2009_ISL__3CD_FY2010-11" xfId="11028" xr:uid="{00000000-0005-0000-0000-0000142B0000}"/>
    <cellStyle name="_IPPL  10.09.2006_ITCL_BS working _New format_31.03 V7" xfId="11029" xr:uid="{00000000-0005-0000-0000-0000152B0000}"/>
    <cellStyle name="_IPPL  10.09.2006_ITCL-New format_31.03 V6" xfId="11030" xr:uid="{00000000-0005-0000-0000-0000162B0000}"/>
    <cellStyle name="_IPPL  10.09.2006_NFCL working file" xfId="11031" xr:uid="{00000000-0005-0000-0000-0000172B0000}"/>
    <cellStyle name="_IPPL  10.09.2006_NFCL_ Tax Audit Report FY08-09 " xfId="11032" xr:uid="{00000000-0005-0000-0000-0000182B0000}"/>
    <cellStyle name="_IPPL  10.09.2006_Revised Consol Balance Sheet_Sophia_Jan09_10.02.2009" xfId="11033" xr:uid="{00000000-0005-0000-0000-0000192B0000}"/>
    <cellStyle name="_IPPL  10.09.2006_Sophia Consol for Printout 22 Jun 09" xfId="11034" xr:uid="{00000000-0005-0000-0000-00001A2B0000}"/>
    <cellStyle name="_IPPL  10.09.2006_Sophia Consol_march_09_05 June  09_1" xfId="11035" xr:uid="{00000000-0005-0000-0000-00001B2B0000}"/>
    <cellStyle name="_IPPL  10.09.2006_Tax Audit Report  F.Y.08-09" xfId="11036" xr:uid="{00000000-0005-0000-0000-00001C2B0000}"/>
    <cellStyle name="_IPPL  10.09.2006_Tax Audit Report  ICSL F.Y.09-10" xfId="11037" xr:uid="{00000000-0005-0000-0000-00001D2B0000}"/>
    <cellStyle name="_IPPL  10.09.2006_Treasury ICD Interest_ MIS_ 23  09 2009(final)" xfId="11038" xr:uid="{00000000-0005-0000-0000-00001E2B0000}"/>
    <cellStyle name="_IPPL  10.09.2006_Treasury ICD Interest_ MIS_ 30. 06 2009(final)" xfId="11039" xr:uid="{00000000-0005-0000-0000-00001F2B0000}"/>
    <cellStyle name="_IPPL  10.09.2006_Treasury ICD Interest_ MIS_ 30. 09 2009(final)" xfId="11040" xr:uid="{00000000-0005-0000-0000-0000202B0000}"/>
    <cellStyle name="_IPPL  10.09.2006_Treasury ICD Interest_ MIS_ 31 05 2009" xfId="11041" xr:uid="{00000000-0005-0000-0000-0000212B0000}"/>
    <cellStyle name="_IPPL  10.09.2006_Treasury ICD Interest_ MIS_ 31 10 2009" xfId="11042" xr:uid="{00000000-0005-0000-0000-0000222B0000}"/>
    <cellStyle name="_IPPL  10.09.2006_Treasury ICD Interest_ MIS_ 31.10.2009" xfId="11043" xr:uid="{00000000-0005-0000-0000-0000232B0000}"/>
    <cellStyle name="_IPPL  10.09.2006_Treasury ICD Interest_ MIS_ 310309" xfId="11044" xr:uid="{00000000-0005-0000-0000-0000242B0000}"/>
    <cellStyle name="_IPPL 10.03.2006" xfId="11045" xr:uid="{00000000-0005-0000-0000-0000252B0000}"/>
    <cellStyle name="_IPPL 10.03.2006 2" xfId="11046" xr:uid="{00000000-0005-0000-0000-0000262B0000}"/>
    <cellStyle name="_IPPL 10.03.2006 2 2" xfId="11047" xr:uid="{00000000-0005-0000-0000-0000272B0000}"/>
    <cellStyle name="_IPPL 10.03.2006 3" xfId="11048" xr:uid="{00000000-0005-0000-0000-0000282B0000}"/>
    <cellStyle name="_IPPL 10.03.2006_269SS &amp; T IIAPL 09-10" xfId="11049" xr:uid="{00000000-0005-0000-0000-0000292B0000}"/>
    <cellStyle name="_IPPL 10.03.2006_Abstract-2007-08" xfId="11050" xr:uid="{00000000-0005-0000-0000-00002A2B0000}"/>
    <cellStyle name="_IPPL 10.03.2006_Abstract-2007-08 2" xfId="11051" xr:uid="{00000000-0005-0000-0000-00002B2B0000}"/>
    <cellStyle name="_IPPL 10.03.2006_Advance Tax Format_F.Y. 2010-11" xfId="11052" xr:uid="{00000000-0005-0000-0000-00002C2B0000}"/>
    <cellStyle name="_IPPL 10.03.2006_Advance Tax Sophia Jun 09" xfId="11053" xr:uid="{00000000-0005-0000-0000-00002D2B0000}"/>
    <cellStyle name="_IPPL 10.03.2006_Asset Management Company Limited" xfId="11054" xr:uid="{00000000-0005-0000-0000-00002E2B0000}"/>
    <cellStyle name="_IPPL 10.03.2006_Base File For Segment" xfId="11055" xr:uid="{00000000-0005-0000-0000-00002F2B0000}"/>
    <cellStyle name="_IPPL 10.03.2006_Book1" xfId="11056" xr:uid="{00000000-0005-0000-0000-0000302B0000}"/>
    <cellStyle name="_IPPL 10.03.2006_Book1 (2)" xfId="11057" xr:uid="{00000000-0005-0000-0000-0000312B0000}"/>
    <cellStyle name="_IPPL 10.03.2006_Book1 (2) 2" xfId="11058" xr:uid="{00000000-0005-0000-0000-0000322B0000}"/>
    <cellStyle name="_IPPL 10.03.2006_Bracond Balance Sheet  PL_301108_krishanu" xfId="11059" xr:uid="{00000000-0005-0000-0000-0000332B0000}"/>
    <cellStyle name="_IPPL 10.03.2006_BS _IB Asset Management _3103_ver5" xfId="11060" xr:uid="{00000000-0005-0000-0000-0000342B0000}"/>
    <cellStyle name="_IPPL 10.03.2006_BS _IB Asset Management _3103_ver5_IAMCL BS working -New format_31.03 V5" xfId="11061" xr:uid="{00000000-0005-0000-0000-0000352B0000}"/>
    <cellStyle name="_IPPL 10.03.2006_CCL_3353_2007-08" xfId="11062" xr:uid="{00000000-0005-0000-0000-0000362B0000}"/>
    <cellStyle name="_IPPL 10.03.2006_ChlorisProperties_3351_Dec.08" xfId="11063" xr:uid="{00000000-0005-0000-0000-0000372B0000}"/>
    <cellStyle name="_IPPL 10.03.2006_Consol Balance Sheet_Sophia_Dec08_Ibrel_1.3" xfId="11064" xr:uid="{00000000-0005-0000-0000-0000382B0000}"/>
    <cellStyle name="_IPPL 10.03.2006_CRAR - dec- 10v-12" xfId="11065" xr:uid="{00000000-0005-0000-0000-0000392B0000}"/>
    <cellStyle name="_IPPL 10.03.2006_CRAR - dec- 10v-12 2" xfId="11066" xr:uid="{00000000-0005-0000-0000-00003A2B0000}"/>
    <cellStyle name="_IPPL 10.03.2006_detail (2)" xfId="11067" xr:uid="{00000000-0005-0000-0000-00003B2B0000}"/>
    <cellStyle name="_IPPL 10.03.2006_Detail of IPO funding" xfId="11068" xr:uid="{00000000-0005-0000-0000-00003C2B0000}"/>
    <cellStyle name="_IPPL 10.03.2006_Details" xfId="11069" xr:uid="{00000000-0005-0000-0000-00003D2B0000}"/>
    <cellStyle name="_IPPL 10.03.2006_Entries Passed in Conso for profit on sale of invRevised 30.07.08" xfId="11070" xr:uid="{00000000-0005-0000-0000-00003E2B0000}"/>
    <cellStyle name="_IPPL 10.03.2006_Entries Passed in Conso for profit on sale of invRevised 30.07.08 2" xfId="11071" xr:uid="{00000000-0005-0000-0000-00003F2B0000}"/>
    <cellStyle name="_IPPL 10.03.2006_Entries Passed in Conso for profit on sale of invRevised 30.07.08_IREL_3000_08-09" xfId="11072" xr:uid="{00000000-0005-0000-0000-0000402B0000}"/>
    <cellStyle name="_IPPL 10.03.2006_Entries Passed in Conso for profit on sale of invRevised 30.07.08_IREL_3000_08-09 2" xfId="11073" xr:uid="{00000000-0005-0000-0000-0000412B0000}"/>
    <cellStyle name="_IPPL 10.03.2006_Entries Passed in Conso for profit on sale of invRevised 30.07.08_IREL_3000_08-09 2 2" xfId="11074" xr:uid="{00000000-0005-0000-0000-0000422B0000}"/>
    <cellStyle name="_IPPL 10.03.2006_Entries Passed in Conso for profit on sale of invRevised 30.07.08_IREL_3000_08-09 3" xfId="11075" xr:uid="{00000000-0005-0000-0000-0000432B0000}"/>
    <cellStyle name="_IPPL 10.03.2006_Entries Passed in Conso for profit on sale of invRevised 30.07.08_IREL_3000_08-09 stage 3" xfId="11076" xr:uid="{00000000-0005-0000-0000-0000442B0000}"/>
    <cellStyle name="_IPPL 10.03.2006_Entries Passed in Conso for profit on sale of invRevised 30.07.08_IREL_3000_08-09 stage 3 2" xfId="11077" xr:uid="{00000000-0005-0000-0000-0000452B0000}"/>
    <cellStyle name="_IPPL 10.03.2006_Entries Passed in Conso for profit on sale of invRevised 30.07.08_IREL_3000_08-09 stage 3_IREL_3000_08-09" xfId="11078" xr:uid="{00000000-0005-0000-0000-0000462B0000}"/>
    <cellStyle name="_IPPL 10.03.2006_Entries Passed in Conso for profit on sale of invRevised 30.07.08_IREL_3000_08-09 stage 3_IREL_3000_08-09 2" xfId="11079" xr:uid="{00000000-0005-0000-0000-0000472B0000}"/>
    <cellStyle name="_IPPL 10.03.2006_Entries Passed in Conso for profit on sale of invRevised 30.07.08_IREL_3000_08-09 stage 3_IREL_3000_08-09 2 2" xfId="11080" xr:uid="{00000000-0005-0000-0000-0000482B0000}"/>
    <cellStyle name="_IPPL 10.03.2006_Entries Passed in Conso for profit on sale of invRevised 30.07.08_IREL_3000_08-09 stage 3_IREL_3000_08-09 3" xfId="11081" xr:uid="{00000000-0005-0000-0000-0000492B0000}"/>
    <cellStyle name="_IPPL 10.03.2006_Entries Passed in Conso for profit on sale of invRevised 30.07.08_IREL_3000_08-09_IBREAL_BS PACK-Version.02" xfId="11082" xr:uid="{00000000-0005-0000-0000-00004A2B0000}"/>
    <cellStyle name="_IPPL 10.03.2006_Entries Passed in Conso for profit on sale of invRevised 30.07.08_IREL_3000_08-09_IBREAL_BS PACK-Version.02 2" xfId="11083" xr:uid="{00000000-0005-0000-0000-00004B2B0000}"/>
    <cellStyle name="_IPPL 10.03.2006_Entries Passed in Conso for profit on sale of invRevised 30.07.08_IREL_3000_08-09_IBREAL_BS PACK-Version.02 2 2" xfId="11084" xr:uid="{00000000-0005-0000-0000-00004C2B0000}"/>
    <cellStyle name="_IPPL 10.03.2006_Entries Passed in Conso for profit on sale of invRevised 30.07.08_IREL_3000_08-09_IBREAL_BS PACK-Version.02 3" xfId="11085" xr:uid="{00000000-0005-0000-0000-00004D2B0000}"/>
    <cellStyle name="_IPPL 10.03.2006_Entries Passed in Conso for profit on sale of invRevised 30.07.08_IREL_3000_08-09_IBREAL_BS PACK-Version.02_IBREAL_BS PACK-Version.03" xfId="11086" xr:uid="{00000000-0005-0000-0000-00004E2B0000}"/>
    <cellStyle name="_IPPL 10.03.2006_Entries Passed in Conso for profit on sale of invRevised 30.07.08_IREL_3000_08-09_IBREAL_BS PACK-Version.02_IBREAL_BS PACK-Version.03 2" xfId="11087" xr:uid="{00000000-0005-0000-0000-00004F2B0000}"/>
    <cellStyle name="_IPPL 10.03.2006_Entries Passed in Conso for profit on sale of invRevised 30.07.08_IREL_3000_08-09_IBREAL_BS PACK-Version.02_IBREAL_BS PACK-Version.03 2 2" xfId="11088" xr:uid="{00000000-0005-0000-0000-0000502B0000}"/>
    <cellStyle name="_IPPL 10.03.2006_Entries Passed in Conso for profit on sale of invRevised 30.07.08_IREL_3000_08-09_IBREAL_BS PACK-Version.02_IBREAL_BS PACK-Version.03 3" xfId="11089" xr:uid="{00000000-0005-0000-0000-0000512B0000}"/>
    <cellStyle name="_IPPL 10.03.2006_Entries Passed in Conso for profit on sale of invRevised 30.07.08_IREL_3000_08-09_IBREAL_BS PACK-Version.02_IBREAL_BS PACK-Version.03_IBREAL_BS PACK-Version.07" xfId="11090" xr:uid="{00000000-0005-0000-0000-0000522B0000}"/>
    <cellStyle name="_IPPL 10.03.2006_Entries Passed in Conso for profit on sale of invRevised 30.07.08_IREL_3000_08-09_IBREAL_BS PACK-Version.02_IBREAL_BS PACK-Version.03_IBREAL_BS PACK-Version.07 2" xfId="11091" xr:uid="{00000000-0005-0000-0000-0000532B0000}"/>
    <cellStyle name="_IPPL 10.03.2006_Entries Passed in Conso for profit on sale of invRevised 30.07.08_IREL_3000_08-09_IBREAL_BS PACK-Version.02_IBREAL_BS PACK-Version.03_IBREAL_BS PACK-Version.07 2 2" xfId="11092" xr:uid="{00000000-0005-0000-0000-0000542B0000}"/>
    <cellStyle name="_IPPL 10.03.2006_Entries Passed in Conso for profit on sale of invRevised 30.07.08_IREL_3000_08-09_IBREAL_BS PACK-Version.02_IBREAL_BS PACK-Version.03_IBREAL_BS PACK-Version.07 3" xfId="11093" xr:uid="{00000000-0005-0000-0000-0000552B0000}"/>
    <cellStyle name="_IPPL 10.03.2006_EPL_3346_2007-08(C)" xfId="11094" xr:uid="{00000000-0005-0000-0000-0000562B0000}"/>
    <cellStyle name="_IPPL 10.03.2006_FD Detail" xfId="11095" xr:uid="{00000000-0005-0000-0000-0000572B0000}"/>
    <cellStyle name="_IPPL 10.03.2006_FD Detail_Xl0000013" xfId="11096" xr:uid="{00000000-0005-0000-0000-0000582B0000}"/>
    <cellStyle name="_IPPL 10.03.2006_Final Consol Balance Sheet_Sophia_Dec08_27.01.08" xfId="11097" xr:uid="{00000000-0005-0000-0000-0000592B0000}"/>
    <cellStyle name="_IPPL 10.03.2006_Fixed Assets consolidated" xfId="11098" xr:uid="{00000000-0005-0000-0000-00005A2B0000}"/>
    <cellStyle name="_IPPL 10.03.2006_IAMCL BS working -New format_31.03 V5" xfId="11099" xr:uid="{00000000-0005-0000-0000-00005B2B0000}"/>
    <cellStyle name="_IPPL 10.03.2006_IB Asset Management _2910" xfId="11100" xr:uid="{00000000-0005-0000-0000-00005C2B0000}"/>
    <cellStyle name="_IPPL 10.03.2006_IB Asset Management _2910_IB Collection Agency_3103 V3" xfId="11101" xr:uid="{00000000-0005-0000-0000-00005D2B0000}"/>
    <cellStyle name="_IPPL 10.03.2006_IB Asset Management _2910_IB Collection Agency_3103 V3_ICAL-New Format_31.03 V4" xfId="11102" xr:uid="{00000000-0005-0000-0000-00005E2B0000}"/>
    <cellStyle name="_IPPL 10.03.2006_IB Asset Management _2910_ICAL-BS Final Working _New format" xfId="11103" xr:uid="{00000000-0005-0000-0000-00005F2B0000}"/>
    <cellStyle name="_IPPL 10.03.2006_IB Asset Management _3103_ver5" xfId="11104" xr:uid="{00000000-0005-0000-0000-0000602B0000}"/>
    <cellStyle name="_IPPL 10.03.2006_IB Asset Management_3103 V2" xfId="11105" xr:uid="{00000000-0005-0000-0000-0000612B0000}"/>
    <cellStyle name="_IPPL 10.03.2006_IB Asset Management_3103 V4" xfId="11106" xr:uid="{00000000-0005-0000-0000-0000622B0000}"/>
    <cellStyle name="_IPPL 10.03.2006_IB Asset Management_3103 V5" xfId="11107" xr:uid="{00000000-0005-0000-0000-0000632B0000}"/>
    <cellStyle name="_IPPL 10.03.2006_IB Collection Agency_3103 V3" xfId="11108" xr:uid="{00000000-0005-0000-0000-0000642B0000}"/>
    <cellStyle name="_IPPL 10.03.2006_IB Collection Agency_3103 V3_ICAL-New Format_31.03 V4" xfId="11109" xr:uid="{00000000-0005-0000-0000-0000652B0000}"/>
    <cellStyle name="_IPPL 10.03.2006_IB Infrastructure Credit" xfId="11110" xr:uid="{00000000-0005-0000-0000-0000662B0000}"/>
    <cellStyle name="_IPPL 10.03.2006_IB Infrastructure Credit-3103_V6" xfId="11111" xr:uid="{00000000-0005-0000-0000-0000672B0000}"/>
    <cellStyle name="_IPPL 10.03.2006_IB Infrastructure Credit-3103_V7" xfId="11112" xr:uid="{00000000-0005-0000-0000-0000682B0000}"/>
    <cellStyle name="_IPPL 10.03.2006_IB Life Insurance_3103 V4" xfId="11113" xr:uid="{00000000-0005-0000-0000-0000692B0000}"/>
    <cellStyle name="_IPPL 10.03.2006_IB Trustee Company_3103 V4" xfId="11114" xr:uid="{00000000-0005-0000-0000-00006A2B0000}"/>
    <cellStyle name="_IPPL 10.03.2006_IBFSL 30 Sep 11 V8" xfId="11115" xr:uid="{00000000-0005-0000-0000-00006B2B0000}"/>
    <cellStyle name="_IPPL 10.03.2006_IBFSL 31 May V1" xfId="11116" xr:uid="{00000000-0005-0000-0000-00006C2B0000}"/>
    <cellStyle name="_IPPL 10.03.2006_IBFSL 31 May V1_Xl0000013" xfId="11117" xr:uid="{00000000-0005-0000-0000-00006D2B0000}"/>
    <cellStyle name="_IPPL 10.03.2006_IBFSL_Conso_March_10_11" xfId="11118" xr:uid="{00000000-0005-0000-0000-00006E2B0000}"/>
    <cellStyle name="_IPPL 10.03.2006_IBLIC_BS  Final working -New_Format_31.03 V5" xfId="11119" xr:uid="{00000000-0005-0000-0000-00006F2B0000}"/>
    <cellStyle name="_IPPL 10.03.2006_Ibulls BS Final woirking -New format_31.03 V5" xfId="11120" xr:uid="{00000000-0005-0000-0000-0000702B0000}"/>
    <cellStyle name="_IPPL 10.03.2006_IbullsSales_3103" xfId="11121" xr:uid="{00000000-0005-0000-0000-0000712B0000}"/>
    <cellStyle name="_IPPL 10.03.2006_IbullsSales_3103 V2" xfId="11122" xr:uid="{00000000-0005-0000-0000-0000722B0000}"/>
    <cellStyle name="_IPPL 10.03.2006_IbullsSales_3103 V5" xfId="11123" xr:uid="{00000000-0005-0000-0000-0000732B0000}"/>
    <cellStyle name="_IPPL 10.03.2006_ICAL-BS Final Working _New format" xfId="11124" xr:uid="{00000000-0005-0000-0000-0000742B0000}"/>
    <cellStyle name="_IPPL 10.03.2006_ICL_BS_30.06.2009" xfId="11125" xr:uid="{00000000-0005-0000-0000-0000752B0000}"/>
    <cellStyle name="_IPPL 10.03.2006_ICPL_BS_31.03.2009_new" xfId="11126" xr:uid="{00000000-0005-0000-0000-0000762B0000}"/>
    <cellStyle name="_IPPL 10.03.2006_ICPL_BS_31.03.2009_new_ISL__3CD_FY2010-11" xfId="11127" xr:uid="{00000000-0005-0000-0000-0000772B0000}"/>
    <cellStyle name="_IPPL 10.03.2006_IDSL_31.03.2010" xfId="11128" xr:uid="{00000000-0005-0000-0000-0000782B0000}"/>
    <cellStyle name="_IPPL 10.03.2006_IFCPL 31 03 2010 VER6 Final" xfId="11129" xr:uid="{00000000-0005-0000-0000-0000792B0000}"/>
    <cellStyle name="_IPPL 10.03.2006_IHFL_Dec_23_2008" xfId="11130" xr:uid="{00000000-0005-0000-0000-00007A2B0000}"/>
    <cellStyle name="_IPPL 10.03.2006_IHFL_Dec_23_2008_Xl0000013" xfId="11131" xr:uid="{00000000-0005-0000-0000-00007B2B0000}"/>
    <cellStyle name="_IPPL 10.03.2006_IHFL_SEP_30_2009 XIII AUDIT- Sch II" xfId="11132" xr:uid="{00000000-0005-0000-0000-00007C2B0000}"/>
    <cellStyle name="_IPPL 10.03.2006_IIAL 31.03.2010 VER2" xfId="11133" xr:uid="{00000000-0005-0000-0000-00007D2B0000}"/>
    <cellStyle name="_IPPL 10.03.2006_IICL_March'11" xfId="11134" xr:uid="{00000000-0005-0000-0000-00007E2B0000}"/>
    <cellStyle name="_IPPL 10.03.2006_IIDL_3227_2008_09" xfId="11135" xr:uid="{00000000-0005-0000-0000-00007F2B0000}"/>
    <cellStyle name="_IPPL 10.03.2006_IIDL_3227_2008_09_Advance Tax Summary" xfId="11136" xr:uid="{00000000-0005-0000-0000-0000802B0000}"/>
    <cellStyle name="_IPPL 10.03.2006_IIDL_3227_2008_09_Advance Tax Summary 2" xfId="11137" xr:uid="{00000000-0005-0000-0000-0000812B0000}"/>
    <cellStyle name="_IPPL 10.03.2006_IIDL_3227_2008_09_ISL Group - Advance Tax working for 3rd Instalment" xfId="11138" xr:uid="{00000000-0005-0000-0000-0000822B0000}"/>
    <cellStyle name="_IPPL 10.03.2006_IIDL_3227_2008_09_Xl0000013" xfId="11139" xr:uid="{00000000-0005-0000-0000-0000832B0000}"/>
    <cellStyle name="_IPPL 10.03.2006_Indiabulls Asset Management Company Limited printable" xfId="11140" xr:uid="{00000000-0005-0000-0000-0000842B0000}"/>
    <cellStyle name="_IPPL 10.03.2006_IREL_3000_08-09" xfId="11141" xr:uid="{00000000-0005-0000-0000-0000852B0000}"/>
    <cellStyle name="_IPPL 10.03.2006_IREL_3000_08-09 2" xfId="11142" xr:uid="{00000000-0005-0000-0000-0000862B0000}"/>
    <cellStyle name="_IPPL 10.03.2006_ISL_March_08_09.final_11.12.2009" xfId="11143" xr:uid="{00000000-0005-0000-0000-0000872B0000}"/>
    <cellStyle name="_IPPL 10.03.2006_ISL_March_08_09.final_11.12.2009_ISL__3CD_FY2010-11" xfId="11144" xr:uid="{00000000-0005-0000-0000-0000882B0000}"/>
    <cellStyle name="_IPPL 10.03.2006_ITCL_BS working _New format_31.03 V7" xfId="11145" xr:uid="{00000000-0005-0000-0000-0000892B0000}"/>
    <cellStyle name="_IPPL 10.03.2006_ITCL-New format_31.03 V6" xfId="11146" xr:uid="{00000000-0005-0000-0000-00008A2B0000}"/>
    <cellStyle name="_IPPL 10.03.2006_NFCL working file" xfId="11147" xr:uid="{00000000-0005-0000-0000-00008B2B0000}"/>
    <cellStyle name="_IPPL 10.03.2006_NFCL_ Tax Audit Report FY08-09 " xfId="11148" xr:uid="{00000000-0005-0000-0000-00008C2B0000}"/>
    <cellStyle name="_IPPL 10.03.2006_Revised Consol Balance Sheet_Sophia_Jan09_10.02.2009" xfId="11149" xr:uid="{00000000-0005-0000-0000-00008D2B0000}"/>
    <cellStyle name="_IPPL 10.03.2006_Sophia Consol for Printout 22 Jun 09" xfId="11150" xr:uid="{00000000-0005-0000-0000-00008E2B0000}"/>
    <cellStyle name="_IPPL 10.03.2006_Sophia Consol_march_09_05 June  09_1" xfId="11151" xr:uid="{00000000-0005-0000-0000-00008F2B0000}"/>
    <cellStyle name="_IPPL 10.03.2006_Tax Audit Report  F.Y.08-09" xfId="11152" xr:uid="{00000000-0005-0000-0000-0000902B0000}"/>
    <cellStyle name="_IPPL 10.03.2006_Tax Audit Report  ICSL F.Y.09-10" xfId="11153" xr:uid="{00000000-0005-0000-0000-0000912B0000}"/>
    <cellStyle name="_IPPL 10.03.2006_Treasury ICD Interest_ MIS_ 23  09 2009(final)" xfId="11154" xr:uid="{00000000-0005-0000-0000-0000922B0000}"/>
    <cellStyle name="_IPPL 10.03.2006_Treasury ICD Interest_ MIS_ 30. 06 2009(final)" xfId="11155" xr:uid="{00000000-0005-0000-0000-0000932B0000}"/>
    <cellStyle name="_IPPL 10.03.2006_Treasury ICD Interest_ MIS_ 30. 09 2009(final)" xfId="11156" xr:uid="{00000000-0005-0000-0000-0000942B0000}"/>
    <cellStyle name="_IPPL 10.03.2006_Treasury ICD Interest_ MIS_ 31 05 2009" xfId="11157" xr:uid="{00000000-0005-0000-0000-0000952B0000}"/>
    <cellStyle name="_IPPL 10.03.2006_Treasury ICD Interest_ MIS_ 31 10 2009" xfId="11158" xr:uid="{00000000-0005-0000-0000-0000962B0000}"/>
    <cellStyle name="_IPPL 10.03.2006_Treasury ICD Interest_ MIS_ 31.10.2009" xfId="11159" xr:uid="{00000000-0005-0000-0000-0000972B0000}"/>
    <cellStyle name="_IPPL 10.03.2006_Treasury ICD Interest_ MIS_ 310309" xfId="11160" xr:uid="{00000000-0005-0000-0000-0000982B0000}"/>
    <cellStyle name="_IPPL 31.12.2006 FINAL FINAL FINAL FINAL" xfId="11161" xr:uid="{00000000-0005-0000-0000-0000992B0000}"/>
    <cellStyle name="_IPPL 31.12.2006 FINAL FINAL FINAL FINAL 10" xfId="11162" xr:uid="{00000000-0005-0000-0000-00009A2B0000}"/>
    <cellStyle name="_IPPL 31.12.2006 FINAL FINAL FINAL FINAL 10 2" xfId="11163" xr:uid="{00000000-0005-0000-0000-00009B2B0000}"/>
    <cellStyle name="_IPPL 31.12.2006 FINAL FINAL FINAL FINAL 10 2 2" xfId="11164" xr:uid="{00000000-0005-0000-0000-00009C2B0000}"/>
    <cellStyle name="_IPPL 31.12.2006 FINAL FINAL FINAL FINAL 10 3" xfId="11165" xr:uid="{00000000-0005-0000-0000-00009D2B0000}"/>
    <cellStyle name="_IPPL 31.12.2006 FINAL FINAL FINAL FINAL 11" xfId="11166" xr:uid="{00000000-0005-0000-0000-00009E2B0000}"/>
    <cellStyle name="_IPPL 31.12.2006 FINAL FINAL FINAL FINAL 11 2" xfId="11167" xr:uid="{00000000-0005-0000-0000-00009F2B0000}"/>
    <cellStyle name="_IPPL 31.12.2006 FINAL FINAL FINAL FINAL 11 2 2" xfId="11168" xr:uid="{00000000-0005-0000-0000-0000A02B0000}"/>
    <cellStyle name="_IPPL 31.12.2006 FINAL FINAL FINAL FINAL 11 3" xfId="11169" xr:uid="{00000000-0005-0000-0000-0000A12B0000}"/>
    <cellStyle name="_IPPL 31.12.2006 FINAL FINAL FINAL FINAL 12" xfId="11170" xr:uid="{00000000-0005-0000-0000-0000A22B0000}"/>
    <cellStyle name="_IPPL 31.12.2006 FINAL FINAL FINAL FINAL 12 2" xfId="11171" xr:uid="{00000000-0005-0000-0000-0000A32B0000}"/>
    <cellStyle name="_IPPL 31.12.2006 FINAL FINAL FINAL FINAL 12 2 2" xfId="11172" xr:uid="{00000000-0005-0000-0000-0000A42B0000}"/>
    <cellStyle name="_IPPL 31.12.2006 FINAL FINAL FINAL FINAL 12 3" xfId="11173" xr:uid="{00000000-0005-0000-0000-0000A52B0000}"/>
    <cellStyle name="_IPPL 31.12.2006 FINAL FINAL FINAL FINAL 13" xfId="11174" xr:uid="{00000000-0005-0000-0000-0000A62B0000}"/>
    <cellStyle name="_IPPL 31.12.2006 FINAL FINAL FINAL FINAL 13 2" xfId="11175" xr:uid="{00000000-0005-0000-0000-0000A72B0000}"/>
    <cellStyle name="_IPPL 31.12.2006 FINAL FINAL FINAL FINAL 13 2 2" xfId="11176" xr:uid="{00000000-0005-0000-0000-0000A82B0000}"/>
    <cellStyle name="_IPPL 31.12.2006 FINAL FINAL FINAL FINAL 13 3" xfId="11177" xr:uid="{00000000-0005-0000-0000-0000A92B0000}"/>
    <cellStyle name="_IPPL 31.12.2006 FINAL FINAL FINAL FINAL 14" xfId="11178" xr:uid="{00000000-0005-0000-0000-0000AA2B0000}"/>
    <cellStyle name="_IPPL 31.12.2006 FINAL FINAL FINAL FINAL 14 2" xfId="11179" xr:uid="{00000000-0005-0000-0000-0000AB2B0000}"/>
    <cellStyle name="_IPPL 31.12.2006 FINAL FINAL FINAL FINAL 14 2 2" xfId="11180" xr:uid="{00000000-0005-0000-0000-0000AC2B0000}"/>
    <cellStyle name="_IPPL 31.12.2006 FINAL FINAL FINAL FINAL 14 3" xfId="11181" xr:uid="{00000000-0005-0000-0000-0000AD2B0000}"/>
    <cellStyle name="_IPPL 31.12.2006 FINAL FINAL FINAL FINAL 15" xfId="11182" xr:uid="{00000000-0005-0000-0000-0000AE2B0000}"/>
    <cellStyle name="_IPPL 31.12.2006 FINAL FINAL FINAL FINAL 15 2" xfId="11183" xr:uid="{00000000-0005-0000-0000-0000AF2B0000}"/>
    <cellStyle name="_IPPL 31.12.2006 FINAL FINAL FINAL FINAL 15 2 2" xfId="11184" xr:uid="{00000000-0005-0000-0000-0000B02B0000}"/>
    <cellStyle name="_IPPL 31.12.2006 FINAL FINAL FINAL FINAL 15 3" xfId="11185" xr:uid="{00000000-0005-0000-0000-0000B12B0000}"/>
    <cellStyle name="_IPPL 31.12.2006 FINAL FINAL FINAL FINAL 16" xfId="11186" xr:uid="{00000000-0005-0000-0000-0000B22B0000}"/>
    <cellStyle name="_IPPL 31.12.2006 FINAL FINAL FINAL FINAL 16 2" xfId="11187" xr:uid="{00000000-0005-0000-0000-0000B32B0000}"/>
    <cellStyle name="_IPPL 31.12.2006 FINAL FINAL FINAL FINAL 16 2 2" xfId="11188" xr:uid="{00000000-0005-0000-0000-0000B42B0000}"/>
    <cellStyle name="_IPPL 31.12.2006 FINAL FINAL FINAL FINAL 16 3" xfId="11189" xr:uid="{00000000-0005-0000-0000-0000B52B0000}"/>
    <cellStyle name="_IPPL 31.12.2006 FINAL FINAL FINAL FINAL 17" xfId="11190" xr:uid="{00000000-0005-0000-0000-0000B62B0000}"/>
    <cellStyle name="_IPPL 31.12.2006 FINAL FINAL FINAL FINAL 17 2" xfId="11191" xr:uid="{00000000-0005-0000-0000-0000B72B0000}"/>
    <cellStyle name="_IPPL 31.12.2006 FINAL FINAL FINAL FINAL 17 2 2" xfId="11192" xr:uid="{00000000-0005-0000-0000-0000B82B0000}"/>
    <cellStyle name="_IPPL 31.12.2006 FINAL FINAL FINAL FINAL 17 3" xfId="11193" xr:uid="{00000000-0005-0000-0000-0000B92B0000}"/>
    <cellStyle name="_IPPL 31.12.2006 FINAL FINAL FINAL FINAL 18" xfId="11194" xr:uid="{00000000-0005-0000-0000-0000BA2B0000}"/>
    <cellStyle name="_IPPL 31.12.2006 FINAL FINAL FINAL FINAL 18 2" xfId="11195" xr:uid="{00000000-0005-0000-0000-0000BB2B0000}"/>
    <cellStyle name="_IPPL 31.12.2006 FINAL FINAL FINAL FINAL 18 2 2" xfId="11196" xr:uid="{00000000-0005-0000-0000-0000BC2B0000}"/>
    <cellStyle name="_IPPL 31.12.2006 FINAL FINAL FINAL FINAL 18 3" xfId="11197" xr:uid="{00000000-0005-0000-0000-0000BD2B0000}"/>
    <cellStyle name="_IPPL 31.12.2006 FINAL FINAL FINAL FINAL 19" xfId="11198" xr:uid="{00000000-0005-0000-0000-0000BE2B0000}"/>
    <cellStyle name="_IPPL 31.12.2006 FINAL FINAL FINAL FINAL 19 2" xfId="11199" xr:uid="{00000000-0005-0000-0000-0000BF2B0000}"/>
    <cellStyle name="_IPPL 31.12.2006 FINAL FINAL FINAL FINAL 19 2 2" xfId="11200" xr:uid="{00000000-0005-0000-0000-0000C02B0000}"/>
    <cellStyle name="_IPPL 31.12.2006 FINAL FINAL FINAL FINAL 19 3" xfId="11201" xr:uid="{00000000-0005-0000-0000-0000C12B0000}"/>
    <cellStyle name="_IPPL 31.12.2006 FINAL FINAL FINAL FINAL 2" xfId="11202" xr:uid="{00000000-0005-0000-0000-0000C22B0000}"/>
    <cellStyle name="_IPPL 31.12.2006 FINAL FINAL FINAL FINAL 2 2" xfId="11203" xr:uid="{00000000-0005-0000-0000-0000C32B0000}"/>
    <cellStyle name="_IPPL 31.12.2006 FINAL FINAL FINAL FINAL 2 2 2" xfId="11204" xr:uid="{00000000-0005-0000-0000-0000C42B0000}"/>
    <cellStyle name="_IPPL 31.12.2006 FINAL FINAL FINAL FINAL 2 3" xfId="11205" xr:uid="{00000000-0005-0000-0000-0000C52B0000}"/>
    <cellStyle name="_IPPL 31.12.2006 FINAL FINAL FINAL FINAL 20" xfId="11206" xr:uid="{00000000-0005-0000-0000-0000C62B0000}"/>
    <cellStyle name="_IPPL 31.12.2006 FINAL FINAL FINAL FINAL 20 2" xfId="11207" xr:uid="{00000000-0005-0000-0000-0000C72B0000}"/>
    <cellStyle name="_IPPL 31.12.2006 FINAL FINAL FINAL FINAL 21" xfId="11208" xr:uid="{00000000-0005-0000-0000-0000C82B0000}"/>
    <cellStyle name="_IPPL 31.12.2006 FINAL FINAL FINAL FINAL 21 2" xfId="11209" xr:uid="{00000000-0005-0000-0000-0000C92B0000}"/>
    <cellStyle name="_IPPL 31.12.2006 FINAL FINAL FINAL FINAL 22" xfId="11210" xr:uid="{00000000-0005-0000-0000-0000CA2B0000}"/>
    <cellStyle name="_IPPL 31.12.2006 FINAL FINAL FINAL FINAL 22 2" xfId="11211" xr:uid="{00000000-0005-0000-0000-0000CB2B0000}"/>
    <cellStyle name="_IPPL 31.12.2006 FINAL FINAL FINAL FINAL 23" xfId="11212" xr:uid="{00000000-0005-0000-0000-0000CC2B0000}"/>
    <cellStyle name="_IPPL 31.12.2006 FINAL FINAL FINAL FINAL 23 2" xfId="11213" xr:uid="{00000000-0005-0000-0000-0000CD2B0000}"/>
    <cellStyle name="_IPPL 31.12.2006 FINAL FINAL FINAL FINAL 24" xfId="11214" xr:uid="{00000000-0005-0000-0000-0000CE2B0000}"/>
    <cellStyle name="_IPPL 31.12.2006 FINAL FINAL FINAL FINAL 3" xfId="11215" xr:uid="{00000000-0005-0000-0000-0000CF2B0000}"/>
    <cellStyle name="_IPPL 31.12.2006 FINAL FINAL FINAL FINAL 3 2" xfId="11216" xr:uid="{00000000-0005-0000-0000-0000D02B0000}"/>
    <cellStyle name="_IPPL 31.12.2006 FINAL FINAL FINAL FINAL 3 2 2" xfId="11217" xr:uid="{00000000-0005-0000-0000-0000D12B0000}"/>
    <cellStyle name="_IPPL 31.12.2006 FINAL FINAL FINAL FINAL 3 3" xfId="11218" xr:uid="{00000000-0005-0000-0000-0000D22B0000}"/>
    <cellStyle name="_IPPL 31.12.2006 FINAL FINAL FINAL FINAL 4" xfId="11219" xr:uid="{00000000-0005-0000-0000-0000D32B0000}"/>
    <cellStyle name="_IPPL 31.12.2006 FINAL FINAL FINAL FINAL 4 2" xfId="11220" xr:uid="{00000000-0005-0000-0000-0000D42B0000}"/>
    <cellStyle name="_IPPL 31.12.2006 FINAL FINAL FINAL FINAL 4 2 2" xfId="11221" xr:uid="{00000000-0005-0000-0000-0000D52B0000}"/>
    <cellStyle name="_IPPL 31.12.2006 FINAL FINAL FINAL FINAL 4 3" xfId="11222" xr:uid="{00000000-0005-0000-0000-0000D62B0000}"/>
    <cellStyle name="_IPPL 31.12.2006 FINAL FINAL FINAL FINAL 5" xfId="11223" xr:uid="{00000000-0005-0000-0000-0000D72B0000}"/>
    <cellStyle name="_IPPL 31.12.2006 FINAL FINAL FINAL FINAL 5 2" xfId="11224" xr:uid="{00000000-0005-0000-0000-0000D82B0000}"/>
    <cellStyle name="_IPPL 31.12.2006 FINAL FINAL FINAL FINAL 5 2 2" xfId="11225" xr:uid="{00000000-0005-0000-0000-0000D92B0000}"/>
    <cellStyle name="_IPPL 31.12.2006 FINAL FINAL FINAL FINAL 5 3" xfId="11226" xr:uid="{00000000-0005-0000-0000-0000DA2B0000}"/>
    <cellStyle name="_IPPL 31.12.2006 FINAL FINAL FINAL FINAL 6" xfId="11227" xr:uid="{00000000-0005-0000-0000-0000DB2B0000}"/>
    <cellStyle name="_IPPL 31.12.2006 FINAL FINAL FINAL FINAL 6 2" xfId="11228" xr:uid="{00000000-0005-0000-0000-0000DC2B0000}"/>
    <cellStyle name="_IPPL 31.12.2006 FINAL FINAL FINAL FINAL 6 2 2" xfId="11229" xr:uid="{00000000-0005-0000-0000-0000DD2B0000}"/>
    <cellStyle name="_IPPL 31.12.2006 FINAL FINAL FINAL FINAL 6 3" xfId="11230" xr:uid="{00000000-0005-0000-0000-0000DE2B0000}"/>
    <cellStyle name="_IPPL 31.12.2006 FINAL FINAL FINAL FINAL 7" xfId="11231" xr:uid="{00000000-0005-0000-0000-0000DF2B0000}"/>
    <cellStyle name="_IPPL 31.12.2006 FINAL FINAL FINAL FINAL 7 2" xfId="11232" xr:uid="{00000000-0005-0000-0000-0000E02B0000}"/>
    <cellStyle name="_IPPL 31.12.2006 FINAL FINAL FINAL FINAL 7 2 2" xfId="11233" xr:uid="{00000000-0005-0000-0000-0000E12B0000}"/>
    <cellStyle name="_IPPL 31.12.2006 FINAL FINAL FINAL FINAL 7 3" xfId="11234" xr:uid="{00000000-0005-0000-0000-0000E22B0000}"/>
    <cellStyle name="_IPPL 31.12.2006 FINAL FINAL FINAL FINAL 8" xfId="11235" xr:uid="{00000000-0005-0000-0000-0000E32B0000}"/>
    <cellStyle name="_IPPL 31.12.2006 FINAL FINAL FINAL FINAL 8 2" xfId="11236" xr:uid="{00000000-0005-0000-0000-0000E42B0000}"/>
    <cellStyle name="_IPPL 31.12.2006 FINAL FINAL FINAL FINAL 8 2 2" xfId="11237" xr:uid="{00000000-0005-0000-0000-0000E52B0000}"/>
    <cellStyle name="_IPPL 31.12.2006 FINAL FINAL FINAL FINAL 8 3" xfId="11238" xr:uid="{00000000-0005-0000-0000-0000E62B0000}"/>
    <cellStyle name="_IPPL 31.12.2006 FINAL FINAL FINAL FINAL 9" xfId="11239" xr:uid="{00000000-0005-0000-0000-0000E72B0000}"/>
    <cellStyle name="_IPPL 31.12.2006 FINAL FINAL FINAL FINAL 9 2" xfId="11240" xr:uid="{00000000-0005-0000-0000-0000E82B0000}"/>
    <cellStyle name="_IPPL 31.12.2006 FINAL FINAL FINAL FINAL 9 2 2" xfId="11241" xr:uid="{00000000-0005-0000-0000-0000E92B0000}"/>
    <cellStyle name="_IPPL 31.12.2006 FINAL FINAL FINAL FINAL 9 3" xfId="11242" xr:uid="{00000000-0005-0000-0000-0000EA2B0000}"/>
    <cellStyle name="_IPPL 31.12.2006 FINAL FINAL FINAL FINAL_269SS &amp; T IIAPL 09-10" xfId="11243" xr:uid="{00000000-0005-0000-0000-0000EB2B0000}"/>
    <cellStyle name="_IPPL 31.12.2006 FINAL FINAL FINAL FINAL_Abstract-2007-08" xfId="11244" xr:uid="{00000000-0005-0000-0000-0000EC2B0000}"/>
    <cellStyle name="_IPPL 31.12.2006 FINAL FINAL FINAL FINAL_Abstract-2007-08 2" xfId="11245" xr:uid="{00000000-0005-0000-0000-0000ED2B0000}"/>
    <cellStyle name="_IPPL 31.12.2006 FINAL FINAL FINAL FINAL_Advance Tax Summary" xfId="11246" xr:uid="{00000000-0005-0000-0000-0000EE2B0000}"/>
    <cellStyle name="_IPPL 31.12.2006 FINAL FINAL FINAL FINAL_Advance Tax Summary 2" xfId="11247" xr:uid="{00000000-0005-0000-0000-0000EF2B0000}"/>
    <cellStyle name="_IPPL 31.12.2006 FINAL FINAL FINAL FINAL_Asset Management Company Limited" xfId="11248" xr:uid="{00000000-0005-0000-0000-0000F02B0000}"/>
    <cellStyle name="_IPPL 31.12.2006 FINAL FINAL FINAL FINAL_attachment-2  Power Companies" xfId="11249" xr:uid="{00000000-0005-0000-0000-0000F12B0000}"/>
    <cellStyle name="_IPPL 31.12.2006 FINAL FINAL FINAL FINAL_Aug consl backup-land adv &amp; Ext ICD" xfId="11250" xr:uid="{00000000-0005-0000-0000-0000F22B0000}"/>
    <cellStyle name="_IPPL 31.12.2006 FINAL FINAL FINAL FINAL_Aug consl backup-land adv &amp; Ext ICD 2" xfId="11251" xr:uid="{00000000-0005-0000-0000-0000F32B0000}"/>
    <cellStyle name="_IPPL 31.12.2006 FINAL FINAL FINAL FINAL_Book1" xfId="11252" xr:uid="{00000000-0005-0000-0000-0000F42B0000}"/>
    <cellStyle name="_IPPL 31.12.2006 FINAL FINAL FINAL FINAL_Book1 (2)" xfId="11253" xr:uid="{00000000-0005-0000-0000-0000F52B0000}"/>
    <cellStyle name="_IPPL 31.12.2006 FINAL FINAL FINAL FINAL_Book1 (2) 2" xfId="11254" xr:uid="{00000000-0005-0000-0000-0000F62B0000}"/>
    <cellStyle name="_IPPL 31.12.2006 FINAL FINAL FINAL FINAL_Book1 (2) 2 2" xfId="11255" xr:uid="{00000000-0005-0000-0000-0000F72B0000}"/>
    <cellStyle name="_IPPL 31.12.2006 FINAL FINAL FINAL FINAL_Book1 (2) 3" xfId="11256" xr:uid="{00000000-0005-0000-0000-0000F82B0000}"/>
    <cellStyle name="_IPPL 31.12.2006 FINAL FINAL FINAL FINAL_Book1 10" xfId="11257" xr:uid="{00000000-0005-0000-0000-0000F92B0000}"/>
    <cellStyle name="_IPPL 31.12.2006 FINAL FINAL FINAL FINAL_Book1 11" xfId="11258" xr:uid="{00000000-0005-0000-0000-0000FA2B0000}"/>
    <cellStyle name="_IPPL 31.12.2006 FINAL FINAL FINAL FINAL_Book1 2" xfId="11259" xr:uid="{00000000-0005-0000-0000-0000FB2B0000}"/>
    <cellStyle name="_IPPL 31.12.2006 FINAL FINAL FINAL FINAL_Book1 2 2" xfId="11260" xr:uid="{00000000-0005-0000-0000-0000FC2B0000}"/>
    <cellStyle name="_IPPL 31.12.2006 FINAL FINAL FINAL FINAL_Book1 3" xfId="11261" xr:uid="{00000000-0005-0000-0000-0000FD2B0000}"/>
    <cellStyle name="_IPPL 31.12.2006 FINAL FINAL FINAL FINAL_Book1 3 2" xfId="11262" xr:uid="{00000000-0005-0000-0000-0000FE2B0000}"/>
    <cellStyle name="_IPPL 31.12.2006 FINAL FINAL FINAL FINAL_Book1 4" xfId="11263" xr:uid="{00000000-0005-0000-0000-0000FF2B0000}"/>
    <cellStyle name="_IPPL 31.12.2006 FINAL FINAL FINAL FINAL_Book1 4 2" xfId="11264" xr:uid="{00000000-0005-0000-0000-0000002C0000}"/>
    <cellStyle name="_IPPL 31.12.2006 FINAL FINAL FINAL FINAL_Book1 5" xfId="11265" xr:uid="{00000000-0005-0000-0000-0000012C0000}"/>
    <cellStyle name="_IPPL 31.12.2006 FINAL FINAL FINAL FINAL_Book1 5 2" xfId="11266" xr:uid="{00000000-0005-0000-0000-0000022C0000}"/>
    <cellStyle name="_IPPL 31.12.2006 FINAL FINAL FINAL FINAL_Book1 6" xfId="11267" xr:uid="{00000000-0005-0000-0000-0000032C0000}"/>
    <cellStyle name="_IPPL 31.12.2006 FINAL FINAL FINAL FINAL_Book1 7" xfId="11268" xr:uid="{00000000-0005-0000-0000-0000042C0000}"/>
    <cellStyle name="_IPPL 31.12.2006 FINAL FINAL FINAL FINAL_Book1 8" xfId="11269" xr:uid="{00000000-0005-0000-0000-0000052C0000}"/>
    <cellStyle name="_IPPL 31.12.2006 FINAL FINAL FINAL FINAL_Book1 9" xfId="11270" xr:uid="{00000000-0005-0000-0000-0000062C0000}"/>
    <cellStyle name="_IPPL 31.12.2006 FINAL FINAL FINAL FINAL_Book1_EPS working" xfId="11271" xr:uid="{00000000-0005-0000-0000-0000072C0000}"/>
    <cellStyle name="_IPPL 31.12.2006 FINAL FINAL FINAL FINAL_Book1_EPS working 2" xfId="11272" xr:uid="{00000000-0005-0000-0000-0000082C0000}"/>
    <cellStyle name="_IPPL 31.12.2006 FINAL FINAL FINAL FINAL_Book1_EPS working 2 2" xfId="11273" xr:uid="{00000000-0005-0000-0000-0000092C0000}"/>
    <cellStyle name="_IPPL 31.12.2006 FINAL FINAL FINAL FINAL_Book1_EPS working 3" xfId="11274" xr:uid="{00000000-0005-0000-0000-00000A2C0000}"/>
    <cellStyle name="_IPPL 31.12.2006 FINAL FINAL FINAL FINAL_Book1_IREL_3000_08-09" xfId="11275" xr:uid="{00000000-0005-0000-0000-00000B2C0000}"/>
    <cellStyle name="_IPPL 31.12.2006 FINAL FINAL FINAL FINAL_Book1_IREL_3000_08-09 2" xfId="11276" xr:uid="{00000000-0005-0000-0000-00000C2C0000}"/>
    <cellStyle name="_IPPL 31.12.2006 FINAL FINAL FINAL FINAL_Book1_IREL_3000_08-09 2 2" xfId="11277" xr:uid="{00000000-0005-0000-0000-00000D2C0000}"/>
    <cellStyle name="_IPPL 31.12.2006 FINAL FINAL FINAL FINAL_Book1_IREL_3000_08-09 3" xfId="11278" xr:uid="{00000000-0005-0000-0000-00000E2C0000}"/>
    <cellStyle name="_IPPL 31.12.2006 FINAL FINAL FINAL FINAL_Book1_IREL_3000_2009-29_July2009  Final Shahi" xfId="11279" xr:uid="{00000000-0005-0000-0000-00000F2C0000}"/>
    <cellStyle name="_IPPL 31.12.2006 FINAL FINAL FINAL FINAL_Book1_IREL_3000_2009-29_July2009  Final Shahi 2" xfId="11280" xr:uid="{00000000-0005-0000-0000-0000102C0000}"/>
    <cellStyle name="_IPPL 31.12.2006 FINAL FINAL FINAL FINAL_Book1_IREL_3000_2009-29_July2009  Final Shahi 2 2" xfId="11281" xr:uid="{00000000-0005-0000-0000-0000112C0000}"/>
    <cellStyle name="_IPPL 31.12.2006 FINAL FINAL FINAL FINAL_Book1_IREL_3000_2009-29_July2009  Final Shahi 3" xfId="11282" xr:uid="{00000000-0005-0000-0000-0000122C0000}"/>
    <cellStyle name="_IPPL 31.12.2006 FINAL FINAL FINAL FINAL_Book1_ISL Group - Advance Tax working for 3rd Instalment" xfId="11283" xr:uid="{00000000-0005-0000-0000-0000132C0000}"/>
    <cellStyle name="_IPPL 31.12.2006 FINAL FINAL FINAL FINAL_Book1_ISL_ Adv Tax 2009-10 Q3" xfId="11284" xr:uid="{00000000-0005-0000-0000-0000142C0000}"/>
    <cellStyle name="_IPPL 31.12.2006 FINAL FINAL FINAL FINAL_Book1_ISL__3CD_FY2010-11" xfId="11285" xr:uid="{00000000-0005-0000-0000-0000152C0000}"/>
    <cellStyle name="_IPPL 31.12.2006 FINAL FINAL FINAL FINAL_Book2" xfId="11286" xr:uid="{00000000-0005-0000-0000-0000162C0000}"/>
    <cellStyle name="_IPPL 31.12.2006 FINAL FINAL FINAL FINAL_Book2 2" xfId="11287" xr:uid="{00000000-0005-0000-0000-0000172C0000}"/>
    <cellStyle name="_IPPL 31.12.2006 FINAL FINAL FINAL FINAL_Book2 2 2" xfId="11288" xr:uid="{00000000-0005-0000-0000-0000182C0000}"/>
    <cellStyle name="_IPPL 31.12.2006 FINAL FINAL FINAL FINAL_Book2 3" xfId="11289" xr:uid="{00000000-0005-0000-0000-0000192C0000}"/>
    <cellStyle name="_IPPL 31.12.2006 FINAL FINAL FINAL FINAL_Book2_ISL__3CD_FY2010-11" xfId="11290" xr:uid="{00000000-0005-0000-0000-00001A2C0000}"/>
    <cellStyle name="_IPPL 31.12.2006 FINAL FINAL FINAL FINAL_Book4" xfId="11291" xr:uid="{00000000-0005-0000-0000-00001B2C0000}"/>
    <cellStyle name="_IPPL 31.12.2006 FINAL FINAL FINAL FINAL_Book4 2" xfId="11292" xr:uid="{00000000-0005-0000-0000-00001C2C0000}"/>
    <cellStyle name="_IPPL 31.12.2006 FINAL FINAL FINAL FINAL_Book4 2 2" xfId="11293" xr:uid="{00000000-0005-0000-0000-00001D2C0000}"/>
    <cellStyle name="_IPPL 31.12.2006 FINAL FINAL FINAL FINAL_Book4 3" xfId="11294" xr:uid="{00000000-0005-0000-0000-00001E2C0000}"/>
    <cellStyle name="_IPPL 31.12.2006 FINAL FINAL FINAL FINAL_Book4_ISL__3CD_FY2010-11" xfId="11295" xr:uid="{00000000-0005-0000-0000-00001F2C0000}"/>
    <cellStyle name="_IPPL 31.12.2006 FINAL FINAL FINAL FINAL_BS" xfId="11296" xr:uid="{00000000-0005-0000-0000-0000202C0000}"/>
    <cellStyle name="_IPPL 31.12.2006 FINAL FINAL FINAL FINAL_BS _IB Asset Management _3103_ver5" xfId="11297" xr:uid="{00000000-0005-0000-0000-0000212C0000}"/>
    <cellStyle name="_IPPL 31.12.2006 FINAL FINAL FINAL FINAL_BS _IB Asset Management _3103_ver5_IAMCL BS working -New format_31.03 V5" xfId="11298" xr:uid="{00000000-0005-0000-0000-0000222C0000}"/>
    <cellStyle name="_IPPL 31.12.2006 FINAL FINAL FINAL FINAL_BS_Tax Audit Report  ICSL F.Y.09-10" xfId="11299" xr:uid="{00000000-0005-0000-0000-0000232C0000}"/>
    <cellStyle name="_IPPL 31.12.2006 FINAL FINAL FINAL FINAL_ChlorisProperties_3351_Dec.08" xfId="11300" xr:uid="{00000000-0005-0000-0000-0000242C0000}"/>
    <cellStyle name="_IPPL 31.12.2006 FINAL FINAL FINAL FINAL_Consol Balance Sheet_Sophia_Dec08_Ibrel_1.3" xfId="11301" xr:uid="{00000000-0005-0000-0000-0000252C0000}"/>
    <cellStyle name="_IPPL 31.12.2006 FINAL FINAL FINAL FINAL_Consol_sophia _Ipsl_Nov" xfId="11302" xr:uid="{00000000-0005-0000-0000-0000262C0000}"/>
    <cellStyle name="_IPPL 31.12.2006 FINAL FINAL FINAL FINAL_CRAR - dec- 10v-12" xfId="11303" xr:uid="{00000000-0005-0000-0000-0000272C0000}"/>
    <cellStyle name="_IPPL 31.12.2006 FINAL FINAL FINAL FINAL_CRAR - dec- 10v-12 2" xfId="11304" xr:uid="{00000000-0005-0000-0000-0000282C0000}"/>
    <cellStyle name="_IPPL 31.12.2006 FINAL FINAL FINAL FINAL_detail" xfId="11305" xr:uid="{00000000-0005-0000-0000-0000292C0000}"/>
    <cellStyle name="_IPPL 31.12.2006 FINAL FINAL FINAL FINAL_detail (2)" xfId="11306" xr:uid="{00000000-0005-0000-0000-00002A2C0000}"/>
    <cellStyle name="_IPPL 31.12.2006 FINAL FINAL FINAL FINAL_detail 2" xfId="11307" xr:uid="{00000000-0005-0000-0000-00002B2C0000}"/>
    <cellStyle name="_IPPL 31.12.2006 FINAL FINAL FINAL FINAL_Detail of IPO funding" xfId="11308" xr:uid="{00000000-0005-0000-0000-00002C2C0000}"/>
    <cellStyle name="_IPPL 31.12.2006 FINAL FINAL FINAL FINAL_detail to be added in june,2008" xfId="11309" xr:uid="{00000000-0005-0000-0000-00002D2C0000}"/>
    <cellStyle name="_IPPL 31.12.2006 FINAL FINAL FINAL FINAL_Details" xfId="11310" xr:uid="{00000000-0005-0000-0000-00002E2C0000}"/>
    <cellStyle name="_IPPL 31.12.2006 FINAL FINAL FINAL FINAL_Details of Assets &amp; Liablilities" xfId="11311" xr:uid="{00000000-0005-0000-0000-00002F2C0000}"/>
    <cellStyle name="_IPPL 31.12.2006 FINAL FINAL FINAL FINAL_EPL_3346_2007-08" xfId="11312" xr:uid="{00000000-0005-0000-0000-0000302C0000}"/>
    <cellStyle name="_IPPL 31.12.2006 FINAL FINAL FINAL FINAL_EPL_3346_2007-08(C)" xfId="11313" xr:uid="{00000000-0005-0000-0000-0000312C0000}"/>
    <cellStyle name="_IPPL 31.12.2006 FINAL FINAL FINAL FINAL_Final Consol Balance Sheet_Sophia_Dec08_27.01.08" xfId="11314" xr:uid="{00000000-0005-0000-0000-0000322C0000}"/>
    <cellStyle name="_IPPL 31.12.2006 FINAL FINAL FINAL FINAL_Fixed Assets consolidated" xfId="11315" xr:uid="{00000000-0005-0000-0000-0000332C0000}"/>
    <cellStyle name="_IPPL 31.12.2006 FINAL FINAL FINAL FINAL_Fornax" xfId="11316" xr:uid="{00000000-0005-0000-0000-0000342C0000}"/>
    <cellStyle name="_IPPL 31.12.2006 FINAL FINAL FINAL FINAL_Fornax 2" xfId="11317" xr:uid="{00000000-0005-0000-0000-0000352C0000}"/>
    <cellStyle name="_IPPL 31.12.2006 FINAL FINAL FINAL FINAL_IAMCL BS working -New format_31.03 V5" xfId="11318" xr:uid="{00000000-0005-0000-0000-0000362C0000}"/>
    <cellStyle name="_IPPL 31.12.2006 FINAL FINAL FINAL FINAL_IB Asset Management _2910" xfId="11319" xr:uid="{00000000-0005-0000-0000-0000372C0000}"/>
    <cellStyle name="_IPPL 31.12.2006 FINAL FINAL FINAL FINAL_IB Asset Management _2910_IB Collection Agency_3103 V3" xfId="11320" xr:uid="{00000000-0005-0000-0000-0000382C0000}"/>
    <cellStyle name="_IPPL 31.12.2006 FINAL FINAL FINAL FINAL_IB Asset Management _2910_IB Collection Agency_3103 V3_ICAL-New Format_31.03 V4" xfId="11321" xr:uid="{00000000-0005-0000-0000-0000392C0000}"/>
    <cellStyle name="_IPPL 31.12.2006 FINAL FINAL FINAL FINAL_IB Asset Management _2910_ICAL-BS Final Working _New format" xfId="11322" xr:uid="{00000000-0005-0000-0000-00003A2C0000}"/>
    <cellStyle name="_IPPL 31.12.2006 FINAL FINAL FINAL FINAL_IB Asset Management _3103_ver5" xfId="11323" xr:uid="{00000000-0005-0000-0000-00003B2C0000}"/>
    <cellStyle name="_IPPL 31.12.2006 FINAL FINAL FINAL FINAL_IB Asset Management_3103 V2" xfId="11324" xr:uid="{00000000-0005-0000-0000-00003C2C0000}"/>
    <cellStyle name="_IPPL 31.12.2006 FINAL FINAL FINAL FINAL_IB Asset Management_3103 V4" xfId="11325" xr:uid="{00000000-0005-0000-0000-00003D2C0000}"/>
    <cellStyle name="_IPPL 31.12.2006 FINAL FINAL FINAL FINAL_IB Asset Management_3103 V5" xfId="11326" xr:uid="{00000000-0005-0000-0000-00003E2C0000}"/>
    <cellStyle name="_IPPL 31.12.2006 FINAL FINAL FINAL FINAL_IB Collection Agency_3103 V3" xfId="11327" xr:uid="{00000000-0005-0000-0000-00003F2C0000}"/>
    <cellStyle name="_IPPL 31.12.2006 FINAL FINAL FINAL FINAL_IB Collection Agency_3103 V3_ICAL-New Format_31.03 V4" xfId="11328" xr:uid="{00000000-0005-0000-0000-0000402C0000}"/>
    <cellStyle name="_IPPL 31.12.2006 FINAL FINAL FINAL FINAL_IB Infrastructure Credit" xfId="11329" xr:uid="{00000000-0005-0000-0000-0000412C0000}"/>
    <cellStyle name="_IPPL 31.12.2006 FINAL FINAL FINAL FINAL_IB Infrastructure Credit-3103_V6" xfId="11330" xr:uid="{00000000-0005-0000-0000-0000422C0000}"/>
    <cellStyle name="_IPPL 31.12.2006 FINAL FINAL FINAL FINAL_IB Infrastructure Credit-3103_V7" xfId="11331" xr:uid="{00000000-0005-0000-0000-0000432C0000}"/>
    <cellStyle name="_IPPL 31.12.2006 FINAL FINAL FINAL FINAL_IB Life Insurance_3103 V4" xfId="11332" xr:uid="{00000000-0005-0000-0000-0000442C0000}"/>
    <cellStyle name="_IPPL 31.12.2006 FINAL FINAL FINAL FINAL_IB Trustee Company_3103 V4" xfId="11333" xr:uid="{00000000-0005-0000-0000-0000452C0000}"/>
    <cellStyle name="_IPPL 31.12.2006 FINAL FINAL FINAL FINAL_IBFSL 30 Sep 11 V8" xfId="11334" xr:uid="{00000000-0005-0000-0000-0000462C0000}"/>
    <cellStyle name="_IPPL 31.12.2006 FINAL FINAL FINAL FINAL_IBFSL_Conso_June_09_10 " xfId="11335" xr:uid="{00000000-0005-0000-0000-0000472C0000}"/>
    <cellStyle name="_IPPL 31.12.2006 FINAL FINAL FINAL FINAL_IBFSL_Conso_June_09_10  2" xfId="11336" xr:uid="{00000000-0005-0000-0000-0000482C0000}"/>
    <cellStyle name="_IPPL 31.12.2006 FINAL FINAL FINAL FINAL_IBFSL_Conso_June_09_10  2 2" xfId="11337" xr:uid="{00000000-0005-0000-0000-0000492C0000}"/>
    <cellStyle name="_IPPL 31.12.2006 FINAL FINAL FINAL FINAL_IBFSL_Conso_June_09_10  3" xfId="11338" xr:uid="{00000000-0005-0000-0000-00004A2C0000}"/>
    <cellStyle name="_IPPL 31.12.2006 FINAL FINAL FINAL FINAL_IBFSL_Conso_June_09_10 _Book1 (2)" xfId="11339" xr:uid="{00000000-0005-0000-0000-00004B2C0000}"/>
    <cellStyle name="_IPPL 31.12.2006 FINAL FINAL FINAL FINAL_IBFSL_Conso_June_09_10 _Book1 (2) 2" xfId="11340" xr:uid="{00000000-0005-0000-0000-00004C2C0000}"/>
    <cellStyle name="_IPPL 31.12.2006 FINAL FINAL FINAL FINAL_IBFSL_Conso_June_09_10 _Book1 (2) 2 2" xfId="11341" xr:uid="{00000000-0005-0000-0000-00004D2C0000}"/>
    <cellStyle name="_IPPL 31.12.2006 FINAL FINAL FINAL FINAL_IBFSL_Conso_June_09_10 _Book1 (2) 3" xfId="11342" xr:uid="{00000000-0005-0000-0000-00004E2C0000}"/>
    <cellStyle name="_IPPL 31.12.2006 FINAL FINAL FINAL FINAL_IBFSL_Conso_June_09_10 _ISL__3CD_FY2010-11" xfId="11343" xr:uid="{00000000-0005-0000-0000-00004F2C0000}"/>
    <cellStyle name="_IPPL 31.12.2006 FINAL FINAL FINAL FINAL_IBFSL_Conso_June_09_10 _ISL_Conso_09_10_Other working" xfId="11344" xr:uid="{00000000-0005-0000-0000-0000502C0000}"/>
    <cellStyle name="_IPPL 31.12.2006 FINAL FINAL FINAL FINAL_IBFSL_Conso_June_09_10 _ISL_Conso_09_10_Other working 2" xfId="11345" xr:uid="{00000000-0005-0000-0000-0000512C0000}"/>
    <cellStyle name="_IPPL 31.12.2006 FINAL FINAL FINAL FINAL_IBFSL_Conso_June_09_10 _ISL_Conso_09_10_Other working 2 2" xfId="11346" xr:uid="{00000000-0005-0000-0000-0000522C0000}"/>
    <cellStyle name="_IPPL 31.12.2006 FINAL FINAL FINAL FINAL_IBFSL_Conso_June_09_10 _ISL_Conso_09_10_Other working 3" xfId="11347" xr:uid="{00000000-0005-0000-0000-0000532C0000}"/>
    <cellStyle name="_IPPL 31.12.2006 FINAL FINAL FINAL FINAL_IBFSL_Conso_June_09_10 _ISL_Conso_09_10_Other working_Xl0000012" xfId="11348" xr:uid="{00000000-0005-0000-0000-0000542C0000}"/>
    <cellStyle name="_IPPL 31.12.2006 FINAL FINAL FINAL FINAL_IBFSL_Conso_June_09_10 _ISL_Conso_09_10_Other working_Xl0000012 2" xfId="11349" xr:uid="{00000000-0005-0000-0000-0000552C0000}"/>
    <cellStyle name="_IPPL 31.12.2006 FINAL FINAL FINAL FINAL_IBFSL_Conso_June_09_10 _ISL_Conso_09_10_Other working_Xl0000012 2 2" xfId="11350" xr:uid="{00000000-0005-0000-0000-0000562C0000}"/>
    <cellStyle name="_IPPL 31.12.2006 FINAL FINAL FINAL FINAL_IBFSL_Conso_June_09_10 _ISL_Conso_09_10_Other working_Xl0000012 3" xfId="11351" xr:uid="{00000000-0005-0000-0000-0000572C0000}"/>
    <cellStyle name="_IPPL 31.12.2006 FINAL FINAL FINAL FINAL_IBFSL_Conso_June_09_10 _ISL_conso_August_10_11" xfId="11352" xr:uid="{00000000-0005-0000-0000-0000582C0000}"/>
    <cellStyle name="_IPPL 31.12.2006 FINAL FINAL FINAL FINAL_IBFSL_Conso_June_09_10 _ISL_conso_August_10_11 2" xfId="11353" xr:uid="{00000000-0005-0000-0000-0000592C0000}"/>
    <cellStyle name="_IPPL 31.12.2006 FINAL FINAL FINAL FINAL_IBFSL_Conso_June_09_10 _ISL_conso_August_10_11 2 2" xfId="11354" xr:uid="{00000000-0005-0000-0000-00005A2C0000}"/>
    <cellStyle name="_IPPL 31.12.2006 FINAL FINAL FINAL FINAL_IBFSL_Conso_June_09_10 _ISL_conso_August_10_11 3" xfId="11355" xr:uid="{00000000-0005-0000-0000-00005B2C0000}"/>
    <cellStyle name="_IPPL 31.12.2006 FINAL FINAL FINAL FINAL_IBFSL_Conso_June_09_10 _ISL_conso_December_10_11" xfId="11356" xr:uid="{00000000-0005-0000-0000-00005C2C0000}"/>
    <cellStyle name="_IPPL 31.12.2006 FINAL FINAL FINAL FINAL_IBFSL_Conso_June_09_10 _ISL_conso_December_10_11 2" xfId="11357" xr:uid="{00000000-0005-0000-0000-00005D2C0000}"/>
    <cellStyle name="_IPPL 31.12.2006 FINAL FINAL FINAL FINAL_IBFSL_Conso_June_09_10 _ISL_conso_December_10_11 2 2" xfId="11358" xr:uid="{00000000-0005-0000-0000-00005E2C0000}"/>
    <cellStyle name="_IPPL 31.12.2006 FINAL FINAL FINAL FINAL_IBFSL_Conso_June_09_10 _ISL_conso_December_10_11 3" xfId="11359" xr:uid="{00000000-0005-0000-0000-00005F2C0000}"/>
    <cellStyle name="_IPPL 31.12.2006 FINAL FINAL FINAL FINAL_IBFSL_Conso_June_09_10 _ISL_conso_July_10_11" xfId="11360" xr:uid="{00000000-0005-0000-0000-0000602C0000}"/>
    <cellStyle name="_IPPL 31.12.2006 FINAL FINAL FINAL FINAL_IBFSL_Conso_June_09_10 _ISL_conso_July_10_11 2" xfId="11361" xr:uid="{00000000-0005-0000-0000-0000612C0000}"/>
    <cellStyle name="_IPPL 31.12.2006 FINAL FINAL FINAL FINAL_IBFSL_Conso_June_09_10 _ISL_conso_July_10_11 2 2" xfId="11362" xr:uid="{00000000-0005-0000-0000-0000622C0000}"/>
    <cellStyle name="_IPPL 31.12.2006 FINAL FINAL FINAL FINAL_IBFSL_Conso_June_09_10 _ISL_conso_July_10_11 3" xfId="11363" xr:uid="{00000000-0005-0000-0000-0000632C0000}"/>
    <cellStyle name="_IPPL 31.12.2006 FINAL FINAL FINAL FINAL_IBFSL_Conso_June_09_10 _ISL_conso_June_10_11" xfId="11364" xr:uid="{00000000-0005-0000-0000-0000642C0000}"/>
    <cellStyle name="_IPPL 31.12.2006 FINAL FINAL FINAL FINAL_IBFSL_Conso_June_09_10 _ISL_conso_June_10_11 2" xfId="11365" xr:uid="{00000000-0005-0000-0000-0000652C0000}"/>
    <cellStyle name="_IPPL 31.12.2006 FINAL FINAL FINAL FINAL_IBFSL_Conso_June_09_10 _ISL_conso_June_10_11 2 2" xfId="11366" xr:uid="{00000000-0005-0000-0000-0000662C0000}"/>
    <cellStyle name="_IPPL 31.12.2006 FINAL FINAL FINAL FINAL_IBFSL_Conso_June_09_10 _ISL_conso_June_10_11 3" xfId="11367" xr:uid="{00000000-0005-0000-0000-0000672C0000}"/>
    <cellStyle name="_IPPL 31.12.2006 FINAL FINAL FINAL FINAL_IBFSL_Conso_June_09_10 _ISL_conso_March_09_10" xfId="11368" xr:uid="{00000000-0005-0000-0000-0000682C0000}"/>
    <cellStyle name="_IPPL 31.12.2006 FINAL FINAL FINAL FINAL_IBFSL_Conso_June_09_10 _ISL_conso_March_09_10 2" xfId="11369" xr:uid="{00000000-0005-0000-0000-0000692C0000}"/>
    <cellStyle name="_IPPL 31.12.2006 FINAL FINAL FINAL FINAL_IBFSL_Conso_June_09_10 _ISL_conso_March_09_10 2 2" xfId="11370" xr:uid="{00000000-0005-0000-0000-00006A2C0000}"/>
    <cellStyle name="_IPPL 31.12.2006 FINAL FINAL FINAL FINAL_IBFSL_Conso_June_09_10 _ISL_conso_March_09_10 3" xfId="11371" xr:uid="{00000000-0005-0000-0000-00006B2C0000}"/>
    <cellStyle name="_IPPL 31.12.2006 FINAL FINAL FINAL FINAL_IBFSL_Conso_June_09_10 _ISL_conso_March_09_10_Xl0000012" xfId="11372" xr:uid="{00000000-0005-0000-0000-00006C2C0000}"/>
    <cellStyle name="_IPPL 31.12.2006 FINAL FINAL FINAL FINAL_IBFSL_Conso_June_09_10 _ISL_conso_March_09_10_Xl0000012 2" xfId="11373" xr:uid="{00000000-0005-0000-0000-00006D2C0000}"/>
    <cellStyle name="_IPPL 31.12.2006 FINAL FINAL FINAL FINAL_IBFSL_Conso_June_09_10 _ISL_conso_March_09_10_Xl0000012 2 2" xfId="11374" xr:uid="{00000000-0005-0000-0000-00006E2C0000}"/>
    <cellStyle name="_IPPL 31.12.2006 FINAL FINAL FINAL FINAL_IBFSL_Conso_June_09_10 _ISL_conso_March_09_10_Xl0000012 3" xfId="11375" xr:uid="{00000000-0005-0000-0000-00006F2C0000}"/>
    <cellStyle name="_IPPL 31.12.2006 FINAL FINAL FINAL FINAL_IBFSL_Conso_June_09_10 _ISL_conso_May_10_11" xfId="11376" xr:uid="{00000000-0005-0000-0000-0000702C0000}"/>
    <cellStyle name="_IPPL 31.12.2006 FINAL FINAL FINAL FINAL_IBFSL_Conso_June_09_10 _ISL_conso_May_10_11 2" xfId="11377" xr:uid="{00000000-0005-0000-0000-0000712C0000}"/>
    <cellStyle name="_IPPL 31.12.2006 FINAL FINAL FINAL FINAL_IBFSL_Conso_June_09_10 _ISL_conso_May_10_11 2 2" xfId="11378" xr:uid="{00000000-0005-0000-0000-0000722C0000}"/>
    <cellStyle name="_IPPL 31.12.2006 FINAL FINAL FINAL FINAL_IBFSL_Conso_June_09_10 _ISL_conso_May_10_11 3" xfId="11379" xr:uid="{00000000-0005-0000-0000-0000732C0000}"/>
    <cellStyle name="_IPPL 31.12.2006 FINAL FINAL FINAL FINAL_IBFSL_Conso_June_09_10 _ISL_conso_November_10_11" xfId="11380" xr:uid="{00000000-0005-0000-0000-0000742C0000}"/>
    <cellStyle name="_IPPL 31.12.2006 FINAL FINAL FINAL FINAL_IBFSL_Conso_June_09_10 _ISL_conso_November_10_11 2" xfId="11381" xr:uid="{00000000-0005-0000-0000-0000752C0000}"/>
    <cellStyle name="_IPPL 31.12.2006 FINAL FINAL FINAL FINAL_IBFSL_Conso_June_09_10 _ISL_conso_November_10_11 2 2" xfId="11382" xr:uid="{00000000-0005-0000-0000-0000762C0000}"/>
    <cellStyle name="_IPPL 31.12.2006 FINAL FINAL FINAL FINAL_IBFSL_Conso_June_09_10 _ISL_conso_November_10_11 3" xfId="11383" xr:uid="{00000000-0005-0000-0000-0000772C0000}"/>
    <cellStyle name="_IPPL 31.12.2006 FINAL FINAL FINAL FINAL_IBFSL_Conso_June_09_10 _ISL_conso_October_10_11" xfId="11384" xr:uid="{00000000-0005-0000-0000-0000782C0000}"/>
    <cellStyle name="_IPPL 31.12.2006 FINAL FINAL FINAL FINAL_IBFSL_Conso_June_09_10 _ISL_conso_October_10_11 2" xfId="11385" xr:uid="{00000000-0005-0000-0000-0000792C0000}"/>
    <cellStyle name="_IPPL 31.12.2006 FINAL FINAL FINAL FINAL_IBFSL_Conso_June_09_10 _ISL_conso_October_10_11 2 2" xfId="11386" xr:uid="{00000000-0005-0000-0000-00007A2C0000}"/>
    <cellStyle name="_IPPL 31.12.2006 FINAL FINAL FINAL FINAL_IBFSL_Conso_June_09_10 _ISL_conso_October_10_11 3" xfId="11387" xr:uid="{00000000-0005-0000-0000-00007B2C0000}"/>
    <cellStyle name="_IPPL 31.12.2006 FINAL FINAL FINAL FINAL_IBFSL_Conso_June_09_10 _ISL_conso_September_10_11" xfId="11388" xr:uid="{00000000-0005-0000-0000-00007C2C0000}"/>
    <cellStyle name="_IPPL 31.12.2006 FINAL FINAL FINAL FINAL_IBFSL_Conso_June_09_10 _ISL_conso_September_10_11 2" xfId="11389" xr:uid="{00000000-0005-0000-0000-00007D2C0000}"/>
    <cellStyle name="_IPPL 31.12.2006 FINAL FINAL FINAL FINAL_IBFSL_Conso_June_09_10 _ISL_conso_September_10_11 2 2" xfId="11390" xr:uid="{00000000-0005-0000-0000-00007E2C0000}"/>
    <cellStyle name="_IPPL 31.12.2006 FINAL FINAL FINAL FINAL_IBFSL_Conso_June_09_10 _ISL_conso_September_10_11 3" xfId="11391" xr:uid="{00000000-0005-0000-0000-00007F2C0000}"/>
    <cellStyle name="_IPPL 31.12.2006 FINAL FINAL FINAL FINAL_IBFSL_Conso_June_09_10 _ISL_June_10" xfId="11392" xr:uid="{00000000-0005-0000-0000-0000802C0000}"/>
    <cellStyle name="_IPPL 31.12.2006 FINAL FINAL FINAL FINAL_IBFSL_Conso_June_09_10 _ISL_June_10 2" xfId="11393" xr:uid="{00000000-0005-0000-0000-0000812C0000}"/>
    <cellStyle name="_IPPL 31.12.2006 FINAL FINAL FINAL FINAL_IBFSL_Conso_June_09_10 _ISL_June_10 2 2" xfId="11394" xr:uid="{00000000-0005-0000-0000-0000822C0000}"/>
    <cellStyle name="_IPPL 31.12.2006 FINAL FINAL FINAL FINAL_IBFSL_Conso_June_09_10 _ISL_June_10 3" xfId="11395" xr:uid="{00000000-0005-0000-0000-0000832C0000}"/>
    <cellStyle name="_IPPL 31.12.2006 FINAL FINAL FINAL FINAL_IBFSL_Conso_June_09_10 _Results" xfId="11396" xr:uid="{00000000-0005-0000-0000-0000842C0000}"/>
    <cellStyle name="_IPPL 31.12.2006 FINAL FINAL FINAL FINAL_IBFSL_Conso_June_09_10 _Results 2" xfId="11397" xr:uid="{00000000-0005-0000-0000-0000852C0000}"/>
    <cellStyle name="_IPPL 31.12.2006 FINAL FINAL FINAL FINAL_IBFSL_Conso_June_09_10 _Results 2 2" xfId="11398" xr:uid="{00000000-0005-0000-0000-0000862C0000}"/>
    <cellStyle name="_IPPL 31.12.2006 FINAL FINAL FINAL FINAL_IBFSL_Conso_June_09_10 _Results 3" xfId="11399" xr:uid="{00000000-0005-0000-0000-0000872C0000}"/>
    <cellStyle name="_IPPL 31.12.2006 FINAL FINAL FINAL FINAL_IBFSL_Conso_June_09_10 _Xl0000012" xfId="11400" xr:uid="{00000000-0005-0000-0000-0000882C0000}"/>
    <cellStyle name="_IPPL 31.12.2006 FINAL FINAL FINAL FINAL_IBFSL_Conso_June_09_10 _Xl0000012 2" xfId="11401" xr:uid="{00000000-0005-0000-0000-0000892C0000}"/>
    <cellStyle name="_IPPL 31.12.2006 FINAL FINAL FINAL FINAL_IBFSL_Conso_June_09_10 _Xl0000012 2 2" xfId="11402" xr:uid="{00000000-0005-0000-0000-00008A2C0000}"/>
    <cellStyle name="_IPPL 31.12.2006 FINAL FINAL FINAL FINAL_IBFSL_Conso_June_09_10 _Xl0000012 3" xfId="11403" xr:uid="{00000000-0005-0000-0000-00008B2C0000}"/>
    <cellStyle name="_IPPL 31.12.2006 FINAL FINAL FINAL FINAL_IBFSL_Conso_March_10_11" xfId="11404" xr:uid="{00000000-0005-0000-0000-00008C2C0000}"/>
    <cellStyle name="_IPPL 31.12.2006 FINAL FINAL FINAL FINAL_IBL_09.12.2009" xfId="11405" xr:uid="{00000000-0005-0000-0000-00008D2C0000}"/>
    <cellStyle name="_IPPL 31.12.2006 FINAL FINAL FINAL FINAL_IBLIC_BS  Final working -New_Format_31.03 V5" xfId="11406" xr:uid="{00000000-0005-0000-0000-00008E2C0000}"/>
    <cellStyle name="_IPPL 31.12.2006 FINAL FINAL FINAL FINAL_Ibulls BS Final woirking -New format_31.03 V5" xfId="11407" xr:uid="{00000000-0005-0000-0000-00008F2C0000}"/>
    <cellStyle name="_IPPL 31.12.2006 FINAL FINAL FINAL FINAL_IbullsSales_3103" xfId="11408" xr:uid="{00000000-0005-0000-0000-0000902C0000}"/>
    <cellStyle name="_IPPL 31.12.2006 FINAL FINAL FINAL FINAL_IbullsSales_3103 V2" xfId="11409" xr:uid="{00000000-0005-0000-0000-0000912C0000}"/>
    <cellStyle name="_IPPL 31.12.2006 FINAL FINAL FINAL FINAL_IbullsSales_3103 V5" xfId="11410" xr:uid="{00000000-0005-0000-0000-0000922C0000}"/>
    <cellStyle name="_IPPL 31.12.2006 FINAL FINAL FINAL FINAL_ICAL-BS Final Working _New format" xfId="11411" xr:uid="{00000000-0005-0000-0000-0000932C0000}"/>
    <cellStyle name="_IPPL 31.12.2006 FINAL FINAL FINAL FINAL_ICD Detail External from IBREL 23Jun'08" xfId="11412" xr:uid="{00000000-0005-0000-0000-0000942C0000}"/>
    <cellStyle name="_IPPL 31.12.2006 FINAL FINAL FINAL FINAL_ICD Detail External from IBREL 23Jun'08 2" xfId="11413" xr:uid="{00000000-0005-0000-0000-0000952C0000}"/>
    <cellStyle name="_IPPL 31.12.2006 FINAL FINAL FINAL FINAL_ICD Detail External from IBREL 23Jun'08 2 2" xfId="11414" xr:uid="{00000000-0005-0000-0000-0000962C0000}"/>
    <cellStyle name="_IPPL 31.12.2006 FINAL FINAL FINAL FINAL_ICD Detail External from IBREL 23Jun'08 3" xfId="11415" xr:uid="{00000000-0005-0000-0000-0000972C0000}"/>
    <cellStyle name="_IPPL 31.12.2006 FINAL FINAL FINAL FINAL_ICD_Int Working" xfId="11416" xr:uid="{00000000-0005-0000-0000-0000982C0000}"/>
    <cellStyle name="_IPPL 31.12.2006 FINAL FINAL FINAL FINAL_ICD_Int Working 2" xfId="11417" xr:uid="{00000000-0005-0000-0000-0000992C0000}"/>
    <cellStyle name="_IPPL 31.12.2006 FINAL FINAL FINAL FINAL_ICD_Int Working_EPS working" xfId="11418" xr:uid="{00000000-0005-0000-0000-00009A2C0000}"/>
    <cellStyle name="_IPPL 31.12.2006 FINAL FINAL FINAL FINAL_ICD_Int Working_EPS working 2" xfId="11419" xr:uid="{00000000-0005-0000-0000-00009B2C0000}"/>
    <cellStyle name="_IPPL 31.12.2006 FINAL FINAL FINAL FINAL_ICD_Int Working_EPS working 2 2" xfId="11420" xr:uid="{00000000-0005-0000-0000-00009C2C0000}"/>
    <cellStyle name="_IPPL 31.12.2006 FINAL FINAL FINAL FINAL_ICD_Int Working_EPS working 3" xfId="11421" xr:uid="{00000000-0005-0000-0000-00009D2C0000}"/>
    <cellStyle name="_IPPL 31.12.2006 FINAL FINAL FINAL FINAL_ICD_Int Working_EPS working_IBREAL_BS PACK-Version.02" xfId="11422" xr:uid="{00000000-0005-0000-0000-00009E2C0000}"/>
    <cellStyle name="_IPPL 31.12.2006 FINAL FINAL FINAL FINAL_ICD_Int Working_EPS working_IBREAL_BS PACK-Version.02 2" xfId="11423" xr:uid="{00000000-0005-0000-0000-00009F2C0000}"/>
    <cellStyle name="_IPPL 31.12.2006 FINAL FINAL FINAL FINAL_ICD_Int Working_EPS working_IBREAL_BS PACK-Version.02 2 2" xfId="11424" xr:uid="{00000000-0005-0000-0000-0000A02C0000}"/>
    <cellStyle name="_IPPL 31.12.2006 FINAL FINAL FINAL FINAL_ICD_Int Working_EPS working_IBREAL_BS PACK-Version.02 3" xfId="11425" xr:uid="{00000000-0005-0000-0000-0000A12C0000}"/>
    <cellStyle name="_IPPL 31.12.2006 FINAL FINAL FINAL FINAL_ICD_Int Working_EPS working_IBREAL_BS PACK-Version.02_IBREAL_BS PACK-Version.03" xfId="11426" xr:uid="{00000000-0005-0000-0000-0000A22C0000}"/>
    <cellStyle name="_IPPL 31.12.2006 FINAL FINAL FINAL FINAL_ICD_Int Working_EPS working_IBREAL_BS PACK-Version.02_IBREAL_BS PACK-Version.03 2" xfId="11427" xr:uid="{00000000-0005-0000-0000-0000A32C0000}"/>
    <cellStyle name="_IPPL 31.12.2006 FINAL FINAL FINAL FINAL_ICD_Int Working_EPS working_IBREAL_BS PACK-Version.02_IBREAL_BS PACK-Version.03 2 2" xfId="11428" xr:uid="{00000000-0005-0000-0000-0000A42C0000}"/>
    <cellStyle name="_IPPL 31.12.2006 FINAL FINAL FINAL FINAL_ICD_Int Working_EPS working_IBREAL_BS PACK-Version.02_IBREAL_BS PACK-Version.03 3" xfId="11429" xr:uid="{00000000-0005-0000-0000-0000A52C0000}"/>
    <cellStyle name="_IPPL 31.12.2006 FINAL FINAL FINAL FINAL_ICD_Int Working_EPS working_IBREAL_BS PACK-Version.02_IBREAL_BS PACK-Version.03_IBREAL_BS PACK-Version.07" xfId="11430" xr:uid="{00000000-0005-0000-0000-0000A62C0000}"/>
    <cellStyle name="_IPPL 31.12.2006 FINAL FINAL FINAL FINAL_ICD_Int Working_EPS working_IBREAL_BS PACK-Version.02_IBREAL_BS PACK-Version.03_IBREAL_BS PACK-Version.07 2" xfId="11431" xr:uid="{00000000-0005-0000-0000-0000A72C0000}"/>
    <cellStyle name="_IPPL 31.12.2006 FINAL FINAL FINAL FINAL_ICD_Int Working_EPS working_IBREAL_BS PACK-Version.02_IBREAL_BS PACK-Version.03_IBREAL_BS PACK-Version.07 2 2" xfId="11432" xr:uid="{00000000-0005-0000-0000-0000A82C0000}"/>
    <cellStyle name="_IPPL 31.12.2006 FINAL FINAL FINAL FINAL_ICD_Int Working_EPS working_IBREAL_BS PACK-Version.02_IBREAL_BS PACK-Version.03_IBREAL_BS PACK-Version.07 3" xfId="11433" xr:uid="{00000000-0005-0000-0000-0000A92C0000}"/>
    <cellStyle name="_IPPL 31.12.2006 FINAL FINAL FINAL FINAL_ICD_Int Working_IREL_3000_08-09" xfId="11434" xr:uid="{00000000-0005-0000-0000-0000AA2C0000}"/>
    <cellStyle name="_IPPL 31.12.2006 FINAL FINAL FINAL FINAL_ICD_Int Working_IREL_3000_08-09 2" xfId="11435" xr:uid="{00000000-0005-0000-0000-0000AB2C0000}"/>
    <cellStyle name="_IPPL 31.12.2006 FINAL FINAL FINAL FINAL_ICD_Int Working_IREL_3000_08-09 2 2" xfId="11436" xr:uid="{00000000-0005-0000-0000-0000AC2C0000}"/>
    <cellStyle name="_IPPL 31.12.2006 FINAL FINAL FINAL FINAL_ICD_Int Working_IREL_3000_08-09 3" xfId="11437" xr:uid="{00000000-0005-0000-0000-0000AD2C0000}"/>
    <cellStyle name="_IPPL 31.12.2006 FINAL FINAL FINAL FINAL_ICD_Int Working_IREL_3000_08-09 stage 3" xfId="11438" xr:uid="{00000000-0005-0000-0000-0000AE2C0000}"/>
    <cellStyle name="_IPPL 31.12.2006 FINAL FINAL FINAL FINAL_ICD_Int Working_IREL_3000_08-09 stage 3 2" xfId="11439" xr:uid="{00000000-0005-0000-0000-0000AF2C0000}"/>
    <cellStyle name="_IPPL 31.12.2006 FINAL FINAL FINAL FINAL_ICD_Int Working_IREL_3000_08-09 stage 3_IREL_3000_08-09" xfId="11440" xr:uid="{00000000-0005-0000-0000-0000B02C0000}"/>
    <cellStyle name="_IPPL 31.12.2006 FINAL FINAL FINAL FINAL_ICD_Int Working_IREL_3000_08-09 stage 3_IREL_3000_08-09 2" xfId="11441" xr:uid="{00000000-0005-0000-0000-0000B12C0000}"/>
    <cellStyle name="_IPPL 31.12.2006 FINAL FINAL FINAL FINAL_ICD_Int Working_IREL_3000_08-09 stage 3_IREL_3000_08-09 2 2" xfId="11442" xr:uid="{00000000-0005-0000-0000-0000B22C0000}"/>
    <cellStyle name="_IPPL 31.12.2006 FINAL FINAL FINAL FINAL_ICD_Int Working_IREL_3000_08-09 stage 3_IREL_3000_08-09 3" xfId="11443" xr:uid="{00000000-0005-0000-0000-0000B32C0000}"/>
    <cellStyle name="_IPPL 31.12.2006 FINAL FINAL FINAL FINAL_ICD_Int Working_IREL_3000_08-09_IBREAL_BS PACK-Version.02" xfId="11444" xr:uid="{00000000-0005-0000-0000-0000B42C0000}"/>
    <cellStyle name="_IPPL 31.12.2006 FINAL FINAL FINAL FINAL_ICD_Int Working_IREL_3000_08-09_IBREAL_BS PACK-Version.02 2" xfId="11445" xr:uid="{00000000-0005-0000-0000-0000B52C0000}"/>
    <cellStyle name="_IPPL 31.12.2006 FINAL FINAL FINAL FINAL_ICD_Int Working_IREL_3000_08-09_IBREAL_BS PACK-Version.02 2 2" xfId="11446" xr:uid="{00000000-0005-0000-0000-0000B62C0000}"/>
    <cellStyle name="_IPPL 31.12.2006 FINAL FINAL FINAL FINAL_ICD_Int Working_IREL_3000_08-09_IBREAL_BS PACK-Version.02 3" xfId="11447" xr:uid="{00000000-0005-0000-0000-0000B72C0000}"/>
    <cellStyle name="_IPPL 31.12.2006 FINAL FINAL FINAL FINAL_ICD_Int Working_IREL_3000_08-09_IBREAL_BS PACK-Version.02_IBREAL_BS PACK-Version.03" xfId="11448" xr:uid="{00000000-0005-0000-0000-0000B82C0000}"/>
    <cellStyle name="_IPPL 31.12.2006 FINAL FINAL FINAL FINAL_ICD_Int Working_IREL_3000_08-09_IBREAL_BS PACK-Version.02_IBREAL_BS PACK-Version.03 2" xfId="11449" xr:uid="{00000000-0005-0000-0000-0000B92C0000}"/>
    <cellStyle name="_IPPL 31.12.2006 FINAL FINAL FINAL FINAL_ICD_Int Working_IREL_3000_08-09_IBREAL_BS PACK-Version.02_IBREAL_BS PACK-Version.03 2 2" xfId="11450" xr:uid="{00000000-0005-0000-0000-0000BA2C0000}"/>
    <cellStyle name="_IPPL 31.12.2006 FINAL FINAL FINAL FINAL_ICD_Int Working_IREL_3000_08-09_IBREAL_BS PACK-Version.02_IBREAL_BS PACK-Version.03 3" xfId="11451" xr:uid="{00000000-0005-0000-0000-0000BB2C0000}"/>
    <cellStyle name="_IPPL 31.12.2006 FINAL FINAL FINAL FINAL_ICD_Int Working_IREL_3000_08-09_IBREAL_BS PACK-Version.02_IBREAL_BS PACK-Version.03_IBREAL_BS PACK-Version.07" xfId="11452" xr:uid="{00000000-0005-0000-0000-0000BC2C0000}"/>
    <cellStyle name="_IPPL 31.12.2006 FINAL FINAL FINAL FINAL_ICD_Int Working_IREL_3000_08-09_IBREAL_BS PACK-Version.02_IBREAL_BS PACK-Version.03_IBREAL_BS PACK-Version.07 2" xfId="11453" xr:uid="{00000000-0005-0000-0000-0000BD2C0000}"/>
    <cellStyle name="_IPPL 31.12.2006 FINAL FINAL FINAL FINAL_ICD_Int Working_IREL_3000_08-09_IBREAL_BS PACK-Version.02_IBREAL_BS PACK-Version.03_IBREAL_BS PACK-Version.07 2 2" xfId="11454" xr:uid="{00000000-0005-0000-0000-0000BE2C0000}"/>
    <cellStyle name="_IPPL 31.12.2006 FINAL FINAL FINAL FINAL_ICD_Int Working_IREL_3000_08-09_IBREAL_BS PACK-Version.02_IBREAL_BS PACK-Version.03_IBREAL_BS PACK-Version.07 3" xfId="11455" xr:uid="{00000000-0005-0000-0000-0000BF2C0000}"/>
    <cellStyle name="_IPPL 31.12.2006 FINAL FINAL FINAL FINAL_ICD_Int Working_IREL_3000_2009-29_July2009  Final Shahi" xfId="11456" xr:uid="{00000000-0005-0000-0000-0000C02C0000}"/>
    <cellStyle name="_IPPL 31.12.2006 FINAL FINAL FINAL FINAL_ICD_Int Working_IREL_3000_2009-29_July2009  Final Shahi 2" xfId="11457" xr:uid="{00000000-0005-0000-0000-0000C12C0000}"/>
    <cellStyle name="_IPPL 31.12.2006 FINAL FINAL FINAL FINAL_ICD_Int Working_IREL_3000_2009-29_July2009  Final Shahi 2 2" xfId="11458" xr:uid="{00000000-0005-0000-0000-0000C22C0000}"/>
    <cellStyle name="_IPPL 31.12.2006 FINAL FINAL FINAL FINAL_ICD_Int Working_IREL_3000_2009-29_July2009  Final Shahi 3" xfId="11459" xr:uid="{00000000-0005-0000-0000-0000C32C0000}"/>
    <cellStyle name="_IPPL 31.12.2006 FINAL FINAL FINAL FINAL_ICD_Int Working_IREL_3000_2009-29_July2009  Final Shahi_IBREAL_BS PACK-Version.02" xfId="11460" xr:uid="{00000000-0005-0000-0000-0000C42C0000}"/>
    <cellStyle name="_IPPL 31.12.2006 FINAL FINAL FINAL FINAL_ICD_Int Working_IREL_3000_2009-29_July2009  Final Shahi_IBREAL_BS PACK-Version.02 2" xfId="11461" xr:uid="{00000000-0005-0000-0000-0000C52C0000}"/>
    <cellStyle name="_IPPL 31.12.2006 FINAL FINAL FINAL FINAL_ICD_Int Working_IREL_3000_2009-29_July2009  Final Shahi_IBREAL_BS PACK-Version.02 2 2" xfId="11462" xr:uid="{00000000-0005-0000-0000-0000C62C0000}"/>
    <cellStyle name="_IPPL 31.12.2006 FINAL FINAL FINAL FINAL_ICD_Int Working_IREL_3000_2009-29_July2009  Final Shahi_IBREAL_BS PACK-Version.02 3" xfId="11463" xr:uid="{00000000-0005-0000-0000-0000C72C0000}"/>
    <cellStyle name="_IPPL 31.12.2006 FINAL FINAL FINAL FINAL_ICD_Int Working_IREL_3000_2009-29_July2009  Final Shahi_IBREAL_BS PACK-Version.02_IBREAL_BS PACK-Version.03" xfId="11464" xr:uid="{00000000-0005-0000-0000-0000C82C0000}"/>
    <cellStyle name="_IPPL 31.12.2006 FINAL FINAL FINAL FINAL_ICD_Int Working_IREL_3000_2009-29_July2009  Final Shahi_IBREAL_BS PACK-Version.02_IBREAL_BS PACK-Version.03 2" xfId="11465" xr:uid="{00000000-0005-0000-0000-0000C92C0000}"/>
    <cellStyle name="_IPPL 31.12.2006 FINAL FINAL FINAL FINAL_ICD_Int Working_IREL_3000_2009-29_July2009  Final Shahi_IBREAL_BS PACK-Version.02_IBREAL_BS PACK-Version.03 2 2" xfId="11466" xr:uid="{00000000-0005-0000-0000-0000CA2C0000}"/>
    <cellStyle name="_IPPL 31.12.2006 FINAL FINAL FINAL FINAL_ICD_Int Working_IREL_3000_2009-29_July2009  Final Shahi_IBREAL_BS PACK-Version.02_IBREAL_BS PACK-Version.03 3" xfId="11467" xr:uid="{00000000-0005-0000-0000-0000CB2C0000}"/>
    <cellStyle name="_IPPL 31.12.2006 FINAL FINAL FINAL FINAL_ICD_Int Working_IREL_3000_2009-29_July2009  Final Shahi_IBREAL_BS PACK-Version.02_IBREAL_BS PACK-Version.03_IBREAL_BS PACK-Version.07" xfId="11468" xr:uid="{00000000-0005-0000-0000-0000CC2C0000}"/>
    <cellStyle name="_IPPL 31.12.2006 FINAL FINAL FINAL FINAL_ICD_Int Working_IREL_3000_2009-29_July2009  Final Shahi_IBREAL_BS PACK-Version.02_IBREAL_BS PACK-Version.03_IBREAL_BS PACK-Version.07 2" xfId="11469" xr:uid="{00000000-0005-0000-0000-0000CD2C0000}"/>
    <cellStyle name="_IPPL 31.12.2006 FINAL FINAL FINAL FINAL_ICD_Int Working_IREL_3000_2009-29_July2009  Final Shahi_IBREAL_BS PACK-Version.02_IBREAL_BS PACK-Version.03_IBREAL_BS PACK-Version.07 2 2" xfId="11470" xr:uid="{00000000-0005-0000-0000-0000CE2C0000}"/>
    <cellStyle name="_IPPL 31.12.2006 FINAL FINAL FINAL FINAL_ICD_Int Working_IREL_3000_2009-29_July2009  Final Shahi_IBREAL_BS PACK-Version.02_IBREAL_BS PACK-Version.03_IBREAL_BS PACK-Version.07 3" xfId="11471" xr:uid="{00000000-0005-0000-0000-0000CF2C0000}"/>
    <cellStyle name="_IPPL 31.12.2006 FINAL FINAL FINAL FINAL_ICL_09 12 2009" xfId="11472" xr:uid="{00000000-0005-0000-0000-0000D02C0000}"/>
    <cellStyle name="_IPPL 31.12.2006 FINAL FINAL FINAL FINAL_ICL_BS_30.06.2009" xfId="11473" xr:uid="{00000000-0005-0000-0000-0000D12C0000}"/>
    <cellStyle name="_IPPL 31.12.2006 FINAL FINAL FINAL FINAL_ICPL_BS_31.03.2009" xfId="11474" xr:uid="{00000000-0005-0000-0000-0000D22C0000}"/>
    <cellStyle name="_IPPL 31.12.2006 FINAL FINAL FINAL FINAL_ICPL_BS_31.03.2009 2" xfId="11475" xr:uid="{00000000-0005-0000-0000-0000D32C0000}"/>
    <cellStyle name="_IPPL 31.12.2006 FINAL FINAL FINAL FINAL_ICPL_BS_31.03.2009_Detail of IPO funding" xfId="11476" xr:uid="{00000000-0005-0000-0000-0000D42C0000}"/>
    <cellStyle name="_IPPL 31.12.2006 FINAL FINAL FINAL FINAL_ICPL_BS_31.03.2009_IFCPL 31 03 2010 VER6 Final" xfId="11477" xr:uid="{00000000-0005-0000-0000-0000D52C0000}"/>
    <cellStyle name="_IPPL 31.12.2006 FINAL FINAL FINAL FINAL_ICPL_BS_31.03.2009_new" xfId="11478" xr:uid="{00000000-0005-0000-0000-0000D62C0000}"/>
    <cellStyle name="_IPPL 31.12.2006 FINAL FINAL FINAL FINAL_ICPL_BS_31.03.2009_new_ISL__3CD_FY2010-11" xfId="11479" xr:uid="{00000000-0005-0000-0000-0000D72C0000}"/>
    <cellStyle name="_IPPL 31.12.2006 FINAL FINAL FINAL FINAL_IDSL_31.03.2010" xfId="11480" xr:uid="{00000000-0005-0000-0000-0000D82C0000}"/>
    <cellStyle name="_IPPL 31.12.2006 FINAL FINAL FINAL FINAL_IEL net worth as on 31st March 2007." xfId="11481" xr:uid="{00000000-0005-0000-0000-0000D92C0000}"/>
    <cellStyle name="_IPPL 31.12.2006 FINAL FINAL FINAL FINAL_IEL net worth as on 31st March 2007. 2" xfId="11482" xr:uid="{00000000-0005-0000-0000-0000DA2C0000}"/>
    <cellStyle name="_IPPL 31.12.2006 FINAL FINAL FINAL FINAL_IEL_3210_ 2007-2008" xfId="11483" xr:uid="{00000000-0005-0000-0000-0000DB2C0000}"/>
    <cellStyle name="_IPPL 31.12.2006 FINAL FINAL FINAL FINAL_IEL_3210_ 2007-2008 2" xfId="11484" xr:uid="{00000000-0005-0000-0000-0000DC2C0000}"/>
    <cellStyle name="_IPPL 31.12.2006 FINAL FINAL FINAL FINAL_IEL_3210_ 2007-2008_260508" xfId="11485" xr:uid="{00000000-0005-0000-0000-0000DD2C0000}"/>
    <cellStyle name="_IPPL 31.12.2006 FINAL FINAL FINAL FINAL_IEL_3210_ 2007-2008_260508 2" xfId="11486" xr:uid="{00000000-0005-0000-0000-0000DE2C0000}"/>
    <cellStyle name="_IPPL 31.12.2006 FINAL FINAL FINAL FINAL_IESL_09.12.2009" xfId="11487" xr:uid="{00000000-0005-0000-0000-0000DF2C0000}"/>
    <cellStyle name="_IPPL 31.12.2006 FINAL FINAL FINAL FINAL_IFCPL 31 03 2010 VER6 Final" xfId="11488" xr:uid="{00000000-0005-0000-0000-0000E02C0000}"/>
    <cellStyle name="_IPPL 31.12.2006 FINAL FINAL FINAL FINAL_IFCPL 31.03.09 ver 6 - RBI Return" xfId="11489" xr:uid="{00000000-0005-0000-0000-0000E12C0000}"/>
    <cellStyle name="_IPPL 31.12.2006 FINAL FINAL FINAL FINAL_IFCPL Financials - March 2009" xfId="11490" xr:uid="{00000000-0005-0000-0000-0000E22C0000}"/>
    <cellStyle name="_IPPL 31.12.2006 FINAL FINAL FINAL FINAL_IFCPL Financials - March 2009 2" xfId="11491" xr:uid="{00000000-0005-0000-0000-0000E32C0000}"/>
    <cellStyle name="_IPPL 31.12.2006 FINAL FINAL FINAL FINAL_IFCPL Financials - March 2009 With Computation" xfId="11492" xr:uid="{00000000-0005-0000-0000-0000E42C0000}"/>
    <cellStyle name="_IPPL 31.12.2006 FINAL FINAL FINAL FINAL_IFCPL Financials - March 2009 With Computation 2" xfId="11493" xr:uid="{00000000-0005-0000-0000-0000E52C0000}"/>
    <cellStyle name="_IPPL 31.12.2006 FINAL FINAL FINAL FINAL_IFCPL Financials - March 2009 With Computation_Detail of IPO funding" xfId="11494" xr:uid="{00000000-0005-0000-0000-0000E62C0000}"/>
    <cellStyle name="_IPPL 31.12.2006 FINAL FINAL FINAL FINAL_IFCPL Financials - March 2009 With Computation_IFCPL 31 03 2010 VER6 Final" xfId="11495" xr:uid="{00000000-0005-0000-0000-0000E72C0000}"/>
    <cellStyle name="_IPPL 31.12.2006 FINAL FINAL FINAL FINAL_IFCPL Financials - March 2009_FDR working" xfId="11496" xr:uid="{00000000-0005-0000-0000-0000E82C0000}"/>
    <cellStyle name="_IPPL 31.12.2006 FINAL FINAL FINAL FINAL_IFCPL Financials - March 2009_IFCPL 31 03 2010 VER6 Final" xfId="11497" xr:uid="{00000000-0005-0000-0000-0000E92C0000}"/>
    <cellStyle name="_IPPL 31.12.2006 FINAL FINAL FINAL FINAL_IHFL_SEP_30_2009 XIII AUDIT- Sch II" xfId="11498" xr:uid="{00000000-0005-0000-0000-0000EA2C0000}"/>
    <cellStyle name="_IPPL 31.12.2006 FINAL FINAL FINAL FINAL_IIAL 31.03.2010 VER2" xfId="11499" xr:uid="{00000000-0005-0000-0000-0000EB2C0000}"/>
    <cellStyle name="_IPPL 31.12.2006 FINAL FINAL FINAL FINAL_IICL_March'11" xfId="11500" xr:uid="{00000000-0005-0000-0000-0000EC2C0000}"/>
    <cellStyle name="_IPPL 31.12.2006 FINAL FINAL FINAL FINAL_IIDL_3227_2007-08" xfId="11501" xr:uid="{00000000-0005-0000-0000-0000ED2C0000}"/>
    <cellStyle name="_IPPL 31.12.2006 FINAL FINAL FINAL FINAL_IIL_3220_2007-08" xfId="11502" xr:uid="{00000000-0005-0000-0000-0000EE2C0000}"/>
    <cellStyle name="_IPPL 31.12.2006 FINAL FINAL FINAL FINAL_IIL_3220_2007-08 2" xfId="11503" xr:uid="{00000000-0005-0000-0000-0000EF2C0000}"/>
    <cellStyle name="_IPPL 31.12.2006 FINAL FINAL FINAL FINAL_Indiabulls Asset Management Company Limited printable" xfId="11504" xr:uid="{00000000-0005-0000-0000-0000F02C0000}"/>
    <cellStyle name="_IPPL 31.12.2006 FINAL FINAL FINAL FINAL_Interest receivable from Divya Shakti" xfId="11505" xr:uid="{00000000-0005-0000-0000-0000F12C0000}"/>
    <cellStyle name="_IPPL 31.12.2006 FINAL FINAL FINAL FINAL_IPGL_3355_2007-08" xfId="11506" xr:uid="{00000000-0005-0000-0000-0000F22C0000}"/>
    <cellStyle name="_IPPL 31.12.2006 FINAL FINAL FINAL FINAL_Ipsl_Nov_1 1" xfId="11507" xr:uid="{00000000-0005-0000-0000-0000F32C0000}"/>
    <cellStyle name="_IPPL 31.12.2006 FINAL FINAL FINAL FINAL_IRECPL_Himanshu Shah Bill" xfId="11508" xr:uid="{00000000-0005-0000-0000-0000F42C0000}"/>
    <cellStyle name="_IPPL 31.12.2006 FINAL FINAL FINAL FINAL_IREL(Conso)_2007-08_March_Revised" xfId="11509" xr:uid="{00000000-0005-0000-0000-0000F52C0000}"/>
    <cellStyle name="_IPPL 31.12.2006 FINAL FINAL FINAL FINAL_IREL(Conso)_2007-08_March_Revised 2" xfId="11510" xr:uid="{00000000-0005-0000-0000-0000F62C0000}"/>
    <cellStyle name="_IPPL 31.12.2006 FINAL FINAL FINAL FINAL_IREL(Conso)_2007-08_March_Revised_IREL_3000_08-09" xfId="11511" xr:uid="{00000000-0005-0000-0000-0000F72C0000}"/>
    <cellStyle name="_IPPL 31.12.2006 FINAL FINAL FINAL FINAL_IREL(Conso)_2007-08_March_Revised_IREL_3000_08-09 2" xfId="11512" xr:uid="{00000000-0005-0000-0000-0000F82C0000}"/>
    <cellStyle name="_IPPL 31.12.2006 FINAL FINAL FINAL FINAL_IREL(Conso)_2007-08_March_Revised_IREL_3000_08-09 2 2" xfId="11513" xr:uid="{00000000-0005-0000-0000-0000F92C0000}"/>
    <cellStyle name="_IPPL 31.12.2006 FINAL FINAL FINAL FINAL_IREL(Conso)_2007-08_March_Revised_IREL_3000_08-09 3" xfId="11514" xr:uid="{00000000-0005-0000-0000-0000FA2C0000}"/>
    <cellStyle name="_IPPL 31.12.2006 FINAL FINAL FINAL FINAL_IREL(Conso)_2007-08_March_Revised_IREL_3000_08-09 stage 3" xfId="11515" xr:uid="{00000000-0005-0000-0000-0000FB2C0000}"/>
    <cellStyle name="_IPPL 31.12.2006 FINAL FINAL FINAL FINAL_IREL(Conso)_2007-08_March_Revised_IREL_3000_08-09 stage 3 2" xfId="11516" xr:uid="{00000000-0005-0000-0000-0000FC2C0000}"/>
    <cellStyle name="_IPPL 31.12.2006 FINAL FINAL FINAL FINAL_IREL(Conso)_2007-08_March_Revised_IREL_3000_08-09 stage 3_IREL_3000_08-09" xfId="11517" xr:uid="{00000000-0005-0000-0000-0000FD2C0000}"/>
    <cellStyle name="_IPPL 31.12.2006 FINAL FINAL FINAL FINAL_IREL(Conso)_2007-08_March_Revised_IREL_3000_08-09 stage 3_IREL_3000_08-09 2" xfId="11518" xr:uid="{00000000-0005-0000-0000-0000FE2C0000}"/>
    <cellStyle name="_IPPL 31.12.2006 FINAL FINAL FINAL FINAL_IREL(Conso)_2007-08_March_Revised_IREL_3000_08-09 stage 3_IREL_3000_08-09 2 2" xfId="11519" xr:uid="{00000000-0005-0000-0000-0000FF2C0000}"/>
    <cellStyle name="_IPPL 31.12.2006 FINAL FINAL FINAL FINAL_IREL(Conso)_2007-08_March_Revised_IREL_3000_08-09 stage 3_IREL_3000_08-09 3" xfId="11520" xr:uid="{00000000-0005-0000-0000-0000002D0000}"/>
    <cellStyle name="_IPPL 31.12.2006 FINAL FINAL FINAL FINAL_IREL(Conso)_2007-08_March_Revised_IREL_3000_08-09_IBREAL_BS PACK-Version.02" xfId="11521" xr:uid="{00000000-0005-0000-0000-0000012D0000}"/>
    <cellStyle name="_IPPL 31.12.2006 FINAL FINAL FINAL FINAL_IREL(Conso)_2007-08_March_Revised_IREL_3000_08-09_IBREAL_BS PACK-Version.02 2" xfId="11522" xr:uid="{00000000-0005-0000-0000-0000022D0000}"/>
    <cellStyle name="_IPPL 31.12.2006 FINAL FINAL FINAL FINAL_IREL(Conso)_2007-08_March_Revised_IREL_3000_08-09_IBREAL_BS PACK-Version.02 2 2" xfId="11523" xr:uid="{00000000-0005-0000-0000-0000032D0000}"/>
    <cellStyle name="_IPPL 31.12.2006 FINAL FINAL FINAL FINAL_IREL(Conso)_2007-08_March_Revised_IREL_3000_08-09_IBREAL_BS PACK-Version.02 3" xfId="11524" xr:uid="{00000000-0005-0000-0000-0000042D0000}"/>
    <cellStyle name="_IPPL 31.12.2006 FINAL FINAL FINAL FINAL_IREL(Conso)_2007-08_March_Revised_IREL_3000_08-09_IBREAL_BS PACK-Version.02_IBREAL_BS PACK-Version.03" xfId="11525" xr:uid="{00000000-0005-0000-0000-0000052D0000}"/>
    <cellStyle name="_IPPL 31.12.2006 FINAL FINAL FINAL FINAL_IREL(Conso)_2007-08_March_Revised_IREL_3000_08-09_IBREAL_BS PACK-Version.02_IBREAL_BS PACK-Version.03 2" xfId="11526" xr:uid="{00000000-0005-0000-0000-0000062D0000}"/>
    <cellStyle name="_IPPL 31.12.2006 FINAL FINAL FINAL FINAL_IREL(Conso)_2007-08_March_Revised_IREL_3000_08-09_IBREAL_BS PACK-Version.02_IBREAL_BS PACK-Version.03 2 2" xfId="11527" xr:uid="{00000000-0005-0000-0000-0000072D0000}"/>
    <cellStyle name="_IPPL 31.12.2006 FINAL FINAL FINAL FINAL_IREL(Conso)_2007-08_March_Revised_IREL_3000_08-09_IBREAL_BS PACK-Version.02_IBREAL_BS PACK-Version.03 3" xfId="11528" xr:uid="{00000000-0005-0000-0000-0000082D0000}"/>
    <cellStyle name="_IPPL 31.12.2006 FINAL FINAL FINAL FINAL_IREL(Conso)_2007-08_March_Revised_IREL_3000_08-09_IBREAL_BS PACK-Version.02_IBREAL_BS PACK-Version.03_IBREAL_BS PACK-Version.07" xfId="11529" xr:uid="{00000000-0005-0000-0000-0000092D0000}"/>
    <cellStyle name="_IPPL 31.12.2006 FINAL FINAL FINAL FINAL_IREL(Conso)_2007-08_March_Revised_IREL_3000_08-09_IBREAL_BS PACK-Version.02_IBREAL_BS PACK-Version.03_IBREAL_BS PACK-Version.07 2" xfId="11530" xr:uid="{00000000-0005-0000-0000-00000A2D0000}"/>
    <cellStyle name="_IPPL 31.12.2006 FINAL FINAL FINAL FINAL_IREL(Conso)_2007-08_March_Revised_IREL_3000_08-09_IBREAL_BS PACK-Version.02_IBREAL_BS PACK-Version.03_IBREAL_BS PACK-Version.07 2 2" xfId="11531" xr:uid="{00000000-0005-0000-0000-00000B2D0000}"/>
    <cellStyle name="_IPPL 31.12.2006 FINAL FINAL FINAL FINAL_IREL(Conso)_2007-08_March_Revised_IREL_3000_08-09_IBREAL_BS PACK-Version.02_IBREAL_BS PACK-Version.03_IBREAL_BS PACK-Version.07 3" xfId="11532" xr:uid="{00000000-0005-0000-0000-00000C2D0000}"/>
    <cellStyle name="_IPPL 31.12.2006 FINAL FINAL FINAL FINAL_IREL(Conso)_2007-08_November-1" xfId="11533" xr:uid="{00000000-0005-0000-0000-00000D2D0000}"/>
    <cellStyle name="_IPPL 31.12.2006 FINAL FINAL FINAL FINAL_IREL(Conso)_2007-08_November-1 2" xfId="11534" xr:uid="{00000000-0005-0000-0000-00000E2D0000}"/>
    <cellStyle name="_IPPL 31.12.2006 FINAL FINAL FINAL FINAL_IREL(Conso)_2007-08_November-1 2 2" xfId="11535" xr:uid="{00000000-0005-0000-0000-00000F2D0000}"/>
    <cellStyle name="_IPPL 31.12.2006 FINAL FINAL FINAL FINAL_IREL(Conso)_2007-08_November-1 3" xfId="11536" xr:uid="{00000000-0005-0000-0000-0000102D0000}"/>
    <cellStyle name="_IPPL 31.12.2006 FINAL FINAL FINAL FINAL_IREL(Conso)_2007-08_November-1_Abstract-2007-08" xfId="11537" xr:uid="{00000000-0005-0000-0000-0000112D0000}"/>
    <cellStyle name="_IPPL 31.12.2006 FINAL FINAL FINAL FINAL_IREL(Conso)_2007-08_November-1_Abstract-2007-08 2" xfId="11538" xr:uid="{00000000-0005-0000-0000-0000122D0000}"/>
    <cellStyle name="_IPPL 31.12.2006 FINAL FINAL FINAL FINAL_IREL(Conso)_2007-08_November-1_Aug consl backup-land adv &amp; Ext ICD" xfId="11539" xr:uid="{00000000-0005-0000-0000-0000132D0000}"/>
    <cellStyle name="_IPPL 31.12.2006 FINAL FINAL FINAL FINAL_IREL(Conso)_2007-08_November-1_Aug consl backup-land adv &amp; Ext ICD 2" xfId="11540" xr:uid="{00000000-0005-0000-0000-0000142D0000}"/>
    <cellStyle name="_IPPL 31.12.2006 FINAL FINAL FINAL FINAL_IREL(Conso)_2007-08_November-1_Fornax" xfId="11541" xr:uid="{00000000-0005-0000-0000-0000152D0000}"/>
    <cellStyle name="_IPPL 31.12.2006 FINAL FINAL FINAL FINAL_IREL(Conso)_2007-08_November-1_Fornax 2" xfId="11542" xr:uid="{00000000-0005-0000-0000-0000162D0000}"/>
    <cellStyle name="_IPPL 31.12.2006 FINAL FINAL FINAL FINAL_IREL(Conso)_2007-08_November-1_IREL_3000_08-09" xfId="11543" xr:uid="{00000000-0005-0000-0000-0000172D0000}"/>
    <cellStyle name="_IPPL 31.12.2006 FINAL FINAL FINAL FINAL_IREL(Conso)_2007-08_November-1_IREL_3000_08-09 2" xfId="11544" xr:uid="{00000000-0005-0000-0000-0000182D0000}"/>
    <cellStyle name="_IPPL 31.12.2006 FINAL FINAL FINAL FINAL_IREL(Conso)_2007-08_November-1_ISL Group - Advance Tax working for 3rd Instalment" xfId="11545" xr:uid="{00000000-0005-0000-0000-0000192D0000}"/>
    <cellStyle name="_IPPL 31.12.2006 FINAL FINAL FINAL FINAL_IREL(Conso)_June_07-08_30-07-08" xfId="11546" xr:uid="{00000000-0005-0000-0000-00001A2D0000}"/>
    <cellStyle name="_IPPL 31.12.2006 FINAL FINAL FINAL FINAL_IREL(Conso)_June_07-08_30-07-08 2" xfId="11547" xr:uid="{00000000-0005-0000-0000-00001B2D0000}"/>
    <cellStyle name="_IPPL 31.12.2006 FINAL FINAL FINAL FINAL_IREL(Conso)_June_07-08_30-07-08_IREL_3000_08-09" xfId="11548" xr:uid="{00000000-0005-0000-0000-00001C2D0000}"/>
    <cellStyle name="_IPPL 31.12.2006 FINAL FINAL FINAL FINAL_IREL(Conso)_June_07-08_30-07-08_IREL_3000_08-09 2" xfId="11549" xr:uid="{00000000-0005-0000-0000-00001D2D0000}"/>
    <cellStyle name="_IPPL 31.12.2006 FINAL FINAL FINAL FINAL_IREL(Conso)_June_07-08_30-07-08_IREL_3000_08-09 2 2" xfId="11550" xr:uid="{00000000-0005-0000-0000-00001E2D0000}"/>
    <cellStyle name="_IPPL 31.12.2006 FINAL FINAL FINAL FINAL_IREL(Conso)_June_07-08_30-07-08_IREL_3000_08-09 3" xfId="11551" xr:uid="{00000000-0005-0000-0000-00001F2D0000}"/>
    <cellStyle name="_IPPL 31.12.2006 FINAL FINAL FINAL FINAL_IREL(Conso)_June_07-08_30-07-08_IREL_3000_08-09 stage 3" xfId="11552" xr:uid="{00000000-0005-0000-0000-0000202D0000}"/>
    <cellStyle name="_IPPL 31.12.2006 FINAL FINAL FINAL FINAL_IREL(Conso)_June_07-08_30-07-08_IREL_3000_08-09 stage 3 2" xfId="11553" xr:uid="{00000000-0005-0000-0000-0000212D0000}"/>
    <cellStyle name="_IPPL 31.12.2006 FINAL FINAL FINAL FINAL_IREL(Conso)_June_07-08_30-07-08_IREL_3000_08-09 stage 3_IREL_3000_08-09" xfId="11554" xr:uid="{00000000-0005-0000-0000-0000222D0000}"/>
    <cellStyle name="_IPPL 31.12.2006 FINAL FINAL FINAL FINAL_IREL(Conso)_June_07-08_30-07-08_IREL_3000_08-09 stage 3_IREL_3000_08-09 2" xfId="11555" xr:uid="{00000000-0005-0000-0000-0000232D0000}"/>
    <cellStyle name="_IPPL 31.12.2006 FINAL FINAL FINAL FINAL_IREL(Conso)_June_07-08_30-07-08_IREL_3000_08-09 stage 3_IREL_3000_08-09 2 2" xfId="11556" xr:uid="{00000000-0005-0000-0000-0000242D0000}"/>
    <cellStyle name="_IPPL 31.12.2006 FINAL FINAL FINAL FINAL_IREL(Conso)_June_07-08_30-07-08_IREL_3000_08-09 stage 3_IREL_3000_08-09 3" xfId="11557" xr:uid="{00000000-0005-0000-0000-0000252D0000}"/>
    <cellStyle name="_IPPL 31.12.2006 FINAL FINAL FINAL FINAL_IREL(Conso)_June_07-08_30-07-08_IREL_3000_08-09_IBREAL_BS PACK-Version.02" xfId="11558" xr:uid="{00000000-0005-0000-0000-0000262D0000}"/>
    <cellStyle name="_IPPL 31.12.2006 FINAL FINAL FINAL FINAL_IREL(Conso)_June_07-08_30-07-08_IREL_3000_08-09_IBREAL_BS PACK-Version.02 2" xfId="11559" xr:uid="{00000000-0005-0000-0000-0000272D0000}"/>
    <cellStyle name="_IPPL 31.12.2006 FINAL FINAL FINAL FINAL_IREL(Conso)_June_07-08_30-07-08_IREL_3000_08-09_IBREAL_BS PACK-Version.02 2 2" xfId="11560" xr:uid="{00000000-0005-0000-0000-0000282D0000}"/>
    <cellStyle name="_IPPL 31.12.2006 FINAL FINAL FINAL FINAL_IREL(Conso)_June_07-08_30-07-08_IREL_3000_08-09_IBREAL_BS PACK-Version.02 3" xfId="11561" xr:uid="{00000000-0005-0000-0000-0000292D0000}"/>
    <cellStyle name="_IPPL 31.12.2006 FINAL FINAL FINAL FINAL_IREL(Conso)_June_07-08_30-07-08_IREL_3000_08-09_IBREAL_BS PACK-Version.02_IBREAL_BS PACK-Version.03" xfId="11562" xr:uid="{00000000-0005-0000-0000-00002A2D0000}"/>
    <cellStyle name="_IPPL 31.12.2006 FINAL FINAL FINAL FINAL_IREL(Conso)_June_07-08_30-07-08_IREL_3000_08-09_IBREAL_BS PACK-Version.02_IBREAL_BS PACK-Version.03 2" xfId="11563" xr:uid="{00000000-0005-0000-0000-00002B2D0000}"/>
    <cellStyle name="_IPPL 31.12.2006 FINAL FINAL FINAL FINAL_IREL(Conso)_June_07-08_30-07-08_IREL_3000_08-09_IBREAL_BS PACK-Version.02_IBREAL_BS PACK-Version.03 2 2" xfId="11564" xr:uid="{00000000-0005-0000-0000-00002C2D0000}"/>
    <cellStyle name="_IPPL 31.12.2006 FINAL FINAL FINAL FINAL_IREL(Conso)_June_07-08_30-07-08_IREL_3000_08-09_IBREAL_BS PACK-Version.02_IBREAL_BS PACK-Version.03 3" xfId="11565" xr:uid="{00000000-0005-0000-0000-00002D2D0000}"/>
    <cellStyle name="_IPPL 31.12.2006 FINAL FINAL FINAL FINAL_IREL(Conso)_June_07-08_30-07-08_IREL_3000_08-09_IBREAL_BS PACK-Version.02_IBREAL_BS PACK-Version.03_IBREAL_BS PACK-Version.07" xfId="11566" xr:uid="{00000000-0005-0000-0000-00002E2D0000}"/>
    <cellStyle name="_IPPL 31.12.2006 FINAL FINAL FINAL FINAL_IREL(Conso)_June_07-08_30-07-08_IREL_3000_08-09_IBREAL_BS PACK-Version.02_IBREAL_BS PACK-Version.03_IBREAL_BS PACK-Version.07 2" xfId="11567" xr:uid="{00000000-0005-0000-0000-00002F2D0000}"/>
    <cellStyle name="_IPPL 31.12.2006 FINAL FINAL FINAL FINAL_IREL(Conso)_June_07-08_30-07-08_IREL_3000_08-09_IBREAL_BS PACK-Version.02_IBREAL_BS PACK-Version.03_IBREAL_BS PACK-Version.07 2 2" xfId="11568" xr:uid="{00000000-0005-0000-0000-0000302D0000}"/>
    <cellStyle name="_IPPL 31.12.2006 FINAL FINAL FINAL FINAL_IREL(Conso)_June_07-08_30-07-08_IREL_3000_08-09_IBREAL_BS PACK-Version.02_IBREAL_BS PACK-Version.03_IBREAL_BS PACK-Version.07 3" xfId="11569" xr:uid="{00000000-0005-0000-0000-0000312D0000}"/>
    <cellStyle name="_IPPL 31.12.2006 FINAL FINAL FINAL FINAL_IREL_3000_08-09" xfId="11570" xr:uid="{00000000-0005-0000-0000-0000322D0000}"/>
    <cellStyle name="_IPPL 31.12.2006 FINAL FINAL FINAL FINAL_IREL_3000_08-09 2" xfId="11571" xr:uid="{00000000-0005-0000-0000-0000332D0000}"/>
    <cellStyle name="_IPPL 31.12.2006 FINAL FINAL FINAL FINAL_IREL_3000_2007-08" xfId="11572" xr:uid="{00000000-0005-0000-0000-0000342D0000}"/>
    <cellStyle name="_IPPL 31.12.2006 FINAL FINAL FINAL FINAL_IREL_3000_2007-08 2" xfId="11573" xr:uid="{00000000-0005-0000-0000-0000352D0000}"/>
    <cellStyle name="_IPPL 31.12.2006 FINAL FINAL FINAL FINAL_IREL_3000_2007-08 2 2" xfId="11574" xr:uid="{00000000-0005-0000-0000-0000362D0000}"/>
    <cellStyle name="_IPPL 31.12.2006 FINAL FINAL FINAL FINAL_IREL_3000_2007-08 3" xfId="11575" xr:uid="{00000000-0005-0000-0000-0000372D0000}"/>
    <cellStyle name="_IPPL 31.12.2006 FINAL FINAL FINAL FINAL_IREL_3000_2007-08_IREL_3000_08-09" xfId="11576" xr:uid="{00000000-0005-0000-0000-0000382D0000}"/>
    <cellStyle name="_IPPL 31.12.2006 FINAL FINAL FINAL FINAL_IREL_3000_2007-08_IREL_3000_08-09 2" xfId="11577" xr:uid="{00000000-0005-0000-0000-0000392D0000}"/>
    <cellStyle name="_IPPL 31.12.2006 FINAL FINAL FINAL FINAL_IRL_5002_2007-08" xfId="11578" xr:uid="{00000000-0005-0000-0000-00003A2D0000}"/>
    <cellStyle name="_IPPL 31.12.2006 FINAL FINAL FINAL FINAL_IRL_5002_2008-09" xfId="11579" xr:uid="{00000000-0005-0000-0000-00003B2D0000}"/>
    <cellStyle name="_IPPL 31.12.2006 FINAL FINAL FINAL FINAL_IRL_October" xfId="11580" xr:uid="{00000000-0005-0000-0000-00003C2D0000}"/>
    <cellStyle name="_IPPL 31.12.2006 FINAL FINAL FINAL FINAL_ISL Group - Advance Tax working for 3rd Instalment" xfId="11581" xr:uid="{00000000-0005-0000-0000-00003D2D0000}"/>
    <cellStyle name="_IPPL 31.12.2006 FINAL FINAL FINAL FINAL_ISL June 09" xfId="11582" xr:uid="{00000000-0005-0000-0000-00003E2D0000}"/>
    <cellStyle name="_IPPL 31.12.2006 FINAL FINAL FINAL FINAL_ISL June 09 2" xfId="11583" xr:uid="{00000000-0005-0000-0000-00003F2D0000}"/>
    <cellStyle name="_IPPL 31.12.2006 FINAL FINAL FINAL FINAL_ISL June 09 2 2" xfId="11584" xr:uid="{00000000-0005-0000-0000-0000402D0000}"/>
    <cellStyle name="_IPPL 31.12.2006 FINAL FINAL FINAL FINAL_ISL June 09 3" xfId="11585" xr:uid="{00000000-0005-0000-0000-0000412D0000}"/>
    <cellStyle name="_IPPL 31.12.2006 FINAL FINAL FINAL FINAL_ISL June 09_ISL__3CD_FY2010-11" xfId="11586" xr:uid="{00000000-0005-0000-0000-0000422D0000}"/>
    <cellStyle name="_IPPL 31.12.2006 FINAL FINAL FINAL FINAL_ISL Rev" xfId="11587" xr:uid="{00000000-0005-0000-0000-0000432D0000}"/>
    <cellStyle name="_IPPL 31.12.2006 FINAL FINAL FINAL FINAL_ISL Rev 2" xfId="11588" xr:uid="{00000000-0005-0000-0000-0000442D0000}"/>
    <cellStyle name="_IPPL 31.12.2006 FINAL FINAL FINAL FINAL_ISL Rev 2 2" xfId="11589" xr:uid="{00000000-0005-0000-0000-0000452D0000}"/>
    <cellStyle name="_IPPL 31.12.2006 FINAL FINAL FINAL FINAL_ISL Rev 3" xfId="11590" xr:uid="{00000000-0005-0000-0000-0000462D0000}"/>
    <cellStyle name="_IPPL 31.12.2006 FINAL FINAL FINAL FINAL_ISL Rev_ISL__3CD_FY2010-11" xfId="11591" xr:uid="{00000000-0005-0000-0000-0000472D0000}"/>
    <cellStyle name="_IPPL 31.12.2006 FINAL FINAL FINAL FINAL_ISL Rev_Results" xfId="11592" xr:uid="{00000000-0005-0000-0000-0000482D0000}"/>
    <cellStyle name="_IPPL 31.12.2006 FINAL FINAL FINAL FINAL_ISL Rev_Results 2" xfId="11593" xr:uid="{00000000-0005-0000-0000-0000492D0000}"/>
    <cellStyle name="_IPPL 31.12.2006 FINAL FINAL FINAL FINAL_ISL Rev_Results 2 2" xfId="11594" xr:uid="{00000000-0005-0000-0000-00004A2D0000}"/>
    <cellStyle name="_IPPL 31.12.2006 FINAL FINAL FINAL FINAL_ISL Rev_Results 3" xfId="11595" xr:uid="{00000000-0005-0000-0000-00004B2D0000}"/>
    <cellStyle name="_IPPL 31.12.2006 FINAL FINAL FINAL FINAL_ISL Rev_Xl0000012" xfId="11596" xr:uid="{00000000-0005-0000-0000-00004C2D0000}"/>
    <cellStyle name="_IPPL 31.12.2006 FINAL FINAL FINAL FINAL_ISL Rev_Xl0000012 2" xfId="11597" xr:uid="{00000000-0005-0000-0000-00004D2D0000}"/>
    <cellStyle name="_IPPL 31.12.2006 FINAL FINAL FINAL FINAL_ISL Rev_Xl0000012 2 2" xfId="11598" xr:uid="{00000000-0005-0000-0000-00004E2D0000}"/>
    <cellStyle name="_IPPL 31.12.2006 FINAL FINAL FINAL FINAL_ISL Rev_Xl0000012 3" xfId="11599" xr:uid="{00000000-0005-0000-0000-00004F2D0000}"/>
    <cellStyle name="_IPPL 31.12.2006 FINAL FINAL FINAL FINAL_ISL_ Adv Tax 2009-10 Q3" xfId="11600" xr:uid="{00000000-0005-0000-0000-0000502D0000}"/>
    <cellStyle name="_IPPL 31.12.2006 FINAL FINAL FINAL FINAL_ISL_BS_03.03.2009" xfId="11601" xr:uid="{00000000-0005-0000-0000-0000512D0000}"/>
    <cellStyle name="_IPPL 31.12.2006 FINAL FINAL FINAL FINAL_ISL_BS_03.03.2009 2" xfId="11602" xr:uid="{00000000-0005-0000-0000-0000522D0000}"/>
    <cellStyle name="_IPPL 31.12.2006 FINAL FINAL FINAL FINAL_ISL_BS_03.03.2009 2 2" xfId="11603" xr:uid="{00000000-0005-0000-0000-0000532D0000}"/>
    <cellStyle name="_IPPL 31.12.2006 FINAL FINAL FINAL FINAL_ISL_BS_03.03.2009 3" xfId="11604" xr:uid="{00000000-0005-0000-0000-0000542D0000}"/>
    <cellStyle name="_IPPL 31.12.2006 FINAL FINAL FINAL FINAL_ISL_BS_03.03.2009_ISL__3CD_FY2010-11" xfId="11605" xr:uid="{00000000-0005-0000-0000-0000552D0000}"/>
    <cellStyle name="_IPPL 31.12.2006 FINAL FINAL FINAL FINAL_ISL_BS_08.03.2009" xfId="11606" xr:uid="{00000000-0005-0000-0000-0000562D0000}"/>
    <cellStyle name="_IPPL 31.12.2006 FINAL FINAL FINAL FINAL_ISL_BS_08.03.2009 2" xfId="11607" xr:uid="{00000000-0005-0000-0000-0000572D0000}"/>
    <cellStyle name="_IPPL 31.12.2006 FINAL FINAL FINAL FINAL_ISL_BS_08.03.2009 2 2" xfId="11608" xr:uid="{00000000-0005-0000-0000-0000582D0000}"/>
    <cellStyle name="_IPPL 31.12.2006 FINAL FINAL FINAL FINAL_ISL_BS_08.03.2009 3" xfId="11609" xr:uid="{00000000-0005-0000-0000-0000592D0000}"/>
    <cellStyle name="_IPPL 31.12.2006 FINAL FINAL FINAL FINAL_ISL_BS_08.03.2009_ISL__3CD_FY2010-11" xfId="11610" xr:uid="{00000000-0005-0000-0000-00005A2D0000}"/>
    <cellStyle name="_IPPL 31.12.2006 FINAL FINAL FINAL FINAL_ISL_BS_15.03.2009" xfId="11611" xr:uid="{00000000-0005-0000-0000-00005B2D0000}"/>
    <cellStyle name="_IPPL 31.12.2006 FINAL FINAL FINAL FINAL_ISL_BS_15.03.2009 2" xfId="11612" xr:uid="{00000000-0005-0000-0000-00005C2D0000}"/>
    <cellStyle name="_IPPL 31.12.2006 FINAL FINAL FINAL FINAL_ISL_BS_15.03.2009 2 2" xfId="11613" xr:uid="{00000000-0005-0000-0000-00005D2D0000}"/>
    <cellStyle name="_IPPL 31.12.2006 FINAL FINAL FINAL FINAL_ISL_BS_15.03.2009 3" xfId="11614" xr:uid="{00000000-0005-0000-0000-00005E2D0000}"/>
    <cellStyle name="_IPPL 31.12.2006 FINAL FINAL FINAL FINAL_ISL_BS_15.03.2009_ISL__3CD_FY2010-11" xfId="11615" xr:uid="{00000000-0005-0000-0000-00005F2D0000}"/>
    <cellStyle name="_IPPL 31.12.2006 FINAL FINAL FINAL FINAL_ISL_BS_2008-09- First Cut" xfId="11616" xr:uid="{00000000-0005-0000-0000-0000602D0000}"/>
    <cellStyle name="_IPPL 31.12.2006 FINAL FINAL FINAL FINAL_ISL_BS_2008-09- First Cut 2" xfId="11617" xr:uid="{00000000-0005-0000-0000-0000612D0000}"/>
    <cellStyle name="_IPPL 31.12.2006 FINAL FINAL FINAL FINAL_ISL_BS_2008-09- First Cut 2 2" xfId="11618" xr:uid="{00000000-0005-0000-0000-0000622D0000}"/>
    <cellStyle name="_IPPL 31.12.2006 FINAL FINAL FINAL FINAL_ISL_BS_2008-09- First Cut 3" xfId="11619" xr:uid="{00000000-0005-0000-0000-0000632D0000}"/>
    <cellStyle name="_IPPL 31.12.2006 FINAL FINAL FINAL FINAL_ISL_BS_2008-09- First Cut_ISL__3CD_FY2010-11" xfId="11620" xr:uid="{00000000-0005-0000-0000-0000642D0000}"/>
    <cellStyle name="_IPPL 31.12.2006 FINAL FINAL FINAL FINAL_ISL_BS_21.09.2009" xfId="11621" xr:uid="{00000000-0005-0000-0000-0000652D0000}"/>
    <cellStyle name="_IPPL 31.12.2006 FINAL FINAL FINAL FINAL_ISL_BS_21.09.2009 2" xfId="11622" xr:uid="{00000000-0005-0000-0000-0000662D0000}"/>
    <cellStyle name="_IPPL 31.12.2006 FINAL FINAL FINAL FINAL_ISL_BS_21.09.2009 2 2" xfId="11623" xr:uid="{00000000-0005-0000-0000-0000672D0000}"/>
    <cellStyle name="_IPPL 31.12.2006 FINAL FINAL FINAL FINAL_ISL_BS_21.09.2009 3" xfId="11624" xr:uid="{00000000-0005-0000-0000-0000682D0000}"/>
    <cellStyle name="_IPPL 31.12.2006 FINAL FINAL FINAL FINAL_ISL_BS_23.02.2009" xfId="11625" xr:uid="{00000000-0005-0000-0000-0000692D0000}"/>
    <cellStyle name="_IPPL 31.12.2006 FINAL FINAL FINAL FINAL_ISL_BS_23.02.2009 2" xfId="11626" xr:uid="{00000000-0005-0000-0000-00006A2D0000}"/>
    <cellStyle name="_IPPL 31.12.2006 FINAL FINAL FINAL FINAL_ISL_BS_23.02.2009 2 2" xfId="11627" xr:uid="{00000000-0005-0000-0000-00006B2D0000}"/>
    <cellStyle name="_IPPL 31.12.2006 FINAL FINAL FINAL FINAL_ISL_BS_23.02.2009 3" xfId="11628" xr:uid="{00000000-0005-0000-0000-00006C2D0000}"/>
    <cellStyle name="_IPPL 31.12.2006 FINAL FINAL FINAL FINAL_ISL_BS_23.02.2009_ISL__3CD_FY2010-11" xfId="11629" xr:uid="{00000000-0005-0000-0000-00006D2D0000}"/>
    <cellStyle name="_IPPL 31.12.2006 FINAL FINAL FINAL FINAL_ISL_BS_24.02.2009" xfId="11630" xr:uid="{00000000-0005-0000-0000-00006E2D0000}"/>
    <cellStyle name="_IPPL 31.12.2006 FINAL FINAL FINAL FINAL_ISL_BS_24.02.2009 2" xfId="11631" xr:uid="{00000000-0005-0000-0000-00006F2D0000}"/>
    <cellStyle name="_IPPL 31.12.2006 FINAL FINAL FINAL FINAL_ISL_BS_24.02.2009 2 2" xfId="11632" xr:uid="{00000000-0005-0000-0000-0000702D0000}"/>
    <cellStyle name="_IPPL 31.12.2006 FINAL FINAL FINAL FINAL_ISL_BS_24.02.2009 3" xfId="11633" xr:uid="{00000000-0005-0000-0000-0000712D0000}"/>
    <cellStyle name="_IPPL 31.12.2006 FINAL FINAL FINAL FINAL_ISL_BS_24.02.2009_ISL__3CD_FY2010-11" xfId="11634" xr:uid="{00000000-0005-0000-0000-0000722D0000}"/>
    <cellStyle name="_IPPL 31.12.2006 FINAL FINAL FINAL FINAL_ISL_BS_Aug 09" xfId="11635" xr:uid="{00000000-0005-0000-0000-0000732D0000}"/>
    <cellStyle name="_IPPL 31.12.2006 FINAL FINAL FINAL FINAL_ISL_BS_Aug 09 2" xfId="11636" xr:uid="{00000000-0005-0000-0000-0000742D0000}"/>
    <cellStyle name="_IPPL 31.12.2006 FINAL FINAL FINAL FINAL_ISL_BS_Aug 09 2 2" xfId="11637" xr:uid="{00000000-0005-0000-0000-0000752D0000}"/>
    <cellStyle name="_IPPL 31.12.2006 FINAL FINAL FINAL FINAL_ISL_BS_Aug 09 3" xfId="11638" xr:uid="{00000000-0005-0000-0000-0000762D0000}"/>
    <cellStyle name="_IPPL 31.12.2006 FINAL FINAL FINAL FINAL_ISL_BS_Aug 09.z" xfId="11639" xr:uid="{00000000-0005-0000-0000-0000772D0000}"/>
    <cellStyle name="_IPPL 31.12.2006 FINAL FINAL FINAL FINAL_ISL_BS_Aug 09.z 2" xfId="11640" xr:uid="{00000000-0005-0000-0000-0000782D0000}"/>
    <cellStyle name="_IPPL 31.12.2006 FINAL FINAL FINAL FINAL_ISL_BS_Aug 09.z 2 2" xfId="11641" xr:uid="{00000000-0005-0000-0000-0000792D0000}"/>
    <cellStyle name="_IPPL 31.12.2006 FINAL FINAL FINAL FINAL_ISL_BS_Aug 09.z 3" xfId="11642" xr:uid="{00000000-0005-0000-0000-00007A2D0000}"/>
    <cellStyle name="_IPPL 31.12.2006 FINAL FINAL FINAL FINAL_ISL_BS_Aug 09.z_ISL__3CD_FY2010-11" xfId="11643" xr:uid="{00000000-0005-0000-0000-00007B2D0000}"/>
    <cellStyle name="_IPPL 31.12.2006 FINAL FINAL FINAL FINAL_ISL_BS_Aug 09_ISL__3CD_FY2010-11" xfId="11644" xr:uid="{00000000-0005-0000-0000-00007C2D0000}"/>
    <cellStyle name="_IPPL 31.12.2006 FINAL FINAL FINAL FINAL_ISL_Conso_09_10_Other working" xfId="11645" xr:uid="{00000000-0005-0000-0000-00007D2D0000}"/>
    <cellStyle name="_IPPL 31.12.2006 FINAL FINAL FINAL FINAL_ISL_Conso_09_10_Other working 2" xfId="11646" xr:uid="{00000000-0005-0000-0000-00007E2D0000}"/>
    <cellStyle name="_IPPL 31.12.2006 FINAL FINAL FINAL FINAL_ISL_Conso_09_10_Other working 2 2" xfId="11647" xr:uid="{00000000-0005-0000-0000-00007F2D0000}"/>
    <cellStyle name="_IPPL 31.12.2006 FINAL FINAL FINAL FINAL_ISL_Conso_09_10_Other working 3" xfId="11648" xr:uid="{00000000-0005-0000-0000-0000802D0000}"/>
    <cellStyle name="_IPPL 31.12.2006 FINAL FINAL FINAL FINAL_ISL_conso_August_09_10" xfId="11649" xr:uid="{00000000-0005-0000-0000-0000812D0000}"/>
    <cellStyle name="_IPPL 31.12.2006 FINAL FINAL FINAL FINAL_ISL_conso_August_09_10 2" xfId="11650" xr:uid="{00000000-0005-0000-0000-0000822D0000}"/>
    <cellStyle name="_IPPL 31.12.2006 FINAL FINAL FINAL FINAL_ISL_conso_August_09_10 2 2" xfId="11651" xr:uid="{00000000-0005-0000-0000-0000832D0000}"/>
    <cellStyle name="_IPPL 31.12.2006 FINAL FINAL FINAL FINAL_ISL_conso_August_09_10 3" xfId="11652" xr:uid="{00000000-0005-0000-0000-0000842D0000}"/>
    <cellStyle name="_IPPL 31.12.2006 FINAL FINAL FINAL FINAL_ISL_conso_August_09_10_ISL__3CD_FY2010-11" xfId="11653" xr:uid="{00000000-0005-0000-0000-0000852D0000}"/>
    <cellStyle name="_IPPL 31.12.2006 FINAL FINAL FINAL FINAL_ISL_conso_August_10_11" xfId="11654" xr:uid="{00000000-0005-0000-0000-0000862D0000}"/>
    <cellStyle name="_IPPL 31.12.2006 FINAL FINAL FINAL FINAL_ISL_conso_August_10_11 2" xfId="11655" xr:uid="{00000000-0005-0000-0000-0000872D0000}"/>
    <cellStyle name="_IPPL 31.12.2006 FINAL FINAL FINAL FINAL_ISL_conso_August_10_11 2 2" xfId="11656" xr:uid="{00000000-0005-0000-0000-0000882D0000}"/>
    <cellStyle name="_IPPL 31.12.2006 FINAL FINAL FINAL FINAL_ISL_conso_August_10_11 3" xfId="11657" xr:uid="{00000000-0005-0000-0000-0000892D0000}"/>
    <cellStyle name="_IPPL 31.12.2006 FINAL FINAL FINAL FINAL_ISL_conso_December_08_09" xfId="11658" xr:uid="{00000000-0005-0000-0000-00008A2D0000}"/>
    <cellStyle name="_IPPL 31.12.2006 FINAL FINAL FINAL FINAL_ISL_conso_December_08_09 2" xfId="11659" xr:uid="{00000000-0005-0000-0000-00008B2D0000}"/>
    <cellStyle name="_IPPL 31.12.2006 FINAL FINAL FINAL FINAL_ISL_conso_December_08_09 2 2" xfId="11660" xr:uid="{00000000-0005-0000-0000-00008C2D0000}"/>
    <cellStyle name="_IPPL 31.12.2006 FINAL FINAL FINAL FINAL_ISL_conso_December_08_09 3" xfId="11661" xr:uid="{00000000-0005-0000-0000-00008D2D0000}"/>
    <cellStyle name="_IPPL 31.12.2006 FINAL FINAL FINAL FINAL_ISL_conso_December_08_09_ISL__3CD_FY2010-11" xfId="11662" xr:uid="{00000000-0005-0000-0000-00008E2D0000}"/>
    <cellStyle name="_IPPL 31.12.2006 FINAL FINAL FINAL FINAL_ISL_conso_December_08_09_Results" xfId="11663" xr:uid="{00000000-0005-0000-0000-00008F2D0000}"/>
    <cellStyle name="_IPPL 31.12.2006 FINAL FINAL FINAL FINAL_ISL_conso_December_08_09_Results 2" xfId="11664" xr:uid="{00000000-0005-0000-0000-0000902D0000}"/>
    <cellStyle name="_IPPL 31.12.2006 FINAL FINAL FINAL FINAL_ISL_conso_December_08_09_Results 2 2" xfId="11665" xr:uid="{00000000-0005-0000-0000-0000912D0000}"/>
    <cellStyle name="_IPPL 31.12.2006 FINAL FINAL FINAL FINAL_ISL_conso_December_08_09_Results 3" xfId="11666" xr:uid="{00000000-0005-0000-0000-0000922D0000}"/>
    <cellStyle name="_IPPL 31.12.2006 FINAL FINAL FINAL FINAL_ISL_conso_December_08_09_Xl0000012" xfId="11667" xr:uid="{00000000-0005-0000-0000-0000932D0000}"/>
    <cellStyle name="_IPPL 31.12.2006 FINAL FINAL FINAL FINAL_ISL_conso_December_08_09_Xl0000012 2" xfId="11668" xr:uid="{00000000-0005-0000-0000-0000942D0000}"/>
    <cellStyle name="_IPPL 31.12.2006 FINAL FINAL FINAL FINAL_ISL_conso_December_08_09_Xl0000012 2 2" xfId="11669" xr:uid="{00000000-0005-0000-0000-0000952D0000}"/>
    <cellStyle name="_IPPL 31.12.2006 FINAL FINAL FINAL FINAL_ISL_conso_December_08_09_Xl0000012 3" xfId="11670" xr:uid="{00000000-0005-0000-0000-0000962D0000}"/>
    <cellStyle name="_IPPL 31.12.2006 FINAL FINAL FINAL FINAL_ISL_conso_December_09_10" xfId="11671" xr:uid="{00000000-0005-0000-0000-0000972D0000}"/>
    <cellStyle name="_IPPL 31.12.2006 FINAL FINAL FINAL FINAL_ISL_conso_December_09_10 2" xfId="11672" xr:uid="{00000000-0005-0000-0000-0000982D0000}"/>
    <cellStyle name="_IPPL 31.12.2006 FINAL FINAL FINAL FINAL_ISL_conso_December_09_10 2 2" xfId="11673" xr:uid="{00000000-0005-0000-0000-0000992D0000}"/>
    <cellStyle name="_IPPL 31.12.2006 FINAL FINAL FINAL FINAL_ISL_conso_December_09_10 3" xfId="11674" xr:uid="{00000000-0005-0000-0000-00009A2D0000}"/>
    <cellStyle name="_IPPL 31.12.2006 FINAL FINAL FINAL FINAL_ISL_conso_December_09_10_ISL__3CD_FY2010-11" xfId="11675" xr:uid="{00000000-0005-0000-0000-00009B2D0000}"/>
    <cellStyle name="_IPPL 31.12.2006 FINAL FINAL FINAL FINAL_ISL_conso_December_10_11" xfId="11676" xr:uid="{00000000-0005-0000-0000-00009C2D0000}"/>
    <cellStyle name="_IPPL 31.12.2006 FINAL FINAL FINAL FINAL_ISL_conso_December_10_11 2" xfId="11677" xr:uid="{00000000-0005-0000-0000-00009D2D0000}"/>
    <cellStyle name="_IPPL 31.12.2006 FINAL FINAL FINAL FINAL_ISL_conso_December_10_11 2 2" xfId="11678" xr:uid="{00000000-0005-0000-0000-00009E2D0000}"/>
    <cellStyle name="_IPPL 31.12.2006 FINAL FINAL FINAL FINAL_ISL_conso_December_10_11 3" xfId="11679" xr:uid="{00000000-0005-0000-0000-00009F2D0000}"/>
    <cellStyle name="_IPPL 31.12.2006 FINAL FINAL FINAL FINAL_ISL_conso_February_09_10" xfId="11680" xr:uid="{00000000-0005-0000-0000-0000A02D0000}"/>
    <cellStyle name="_IPPL 31.12.2006 FINAL FINAL FINAL FINAL_ISL_conso_February_09_10 2" xfId="11681" xr:uid="{00000000-0005-0000-0000-0000A12D0000}"/>
    <cellStyle name="_IPPL 31.12.2006 FINAL FINAL FINAL FINAL_ISL_conso_February_09_10 2 2" xfId="11682" xr:uid="{00000000-0005-0000-0000-0000A22D0000}"/>
    <cellStyle name="_IPPL 31.12.2006 FINAL FINAL FINAL FINAL_ISL_conso_February_09_10 3" xfId="11683" xr:uid="{00000000-0005-0000-0000-0000A32D0000}"/>
    <cellStyle name="_IPPL 31.12.2006 FINAL FINAL FINAL FINAL_ISL_conso_January_09_10" xfId="11684" xr:uid="{00000000-0005-0000-0000-0000A42D0000}"/>
    <cellStyle name="_IPPL 31.12.2006 FINAL FINAL FINAL FINAL_ISL_conso_January_09_10 2" xfId="11685" xr:uid="{00000000-0005-0000-0000-0000A52D0000}"/>
    <cellStyle name="_IPPL 31.12.2006 FINAL FINAL FINAL FINAL_ISL_conso_January_09_10 2 2" xfId="11686" xr:uid="{00000000-0005-0000-0000-0000A62D0000}"/>
    <cellStyle name="_IPPL 31.12.2006 FINAL FINAL FINAL FINAL_ISL_conso_January_09_10 3" xfId="11687" xr:uid="{00000000-0005-0000-0000-0000A72D0000}"/>
    <cellStyle name="_IPPL 31.12.2006 FINAL FINAL FINAL FINAL_ISL_conso_July_08_09" xfId="11688" xr:uid="{00000000-0005-0000-0000-0000A82D0000}"/>
    <cellStyle name="_IPPL 31.12.2006 FINAL FINAL FINAL FINAL_ISL_conso_July_08_09 2" xfId="11689" xr:uid="{00000000-0005-0000-0000-0000A92D0000}"/>
    <cellStyle name="_IPPL 31.12.2006 FINAL FINAL FINAL FINAL_ISL_conso_July_08_09 2 2" xfId="11690" xr:uid="{00000000-0005-0000-0000-0000AA2D0000}"/>
    <cellStyle name="_IPPL 31.12.2006 FINAL FINAL FINAL FINAL_ISL_conso_July_08_09 3" xfId="11691" xr:uid="{00000000-0005-0000-0000-0000AB2D0000}"/>
    <cellStyle name="_IPPL 31.12.2006 FINAL FINAL FINAL FINAL_ISL_conso_July_08_09_ISL__3CD_FY2010-11" xfId="11692" xr:uid="{00000000-0005-0000-0000-0000AC2D0000}"/>
    <cellStyle name="_IPPL 31.12.2006 FINAL FINAL FINAL FINAL_ISL_conso_July_08_09_Results" xfId="11693" xr:uid="{00000000-0005-0000-0000-0000AD2D0000}"/>
    <cellStyle name="_IPPL 31.12.2006 FINAL FINAL FINAL FINAL_ISL_conso_July_08_09_Results 2" xfId="11694" xr:uid="{00000000-0005-0000-0000-0000AE2D0000}"/>
    <cellStyle name="_IPPL 31.12.2006 FINAL FINAL FINAL FINAL_ISL_conso_July_08_09_Results 2 2" xfId="11695" xr:uid="{00000000-0005-0000-0000-0000AF2D0000}"/>
    <cellStyle name="_IPPL 31.12.2006 FINAL FINAL FINAL FINAL_ISL_conso_July_08_09_Results 3" xfId="11696" xr:uid="{00000000-0005-0000-0000-0000B02D0000}"/>
    <cellStyle name="_IPPL 31.12.2006 FINAL FINAL FINAL FINAL_ISL_conso_July_08_09_Xl0000012" xfId="11697" xr:uid="{00000000-0005-0000-0000-0000B12D0000}"/>
    <cellStyle name="_IPPL 31.12.2006 FINAL FINAL FINAL FINAL_ISL_conso_July_08_09_Xl0000012 2" xfId="11698" xr:uid="{00000000-0005-0000-0000-0000B22D0000}"/>
    <cellStyle name="_IPPL 31.12.2006 FINAL FINAL FINAL FINAL_ISL_conso_July_08_09_Xl0000012 2 2" xfId="11699" xr:uid="{00000000-0005-0000-0000-0000B32D0000}"/>
    <cellStyle name="_IPPL 31.12.2006 FINAL FINAL FINAL FINAL_ISL_conso_July_08_09_Xl0000012 3" xfId="11700" xr:uid="{00000000-0005-0000-0000-0000B42D0000}"/>
    <cellStyle name="_IPPL 31.12.2006 FINAL FINAL FINAL FINAL_ISL_conso_July_09_10" xfId="11701" xr:uid="{00000000-0005-0000-0000-0000B52D0000}"/>
    <cellStyle name="_IPPL 31.12.2006 FINAL FINAL FINAL FINAL_ISL_conso_July_09_10 2" xfId="11702" xr:uid="{00000000-0005-0000-0000-0000B62D0000}"/>
    <cellStyle name="_IPPL 31.12.2006 FINAL FINAL FINAL FINAL_ISL_conso_July_09_10 2 2" xfId="11703" xr:uid="{00000000-0005-0000-0000-0000B72D0000}"/>
    <cellStyle name="_IPPL 31.12.2006 FINAL FINAL FINAL FINAL_ISL_conso_July_09_10 3" xfId="11704" xr:uid="{00000000-0005-0000-0000-0000B82D0000}"/>
    <cellStyle name="_IPPL 31.12.2006 FINAL FINAL FINAL FINAL_ISL_conso_July_09_10_ISL__3CD_FY2010-11" xfId="11705" xr:uid="{00000000-0005-0000-0000-0000B92D0000}"/>
    <cellStyle name="_IPPL 31.12.2006 FINAL FINAL FINAL FINAL_ISL_conso_July_10_11" xfId="11706" xr:uid="{00000000-0005-0000-0000-0000BA2D0000}"/>
    <cellStyle name="_IPPL 31.12.2006 FINAL FINAL FINAL FINAL_ISL_conso_July_10_11 2" xfId="11707" xr:uid="{00000000-0005-0000-0000-0000BB2D0000}"/>
    <cellStyle name="_IPPL 31.12.2006 FINAL FINAL FINAL FINAL_ISL_conso_July_10_11 2 2" xfId="11708" xr:uid="{00000000-0005-0000-0000-0000BC2D0000}"/>
    <cellStyle name="_IPPL 31.12.2006 FINAL FINAL FINAL FINAL_ISL_conso_July_10_11 3" xfId="11709" xr:uid="{00000000-0005-0000-0000-0000BD2D0000}"/>
    <cellStyle name="_IPPL 31.12.2006 FINAL FINAL FINAL FINAL_ISL_conso_June_09_10" xfId="11710" xr:uid="{00000000-0005-0000-0000-0000BE2D0000}"/>
    <cellStyle name="_IPPL 31.12.2006 FINAL FINAL FINAL FINAL_ISL_conso_June_09_10 2" xfId="11711" xr:uid="{00000000-0005-0000-0000-0000BF2D0000}"/>
    <cellStyle name="_IPPL 31.12.2006 FINAL FINAL FINAL FINAL_ISL_conso_June_09_10 2 2" xfId="11712" xr:uid="{00000000-0005-0000-0000-0000C02D0000}"/>
    <cellStyle name="_IPPL 31.12.2006 FINAL FINAL FINAL FINAL_ISL_conso_June_09_10 3" xfId="11713" xr:uid="{00000000-0005-0000-0000-0000C12D0000}"/>
    <cellStyle name="_IPPL 31.12.2006 FINAL FINAL FINAL FINAL_ISL_conso_June_09_10_ISL__3CD_FY2010-11" xfId="11714" xr:uid="{00000000-0005-0000-0000-0000C22D0000}"/>
    <cellStyle name="_IPPL 31.12.2006 FINAL FINAL FINAL FINAL_ISL_conso_June_10_11" xfId="11715" xr:uid="{00000000-0005-0000-0000-0000C32D0000}"/>
    <cellStyle name="_IPPL 31.12.2006 FINAL FINAL FINAL FINAL_ISL_conso_June_10_11 2" xfId="11716" xr:uid="{00000000-0005-0000-0000-0000C42D0000}"/>
    <cellStyle name="_IPPL 31.12.2006 FINAL FINAL FINAL FINAL_ISL_conso_June_10_11 2 2" xfId="11717" xr:uid="{00000000-0005-0000-0000-0000C52D0000}"/>
    <cellStyle name="_IPPL 31.12.2006 FINAL FINAL FINAL FINAL_ISL_conso_June_10_11 3" xfId="11718" xr:uid="{00000000-0005-0000-0000-0000C62D0000}"/>
    <cellStyle name="_IPPL 31.12.2006 FINAL FINAL FINAL FINAL_ISL_conso_March_08_09" xfId="11719" xr:uid="{00000000-0005-0000-0000-0000C72D0000}"/>
    <cellStyle name="_IPPL 31.12.2006 FINAL FINAL FINAL FINAL_ISL_conso_March_08_09 2" xfId="11720" xr:uid="{00000000-0005-0000-0000-0000C82D0000}"/>
    <cellStyle name="_IPPL 31.12.2006 FINAL FINAL FINAL FINAL_ISL_conso_March_08_09 2 2" xfId="11721" xr:uid="{00000000-0005-0000-0000-0000C92D0000}"/>
    <cellStyle name="_IPPL 31.12.2006 FINAL FINAL FINAL FINAL_ISL_conso_March_08_09 3" xfId="11722" xr:uid="{00000000-0005-0000-0000-0000CA2D0000}"/>
    <cellStyle name="_IPPL 31.12.2006 FINAL FINAL FINAL FINAL_ISL_conso_March_08_09_ISL__3CD_FY2010-11" xfId="11723" xr:uid="{00000000-0005-0000-0000-0000CB2D0000}"/>
    <cellStyle name="_IPPL 31.12.2006 FINAL FINAL FINAL FINAL_ISL_conso_March_09_10" xfId="11724" xr:uid="{00000000-0005-0000-0000-0000CC2D0000}"/>
    <cellStyle name="_IPPL 31.12.2006 FINAL FINAL FINAL FINAL_ISL_conso_March_09_10 2" xfId="11725" xr:uid="{00000000-0005-0000-0000-0000CD2D0000}"/>
    <cellStyle name="_IPPL 31.12.2006 FINAL FINAL FINAL FINAL_ISL_conso_March_09_10 2 2" xfId="11726" xr:uid="{00000000-0005-0000-0000-0000CE2D0000}"/>
    <cellStyle name="_IPPL 31.12.2006 FINAL FINAL FINAL FINAL_ISL_conso_March_09_10 3" xfId="11727" xr:uid="{00000000-0005-0000-0000-0000CF2D0000}"/>
    <cellStyle name="_IPPL 31.12.2006 FINAL FINAL FINAL FINAL_ISL_conso_May_09_10" xfId="11728" xr:uid="{00000000-0005-0000-0000-0000D02D0000}"/>
    <cellStyle name="_IPPL 31.12.2006 FINAL FINAL FINAL FINAL_ISL_conso_May_09_10 2" xfId="11729" xr:uid="{00000000-0005-0000-0000-0000D12D0000}"/>
    <cellStyle name="_IPPL 31.12.2006 FINAL FINAL FINAL FINAL_ISL_conso_May_09_10 2 2" xfId="11730" xr:uid="{00000000-0005-0000-0000-0000D22D0000}"/>
    <cellStyle name="_IPPL 31.12.2006 FINAL FINAL FINAL FINAL_ISL_conso_May_09_10 3" xfId="11731" xr:uid="{00000000-0005-0000-0000-0000D32D0000}"/>
    <cellStyle name="_IPPL 31.12.2006 FINAL FINAL FINAL FINAL_ISL_conso_May_09_10_ISL__3CD_FY2010-11" xfId="11732" xr:uid="{00000000-0005-0000-0000-0000D42D0000}"/>
    <cellStyle name="_IPPL 31.12.2006 FINAL FINAL FINAL FINAL_ISL_conso_May_10_11" xfId="11733" xr:uid="{00000000-0005-0000-0000-0000D52D0000}"/>
    <cellStyle name="_IPPL 31.12.2006 FINAL FINAL FINAL FINAL_ISL_conso_May_10_11 2" xfId="11734" xr:uid="{00000000-0005-0000-0000-0000D62D0000}"/>
    <cellStyle name="_IPPL 31.12.2006 FINAL FINAL FINAL FINAL_ISL_conso_May_10_11 2 2" xfId="11735" xr:uid="{00000000-0005-0000-0000-0000D72D0000}"/>
    <cellStyle name="_IPPL 31.12.2006 FINAL FINAL FINAL FINAL_ISL_conso_May_10_11 3" xfId="11736" xr:uid="{00000000-0005-0000-0000-0000D82D0000}"/>
    <cellStyle name="_IPPL 31.12.2006 FINAL FINAL FINAL FINAL_ISL_conso_November_09_10" xfId="11737" xr:uid="{00000000-0005-0000-0000-0000D92D0000}"/>
    <cellStyle name="_IPPL 31.12.2006 FINAL FINAL FINAL FINAL_ISL_conso_November_09_10 2" xfId="11738" xr:uid="{00000000-0005-0000-0000-0000DA2D0000}"/>
    <cellStyle name="_IPPL 31.12.2006 FINAL FINAL FINAL FINAL_ISL_conso_November_09_10 2 2" xfId="11739" xr:uid="{00000000-0005-0000-0000-0000DB2D0000}"/>
    <cellStyle name="_IPPL 31.12.2006 FINAL FINAL FINAL FINAL_ISL_conso_November_09_10 3" xfId="11740" xr:uid="{00000000-0005-0000-0000-0000DC2D0000}"/>
    <cellStyle name="_IPPL 31.12.2006 FINAL FINAL FINAL FINAL_ISL_conso_November_09_10_ISL__3CD_FY2010-11" xfId="11741" xr:uid="{00000000-0005-0000-0000-0000DD2D0000}"/>
    <cellStyle name="_IPPL 31.12.2006 FINAL FINAL FINAL FINAL_ISL_conso_November_10_11" xfId="11742" xr:uid="{00000000-0005-0000-0000-0000DE2D0000}"/>
    <cellStyle name="_IPPL 31.12.2006 FINAL FINAL FINAL FINAL_ISL_conso_November_10_11 2" xfId="11743" xr:uid="{00000000-0005-0000-0000-0000DF2D0000}"/>
    <cellStyle name="_IPPL 31.12.2006 FINAL FINAL FINAL FINAL_ISL_conso_November_10_11 2 2" xfId="11744" xr:uid="{00000000-0005-0000-0000-0000E02D0000}"/>
    <cellStyle name="_IPPL 31.12.2006 FINAL FINAL FINAL FINAL_ISL_conso_November_10_11 3" xfId="11745" xr:uid="{00000000-0005-0000-0000-0000E12D0000}"/>
    <cellStyle name="_IPPL 31.12.2006 FINAL FINAL FINAL FINAL_ISL_conso_October_09_10" xfId="11746" xr:uid="{00000000-0005-0000-0000-0000E22D0000}"/>
    <cellStyle name="_IPPL 31.12.2006 FINAL FINAL FINAL FINAL_ISL_conso_October_09_10 2" xfId="11747" xr:uid="{00000000-0005-0000-0000-0000E32D0000}"/>
    <cellStyle name="_IPPL 31.12.2006 FINAL FINAL FINAL FINAL_ISL_conso_October_09_10 2 2" xfId="11748" xr:uid="{00000000-0005-0000-0000-0000E42D0000}"/>
    <cellStyle name="_IPPL 31.12.2006 FINAL FINAL FINAL FINAL_ISL_conso_October_09_10 3" xfId="11749" xr:uid="{00000000-0005-0000-0000-0000E52D0000}"/>
    <cellStyle name="_IPPL 31.12.2006 FINAL FINAL FINAL FINAL_ISL_conso_October_09_10_ISL__3CD_FY2010-11" xfId="11750" xr:uid="{00000000-0005-0000-0000-0000E62D0000}"/>
    <cellStyle name="_IPPL 31.12.2006 FINAL FINAL FINAL FINAL_ISL_conso_October_10_11" xfId="11751" xr:uid="{00000000-0005-0000-0000-0000E72D0000}"/>
    <cellStyle name="_IPPL 31.12.2006 FINAL FINAL FINAL FINAL_ISL_conso_October_10_11 2" xfId="11752" xr:uid="{00000000-0005-0000-0000-0000E82D0000}"/>
    <cellStyle name="_IPPL 31.12.2006 FINAL FINAL FINAL FINAL_ISL_conso_October_10_11 2 2" xfId="11753" xr:uid="{00000000-0005-0000-0000-0000E92D0000}"/>
    <cellStyle name="_IPPL 31.12.2006 FINAL FINAL FINAL FINAL_ISL_conso_October_10_11 3" xfId="11754" xr:uid="{00000000-0005-0000-0000-0000EA2D0000}"/>
    <cellStyle name="_IPPL 31.12.2006 FINAL FINAL FINAL FINAL_ISL_conso_September_08_09" xfId="11755" xr:uid="{00000000-0005-0000-0000-0000EB2D0000}"/>
    <cellStyle name="_IPPL 31.12.2006 FINAL FINAL FINAL FINAL_ISL_conso_September_08_09 2" xfId="11756" xr:uid="{00000000-0005-0000-0000-0000EC2D0000}"/>
    <cellStyle name="_IPPL 31.12.2006 FINAL FINAL FINAL FINAL_ISL_conso_September_08_09 2 2" xfId="11757" xr:uid="{00000000-0005-0000-0000-0000ED2D0000}"/>
    <cellStyle name="_IPPL 31.12.2006 FINAL FINAL FINAL FINAL_ISL_conso_September_08_09 3" xfId="11758" xr:uid="{00000000-0005-0000-0000-0000EE2D0000}"/>
    <cellStyle name="_IPPL 31.12.2006 FINAL FINAL FINAL FINAL_ISL_conso_September_08_09_ISL__3CD_FY2010-11" xfId="11759" xr:uid="{00000000-0005-0000-0000-0000EF2D0000}"/>
    <cellStyle name="_IPPL 31.12.2006 FINAL FINAL FINAL FINAL_ISL_conso_September_08_09_Results" xfId="11760" xr:uid="{00000000-0005-0000-0000-0000F02D0000}"/>
    <cellStyle name="_IPPL 31.12.2006 FINAL FINAL FINAL FINAL_ISL_conso_September_08_09_Results 2" xfId="11761" xr:uid="{00000000-0005-0000-0000-0000F12D0000}"/>
    <cellStyle name="_IPPL 31.12.2006 FINAL FINAL FINAL FINAL_ISL_conso_September_08_09_Results 2 2" xfId="11762" xr:uid="{00000000-0005-0000-0000-0000F22D0000}"/>
    <cellStyle name="_IPPL 31.12.2006 FINAL FINAL FINAL FINAL_ISL_conso_September_08_09_Results 3" xfId="11763" xr:uid="{00000000-0005-0000-0000-0000F32D0000}"/>
    <cellStyle name="_IPPL 31.12.2006 FINAL FINAL FINAL FINAL_ISL_conso_September_08_09_Xl0000012" xfId="11764" xr:uid="{00000000-0005-0000-0000-0000F42D0000}"/>
    <cellStyle name="_IPPL 31.12.2006 FINAL FINAL FINAL FINAL_ISL_conso_September_08_09_Xl0000012 2" xfId="11765" xr:uid="{00000000-0005-0000-0000-0000F52D0000}"/>
    <cellStyle name="_IPPL 31.12.2006 FINAL FINAL FINAL FINAL_ISL_conso_September_08_09_Xl0000012 2 2" xfId="11766" xr:uid="{00000000-0005-0000-0000-0000F62D0000}"/>
    <cellStyle name="_IPPL 31.12.2006 FINAL FINAL FINAL FINAL_ISL_conso_September_08_09_Xl0000012 3" xfId="11767" xr:uid="{00000000-0005-0000-0000-0000F72D0000}"/>
    <cellStyle name="_IPPL 31.12.2006 FINAL FINAL FINAL FINAL_ISL_conso_September_09_10" xfId="11768" xr:uid="{00000000-0005-0000-0000-0000F82D0000}"/>
    <cellStyle name="_IPPL 31.12.2006 FINAL FINAL FINAL FINAL_ISL_conso_September_09_10 2" xfId="11769" xr:uid="{00000000-0005-0000-0000-0000F92D0000}"/>
    <cellStyle name="_IPPL 31.12.2006 FINAL FINAL FINAL FINAL_ISL_conso_September_09_10 2 2" xfId="11770" xr:uid="{00000000-0005-0000-0000-0000FA2D0000}"/>
    <cellStyle name="_IPPL 31.12.2006 FINAL FINAL FINAL FINAL_ISL_conso_September_09_10 3" xfId="11771" xr:uid="{00000000-0005-0000-0000-0000FB2D0000}"/>
    <cellStyle name="_IPPL 31.12.2006 FINAL FINAL FINAL FINAL_ISL_conso_September_09_10_ISL__3CD_FY2010-11" xfId="11772" xr:uid="{00000000-0005-0000-0000-0000FC2D0000}"/>
    <cellStyle name="_IPPL 31.12.2006 FINAL FINAL FINAL FINAL_ISL_conso_September_10_11" xfId="11773" xr:uid="{00000000-0005-0000-0000-0000FD2D0000}"/>
    <cellStyle name="_IPPL 31.12.2006 FINAL FINAL FINAL FINAL_ISL_conso_September_10_11 2" xfId="11774" xr:uid="{00000000-0005-0000-0000-0000FE2D0000}"/>
    <cellStyle name="_IPPL 31.12.2006 FINAL FINAL FINAL FINAL_ISL_conso_September_10_11 2 2" xfId="11775" xr:uid="{00000000-0005-0000-0000-0000FF2D0000}"/>
    <cellStyle name="_IPPL 31.12.2006 FINAL FINAL FINAL FINAL_ISL_conso_September_10_11 3" xfId="11776" xr:uid="{00000000-0005-0000-0000-0000002E0000}"/>
    <cellStyle name="_IPPL 31.12.2006 FINAL FINAL FINAL FINAL_ISL_June_10" xfId="11777" xr:uid="{00000000-0005-0000-0000-0000012E0000}"/>
    <cellStyle name="_IPPL 31.12.2006 FINAL FINAL FINAL FINAL_ISL_June_10 2" xfId="11778" xr:uid="{00000000-0005-0000-0000-0000022E0000}"/>
    <cellStyle name="_IPPL 31.12.2006 FINAL FINAL FINAL FINAL_ISL_June_10 2 2" xfId="11779" xr:uid="{00000000-0005-0000-0000-0000032E0000}"/>
    <cellStyle name="_IPPL 31.12.2006 FINAL FINAL FINAL FINAL_ISL_June_10 3" xfId="11780" xr:uid="{00000000-0005-0000-0000-0000042E0000}"/>
    <cellStyle name="_IPPL 31.12.2006 FINAL FINAL FINAL FINAL_ISL_MAR_2008_09" xfId="11781" xr:uid="{00000000-0005-0000-0000-0000052E0000}"/>
    <cellStyle name="_IPPL 31.12.2006 FINAL FINAL FINAL FINAL_ISL_MAR_2008_09 2" xfId="11782" xr:uid="{00000000-0005-0000-0000-0000062E0000}"/>
    <cellStyle name="_IPPL 31.12.2006 FINAL FINAL FINAL FINAL_ISL_March_08_09.final_11.12.2009" xfId="11783" xr:uid="{00000000-0005-0000-0000-0000072E0000}"/>
    <cellStyle name="_IPPL 31.12.2006 FINAL FINAL FINAL FINAL_ISL_March_08_09.final_11.12.2009_ISL__3CD_FY2010-11" xfId="11784" xr:uid="{00000000-0005-0000-0000-0000082E0000}"/>
    <cellStyle name="_IPPL 31.12.2006 FINAL FINAL FINAL FINAL_ISL_Provisions_30.09.2010" xfId="11785" xr:uid="{00000000-0005-0000-0000-0000092E0000}"/>
    <cellStyle name="_IPPL 31.12.2006 FINAL FINAL FINAL FINAL_ISL_Provisions_30.09.2010 2" xfId="11786" xr:uid="{00000000-0005-0000-0000-00000A2E0000}"/>
    <cellStyle name="_IPPL 31.12.2006 FINAL FINAL FINAL FINAL_ITCL_BS working _New format_31.03 V7" xfId="11787" xr:uid="{00000000-0005-0000-0000-00000B2E0000}"/>
    <cellStyle name="_IPPL 31.12.2006 FINAL FINAL FINAL FINAL_ITCL-New format_31.03 V6" xfId="11788" xr:uid="{00000000-0005-0000-0000-00000C2E0000}"/>
    <cellStyle name="_IPPL 31.12.2006 FINAL FINAL FINAL FINAL_ITR6_2009_10_ICPL1" xfId="11789" xr:uid="{00000000-0005-0000-0000-00000D2E0000}"/>
    <cellStyle name="_IPPL 31.12.2006 FINAL FINAL FINAL FINAL_ITR6_2009_10_ICPL1_ISL__3CD_FY2010-11" xfId="11790" xr:uid="{00000000-0005-0000-0000-00000E2E0000}"/>
    <cellStyle name="_IPPL 31.12.2006 FINAL FINAL FINAL FINAL_ITR6_2009_10_ISL_Vivek" xfId="11791" xr:uid="{00000000-0005-0000-0000-00000F2E0000}"/>
    <cellStyle name="_IPPL 31.12.2006 FINAL FINAL FINAL FINAL_ITR6_2009_10_ISL_Vivek_ISL__3CD_FY2010-11" xfId="11792" xr:uid="{00000000-0005-0000-0000-0000102E0000}"/>
    <cellStyle name="_IPPL 31.12.2006 FINAL FINAL FINAL FINAL_July Consolidation" xfId="11793" xr:uid="{00000000-0005-0000-0000-0000112E0000}"/>
    <cellStyle name="_IPPL 31.12.2006 FINAL FINAL FINAL FINAL_Land  CWIP status" xfId="11794" xr:uid="{00000000-0005-0000-0000-0000122E0000}"/>
    <cellStyle name="_IPPL 31.12.2006 FINAL FINAL FINAL FINAL_Land  CWIP status 2" xfId="11795" xr:uid="{00000000-0005-0000-0000-0000132E0000}"/>
    <cellStyle name="_IPPL 31.12.2006 FINAL FINAL FINAL FINAL_Land Control Sheet Aug 31.08 - Recon" xfId="11796" xr:uid="{00000000-0005-0000-0000-0000142E0000}"/>
    <cellStyle name="_IPPL 31.12.2006 FINAL FINAL FINAL FINAL_Land Control Sheet Aug 31.08 - Recon 2" xfId="11797" xr:uid="{00000000-0005-0000-0000-0000152E0000}"/>
    <cellStyle name="_IPPL 31.12.2006 FINAL FINAL FINAL FINAL_Land Control Sheet Sep 26.08" xfId="11798" xr:uid="{00000000-0005-0000-0000-0000162E0000}"/>
    <cellStyle name="_IPPL 31.12.2006 FINAL FINAL FINAL FINAL_Land Control Sheet Sep 26.08 2" xfId="11799" xr:uid="{00000000-0005-0000-0000-0000172E0000}"/>
    <cellStyle name="_IPPL 31.12.2006 FINAL FINAL FINAL FINAL_loan" xfId="11800" xr:uid="{00000000-0005-0000-0000-0000182E0000}"/>
    <cellStyle name="_IPPL 31.12.2006 FINAL FINAL FINAL FINAL_loan_ISL__3CD_FY2010-11" xfId="11801" xr:uid="{00000000-0005-0000-0000-0000192E0000}"/>
    <cellStyle name="_IPPL 31.12.2006 FINAL FINAL FINAL FINAL_NFCL working file" xfId="11802" xr:uid="{00000000-0005-0000-0000-00001A2E0000}"/>
    <cellStyle name="_IPPL 31.12.2006 FINAL FINAL FINAL FINAL_NFCL_ Tax Audit Report FY08-09 " xfId="11803" xr:uid="{00000000-0005-0000-0000-00001B2E0000}"/>
    <cellStyle name="_IPPL 31.12.2006 FINAL FINAL FINAL FINAL_Power Group - Advance Tax working for 3rd Installment" xfId="11804" xr:uid="{00000000-0005-0000-0000-00001C2E0000}"/>
    <cellStyle name="_IPPL 31.12.2006 FINAL FINAL FINAL FINAL_Provision" xfId="11805" xr:uid="{00000000-0005-0000-0000-00001D2E0000}"/>
    <cellStyle name="_IPPL 31.12.2006 FINAL FINAL FINAL FINAL_Provision 2" xfId="11806" xr:uid="{00000000-0005-0000-0000-00001E2E0000}"/>
    <cellStyle name="_IPPL 31.12.2006 FINAL FINAL FINAL FINAL_Provision for Exp - FY 0809" xfId="11807" xr:uid="{00000000-0005-0000-0000-00001F2E0000}"/>
    <cellStyle name="_IPPL 31.12.2006 FINAL FINAL FINAL FINAL_Provision for Exp - FY 0809_ISL__3CD_FY2010-11" xfId="11808" xr:uid="{00000000-0005-0000-0000-0000202E0000}"/>
    <cellStyle name="_IPPL 31.12.2006 FINAL FINAL FINAL FINAL_Provision March 09 (1)" xfId="11809" xr:uid="{00000000-0005-0000-0000-0000212E0000}"/>
    <cellStyle name="_IPPL 31.12.2006 FINAL FINAL FINAL FINAL_Provision March 09 (1) 2" xfId="11810" xr:uid="{00000000-0005-0000-0000-0000222E0000}"/>
    <cellStyle name="_IPPL 31.12.2006 FINAL FINAL FINAL FINAL_provisions q3" xfId="11811" xr:uid="{00000000-0005-0000-0000-0000232E0000}"/>
    <cellStyle name="_IPPL 31.12.2006 FINAL FINAL FINAL FINAL_provisions q3 2" xfId="11812" xr:uid="{00000000-0005-0000-0000-0000242E0000}"/>
    <cellStyle name="_IPPL 31.12.2006 FINAL FINAL FINAL FINAL_Result" xfId="11813" xr:uid="{00000000-0005-0000-0000-0000252E0000}"/>
    <cellStyle name="_IPPL 31.12.2006 FINAL FINAL FINAL FINAL_Result 2" xfId="11814" xr:uid="{00000000-0005-0000-0000-0000262E0000}"/>
    <cellStyle name="_IPPL 31.12.2006 FINAL FINAL FINAL FINAL_Result 2 2" xfId="11815" xr:uid="{00000000-0005-0000-0000-0000272E0000}"/>
    <cellStyle name="_IPPL 31.12.2006 FINAL FINAL FINAL FINAL_Result 3" xfId="11816" xr:uid="{00000000-0005-0000-0000-0000282E0000}"/>
    <cellStyle name="_IPPL 31.12.2006 FINAL FINAL FINAL FINAL_Results" xfId="11817" xr:uid="{00000000-0005-0000-0000-0000292E0000}"/>
    <cellStyle name="_IPPL 31.12.2006 FINAL FINAL FINAL FINAL_Results  Format - Sep 30" xfId="11818" xr:uid="{00000000-0005-0000-0000-00002A2E0000}"/>
    <cellStyle name="_IPPL 31.12.2006 FINAL FINAL FINAL FINAL_Results  Format - Sep 30 2" xfId="11819" xr:uid="{00000000-0005-0000-0000-00002B2E0000}"/>
    <cellStyle name="_IPPL 31.12.2006 FINAL FINAL FINAL FINAL_Results  Format - Sep 30_EPS working" xfId="11820" xr:uid="{00000000-0005-0000-0000-00002C2E0000}"/>
    <cellStyle name="_IPPL 31.12.2006 FINAL FINAL FINAL FINAL_Results  Format - Sep 30_EPS working 2" xfId="11821" xr:uid="{00000000-0005-0000-0000-00002D2E0000}"/>
    <cellStyle name="_IPPL 31.12.2006 FINAL FINAL FINAL FINAL_Results  Format - Sep 30_EPS working 2 2" xfId="11822" xr:uid="{00000000-0005-0000-0000-00002E2E0000}"/>
    <cellStyle name="_IPPL 31.12.2006 FINAL FINAL FINAL FINAL_Results  Format - Sep 30_EPS working 3" xfId="11823" xr:uid="{00000000-0005-0000-0000-00002F2E0000}"/>
    <cellStyle name="_IPPL 31.12.2006 FINAL FINAL FINAL FINAL_Results  Format - Sep 30_EPS working_IBREAL_BS PACK-Version.02" xfId="11824" xr:uid="{00000000-0005-0000-0000-0000302E0000}"/>
    <cellStyle name="_IPPL 31.12.2006 FINAL FINAL FINAL FINAL_Results  Format - Sep 30_EPS working_IBREAL_BS PACK-Version.02 2" xfId="11825" xr:uid="{00000000-0005-0000-0000-0000312E0000}"/>
    <cellStyle name="_IPPL 31.12.2006 FINAL FINAL FINAL FINAL_Results  Format - Sep 30_EPS working_IBREAL_BS PACK-Version.02 2 2" xfId="11826" xr:uid="{00000000-0005-0000-0000-0000322E0000}"/>
    <cellStyle name="_IPPL 31.12.2006 FINAL FINAL FINAL FINAL_Results  Format - Sep 30_EPS working_IBREAL_BS PACK-Version.02 3" xfId="11827" xr:uid="{00000000-0005-0000-0000-0000332E0000}"/>
    <cellStyle name="_IPPL 31.12.2006 FINAL FINAL FINAL FINAL_Results  Format - Sep 30_EPS working_IBREAL_BS PACK-Version.02_IBREAL_BS PACK-Version.03" xfId="11828" xr:uid="{00000000-0005-0000-0000-0000342E0000}"/>
    <cellStyle name="_IPPL 31.12.2006 FINAL FINAL FINAL FINAL_Results  Format - Sep 30_EPS working_IBREAL_BS PACK-Version.02_IBREAL_BS PACK-Version.03 2" xfId="11829" xr:uid="{00000000-0005-0000-0000-0000352E0000}"/>
    <cellStyle name="_IPPL 31.12.2006 FINAL FINAL FINAL FINAL_Results  Format - Sep 30_EPS working_IBREAL_BS PACK-Version.02_IBREAL_BS PACK-Version.03 2 2" xfId="11830" xr:uid="{00000000-0005-0000-0000-0000362E0000}"/>
    <cellStyle name="_IPPL 31.12.2006 FINAL FINAL FINAL FINAL_Results  Format - Sep 30_EPS working_IBREAL_BS PACK-Version.02_IBREAL_BS PACK-Version.03 3" xfId="11831" xr:uid="{00000000-0005-0000-0000-0000372E0000}"/>
    <cellStyle name="_IPPL 31.12.2006 FINAL FINAL FINAL FINAL_Results  Format - Sep 30_EPS working_IBREAL_BS PACK-Version.02_IBREAL_BS PACK-Version.03_IBREAL_BS PACK-Version.07" xfId="11832" xr:uid="{00000000-0005-0000-0000-0000382E0000}"/>
    <cellStyle name="_IPPL 31.12.2006 FINAL FINAL FINAL FINAL_Results  Format - Sep 30_EPS working_IBREAL_BS PACK-Version.02_IBREAL_BS PACK-Version.03_IBREAL_BS PACK-Version.07 2" xfId="11833" xr:uid="{00000000-0005-0000-0000-0000392E0000}"/>
    <cellStyle name="_IPPL 31.12.2006 FINAL FINAL FINAL FINAL_Results  Format - Sep 30_EPS working_IBREAL_BS PACK-Version.02_IBREAL_BS PACK-Version.03_IBREAL_BS PACK-Version.07 2 2" xfId="11834" xr:uid="{00000000-0005-0000-0000-00003A2E0000}"/>
    <cellStyle name="_IPPL 31.12.2006 FINAL FINAL FINAL FINAL_Results  Format - Sep 30_EPS working_IBREAL_BS PACK-Version.02_IBREAL_BS PACK-Version.03_IBREAL_BS PACK-Version.07 3" xfId="11835" xr:uid="{00000000-0005-0000-0000-00003B2E0000}"/>
    <cellStyle name="_IPPL 31.12.2006 FINAL FINAL FINAL FINAL_Results  Format - Sep 30_IREL_3000_08-09" xfId="11836" xr:uid="{00000000-0005-0000-0000-00003C2E0000}"/>
    <cellStyle name="_IPPL 31.12.2006 FINAL FINAL FINAL FINAL_Results  Format - Sep 30_IREL_3000_08-09 2" xfId="11837" xr:uid="{00000000-0005-0000-0000-00003D2E0000}"/>
    <cellStyle name="_IPPL 31.12.2006 FINAL FINAL FINAL FINAL_Results  Format - Sep 30_IREL_3000_08-09 2 2" xfId="11838" xr:uid="{00000000-0005-0000-0000-00003E2E0000}"/>
    <cellStyle name="_IPPL 31.12.2006 FINAL FINAL FINAL FINAL_Results  Format - Sep 30_IREL_3000_08-09 3" xfId="11839" xr:uid="{00000000-0005-0000-0000-00003F2E0000}"/>
    <cellStyle name="_IPPL 31.12.2006 FINAL FINAL FINAL FINAL_Results  Format - Sep 30_IREL_3000_08-09 stage 3" xfId="11840" xr:uid="{00000000-0005-0000-0000-0000402E0000}"/>
    <cellStyle name="_IPPL 31.12.2006 FINAL FINAL FINAL FINAL_Results  Format - Sep 30_IREL_3000_08-09 stage 3 2" xfId="11841" xr:uid="{00000000-0005-0000-0000-0000412E0000}"/>
    <cellStyle name="_IPPL 31.12.2006 FINAL FINAL FINAL FINAL_Results  Format - Sep 30_IREL_3000_08-09 stage 3_IREL_3000_08-09" xfId="11842" xr:uid="{00000000-0005-0000-0000-0000422E0000}"/>
    <cellStyle name="_IPPL 31.12.2006 FINAL FINAL FINAL FINAL_Results  Format - Sep 30_IREL_3000_08-09 stage 3_IREL_3000_08-09 2" xfId="11843" xr:uid="{00000000-0005-0000-0000-0000432E0000}"/>
    <cellStyle name="_IPPL 31.12.2006 FINAL FINAL FINAL FINAL_Results  Format - Sep 30_IREL_3000_08-09 stage 3_IREL_3000_08-09 2 2" xfId="11844" xr:uid="{00000000-0005-0000-0000-0000442E0000}"/>
    <cellStyle name="_IPPL 31.12.2006 FINAL FINAL FINAL FINAL_Results  Format - Sep 30_IREL_3000_08-09 stage 3_IREL_3000_08-09 3" xfId="11845" xr:uid="{00000000-0005-0000-0000-0000452E0000}"/>
    <cellStyle name="_IPPL 31.12.2006 FINAL FINAL FINAL FINAL_Results  Format - Sep 30_IREL_3000_08-09_IBREAL_BS PACK-Version.02" xfId="11846" xr:uid="{00000000-0005-0000-0000-0000462E0000}"/>
    <cellStyle name="_IPPL 31.12.2006 FINAL FINAL FINAL FINAL_Results  Format - Sep 30_IREL_3000_08-09_IBREAL_BS PACK-Version.02 2" xfId="11847" xr:uid="{00000000-0005-0000-0000-0000472E0000}"/>
    <cellStyle name="_IPPL 31.12.2006 FINAL FINAL FINAL FINAL_Results  Format - Sep 30_IREL_3000_08-09_IBREAL_BS PACK-Version.02 2 2" xfId="11848" xr:uid="{00000000-0005-0000-0000-0000482E0000}"/>
    <cellStyle name="_IPPL 31.12.2006 FINAL FINAL FINAL FINAL_Results  Format - Sep 30_IREL_3000_08-09_IBREAL_BS PACK-Version.02 3" xfId="11849" xr:uid="{00000000-0005-0000-0000-0000492E0000}"/>
    <cellStyle name="_IPPL 31.12.2006 FINAL FINAL FINAL FINAL_Results  Format - Sep 30_IREL_3000_08-09_IBREAL_BS PACK-Version.02_IBREAL_BS PACK-Version.03" xfId="11850" xr:uid="{00000000-0005-0000-0000-00004A2E0000}"/>
    <cellStyle name="_IPPL 31.12.2006 FINAL FINAL FINAL FINAL_Results  Format - Sep 30_IREL_3000_08-09_IBREAL_BS PACK-Version.02_IBREAL_BS PACK-Version.03 2" xfId="11851" xr:uid="{00000000-0005-0000-0000-00004B2E0000}"/>
    <cellStyle name="_IPPL 31.12.2006 FINAL FINAL FINAL FINAL_Results  Format - Sep 30_IREL_3000_08-09_IBREAL_BS PACK-Version.02_IBREAL_BS PACK-Version.03 2 2" xfId="11852" xr:uid="{00000000-0005-0000-0000-00004C2E0000}"/>
    <cellStyle name="_IPPL 31.12.2006 FINAL FINAL FINAL FINAL_Results  Format - Sep 30_IREL_3000_08-09_IBREAL_BS PACK-Version.02_IBREAL_BS PACK-Version.03 3" xfId="11853" xr:uid="{00000000-0005-0000-0000-00004D2E0000}"/>
    <cellStyle name="_IPPL 31.12.2006 FINAL FINAL FINAL FINAL_Results  Format - Sep 30_IREL_3000_08-09_IBREAL_BS PACK-Version.02_IBREAL_BS PACK-Version.03_IBREAL_BS PACK-Version.07" xfId="11854" xr:uid="{00000000-0005-0000-0000-00004E2E0000}"/>
    <cellStyle name="_IPPL 31.12.2006 FINAL FINAL FINAL FINAL_Results  Format - Sep 30_IREL_3000_08-09_IBREAL_BS PACK-Version.02_IBREAL_BS PACK-Version.03_IBREAL_BS PACK-Version.07 2" xfId="11855" xr:uid="{00000000-0005-0000-0000-00004F2E0000}"/>
    <cellStyle name="_IPPL 31.12.2006 FINAL FINAL FINAL FINAL_Results  Format - Sep 30_IREL_3000_08-09_IBREAL_BS PACK-Version.02_IBREAL_BS PACK-Version.03_IBREAL_BS PACK-Version.07 2 2" xfId="11856" xr:uid="{00000000-0005-0000-0000-0000502E0000}"/>
    <cellStyle name="_IPPL 31.12.2006 FINAL FINAL FINAL FINAL_Results  Format - Sep 30_IREL_3000_08-09_IBREAL_BS PACK-Version.02_IBREAL_BS PACK-Version.03_IBREAL_BS PACK-Version.07 3" xfId="11857" xr:uid="{00000000-0005-0000-0000-0000512E0000}"/>
    <cellStyle name="_IPPL 31.12.2006 FINAL FINAL FINAL FINAL_Results  Format - Sep 30_IREL_3000_2009-29_July2009  Final Shahi" xfId="11858" xr:uid="{00000000-0005-0000-0000-0000522E0000}"/>
    <cellStyle name="_IPPL 31.12.2006 FINAL FINAL FINAL FINAL_Results  Format - Sep 30_IREL_3000_2009-29_July2009  Final Shahi 2" xfId="11859" xr:uid="{00000000-0005-0000-0000-0000532E0000}"/>
    <cellStyle name="_IPPL 31.12.2006 FINAL FINAL FINAL FINAL_Results  Format - Sep 30_IREL_3000_2009-29_July2009  Final Shahi 2 2" xfId="11860" xr:uid="{00000000-0005-0000-0000-0000542E0000}"/>
    <cellStyle name="_IPPL 31.12.2006 FINAL FINAL FINAL FINAL_Results  Format - Sep 30_IREL_3000_2009-29_July2009  Final Shahi 3" xfId="11861" xr:uid="{00000000-0005-0000-0000-0000552E0000}"/>
    <cellStyle name="_IPPL 31.12.2006 FINAL FINAL FINAL FINAL_Results  Format - Sep 30_IREL_3000_2009-29_July2009  Final Shahi_IBREAL_BS PACK-Version.02" xfId="11862" xr:uid="{00000000-0005-0000-0000-0000562E0000}"/>
    <cellStyle name="_IPPL 31.12.2006 FINAL FINAL FINAL FINAL_Results  Format - Sep 30_IREL_3000_2009-29_July2009  Final Shahi_IBREAL_BS PACK-Version.02 2" xfId="11863" xr:uid="{00000000-0005-0000-0000-0000572E0000}"/>
    <cellStyle name="_IPPL 31.12.2006 FINAL FINAL FINAL FINAL_Results  Format - Sep 30_IREL_3000_2009-29_July2009  Final Shahi_IBREAL_BS PACK-Version.02 2 2" xfId="11864" xr:uid="{00000000-0005-0000-0000-0000582E0000}"/>
    <cellStyle name="_IPPL 31.12.2006 FINAL FINAL FINAL FINAL_Results  Format - Sep 30_IREL_3000_2009-29_July2009  Final Shahi_IBREAL_BS PACK-Version.02 3" xfId="11865" xr:uid="{00000000-0005-0000-0000-0000592E0000}"/>
    <cellStyle name="_IPPL 31.12.2006 FINAL FINAL FINAL FINAL_Results  Format - Sep 30_IREL_3000_2009-29_July2009  Final Shahi_IBREAL_BS PACK-Version.02_IBREAL_BS PACK-Version.03" xfId="11866" xr:uid="{00000000-0005-0000-0000-00005A2E0000}"/>
    <cellStyle name="_IPPL 31.12.2006 FINAL FINAL FINAL FINAL_Results  Format - Sep 30_IREL_3000_2009-29_July2009  Final Shahi_IBREAL_BS PACK-Version.02_IBREAL_BS PACK-Version.03 2" xfId="11867" xr:uid="{00000000-0005-0000-0000-00005B2E0000}"/>
    <cellStyle name="_IPPL 31.12.2006 FINAL FINAL FINAL FINAL_Results  Format - Sep 30_IREL_3000_2009-29_July2009  Final Shahi_IBREAL_BS PACK-Version.02_IBREAL_BS PACK-Version.03 2 2" xfId="11868" xr:uid="{00000000-0005-0000-0000-00005C2E0000}"/>
    <cellStyle name="_IPPL 31.12.2006 FINAL FINAL FINAL FINAL_Results  Format - Sep 30_IREL_3000_2009-29_July2009  Final Shahi_IBREAL_BS PACK-Version.02_IBREAL_BS PACK-Version.03 3" xfId="11869" xr:uid="{00000000-0005-0000-0000-00005D2E0000}"/>
    <cellStyle name="_IPPL 31.12.2006 FINAL FINAL FINAL FINAL_Results  Format - Sep 30_IREL_3000_2009-29_July2009  Final Shahi_IBREAL_BS PACK-Version.02_IBREAL_BS PACK-Version.03_IBREAL_BS PACK-Version.07" xfId="11870" xr:uid="{00000000-0005-0000-0000-00005E2E0000}"/>
    <cellStyle name="_IPPL 31.12.2006 FINAL FINAL FINAL FINAL_Results  Format - Sep 30_IREL_3000_2009-29_July2009  Final Shahi_IBREAL_BS PACK-Version.02_IBREAL_BS PACK-Version.03_IBREAL_BS PACK-Version.07 2" xfId="11871" xr:uid="{00000000-0005-0000-0000-00005F2E0000}"/>
    <cellStyle name="_IPPL 31.12.2006 FINAL FINAL FINAL FINAL_Results  Format - Sep 30_IREL_3000_2009-29_July2009  Final Shahi_IBREAL_BS PACK-Version.02_IBREAL_BS PACK-Version.03_IBREAL_BS PACK-Version.07 2 2" xfId="11872" xr:uid="{00000000-0005-0000-0000-0000602E0000}"/>
    <cellStyle name="_IPPL 31.12.2006 FINAL FINAL FINAL FINAL_Results  Format - Sep 30_IREL_3000_2009-29_July2009  Final Shahi_IBREAL_BS PACK-Version.02_IBREAL_BS PACK-Version.03_IBREAL_BS PACK-Version.07 3" xfId="11873" xr:uid="{00000000-0005-0000-0000-0000612E0000}"/>
    <cellStyle name="_IPPL 31.12.2006 FINAL FINAL FINAL FINAL_Results 2" xfId="11874" xr:uid="{00000000-0005-0000-0000-0000622E0000}"/>
    <cellStyle name="_IPPL 31.12.2006 FINAL FINAL FINAL FINAL_Results 2 2" xfId="11875" xr:uid="{00000000-0005-0000-0000-0000632E0000}"/>
    <cellStyle name="_IPPL 31.12.2006 FINAL FINAL FINAL FINAL_Results 3" xfId="11876" xr:uid="{00000000-0005-0000-0000-0000642E0000}"/>
    <cellStyle name="_IPPL 31.12.2006 FINAL FINAL FINAL FINAL_Results 3 2" xfId="11877" xr:uid="{00000000-0005-0000-0000-0000652E0000}"/>
    <cellStyle name="_IPPL 31.12.2006 FINAL FINAL FINAL FINAL_Results 4" xfId="11878" xr:uid="{00000000-0005-0000-0000-0000662E0000}"/>
    <cellStyle name="_IPPL 31.12.2006 FINAL FINAL FINAL FINAL_Results 5" xfId="11879" xr:uid="{00000000-0005-0000-0000-0000672E0000}"/>
    <cellStyle name="_IPPL 31.12.2006 FINAL FINAL FINAL FINAL_Results 6" xfId="11880" xr:uid="{00000000-0005-0000-0000-0000682E0000}"/>
    <cellStyle name="_IPPL 31.12.2006 FINAL FINAL FINAL FINAL_Results 7" xfId="11881" xr:uid="{00000000-0005-0000-0000-0000692E0000}"/>
    <cellStyle name="_IPPL 31.12.2006 FINAL FINAL FINAL FINAL_Results 8" xfId="11882" xr:uid="{00000000-0005-0000-0000-00006A2E0000}"/>
    <cellStyle name="_IPPL 31.12.2006 FINAL FINAL FINAL FINAL_Results 9" xfId="11883" xr:uid="{00000000-0005-0000-0000-00006B2E0000}"/>
    <cellStyle name="_IPPL 31.12.2006 FINAL FINAL FINAL FINAL_Revised Consol Balance Sheet_Sophia_Jan09_10.02.2009" xfId="11884" xr:uid="{00000000-0005-0000-0000-00006C2E0000}"/>
    <cellStyle name="_IPPL 31.12.2006 FINAL FINAL FINAL FINAL_SCH" xfId="11885" xr:uid="{00000000-0005-0000-0000-00006D2E0000}"/>
    <cellStyle name="_IPPL 31.12.2006 FINAL FINAL FINAL FINAL_SCH_Tax Audit Report  ICSL F.Y.09-10" xfId="11886" xr:uid="{00000000-0005-0000-0000-00006E2E0000}"/>
    <cellStyle name="_IPPL 31.12.2006 FINAL FINAL FINAL FINAL_Sheet2" xfId="11887" xr:uid="{00000000-0005-0000-0000-00006F2E0000}"/>
    <cellStyle name="_IPPL 31.12.2006 FINAL FINAL FINAL FINAL_Sheet4" xfId="11888" xr:uid="{00000000-0005-0000-0000-0000702E0000}"/>
    <cellStyle name="_IPPL 31.12.2006 FINAL FINAL FINAL FINAL_Sophia Consol for Printout 22 Jun 09" xfId="11889" xr:uid="{00000000-0005-0000-0000-0000712E0000}"/>
    <cellStyle name="_IPPL 31.12.2006 FINAL FINAL FINAL FINAL_Sophia Consol_march_09_05 June  09_1" xfId="11890" xr:uid="{00000000-0005-0000-0000-0000722E0000}"/>
    <cellStyle name="_IPPL 31.12.2006 FINAL FINAL FINAL FINAL_sophia_Nov08" xfId="11891" xr:uid="{00000000-0005-0000-0000-0000732E0000}"/>
    <cellStyle name="_IPPL 31.12.2006 FINAL FINAL FINAL FINAL_Standalone Financials - March 31, 2010 - Printable" xfId="11892" xr:uid="{00000000-0005-0000-0000-0000742E0000}"/>
    <cellStyle name="_IPPL 31.12.2006 FINAL FINAL FINAL FINAL_Standalone Financials - March 31, 2010 - Printable_ISL__3CD_FY2010-11" xfId="11893" xr:uid="{00000000-0005-0000-0000-0000752E0000}"/>
    <cellStyle name="_IPPL 31.12.2006 FINAL FINAL FINAL FINAL_Tax Audit Report  F.Y.08-09" xfId="11894" xr:uid="{00000000-0005-0000-0000-0000762E0000}"/>
    <cellStyle name="_IPPL 31.12.2006 FINAL FINAL FINAL FINAL_Tax Audit Report  ICSL F.Y.09-10" xfId="11895" xr:uid="{00000000-0005-0000-0000-0000772E0000}"/>
    <cellStyle name="_IPPL 31.12.2006 FINAL FINAL FINAL FINAL_TB Sept" xfId="11896" xr:uid="{00000000-0005-0000-0000-0000782E0000}"/>
    <cellStyle name="_IPPL 31.12.2006 FINAL FINAL FINAL FINAL_TB Sept_Tax Audit Report  ICSL F.Y.09-10" xfId="11897" xr:uid="{00000000-0005-0000-0000-0000792E0000}"/>
    <cellStyle name="_IPPL 31.12.2006 FINAL FINAL FINAL FINAL_Treasury ICD Interest_ MIS_ 23  09 2009(final)" xfId="11898" xr:uid="{00000000-0005-0000-0000-00007A2E0000}"/>
    <cellStyle name="_IPPL 31.12.2006 FINAL FINAL FINAL FINAL_Treasury ICD Interest_ MIS_ 30. 06 2009(final)" xfId="11899" xr:uid="{00000000-0005-0000-0000-00007B2E0000}"/>
    <cellStyle name="_IPPL 31.12.2006 FINAL FINAL FINAL FINAL_Treasury ICD Interest_ MIS_ 30. 09 2009(final)" xfId="11900" xr:uid="{00000000-0005-0000-0000-00007C2E0000}"/>
    <cellStyle name="_IPPL 31.12.2006 FINAL FINAL FINAL FINAL_Treasury ICD Interest_ MIS_ 31 05 2009" xfId="11901" xr:uid="{00000000-0005-0000-0000-00007D2E0000}"/>
    <cellStyle name="_IPPL 31.12.2006 FINAL FINAL FINAL FINAL_Treasury ICD Interest_ MIS_ 31 10 2009" xfId="11902" xr:uid="{00000000-0005-0000-0000-00007E2E0000}"/>
    <cellStyle name="_IPPL 31.12.2006 FINAL FINAL FINAL FINAL_Treasury ICD Interest_ MIS_ 31.10.2009" xfId="11903" xr:uid="{00000000-0005-0000-0000-00007F2E0000}"/>
    <cellStyle name="_IPPL 31.12.2006 FINAL FINAL FINAL FINAL_Treasury ICD Interest_ MIS_ 310309" xfId="11904" xr:uid="{00000000-0005-0000-0000-0000802E0000}"/>
    <cellStyle name="_IPPL 31.12.2006 FINAL FINAL FINAL FINAL_Xl0000012" xfId="11905" xr:uid="{00000000-0005-0000-0000-0000812E0000}"/>
    <cellStyle name="_IPPL 31.12.2006 FINAL FINAL FINAL FINAL_Xl0000012 2" xfId="11906" xr:uid="{00000000-0005-0000-0000-0000822E0000}"/>
    <cellStyle name="_IPPL 31.12.2006 FINAL FINAL FINAL FINAL_Xl0000012 2 2" xfId="11907" xr:uid="{00000000-0005-0000-0000-0000832E0000}"/>
    <cellStyle name="_IPPL 31.12.2006 FINAL FINAL FINAL FINAL_Xl0000012 3" xfId="11908" xr:uid="{00000000-0005-0000-0000-0000842E0000}"/>
    <cellStyle name="_IPPL 31.12.2006 FINAL FINAL FINAL FINAL_Xl0000013" xfId="11909" xr:uid="{00000000-0005-0000-0000-0000852E0000}"/>
    <cellStyle name="_IRECPL 10.03.2006" xfId="11910" xr:uid="{00000000-0005-0000-0000-0000862E0000}"/>
    <cellStyle name="_IRECPL 10.03.2006 2" xfId="11911" xr:uid="{00000000-0005-0000-0000-0000872E0000}"/>
    <cellStyle name="_IRECPL 10.03.2006 2 2" xfId="11912" xr:uid="{00000000-0005-0000-0000-0000882E0000}"/>
    <cellStyle name="_IRECPL 10.03.2006 3" xfId="11913" xr:uid="{00000000-0005-0000-0000-0000892E0000}"/>
    <cellStyle name="_IRECPL 10.03.2006_269SS &amp; T IIAPL 09-10" xfId="11914" xr:uid="{00000000-0005-0000-0000-00008A2E0000}"/>
    <cellStyle name="_IRECPL 10.03.2006_Abstract-2007-08" xfId="11915" xr:uid="{00000000-0005-0000-0000-00008B2E0000}"/>
    <cellStyle name="_IRECPL 10.03.2006_Abstract-2007-08 2" xfId="11916" xr:uid="{00000000-0005-0000-0000-00008C2E0000}"/>
    <cellStyle name="_IRECPL 10.03.2006_Advance Tax Format_F.Y. 2010-11" xfId="11917" xr:uid="{00000000-0005-0000-0000-00008D2E0000}"/>
    <cellStyle name="_IRECPL 10.03.2006_Advance Tax Sophia Jun 09" xfId="11918" xr:uid="{00000000-0005-0000-0000-00008E2E0000}"/>
    <cellStyle name="_IRECPL 10.03.2006_Asset Management Company Limited" xfId="11919" xr:uid="{00000000-0005-0000-0000-00008F2E0000}"/>
    <cellStyle name="_IRECPL 10.03.2006_Base File For Segment" xfId="11920" xr:uid="{00000000-0005-0000-0000-0000902E0000}"/>
    <cellStyle name="_IRECPL 10.03.2006_Book1" xfId="11921" xr:uid="{00000000-0005-0000-0000-0000912E0000}"/>
    <cellStyle name="_IRECPL 10.03.2006_Book1 (2)" xfId="11922" xr:uid="{00000000-0005-0000-0000-0000922E0000}"/>
    <cellStyle name="_IRECPL 10.03.2006_Book1 (2) 2" xfId="11923" xr:uid="{00000000-0005-0000-0000-0000932E0000}"/>
    <cellStyle name="_IRECPL 10.03.2006_Bracond Balance Sheet  PL_301108_krishanu" xfId="11924" xr:uid="{00000000-0005-0000-0000-0000942E0000}"/>
    <cellStyle name="_IRECPL 10.03.2006_BS _IB Asset Management _3103_ver5" xfId="11925" xr:uid="{00000000-0005-0000-0000-0000952E0000}"/>
    <cellStyle name="_IRECPL 10.03.2006_BS _IB Asset Management _3103_ver5_IAMCL BS working -New format_31.03 V5" xfId="11926" xr:uid="{00000000-0005-0000-0000-0000962E0000}"/>
    <cellStyle name="_IRECPL 10.03.2006_CCL_3353_2007-08" xfId="11927" xr:uid="{00000000-0005-0000-0000-0000972E0000}"/>
    <cellStyle name="_IRECPL 10.03.2006_ChlorisProperties_3351_Dec.08" xfId="11928" xr:uid="{00000000-0005-0000-0000-0000982E0000}"/>
    <cellStyle name="_IRECPL 10.03.2006_Consol Balance Sheet_Sophia_Dec08_Ibrel_1.3" xfId="11929" xr:uid="{00000000-0005-0000-0000-0000992E0000}"/>
    <cellStyle name="_IRECPL 10.03.2006_CRAR - dec- 10v-12" xfId="11930" xr:uid="{00000000-0005-0000-0000-00009A2E0000}"/>
    <cellStyle name="_IRECPL 10.03.2006_CRAR - dec- 10v-12 2" xfId="11931" xr:uid="{00000000-0005-0000-0000-00009B2E0000}"/>
    <cellStyle name="_IRECPL 10.03.2006_detail (2)" xfId="11932" xr:uid="{00000000-0005-0000-0000-00009C2E0000}"/>
    <cellStyle name="_IRECPL 10.03.2006_Detail of IPO funding" xfId="11933" xr:uid="{00000000-0005-0000-0000-00009D2E0000}"/>
    <cellStyle name="_IRECPL 10.03.2006_Details" xfId="11934" xr:uid="{00000000-0005-0000-0000-00009E2E0000}"/>
    <cellStyle name="_IRECPL 10.03.2006_Entries Passed in Conso for profit on sale of invRevised 30.07.08" xfId="11935" xr:uid="{00000000-0005-0000-0000-00009F2E0000}"/>
    <cellStyle name="_IRECPL 10.03.2006_Entries Passed in Conso for profit on sale of invRevised 30.07.08 2" xfId="11936" xr:uid="{00000000-0005-0000-0000-0000A02E0000}"/>
    <cellStyle name="_IRECPL 10.03.2006_Entries Passed in Conso for profit on sale of invRevised 30.07.08_IREL_3000_08-09" xfId="11937" xr:uid="{00000000-0005-0000-0000-0000A12E0000}"/>
    <cellStyle name="_IRECPL 10.03.2006_Entries Passed in Conso for profit on sale of invRevised 30.07.08_IREL_3000_08-09 2" xfId="11938" xr:uid="{00000000-0005-0000-0000-0000A22E0000}"/>
    <cellStyle name="_IRECPL 10.03.2006_Entries Passed in Conso for profit on sale of invRevised 30.07.08_IREL_3000_08-09 2 2" xfId="11939" xr:uid="{00000000-0005-0000-0000-0000A32E0000}"/>
    <cellStyle name="_IRECPL 10.03.2006_Entries Passed in Conso for profit on sale of invRevised 30.07.08_IREL_3000_08-09 3" xfId="11940" xr:uid="{00000000-0005-0000-0000-0000A42E0000}"/>
    <cellStyle name="_IRECPL 10.03.2006_Entries Passed in Conso for profit on sale of invRevised 30.07.08_IREL_3000_08-09 stage 3" xfId="11941" xr:uid="{00000000-0005-0000-0000-0000A52E0000}"/>
    <cellStyle name="_IRECPL 10.03.2006_Entries Passed in Conso for profit on sale of invRevised 30.07.08_IREL_3000_08-09 stage 3 2" xfId="11942" xr:uid="{00000000-0005-0000-0000-0000A62E0000}"/>
    <cellStyle name="_IRECPL 10.03.2006_Entries Passed in Conso for profit on sale of invRevised 30.07.08_IREL_3000_08-09 stage 3_IREL_3000_08-09" xfId="11943" xr:uid="{00000000-0005-0000-0000-0000A72E0000}"/>
    <cellStyle name="_IRECPL 10.03.2006_Entries Passed in Conso for profit on sale of invRevised 30.07.08_IREL_3000_08-09 stage 3_IREL_3000_08-09 2" xfId="11944" xr:uid="{00000000-0005-0000-0000-0000A82E0000}"/>
    <cellStyle name="_IRECPL 10.03.2006_Entries Passed in Conso for profit on sale of invRevised 30.07.08_IREL_3000_08-09 stage 3_IREL_3000_08-09 2 2" xfId="11945" xr:uid="{00000000-0005-0000-0000-0000A92E0000}"/>
    <cellStyle name="_IRECPL 10.03.2006_Entries Passed in Conso for profit on sale of invRevised 30.07.08_IREL_3000_08-09 stage 3_IREL_3000_08-09 3" xfId="11946" xr:uid="{00000000-0005-0000-0000-0000AA2E0000}"/>
    <cellStyle name="_IRECPL 10.03.2006_Entries Passed in Conso for profit on sale of invRevised 30.07.08_IREL_3000_08-09_IBREAL_BS PACK-Version.02" xfId="11947" xr:uid="{00000000-0005-0000-0000-0000AB2E0000}"/>
    <cellStyle name="_IRECPL 10.03.2006_Entries Passed in Conso for profit on sale of invRevised 30.07.08_IREL_3000_08-09_IBREAL_BS PACK-Version.02 2" xfId="11948" xr:uid="{00000000-0005-0000-0000-0000AC2E0000}"/>
    <cellStyle name="_IRECPL 10.03.2006_Entries Passed in Conso for profit on sale of invRevised 30.07.08_IREL_3000_08-09_IBREAL_BS PACK-Version.02 2 2" xfId="11949" xr:uid="{00000000-0005-0000-0000-0000AD2E0000}"/>
    <cellStyle name="_IRECPL 10.03.2006_Entries Passed in Conso for profit on sale of invRevised 30.07.08_IREL_3000_08-09_IBREAL_BS PACK-Version.02 3" xfId="11950" xr:uid="{00000000-0005-0000-0000-0000AE2E0000}"/>
    <cellStyle name="_IRECPL 10.03.2006_Entries Passed in Conso for profit on sale of invRevised 30.07.08_IREL_3000_08-09_IBREAL_BS PACK-Version.02_IBREAL_BS PACK-Version.03" xfId="11951" xr:uid="{00000000-0005-0000-0000-0000AF2E0000}"/>
    <cellStyle name="_IRECPL 10.03.2006_Entries Passed in Conso for profit on sale of invRevised 30.07.08_IREL_3000_08-09_IBREAL_BS PACK-Version.02_IBREAL_BS PACK-Version.03 2" xfId="11952" xr:uid="{00000000-0005-0000-0000-0000B02E0000}"/>
    <cellStyle name="_IRECPL 10.03.2006_Entries Passed in Conso for profit on sale of invRevised 30.07.08_IREL_3000_08-09_IBREAL_BS PACK-Version.02_IBREAL_BS PACK-Version.03 2 2" xfId="11953" xr:uid="{00000000-0005-0000-0000-0000B12E0000}"/>
    <cellStyle name="_IRECPL 10.03.2006_Entries Passed in Conso for profit on sale of invRevised 30.07.08_IREL_3000_08-09_IBREAL_BS PACK-Version.02_IBREAL_BS PACK-Version.03 3" xfId="11954" xr:uid="{00000000-0005-0000-0000-0000B22E0000}"/>
    <cellStyle name="_IRECPL 10.03.2006_Entries Passed in Conso for profit on sale of invRevised 30.07.08_IREL_3000_08-09_IBREAL_BS PACK-Version.02_IBREAL_BS PACK-Version.03_IBREAL_BS PACK-Version.07" xfId="11955" xr:uid="{00000000-0005-0000-0000-0000B32E0000}"/>
    <cellStyle name="_IRECPL 10.03.2006_Entries Passed in Conso for profit on sale of invRevised 30.07.08_IREL_3000_08-09_IBREAL_BS PACK-Version.02_IBREAL_BS PACK-Version.03_IBREAL_BS PACK-Version.07 2" xfId="11956" xr:uid="{00000000-0005-0000-0000-0000B42E0000}"/>
    <cellStyle name="_IRECPL 10.03.2006_Entries Passed in Conso for profit on sale of invRevised 30.07.08_IREL_3000_08-09_IBREAL_BS PACK-Version.02_IBREAL_BS PACK-Version.03_IBREAL_BS PACK-Version.07 2 2" xfId="11957" xr:uid="{00000000-0005-0000-0000-0000B52E0000}"/>
    <cellStyle name="_IRECPL 10.03.2006_Entries Passed in Conso for profit on sale of invRevised 30.07.08_IREL_3000_08-09_IBREAL_BS PACK-Version.02_IBREAL_BS PACK-Version.03_IBREAL_BS PACK-Version.07 3" xfId="11958" xr:uid="{00000000-0005-0000-0000-0000B62E0000}"/>
    <cellStyle name="_IRECPL 10.03.2006_EPL_3346_2007-08(C)" xfId="11959" xr:uid="{00000000-0005-0000-0000-0000B72E0000}"/>
    <cellStyle name="_IRECPL 10.03.2006_FD Detail" xfId="11960" xr:uid="{00000000-0005-0000-0000-0000B82E0000}"/>
    <cellStyle name="_IRECPL 10.03.2006_FD Detail_Xl0000013" xfId="11961" xr:uid="{00000000-0005-0000-0000-0000B92E0000}"/>
    <cellStyle name="_IRECPL 10.03.2006_Final Consol Balance Sheet_Sophia_Dec08_27.01.08" xfId="11962" xr:uid="{00000000-0005-0000-0000-0000BA2E0000}"/>
    <cellStyle name="_IRECPL 10.03.2006_Fixed Assets consolidated" xfId="11963" xr:uid="{00000000-0005-0000-0000-0000BB2E0000}"/>
    <cellStyle name="_IRECPL 10.03.2006_IAMCL BS working -New format_31.03 V5" xfId="11964" xr:uid="{00000000-0005-0000-0000-0000BC2E0000}"/>
    <cellStyle name="_IRECPL 10.03.2006_IB Asset Management _2910" xfId="11965" xr:uid="{00000000-0005-0000-0000-0000BD2E0000}"/>
    <cellStyle name="_IRECPL 10.03.2006_IB Asset Management _2910_IB Collection Agency_3103 V3" xfId="11966" xr:uid="{00000000-0005-0000-0000-0000BE2E0000}"/>
    <cellStyle name="_IRECPL 10.03.2006_IB Asset Management _2910_IB Collection Agency_3103 V3_ICAL-New Format_31.03 V4" xfId="11967" xr:uid="{00000000-0005-0000-0000-0000BF2E0000}"/>
    <cellStyle name="_IRECPL 10.03.2006_IB Asset Management _2910_ICAL-BS Final Working _New format" xfId="11968" xr:uid="{00000000-0005-0000-0000-0000C02E0000}"/>
    <cellStyle name="_IRECPL 10.03.2006_IB Asset Management _3103_ver5" xfId="11969" xr:uid="{00000000-0005-0000-0000-0000C12E0000}"/>
    <cellStyle name="_IRECPL 10.03.2006_IB Asset Management_3103 V2" xfId="11970" xr:uid="{00000000-0005-0000-0000-0000C22E0000}"/>
    <cellStyle name="_IRECPL 10.03.2006_IB Asset Management_3103 V4" xfId="11971" xr:uid="{00000000-0005-0000-0000-0000C32E0000}"/>
    <cellStyle name="_IRECPL 10.03.2006_IB Asset Management_3103 V5" xfId="11972" xr:uid="{00000000-0005-0000-0000-0000C42E0000}"/>
    <cellStyle name="_IRECPL 10.03.2006_IB Collection Agency_3103 V3" xfId="11973" xr:uid="{00000000-0005-0000-0000-0000C52E0000}"/>
    <cellStyle name="_IRECPL 10.03.2006_IB Collection Agency_3103 V3_ICAL-New Format_31.03 V4" xfId="11974" xr:uid="{00000000-0005-0000-0000-0000C62E0000}"/>
    <cellStyle name="_IRECPL 10.03.2006_IB Infrastructure Credit" xfId="11975" xr:uid="{00000000-0005-0000-0000-0000C72E0000}"/>
    <cellStyle name="_IRECPL 10.03.2006_IB Infrastructure Credit-3103_V6" xfId="11976" xr:uid="{00000000-0005-0000-0000-0000C82E0000}"/>
    <cellStyle name="_IRECPL 10.03.2006_IB Infrastructure Credit-3103_V7" xfId="11977" xr:uid="{00000000-0005-0000-0000-0000C92E0000}"/>
    <cellStyle name="_IRECPL 10.03.2006_IB Life Insurance_3103 V4" xfId="11978" xr:uid="{00000000-0005-0000-0000-0000CA2E0000}"/>
    <cellStyle name="_IRECPL 10.03.2006_IB Trustee Company_3103 V4" xfId="11979" xr:uid="{00000000-0005-0000-0000-0000CB2E0000}"/>
    <cellStyle name="_IRECPL 10.03.2006_IBFSL 30 Sep 11 V8" xfId="11980" xr:uid="{00000000-0005-0000-0000-0000CC2E0000}"/>
    <cellStyle name="_IRECPL 10.03.2006_IBFSL 31 May V1" xfId="11981" xr:uid="{00000000-0005-0000-0000-0000CD2E0000}"/>
    <cellStyle name="_IRECPL 10.03.2006_IBFSL 31 May V1_Xl0000013" xfId="11982" xr:uid="{00000000-0005-0000-0000-0000CE2E0000}"/>
    <cellStyle name="_IRECPL 10.03.2006_IBFSL_Conso_March_10_11" xfId="11983" xr:uid="{00000000-0005-0000-0000-0000CF2E0000}"/>
    <cellStyle name="_IRECPL 10.03.2006_IBLIC_BS  Final working -New_Format_31.03 V5" xfId="11984" xr:uid="{00000000-0005-0000-0000-0000D02E0000}"/>
    <cellStyle name="_IRECPL 10.03.2006_Ibulls BS Final woirking -New format_31.03 V5" xfId="11985" xr:uid="{00000000-0005-0000-0000-0000D12E0000}"/>
    <cellStyle name="_IRECPL 10.03.2006_IbullsSales_3103" xfId="11986" xr:uid="{00000000-0005-0000-0000-0000D22E0000}"/>
    <cellStyle name="_IRECPL 10.03.2006_IbullsSales_3103 V2" xfId="11987" xr:uid="{00000000-0005-0000-0000-0000D32E0000}"/>
    <cellStyle name="_IRECPL 10.03.2006_IbullsSales_3103 V5" xfId="11988" xr:uid="{00000000-0005-0000-0000-0000D42E0000}"/>
    <cellStyle name="_IRECPL 10.03.2006_ICAL-BS Final Working _New format" xfId="11989" xr:uid="{00000000-0005-0000-0000-0000D52E0000}"/>
    <cellStyle name="_IRECPL 10.03.2006_ICL_BS_30.06.2009" xfId="11990" xr:uid="{00000000-0005-0000-0000-0000D62E0000}"/>
    <cellStyle name="_IRECPL 10.03.2006_ICPL_BS_31.03.2009_new" xfId="11991" xr:uid="{00000000-0005-0000-0000-0000D72E0000}"/>
    <cellStyle name="_IRECPL 10.03.2006_ICPL_BS_31.03.2009_new_ISL__3CD_FY2010-11" xfId="11992" xr:uid="{00000000-0005-0000-0000-0000D82E0000}"/>
    <cellStyle name="_IRECPL 10.03.2006_IDSL_31.03.2010" xfId="11993" xr:uid="{00000000-0005-0000-0000-0000D92E0000}"/>
    <cellStyle name="_IRECPL 10.03.2006_IFCPL 31 03 2010 VER6 Final" xfId="11994" xr:uid="{00000000-0005-0000-0000-0000DA2E0000}"/>
    <cellStyle name="_IRECPL 10.03.2006_IHFL_Dec_23_2008" xfId="11995" xr:uid="{00000000-0005-0000-0000-0000DB2E0000}"/>
    <cellStyle name="_IRECPL 10.03.2006_IHFL_Dec_23_2008_Xl0000013" xfId="11996" xr:uid="{00000000-0005-0000-0000-0000DC2E0000}"/>
    <cellStyle name="_IRECPL 10.03.2006_IHFL_SEP_30_2009 XIII AUDIT- Sch II" xfId="11997" xr:uid="{00000000-0005-0000-0000-0000DD2E0000}"/>
    <cellStyle name="_IRECPL 10.03.2006_IIAL 31.03.2010 VER2" xfId="11998" xr:uid="{00000000-0005-0000-0000-0000DE2E0000}"/>
    <cellStyle name="_IRECPL 10.03.2006_IICL_March'11" xfId="11999" xr:uid="{00000000-0005-0000-0000-0000DF2E0000}"/>
    <cellStyle name="_IRECPL 10.03.2006_IIDL_3227_2008_09" xfId="12000" xr:uid="{00000000-0005-0000-0000-0000E02E0000}"/>
    <cellStyle name="_IRECPL 10.03.2006_IIDL_3227_2008_09_Advance Tax Summary" xfId="12001" xr:uid="{00000000-0005-0000-0000-0000E12E0000}"/>
    <cellStyle name="_IRECPL 10.03.2006_IIDL_3227_2008_09_Advance Tax Summary 2" xfId="12002" xr:uid="{00000000-0005-0000-0000-0000E22E0000}"/>
    <cellStyle name="_IRECPL 10.03.2006_IIDL_3227_2008_09_ISL Group - Advance Tax working for 3rd Instalment" xfId="12003" xr:uid="{00000000-0005-0000-0000-0000E32E0000}"/>
    <cellStyle name="_IRECPL 10.03.2006_IIDL_3227_2008_09_Xl0000013" xfId="12004" xr:uid="{00000000-0005-0000-0000-0000E42E0000}"/>
    <cellStyle name="_IRECPL 10.03.2006_Indiabulls Asset Management Company Limited printable" xfId="12005" xr:uid="{00000000-0005-0000-0000-0000E52E0000}"/>
    <cellStyle name="_IRECPL 10.03.2006_IREL_3000_08-09" xfId="12006" xr:uid="{00000000-0005-0000-0000-0000E62E0000}"/>
    <cellStyle name="_IRECPL 10.03.2006_IREL_3000_08-09 2" xfId="12007" xr:uid="{00000000-0005-0000-0000-0000E72E0000}"/>
    <cellStyle name="_IRECPL 10.03.2006_ISL_March_08_09.final_11.12.2009" xfId="12008" xr:uid="{00000000-0005-0000-0000-0000E82E0000}"/>
    <cellStyle name="_IRECPL 10.03.2006_ISL_March_08_09.final_11.12.2009_ISL__3CD_FY2010-11" xfId="12009" xr:uid="{00000000-0005-0000-0000-0000E92E0000}"/>
    <cellStyle name="_IRECPL 10.03.2006_ITCL_BS working _New format_31.03 V7" xfId="12010" xr:uid="{00000000-0005-0000-0000-0000EA2E0000}"/>
    <cellStyle name="_IRECPL 10.03.2006_ITCL-New format_31.03 V6" xfId="12011" xr:uid="{00000000-0005-0000-0000-0000EB2E0000}"/>
    <cellStyle name="_IRECPL 10.03.2006_NFCL working file" xfId="12012" xr:uid="{00000000-0005-0000-0000-0000EC2E0000}"/>
    <cellStyle name="_IRECPL 10.03.2006_NFCL_ Tax Audit Report FY08-09 " xfId="12013" xr:uid="{00000000-0005-0000-0000-0000ED2E0000}"/>
    <cellStyle name="_IRECPL 10.03.2006_Revised Consol Balance Sheet_Sophia_Jan09_10.02.2009" xfId="12014" xr:uid="{00000000-0005-0000-0000-0000EE2E0000}"/>
    <cellStyle name="_IRECPL 10.03.2006_Sophia Consol for Printout 22 Jun 09" xfId="12015" xr:uid="{00000000-0005-0000-0000-0000EF2E0000}"/>
    <cellStyle name="_IRECPL 10.03.2006_Sophia Consol_march_09_05 June  09_1" xfId="12016" xr:uid="{00000000-0005-0000-0000-0000F02E0000}"/>
    <cellStyle name="_IRECPL 10.03.2006_Tax Audit Report  F.Y.08-09" xfId="12017" xr:uid="{00000000-0005-0000-0000-0000F12E0000}"/>
    <cellStyle name="_IRECPL 10.03.2006_Tax Audit Report  ICSL F.Y.09-10" xfId="12018" xr:uid="{00000000-0005-0000-0000-0000F22E0000}"/>
    <cellStyle name="_IRECPL 10.03.2006_Treasury ICD Interest_ MIS_ 23  09 2009(final)" xfId="12019" xr:uid="{00000000-0005-0000-0000-0000F32E0000}"/>
    <cellStyle name="_IRECPL 10.03.2006_Treasury ICD Interest_ MIS_ 30. 06 2009(final)" xfId="12020" xr:uid="{00000000-0005-0000-0000-0000F42E0000}"/>
    <cellStyle name="_IRECPL 10.03.2006_Treasury ICD Interest_ MIS_ 30. 09 2009(final)" xfId="12021" xr:uid="{00000000-0005-0000-0000-0000F52E0000}"/>
    <cellStyle name="_IRECPL 10.03.2006_Treasury ICD Interest_ MIS_ 31 05 2009" xfId="12022" xr:uid="{00000000-0005-0000-0000-0000F62E0000}"/>
    <cellStyle name="_IRECPL 10.03.2006_Treasury ICD Interest_ MIS_ 31 10 2009" xfId="12023" xr:uid="{00000000-0005-0000-0000-0000F72E0000}"/>
    <cellStyle name="_IRECPL 10.03.2006_Treasury ICD Interest_ MIS_ 31.10.2009" xfId="12024" xr:uid="{00000000-0005-0000-0000-0000F82E0000}"/>
    <cellStyle name="_IRECPL 10.03.2006_Treasury ICD Interest_ MIS_ 310309" xfId="12025" xr:uid="{00000000-0005-0000-0000-0000F92E0000}"/>
    <cellStyle name="_IRECPL 10.09.2006" xfId="12026" xr:uid="{00000000-0005-0000-0000-0000FA2E0000}"/>
    <cellStyle name="_IRECPL 10.09.2006 2" xfId="12027" xr:uid="{00000000-0005-0000-0000-0000FB2E0000}"/>
    <cellStyle name="_IRECPL 10.09.2006 2 2" xfId="12028" xr:uid="{00000000-0005-0000-0000-0000FC2E0000}"/>
    <cellStyle name="_IRECPL 10.09.2006 3" xfId="12029" xr:uid="{00000000-0005-0000-0000-0000FD2E0000}"/>
    <cellStyle name="_IRECPL 10.09.2006_269SS &amp; T IIAPL 09-10" xfId="12030" xr:uid="{00000000-0005-0000-0000-0000FE2E0000}"/>
    <cellStyle name="_IRECPL 10.09.2006_Abstract-2007-08" xfId="12031" xr:uid="{00000000-0005-0000-0000-0000FF2E0000}"/>
    <cellStyle name="_IRECPL 10.09.2006_Abstract-2007-08 2" xfId="12032" xr:uid="{00000000-0005-0000-0000-0000002F0000}"/>
    <cellStyle name="_IRECPL 10.09.2006_Advance Tax Format_F.Y. 2010-11" xfId="12033" xr:uid="{00000000-0005-0000-0000-0000012F0000}"/>
    <cellStyle name="_IRECPL 10.09.2006_Advance Tax Sophia Jun 09" xfId="12034" xr:uid="{00000000-0005-0000-0000-0000022F0000}"/>
    <cellStyle name="_IRECPL 10.09.2006_Asset Management Company Limited" xfId="12035" xr:uid="{00000000-0005-0000-0000-0000032F0000}"/>
    <cellStyle name="_IRECPL 10.09.2006_Base File For Segment" xfId="12036" xr:uid="{00000000-0005-0000-0000-0000042F0000}"/>
    <cellStyle name="_IRECPL 10.09.2006_Book1" xfId="12037" xr:uid="{00000000-0005-0000-0000-0000052F0000}"/>
    <cellStyle name="_IRECPL 10.09.2006_Book1 (2)" xfId="12038" xr:uid="{00000000-0005-0000-0000-0000062F0000}"/>
    <cellStyle name="_IRECPL 10.09.2006_Book1 (2) 2" xfId="12039" xr:uid="{00000000-0005-0000-0000-0000072F0000}"/>
    <cellStyle name="_IRECPL 10.09.2006_Bracond Balance Sheet  PL_301108_krishanu" xfId="12040" xr:uid="{00000000-0005-0000-0000-0000082F0000}"/>
    <cellStyle name="_IRECPL 10.09.2006_BS _IB Asset Management _3103_ver5" xfId="12041" xr:uid="{00000000-0005-0000-0000-0000092F0000}"/>
    <cellStyle name="_IRECPL 10.09.2006_BS _IB Asset Management _3103_ver5_IAMCL BS working -New format_31.03 V5" xfId="12042" xr:uid="{00000000-0005-0000-0000-00000A2F0000}"/>
    <cellStyle name="_IRECPL 10.09.2006_CCL_3353_2007-08" xfId="12043" xr:uid="{00000000-0005-0000-0000-00000B2F0000}"/>
    <cellStyle name="_IRECPL 10.09.2006_ChlorisProperties_3351_Dec.08" xfId="12044" xr:uid="{00000000-0005-0000-0000-00000C2F0000}"/>
    <cellStyle name="_IRECPL 10.09.2006_Consol Balance Sheet_Sophia_Dec08_Ibrel_1.3" xfId="12045" xr:uid="{00000000-0005-0000-0000-00000D2F0000}"/>
    <cellStyle name="_IRECPL 10.09.2006_CRAR - dec- 10v-12" xfId="12046" xr:uid="{00000000-0005-0000-0000-00000E2F0000}"/>
    <cellStyle name="_IRECPL 10.09.2006_CRAR - dec- 10v-12 2" xfId="12047" xr:uid="{00000000-0005-0000-0000-00000F2F0000}"/>
    <cellStyle name="_IRECPL 10.09.2006_detail (2)" xfId="12048" xr:uid="{00000000-0005-0000-0000-0000102F0000}"/>
    <cellStyle name="_IRECPL 10.09.2006_Detail of IPO funding" xfId="12049" xr:uid="{00000000-0005-0000-0000-0000112F0000}"/>
    <cellStyle name="_IRECPL 10.09.2006_Details" xfId="12050" xr:uid="{00000000-0005-0000-0000-0000122F0000}"/>
    <cellStyle name="_IRECPL 10.09.2006_Entries Passed in Conso for profit on sale of invRevised 30.07.08" xfId="12051" xr:uid="{00000000-0005-0000-0000-0000132F0000}"/>
    <cellStyle name="_IRECPL 10.09.2006_Entries Passed in Conso for profit on sale of invRevised 30.07.08 2" xfId="12052" xr:uid="{00000000-0005-0000-0000-0000142F0000}"/>
    <cellStyle name="_IRECPL 10.09.2006_Entries Passed in Conso for profit on sale of invRevised 30.07.08_IREL_3000_08-09" xfId="12053" xr:uid="{00000000-0005-0000-0000-0000152F0000}"/>
    <cellStyle name="_IRECPL 10.09.2006_Entries Passed in Conso for profit on sale of invRevised 30.07.08_IREL_3000_08-09 2" xfId="12054" xr:uid="{00000000-0005-0000-0000-0000162F0000}"/>
    <cellStyle name="_IRECPL 10.09.2006_Entries Passed in Conso for profit on sale of invRevised 30.07.08_IREL_3000_08-09 2 2" xfId="12055" xr:uid="{00000000-0005-0000-0000-0000172F0000}"/>
    <cellStyle name="_IRECPL 10.09.2006_Entries Passed in Conso for profit on sale of invRevised 30.07.08_IREL_3000_08-09 3" xfId="12056" xr:uid="{00000000-0005-0000-0000-0000182F0000}"/>
    <cellStyle name="_IRECPL 10.09.2006_Entries Passed in Conso for profit on sale of invRevised 30.07.08_IREL_3000_08-09 stage 3" xfId="12057" xr:uid="{00000000-0005-0000-0000-0000192F0000}"/>
    <cellStyle name="_IRECPL 10.09.2006_Entries Passed in Conso for profit on sale of invRevised 30.07.08_IREL_3000_08-09 stage 3 2" xfId="12058" xr:uid="{00000000-0005-0000-0000-00001A2F0000}"/>
    <cellStyle name="_IRECPL 10.09.2006_Entries Passed in Conso for profit on sale of invRevised 30.07.08_IREL_3000_08-09 stage 3_IREL_3000_08-09" xfId="12059" xr:uid="{00000000-0005-0000-0000-00001B2F0000}"/>
    <cellStyle name="_IRECPL 10.09.2006_Entries Passed in Conso for profit on sale of invRevised 30.07.08_IREL_3000_08-09 stage 3_IREL_3000_08-09 2" xfId="12060" xr:uid="{00000000-0005-0000-0000-00001C2F0000}"/>
    <cellStyle name="_IRECPL 10.09.2006_Entries Passed in Conso for profit on sale of invRevised 30.07.08_IREL_3000_08-09 stage 3_IREL_3000_08-09 2 2" xfId="12061" xr:uid="{00000000-0005-0000-0000-00001D2F0000}"/>
    <cellStyle name="_IRECPL 10.09.2006_Entries Passed in Conso for profit on sale of invRevised 30.07.08_IREL_3000_08-09 stage 3_IREL_3000_08-09 3" xfId="12062" xr:uid="{00000000-0005-0000-0000-00001E2F0000}"/>
    <cellStyle name="_IRECPL 10.09.2006_Entries Passed in Conso for profit on sale of invRevised 30.07.08_IREL_3000_08-09_IBREAL_BS PACK-Version.02" xfId="12063" xr:uid="{00000000-0005-0000-0000-00001F2F0000}"/>
    <cellStyle name="_IRECPL 10.09.2006_Entries Passed in Conso for profit on sale of invRevised 30.07.08_IREL_3000_08-09_IBREAL_BS PACK-Version.02 2" xfId="12064" xr:uid="{00000000-0005-0000-0000-0000202F0000}"/>
    <cellStyle name="_IRECPL 10.09.2006_Entries Passed in Conso for profit on sale of invRevised 30.07.08_IREL_3000_08-09_IBREAL_BS PACK-Version.02 2 2" xfId="12065" xr:uid="{00000000-0005-0000-0000-0000212F0000}"/>
    <cellStyle name="_IRECPL 10.09.2006_Entries Passed in Conso for profit on sale of invRevised 30.07.08_IREL_3000_08-09_IBREAL_BS PACK-Version.02 3" xfId="12066" xr:uid="{00000000-0005-0000-0000-0000222F0000}"/>
    <cellStyle name="_IRECPL 10.09.2006_Entries Passed in Conso for profit on sale of invRevised 30.07.08_IREL_3000_08-09_IBREAL_BS PACK-Version.02_IBREAL_BS PACK-Version.03" xfId="12067" xr:uid="{00000000-0005-0000-0000-0000232F0000}"/>
    <cellStyle name="_IRECPL 10.09.2006_Entries Passed in Conso for profit on sale of invRevised 30.07.08_IREL_3000_08-09_IBREAL_BS PACK-Version.02_IBREAL_BS PACK-Version.03 2" xfId="12068" xr:uid="{00000000-0005-0000-0000-0000242F0000}"/>
    <cellStyle name="_IRECPL 10.09.2006_Entries Passed in Conso for profit on sale of invRevised 30.07.08_IREL_3000_08-09_IBREAL_BS PACK-Version.02_IBREAL_BS PACK-Version.03 2 2" xfId="12069" xr:uid="{00000000-0005-0000-0000-0000252F0000}"/>
    <cellStyle name="_IRECPL 10.09.2006_Entries Passed in Conso for profit on sale of invRevised 30.07.08_IREL_3000_08-09_IBREAL_BS PACK-Version.02_IBREAL_BS PACK-Version.03 3" xfId="12070" xr:uid="{00000000-0005-0000-0000-0000262F0000}"/>
    <cellStyle name="_IRECPL 10.09.2006_Entries Passed in Conso for profit on sale of invRevised 30.07.08_IREL_3000_08-09_IBREAL_BS PACK-Version.02_IBREAL_BS PACK-Version.03_IBREAL_BS PACK-Version.07" xfId="12071" xr:uid="{00000000-0005-0000-0000-0000272F0000}"/>
    <cellStyle name="_IRECPL 10.09.2006_Entries Passed in Conso for profit on sale of invRevised 30.07.08_IREL_3000_08-09_IBREAL_BS PACK-Version.02_IBREAL_BS PACK-Version.03_IBREAL_BS PACK-Version.07 2" xfId="12072" xr:uid="{00000000-0005-0000-0000-0000282F0000}"/>
    <cellStyle name="_IRECPL 10.09.2006_Entries Passed in Conso for profit on sale of invRevised 30.07.08_IREL_3000_08-09_IBREAL_BS PACK-Version.02_IBREAL_BS PACK-Version.03_IBREAL_BS PACK-Version.07 2 2" xfId="12073" xr:uid="{00000000-0005-0000-0000-0000292F0000}"/>
    <cellStyle name="_IRECPL 10.09.2006_Entries Passed in Conso for profit on sale of invRevised 30.07.08_IREL_3000_08-09_IBREAL_BS PACK-Version.02_IBREAL_BS PACK-Version.03_IBREAL_BS PACK-Version.07 3" xfId="12074" xr:uid="{00000000-0005-0000-0000-00002A2F0000}"/>
    <cellStyle name="_IRECPL 10.09.2006_EPL_3346_2007-08(C)" xfId="12075" xr:uid="{00000000-0005-0000-0000-00002B2F0000}"/>
    <cellStyle name="_IRECPL 10.09.2006_FD Detail" xfId="12076" xr:uid="{00000000-0005-0000-0000-00002C2F0000}"/>
    <cellStyle name="_IRECPL 10.09.2006_FD Detail_Xl0000013" xfId="12077" xr:uid="{00000000-0005-0000-0000-00002D2F0000}"/>
    <cellStyle name="_IRECPL 10.09.2006_Final Consol Balance Sheet_Sophia_Dec08_27.01.08" xfId="12078" xr:uid="{00000000-0005-0000-0000-00002E2F0000}"/>
    <cellStyle name="_IRECPL 10.09.2006_Fixed Assets consolidated" xfId="12079" xr:uid="{00000000-0005-0000-0000-00002F2F0000}"/>
    <cellStyle name="_IRECPL 10.09.2006_IAMCL BS working -New format_31.03 V5" xfId="12080" xr:uid="{00000000-0005-0000-0000-0000302F0000}"/>
    <cellStyle name="_IRECPL 10.09.2006_IB Asset Management _2910" xfId="12081" xr:uid="{00000000-0005-0000-0000-0000312F0000}"/>
    <cellStyle name="_IRECPL 10.09.2006_IB Asset Management _2910_IB Collection Agency_3103 V3" xfId="12082" xr:uid="{00000000-0005-0000-0000-0000322F0000}"/>
    <cellStyle name="_IRECPL 10.09.2006_IB Asset Management _2910_IB Collection Agency_3103 V3_ICAL-New Format_31.03 V4" xfId="12083" xr:uid="{00000000-0005-0000-0000-0000332F0000}"/>
    <cellStyle name="_IRECPL 10.09.2006_IB Asset Management _2910_ICAL-BS Final Working _New format" xfId="12084" xr:uid="{00000000-0005-0000-0000-0000342F0000}"/>
    <cellStyle name="_IRECPL 10.09.2006_IB Asset Management _3103_ver5" xfId="12085" xr:uid="{00000000-0005-0000-0000-0000352F0000}"/>
    <cellStyle name="_IRECPL 10.09.2006_IB Asset Management_3103 V2" xfId="12086" xr:uid="{00000000-0005-0000-0000-0000362F0000}"/>
    <cellStyle name="_IRECPL 10.09.2006_IB Asset Management_3103 V4" xfId="12087" xr:uid="{00000000-0005-0000-0000-0000372F0000}"/>
    <cellStyle name="_IRECPL 10.09.2006_IB Asset Management_3103 V5" xfId="12088" xr:uid="{00000000-0005-0000-0000-0000382F0000}"/>
    <cellStyle name="_IRECPL 10.09.2006_IB Collection Agency_3103 V3" xfId="12089" xr:uid="{00000000-0005-0000-0000-0000392F0000}"/>
    <cellStyle name="_IRECPL 10.09.2006_IB Collection Agency_3103 V3_ICAL-New Format_31.03 V4" xfId="12090" xr:uid="{00000000-0005-0000-0000-00003A2F0000}"/>
    <cellStyle name="_IRECPL 10.09.2006_IB Infrastructure Credit" xfId="12091" xr:uid="{00000000-0005-0000-0000-00003B2F0000}"/>
    <cellStyle name="_IRECPL 10.09.2006_IB Infrastructure Credit-3103_V6" xfId="12092" xr:uid="{00000000-0005-0000-0000-00003C2F0000}"/>
    <cellStyle name="_IRECPL 10.09.2006_IB Infrastructure Credit-3103_V7" xfId="12093" xr:uid="{00000000-0005-0000-0000-00003D2F0000}"/>
    <cellStyle name="_IRECPL 10.09.2006_IB Life Insurance_3103 V4" xfId="12094" xr:uid="{00000000-0005-0000-0000-00003E2F0000}"/>
    <cellStyle name="_IRECPL 10.09.2006_IB Trustee Company_3103 V4" xfId="12095" xr:uid="{00000000-0005-0000-0000-00003F2F0000}"/>
    <cellStyle name="_IRECPL 10.09.2006_IBFSL 30 Sep 11 V8" xfId="12096" xr:uid="{00000000-0005-0000-0000-0000402F0000}"/>
    <cellStyle name="_IRECPL 10.09.2006_IBFSL 31 May V1" xfId="12097" xr:uid="{00000000-0005-0000-0000-0000412F0000}"/>
    <cellStyle name="_IRECPL 10.09.2006_IBFSL 31 May V1_Xl0000013" xfId="12098" xr:uid="{00000000-0005-0000-0000-0000422F0000}"/>
    <cellStyle name="_IRECPL 10.09.2006_IBFSL_Conso_March_10_11" xfId="12099" xr:uid="{00000000-0005-0000-0000-0000432F0000}"/>
    <cellStyle name="_IRECPL 10.09.2006_IBLIC_BS  Final working -New_Format_31.03 V5" xfId="12100" xr:uid="{00000000-0005-0000-0000-0000442F0000}"/>
    <cellStyle name="_IRECPL 10.09.2006_Ibulls BS Final woirking -New format_31.03 V5" xfId="12101" xr:uid="{00000000-0005-0000-0000-0000452F0000}"/>
    <cellStyle name="_IRECPL 10.09.2006_IbullsSales_3103" xfId="12102" xr:uid="{00000000-0005-0000-0000-0000462F0000}"/>
    <cellStyle name="_IRECPL 10.09.2006_IbullsSales_3103 V2" xfId="12103" xr:uid="{00000000-0005-0000-0000-0000472F0000}"/>
    <cellStyle name="_IRECPL 10.09.2006_IbullsSales_3103 V5" xfId="12104" xr:uid="{00000000-0005-0000-0000-0000482F0000}"/>
    <cellStyle name="_IRECPL 10.09.2006_ICAL-BS Final Working _New format" xfId="12105" xr:uid="{00000000-0005-0000-0000-0000492F0000}"/>
    <cellStyle name="_IRECPL 10.09.2006_ICL_BS_30.06.2009" xfId="12106" xr:uid="{00000000-0005-0000-0000-00004A2F0000}"/>
    <cellStyle name="_IRECPL 10.09.2006_ICPL_BS_31.03.2009_new" xfId="12107" xr:uid="{00000000-0005-0000-0000-00004B2F0000}"/>
    <cellStyle name="_IRECPL 10.09.2006_ICPL_BS_31.03.2009_new_ISL__3CD_FY2010-11" xfId="12108" xr:uid="{00000000-0005-0000-0000-00004C2F0000}"/>
    <cellStyle name="_IRECPL 10.09.2006_IDSL_31.03.2010" xfId="12109" xr:uid="{00000000-0005-0000-0000-00004D2F0000}"/>
    <cellStyle name="_IRECPL 10.09.2006_IFCPL 31 03 2010 VER6 Final" xfId="12110" xr:uid="{00000000-0005-0000-0000-00004E2F0000}"/>
    <cellStyle name="_IRECPL 10.09.2006_IHFL_Dec_23_2008" xfId="12111" xr:uid="{00000000-0005-0000-0000-00004F2F0000}"/>
    <cellStyle name="_IRECPL 10.09.2006_IHFL_Dec_23_2008_Xl0000013" xfId="12112" xr:uid="{00000000-0005-0000-0000-0000502F0000}"/>
    <cellStyle name="_IRECPL 10.09.2006_IHFL_SEP_30_2009 XIII AUDIT- Sch II" xfId="12113" xr:uid="{00000000-0005-0000-0000-0000512F0000}"/>
    <cellStyle name="_IRECPL 10.09.2006_IIAL 31.03.2010 VER2" xfId="12114" xr:uid="{00000000-0005-0000-0000-0000522F0000}"/>
    <cellStyle name="_IRECPL 10.09.2006_IICL_March'11" xfId="12115" xr:uid="{00000000-0005-0000-0000-0000532F0000}"/>
    <cellStyle name="_IRECPL 10.09.2006_IIDL_3227_2008_09" xfId="12116" xr:uid="{00000000-0005-0000-0000-0000542F0000}"/>
    <cellStyle name="_IRECPL 10.09.2006_IIDL_3227_2008_09_Advance Tax Summary" xfId="12117" xr:uid="{00000000-0005-0000-0000-0000552F0000}"/>
    <cellStyle name="_IRECPL 10.09.2006_IIDL_3227_2008_09_Advance Tax Summary 2" xfId="12118" xr:uid="{00000000-0005-0000-0000-0000562F0000}"/>
    <cellStyle name="_IRECPL 10.09.2006_IIDL_3227_2008_09_ISL Group - Advance Tax working for 3rd Instalment" xfId="12119" xr:uid="{00000000-0005-0000-0000-0000572F0000}"/>
    <cellStyle name="_IRECPL 10.09.2006_IIDL_3227_2008_09_Xl0000013" xfId="12120" xr:uid="{00000000-0005-0000-0000-0000582F0000}"/>
    <cellStyle name="_IRECPL 10.09.2006_Indiabulls Asset Management Company Limited printable" xfId="12121" xr:uid="{00000000-0005-0000-0000-0000592F0000}"/>
    <cellStyle name="_IRECPL 10.09.2006_IREL_3000_08-09" xfId="12122" xr:uid="{00000000-0005-0000-0000-00005A2F0000}"/>
    <cellStyle name="_IRECPL 10.09.2006_IREL_3000_08-09 2" xfId="12123" xr:uid="{00000000-0005-0000-0000-00005B2F0000}"/>
    <cellStyle name="_IRECPL 10.09.2006_ISL_March_08_09.final_11.12.2009" xfId="12124" xr:uid="{00000000-0005-0000-0000-00005C2F0000}"/>
    <cellStyle name="_IRECPL 10.09.2006_ISL_March_08_09.final_11.12.2009_ISL__3CD_FY2010-11" xfId="12125" xr:uid="{00000000-0005-0000-0000-00005D2F0000}"/>
    <cellStyle name="_IRECPL 10.09.2006_ITCL_BS working _New format_31.03 V7" xfId="12126" xr:uid="{00000000-0005-0000-0000-00005E2F0000}"/>
    <cellStyle name="_IRECPL 10.09.2006_ITCL-New format_31.03 V6" xfId="12127" xr:uid="{00000000-0005-0000-0000-00005F2F0000}"/>
    <cellStyle name="_IRECPL 10.09.2006_NFCL working file" xfId="12128" xr:uid="{00000000-0005-0000-0000-0000602F0000}"/>
    <cellStyle name="_IRECPL 10.09.2006_NFCL_ Tax Audit Report FY08-09 " xfId="12129" xr:uid="{00000000-0005-0000-0000-0000612F0000}"/>
    <cellStyle name="_IRECPL 10.09.2006_Revised Consol Balance Sheet_Sophia_Jan09_10.02.2009" xfId="12130" xr:uid="{00000000-0005-0000-0000-0000622F0000}"/>
    <cellStyle name="_IRECPL 10.09.2006_Sophia Consol for Printout 22 Jun 09" xfId="12131" xr:uid="{00000000-0005-0000-0000-0000632F0000}"/>
    <cellStyle name="_IRECPL 10.09.2006_Sophia Consol_march_09_05 June  09_1" xfId="12132" xr:uid="{00000000-0005-0000-0000-0000642F0000}"/>
    <cellStyle name="_IRECPL 10.09.2006_Tax Audit Report  F.Y.08-09" xfId="12133" xr:uid="{00000000-0005-0000-0000-0000652F0000}"/>
    <cellStyle name="_IRECPL 10.09.2006_Tax Audit Report  ICSL F.Y.09-10" xfId="12134" xr:uid="{00000000-0005-0000-0000-0000662F0000}"/>
    <cellStyle name="_IRECPL 10.09.2006_Treasury ICD Interest_ MIS_ 23  09 2009(final)" xfId="12135" xr:uid="{00000000-0005-0000-0000-0000672F0000}"/>
    <cellStyle name="_IRECPL 10.09.2006_Treasury ICD Interest_ MIS_ 30. 06 2009(final)" xfId="12136" xr:uid="{00000000-0005-0000-0000-0000682F0000}"/>
    <cellStyle name="_IRECPL 10.09.2006_Treasury ICD Interest_ MIS_ 30. 09 2009(final)" xfId="12137" xr:uid="{00000000-0005-0000-0000-0000692F0000}"/>
    <cellStyle name="_IRECPL 10.09.2006_Treasury ICD Interest_ MIS_ 31 05 2009" xfId="12138" xr:uid="{00000000-0005-0000-0000-00006A2F0000}"/>
    <cellStyle name="_IRECPL 10.09.2006_Treasury ICD Interest_ MIS_ 31 10 2009" xfId="12139" xr:uid="{00000000-0005-0000-0000-00006B2F0000}"/>
    <cellStyle name="_IRECPL 10.09.2006_Treasury ICD Interest_ MIS_ 31.10.2009" xfId="12140" xr:uid="{00000000-0005-0000-0000-00006C2F0000}"/>
    <cellStyle name="_IRECPL 10.09.2006_Treasury ICD Interest_ MIS_ 310309" xfId="12141" xr:uid="{00000000-0005-0000-0000-00006D2F0000}"/>
    <cellStyle name="_IREL-Subsidiaries MK" xfId="12142" xr:uid="{00000000-0005-0000-0000-00006E2F0000}"/>
    <cellStyle name="_IREL-Subsidiaries MK 2" xfId="12143" xr:uid="{00000000-0005-0000-0000-00006F2F0000}"/>
    <cellStyle name="_IREL-Subsidiaries MK 2 2" xfId="12144" xr:uid="{00000000-0005-0000-0000-0000702F0000}"/>
    <cellStyle name="_IREL-Subsidiaries MK 3" xfId="12145" xr:uid="{00000000-0005-0000-0000-0000712F0000}"/>
    <cellStyle name="_IREL-Subsidiaries MK 3 2" xfId="12146" xr:uid="{00000000-0005-0000-0000-0000722F0000}"/>
    <cellStyle name="_IREL-Subsidiaries MK 4" xfId="12147" xr:uid="{00000000-0005-0000-0000-0000732F0000}"/>
    <cellStyle name="_IREL-Subsidiaries MK 4 2" xfId="12148" xr:uid="{00000000-0005-0000-0000-0000742F0000}"/>
    <cellStyle name="_IREL-Subsidiaries MK 5" xfId="12149" xr:uid="{00000000-0005-0000-0000-0000752F0000}"/>
    <cellStyle name="_IREL-Subsidiaries MK 5 2" xfId="12150" xr:uid="{00000000-0005-0000-0000-0000762F0000}"/>
    <cellStyle name="_IREL-Subsidiaries MK 6" xfId="12151" xr:uid="{00000000-0005-0000-0000-0000772F0000}"/>
    <cellStyle name="_IRL  10.09.2006" xfId="12152" xr:uid="{00000000-0005-0000-0000-0000782F0000}"/>
    <cellStyle name="_IRL  10.09.2006 2" xfId="12153" xr:uid="{00000000-0005-0000-0000-0000792F0000}"/>
    <cellStyle name="_IRL  10.09.2006 2 2" xfId="12154" xr:uid="{00000000-0005-0000-0000-00007A2F0000}"/>
    <cellStyle name="_IRL  10.09.2006 3" xfId="12155" xr:uid="{00000000-0005-0000-0000-00007B2F0000}"/>
    <cellStyle name="_IRL  10.09.2006_269SS &amp; T IIAPL 09-10" xfId="12156" xr:uid="{00000000-0005-0000-0000-00007C2F0000}"/>
    <cellStyle name="_IRL  10.09.2006_Abstract-2007-08" xfId="12157" xr:uid="{00000000-0005-0000-0000-00007D2F0000}"/>
    <cellStyle name="_IRL  10.09.2006_Abstract-2007-08 2" xfId="12158" xr:uid="{00000000-0005-0000-0000-00007E2F0000}"/>
    <cellStyle name="_IRL  10.09.2006_Advance Tax Format_F.Y. 2010-11" xfId="12159" xr:uid="{00000000-0005-0000-0000-00007F2F0000}"/>
    <cellStyle name="_IRL  10.09.2006_Advance Tax Sophia Jun 09" xfId="12160" xr:uid="{00000000-0005-0000-0000-0000802F0000}"/>
    <cellStyle name="_IRL  10.09.2006_Asset Management Company Limited" xfId="12161" xr:uid="{00000000-0005-0000-0000-0000812F0000}"/>
    <cellStyle name="_IRL  10.09.2006_Base File For Segment" xfId="12162" xr:uid="{00000000-0005-0000-0000-0000822F0000}"/>
    <cellStyle name="_IRL  10.09.2006_Book1" xfId="12163" xr:uid="{00000000-0005-0000-0000-0000832F0000}"/>
    <cellStyle name="_IRL  10.09.2006_Book1 (2)" xfId="12164" xr:uid="{00000000-0005-0000-0000-0000842F0000}"/>
    <cellStyle name="_IRL  10.09.2006_Book1 (2) 2" xfId="12165" xr:uid="{00000000-0005-0000-0000-0000852F0000}"/>
    <cellStyle name="_IRL  10.09.2006_Bracond Balance Sheet  PL_301108_krishanu" xfId="12166" xr:uid="{00000000-0005-0000-0000-0000862F0000}"/>
    <cellStyle name="_IRL  10.09.2006_BS _IB Asset Management _3103_ver5" xfId="12167" xr:uid="{00000000-0005-0000-0000-0000872F0000}"/>
    <cellStyle name="_IRL  10.09.2006_BS _IB Asset Management _3103_ver5_IAMCL BS working -New format_31.03 V5" xfId="12168" xr:uid="{00000000-0005-0000-0000-0000882F0000}"/>
    <cellStyle name="_IRL  10.09.2006_CCL_3353_2007-08" xfId="12169" xr:uid="{00000000-0005-0000-0000-0000892F0000}"/>
    <cellStyle name="_IRL  10.09.2006_ChlorisProperties_3351_Dec.08" xfId="12170" xr:uid="{00000000-0005-0000-0000-00008A2F0000}"/>
    <cellStyle name="_IRL  10.09.2006_Consol Balance Sheet_Sophia_Dec08_Ibrel_1.3" xfId="12171" xr:uid="{00000000-0005-0000-0000-00008B2F0000}"/>
    <cellStyle name="_IRL  10.09.2006_CRAR - dec- 10v-12" xfId="12172" xr:uid="{00000000-0005-0000-0000-00008C2F0000}"/>
    <cellStyle name="_IRL  10.09.2006_CRAR - dec- 10v-12 2" xfId="12173" xr:uid="{00000000-0005-0000-0000-00008D2F0000}"/>
    <cellStyle name="_IRL  10.09.2006_detail (2)" xfId="12174" xr:uid="{00000000-0005-0000-0000-00008E2F0000}"/>
    <cellStyle name="_IRL  10.09.2006_Detail of IPO funding" xfId="12175" xr:uid="{00000000-0005-0000-0000-00008F2F0000}"/>
    <cellStyle name="_IRL  10.09.2006_Details" xfId="12176" xr:uid="{00000000-0005-0000-0000-0000902F0000}"/>
    <cellStyle name="_IRL  10.09.2006_Entries Passed in Conso for profit on sale of invRevised 30.07.08" xfId="12177" xr:uid="{00000000-0005-0000-0000-0000912F0000}"/>
    <cellStyle name="_IRL  10.09.2006_Entries Passed in Conso for profit on sale of invRevised 30.07.08 2" xfId="12178" xr:uid="{00000000-0005-0000-0000-0000922F0000}"/>
    <cellStyle name="_IRL  10.09.2006_Entries Passed in Conso for profit on sale of invRevised 30.07.08_IREL_3000_08-09" xfId="12179" xr:uid="{00000000-0005-0000-0000-0000932F0000}"/>
    <cellStyle name="_IRL  10.09.2006_Entries Passed in Conso for profit on sale of invRevised 30.07.08_IREL_3000_08-09 2" xfId="12180" xr:uid="{00000000-0005-0000-0000-0000942F0000}"/>
    <cellStyle name="_IRL  10.09.2006_Entries Passed in Conso for profit on sale of invRevised 30.07.08_IREL_3000_08-09 2 2" xfId="12181" xr:uid="{00000000-0005-0000-0000-0000952F0000}"/>
    <cellStyle name="_IRL  10.09.2006_Entries Passed in Conso for profit on sale of invRevised 30.07.08_IREL_3000_08-09 3" xfId="12182" xr:uid="{00000000-0005-0000-0000-0000962F0000}"/>
    <cellStyle name="_IRL  10.09.2006_Entries Passed in Conso for profit on sale of invRevised 30.07.08_IREL_3000_08-09 stage 3" xfId="12183" xr:uid="{00000000-0005-0000-0000-0000972F0000}"/>
    <cellStyle name="_IRL  10.09.2006_Entries Passed in Conso for profit on sale of invRevised 30.07.08_IREL_3000_08-09 stage 3 2" xfId="12184" xr:uid="{00000000-0005-0000-0000-0000982F0000}"/>
    <cellStyle name="_IRL  10.09.2006_Entries Passed in Conso for profit on sale of invRevised 30.07.08_IREL_3000_08-09 stage 3_IREL_3000_08-09" xfId="12185" xr:uid="{00000000-0005-0000-0000-0000992F0000}"/>
    <cellStyle name="_IRL  10.09.2006_Entries Passed in Conso for profit on sale of invRevised 30.07.08_IREL_3000_08-09 stage 3_IREL_3000_08-09 2" xfId="12186" xr:uid="{00000000-0005-0000-0000-00009A2F0000}"/>
    <cellStyle name="_IRL  10.09.2006_Entries Passed in Conso for profit on sale of invRevised 30.07.08_IREL_3000_08-09 stage 3_IREL_3000_08-09 2 2" xfId="12187" xr:uid="{00000000-0005-0000-0000-00009B2F0000}"/>
    <cellStyle name="_IRL  10.09.2006_Entries Passed in Conso for profit on sale of invRevised 30.07.08_IREL_3000_08-09 stage 3_IREL_3000_08-09 3" xfId="12188" xr:uid="{00000000-0005-0000-0000-00009C2F0000}"/>
    <cellStyle name="_IRL  10.09.2006_Entries Passed in Conso for profit on sale of invRevised 30.07.08_IREL_3000_08-09_IBREAL_BS PACK-Version.02" xfId="12189" xr:uid="{00000000-0005-0000-0000-00009D2F0000}"/>
    <cellStyle name="_IRL  10.09.2006_Entries Passed in Conso for profit on sale of invRevised 30.07.08_IREL_3000_08-09_IBREAL_BS PACK-Version.02 2" xfId="12190" xr:uid="{00000000-0005-0000-0000-00009E2F0000}"/>
    <cellStyle name="_IRL  10.09.2006_Entries Passed in Conso for profit on sale of invRevised 30.07.08_IREL_3000_08-09_IBREAL_BS PACK-Version.02 2 2" xfId="12191" xr:uid="{00000000-0005-0000-0000-00009F2F0000}"/>
    <cellStyle name="_IRL  10.09.2006_Entries Passed in Conso for profit on sale of invRevised 30.07.08_IREL_3000_08-09_IBREAL_BS PACK-Version.02 3" xfId="12192" xr:uid="{00000000-0005-0000-0000-0000A02F0000}"/>
    <cellStyle name="_IRL  10.09.2006_Entries Passed in Conso for profit on sale of invRevised 30.07.08_IREL_3000_08-09_IBREAL_BS PACK-Version.02_IBREAL_BS PACK-Version.03" xfId="12193" xr:uid="{00000000-0005-0000-0000-0000A12F0000}"/>
    <cellStyle name="_IRL  10.09.2006_Entries Passed in Conso for profit on sale of invRevised 30.07.08_IREL_3000_08-09_IBREAL_BS PACK-Version.02_IBREAL_BS PACK-Version.03 2" xfId="12194" xr:uid="{00000000-0005-0000-0000-0000A22F0000}"/>
    <cellStyle name="_IRL  10.09.2006_Entries Passed in Conso for profit on sale of invRevised 30.07.08_IREL_3000_08-09_IBREAL_BS PACK-Version.02_IBREAL_BS PACK-Version.03 2 2" xfId="12195" xr:uid="{00000000-0005-0000-0000-0000A32F0000}"/>
    <cellStyle name="_IRL  10.09.2006_Entries Passed in Conso for profit on sale of invRevised 30.07.08_IREL_3000_08-09_IBREAL_BS PACK-Version.02_IBREAL_BS PACK-Version.03 3" xfId="12196" xr:uid="{00000000-0005-0000-0000-0000A42F0000}"/>
    <cellStyle name="_IRL  10.09.2006_Entries Passed in Conso for profit on sale of invRevised 30.07.08_IREL_3000_08-09_IBREAL_BS PACK-Version.02_IBREAL_BS PACK-Version.03_IBREAL_BS PACK-Version.07" xfId="12197" xr:uid="{00000000-0005-0000-0000-0000A52F0000}"/>
    <cellStyle name="_IRL  10.09.2006_Entries Passed in Conso for profit on sale of invRevised 30.07.08_IREL_3000_08-09_IBREAL_BS PACK-Version.02_IBREAL_BS PACK-Version.03_IBREAL_BS PACK-Version.07 2" xfId="12198" xr:uid="{00000000-0005-0000-0000-0000A62F0000}"/>
    <cellStyle name="_IRL  10.09.2006_Entries Passed in Conso for profit on sale of invRevised 30.07.08_IREL_3000_08-09_IBREAL_BS PACK-Version.02_IBREAL_BS PACK-Version.03_IBREAL_BS PACK-Version.07 2 2" xfId="12199" xr:uid="{00000000-0005-0000-0000-0000A72F0000}"/>
    <cellStyle name="_IRL  10.09.2006_Entries Passed in Conso for profit on sale of invRevised 30.07.08_IREL_3000_08-09_IBREAL_BS PACK-Version.02_IBREAL_BS PACK-Version.03_IBREAL_BS PACK-Version.07 3" xfId="12200" xr:uid="{00000000-0005-0000-0000-0000A82F0000}"/>
    <cellStyle name="_IRL  10.09.2006_EPL_3346_2007-08(C)" xfId="12201" xr:uid="{00000000-0005-0000-0000-0000A92F0000}"/>
    <cellStyle name="_IRL  10.09.2006_FD Detail" xfId="12202" xr:uid="{00000000-0005-0000-0000-0000AA2F0000}"/>
    <cellStyle name="_IRL  10.09.2006_FD Detail_Xl0000013" xfId="12203" xr:uid="{00000000-0005-0000-0000-0000AB2F0000}"/>
    <cellStyle name="_IRL  10.09.2006_Final Consol Balance Sheet_Sophia_Dec08_27.01.08" xfId="12204" xr:uid="{00000000-0005-0000-0000-0000AC2F0000}"/>
    <cellStyle name="_IRL  10.09.2006_Fixed Assets consolidated" xfId="12205" xr:uid="{00000000-0005-0000-0000-0000AD2F0000}"/>
    <cellStyle name="_IRL  10.09.2006_IAMCL BS working -New format_31.03 V5" xfId="12206" xr:uid="{00000000-0005-0000-0000-0000AE2F0000}"/>
    <cellStyle name="_IRL  10.09.2006_IB Asset Management _2910" xfId="12207" xr:uid="{00000000-0005-0000-0000-0000AF2F0000}"/>
    <cellStyle name="_IRL  10.09.2006_IB Asset Management _2910_IB Collection Agency_3103 V3" xfId="12208" xr:uid="{00000000-0005-0000-0000-0000B02F0000}"/>
    <cellStyle name="_IRL  10.09.2006_IB Asset Management _2910_IB Collection Agency_3103 V3_ICAL-New Format_31.03 V4" xfId="12209" xr:uid="{00000000-0005-0000-0000-0000B12F0000}"/>
    <cellStyle name="_IRL  10.09.2006_IB Asset Management _2910_ICAL-BS Final Working _New format" xfId="12210" xr:uid="{00000000-0005-0000-0000-0000B22F0000}"/>
    <cellStyle name="_IRL  10.09.2006_IB Asset Management _3103_ver5" xfId="12211" xr:uid="{00000000-0005-0000-0000-0000B32F0000}"/>
    <cellStyle name="_IRL  10.09.2006_IB Asset Management_3103 V2" xfId="12212" xr:uid="{00000000-0005-0000-0000-0000B42F0000}"/>
    <cellStyle name="_IRL  10.09.2006_IB Asset Management_3103 V4" xfId="12213" xr:uid="{00000000-0005-0000-0000-0000B52F0000}"/>
    <cellStyle name="_IRL  10.09.2006_IB Asset Management_3103 V5" xfId="12214" xr:uid="{00000000-0005-0000-0000-0000B62F0000}"/>
    <cellStyle name="_IRL  10.09.2006_IB Collection Agency_3103 V3" xfId="12215" xr:uid="{00000000-0005-0000-0000-0000B72F0000}"/>
    <cellStyle name="_IRL  10.09.2006_IB Collection Agency_3103 V3_ICAL-New Format_31.03 V4" xfId="12216" xr:uid="{00000000-0005-0000-0000-0000B82F0000}"/>
    <cellStyle name="_IRL  10.09.2006_IB Infrastructure Credit" xfId="12217" xr:uid="{00000000-0005-0000-0000-0000B92F0000}"/>
    <cellStyle name="_IRL  10.09.2006_IB Infrastructure Credit-3103_V6" xfId="12218" xr:uid="{00000000-0005-0000-0000-0000BA2F0000}"/>
    <cellStyle name="_IRL  10.09.2006_IB Infrastructure Credit-3103_V7" xfId="12219" xr:uid="{00000000-0005-0000-0000-0000BB2F0000}"/>
    <cellStyle name="_IRL  10.09.2006_IB Life Insurance_3103 V4" xfId="12220" xr:uid="{00000000-0005-0000-0000-0000BC2F0000}"/>
    <cellStyle name="_IRL  10.09.2006_IB Trustee Company_3103 V4" xfId="12221" xr:uid="{00000000-0005-0000-0000-0000BD2F0000}"/>
    <cellStyle name="_IRL  10.09.2006_IBFSL 30 Sep 11 V8" xfId="12222" xr:uid="{00000000-0005-0000-0000-0000BE2F0000}"/>
    <cellStyle name="_IRL  10.09.2006_IBFSL 31 May V1" xfId="12223" xr:uid="{00000000-0005-0000-0000-0000BF2F0000}"/>
    <cellStyle name="_IRL  10.09.2006_IBFSL 31 May V1_Xl0000013" xfId="12224" xr:uid="{00000000-0005-0000-0000-0000C02F0000}"/>
    <cellStyle name="_IRL  10.09.2006_IBFSL_Conso_March_10_11" xfId="12225" xr:uid="{00000000-0005-0000-0000-0000C12F0000}"/>
    <cellStyle name="_IRL  10.09.2006_IBLIC_BS  Final working -New_Format_31.03 V5" xfId="12226" xr:uid="{00000000-0005-0000-0000-0000C22F0000}"/>
    <cellStyle name="_IRL  10.09.2006_Ibulls BS Final woirking -New format_31.03 V5" xfId="12227" xr:uid="{00000000-0005-0000-0000-0000C32F0000}"/>
    <cellStyle name="_IRL  10.09.2006_IbullsSales_3103" xfId="12228" xr:uid="{00000000-0005-0000-0000-0000C42F0000}"/>
    <cellStyle name="_IRL  10.09.2006_IbullsSales_3103 V2" xfId="12229" xr:uid="{00000000-0005-0000-0000-0000C52F0000}"/>
    <cellStyle name="_IRL  10.09.2006_IbullsSales_3103 V5" xfId="12230" xr:uid="{00000000-0005-0000-0000-0000C62F0000}"/>
    <cellStyle name="_IRL  10.09.2006_ICAL-BS Final Working _New format" xfId="12231" xr:uid="{00000000-0005-0000-0000-0000C72F0000}"/>
    <cellStyle name="_IRL  10.09.2006_ICL_BS_30.06.2009" xfId="12232" xr:uid="{00000000-0005-0000-0000-0000C82F0000}"/>
    <cellStyle name="_IRL  10.09.2006_ICPL_BS_31.03.2009_new" xfId="12233" xr:uid="{00000000-0005-0000-0000-0000C92F0000}"/>
    <cellStyle name="_IRL  10.09.2006_ICPL_BS_31.03.2009_new_ISL__3CD_FY2010-11" xfId="12234" xr:uid="{00000000-0005-0000-0000-0000CA2F0000}"/>
    <cellStyle name="_IRL  10.09.2006_IDSL_31.03.2010" xfId="12235" xr:uid="{00000000-0005-0000-0000-0000CB2F0000}"/>
    <cellStyle name="_IRL  10.09.2006_IFCPL 31 03 2010 VER6 Final" xfId="12236" xr:uid="{00000000-0005-0000-0000-0000CC2F0000}"/>
    <cellStyle name="_IRL  10.09.2006_IHFL_Dec_23_2008" xfId="12237" xr:uid="{00000000-0005-0000-0000-0000CD2F0000}"/>
    <cellStyle name="_IRL  10.09.2006_IHFL_Dec_23_2008_Xl0000013" xfId="12238" xr:uid="{00000000-0005-0000-0000-0000CE2F0000}"/>
    <cellStyle name="_IRL  10.09.2006_IHFL_SEP_30_2009 XIII AUDIT- Sch II" xfId="12239" xr:uid="{00000000-0005-0000-0000-0000CF2F0000}"/>
    <cellStyle name="_IRL  10.09.2006_IIAL 31.03.2010 VER2" xfId="12240" xr:uid="{00000000-0005-0000-0000-0000D02F0000}"/>
    <cellStyle name="_IRL  10.09.2006_IICL_March'11" xfId="12241" xr:uid="{00000000-0005-0000-0000-0000D12F0000}"/>
    <cellStyle name="_IRL  10.09.2006_IIDL_3227_2008_09" xfId="12242" xr:uid="{00000000-0005-0000-0000-0000D22F0000}"/>
    <cellStyle name="_IRL  10.09.2006_IIDL_3227_2008_09_Advance Tax Summary" xfId="12243" xr:uid="{00000000-0005-0000-0000-0000D32F0000}"/>
    <cellStyle name="_IRL  10.09.2006_IIDL_3227_2008_09_Advance Tax Summary 2" xfId="12244" xr:uid="{00000000-0005-0000-0000-0000D42F0000}"/>
    <cellStyle name="_IRL  10.09.2006_IIDL_3227_2008_09_ISL Group - Advance Tax working for 3rd Instalment" xfId="12245" xr:uid="{00000000-0005-0000-0000-0000D52F0000}"/>
    <cellStyle name="_IRL  10.09.2006_IIDL_3227_2008_09_Xl0000013" xfId="12246" xr:uid="{00000000-0005-0000-0000-0000D62F0000}"/>
    <cellStyle name="_IRL  10.09.2006_Indiabulls Asset Management Company Limited printable" xfId="12247" xr:uid="{00000000-0005-0000-0000-0000D72F0000}"/>
    <cellStyle name="_IRL  10.09.2006_IREL_3000_08-09" xfId="12248" xr:uid="{00000000-0005-0000-0000-0000D82F0000}"/>
    <cellStyle name="_IRL  10.09.2006_IREL_3000_08-09 2" xfId="12249" xr:uid="{00000000-0005-0000-0000-0000D92F0000}"/>
    <cellStyle name="_IRL  10.09.2006_ISL_March_08_09.final_11.12.2009" xfId="12250" xr:uid="{00000000-0005-0000-0000-0000DA2F0000}"/>
    <cellStyle name="_IRL  10.09.2006_ISL_March_08_09.final_11.12.2009_ISL__3CD_FY2010-11" xfId="12251" xr:uid="{00000000-0005-0000-0000-0000DB2F0000}"/>
    <cellStyle name="_IRL  10.09.2006_ITCL_BS working _New format_31.03 V7" xfId="12252" xr:uid="{00000000-0005-0000-0000-0000DC2F0000}"/>
    <cellStyle name="_IRL  10.09.2006_ITCL-New format_31.03 V6" xfId="12253" xr:uid="{00000000-0005-0000-0000-0000DD2F0000}"/>
    <cellStyle name="_IRL  10.09.2006_NFCL working file" xfId="12254" xr:uid="{00000000-0005-0000-0000-0000DE2F0000}"/>
    <cellStyle name="_IRL  10.09.2006_NFCL_ Tax Audit Report FY08-09 " xfId="12255" xr:uid="{00000000-0005-0000-0000-0000DF2F0000}"/>
    <cellStyle name="_IRL  10.09.2006_Revised Consol Balance Sheet_Sophia_Jan09_10.02.2009" xfId="12256" xr:uid="{00000000-0005-0000-0000-0000E02F0000}"/>
    <cellStyle name="_IRL  10.09.2006_Sophia Consol for Printout 22 Jun 09" xfId="12257" xr:uid="{00000000-0005-0000-0000-0000E12F0000}"/>
    <cellStyle name="_IRL  10.09.2006_Sophia Consol_march_09_05 June  09_1" xfId="12258" xr:uid="{00000000-0005-0000-0000-0000E22F0000}"/>
    <cellStyle name="_IRL  10.09.2006_Tax Audit Report  F.Y.08-09" xfId="12259" xr:uid="{00000000-0005-0000-0000-0000E32F0000}"/>
    <cellStyle name="_IRL  10.09.2006_Tax Audit Report  ICSL F.Y.09-10" xfId="12260" xr:uid="{00000000-0005-0000-0000-0000E42F0000}"/>
    <cellStyle name="_IRL  10.09.2006_Treasury ICD Interest_ MIS_ 23  09 2009(final)" xfId="12261" xr:uid="{00000000-0005-0000-0000-0000E52F0000}"/>
    <cellStyle name="_IRL  10.09.2006_Treasury ICD Interest_ MIS_ 30. 06 2009(final)" xfId="12262" xr:uid="{00000000-0005-0000-0000-0000E62F0000}"/>
    <cellStyle name="_IRL  10.09.2006_Treasury ICD Interest_ MIS_ 30. 09 2009(final)" xfId="12263" xr:uid="{00000000-0005-0000-0000-0000E72F0000}"/>
    <cellStyle name="_IRL  10.09.2006_Treasury ICD Interest_ MIS_ 31 05 2009" xfId="12264" xr:uid="{00000000-0005-0000-0000-0000E82F0000}"/>
    <cellStyle name="_IRL  10.09.2006_Treasury ICD Interest_ MIS_ 31 10 2009" xfId="12265" xr:uid="{00000000-0005-0000-0000-0000E92F0000}"/>
    <cellStyle name="_IRL  10.09.2006_Treasury ICD Interest_ MIS_ 31.10.2009" xfId="12266" xr:uid="{00000000-0005-0000-0000-0000EA2F0000}"/>
    <cellStyle name="_IRL  10.09.2006_Treasury ICD Interest_ MIS_ 310309" xfId="12267" xr:uid="{00000000-0005-0000-0000-0000EB2F0000}"/>
    <cellStyle name="_ISL Caro Checklist Annexure 08-09" xfId="12268" xr:uid="{00000000-0005-0000-0000-0000EC2F0000}"/>
    <cellStyle name="_ISL Rain 19th June 08." xfId="12269" xr:uid="{00000000-0005-0000-0000-0000ED2F0000}"/>
    <cellStyle name="_ISL Rain 19th June 08. 2" xfId="12270" xr:uid="{00000000-0005-0000-0000-0000EE2F0000}"/>
    <cellStyle name="_ISL Rev" xfId="12271" xr:uid="{00000000-0005-0000-0000-0000EF2F0000}"/>
    <cellStyle name="_ISL Rev 2" xfId="12272" xr:uid="{00000000-0005-0000-0000-0000F02F0000}"/>
    <cellStyle name="_ISL Rev 2 2" xfId="12273" xr:uid="{00000000-0005-0000-0000-0000F12F0000}"/>
    <cellStyle name="_ISL Rev 3" xfId="12274" xr:uid="{00000000-0005-0000-0000-0000F22F0000}"/>
    <cellStyle name="_ISL Rev_Results" xfId="12275" xr:uid="{00000000-0005-0000-0000-0000F32F0000}"/>
    <cellStyle name="_ISL Rev_Results 2" xfId="12276" xr:uid="{00000000-0005-0000-0000-0000F42F0000}"/>
    <cellStyle name="_ISL Rev_Results 2 2" xfId="12277" xr:uid="{00000000-0005-0000-0000-0000F52F0000}"/>
    <cellStyle name="_ISL Rev_Results 3" xfId="12278" xr:uid="{00000000-0005-0000-0000-0000F62F0000}"/>
    <cellStyle name="_ISL_conso_December_08_09" xfId="12279" xr:uid="{00000000-0005-0000-0000-0000F72F0000}"/>
    <cellStyle name="_ISL_conso_December_08_09 2" xfId="12280" xr:uid="{00000000-0005-0000-0000-0000F82F0000}"/>
    <cellStyle name="_ISL_conso_December_08_09 2 2" xfId="12281" xr:uid="{00000000-0005-0000-0000-0000F92F0000}"/>
    <cellStyle name="_ISL_conso_December_08_09 3" xfId="12282" xr:uid="{00000000-0005-0000-0000-0000FA2F0000}"/>
    <cellStyle name="_ISL_conso_December_08_09_Results" xfId="12283" xr:uid="{00000000-0005-0000-0000-0000FB2F0000}"/>
    <cellStyle name="_ISL_conso_December_08_09_Results 2" xfId="12284" xr:uid="{00000000-0005-0000-0000-0000FC2F0000}"/>
    <cellStyle name="_ISL_conso_December_08_09_Results 2 2" xfId="12285" xr:uid="{00000000-0005-0000-0000-0000FD2F0000}"/>
    <cellStyle name="_ISL_conso_December_08_09_Results 3" xfId="12286" xr:uid="{00000000-0005-0000-0000-0000FE2F0000}"/>
    <cellStyle name="_ISL_conso_July_08_09" xfId="12287" xr:uid="{00000000-0005-0000-0000-0000FF2F0000}"/>
    <cellStyle name="_ISL_conso_July_08_09 2" xfId="12288" xr:uid="{00000000-0005-0000-0000-000000300000}"/>
    <cellStyle name="_ISL_conso_July_08_09 2 2" xfId="12289" xr:uid="{00000000-0005-0000-0000-000001300000}"/>
    <cellStyle name="_ISL_conso_July_08_09 3" xfId="12290" xr:uid="{00000000-0005-0000-0000-000002300000}"/>
    <cellStyle name="_ISL_conso_July_08_09_Results" xfId="12291" xr:uid="{00000000-0005-0000-0000-000003300000}"/>
    <cellStyle name="_ISL_conso_July_08_09_Results 2" xfId="12292" xr:uid="{00000000-0005-0000-0000-000004300000}"/>
    <cellStyle name="_ISL_conso_July_08_09_Results 2 2" xfId="12293" xr:uid="{00000000-0005-0000-0000-000005300000}"/>
    <cellStyle name="_ISL_conso_July_08_09_Results 3" xfId="12294" xr:uid="{00000000-0005-0000-0000-000006300000}"/>
    <cellStyle name="_ISL_conso_September_08_09" xfId="12295" xr:uid="{00000000-0005-0000-0000-000007300000}"/>
    <cellStyle name="_ISL_conso_September_08_09 2" xfId="12296" xr:uid="{00000000-0005-0000-0000-000008300000}"/>
    <cellStyle name="_ISL_conso_September_08_09 2 2" xfId="12297" xr:uid="{00000000-0005-0000-0000-000009300000}"/>
    <cellStyle name="_ISL_conso_September_08_09 3" xfId="12298" xr:uid="{00000000-0005-0000-0000-00000A300000}"/>
    <cellStyle name="_ISL_conso_September_08_09_Results" xfId="12299" xr:uid="{00000000-0005-0000-0000-00000B300000}"/>
    <cellStyle name="_ISL_conso_September_08_09_Results 2" xfId="12300" xr:uid="{00000000-0005-0000-0000-00000C300000}"/>
    <cellStyle name="_ISL_conso_September_08_09_Results 2 2" xfId="12301" xr:uid="{00000000-0005-0000-0000-00000D300000}"/>
    <cellStyle name="_ISL_conso_September_08_09_Results 3" xfId="12302" xr:uid="{00000000-0005-0000-0000-00000E300000}"/>
    <cellStyle name="_ISL_FDR Detail" xfId="12303" xr:uid="{00000000-0005-0000-0000-00000F300000}"/>
    <cellStyle name="_ISL_mar_07_08" xfId="12304" xr:uid="{00000000-0005-0000-0000-000010300000}"/>
    <cellStyle name="_ISL_mar_07_08 2" xfId="12305" xr:uid="{00000000-0005-0000-0000-000011300000}"/>
    <cellStyle name="_ISL-10% working" xfId="12306" xr:uid="{00000000-0005-0000-0000-000012300000}"/>
    <cellStyle name="_ISL-10% working 2" xfId="12307" xr:uid="{00000000-0005-0000-0000-000013300000}"/>
    <cellStyle name="_ISL-10% working 2 2" xfId="12308" xr:uid="{00000000-0005-0000-0000-000014300000}"/>
    <cellStyle name="_ISL-10% working 3" xfId="12309" xr:uid="{00000000-0005-0000-0000-000015300000}"/>
    <cellStyle name="_IT-Annex Mar 2007" xfId="12310" xr:uid="{00000000-0005-0000-0000-000016300000}"/>
    <cellStyle name="_Jitender IHFL Provision for Feb'09" xfId="12311" xr:uid="{00000000-0005-0000-0000-000017300000}"/>
    <cellStyle name="_Jitender IHFL Provision for Feb'09 2" xfId="12312" xr:uid="{00000000-0005-0000-0000-000018300000}"/>
    <cellStyle name="_Julian Nicol-Tax Computation-Tax year 2007-08" xfId="12313" xr:uid="{00000000-0005-0000-0000-000019300000}"/>
    <cellStyle name="_Land  CWIP status" xfId="12314" xr:uid="{00000000-0005-0000-0000-00001A300000}"/>
    <cellStyle name="_Land  CWIP status 2" xfId="12315" xr:uid="{00000000-0005-0000-0000-00001B300000}"/>
    <cellStyle name="_Land Control Sheet Dec 01.07" xfId="12316" xr:uid="{00000000-0005-0000-0000-00001C300000}"/>
    <cellStyle name="_Land Control Sheet Dec 01.07 2" xfId="12317" xr:uid="{00000000-0005-0000-0000-00001D300000}"/>
    <cellStyle name="_Land Control Sheet Dec 03.07" xfId="12318" xr:uid="{00000000-0005-0000-0000-00001E300000}"/>
    <cellStyle name="_Land Control Sheet Dec 03.07 2" xfId="12319" xr:uid="{00000000-0005-0000-0000-00001F300000}"/>
    <cellStyle name="_Land Control Sheet Dec 04.07" xfId="12320" xr:uid="{00000000-0005-0000-0000-000020300000}"/>
    <cellStyle name="_Land Control Sheet Dec 04.07 2" xfId="12321" xr:uid="{00000000-0005-0000-0000-000021300000}"/>
    <cellStyle name="_Land Control Sheet Dec 05.07" xfId="12322" xr:uid="{00000000-0005-0000-0000-000022300000}"/>
    <cellStyle name="_Land Control Sheet Dec 05.07 2" xfId="12323" xr:uid="{00000000-0005-0000-0000-000023300000}"/>
    <cellStyle name="_Land Control Sheet Dec 07.07" xfId="12324" xr:uid="{00000000-0005-0000-0000-000024300000}"/>
    <cellStyle name="_Land Control Sheet Dec 07.07 2" xfId="12325" xr:uid="{00000000-0005-0000-0000-000025300000}"/>
    <cellStyle name="_Land Control Sheet Dec 10.07" xfId="12326" xr:uid="{00000000-0005-0000-0000-000026300000}"/>
    <cellStyle name="_Land Control Sheet Dec 10.07 2" xfId="12327" xr:uid="{00000000-0005-0000-0000-000027300000}"/>
    <cellStyle name="_Land Control Sheet Dec 11.07" xfId="12328" xr:uid="{00000000-0005-0000-0000-000028300000}"/>
    <cellStyle name="_Land Control Sheet Dec 11.07 2" xfId="12329" xr:uid="{00000000-0005-0000-0000-000029300000}"/>
    <cellStyle name="_Land Control Sheet Dec 12.07" xfId="12330" xr:uid="{00000000-0005-0000-0000-00002A300000}"/>
    <cellStyle name="_Land Control Sheet Dec 12.07 2" xfId="12331" xr:uid="{00000000-0005-0000-0000-00002B300000}"/>
    <cellStyle name="_Land Control Sheet Dec 13.07" xfId="12332" xr:uid="{00000000-0005-0000-0000-00002C300000}"/>
    <cellStyle name="_Land Control Sheet Dec 13.07 2" xfId="12333" xr:uid="{00000000-0005-0000-0000-00002D300000}"/>
    <cellStyle name="_Land Control Sheet Dec 14.07" xfId="12334" xr:uid="{00000000-0005-0000-0000-00002E300000}"/>
    <cellStyle name="_Land Control Sheet Dec 14.07 2" xfId="12335" xr:uid="{00000000-0005-0000-0000-00002F300000}"/>
    <cellStyle name="_Land Control Sheet Dec 17.07" xfId="12336" xr:uid="{00000000-0005-0000-0000-000030300000}"/>
    <cellStyle name="_Land Control Sheet Dec 17.07 2" xfId="12337" xr:uid="{00000000-0005-0000-0000-000031300000}"/>
    <cellStyle name="_Land Control Sheet Dec 18.07" xfId="12338" xr:uid="{00000000-0005-0000-0000-000032300000}"/>
    <cellStyle name="_Land Control Sheet Dec 18.07 2" xfId="12339" xr:uid="{00000000-0005-0000-0000-000033300000}"/>
    <cellStyle name="_Land Control Sheet Nov 12.07" xfId="12340" xr:uid="{00000000-0005-0000-0000-000034300000}"/>
    <cellStyle name="_Land Control Sheet Nov 12.07 2" xfId="12341" xr:uid="{00000000-0005-0000-0000-000035300000}"/>
    <cellStyle name="_Land Control Sheet Nov 13.07" xfId="12342" xr:uid="{00000000-0005-0000-0000-000036300000}"/>
    <cellStyle name="_Land Control Sheet Nov 13.07 2" xfId="12343" xr:uid="{00000000-0005-0000-0000-000037300000}"/>
    <cellStyle name="_Land Control Sheet Nov 14.07" xfId="12344" xr:uid="{00000000-0005-0000-0000-000038300000}"/>
    <cellStyle name="_Land Control Sheet Nov 14.07 2" xfId="12345" xr:uid="{00000000-0005-0000-0000-000039300000}"/>
    <cellStyle name="_Land Control Sheet Nov 15.07" xfId="12346" xr:uid="{00000000-0005-0000-0000-00003A300000}"/>
    <cellStyle name="_Land Control Sheet Nov 15.07 2" xfId="12347" xr:uid="{00000000-0005-0000-0000-00003B300000}"/>
    <cellStyle name="_Land Control Sheet Nov 19.07" xfId="12348" xr:uid="{00000000-0005-0000-0000-00003C300000}"/>
    <cellStyle name="_Land Control Sheet Nov 19.07 2" xfId="12349" xr:uid="{00000000-0005-0000-0000-00003D300000}"/>
    <cellStyle name="_Land Control Sheet Nov 21.07" xfId="12350" xr:uid="{00000000-0005-0000-0000-00003E300000}"/>
    <cellStyle name="_Land Control Sheet Nov 21.07 2" xfId="12351" xr:uid="{00000000-0005-0000-0000-00003F300000}"/>
    <cellStyle name="_Land Control Sheet Nov 22.07" xfId="12352" xr:uid="{00000000-0005-0000-0000-000040300000}"/>
    <cellStyle name="_Land Control Sheet Nov 22.07 2" xfId="12353" xr:uid="{00000000-0005-0000-0000-000041300000}"/>
    <cellStyle name="_Land Control Sheet Nov 26.07" xfId="12354" xr:uid="{00000000-0005-0000-0000-000042300000}"/>
    <cellStyle name="_Land Control Sheet Nov 26.07 2" xfId="12355" xr:uid="{00000000-0005-0000-0000-000043300000}"/>
    <cellStyle name="_Land Control Sheet Nov 27.07" xfId="12356" xr:uid="{00000000-0005-0000-0000-000044300000}"/>
    <cellStyle name="_Land Control Sheet Nov 27.07 2" xfId="12357" xr:uid="{00000000-0005-0000-0000-000045300000}"/>
    <cellStyle name="_Land Control Sheet Nov 29.07" xfId="12358" xr:uid="{00000000-0005-0000-0000-000046300000}"/>
    <cellStyle name="_Land Control Sheet Nov 29.07 2" xfId="12359" xr:uid="{00000000-0005-0000-0000-000047300000}"/>
    <cellStyle name="_Land Control Sheet Nov 5.07" xfId="12360" xr:uid="{00000000-0005-0000-0000-000048300000}"/>
    <cellStyle name="_Land Control Sheet Nov 5.07 2" xfId="12361" xr:uid="{00000000-0005-0000-0000-000049300000}"/>
    <cellStyle name="_Land Control Sheet Nov 6.07" xfId="12362" xr:uid="{00000000-0005-0000-0000-00004A300000}"/>
    <cellStyle name="_Land Control Sheet Nov 6.07 2" xfId="12363" xr:uid="{00000000-0005-0000-0000-00004B300000}"/>
    <cellStyle name="_Land Control Sheet Nov 7.07" xfId="12364" xr:uid="{00000000-0005-0000-0000-00004C300000}"/>
    <cellStyle name="_Land Control Sheet Nov 7.07 2" xfId="12365" xr:uid="{00000000-0005-0000-0000-00004D300000}"/>
    <cellStyle name="_Land Control Sheet Nov 8.07" xfId="12366" xr:uid="{00000000-0005-0000-0000-00004E300000}"/>
    <cellStyle name="_Land Control Sheet Nov 8.07 2" xfId="12367" xr:uid="{00000000-0005-0000-0000-00004F300000}"/>
    <cellStyle name="_Land Control Sheet Oct 31.07" xfId="12368" xr:uid="{00000000-0005-0000-0000-000050300000}"/>
    <cellStyle name="_Land Control Sheet Oct 31.07 2" xfId="12369" xr:uid="{00000000-0005-0000-0000-000051300000}"/>
    <cellStyle name="_Leave app for Nov'08" xfId="12370" xr:uid="{00000000-0005-0000-0000-000052300000}"/>
    <cellStyle name="_Leave app for Nov'08 2" xfId="12371" xr:uid="{00000000-0005-0000-0000-000053300000}"/>
    <cellStyle name="_Legal cases IHFL" xfId="12372" xr:uid="{00000000-0005-0000-0000-000054300000}"/>
    <cellStyle name="_Legal cases IHFL 2" xfId="12373" xr:uid="{00000000-0005-0000-0000-000055300000}"/>
    <cellStyle name="_Legal cases IHFL_Indiabulls Asset Management Company Limited printable" xfId="12374" xr:uid="{00000000-0005-0000-0000-000056300000}"/>
    <cellStyle name="_List of cases" xfId="12375" xr:uid="{00000000-0005-0000-0000-000057300000}"/>
    <cellStyle name="_List of cases 2" xfId="12376" xr:uid="{00000000-0005-0000-0000-000058300000}"/>
    <cellStyle name="_List of Provisions Gagan" xfId="12377" xr:uid="{00000000-0005-0000-0000-000059300000}"/>
    <cellStyle name="_List of Provisions Gagan 2" xfId="12378" xr:uid="{00000000-0005-0000-0000-00005A300000}"/>
    <cellStyle name="_List of Provisions Gagan_IHFL_September_30_2010 VERSION 10" xfId="12379" xr:uid="{00000000-0005-0000-0000-00005B300000}"/>
    <cellStyle name="_Litigation List for SEPTEMBER 2008 -- IBSLIBFSLIBCSLIBCPL IBFCPL &amp; IBHFL" xfId="12380" xr:uid="{00000000-0005-0000-0000-00005C300000}"/>
    <cellStyle name="_Litigation List for SEPTEMBER 2008 -- IBSLIBFSLIBCSLIBCPL IBFCPL &amp; IBHFL 2" xfId="12381" xr:uid="{00000000-0005-0000-0000-00005D300000}"/>
    <cellStyle name="_Litigation List for SEPTEMBER 2008 -- IBSLIBFSLIBCSLIBCPL IBFCPL &amp; IBHFL_Indiabulls Asset Management Company Limited printable" xfId="12382" xr:uid="{00000000-0005-0000-0000-00005E300000}"/>
    <cellStyle name="_Litigation List for the month of March 2008 -- IBSLIBFSLIBCSLIBCPL IBFCPL  IBHFL(5)" xfId="12383" xr:uid="{00000000-0005-0000-0000-00005F300000}"/>
    <cellStyle name="_Litigation List for the month of March 2008 -- IBSLIBFSLIBCSLIBCPL IBFCPL  IBHFL(5) 2" xfId="12384" xr:uid="{00000000-0005-0000-0000-000060300000}"/>
    <cellStyle name="_Litigation List for the month of March 2008 -- IBSLIBFSLIBCSLIBCPL IBFCPL  IBHFL(5)_Indiabulls Asset Management Company Limited printable" xfId="12385" xr:uid="{00000000-0005-0000-0000-000061300000}"/>
    <cellStyle name="_LOAN DATA" xfId="12386" xr:uid="{00000000-0005-0000-0000-000062300000}"/>
    <cellStyle name="_LOAN DATA 2" xfId="12387" xr:uid="{00000000-0005-0000-0000-000063300000}"/>
    <cellStyle name="_LOAN DATA 3" xfId="12388" xr:uid="{00000000-0005-0000-0000-000064300000}"/>
    <cellStyle name="_LOAN DATA_Details of Assets &amp; Liablilities" xfId="12389" xr:uid="{00000000-0005-0000-0000-000065300000}"/>
    <cellStyle name="_LOAN DATA_Details of Assets &amp; Liablilities 2" xfId="12390" xr:uid="{00000000-0005-0000-0000-000066300000}"/>
    <cellStyle name="_LOAN DATA_Details of Assets &amp; Liablilities 3" xfId="12391" xr:uid="{00000000-0005-0000-0000-000067300000}"/>
    <cellStyle name="_LOAN DATA_IBL_09.12.2009" xfId="12392" xr:uid="{00000000-0005-0000-0000-000068300000}"/>
    <cellStyle name="_LOAN DATA_IBL_09.12.2009 2" xfId="12393" xr:uid="{00000000-0005-0000-0000-000069300000}"/>
    <cellStyle name="_LOAN DATA_ICL_22 12 2009" xfId="12394" xr:uid="{00000000-0005-0000-0000-00006A300000}"/>
    <cellStyle name="_LOAN DATA_ICL_22 12 2009 2" xfId="12395" xr:uid="{00000000-0005-0000-0000-00006B300000}"/>
    <cellStyle name="_LOAN DATA_IHFL_September_30_2010 VERSION 10" xfId="12396" xr:uid="{00000000-0005-0000-0000-00006C300000}"/>
    <cellStyle name="_LOAN DATA_Indiabulls Asset Management Company Limited printable" xfId="12397" xr:uid="{00000000-0005-0000-0000-00006D300000}"/>
    <cellStyle name="_LOAN DATA_ISL_ Adv Tax 2009-10 Q3" xfId="12398" xr:uid="{00000000-0005-0000-0000-00006E300000}"/>
    <cellStyle name="_LOAN DATA_ISL_ Adv Tax 2009-10 Q3 2" xfId="12399" xr:uid="{00000000-0005-0000-0000-00006F300000}"/>
    <cellStyle name="_LOAN DATA_ISL_conso_September_09_10" xfId="12400" xr:uid="{00000000-0005-0000-0000-000070300000}"/>
    <cellStyle name="_LOAN DATA_ISL_conso_September_09_10 2" xfId="12401" xr:uid="{00000000-0005-0000-0000-000071300000}"/>
    <cellStyle name="_LOAN DATA_ISL_conso_September_09_10 2 2" xfId="12402" xr:uid="{00000000-0005-0000-0000-000072300000}"/>
    <cellStyle name="_LOAN DATA_ISL_conso_September_09_10 3" xfId="12403" xr:uid="{00000000-0005-0000-0000-000073300000}"/>
    <cellStyle name="_LOAN DATA_ISL_Provisions_30.09.2010" xfId="12404" xr:uid="{00000000-0005-0000-0000-000074300000}"/>
    <cellStyle name="_LOAN DATA_ISL_Provisions_30.09.2010 2" xfId="12405" xr:uid="{00000000-0005-0000-0000-000075300000}"/>
    <cellStyle name="_LOAN DATA_Provision" xfId="12406" xr:uid="{00000000-0005-0000-0000-000076300000}"/>
    <cellStyle name="_LOAN DATA_Provision 2" xfId="12407" xr:uid="{00000000-0005-0000-0000-000077300000}"/>
    <cellStyle name="_LOAN DATA_Provision for Exp - FY 0809" xfId="12408" xr:uid="{00000000-0005-0000-0000-000078300000}"/>
    <cellStyle name="_LOAN DATA_provisions q3" xfId="12409" xr:uid="{00000000-0005-0000-0000-000079300000}"/>
    <cellStyle name="_LOAN DATA_provisions q3 2" xfId="12410" xr:uid="{00000000-0005-0000-0000-00007A300000}"/>
    <cellStyle name="_LOAN DATA_Results" xfId="12411" xr:uid="{00000000-0005-0000-0000-00007B300000}"/>
    <cellStyle name="_LOAN DATA_Results 2" xfId="12412" xr:uid="{00000000-0005-0000-0000-00007C300000}"/>
    <cellStyle name="_LOAN DATA_Results 2 2" xfId="12413" xr:uid="{00000000-0005-0000-0000-00007D300000}"/>
    <cellStyle name="_LOAN DATA_Results 3" xfId="12414" xr:uid="{00000000-0005-0000-0000-00007E300000}"/>
    <cellStyle name="_LOAN OS 31ST March 2008_3" xfId="12415" xr:uid="{00000000-0005-0000-0000-00007F300000}"/>
    <cellStyle name="_LOAN OS 31ST March 2008_3 2" xfId="12416" xr:uid="{00000000-0005-0000-0000-000080300000}"/>
    <cellStyle name="_LOAN OS 31ST March 2008_7" xfId="12417" xr:uid="{00000000-0005-0000-0000-000081300000}"/>
    <cellStyle name="_LOAN OS 31ST March 2008_7 2" xfId="12418" xr:uid="{00000000-0005-0000-0000-000082300000}"/>
    <cellStyle name="_LOAN OS 31ST March 2008_7_NEW" xfId="12419" xr:uid="{00000000-0005-0000-0000-000083300000}"/>
    <cellStyle name="_LOAN OS 31ST March 2008_7_NEW 2" xfId="12420" xr:uid="{00000000-0005-0000-0000-000084300000}"/>
    <cellStyle name="_LWF-IFCPL FY 08-09" xfId="12421" xr:uid="{00000000-0005-0000-0000-000085300000}"/>
    <cellStyle name="_LWF-IFCPL FY 08-09 2" xfId="12422" xr:uid="{00000000-0005-0000-0000-000086300000}"/>
    <cellStyle name="_Mar'08 SME Sales Incentives + Workings" xfId="12423" xr:uid="{00000000-0005-0000-0000-000087300000}"/>
    <cellStyle name="_Mar'08 SME Sales Incentives + Workings 2" xfId="12424" xr:uid="{00000000-0005-0000-0000-000088300000}"/>
    <cellStyle name="_march month Hold case  28  MARCH 2008" xfId="12425" xr:uid="{00000000-0005-0000-0000-000089300000}"/>
    <cellStyle name="_march month Hold case  28  MARCH 2008 2" xfId="12426" xr:uid="{00000000-0005-0000-0000-00008A300000}"/>
    <cellStyle name="_Master Data" xfId="12427" xr:uid="{00000000-0005-0000-0000-00008B300000}"/>
    <cellStyle name="_Master Data 2" xfId="12428" xr:uid="{00000000-0005-0000-0000-00008C300000}"/>
    <cellStyle name="_Master Data 2 2" xfId="12429" xr:uid="{00000000-0005-0000-0000-00008D300000}"/>
    <cellStyle name="_Master Data 3" xfId="12430" xr:uid="{00000000-0005-0000-0000-00008E300000}"/>
    <cellStyle name="_Master Data_Abstract-2007-08" xfId="12431" xr:uid="{00000000-0005-0000-0000-00008F300000}"/>
    <cellStyle name="_Master Data_Abstract-2007-08 2" xfId="12432" xr:uid="{00000000-0005-0000-0000-000090300000}"/>
    <cellStyle name="_Master Data_Advance Tax Summary" xfId="12433" xr:uid="{00000000-0005-0000-0000-000091300000}"/>
    <cellStyle name="_Master Data_Advance Tax Summary 2" xfId="12434" xr:uid="{00000000-0005-0000-0000-000092300000}"/>
    <cellStyle name="_Master Data_Aug consl backup-land adv &amp; Ext ICD" xfId="12435" xr:uid="{00000000-0005-0000-0000-000093300000}"/>
    <cellStyle name="_Master Data_Aug consl backup-land adv &amp; Ext ICD 2" xfId="12436" xr:uid="{00000000-0005-0000-0000-000094300000}"/>
    <cellStyle name="_Master Data_Entries Passed in Conso for profit on sale of invRevised 30.07.08" xfId="12437" xr:uid="{00000000-0005-0000-0000-000095300000}"/>
    <cellStyle name="_Master Data_Entries Passed in Conso for profit on sale of invRevised 30.07.08 2" xfId="12438" xr:uid="{00000000-0005-0000-0000-000096300000}"/>
    <cellStyle name="_Master Data_Entries Passed in Conso for profit on sale of invRevised 30.07.08_IREL_3000_08-09" xfId="12439" xr:uid="{00000000-0005-0000-0000-000097300000}"/>
    <cellStyle name="_Master Data_Entries Passed in Conso for profit on sale of invRevised 30.07.08_IREL_3000_08-09 2" xfId="12440" xr:uid="{00000000-0005-0000-0000-000098300000}"/>
    <cellStyle name="_Master Data_Entries Passed in Conso for profit on sale of invRevised 30.07.08_IREL_3000_08-09 2 2" xfId="12441" xr:uid="{00000000-0005-0000-0000-000099300000}"/>
    <cellStyle name="_Master Data_Entries Passed in Conso for profit on sale of invRevised 30.07.08_IREL_3000_08-09 3" xfId="12442" xr:uid="{00000000-0005-0000-0000-00009A300000}"/>
    <cellStyle name="_Master Data_Entries Passed in Conso for profit on sale of invRevised 30.07.08_IREL_3000_08-09 stage 3" xfId="12443" xr:uid="{00000000-0005-0000-0000-00009B300000}"/>
    <cellStyle name="_Master Data_Entries Passed in Conso for profit on sale of invRevised 30.07.08_IREL_3000_08-09 stage 3 2" xfId="12444" xr:uid="{00000000-0005-0000-0000-00009C300000}"/>
    <cellStyle name="_Master Data_Entries Passed in Conso for profit on sale of invRevised 30.07.08_IREL_3000_08-09 stage 3_IREL_3000_08-09" xfId="12445" xr:uid="{00000000-0005-0000-0000-00009D300000}"/>
    <cellStyle name="_Master Data_Entries Passed in Conso for profit on sale of invRevised 30.07.08_IREL_3000_08-09 stage 3_IREL_3000_08-09 2" xfId="12446" xr:uid="{00000000-0005-0000-0000-00009E300000}"/>
    <cellStyle name="_Master Data_Entries Passed in Conso for profit on sale of invRevised 30.07.08_IREL_3000_08-09 stage 3_IREL_3000_08-09 2 2" xfId="12447" xr:uid="{00000000-0005-0000-0000-00009F300000}"/>
    <cellStyle name="_Master Data_Entries Passed in Conso for profit on sale of invRevised 30.07.08_IREL_3000_08-09 stage 3_IREL_3000_08-09 3" xfId="12448" xr:uid="{00000000-0005-0000-0000-0000A0300000}"/>
    <cellStyle name="_Master Data_Entries Passed in Conso for profit on sale of invRevised 30.07.08_IREL_3000_08-09_IBREAL_BS PACK-Version.02" xfId="12449" xr:uid="{00000000-0005-0000-0000-0000A1300000}"/>
    <cellStyle name="_Master Data_Entries Passed in Conso for profit on sale of invRevised 30.07.08_IREL_3000_08-09_IBREAL_BS PACK-Version.02 2" xfId="12450" xr:uid="{00000000-0005-0000-0000-0000A2300000}"/>
    <cellStyle name="_Master Data_Entries Passed in Conso for profit on sale of invRevised 30.07.08_IREL_3000_08-09_IBREAL_BS PACK-Version.02 2 2" xfId="12451" xr:uid="{00000000-0005-0000-0000-0000A3300000}"/>
    <cellStyle name="_Master Data_Entries Passed in Conso for profit on sale of invRevised 30.07.08_IREL_3000_08-09_IBREAL_BS PACK-Version.02 3" xfId="12452" xr:uid="{00000000-0005-0000-0000-0000A4300000}"/>
    <cellStyle name="_Master Data_Entries Passed in Conso for profit on sale of invRevised 30.07.08_IREL_3000_08-09_IBREAL_BS PACK-Version.02_IBREAL_BS PACK-Version.03" xfId="12453" xr:uid="{00000000-0005-0000-0000-0000A5300000}"/>
    <cellStyle name="_Master Data_Entries Passed in Conso for profit on sale of invRevised 30.07.08_IREL_3000_08-09_IBREAL_BS PACK-Version.02_IBREAL_BS PACK-Version.03 2" xfId="12454" xr:uid="{00000000-0005-0000-0000-0000A6300000}"/>
    <cellStyle name="_Master Data_Entries Passed in Conso for profit on sale of invRevised 30.07.08_IREL_3000_08-09_IBREAL_BS PACK-Version.02_IBREAL_BS PACK-Version.03 2 2" xfId="12455" xr:uid="{00000000-0005-0000-0000-0000A7300000}"/>
    <cellStyle name="_Master Data_Entries Passed in Conso for profit on sale of invRevised 30.07.08_IREL_3000_08-09_IBREAL_BS PACK-Version.02_IBREAL_BS PACK-Version.03 3" xfId="12456" xr:uid="{00000000-0005-0000-0000-0000A8300000}"/>
    <cellStyle name="_Master Data_Entries Passed in Conso for profit on sale of invRevised 30.07.08_IREL_3000_08-09_IBREAL_BS PACK-Version.02_IBREAL_BS PACK-Version.03_IBREAL_BS PACK-Version.07" xfId="12457" xr:uid="{00000000-0005-0000-0000-0000A9300000}"/>
    <cellStyle name="_Master Data_Entries Passed in Conso for profit on sale of invRevised 30.07.08_IREL_3000_08-09_IBREAL_BS PACK-Version.02_IBREAL_BS PACK-Version.03_IBREAL_BS PACK-Version.07 2" xfId="12458" xr:uid="{00000000-0005-0000-0000-0000AA300000}"/>
    <cellStyle name="_Master Data_Entries Passed in Conso for profit on sale of invRevised 30.07.08_IREL_3000_08-09_IBREAL_BS PACK-Version.02_IBREAL_BS PACK-Version.03_IBREAL_BS PACK-Version.07 2 2" xfId="12459" xr:uid="{00000000-0005-0000-0000-0000AB300000}"/>
    <cellStyle name="_Master Data_Entries Passed in Conso for profit on sale of invRevised 30.07.08_IREL_3000_08-09_IBREAL_BS PACK-Version.02_IBREAL_BS PACK-Version.03_IBREAL_BS PACK-Version.07 3" xfId="12460" xr:uid="{00000000-0005-0000-0000-0000AC300000}"/>
    <cellStyle name="_Master Data_Fornax" xfId="12461" xr:uid="{00000000-0005-0000-0000-0000AD300000}"/>
    <cellStyle name="_Master Data_Fornax 2" xfId="12462" xr:uid="{00000000-0005-0000-0000-0000AE300000}"/>
    <cellStyle name="_Master Data_IREL_3000_08-09" xfId="12463" xr:uid="{00000000-0005-0000-0000-0000AF300000}"/>
    <cellStyle name="_Master Data_IREL_3000_08-09 2" xfId="12464" xr:uid="{00000000-0005-0000-0000-0000B0300000}"/>
    <cellStyle name="_Master Data_ISL Group - Advance Tax working for 3rd Instalment" xfId="12465" xr:uid="{00000000-0005-0000-0000-0000B1300000}"/>
    <cellStyle name="_Master Data_Land Control Sheet Aug 31.08 - Recon" xfId="12466" xr:uid="{00000000-0005-0000-0000-0000B2300000}"/>
    <cellStyle name="_Master Data_Land Control Sheet Aug 31.08 - Recon 2" xfId="12467" xr:uid="{00000000-0005-0000-0000-0000B3300000}"/>
    <cellStyle name="_Master Data_Land Control Sheet Sep 26.08" xfId="12468" xr:uid="{00000000-0005-0000-0000-0000B4300000}"/>
    <cellStyle name="_Master Data_Land Control Sheet Sep 26.08 2" xfId="12469" xr:uid="{00000000-0005-0000-0000-0000B5300000}"/>
    <cellStyle name="_Master Data_Xl0000013" xfId="12470" xr:uid="{00000000-0005-0000-0000-0000B6300000}"/>
    <cellStyle name="_master file with DOJ . xls" xfId="12471" xr:uid="{00000000-0005-0000-0000-0000B7300000}"/>
    <cellStyle name="_master file with DOJ . xls 2" xfId="12472" xr:uid="{00000000-0005-0000-0000-0000B8300000}"/>
    <cellStyle name="_MASTER(19-APR-08 TO 18-MAY-08)" xfId="12473" xr:uid="{00000000-0005-0000-0000-0000B9300000}"/>
    <cellStyle name="_MASTER(19-APR-08 TO 18-MAY-08) 2" xfId="12474" xr:uid="{00000000-0005-0000-0000-0000BA300000}"/>
    <cellStyle name="_MASTER(19-MAR-08 TO 18-APR-08)" xfId="12475" xr:uid="{00000000-0005-0000-0000-0000BB300000}"/>
    <cellStyle name="_MASTER(19-MAR-08 TO 18-APR-08) 2" xfId="12476" xr:uid="{00000000-0005-0000-0000-0000BC300000}"/>
    <cellStyle name="_may month interest -Big ticket" xfId="12477" xr:uid="{00000000-0005-0000-0000-0000BD300000}"/>
    <cellStyle name="_may month interest -Big ticket 2" xfId="12478" xr:uid="{00000000-0005-0000-0000-0000BE300000}"/>
    <cellStyle name="_may month interest -Big ticket_IBFSL June 09_Loan Samples" xfId="12479" xr:uid="{00000000-0005-0000-0000-0000BF300000}"/>
    <cellStyle name="_may month interest -Big ticket_Loan File Testing Samples Q2" xfId="12480" xr:uid="{00000000-0005-0000-0000-0000C0300000}"/>
    <cellStyle name="_MIS Jitendra" xfId="12481" xr:uid="{00000000-0005-0000-0000-0000C1300000}"/>
    <cellStyle name="_MIS Jitendra 2" xfId="12482" xr:uid="{00000000-0005-0000-0000-0000C2300000}"/>
    <cellStyle name="_MIS Jitendra_IHFL_September_30_2010 VERSION 10" xfId="12483" xr:uid="{00000000-0005-0000-0000-0000C3300000}"/>
    <cellStyle name="_Misc expenses detail" xfId="12484" xr:uid="{00000000-0005-0000-0000-0000C4300000}"/>
    <cellStyle name="_Misc expenses detail_NFCL working file" xfId="12485" xr:uid="{00000000-0005-0000-0000-0000C5300000}"/>
    <cellStyle name="_Misc expenses detail_Tax Audit Report  F.Y.08-09" xfId="12486" xr:uid="{00000000-0005-0000-0000-0000C6300000}"/>
    <cellStyle name="_Misc expenses detail_Tax Audit Report  ICSL F.Y.09-10" xfId="12487" xr:uid="{00000000-0005-0000-0000-0000C7300000}"/>
    <cellStyle name="_MNYL SME Aug'08 UPTO RSM" xfId="12488" xr:uid="{00000000-0005-0000-0000-0000C8300000}"/>
    <cellStyle name="_MNYL SME Aug'08 UPTO RSM 2" xfId="12489" xr:uid="{00000000-0005-0000-0000-0000C9300000}"/>
    <cellStyle name="_MNYL SME Aug'08 ZSM &amp; Above" xfId="12490" xr:uid="{00000000-0005-0000-0000-0000CA300000}"/>
    <cellStyle name="_MNYL SME Aug'08 ZSM &amp; Above 2" xfId="12491" xr:uid="{00000000-0005-0000-0000-0000CB300000}"/>
    <cellStyle name="_Monthly Return - Aug '07_new" xfId="12492" xr:uid="{00000000-0005-0000-0000-0000CC300000}"/>
    <cellStyle name="_Monthly Return - Aug '07_new 2" xfId="12493" xr:uid="{00000000-0005-0000-0000-0000CD300000}"/>
    <cellStyle name="_Monthly Return - Aug '07_new_Advance Tax Format_F.Y. 2010-11" xfId="12494" xr:uid="{00000000-0005-0000-0000-0000CE300000}"/>
    <cellStyle name="_Monthly Return - Aug '07_new_Asset Management Company Limited" xfId="12495" xr:uid="{00000000-0005-0000-0000-0000CF300000}"/>
    <cellStyle name="_Monthly Return - Aug '07_new_BS _IB Asset Management _3103_ver5" xfId="12496" xr:uid="{00000000-0005-0000-0000-0000D0300000}"/>
    <cellStyle name="_Monthly Return - Aug '07_new_BS _IB Asset Management _3103_ver5_IAMCL BS working -New format_31.03 V5" xfId="12497" xr:uid="{00000000-0005-0000-0000-0000D1300000}"/>
    <cellStyle name="_Monthly Return - Aug '07_new_CRAR - dec- 10v-12" xfId="12498" xr:uid="{00000000-0005-0000-0000-0000D2300000}"/>
    <cellStyle name="_Monthly Return - Aug '07_new_CRAR - dec- 10v-12 2" xfId="12499" xr:uid="{00000000-0005-0000-0000-0000D3300000}"/>
    <cellStyle name="_Monthly Return - Aug '07_new_IAMCL BS working -New format_31.03 V5" xfId="12500" xr:uid="{00000000-0005-0000-0000-0000D4300000}"/>
    <cellStyle name="_Monthly Return - Aug '07_new_IB Asset Management _2910" xfId="12501" xr:uid="{00000000-0005-0000-0000-0000D5300000}"/>
    <cellStyle name="_Monthly Return - Aug '07_new_IB Asset Management _2910_IB Collection Agency_3103 V3" xfId="12502" xr:uid="{00000000-0005-0000-0000-0000D6300000}"/>
    <cellStyle name="_Monthly Return - Aug '07_new_IB Asset Management _2910_IB Collection Agency_3103 V3_ICAL-New Format_31.03 V4" xfId="12503" xr:uid="{00000000-0005-0000-0000-0000D7300000}"/>
    <cellStyle name="_Monthly Return - Aug '07_new_IB Asset Management _2910_ICAL-BS Final Working _New format" xfId="12504" xr:uid="{00000000-0005-0000-0000-0000D8300000}"/>
    <cellStyle name="_Monthly Return - Aug '07_new_IB Asset Management _3103_ver5" xfId="12505" xr:uid="{00000000-0005-0000-0000-0000D9300000}"/>
    <cellStyle name="_Monthly Return - Aug '07_new_IB Asset Management_3103 V2" xfId="12506" xr:uid="{00000000-0005-0000-0000-0000DA300000}"/>
    <cellStyle name="_Monthly Return - Aug '07_new_IB Asset Management_3103 V4" xfId="12507" xr:uid="{00000000-0005-0000-0000-0000DB300000}"/>
    <cellStyle name="_Monthly Return - Aug '07_new_IB Asset Management_3103 V5" xfId="12508" xr:uid="{00000000-0005-0000-0000-0000DC300000}"/>
    <cellStyle name="_Monthly Return - Aug '07_new_IB Collection Agency_3103 V3" xfId="12509" xr:uid="{00000000-0005-0000-0000-0000DD300000}"/>
    <cellStyle name="_Monthly Return - Aug '07_new_IB Collection Agency_3103 V3_ICAL-New Format_31.03 V4" xfId="12510" xr:uid="{00000000-0005-0000-0000-0000DE300000}"/>
    <cellStyle name="_Monthly Return - Aug '07_new_IB Infrastructure Credit" xfId="12511" xr:uid="{00000000-0005-0000-0000-0000DF300000}"/>
    <cellStyle name="_Monthly Return - Aug '07_new_IB Infrastructure Credit-3103_V6" xfId="12512" xr:uid="{00000000-0005-0000-0000-0000E0300000}"/>
    <cellStyle name="_Monthly Return - Aug '07_new_IB Infrastructure Credit-3103_V7" xfId="12513" xr:uid="{00000000-0005-0000-0000-0000E1300000}"/>
    <cellStyle name="_Monthly Return - Aug '07_new_IB Life Insurance_3103 V4" xfId="12514" xr:uid="{00000000-0005-0000-0000-0000E2300000}"/>
    <cellStyle name="_Monthly Return - Aug '07_new_IB Trustee Company_3103 V4" xfId="12515" xr:uid="{00000000-0005-0000-0000-0000E3300000}"/>
    <cellStyle name="_Monthly Return - Aug '07_new_IBFSL_Conso_March_10_11" xfId="12516" xr:uid="{00000000-0005-0000-0000-0000E4300000}"/>
    <cellStyle name="_Monthly Return - Aug '07_new_IBLIC_BS  Final working -New_Format_31.03 V5" xfId="12517" xr:uid="{00000000-0005-0000-0000-0000E5300000}"/>
    <cellStyle name="_Monthly Return - Aug '07_new_Ibulls BS Final woirking -New format_31.03 V5" xfId="12518" xr:uid="{00000000-0005-0000-0000-0000E6300000}"/>
    <cellStyle name="_Monthly Return - Aug '07_new_IbullsSales_3103" xfId="12519" xr:uid="{00000000-0005-0000-0000-0000E7300000}"/>
    <cellStyle name="_Monthly Return - Aug '07_new_IbullsSales_3103 V2" xfId="12520" xr:uid="{00000000-0005-0000-0000-0000E8300000}"/>
    <cellStyle name="_Monthly Return - Aug '07_new_IbullsSales_3103 V5" xfId="12521" xr:uid="{00000000-0005-0000-0000-0000E9300000}"/>
    <cellStyle name="_Monthly Return - Aug '07_new_ICAL-BS Final Working _New format" xfId="12522" xr:uid="{00000000-0005-0000-0000-0000EA300000}"/>
    <cellStyle name="_Monthly Return - Aug '07_new_IHFL_SEP_30_2009 XIII AUDIT- Sch II" xfId="12523" xr:uid="{00000000-0005-0000-0000-0000EB300000}"/>
    <cellStyle name="_Monthly Return - Aug '07_new_IICL_March'11" xfId="12524" xr:uid="{00000000-0005-0000-0000-0000EC300000}"/>
    <cellStyle name="_Monthly Return - Aug '07_new_Indiabulls Asset Management Company Limited printable" xfId="12525" xr:uid="{00000000-0005-0000-0000-0000ED300000}"/>
    <cellStyle name="_Monthly Return - Aug '07_new_ITCL_BS working _New format_31.03 V7" xfId="12526" xr:uid="{00000000-0005-0000-0000-0000EE300000}"/>
    <cellStyle name="_Monthly Return - Aug '07_new_ITCL-New format_31.03 V6" xfId="12527" xr:uid="{00000000-0005-0000-0000-0000EF300000}"/>
    <cellStyle name="_Monthly Return - Aug '07_new_NFCL working file" xfId="12528" xr:uid="{00000000-0005-0000-0000-0000F0300000}"/>
    <cellStyle name="_Monthly Return - Aug '07_new_NFCL_ Tax Audit Report FY08-09 " xfId="12529" xr:uid="{00000000-0005-0000-0000-0000F1300000}"/>
    <cellStyle name="_Monthly Return - Aug '07_new_Tax Audit Report  F.Y.08-09" xfId="12530" xr:uid="{00000000-0005-0000-0000-0000F2300000}"/>
    <cellStyle name="_Monthly Return - Aug '07_new_Tax Audit Report  ICSL F.Y.09-10" xfId="12531" xr:uid="{00000000-0005-0000-0000-0000F3300000}"/>
    <cellStyle name="_Monthly Return - Aug '07_new_Xl0000013" xfId="12532" xr:uid="{00000000-0005-0000-0000-0000F4300000}"/>
    <cellStyle name="_Monthly Return - Sep '07_final NHB_1" xfId="12533" xr:uid="{00000000-0005-0000-0000-0000F5300000}"/>
    <cellStyle name="_Monthly Return - Sep '07_final NHB_1 2" xfId="12534" xr:uid="{00000000-0005-0000-0000-0000F6300000}"/>
    <cellStyle name="_Monthly Return - Sep '07_final NHB_1_Indiabulls Asset Management Company Limited printable" xfId="12535" xr:uid="{00000000-0005-0000-0000-0000F7300000}"/>
    <cellStyle name="_Monthly Return -June '07" xfId="12536" xr:uid="{00000000-0005-0000-0000-0000F8300000}"/>
    <cellStyle name="_Monthly Return -June '07 2" xfId="12537" xr:uid="{00000000-0005-0000-0000-0000F9300000}"/>
    <cellStyle name="_Monthly Return -June '07_Indiabulls Asset Management Company Limited printable" xfId="12538" xr:uid="{00000000-0005-0000-0000-0000FA300000}"/>
    <cellStyle name="_Monthly Return_Mar'07_final" xfId="12539" xr:uid="{00000000-0005-0000-0000-0000FB300000}"/>
    <cellStyle name="_Monthly Return_Mar'07_final 2" xfId="12540" xr:uid="{00000000-0005-0000-0000-0000FC300000}"/>
    <cellStyle name="_Monthly Return_Mar'07_final_Details of Assets &amp; Liablilities" xfId="12541" xr:uid="{00000000-0005-0000-0000-0000FD300000}"/>
    <cellStyle name="_Monthly Return_Mar'07_final_Details of Assets &amp; Liablilities 2" xfId="12542" xr:uid="{00000000-0005-0000-0000-0000FE300000}"/>
    <cellStyle name="_Monthly Return_Mar'07_final_Details of Assets &amp; Liablilities 3" xfId="12543" xr:uid="{00000000-0005-0000-0000-0000FF300000}"/>
    <cellStyle name="_Monthly Return_Mar'07_final_IBL_09.12.2009" xfId="12544" xr:uid="{00000000-0005-0000-0000-000000310000}"/>
    <cellStyle name="_Monthly Return_Mar'07_final_IBL_09.12.2009 2" xfId="12545" xr:uid="{00000000-0005-0000-0000-000001310000}"/>
    <cellStyle name="_Monthly Return_Mar'07_final_ICL_22 12 2009" xfId="12546" xr:uid="{00000000-0005-0000-0000-000002310000}"/>
    <cellStyle name="_Monthly Return_Mar'07_final_ICL_22 12 2009 2" xfId="12547" xr:uid="{00000000-0005-0000-0000-000003310000}"/>
    <cellStyle name="_Monthly Return_Mar'07_final_Indiabulls Asset Management Company Limited printable" xfId="12548" xr:uid="{00000000-0005-0000-0000-000004310000}"/>
    <cellStyle name="_Monthly Return-May 2007_NHB1" xfId="12549" xr:uid="{00000000-0005-0000-0000-000005310000}"/>
    <cellStyle name="_Monthly Return-May 2007_NHB1 2" xfId="12550" xr:uid="{00000000-0005-0000-0000-000006310000}"/>
    <cellStyle name="_Monthly Return-May 2007_NHB1_Advance Tax Format_F.Y. 2010-11" xfId="12551" xr:uid="{00000000-0005-0000-0000-000007310000}"/>
    <cellStyle name="_Monthly Return-May 2007_NHB1_Asset Management Company Limited" xfId="12552" xr:uid="{00000000-0005-0000-0000-000008310000}"/>
    <cellStyle name="_Monthly Return-May 2007_NHB1_BS _IB Asset Management _3103_ver5" xfId="12553" xr:uid="{00000000-0005-0000-0000-000009310000}"/>
    <cellStyle name="_Monthly Return-May 2007_NHB1_BS _IB Asset Management _3103_ver5_IAMCL BS working -New format_31.03 V5" xfId="12554" xr:uid="{00000000-0005-0000-0000-00000A310000}"/>
    <cellStyle name="_Monthly Return-May 2007_NHB1_CRAR - dec- 10v-12" xfId="12555" xr:uid="{00000000-0005-0000-0000-00000B310000}"/>
    <cellStyle name="_Monthly Return-May 2007_NHB1_CRAR - dec- 10v-12 2" xfId="12556" xr:uid="{00000000-0005-0000-0000-00000C310000}"/>
    <cellStyle name="_Monthly Return-May 2007_NHB1_IAMCL BS working -New format_31.03 V5" xfId="12557" xr:uid="{00000000-0005-0000-0000-00000D310000}"/>
    <cellStyle name="_Monthly Return-May 2007_NHB1_IB Asset Management _2910" xfId="12558" xr:uid="{00000000-0005-0000-0000-00000E310000}"/>
    <cellStyle name="_Monthly Return-May 2007_NHB1_IB Asset Management _2910_IB Collection Agency_3103 V3" xfId="12559" xr:uid="{00000000-0005-0000-0000-00000F310000}"/>
    <cellStyle name="_Monthly Return-May 2007_NHB1_IB Asset Management _2910_IB Collection Agency_3103 V3_ICAL-New Format_31.03 V4" xfId="12560" xr:uid="{00000000-0005-0000-0000-000010310000}"/>
    <cellStyle name="_Monthly Return-May 2007_NHB1_IB Asset Management _2910_ICAL-BS Final Working _New format" xfId="12561" xr:uid="{00000000-0005-0000-0000-000011310000}"/>
    <cellStyle name="_Monthly Return-May 2007_NHB1_IB Asset Management _3103_ver5" xfId="12562" xr:uid="{00000000-0005-0000-0000-000012310000}"/>
    <cellStyle name="_Monthly Return-May 2007_NHB1_IB Asset Management_3103 V2" xfId="12563" xr:uid="{00000000-0005-0000-0000-000013310000}"/>
    <cellStyle name="_Monthly Return-May 2007_NHB1_IB Asset Management_3103 V4" xfId="12564" xr:uid="{00000000-0005-0000-0000-000014310000}"/>
    <cellStyle name="_Monthly Return-May 2007_NHB1_IB Asset Management_3103 V5" xfId="12565" xr:uid="{00000000-0005-0000-0000-000015310000}"/>
    <cellStyle name="_Monthly Return-May 2007_NHB1_IB Collection Agency_3103 V3" xfId="12566" xr:uid="{00000000-0005-0000-0000-000016310000}"/>
    <cellStyle name="_Monthly Return-May 2007_NHB1_IB Collection Agency_3103 V3_ICAL-New Format_31.03 V4" xfId="12567" xr:uid="{00000000-0005-0000-0000-000017310000}"/>
    <cellStyle name="_Monthly Return-May 2007_NHB1_IB Infrastructure Credit" xfId="12568" xr:uid="{00000000-0005-0000-0000-000018310000}"/>
    <cellStyle name="_Monthly Return-May 2007_NHB1_IB Infrastructure Credit-3103_V6" xfId="12569" xr:uid="{00000000-0005-0000-0000-000019310000}"/>
    <cellStyle name="_Monthly Return-May 2007_NHB1_IB Infrastructure Credit-3103_V7" xfId="12570" xr:uid="{00000000-0005-0000-0000-00001A310000}"/>
    <cellStyle name="_Monthly Return-May 2007_NHB1_IB Life Insurance_3103 V4" xfId="12571" xr:uid="{00000000-0005-0000-0000-00001B310000}"/>
    <cellStyle name="_Monthly Return-May 2007_NHB1_IB Trustee Company_3103 V4" xfId="12572" xr:uid="{00000000-0005-0000-0000-00001C310000}"/>
    <cellStyle name="_Monthly Return-May 2007_NHB1_IBFSL_Conso_March_10_11" xfId="12573" xr:uid="{00000000-0005-0000-0000-00001D310000}"/>
    <cellStyle name="_Monthly Return-May 2007_NHB1_IBLIC_BS  Final working -New_Format_31.03 V5" xfId="12574" xr:uid="{00000000-0005-0000-0000-00001E310000}"/>
    <cellStyle name="_Monthly Return-May 2007_NHB1_Ibulls BS Final woirking -New format_31.03 V5" xfId="12575" xr:uid="{00000000-0005-0000-0000-00001F310000}"/>
    <cellStyle name="_Monthly Return-May 2007_NHB1_IbullsSales_3103" xfId="12576" xr:uid="{00000000-0005-0000-0000-000020310000}"/>
    <cellStyle name="_Monthly Return-May 2007_NHB1_IbullsSales_3103 V2" xfId="12577" xr:uid="{00000000-0005-0000-0000-000021310000}"/>
    <cellStyle name="_Monthly Return-May 2007_NHB1_IbullsSales_3103 V5" xfId="12578" xr:uid="{00000000-0005-0000-0000-000022310000}"/>
    <cellStyle name="_Monthly Return-May 2007_NHB1_ICAL-BS Final Working _New format" xfId="12579" xr:uid="{00000000-0005-0000-0000-000023310000}"/>
    <cellStyle name="_Monthly Return-May 2007_NHB1_IHFL_SEP_30_2009 XIII AUDIT- Sch II" xfId="12580" xr:uid="{00000000-0005-0000-0000-000024310000}"/>
    <cellStyle name="_Monthly Return-May 2007_NHB1_IICL_March'11" xfId="12581" xr:uid="{00000000-0005-0000-0000-000025310000}"/>
    <cellStyle name="_Monthly Return-May 2007_NHB1_Indiabulls Asset Management Company Limited printable" xfId="12582" xr:uid="{00000000-0005-0000-0000-000026310000}"/>
    <cellStyle name="_Monthly Return-May 2007_NHB1_ITCL_BS working _New format_31.03 V7" xfId="12583" xr:uid="{00000000-0005-0000-0000-000027310000}"/>
    <cellStyle name="_Monthly Return-May 2007_NHB1_ITCL-New format_31.03 V6" xfId="12584" xr:uid="{00000000-0005-0000-0000-000028310000}"/>
    <cellStyle name="_Monthly Return-May 2007_NHB1_NFCL working file" xfId="12585" xr:uid="{00000000-0005-0000-0000-000029310000}"/>
    <cellStyle name="_Monthly Return-May 2007_NHB1_NFCL_ Tax Audit Report FY08-09 " xfId="12586" xr:uid="{00000000-0005-0000-0000-00002A310000}"/>
    <cellStyle name="_Monthly Return-May 2007_NHB1_Tax Audit Report  F.Y.08-09" xfId="12587" xr:uid="{00000000-0005-0000-0000-00002B310000}"/>
    <cellStyle name="_Monthly Return-May 2007_NHB1_Tax Audit Report  ICSL F.Y.09-10" xfId="12588" xr:uid="{00000000-0005-0000-0000-00002C310000}"/>
    <cellStyle name="_Monthly Return-May 2007_NHB1_Xl0000013" xfId="12589" xr:uid="{00000000-0005-0000-0000-00002D310000}"/>
    <cellStyle name="_MTD TILL01.01.2008" xfId="12590" xr:uid="{00000000-0005-0000-0000-00002E310000}"/>
    <cellStyle name="_MTD TILL01.01.2008_Indiabulls Asset Management Company Limited printable" xfId="12591" xr:uid="{00000000-0005-0000-0000-00002F310000}"/>
    <cellStyle name="_Mutual Fund ICAPSL-RELIANCE" xfId="12592" xr:uid="{00000000-0005-0000-0000-000030310000}"/>
    <cellStyle name="_Namita Final Track upto Feb-09 COurier" xfId="12593" xr:uid="{00000000-0005-0000-0000-000031310000}"/>
    <cellStyle name="_Namita Final Track upto Feb-09 COurier 2" xfId="12594" xr:uid="{00000000-0005-0000-0000-000032310000}"/>
    <cellStyle name="_Net recoverables from MNYL up to 31-07-2007" xfId="12595" xr:uid="{00000000-0005-0000-0000-000033310000}"/>
    <cellStyle name="_Net recoverables from MNYL up to 31-07-2007 2" xfId="12596" xr:uid="{00000000-0005-0000-0000-000034310000}"/>
    <cellStyle name="_Net recoverables from MNYL up to 31-07-2007_Indiabulls Asset Management Company Limited printable" xfId="12597" xr:uid="{00000000-0005-0000-0000-000035310000}"/>
    <cellStyle name="_networth" xfId="12598" xr:uid="{00000000-0005-0000-0000-000036310000}"/>
    <cellStyle name="_networth 2" xfId="12599" xr:uid="{00000000-0005-0000-0000-000037310000}"/>
    <cellStyle name="_networth 2 2" xfId="12600" xr:uid="{00000000-0005-0000-0000-000038310000}"/>
    <cellStyle name="_networth 3" xfId="12601" xr:uid="{00000000-0005-0000-0000-000039310000}"/>
    <cellStyle name="_networth 3 2" xfId="12602" xr:uid="{00000000-0005-0000-0000-00003A310000}"/>
    <cellStyle name="_networth 4" xfId="12603" xr:uid="{00000000-0005-0000-0000-00003B310000}"/>
    <cellStyle name="_networth 4 2" xfId="12604" xr:uid="{00000000-0005-0000-0000-00003C310000}"/>
    <cellStyle name="_networth 5" xfId="12605" xr:uid="{00000000-0005-0000-0000-00003D310000}"/>
    <cellStyle name="_networth 5 2" xfId="12606" xr:uid="{00000000-0005-0000-0000-00003E310000}"/>
    <cellStyle name="_networth 6" xfId="12607" xr:uid="{00000000-0005-0000-0000-00003F310000}"/>
    <cellStyle name="_networth_detail" xfId="12608" xr:uid="{00000000-0005-0000-0000-000040310000}"/>
    <cellStyle name="_networth_detail (2)" xfId="12609" xr:uid="{00000000-0005-0000-0000-000041310000}"/>
    <cellStyle name="_networth_detail (2) 2" xfId="12610" xr:uid="{00000000-0005-0000-0000-000042310000}"/>
    <cellStyle name="_networth_detail 2" xfId="12611" xr:uid="{00000000-0005-0000-0000-000043310000}"/>
    <cellStyle name="_networth_detail to be added in june,2008" xfId="12612" xr:uid="{00000000-0005-0000-0000-000044310000}"/>
    <cellStyle name="_networth_detail to be added in june,2008 2" xfId="12613" xr:uid="{00000000-0005-0000-0000-000045310000}"/>
    <cellStyle name="_networth_Details of Assets &amp; Liablilities" xfId="12614" xr:uid="{00000000-0005-0000-0000-000046310000}"/>
    <cellStyle name="_networth_Details of Assets &amp; Liablilities 2" xfId="12615" xr:uid="{00000000-0005-0000-0000-000047310000}"/>
    <cellStyle name="_networth_Details of Assets &amp; Liablilities 3" xfId="12616" xr:uid="{00000000-0005-0000-0000-000048310000}"/>
    <cellStyle name="_networth_IBL_09.12.2009" xfId="12617" xr:uid="{00000000-0005-0000-0000-000049310000}"/>
    <cellStyle name="_networth_IBL_09.12.2009 2" xfId="12618" xr:uid="{00000000-0005-0000-0000-00004A310000}"/>
    <cellStyle name="_networth_ICL_22 12 2009" xfId="12619" xr:uid="{00000000-0005-0000-0000-00004B310000}"/>
    <cellStyle name="_networth_ICL_22 12 2009 2" xfId="12620" xr:uid="{00000000-0005-0000-0000-00004C310000}"/>
    <cellStyle name="_networth_Indiabulls Asset Management Company Limited printable" xfId="12621" xr:uid="{00000000-0005-0000-0000-00004D310000}"/>
    <cellStyle name="_networth_IRECPL_Himanshu Shah Bill" xfId="12622" xr:uid="{00000000-0005-0000-0000-00004E310000}"/>
    <cellStyle name="_networth_IRECPL_Himanshu Shah Bill 2" xfId="12623" xr:uid="{00000000-0005-0000-0000-00004F310000}"/>
    <cellStyle name="_networth_ISL_ Adv Tax 2009-10 Q3" xfId="12624" xr:uid="{00000000-0005-0000-0000-000050310000}"/>
    <cellStyle name="_networth_ISL_ Adv Tax 2009-10 Q3 2" xfId="12625" xr:uid="{00000000-0005-0000-0000-000051310000}"/>
    <cellStyle name="_networth_ISL_conso_September_09_10" xfId="12626" xr:uid="{00000000-0005-0000-0000-000052310000}"/>
    <cellStyle name="_networth_ISL_conso_September_09_10 2" xfId="12627" xr:uid="{00000000-0005-0000-0000-000053310000}"/>
    <cellStyle name="_networth_ISL_conso_September_09_10 2 2" xfId="12628" xr:uid="{00000000-0005-0000-0000-000054310000}"/>
    <cellStyle name="_networth_ISL_conso_September_09_10 3" xfId="12629" xr:uid="{00000000-0005-0000-0000-000055310000}"/>
    <cellStyle name="_networth_ISL_Provisions_30.09.2010" xfId="12630" xr:uid="{00000000-0005-0000-0000-000056310000}"/>
    <cellStyle name="_networth_ISL_Provisions_30.09.2010 2" xfId="12631" xr:uid="{00000000-0005-0000-0000-000057310000}"/>
    <cellStyle name="_networth_Provision" xfId="12632" xr:uid="{00000000-0005-0000-0000-000058310000}"/>
    <cellStyle name="_networth_Provision 2" xfId="12633" xr:uid="{00000000-0005-0000-0000-000059310000}"/>
    <cellStyle name="_networth_Provision for Exp - FY 0809" xfId="12634" xr:uid="{00000000-0005-0000-0000-00005A310000}"/>
    <cellStyle name="_networth_provisions q3" xfId="12635" xr:uid="{00000000-0005-0000-0000-00005B310000}"/>
    <cellStyle name="_networth_provisions q3 2" xfId="12636" xr:uid="{00000000-0005-0000-0000-00005C310000}"/>
    <cellStyle name="_networth_Results" xfId="12637" xr:uid="{00000000-0005-0000-0000-00005D310000}"/>
    <cellStyle name="_networth_Results 2" xfId="12638" xr:uid="{00000000-0005-0000-0000-00005E310000}"/>
    <cellStyle name="_networth_Results 2 2" xfId="12639" xr:uid="{00000000-0005-0000-0000-00005F310000}"/>
    <cellStyle name="_networth_Results 3" xfId="12640" xr:uid="{00000000-0005-0000-0000-000060310000}"/>
    <cellStyle name="_New Tracker-2110 (2)" xfId="12641" xr:uid="{00000000-0005-0000-0000-000061310000}"/>
    <cellStyle name="_New Tracker-2110 (2) 2" xfId="12642" xr:uid="{00000000-0005-0000-0000-000062310000}"/>
    <cellStyle name="_NFCPL 10.09.2006" xfId="12643" xr:uid="{00000000-0005-0000-0000-000063310000}"/>
    <cellStyle name="_NFCPL 10.09.2006 2" xfId="12644" xr:uid="{00000000-0005-0000-0000-000064310000}"/>
    <cellStyle name="_NFCPL 10.09.2006 2 2" xfId="12645" xr:uid="{00000000-0005-0000-0000-000065310000}"/>
    <cellStyle name="_NFCPL 10.09.2006 3" xfId="12646" xr:uid="{00000000-0005-0000-0000-000066310000}"/>
    <cellStyle name="_NFCPL 10.09.2006_269SS &amp; T IIAPL 09-10" xfId="12647" xr:uid="{00000000-0005-0000-0000-000067310000}"/>
    <cellStyle name="_NFCPL 10.09.2006_Abstract-2007-08" xfId="12648" xr:uid="{00000000-0005-0000-0000-000068310000}"/>
    <cellStyle name="_NFCPL 10.09.2006_Abstract-2007-08 2" xfId="12649" xr:uid="{00000000-0005-0000-0000-000069310000}"/>
    <cellStyle name="_NFCPL 10.09.2006_Advance Tax Format_F.Y. 2010-11" xfId="12650" xr:uid="{00000000-0005-0000-0000-00006A310000}"/>
    <cellStyle name="_NFCPL 10.09.2006_Advance Tax Sophia Jun 09" xfId="12651" xr:uid="{00000000-0005-0000-0000-00006B310000}"/>
    <cellStyle name="_NFCPL 10.09.2006_Asset Management Company Limited" xfId="12652" xr:uid="{00000000-0005-0000-0000-00006C310000}"/>
    <cellStyle name="_NFCPL 10.09.2006_Base File For Segment" xfId="12653" xr:uid="{00000000-0005-0000-0000-00006D310000}"/>
    <cellStyle name="_NFCPL 10.09.2006_Book1" xfId="12654" xr:uid="{00000000-0005-0000-0000-00006E310000}"/>
    <cellStyle name="_NFCPL 10.09.2006_Book1 (2)" xfId="12655" xr:uid="{00000000-0005-0000-0000-00006F310000}"/>
    <cellStyle name="_NFCPL 10.09.2006_Book1 (2) 2" xfId="12656" xr:uid="{00000000-0005-0000-0000-000070310000}"/>
    <cellStyle name="_NFCPL 10.09.2006_Bracond Balance Sheet  PL_301108_krishanu" xfId="12657" xr:uid="{00000000-0005-0000-0000-000071310000}"/>
    <cellStyle name="_NFCPL 10.09.2006_BS _IB Asset Management _3103_ver5" xfId="12658" xr:uid="{00000000-0005-0000-0000-000072310000}"/>
    <cellStyle name="_NFCPL 10.09.2006_BS _IB Asset Management _3103_ver5_IAMCL BS working -New format_31.03 V5" xfId="12659" xr:uid="{00000000-0005-0000-0000-000073310000}"/>
    <cellStyle name="_NFCPL 10.09.2006_CCL_3353_2007-08" xfId="12660" xr:uid="{00000000-0005-0000-0000-000074310000}"/>
    <cellStyle name="_NFCPL 10.09.2006_ChlorisProperties_3351_Dec.08" xfId="12661" xr:uid="{00000000-0005-0000-0000-000075310000}"/>
    <cellStyle name="_NFCPL 10.09.2006_Consol Balance Sheet_Sophia_Dec08_Ibrel_1.3" xfId="12662" xr:uid="{00000000-0005-0000-0000-000076310000}"/>
    <cellStyle name="_NFCPL 10.09.2006_CRAR - dec- 10v-12" xfId="12663" xr:uid="{00000000-0005-0000-0000-000077310000}"/>
    <cellStyle name="_NFCPL 10.09.2006_CRAR - dec- 10v-12 2" xfId="12664" xr:uid="{00000000-0005-0000-0000-000078310000}"/>
    <cellStyle name="_NFCPL 10.09.2006_detail (2)" xfId="12665" xr:uid="{00000000-0005-0000-0000-000079310000}"/>
    <cellStyle name="_NFCPL 10.09.2006_Detail of IPO funding" xfId="12666" xr:uid="{00000000-0005-0000-0000-00007A310000}"/>
    <cellStyle name="_NFCPL 10.09.2006_Details" xfId="12667" xr:uid="{00000000-0005-0000-0000-00007B310000}"/>
    <cellStyle name="_NFCPL 10.09.2006_Entries Passed in Conso for profit on sale of invRevised 30.07.08" xfId="12668" xr:uid="{00000000-0005-0000-0000-00007C310000}"/>
    <cellStyle name="_NFCPL 10.09.2006_Entries Passed in Conso for profit on sale of invRevised 30.07.08 2" xfId="12669" xr:uid="{00000000-0005-0000-0000-00007D310000}"/>
    <cellStyle name="_NFCPL 10.09.2006_Entries Passed in Conso for profit on sale of invRevised 30.07.08_IREL_3000_08-09" xfId="12670" xr:uid="{00000000-0005-0000-0000-00007E310000}"/>
    <cellStyle name="_NFCPL 10.09.2006_Entries Passed in Conso for profit on sale of invRevised 30.07.08_IREL_3000_08-09 2" xfId="12671" xr:uid="{00000000-0005-0000-0000-00007F310000}"/>
    <cellStyle name="_NFCPL 10.09.2006_Entries Passed in Conso for profit on sale of invRevised 30.07.08_IREL_3000_08-09 2 2" xfId="12672" xr:uid="{00000000-0005-0000-0000-000080310000}"/>
    <cellStyle name="_NFCPL 10.09.2006_Entries Passed in Conso for profit on sale of invRevised 30.07.08_IREL_3000_08-09 3" xfId="12673" xr:uid="{00000000-0005-0000-0000-000081310000}"/>
    <cellStyle name="_NFCPL 10.09.2006_Entries Passed in Conso for profit on sale of invRevised 30.07.08_IREL_3000_08-09 stage 3" xfId="12674" xr:uid="{00000000-0005-0000-0000-000082310000}"/>
    <cellStyle name="_NFCPL 10.09.2006_Entries Passed in Conso for profit on sale of invRevised 30.07.08_IREL_3000_08-09 stage 3 2" xfId="12675" xr:uid="{00000000-0005-0000-0000-000083310000}"/>
    <cellStyle name="_NFCPL 10.09.2006_Entries Passed in Conso for profit on sale of invRevised 30.07.08_IREL_3000_08-09 stage 3_IREL_3000_08-09" xfId="12676" xr:uid="{00000000-0005-0000-0000-000084310000}"/>
    <cellStyle name="_NFCPL 10.09.2006_Entries Passed in Conso for profit on sale of invRevised 30.07.08_IREL_3000_08-09 stage 3_IREL_3000_08-09 2" xfId="12677" xr:uid="{00000000-0005-0000-0000-000085310000}"/>
    <cellStyle name="_NFCPL 10.09.2006_Entries Passed in Conso for profit on sale of invRevised 30.07.08_IREL_3000_08-09 stage 3_IREL_3000_08-09 2 2" xfId="12678" xr:uid="{00000000-0005-0000-0000-000086310000}"/>
    <cellStyle name="_NFCPL 10.09.2006_Entries Passed in Conso for profit on sale of invRevised 30.07.08_IREL_3000_08-09 stage 3_IREL_3000_08-09 3" xfId="12679" xr:uid="{00000000-0005-0000-0000-000087310000}"/>
    <cellStyle name="_NFCPL 10.09.2006_Entries Passed in Conso for profit on sale of invRevised 30.07.08_IREL_3000_08-09_IBREAL_BS PACK-Version.02" xfId="12680" xr:uid="{00000000-0005-0000-0000-000088310000}"/>
    <cellStyle name="_NFCPL 10.09.2006_Entries Passed in Conso for profit on sale of invRevised 30.07.08_IREL_3000_08-09_IBREAL_BS PACK-Version.02 2" xfId="12681" xr:uid="{00000000-0005-0000-0000-000089310000}"/>
    <cellStyle name="_NFCPL 10.09.2006_Entries Passed in Conso for profit on sale of invRevised 30.07.08_IREL_3000_08-09_IBREAL_BS PACK-Version.02 2 2" xfId="12682" xr:uid="{00000000-0005-0000-0000-00008A310000}"/>
    <cellStyle name="_NFCPL 10.09.2006_Entries Passed in Conso for profit on sale of invRevised 30.07.08_IREL_3000_08-09_IBREAL_BS PACK-Version.02 3" xfId="12683" xr:uid="{00000000-0005-0000-0000-00008B310000}"/>
    <cellStyle name="_NFCPL 10.09.2006_Entries Passed in Conso for profit on sale of invRevised 30.07.08_IREL_3000_08-09_IBREAL_BS PACK-Version.02_IBREAL_BS PACK-Version.03" xfId="12684" xr:uid="{00000000-0005-0000-0000-00008C310000}"/>
    <cellStyle name="_NFCPL 10.09.2006_Entries Passed in Conso for profit on sale of invRevised 30.07.08_IREL_3000_08-09_IBREAL_BS PACK-Version.02_IBREAL_BS PACK-Version.03 2" xfId="12685" xr:uid="{00000000-0005-0000-0000-00008D310000}"/>
    <cellStyle name="_NFCPL 10.09.2006_Entries Passed in Conso for profit on sale of invRevised 30.07.08_IREL_3000_08-09_IBREAL_BS PACK-Version.02_IBREAL_BS PACK-Version.03 2 2" xfId="12686" xr:uid="{00000000-0005-0000-0000-00008E310000}"/>
    <cellStyle name="_NFCPL 10.09.2006_Entries Passed in Conso for profit on sale of invRevised 30.07.08_IREL_3000_08-09_IBREAL_BS PACK-Version.02_IBREAL_BS PACK-Version.03 3" xfId="12687" xr:uid="{00000000-0005-0000-0000-00008F310000}"/>
    <cellStyle name="_NFCPL 10.09.2006_Entries Passed in Conso for profit on sale of invRevised 30.07.08_IREL_3000_08-09_IBREAL_BS PACK-Version.02_IBREAL_BS PACK-Version.03_IBREAL_BS PACK-Version.07" xfId="12688" xr:uid="{00000000-0005-0000-0000-000090310000}"/>
    <cellStyle name="_NFCPL 10.09.2006_Entries Passed in Conso for profit on sale of invRevised 30.07.08_IREL_3000_08-09_IBREAL_BS PACK-Version.02_IBREAL_BS PACK-Version.03_IBREAL_BS PACK-Version.07 2" xfId="12689" xr:uid="{00000000-0005-0000-0000-000091310000}"/>
    <cellStyle name="_NFCPL 10.09.2006_Entries Passed in Conso for profit on sale of invRevised 30.07.08_IREL_3000_08-09_IBREAL_BS PACK-Version.02_IBREAL_BS PACK-Version.03_IBREAL_BS PACK-Version.07 2 2" xfId="12690" xr:uid="{00000000-0005-0000-0000-000092310000}"/>
    <cellStyle name="_NFCPL 10.09.2006_Entries Passed in Conso for profit on sale of invRevised 30.07.08_IREL_3000_08-09_IBREAL_BS PACK-Version.02_IBREAL_BS PACK-Version.03_IBREAL_BS PACK-Version.07 3" xfId="12691" xr:uid="{00000000-0005-0000-0000-000093310000}"/>
    <cellStyle name="_NFCPL 10.09.2006_EPL_3346_2007-08(C)" xfId="12692" xr:uid="{00000000-0005-0000-0000-000094310000}"/>
    <cellStyle name="_NFCPL 10.09.2006_FD Detail" xfId="12693" xr:uid="{00000000-0005-0000-0000-000095310000}"/>
    <cellStyle name="_NFCPL 10.09.2006_FD Detail_Xl0000013" xfId="12694" xr:uid="{00000000-0005-0000-0000-000096310000}"/>
    <cellStyle name="_NFCPL 10.09.2006_Final Consol Balance Sheet_Sophia_Dec08_27.01.08" xfId="12695" xr:uid="{00000000-0005-0000-0000-000097310000}"/>
    <cellStyle name="_NFCPL 10.09.2006_Fixed Assets consolidated" xfId="12696" xr:uid="{00000000-0005-0000-0000-000098310000}"/>
    <cellStyle name="_NFCPL 10.09.2006_IAMCL BS working -New format_31.03 V5" xfId="12697" xr:uid="{00000000-0005-0000-0000-000099310000}"/>
    <cellStyle name="_NFCPL 10.09.2006_IB Asset Management _2910" xfId="12698" xr:uid="{00000000-0005-0000-0000-00009A310000}"/>
    <cellStyle name="_NFCPL 10.09.2006_IB Asset Management _2910_IB Collection Agency_3103 V3" xfId="12699" xr:uid="{00000000-0005-0000-0000-00009B310000}"/>
    <cellStyle name="_NFCPL 10.09.2006_IB Asset Management _2910_IB Collection Agency_3103 V3_ICAL-New Format_31.03 V4" xfId="12700" xr:uid="{00000000-0005-0000-0000-00009C310000}"/>
    <cellStyle name="_NFCPL 10.09.2006_IB Asset Management _2910_ICAL-BS Final Working _New format" xfId="12701" xr:uid="{00000000-0005-0000-0000-00009D310000}"/>
    <cellStyle name="_NFCPL 10.09.2006_IB Asset Management _3103_ver5" xfId="12702" xr:uid="{00000000-0005-0000-0000-00009E310000}"/>
    <cellStyle name="_NFCPL 10.09.2006_IB Asset Management_3103 V2" xfId="12703" xr:uid="{00000000-0005-0000-0000-00009F310000}"/>
    <cellStyle name="_NFCPL 10.09.2006_IB Asset Management_3103 V4" xfId="12704" xr:uid="{00000000-0005-0000-0000-0000A0310000}"/>
    <cellStyle name="_NFCPL 10.09.2006_IB Asset Management_3103 V5" xfId="12705" xr:uid="{00000000-0005-0000-0000-0000A1310000}"/>
    <cellStyle name="_NFCPL 10.09.2006_IB Collection Agency_3103 V3" xfId="12706" xr:uid="{00000000-0005-0000-0000-0000A2310000}"/>
    <cellStyle name="_NFCPL 10.09.2006_IB Collection Agency_3103 V3_ICAL-New Format_31.03 V4" xfId="12707" xr:uid="{00000000-0005-0000-0000-0000A3310000}"/>
    <cellStyle name="_NFCPL 10.09.2006_IB Infrastructure Credit" xfId="12708" xr:uid="{00000000-0005-0000-0000-0000A4310000}"/>
    <cellStyle name="_NFCPL 10.09.2006_IB Infrastructure Credit-3103_V6" xfId="12709" xr:uid="{00000000-0005-0000-0000-0000A5310000}"/>
    <cellStyle name="_NFCPL 10.09.2006_IB Infrastructure Credit-3103_V7" xfId="12710" xr:uid="{00000000-0005-0000-0000-0000A6310000}"/>
    <cellStyle name="_NFCPL 10.09.2006_IB Life Insurance_3103 V4" xfId="12711" xr:uid="{00000000-0005-0000-0000-0000A7310000}"/>
    <cellStyle name="_NFCPL 10.09.2006_IB Trustee Company_3103 V4" xfId="12712" xr:uid="{00000000-0005-0000-0000-0000A8310000}"/>
    <cellStyle name="_NFCPL 10.09.2006_IBFSL 30 Sep 11 V8" xfId="12713" xr:uid="{00000000-0005-0000-0000-0000A9310000}"/>
    <cellStyle name="_NFCPL 10.09.2006_IBFSL 31 May V1" xfId="12714" xr:uid="{00000000-0005-0000-0000-0000AA310000}"/>
    <cellStyle name="_NFCPL 10.09.2006_IBFSL 31 May V1_Xl0000013" xfId="12715" xr:uid="{00000000-0005-0000-0000-0000AB310000}"/>
    <cellStyle name="_NFCPL 10.09.2006_IBFSL_Conso_March_10_11" xfId="12716" xr:uid="{00000000-0005-0000-0000-0000AC310000}"/>
    <cellStyle name="_NFCPL 10.09.2006_IBLIC_BS  Final working -New_Format_31.03 V5" xfId="12717" xr:uid="{00000000-0005-0000-0000-0000AD310000}"/>
    <cellStyle name="_NFCPL 10.09.2006_Ibulls BS Final woirking -New format_31.03 V5" xfId="12718" xr:uid="{00000000-0005-0000-0000-0000AE310000}"/>
    <cellStyle name="_NFCPL 10.09.2006_IbullsSales_3103" xfId="12719" xr:uid="{00000000-0005-0000-0000-0000AF310000}"/>
    <cellStyle name="_NFCPL 10.09.2006_IbullsSales_3103 V2" xfId="12720" xr:uid="{00000000-0005-0000-0000-0000B0310000}"/>
    <cellStyle name="_NFCPL 10.09.2006_IbullsSales_3103 V5" xfId="12721" xr:uid="{00000000-0005-0000-0000-0000B1310000}"/>
    <cellStyle name="_NFCPL 10.09.2006_ICAL-BS Final Working _New format" xfId="12722" xr:uid="{00000000-0005-0000-0000-0000B2310000}"/>
    <cellStyle name="_NFCPL 10.09.2006_ICL_BS_30.06.2009" xfId="12723" xr:uid="{00000000-0005-0000-0000-0000B3310000}"/>
    <cellStyle name="_NFCPL 10.09.2006_ICPL_BS_31.03.2009_new" xfId="12724" xr:uid="{00000000-0005-0000-0000-0000B4310000}"/>
    <cellStyle name="_NFCPL 10.09.2006_ICPL_BS_31.03.2009_new_ISL__3CD_FY2010-11" xfId="12725" xr:uid="{00000000-0005-0000-0000-0000B5310000}"/>
    <cellStyle name="_NFCPL 10.09.2006_IDSL_31.03.2010" xfId="12726" xr:uid="{00000000-0005-0000-0000-0000B6310000}"/>
    <cellStyle name="_NFCPL 10.09.2006_IFCPL 31 03 2010 VER6 Final" xfId="12727" xr:uid="{00000000-0005-0000-0000-0000B7310000}"/>
    <cellStyle name="_NFCPL 10.09.2006_IHFL_Dec_23_2008" xfId="12728" xr:uid="{00000000-0005-0000-0000-0000B8310000}"/>
    <cellStyle name="_NFCPL 10.09.2006_IHFL_Dec_23_2008_Xl0000013" xfId="12729" xr:uid="{00000000-0005-0000-0000-0000B9310000}"/>
    <cellStyle name="_NFCPL 10.09.2006_IHFL_SEP_30_2009 XIII AUDIT- Sch II" xfId="12730" xr:uid="{00000000-0005-0000-0000-0000BA310000}"/>
    <cellStyle name="_NFCPL 10.09.2006_IIAL 31.03.2010 VER2" xfId="12731" xr:uid="{00000000-0005-0000-0000-0000BB310000}"/>
    <cellStyle name="_NFCPL 10.09.2006_IICL_March'11" xfId="12732" xr:uid="{00000000-0005-0000-0000-0000BC310000}"/>
    <cellStyle name="_NFCPL 10.09.2006_IIDL_3227_2008_09" xfId="12733" xr:uid="{00000000-0005-0000-0000-0000BD310000}"/>
    <cellStyle name="_NFCPL 10.09.2006_IIDL_3227_2008_09_Advance Tax Summary" xfId="12734" xr:uid="{00000000-0005-0000-0000-0000BE310000}"/>
    <cellStyle name="_NFCPL 10.09.2006_IIDL_3227_2008_09_Advance Tax Summary 2" xfId="12735" xr:uid="{00000000-0005-0000-0000-0000BF310000}"/>
    <cellStyle name="_NFCPL 10.09.2006_IIDL_3227_2008_09_ISL Group - Advance Tax working for 3rd Instalment" xfId="12736" xr:uid="{00000000-0005-0000-0000-0000C0310000}"/>
    <cellStyle name="_NFCPL 10.09.2006_IIDL_3227_2008_09_Xl0000013" xfId="12737" xr:uid="{00000000-0005-0000-0000-0000C1310000}"/>
    <cellStyle name="_NFCPL 10.09.2006_Indiabulls Asset Management Company Limited printable" xfId="12738" xr:uid="{00000000-0005-0000-0000-0000C2310000}"/>
    <cellStyle name="_NFCPL 10.09.2006_IREL_3000_08-09" xfId="12739" xr:uid="{00000000-0005-0000-0000-0000C3310000}"/>
    <cellStyle name="_NFCPL 10.09.2006_IREL_3000_08-09 2" xfId="12740" xr:uid="{00000000-0005-0000-0000-0000C4310000}"/>
    <cellStyle name="_NFCPL 10.09.2006_ISL_March_08_09.final_11.12.2009" xfId="12741" xr:uid="{00000000-0005-0000-0000-0000C5310000}"/>
    <cellStyle name="_NFCPL 10.09.2006_ISL_March_08_09.final_11.12.2009_ISL__3CD_FY2010-11" xfId="12742" xr:uid="{00000000-0005-0000-0000-0000C6310000}"/>
    <cellStyle name="_NFCPL 10.09.2006_ITCL_BS working _New format_31.03 V7" xfId="12743" xr:uid="{00000000-0005-0000-0000-0000C7310000}"/>
    <cellStyle name="_NFCPL 10.09.2006_ITCL-New format_31.03 V6" xfId="12744" xr:uid="{00000000-0005-0000-0000-0000C8310000}"/>
    <cellStyle name="_NFCPL 10.09.2006_NFCL working file" xfId="12745" xr:uid="{00000000-0005-0000-0000-0000C9310000}"/>
    <cellStyle name="_NFCPL 10.09.2006_NFCL_ Tax Audit Report FY08-09 " xfId="12746" xr:uid="{00000000-0005-0000-0000-0000CA310000}"/>
    <cellStyle name="_NFCPL 10.09.2006_Revised Consol Balance Sheet_Sophia_Jan09_10.02.2009" xfId="12747" xr:uid="{00000000-0005-0000-0000-0000CB310000}"/>
    <cellStyle name="_NFCPL 10.09.2006_Sophia Consol for Printout 22 Jun 09" xfId="12748" xr:uid="{00000000-0005-0000-0000-0000CC310000}"/>
    <cellStyle name="_NFCPL 10.09.2006_Sophia Consol_march_09_05 June  09_1" xfId="12749" xr:uid="{00000000-0005-0000-0000-0000CD310000}"/>
    <cellStyle name="_NFCPL 10.09.2006_Tax Audit Report  F.Y.08-09" xfId="12750" xr:uid="{00000000-0005-0000-0000-0000CE310000}"/>
    <cellStyle name="_NFCPL 10.09.2006_Tax Audit Report  ICSL F.Y.09-10" xfId="12751" xr:uid="{00000000-0005-0000-0000-0000CF310000}"/>
    <cellStyle name="_NFCPL 10.09.2006_Treasury ICD Interest_ MIS_ 23  09 2009(final)" xfId="12752" xr:uid="{00000000-0005-0000-0000-0000D0310000}"/>
    <cellStyle name="_NFCPL 10.09.2006_Treasury ICD Interest_ MIS_ 30. 06 2009(final)" xfId="12753" xr:uid="{00000000-0005-0000-0000-0000D1310000}"/>
    <cellStyle name="_NFCPL 10.09.2006_Treasury ICD Interest_ MIS_ 30. 09 2009(final)" xfId="12754" xr:uid="{00000000-0005-0000-0000-0000D2310000}"/>
    <cellStyle name="_NFCPL 10.09.2006_Treasury ICD Interest_ MIS_ 31 05 2009" xfId="12755" xr:uid="{00000000-0005-0000-0000-0000D3310000}"/>
    <cellStyle name="_NFCPL 10.09.2006_Treasury ICD Interest_ MIS_ 31 10 2009" xfId="12756" xr:uid="{00000000-0005-0000-0000-0000D4310000}"/>
    <cellStyle name="_NFCPL 10.09.2006_Treasury ICD Interest_ MIS_ 31.10.2009" xfId="12757" xr:uid="{00000000-0005-0000-0000-0000D5310000}"/>
    <cellStyle name="_NFCPL 10.09.2006_Treasury ICD Interest_ MIS_ 310309" xfId="12758" xr:uid="{00000000-0005-0000-0000-0000D6310000}"/>
    <cellStyle name="_NFCPL-30-Apr-08" xfId="12759" xr:uid="{00000000-0005-0000-0000-0000D7310000}"/>
    <cellStyle name="_NFCPL-30-Apr-08_Asset Management Company Limited" xfId="12760" xr:uid="{00000000-0005-0000-0000-0000D8310000}"/>
    <cellStyle name="_NFCPL-30-Apr-08_BS _IB Asset Management _3103_ver5" xfId="12761" xr:uid="{00000000-0005-0000-0000-0000D9310000}"/>
    <cellStyle name="_NFCPL-30-Apr-08_BS _IB Asset Management _3103_ver5_IAMCL BS working -New format_31.03 V5" xfId="12762" xr:uid="{00000000-0005-0000-0000-0000DA310000}"/>
    <cellStyle name="_NFCPL-30-Apr-08_IAMCL BS working -New format_31.03 V5" xfId="12763" xr:uid="{00000000-0005-0000-0000-0000DB310000}"/>
    <cellStyle name="_NFCPL-30-Apr-08_IB Asset Management _2910" xfId="12764" xr:uid="{00000000-0005-0000-0000-0000DC310000}"/>
    <cellStyle name="_NFCPL-30-Apr-08_IB Asset Management _2910_IB Collection Agency_3103 V3" xfId="12765" xr:uid="{00000000-0005-0000-0000-0000DD310000}"/>
    <cellStyle name="_NFCPL-30-Apr-08_IB Asset Management _2910_IB Collection Agency_3103 V3_ICAL-New Format_31.03 V4" xfId="12766" xr:uid="{00000000-0005-0000-0000-0000DE310000}"/>
    <cellStyle name="_NFCPL-30-Apr-08_IB Asset Management _2910_ICAL-BS Final Working _New format" xfId="12767" xr:uid="{00000000-0005-0000-0000-0000DF310000}"/>
    <cellStyle name="_NFCPL-30-Apr-08_IB Asset Management _3103_ver5" xfId="12768" xr:uid="{00000000-0005-0000-0000-0000E0310000}"/>
    <cellStyle name="_NFCPL-30-Apr-08_IB Asset Management_3103 V2" xfId="12769" xr:uid="{00000000-0005-0000-0000-0000E1310000}"/>
    <cellStyle name="_NFCPL-30-Apr-08_IB Asset Management_3103 V4" xfId="12770" xr:uid="{00000000-0005-0000-0000-0000E2310000}"/>
    <cellStyle name="_NFCPL-30-Apr-08_IB Asset Management_3103 V5" xfId="12771" xr:uid="{00000000-0005-0000-0000-0000E3310000}"/>
    <cellStyle name="_NFCPL-30-Apr-08_IB Collection Agency_3103 V3" xfId="12772" xr:uid="{00000000-0005-0000-0000-0000E4310000}"/>
    <cellStyle name="_NFCPL-30-Apr-08_IB Collection Agency_3103 V3_ICAL-New Format_31.03 V4" xfId="12773" xr:uid="{00000000-0005-0000-0000-0000E5310000}"/>
    <cellStyle name="_NFCPL-30-Apr-08_IB Infrastructure Credit" xfId="12774" xr:uid="{00000000-0005-0000-0000-0000E6310000}"/>
    <cellStyle name="_NFCPL-30-Apr-08_IB Infrastructure Credit-3103_V6" xfId="12775" xr:uid="{00000000-0005-0000-0000-0000E7310000}"/>
    <cellStyle name="_NFCPL-30-Apr-08_IB Infrastructure Credit-3103_V7" xfId="12776" xr:uid="{00000000-0005-0000-0000-0000E8310000}"/>
    <cellStyle name="_NFCPL-30-Apr-08_IB Life Insurance_3103 V4" xfId="12777" xr:uid="{00000000-0005-0000-0000-0000E9310000}"/>
    <cellStyle name="_NFCPL-30-Apr-08_IB Trustee Company_3103 V4" xfId="12778" xr:uid="{00000000-0005-0000-0000-0000EA310000}"/>
    <cellStyle name="_NFCPL-30-Apr-08_IBLIC_BS  Final working -New_Format_31.03 V5" xfId="12779" xr:uid="{00000000-0005-0000-0000-0000EB310000}"/>
    <cellStyle name="_NFCPL-30-Apr-08_Ibulls BS Final woirking -New format_31.03 V5" xfId="12780" xr:uid="{00000000-0005-0000-0000-0000EC310000}"/>
    <cellStyle name="_NFCPL-30-Apr-08_IbullsSales_3103" xfId="12781" xr:uid="{00000000-0005-0000-0000-0000ED310000}"/>
    <cellStyle name="_NFCPL-30-Apr-08_IbullsSales_3103 V2" xfId="12782" xr:uid="{00000000-0005-0000-0000-0000EE310000}"/>
    <cellStyle name="_NFCPL-30-Apr-08_IbullsSales_3103 V5" xfId="12783" xr:uid="{00000000-0005-0000-0000-0000EF310000}"/>
    <cellStyle name="_NFCPL-30-Apr-08_ICAL-BS Final Working _New format" xfId="12784" xr:uid="{00000000-0005-0000-0000-0000F0310000}"/>
    <cellStyle name="_NFCPL-30-Apr-08_IICL_March'11" xfId="12785" xr:uid="{00000000-0005-0000-0000-0000F1310000}"/>
    <cellStyle name="_NFCPL-30-Apr-08_Indiabulls Asset Management Company Limited printable" xfId="12786" xr:uid="{00000000-0005-0000-0000-0000F2310000}"/>
    <cellStyle name="_NFCPL-30-Apr-08_ITCL_BS working _New format_31.03 V7" xfId="12787" xr:uid="{00000000-0005-0000-0000-0000F3310000}"/>
    <cellStyle name="_NFCPL-30-Apr-08_ITCL-New format_31.03 V6" xfId="12788" xr:uid="{00000000-0005-0000-0000-0000F4310000}"/>
    <cellStyle name="_NFCPL-30-Apr-08_Xl0000013" xfId="12789" xr:uid="{00000000-0005-0000-0000-0000F5310000}"/>
    <cellStyle name="_NHB Data-11th Jan'07" xfId="12790" xr:uid="{00000000-0005-0000-0000-0000F6310000}"/>
    <cellStyle name="_NHB Data-11th Jan'07 2" xfId="12791" xr:uid="{00000000-0005-0000-0000-0000F7310000}"/>
    <cellStyle name="_NHB Data-11th Jan'07_Details of Assets &amp; Liablilities" xfId="12792" xr:uid="{00000000-0005-0000-0000-0000F8310000}"/>
    <cellStyle name="_NHB Data-11th Jan'07_Details of Assets &amp; Liablilities 2" xfId="12793" xr:uid="{00000000-0005-0000-0000-0000F9310000}"/>
    <cellStyle name="_NHB Data-11th Jan'07_Details of Assets &amp; Liablilities 3" xfId="12794" xr:uid="{00000000-0005-0000-0000-0000FA310000}"/>
    <cellStyle name="_NHB Data-11th Jan'07_IBL_09.12.2009" xfId="12795" xr:uid="{00000000-0005-0000-0000-0000FB310000}"/>
    <cellStyle name="_NHB Data-11th Jan'07_IBL_09.12.2009 2" xfId="12796" xr:uid="{00000000-0005-0000-0000-0000FC310000}"/>
    <cellStyle name="_NHB Data-11th Jan'07_ICL_22 12 2009" xfId="12797" xr:uid="{00000000-0005-0000-0000-0000FD310000}"/>
    <cellStyle name="_NHB Data-11th Jan'07_ICL_22 12 2009 2" xfId="12798" xr:uid="{00000000-0005-0000-0000-0000FE310000}"/>
    <cellStyle name="_NHB Data-11th Jan'07_Indiabulls Asset Management Company Limited printable" xfId="12799" xr:uid="{00000000-0005-0000-0000-0000FF310000}"/>
    <cellStyle name="_NHPC Limited Final" xfId="12800" xr:uid="{00000000-0005-0000-0000-000000320000}"/>
    <cellStyle name="_NHPC Limited Final 2" xfId="12801" xr:uid="{00000000-0005-0000-0000-000001320000}"/>
    <cellStyle name="_NHPC Limited Final_Indiabulls Asset Management Company Limited printable" xfId="12802" xr:uid="{00000000-0005-0000-0000-000002320000}"/>
    <cellStyle name="_NIL  10.09.2006" xfId="12803" xr:uid="{00000000-0005-0000-0000-000003320000}"/>
    <cellStyle name="_NIL  10.09.2006 2" xfId="12804" xr:uid="{00000000-0005-0000-0000-000004320000}"/>
    <cellStyle name="_NIL  10.09.2006 2 2" xfId="12805" xr:uid="{00000000-0005-0000-0000-000005320000}"/>
    <cellStyle name="_NIL  10.09.2006 3" xfId="12806" xr:uid="{00000000-0005-0000-0000-000006320000}"/>
    <cellStyle name="_NIL  10.09.2006_269SS &amp; T IIAPL 09-10" xfId="12807" xr:uid="{00000000-0005-0000-0000-000007320000}"/>
    <cellStyle name="_NIL  10.09.2006_Abstract-2007-08" xfId="12808" xr:uid="{00000000-0005-0000-0000-000008320000}"/>
    <cellStyle name="_NIL  10.09.2006_Abstract-2007-08 2" xfId="12809" xr:uid="{00000000-0005-0000-0000-000009320000}"/>
    <cellStyle name="_NIL  10.09.2006_Advance Tax Format_F.Y. 2010-11" xfId="12810" xr:uid="{00000000-0005-0000-0000-00000A320000}"/>
    <cellStyle name="_NIL  10.09.2006_Advance Tax Sophia Jun 09" xfId="12811" xr:uid="{00000000-0005-0000-0000-00000B320000}"/>
    <cellStyle name="_NIL  10.09.2006_Asset Management Company Limited" xfId="12812" xr:uid="{00000000-0005-0000-0000-00000C320000}"/>
    <cellStyle name="_NIL  10.09.2006_Base File For Segment" xfId="12813" xr:uid="{00000000-0005-0000-0000-00000D320000}"/>
    <cellStyle name="_NIL  10.09.2006_Book1" xfId="12814" xr:uid="{00000000-0005-0000-0000-00000E320000}"/>
    <cellStyle name="_NIL  10.09.2006_Book1 (2)" xfId="12815" xr:uid="{00000000-0005-0000-0000-00000F320000}"/>
    <cellStyle name="_NIL  10.09.2006_Book1 (2) 2" xfId="12816" xr:uid="{00000000-0005-0000-0000-000010320000}"/>
    <cellStyle name="_NIL  10.09.2006_Bracond Balance Sheet  PL_301108_krishanu" xfId="12817" xr:uid="{00000000-0005-0000-0000-000011320000}"/>
    <cellStyle name="_NIL  10.09.2006_BS _IB Asset Management _3103_ver5" xfId="12818" xr:uid="{00000000-0005-0000-0000-000012320000}"/>
    <cellStyle name="_NIL  10.09.2006_BS _IB Asset Management _3103_ver5_IAMCL BS working -New format_31.03 V5" xfId="12819" xr:uid="{00000000-0005-0000-0000-000013320000}"/>
    <cellStyle name="_NIL  10.09.2006_CCL_3353_2007-08" xfId="12820" xr:uid="{00000000-0005-0000-0000-000014320000}"/>
    <cellStyle name="_NIL  10.09.2006_ChlorisProperties_3351_Dec.08" xfId="12821" xr:uid="{00000000-0005-0000-0000-000015320000}"/>
    <cellStyle name="_NIL  10.09.2006_Consol Balance Sheet_Sophia_Dec08_Ibrel_1.3" xfId="12822" xr:uid="{00000000-0005-0000-0000-000016320000}"/>
    <cellStyle name="_NIL  10.09.2006_CRAR - dec- 10v-12" xfId="12823" xr:uid="{00000000-0005-0000-0000-000017320000}"/>
    <cellStyle name="_NIL  10.09.2006_CRAR - dec- 10v-12 2" xfId="12824" xr:uid="{00000000-0005-0000-0000-000018320000}"/>
    <cellStyle name="_NIL  10.09.2006_detail (2)" xfId="12825" xr:uid="{00000000-0005-0000-0000-000019320000}"/>
    <cellStyle name="_NIL  10.09.2006_Detail of IPO funding" xfId="12826" xr:uid="{00000000-0005-0000-0000-00001A320000}"/>
    <cellStyle name="_NIL  10.09.2006_Details" xfId="12827" xr:uid="{00000000-0005-0000-0000-00001B320000}"/>
    <cellStyle name="_NIL  10.09.2006_Entries Passed in Conso for profit on sale of invRevised 30.07.08" xfId="12828" xr:uid="{00000000-0005-0000-0000-00001C320000}"/>
    <cellStyle name="_NIL  10.09.2006_Entries Passed in Conso for profit on sale of invRevised 30.07.08 2" xfId="12829" xr:uid="{00000000-0005-0000-0000-00001D320000}"/>
    <cellStyle name="_NIL  10.09.2006_Entries Passed in Conso for profit on sale of invRevised 30.07.08_IREL_3000_08-09" xfId="12830" xr:uid="{00000000-0005-0000-0000-00001E320000}"/>
    <cellStyle name="_NIL  10.09.2006_Entries Passed in Conso for profit on sale of invRevised 30.07.08_IREL_3000_08-09 2" xfId="12831" xr:uid="{00000000-0005-0000-0000-00001F320000}"/>
    <cellStyle name="_NIL  10.09.2006_Entries Passed in Conso for profit on sale of invRevised 30.07.08_IREL_3000_08-09 2 2" xfId="12832" xr:uid="{00000000-0005-0000-0000-000020320000}"/>
    <cellStyle name="_NIL  10.09.2006_Entries Passed in Conso for profit on sale of invRevised 30.07.08_IREL_3000_08-09 3" xfId="12833" xr:uid="{00000000-0005-0000-0000-000021320000}"/>
    <cellStyle name="_NIL  10.09.2006_Entries Passed in Conso for profit on sale of invRevised 30.07.08_IREL_3000_08-09 stage 3" xfId="12834" xr:uid="{00000000-0005-0000-0000-000022320000}"/>
    <cellStyle name="_NIL  10.09.2006_Entries Passed in Conso for profit on sale of invRevised 30.07.08_IREL_3000_08-09 stage 3 2" xfId="12835" xr:uid="{00000000-0005-0000-0000-000023320000}"/>
    <cellStyle name="_NIL  10.09.2006_Entries Passed in Conso for profit on sale of invRevised 30.07.08_IREL_3000_08-09 stage 3_IREL_3000_08-09" xfId="12836" xr:uid="{00000000-0005-0000-0000-000024320000}"/>
    <cellStyle name="_NIL  10.09.2006_Entries Passed in Conso for profit on sale of invRevised 30.07.08_IREL_3000_08-09 stage 3_IREL_3000_08-09 2" xfId="12837" xr:uid="{00000000-0005-0000-0000-000025320000}"/>
    <cellStyle name="_NIL  10.09.2006_Entries Passed in Conso for profit on sale of invRevised 30.07.08_IREL_3000_08-09 stage 3_IREL_3000_08-09 2 2" xfId="12838" xr:uid="{00000000-0005-0000-0000-000026320000}"/>
    <cellStyle name="_NIL  10.09.2006_Entries Passed in Conso for profit on sale of invRevised 30.07.08_IREL_3000_08-09 stage 3_IREL_3000_08-09 3" xfId="12839" xr:uid="{00000000-0005-0000-0000-000027320000}"/>
    <cellStyle name="_NIL  10.09.2006_Entries Passed in Conso for profit on sale of invRevised 30.07.08_IREL_3000_08-09_IBREAL_BS PACK-Version.02" xfId="12840" xr:uid="{00000000-0005-0000-0000-000028320000}"/>
    <cellStyle name="_NIL  10.09.2006_Entries Passed in Conso for profit on sale of invRevised 30.07.08_IREL_3000_08-09_IBREAL_BS PACK-Version.02 2" xfId="12841" xr:uid="{00000000-0005-0000-0000-000029320000}"/>
    <cellStyle name="_NIL  10.09.2006_Entries Passed in Conso for profit on sale of invRevised 30.07.08_IREL_3000_08-09_IBREAL_BS PACK-Version.02 2 2" xfId="12842" xr:uid="{00000000-0005-0000-0000-00002A320000}"/>
    <cellStyle name="_NIL  10.09.2006_Entries Passed in Conso for profit on sale of invRevised 30.07.08_IREL_3000_08-09_IBREAL_BS PACK-Version.02 3" xfId="12843" xr:uid="{00000000-0005-0000-0000-00002B320000}"/>
    <cellStyle name="_NIL  10.09.2006_Entries Passed in Conso for profit on sale of invRevised 30.07.08_IREL_3000_08-09_IBREAL_BS PACK-Version.02_IBREAL_BS PACK-Version.03" xfId="12844" xr:uid="{00000000-0005-0000-0000-00002C320000}"/>
    <cellStyle name="_NIL  10.09.2006_Entries Passed in Conso for profit on sale of invRevised 30.07.08_IREL_3000_08-09_IBREAL_BS PACK-Version.02_IBREAL_BS PACK-Version.03 2" xfId="12845" xr:uid="{00000000-0005-0000-0000-00002D320000}"/>
    <cellStyle name="_NIL  10.09.2006_Entries Passed in Conso for profit on sale of invRevised 30.07.08_IREL_3000_08-09_IBREAL_BS PACK-Version.02_IBREAL_BS PACK-Version.03 2 2" xfId="12846" xr:uid="{00000000-0005-0000-0000-00002E320000}"/>
    <cellStyle name="_NIL  10.09.2006_Entries Passed in Conso for profit on sale of invRevised 30.07.08_IREL_3000_08-09_IBREAL_BS PACK-Version.02_IBREAL_BS PACK-Version.03 3" xfId="12847" xr:uid="{00000000-0005-0000-0000-00002F320000}"/>
    <cellStyle name="_NIL  10.09.2006_Entries Passed in Conso for profit on sale of invRevised 30.07.08_IREL_3000_08-09_IBREAL_BS PACK-Version.02_IBREAL_BS PACK-Version.03_IBREAL_BS PACK-Version.07" xfId="12848" xr:uid="{00000000-0005-0000-0000-000030320000}"/>
    <cellStyle name="_NIL  10.09.2006_Entries Passed in Conso for profit on sale of invRevised 30.07.08_IREL_3000_08-09_IBREAL_BS PACK-Version.02_IBREAL_BS PACK-Version.03_IBREAL_BS PACK-Version.07 2" xfId="12849" xr:uid="{00000000-0005-0000-0000-000031320000}"/>
    <cellStyle name="_NIL  10.09.2006_Entries Passed in Conso for profit on sale of invRevised 30.07.08_IREL_3000_08-09_IBREAL_BS PACK-Version.02_IBREAL_BS PACK-Version.03_IBREAL_BS PACK-Version.07 2 2" xfId="12850" xr:uid="{00000000-0005-0000-0000-000032320000}"/>
    <cellStyle name="_NIL  10.09.2006_Entries Passed in Conso for profit on sale of invRevised 30.07.08_IREL_3000_08-09_IBREAL_BS PACK-Version.02_IBREAL_BS PACK-Version.03_IBREAL_BS PACK-Version.07 3" xfId="12851" xr:uid="{00000000-0005-0000-0000-000033320000}"/>
    <cellStyle name="_NIL  10.09.2006_EPL_3346_2007-08(C)" xfId="12852" xr:uid="{00000000-0005-0000-0000-000034320000}"/>
    <cellStyle name="_NIL  10.09.2006_FD Detail" xfId="12853" xr:uid="{00000000-0005-0000-0000-000035320000}"/>
    <cellStyle name="_NIL  10.09.2006_FD Detail_Xl0000013" xfId="12854" xr:uid="{00000000-0005-0000-0000-000036320000}"/>
    <cellStyle name="_NIL  10.09.2006_Final Consol Balance Sheet_Sophia_Dec08_27.01.08" xfId="12855" xr:uid="{00000000-0005-0000-0000-000037320000}"/>
    <cellStyle name="_NIL  10.09.2006_Fixed Assets consolidated" xfId="12856" xr:uid="{00000000-0005-0000-0000-000038320000}"/>
    <cellStyle name="_NIL  10.09.2006_IAMCL BS working -New format_31.03 V5" xfId="12857" xr:uid="{00000000-0005-0000-0000-000039320000}"/>
    <cellStyle name="_NIL  10.09.2006_IB Asset Management _2910" xfId="12858" xr:uid="{00000000-0005-0000-0000-00003A320000}"/>
    <cellStyle name="_NIL  10.09.2006_IB Asset Management _2910_IB Collection Agency_3103 V3" xfId="12859" xr:uid="{00000000-0005-0000-0000-00003B320000}"/>
    <cellStyle name="_NIL  10.09.2006_IB Asset Management _2910_IB Collection Agency_3103 V3_ICAL-New Format_31.03 V4" xfId="12860" xr:uid="{00000000-0005-0000-0000-00003C320000}"/>
    <cellStyle name="_NIL  10.09.2006_IB Asset Management _2910_ICAL-BS Final Working _New format" xfId="12861" xr:uid="{00000000-0005-0000-0000-00003D320000}"/>
    <cellStyle name="_NIL  10.09.2006_IB Asset Management _3103_ver5" xfId="12862" xr:uid="{00000000-0005-0000-0000-00003E320000}"/>
    <cellStyle name="_NIL  10.09.2006_IB Asset Management_3103 V2" xfId="12863" xr:uid="{00000000-0005-0000-0000-00003F320000}"/>
    <cellStyle name="_NIL  10.09.2006_IB Asset Management_3103 V4" xfId="12864" xr:uid="{00000000-0005-0000-0000-000040320000}"/>
    <cellStyle name="_NIL  10.09.2006_IB Asset Management_3103 V5" xfId="12865" xr:uid="{00000000-0005-0000-0000-000041320000}"/>
    <cellStyle name="_NIL  10.09.2006_IB Collection Agency_3103 V3" xfId="12866" xr:uid="{00000000-0005-0000-0000-000042320000}"/>
    <cellStyle name="_NIL  10.09.2006_IB Collection Agency_3103 V3_ICAL-New Format_31.03 V4" xfId="12867" xr:uid="{00000000-0005-0000-0000-000043320000}"/>
    <cellStyle name="_NIL  10.09.2006_IB Infrastructure Credit" xfId="12868" xr:uid="{00000000-0005-0000-0000-000044320000}"/>
    <cellStyle name="_NIL  10.09.2006_IB Infrastructure Credit-3103_V6" xfId="12869" xr:uid="{00000000-0005-0000-0000-000045320000}"/>
    <cellStyle name="_NIL  10.09.2006_IB Infrastructure Credit-3103_V7" xfId="12870" xr:uid="{00000000-0005-0000-0000-000046320000}"/>
    <cellStyle name="_NIL  10.09.2006_IB Life Insurance_3103 V4" xfId="12871" xr:uid="{00000000-0005-0000-0000-000047320000}"/>
    <cellStyle name="_NIL  10.09.2006_IB Trustee Company_3103 V4" xfId="12872" xr:uid="{00000000-0005-0000-0000-000048320000}"/>
    <cellStyle name="_NIL  10.09.2006_IBFSL 30 Sep 11 V8" xfId="12873" xr:uid="{00000000-0005-0000-0000-000049320000}"/>
    <cellStyle name="_NIL  10.09.2006_IBFSL 31 May V1" xfId="12874" xr:uid="{00000000-0005-0000-0000-00004A320000}"/>
    <cellStyle name="_NIL  10.09.2006_IBFSL 31 May V1_Xl0000013" xfId="12875" xr:uid="{00000000-0005-0000-0000-00004B320000}"/>
    <cellStyle name="_NIL  10.09.2006_IBFSL_Conso_March_10_11" xfId="12876" xr:uid="{00000000-0005-0000-0000-00004C320000}"/>
    <cellStyle name="_NIL  10.09.2006_IBLIC_BS  Final working -New_Format_31.03 V5" xfId="12877" xr:uid="{00000000-0005-0000-0000-00004D320000}"/>
    <cellStyle name="_NIL  10.09.2006_Ibulls BS Final woirking -New format_31.03 V5" xfId="12878" xr:uid="{00000000-0005-0000-0000-00004E320000}"/>
    <cellStyle name="_NIL  10.09.2006_IbullsSales_3103" xfId="12879" xr:uid="{00000000-0005-0000-0000-00004F320000}"/>
    <cellStyle name="_NIL  10.09.2006_IbullsSales_3103 V2" xfId="12880" xr:uid="{00000000-0005-0000-0000-000050320000}"/>
    <cellStyle name="_NIL  10.09.2006_IbullsSales_3103 V5" xfId="12881" xr:uid="{00000000-0005-0000-0000-000051320000}"/>
    <cellStyle name="_NIL  10.09.2006_ICAL-BS Final Working _New format" xfId="12882" xr:uid="{00000000-0005-0000-0000-000052320000}"/>
    <cellStyle name="_NIL  10.09.2006_ICL_BS_30.06.2009" xfId="12883" xr:uid="{00000000-0005-0000-0000-000053320000}"/>
    <cellStyle name="_NIL  10.09.2006_ICPL_BS_31.03.2009_new" xfId="12884" xr:uid="{00000000-0005-0000-0000-000054320000}"/>
    <cellStyle name="_NIL  10.09.2006_ICPL_BS_31.03.2009_new_ISL__3CD_FY2010-11" xfId="12885" xr:uid="{00000000-0005-0000-0000-000055320000}"/>
    <cellStyle name="_NIL  10.09.2006_IDSL_31.03.2010" xfId="12886" xr:uid="{00000000-0005-0000-0000-000056320000}"/>
    <cellStyle name="_NIL  10.09.2006_IFCPL 31 03 2010 VER6 Final" xfId="12887" xr:uid="{00000000-0005-0000-0000-000057320000}"/>
    <cellStyle name="_NIL  10.09.2006_IHFL_Dec_23_2008" xfId="12888" xr:uid="{00000000-0005-0000-0000-000058320000}"/>
    <cellStyle name="_NIL  10.09.2006_IHFL_Dec_23_2008_Xl0000013" xfId="12889" xr:uid="{00000000-0005-0000-0000-000059320000}"/>
    <cellStyle name="_NIL  10.09.2006_IHFL_SEP_30_2009 XIII AUDIT- Sch II" xfId="12890" xr:uid="{00000000-0005-0000-0000-00005A320000}"/>
    <cellStyle name="_NIL  10.09.2006_IIAL 31.03.2010 VER2" xfId="12891" xr:uid="{00000000-0005-0000-0000-00005B320000}"/>
    <cellStyle name="_NIL  10.09.2006_IICL_March'11" xfId="12892" xr:uid="{00000000-0005-0000-0000-00005C320000}"/>
    <cellStyle name="_NIL  10.09.2006_IIDL_3227_2008_09" xfId="12893" xr:uid="{00000000-0005-0000-0000-00005D320000}"/>
    <cellStyle name="_NIL  10.09.2006_IIDL_3227_2008_09_Advance Tax Summary" xfId="12894" xr:uid="{00000000-0005-0000-0000-00005E320000}"/>
    <cellStyle name="_NIL  10.09.2006_IIDL_3227_2008_09_Advance Tax Summary 2" xfId="12895" xr:uid="{00000000-0005-0000-0000-00005F320000}"/>
    <cellStyle name="_NIL  10.09.2006_IIDL_3227_2008_09_ISL Group - Advance Tax working for 3rd Instalment" xfId="12896" xr:uid="{00000000-0005-0000-0000-000060320000}"/>
    <cellStyle name="_NIL  10.09.2006_IIDL_3227_2008_09_Xl0000013" xfId="12897" xr:uid="{00000000-0005-0000-0000-000061320000}"/>
    <cellStyle name="_NIL  10.09.2006_Indiabulls Asset Management Company Limited printable" xfId="12898" xr:uid="{00000000-0005-0000-0000-000062320000}"/>
    <cellStyle name="_NIL  10.09.2006_IREL_3000_08-09" xfId="12899" xr:uid="{00000000-0005-0000-0000-000063320000}"/>
    <cellStyle name="_NIL  10.09.2006_IREL_3000_08-09 2" xfId="12900" xr:uid="{00000000-0005-0000-0000-000064320000}"/>
    <cellStyle name="_NIL  10.09.2006_ISL_March_08_09.final_11.12.2009" xfId="12901" xr:uid="{00000000-0005-0000-0000-000065320000}"/>
    <cellStyle name="_NIL  10.09.2006_ISL_March_08_09.final_11.12.2009_ISL__3CD_FY2010-11" xfId="12902" xr:uid="{00000000-0005-0000-0000-000066320000}"/>
    <cellStyle name="_NIL  10.09.2006_ITCL_BS working _New format_31.03 V7" xfId="12903" xr:uid="{00000000-0005-0000-0000-000067320000}"/>
    <cellStyle name="_NIL  10.09.2006_ITCL-New format_31.03 V6" xfId="12904" xr:uid="{00000000-0005-0000-0000-000068320000}"/>
    <cellStyle name="_NIL  10.09.2006_NFCL working file" xfId="12905" xr:uid="{00000000-0005-0000-0000-000069320000}"/>
    <cellStyle name="_NIL  10.09.2006_NFCL_ Tax Audit Report FY08-09 " xfId="12906" xr:uid="{00000000-0005-0000-0000-00006A320000}"/>
    <cellStyle name="_NIL  10.09.2006_Revised Consol Balance Sheet_Sophia_Jan09_10.02.2009" xfId="12907" xr:uid="{00000000-0005-0000-0000-00006B320000}"/>
    <cellStyle name="_NIL  10.09.2006_Sophia Consol for Printout 22 Jun 09" xfId="12908" xr:uid="{00000000-0005-0000-0000-00006C320000}"/>
    <cellStyle name="_NIL  10.09.2006_Sophia Consol_march_09_05 June  09_1" xfId="12909" xr:uid="{00000000-0005-0000-0000-00006D320000}"/>
    <cellStyle name="_NIL  10.09.2006_Tax Audit Report  F.Y.08-09" xfId="12910" xr:uid="{00000000-0005-0000-0000-00006E320000}"/>
    <cellStyle name="_NIL  10.09.2006_Tax Audit Report  ICSL F.Y.09-10" xfId="12911" xr:uid="{00000000-0005-0000-0000-00006F320000}"/>
    <cellStyle name="_NIL  10.09.2006_Treasury ICD Interest_ MIS_ 23  09 2009(final)" xfId="12912" xr:uid="{00000000-0005-0000-0000-000070320000}"/>
    <cellStyle name="_NIL  10.09.2006_Treasury ICD Interest_ MIS_ 30. 06 2009(final)" xfId="12913" xr:uid="{00000000-0005-0000-0000-000071320000}"/>
    <cellStyle name="_NIL  10.09.2006_Treasury ICD Interest_ MIS_ 30. 09 2009(final)" xfId="12914" xr:uid="{00000000-0005-0000-0000-000072320000}"/>
    <cellStyle name="_NIL  10.09.2006_Treasury ICD Interest_ MIS_ 31 05 2009" xfId="12915" xr:uid="{00000000-0005-0000-0000-000073320000}"/>
    <cellStyle name="_NIL  10.09.2006_Treasury ICD Interest_ MIS_ 31 10 2009" xfId="12916" xr:uid="{00000000-0005-0000-0000-000074320000}"/>
    <cellStyle name="_NIL  10.09.2006_Treasury ICD Interest_ MIS_ 31.10.2009" xfId="12917" xr:uid="{00000000-0005-0000-0000-000075320000}"/>
    <cellStyle name="_NIL  10.09.2006_Treasury ICD Interest_ MIS_ 310309" xfId="12918" xr:uid="{00000000-0005-0000-0000-000076320000}"/>
    <cellStyle name="_NLDPL 10.09.2006" xfId="12919" xr:uid="{00000000-0005-0000-0000-000077320000}"/>
    <cellStyle name="_NLDPL 10.09.2006 2" xfId="12920" xr:uid="{00000000-0005-0000-0000-000078320000}"/>
    <cellStyle name="_NLDPL 10.09.2006 2 2" xfId="12921" xr:uid="{00000000-0005-0000-0000-000079320000}"/>
    <cellStyle name="_NLDPL 10.09.2006 3" xfId="12922" xr:uid="{00000000-0005-0000-0000-00007A320000}"/>
    <cellStyle name="_NLDPL 10.09.2006_269SS &amp; T IIAPL 09-10" xfId="12923" xr:uid="{00000000-0005-0000-0000-00007B320000}"/>
    <cellStyle name="_NLDPL 10.09.2006_Abstract-2007-08" xfId="12924" xr:uid="{00000000-0005-0000-0000-00007C320000}"/>
    <cellStyle name="_NLDPL 10.09.2006_Abstract-2007-08 2" xfId="12925" xr:uid="{00000000-0005-0000-0000-00007D320000}"/>
    <cellStyle name="_NLDPL 10.09.2006_Advance Tax Format_F.Y. 2010-11" xfId="12926" xr:uid="{00000000-0005-0000-0000-00007E320000}"/>
    <cellStyle name="_NLDPL 10.09.2006_Advance Tax Sophia Jun 09" xfId="12927" xr:uid="{00000000-0005-0000-0000-00007F320000}"/>
    <cellStyle name="_NLDPL 10.09.2006_Asset Management Company Limited" xfId="12928" xr:uid="{00000000-0005-0000-0000-000080320000}"/>
    <cellStyle name="_NLDPL 10.09.2006_Base File For Segment" xfId="12929" xr:uid="{00000000-0005-0000-0000-000081320000}"/>
    <cellStyle name="_NLDPL 10.09.2006_Book1" xfId="12930" xr:uid="{00000000-0005-0000-0000-000082320000}"/>
    <cellStyle name="_NLDPL 10.09.2006_Book1 (2)" xfId="12931" xr:uid="{00000000-0005-0000-0000-000083320000}"/>
    <cellStyle name="_NLDPL 10.09.2006_Book1 (2) 2" xfId="12932" xr:uid="{00000000-0005-0000-0000-000084320000}"/>
    <cellStyle name="_NLDPL 10.09.2006_Bracond Balance Sheet  PL_301108_krishanu" xfId="12933" xr:uid="{00000000-0005-0000-0000-000085320000}"/>
    <cellStyle name="_NLDPL 10.09.2006_BS _IB Asset Management _3103_ver5" xfId="12934" xr:uid="{00000000-0005-0000-0000-000086320000}"/>
    <cellStyle name="_NLDPL 10.09.2006_BS _IB Asset Management _3103_ver5_IAMCL BS working -New format_31.03 V5" xfId="12935" xr:uid="{00000000-0005-0000-0000-000087320000}"/>
    <cellStyle name="_NLDPL 10.09.2006_CCL_3353_2007-08" xfId="12936" xr:uid="{00000000-0005-0000-0000-000088320000}"/>
    <cellStyle name="_NLDPL 10.09.2006_ChlorisProperties_3351_Dec.08" xfId="12937" xr:uid="{00000000-0005-0000-0000-000089320000}"/>
    <cellStyle name="_NLDPL 10.09.2006_Consol Balance Sheet_Sophia_Dec08_Ibrel_1.3" xfId="12938" xr:uid="{00000000-0005-0000-0000-00008A320000}"/>
    <cellStyle name="_NLDPL 10.09.2006_CRAR - dec- 10v-12" xfId="12939" xr:uid="{00000000-0005-0000-0000-00008B320000}"/>
    <cellStyle name="_NLDPL 10.09.2006_CRAR - dec- 10v-12 2" xfId="12940" xr:uid="{00000000-0005-0000-0000-00008C320000}"/>
    <cellStyle name="_NLDPL 10.09.2006_detail (2)" xfId="12941" xr:uid="{00000000-0005-0000-0000-00008D320000}"/>
    <cellStyle name="_NLDPL 10.09.2006_Detail of IPO funding" xfId="12942" xr:uid="{00000000-0005-0000-0000-00008E320000}"/>
    <cellStyle name="_NLDPL 10.09.2006_Details" xfId="12943" xr:uid="{00000000-0005-0000-0000-00008F320000}"/>
    <cellStyle name="_NLDPL 10.09.2006_Entries Passed in Conso for profit on sale of invRevised 30.07.08" xfId="12944" xr:uid="{00000000-0005-0000-0000-000090320000}"/>
    <cellStyle name="_NLDPL 10.09.2006_Entries Passed in Conso for profit on sale of invRevised 30.07.08 2" xfId="12945" xr:uid="{00000000-0005-0000-0000-000091320000}"/>
    <cellStyle name="_NLDPL 10.09.2006_Entries Passed in Conso for profit on sale of invRevised 30.07.08_IREL_3000_08-09" xfId="12946" xr:uid="{00000000-0005-0000-0000-000092320000}"/>
    <cellStyle name="_NLDPL 10.09.2006_Entries Passed in Conso for profit on sale of invRevised 30.07.08_IREL_3000_08-09 2" xfId="12947" xr:uid="{00000000-0005-0000-0000-000093320000}"/>
    <cellStyle name="_NLDPL 10.09.2006_Entries Passed in Conso for profit on sale of invRevised 30.07.08_IREL_3000_08-09 2 2" xfId="12948" xr:uid="{00000000-0005-0000-0000-000094320000}"/>
    <cellStyle name="_NLDPL 10.09.2006_Entries Passed in Conso for profit on sale of invRevised 30.07.08_IREL_3000_08-09 3" xfId="12949" xr:uid="{00000000-0005-0000-0000-000095320000}"/>
    <cellStyle name="_NLDPL 10.09.2006_Entries Passed in Conso for profit on sale of invRevised 30.07.08_IREL_3000_08-09 stage 3" xfId="12950" xr:uid="{00000000-0005-0000-0000-000096320000}"/>
    <cellStyle name="_NLDPL 10.09.2006_Entries Passed in Conso for profit on sale of invRevised 30.07.08_IREL_3000_08-09 stage 3 2" xfId="12951" xr:uid="{00000000-0005-0000-0000-000097320000}"/>
    <cellStyle name="_NLDPL 10.09.2006_Entries Passed in Conso for profit on sale of invRevised 30.07.08_IREL_3000_08-09 stage 3_IREL_3000_08-09" xfId="12952" xr:uid="{00000000-0005-0000-0000-000098320000}"/>
    <cellStyle name="_NLDPL 10.09.2006_Entries Passed in Conso for profit on sale of invRevised 30.07.08_IREL_3000_08-09 stage 3_IREL_3000_08-09 2" xfId="12953" xr:uid="{00000000-0005-0000-0000-000099320000}"/>
    <cellStyle name="_NLDPL 10.09.2006_Entries Passed in Conso for profit on sale of invRevised 30.07.08_IREL_3000_08-09 stage 3_IREL_3000_08-09 2 2" xfId="12954" xr:uid="{00000000-0005-0000-0000-00009A320000}"/>
    <cellStyle name="_NLDPL 10.09.2006_Entries Passed in Conso for profit on sale of invRevised 30.07.08_IREL_3000_08-09 stage 3_IREL_3000_08-09 3" xfId="12955" xr:uid="{00000000-0005-0000-0000-00009B320000}"/>
    <cellStyle name="_NLDPL 10.09.2006_Entries Passed in Conso for profit on sale of invRevised 30.07.08_IREL_3000_08-09_IBREAL_BS PACK-Version.02" xfId="12956" xr:uid="{00000000-0005-0000-0000-00009C320000}"/>
    <cellStyle name="_NLDPL 10.09.2006_Entries Passed in Conso for profit on sale of invRevised 30.07.08_IREL_3000_08-09_IBREAL_BS PACK-Version.02 2" xfId="12957" xr:uid="{00000000-0005-0000-0000-00009D320000}"/>
    <cellStyle name="_NLDPL 10.09.2006_Entries Passed in Conso for profit on sale of invRevised 30.07.08_IREL_3000_08-09_IBREAL_BS PACK-Version.02 2 2" xfId="12958" xr:uid="{00000000-0005-0000-0000-00009E320000}"/>
    <cellStyle name="_NLDPL 10.09.2006_Entries Passed in Conso for profit on sale of invRevised 30.07.08_IREL_3000_08-09_IBREAL_BS PACK-Version.02 3" xfId="12959" xr:uid="{00000000-0005-0000-0000-00009F320000}"/>
    <cellStyle name="_NLDPL 10.09.2006_Entries Passed in Conso for profit on sale of invRevised 30.07.08_IREL_3000_08-09_IBREAL_BS PACK-Version.02_IBREAL_BS PACK-Version.03" xfId="12960" xr:uid="{00000000-0005-0000-0000-0000A0320000}"/>
    <cellStyle name="_NLDPL 10.09.2006_Entries Passed in Conso for profit on sale of invRevised 30.07.08_IREL_3000_08-09_IBREAL_BS PACK-Version.02_IBREAL_BS PACK-Version.03 2" xfId="12961" xr:uid="{00000000-0005-0000-0000-0000A1320000}"/>
    <cellStyle name="_NLDPL 10.09.2006_Entries Passed in Conso for profit on sale of invRevised 30.07.08_IREL_3000_08-09_IBREAL_BS PACK-Version.02_IBREAL_BS PACK-Version.03 2 2" xfId="12962" xr:uid="{00000000-0005-0000-0000-0000A2320000}"/>
    <cellStyle name="_NLDPL 10.09.2006_Entries Passed in Conso for profit on sale of invRevised 30.07.08_IREL_3000_08-09_IBREAL_BS PACK-Version.02_IBREAL_BS PACK-Version.03 3" xfId="12963" xr:uid="{00000000-0005-0000-0000-0000A3320000}"/>
    <cellStyle name="_NLDPL 10.09.2006_Entries Passed in Conso for profit on sale of invRevised 30.07.08_IREL_3000_08-09_IBREAL_BS PACK-Version.02_IBREAL_BS PACK-Version.03_IBREAL_BS PACK-Version.07" xfId="12964" xr:uid="{00000000-0005-0000-0000-0000A4320000}"/>
    <cellStyle name="_NLDPL 10.09.2006_Entries Passed in Conso for profit on sale of invRevised 30.07.08_IREL_3000_08-09_IBREAL_BS PACK-Version.02_IBREAL_BS PACK-Version.03_IBREAL_BS PACK-Version.07 2" xfId="12965" xr:uid="{00000000-0005-0000-0000-0000A5320000}"/>
    <cellStyle name="_NLDPL 10.09.2006_Entries Passed in Conso for profit on sale of invRevised 30.07.08_IREL_3000_08-09_IBREAL_BS PACK-Version.02_IBREAL_BS PACK-Version.03_IBREAL_BS PACK-Version.07 2 2" xfId="12966" xr:uid="{00000000-0005-0000-0000-0000A6320000}"/>
    <cellStyle name="_NLDPL 10.09.2006_Entries Passed in Conso for profit on sale of invRevised 30.07.08_IREL_3000_08-09_IBREAL_BS PACK-Version.02_IBREAL_BS PACK-Version.03_IBREAL_BS PACK-Version.07 3" xfId="12967" xr:uid="{00000000-0005-0000-0000-0000A7320000}"/>
    <cellStyle name="_NLDPL 10.09.2006_EPL_3346_2007-08(C)" xfId="12968" xr:uid="{00000000-0005-0000-0000-0000A8320000}"/>
    <cellStyle name="_NLDPL 10.09.2006_FD Detail" xfId="12969" xr:uid="{00000000-0005-0000-0000-0000A9320000}"/>
    <cellStyle name="_NLDPL 10.09.2006_FD Detail_Xl0000013" xfId="12970" xr:uid="{00000000-0005-0000-0000-0000AA320000}"/>
    <cellStyle name="_NLDPL 10.09.2006_Final Consol Balance Sheet_Sophia_Dec08_27.01.08" xfId="12971" xr:uid="{00000000-0005-0000-0000-0000AB320000}"/>
    <cellStyle name="_NLDPL 10.09.2006_Fixed Assets consolidated" xfId="12972" xr:uid="{00000000-0005-0000-0000-0000AC320000}"/>
    <cellStyle name="_NLDPL 10.09.2006_IAMCL BS working -New format_31.03 V5" xfId="12973" xr:uid="{00000000-0005-0000-0000-0000AD320000}"/>
    <cellStyle name="_NLDPL 10.09.2006_IB Asset Management _2910" xfId="12974" xr:uid="{00000000-0005-0000-0000-0000AE320000}"/>
    <cellStyle name="_NLDPL 10.09.2006_IB Asset Management _2910_IB Collection Agency_3103 V3" xfId="12975" xr:uid="{00000000-0005-0000-0000-0000AF320000}"/>
    <cellStyle name="_NLDPL 10.09.2006_IB Asset Management _2910_IB Collection Agency_3103 V3_ICAL-New Format_31.03 V4" xfId="12976" xr:uid="{00000000-0005-0000-0000-0000B0320000}"/>
    <cellStyle name="_NLDPL 10.09.2006_IB Asset Management _2910_ICAL-BS Final Working _New format" xfId="12977" xr:uid="{00000000-0005-0000-0000-0000B1320000}"/>
    <cellStyle name="_NLDPL 10.09.2006_IB Asset Management _3103_ver5" xfId="12978" xr:uid="{00000000-0005-0000-0000-0000B2320000}"/>
    <cellStyle name="_NLDPL 10.09.2006_IB Asset Management_3103 V2" xfId="12979" xr:uid="{00000000-0005-0000-0000-0000B3320000}"/>
    <cellStyle name="_NLDPL 10.09.2006_IB Asset Management_3103 V4" xfId="12980" xr:uid="{00000000-0005-0000-0000-0000B4320000}"/>
    <cellStyle name="_NLDPL 10.09.2006_IB Asset Management_3103 V5" xfId="12981" xr:uid="{00000000-0005-0000-0000-0000B5320000}"/>
    <cellStyle name="_NLDPL 10.09.2006_IB Collection Agency_3103 V3" xfId="12982" xr:uid="{00000000-0005-0000-0000-0000B6320000}"/>
    <cellStyle name="_NLDPL 10.09.2006_IB Collection Agency_3103 V3_ICAL-New Format_31.03 V4" xfId="12983" xr:uid="{00000000-0005-0000-0000-0000B7320000}"/>
    <cellStyle name="_NLDPL 10.09.2006_IB Infrastructure Credit" xfId="12984" xr:uid="{00000000-0005-0000-0000-0000B8320000}"/>
    <cellStyle name="_NLDPL 10.09.2006_IB Infrastructure Credit-3103_V6" xfId="12985" xr:uid="{00000000-0005-0000-0000-0000B9320000}"/>
    <cellStyle name="_NLDPL 10.09.2006_IB Infrastructure Credit-3103_V7" xfId="12986" xr:uid="{00000000-0005-0000-0000-0000BA320000}"/>
    <cellStyle name="_NLDPL 10.09.2006_IB Life Insurance_3103 V4" xfId="12987" xr:uid="{00000000-0005-0000-0000-0000BB320000}"/>
    <cellStyle name="_NLDPL 10.09.2006_IB Trustee Company_3103 V4" xfId="12988" xr:uid="{00000000-0005-0000-0000-0000BC320000}"/>
    <cellStyle name="_NLDPL 10.09.2006_IBFSL 30 Sep 11 V8" xfId="12989" xr:uid="{00000000-0005-0000-0000-0000BD320000}"/>
    <cellStyle name="_NLDPL 10.09.2006_IBFSL 31 May V1" xfId="12990" xr:uid="{00000000-0005-0000-0000-0000BE320000}"/>
    <cellStyle name="_NLDPL 10.09.2006_IBFSL 31 May V1_Xl0000013" xfId="12991" xr:uid="{00000000-0005-0000-0000-0000BF320000}"/>
    <cellStyle name="_NLDPL 10.09.2006_IBFSL_Conso_March_10_11" xfId="12992" xr:uid="{00000000-0005-0000-0000-0000C0320000}"/>
    <cellStyle name="_NLDPL 10.09.2006_IBLIC_BS  Final working -New_Format_31.03 V5" xfId="12993" xr:uid="{00000000-0005-0000-0000-0000C1320000}"/>
    <cellStyle name="_NLDPL 10.09.2006_Ibulls BS Final woirking -New format_31.03 V5" xfId="12994" xr:uid="{00000000-0005-0000-0000-0000C2320000}"/>
    <cellStyle name="_NLDPL 10.09.2006_IbullsSales_3103" xfId="12995" xr:uid="{00000000-0005-0000-0000-0000C3320000}"/>
    <cellStyle name="_NLDPL 10.09.2006_IbullsSales_3103 V2" xfId="12996" xr:uid="{00000000-0005-0000-0000-0000C4320000}"/>
    <cellStyle name="_NLDPL 10.09.2006_IbullsSales_3103 V5" xfId="12997" xr:uid="{00000000-0005-0000-0000-0000C5320000}"/>
    <cellStyle name="_NLDPL 10.09.2006_ICAL-BS Final Working _New format" xfId="12998" xr:uid="{00000000-0005-0000-0000-0000C6320000}"/>
    <cellStyle name="_NLDPL 10.09.2006_ICL_BS_30.06.2009" xfId="12999" xr:uid="{00000000-0005-0000-0000-0000C7320000}"/>
    <cellStyle name="_NLDPL 10.09.2006_ICPL_BS_31.03.2009_new" xfId="13000" xr:uid="{00000000-0005-0000-0000-0000C8320000}"/>
    <cellStyle name="_NLDPL 10.09.2006_ICPL_BS_31.03.2009_new_ISL__3CD_FY2010-11" xfId="13001" xr:uid="{00000000-0005-0000-0000-0000C9320000}"/>
    <cellStyle name="_NLDPL 10.09.2006_IDSL_31.03.2010" xfId="13002" xr:uid="{00000000-0005-0000-0000-0000CA320000}"/>
    <cellStyle name="_NLDPL 10.09.2006_IFCPL 31 03 2010 VER6 Final" xfId="13003" xr:uid="{00000000-0005-0000-0000-0000CB320000}"/>
    <cellStyle name="_NLDPL 10.09.2006_IHFL_Dec_23_2008" xfId="13004" xr:uid="{00000000-0005-0000-0000-0000CC320000}"/>
    <cellStyle name="_NLDPL 10.09.2006_IHFL_Dec_23_2008_Xl0000013" xfId="13005" xr:uid="{00000000-0005-0000-0000-0000CD320000}"/>
    <cellStyle name="_NLDPL 10.09.2006_IHFL_SEP_30_2009 XIII AUDIT- Sch II" xfId="13006" xr:uid="{00000000-0005-0000-0000-0000CE320000}"/>
    <cellStyle name="_NLDPL 10.09.2006_IIAL 31.03.2010 VER2" xfId="13007" xr:uid="{00000000-0005-0000-0000-0000CF320000}"/>
    <cellStyle name="_NLDPL 10.09.2006_IICL_March'11" xfId="13008" xr:uid="{00000000-0005-0000-0000-0000D0320000}"/>
    <cellStyle name="_NLDPL 10.09.2006_IIDL_3227_2008_09" xfId="13009" xr:uid="{00000000-0005-0000-0000-0000D1320000}"/>
    <cellStyle name="_NLDPL 10.09.2006_IIDL_3227_2008_09_Advance Tax Summary" xfId="13010" xr:uid="{00000000-0005-0000-0000-0000D2320000}"/>
    <cellStyle name="_NLDPL 10.09.2006_IIDL_3227_2008_09_Advance Tax Summary 2" xfId="13011" xr:uid="{00000000-0005-0000-0000-0000D3320000}"/>
    <cellStyle name="_NLDPL 10.09.2006_IIDL_3227_2008_09_ISL Group - Advance Tax working for 3rd Instalment" xfId="13012" xr:uid="{00000000-0005-0000-0000-0000D4320000}"/>
    <cellStyle name="_NLDPL 10.09.2006_IIDL_3227_2008_09_Xl0000013" xfId="13013" xr:uid="{00000000-0005-0000-0000-0000D5320000}"/>
    <cellStyle name="_NLDPL 10.09.2006_Indiabulls Asset Management Company Limited printable" xfId="13014" xr:uid="{00000000-0005-0000-0000-0000D6320000}"/>
    <cellStyle name="_NLDPL 10.09.2006_IREL_3000_08-09" xfId="13015" xr:uid="{00000000-0005-0000-0000-0000D7320000}"/>
    <cellStyle name="_NLDPL 10.09.2006_IREL_3000_08-09 2" xfId="13016" xr:uid="{00000000-0005-0000-0000-0000D8320000}"/>
    <cellStyle name="_NLDPL 10.09.2006_ISL_March_08_09.final_11.12.2009" xfId="13017" xr:uid="{00000000-0005-0000-0000-0000D9320000}"/>
    <cellStyle name="_NLDPL 10.09.2006_ISL_March_08_09.final_11.12.2009_ISL__3CD_FY2010-11" xfId="13018" xr:uid="{00000000-0005-0000-0000-0000DA320000}"/>
    <cellStyle name="_NLDPL 10.09.2006_ITCL_BS working _New format_31.03 V7" xfId="13019" xr:uid="{00000000-0005-0000-0000-0000DB320000}"/>
    <cellStyle name="_NLDPL 10.09.2006_ITCL-New format_31.03 V6" xfId="13020" xr:uid="{00000000-0005-0000-0000-0000DC320000}"/>
    <cellStyle name="_NLDPL 10.09.2006_NFCL working file" xfId="13021" xr:uid="{00000000-0005-0000-0000-0000DD320000}"/>
    <cellStyle name="_NLDPL 10.09.2006_NFCL_ Tax Audit Report FY08-09 " xfId="13022" xr:uid="{00000000-0005-0000-0000-0000DE320000}"/>
    <cellStyle name="_NLDPL 10.09.2006_Revised Consol Balance Sheet_Sophia_Jan09_10.02.2009" xfId="13023" xr:uid="{00000000-0005-0000-0000-0000DF320000}"/>
    <cellStyle name="_NLDPL 10.09.2006_Sophia Consol for Printout 22 Jun 09" xfId="13024" xr:uid="{00000000-0005-0000-0000-0000E0320000}"/>
    <cellStyle name="_NLDPL 10.09.2006_Sophia Consol_march_09_05 June  09_1" xfId="13025" xr:uid="{00000000-0005-0000-0000-0000E1320000}"/>
    <cellStyle name="_NLDPL 10.09.2006_Tax Audit Report  F.Y.08-09" xfId="13026" xr:uid="{00000000-0005-0000-0000-0000E2320000}"/>
    <cellStyle name="_NLDPL 10.09.2006_Tax Audit Report  ICSL F.Y.09-10" xfId="13027" xr:uid="{00000000-0005-0000-0000-0000E3320000}"/>
    <cellStyle name="_NLDPL 10.09.2006_Treasury ICD Interest_ MIS_ 23  09 2009(final)" xfId="13028" xr:uid="{00000000-0005-0000-0000-0000E4320000}"/>
    <cellStyle name="_NLDPL 10.09.2006_Treasury ICD Interest_ MIS_ 30. 06 2009(final)" xfId="13029" xr:uid="{00000000-0005-0000-0000-0000E5320000}"/>
    <cellStyle name="_NLDPL 10.09.2006_Treasury ICD Interest_ MIS_ 30. 09 2009(final)" xfId="13030" xr:uid="{00000000-0005-0000-0000-0000E6320000}"/>
    <cellStyle name="_NLDPL 10.09.2006_Treasury ICD Interest_ MIS_ 31 05 2009" xfId="13031" xr:uid="{00000000-0005-0000-0000-0000E7320000}"/>
    <cellStyle name="_NLDPL 10.09.2006_Treasury ICD Interest_ MIS_ 31 10 2009" xfId="13032" xr:uid="{00000000-0005-0000-0000-0000E8320000}"/>
    <cellStyle name="_NLDPL 10.09.2006_Treasury ICD Interest_ MIS_ 31.10.2009" xfId="13033" xr:uid="{00000000-0005-0000-0000-0000E9320000}"/>
    <cellStyle name="_NLDPL 10.09.2006_Treasury ICD Interest_ MIS_ 310309" xfId="13034" xr:uid="{00000000-0005-0000-0000-0000EA320000}"/>
    <cellStyle name="_NLHL 10.09.2006" xfId="13035" xr:uid="{00000000-0005-0000-0000-0000EB320000}"/>
    <cellStyle name="_NLHL 10.09.2006 2" xfId="13036" xr:uid="{00000000-0005-0000-0000-0000EC320000}"/>
    <cellStyle name="_NLHL 10.09.2006 2 2" xfId="13037" xr:uid="{00000000-0005-0000-0000-0000ED320000}"/>
    <cellStyle name="_NLHL 10.09.2006 3" xfId="13038" xr:uid="{00000000-0005-0000-0000-0000EE320000}"/>
    <cellStyle name="_NLHL 10.09.2006_269SS &amp; T IIAPL 09-10" xfId="13039" xr:uid="{00000000-0005-0000-0000-0000EF320000}"/>
    <cellStyle name="_NLHL 10.09.2006_Abstract-2007-08" xfId="13040" xr:uid="{00000000-0005-0000-0000-0000F0320000}"/>
    <cellStyle name="_NLHL 10.09.2006_Abstract-2007-08 2" xfId="13041" xr:uid="{00000000-0005-0000-0000-0000F1320000}"/>
    <cellStyle name="_NLHL 10.09.2006_Advance Tax Format_F.Y. 2010-11" xfId="13042" xr:uid="{00000000-0005-0000-0000-0000F2320000}"/>
    <cellStyle name="_NLHL 10.09.2006_Advance Tax Sophia Jun 09" xfId="13043" xr:uid="{00000000-0005-0000-0000-0000F3320000}"/>
    <cellStyle name="_NLHL 10.09.2006_Asset Management Company Limited" xfId="13044" xr:uid="{00000000-0005-0000-0000-0000F4320000}"/>
    <cellStyle name="_NLHL 10.09.2006_Base File For Segment" xfId="13045" xr:uid="{00000000-0005-0000-0000-0000F5320000}"/>
    <cellStyle name="_NLHL 10.09.2006_Book1" xfId="13046" xr:uid="{00000000-0005-0000-0000-0000F6320000}"/>
    <cellStyle name="_NLHL 10.09.2006_Book1 (2)" xfId="13047" xr:uid="{00000000-0005-0000-0000-0000F7320000}"/>
    <cellStyle name="_NLHL 10.09.2006_Book1 (2) 2" xfId="13048" xr:uid="{00000000-0005-0000-0000-0000F8320000}"/>
    <cellStyle name="_NLHL 10.09.2006_Bracond Balance Sheet  PL_301108_krishanu" xfId="13049" xr:uid="{00000000-0005-0000-0000-0000F9320000}"/>
    <cellStyle name="_NLHL 10.09.2006_BS _IB Asset Management _3103_ver5" xfId="13050" xr:uid="{00000000-0005-0000-0000-0000FA320000}"/>
    <cellStyle name="_NLHL 10.09.2006_BS _IB Asset Management _3103_ver5_IAMCL BS working -New format_31.03 V5" xfId="13051" xr:uid="{00000000-0005-0000-0000-0000FB320000}"/>
    <cellStyle name="_NLHL 10.09.2006_CCL_3353_2007-08" xfId="13052" xr:uid="{00000000-0005-0000-0000-0000FC320000}"/>
    <cellStyle name="_NLHL 10.09.2006_ChlorisProperties_3351_Dec.08" xfId="13053" xr:uid="{00000000-0005-0000-0000-0000FD320000}"/>
    <cellStyle name="_NLHL 10.09.2006_Consol Balance Sheet_Sophia_Dec08_Ibrel_1.3" xfId="13054" xr:uid="{00000000-0005-0000-0000-0000FE320000}"/>
    <cellStyle name="_NLHL 10.09.2006_CRAR - dec- 10v-12" xfId="13055" xr:uid="{00000000-0005-0000-0000-0000FF320000}"/>
    <cellStyle name="_NLHL 10.09.2006_CRAR - dec- 10v-12 2" xfId="13056" xr:uid="{00000000-0005-0000-0000-000000330000}"/>
    <cellStyle name="_NLHL 10.09.2006_detail (2)" xfId="13057" xr:uid="{00000000-0005-0000-0000-000001330000}"/>
    <cellStyle name="_NLHL 10.09.2006_Detail of IPO funding" xfId="13058" xr:uid="{00000000-0005-0000-0000-000002330000}"/>
    <cellStyle name="_NLHL 10.09.2006_Details" xfId="13059" xr:uid="{00000000-0005-0000-0000-000003330000}"/>
    <cellStyle name="_NLHL 10.09.2006_Entries Passed in Conso for profit on sale of invRevised 30.07.08" xfId="13060" xr:uid="{00000000-0005-0000-0000-000004330000}"/>
    <cellStyle name="_NLHL 10.09.2006_Entries Passed in Conso for profit on sale of invRevised 30.07.08 2" xfId="13061" xr:uid="{00000000-0005-0000-0000-000005330000}"/>
    <cellStyle name="_NLHL 10.09.2006_Entries Passed in Conso for profit on sale of invRevised 30.07.08_IREL_3000_08-09" xfId="13062" xr:uid="{00000000-0005-0000-0000-000006330000}"/>
    <cellStyle name="_NLHL 10.09.2006_Entries Passed in Conso for profit on sale of invRevised 30.07.08_IREL_3000_08-09 2" xfId="13063" xr:uid="{00000000-0005-0000-0000-000007330000}"/>
    <cellStyle name="_NLHL 10.09.2006_Entries Passed in Conso for profit on sale of invRevised 30.07.08_IREL_3000_08-09 2 2" xfId="13064" xr:uid="{00000000-0005-0000-0000-000008330000}"/>
    <cellStyle name="_NLHL 10.09.2006_Entries Passed in Conso for profit on sale of invRevised 30.07.08_IREL_3000_08-09 3" xfId="13065" xr:uid="{00000000-0005-0000-0000-000009330000}"/>
    <cellStyle name="_NLHL 10.09.2006_Entries Passed in Conso for profit on sale of invRevised 30.07.08_IREL_3000_08-09 stage 3" xfId="13066" xr:uid="{00000000-0005-0000-0000-00000A330000}"/>
    <cellStyle name="_NLHL 10.09.2006_Entries Passed in Conso for profit on sale of invRevised 30.07.08_IREL_3000_08-09 stage 3 2" xfId="13067" xr:uid="{00000000-0005-0000-0000-00000B330000}"/>
    <cellStyle name="_NLHL 10.09.2006_Entries Passed in Conso for profit on sale of invRevised 30.07.08_IREL_3000_08-09 stage 3_IREL_3000_08-09" xfId="13068" xr:uid="{00000000-0005-0000-0000-00000C330000}"/>
    <cellStyle name="_NLHL 10.09.2006_Entries Passed in Conso for profit on sale of invRevised 30.07.08_IREL_3000_08-09 stage 3_IREL_3000_08-09 2" xfId="13069" xr:uid="{00000000-0005-0000-0000-00000D330000}"/>
    <cellStyle name="_NLHL 10.09.2006_Entries Passed in Conso for profit on sale of invRevised 30.07.08_IREL_3000_08-09 stage 3_IREL_3000_08-09 2 2" xfId="13070" xr:uid="{00000000-0005-0000-0000-00000E330000}"/>
    <cellStyle name="_NLHL 10.09.2006_Entries Passed in Conso for profit on sale of invRevised 30.07.08_IREL_3000_08-09 stage 3_IREL_3000_08-09 3" xfId="13071" xr:uid="{00000000-0005-0000-0000-00000F330000}"/>
    <cellStyle name="_NLHL 10.09.2006_Entries Passed in Conso for profit on sale of invRevised 30.07.08_IREL_3000_08-09_IBREAL_BS PACK-Version.02" xfId="13072" xr:uid="{00000000-0005-0000-0000-000010330000}"/>
    <cellStyle name="_NLHL 10.09.2006_Entries Passed in Conso for profit on sale of invRevised 30.07.08_IREL_3000_08-09_IBREAL_BS PACK-Version.02 2" xfId="13073" xr:uid="{00000000-0005-0000-0000-000011330000}"/>
    <cellStyle name="_NLHL 10.09.2006_Entries Passed in Conso for profit on sale of invRevised 30.07.08_IREL_3000_08-09_IBREAL_BS PACK-Version.02 2 2" xfId="13074" xr:uid="{00000000-0005-0000-0000-000012330000}"/>
    <cellStyle name="_NLHL 10.09.2006_Entries Passed in Conso for profit on sale of invRevised 30.07.08_IREL_3000_08-09_IBREAL_BS PACK-Version.02 3" xfId="13075" xr:uid="{00000000-0005-0000-0000-000013330000}"/>
    <cellStyle name="_NLHL 10.09.2006_Entries Passed in Conso for profit on sale of invRevised 30.07.08_IREL_3000_08-09_IBREAL_BS PACK-Version.02_IBREAL_BS PACK-Version.03" xfId="13076" xr:uid="{00000000-0005-0000-0000-000014330000}"/>
    <cellStyle name="_NLHL 10.09.2006_Entries Passed in Conso for profit on sale of invRevised 30.07.08_IREL_3000_08-09_IBREAL_BS PACK-Version.02_IBREAL_BS PACK-Version.03 2" xfId="13077" xr:uid="{00000000-0005-0000-0000-000015330000}"/>
    <cellStyle name="_NLHL 10.09.2006_Entries Passed in Conso for profit on sale of invRevised 30.07.08_IREL_3000_08-09_IBREAL_BS PACK-Version.02_IBREAL_BS PACK-Version.03 2 2" xfId="13078" xr:uid="{00000000-0005-0000-0000-000016330000}"/>
    <cellStyle name="_NLHL 10.09.2006_Entries Passed in Conso for profit on sale of invRevised 30.07.08_IREL_3000_08-09_IBREAL_BS PACK-Version.02_IBREAL_BS PACK-Version.03 3" xfId="13079" xr:uid="{00000000-0005-0000-0000-000017330000}"/>
    <cellStyle name="_NLHL 10.09.2006_Entries Passed in Conso for profit on sale of invRevised 30.07.08_IREL_3000_08-09_IBREAL_BS PACK-Version.02_IBREAL_BS PACK-Version.03_IBREAL_BS PACK-Version.07" xfId="13080" xr:uid="{00000000-0005-0000-0000-000018330000}"/>
    <cellStyle name="_NLHL 10.09.2006_Entries Passed in Conso for profit on sale of invRevised 30.07.08_IREL_3000_08-09_IBREAL_BS PACK-Version.02_IBREAL_BS PACK-Version.03_IBREAL_BS PACK-Version.07 2" xfId="13081" xr:uid="{00000000-0005-0000-0000-000019330000}"/>
    <cellStyle name="_NLHL 10.09.2006_Entries Passed in Conso for profit on sale of invRevised 30.07.08_IREL_3000_08-09_IBREAL_BS PACK-Version.02_IBREAL_BS PACK-Version.03_IBREAL_BS PACK-Version.07 2 2" xfId="13082" xr:uid="{00000000-0005-0000-0000-00001A330000}"/>
    <cellStyle name="_NLHL 10.09.2006_Entries Passed in Conso for profit on sale of invRevised 30.07.08_IREL_3000_08-09_IBREAL_BS PACK-Version.02_IBREAL_BS PACK-Version.03_IBREAL_BS PACK-Version.07 3" xfId="13083" xr:uid="{00000000-0005-0000-0000-00001B330000}"/>
    <cellStyle name="_NLHL 10.09.2006_EPL_3346_2007-08(C)" xfId="13084" xr:uid="{00000000-0005-0000-0000-00001C330000}"/>
    <cellStyle name="_NLHL 10.09.2006_FD Detail" xfId="13085" xr:uid="{00000000-0005-0000-0000-00001D330000}"/>
    <cellStyle name="_NLHL 10.09.2006_FD Detail_Xl0000013" xfId="13086" xr:uid="{00000000-0005-0000-0000-00001E330000}"/>
    <cellStyle name="_NLHL 10.09.2006_Final Consol Balance Sheet_Sophia_Dec08_27.01.08" xfId="13087" xr:uid="{00000000-0005-0000-0000-00001F330000}"/>
    <cellStyle name="_NLHL 10.09.2006_Fixed Assets consolidated" xfId="13088" xr:uid="{00000000-0005-0000-0000-000020330000}"/>
    <cellStyle name="_NLHL 10.09.2006_IAMCL BS working -New format_31.03 V5" xfId="13089" xr:uid="{00000000-0005-0000-0000-000021330000}"/>
    <cellStyle name="_NLHL 10.09.2006_IB Asset Management _2910" xfId="13090" xr:uid="{00000000-0005-0000-0000-000022330000}"/>
    <cellStyle name="_NLHL 10.09.2006_IB Asset Management _2910_IB Collection Agency_3103 V3" xfId="13091" xr:uid="{00000000-0005-0000-0000-000023330000}"/>
    <cellStyle name="_NLHL 10.09.2006_IB Asset Management _2910_IB Collection Agency_3103 V3_ICAL-New Format_31.03 V4" xfId="13092" xr:uid="{00000000-0005-0000-0000-000024330000}"/>
    <cellStyle name="_NLHL 10.09.2006_IB Asset Management _2910_ICAL-BS Final Working _New format" xfId="13093" xr:uid="{00000000-0005-0000-0000-000025330000}"/>
    <cellStyle name="_NLHL 10.09.2006_IB Asset Management _3103_ver5" xfId="13094" xr:uid="{00000000-0005-0000-0000-000026330000}"/>
    <cellStyle name="_NLHL 10.09.2006_IB Asset Management_3103 V2" xfId="13095" xr:uid="{00000000-0005-0000-0000-000027330000}"/>
    <cellStyle name="_NLHL 10.09.2006_IB Asset Management_3103 V4" xfId="13096" xr:uid="{00000000-0005-0000-0000-000028330000}"/>
    <cellStyle name="_NLHL 10.09.2006_IB Asset Management_3103 V5" xfId="13097" xr:uid="{00000000-0005-0000-0000-000029330000}"/>
    <cellStyle name="_NLHL 10.09.2006_IB Collection Agency_3103 V3" xfId="13098" xr:uid="{00000000-0005-0000-0000-00002A330000}"/>
    <cellStyle name="_NLHL 10.09.2006_IB Collection Agency_3103 V3_ICAL-New Format_31.03 V4" xfId="13099" xr:uid="{00000000-0005-0000-0000-00002B330000}"/>
    <cellStyle name="_NLHL 10.09.2006_IB Infrastructure Credit" xfId="13100" xr:uid="{00000000-0005-0000-0000-00002C330000}"/>
    <cellStyle name="_NLHL 10.09.2006_IB Infrastructure Credit-3103_V6" xfId="13101" xr:uid="{00000000-0005-0000-0000-00002D330000}"/>
    <cellStyle name="_NLHL 10.09.2006_IB Infrastructure Credit-3103_V7" xfId="13102" xr:uid="{00000000-0005-0000-0000-00002E330000}"/>
    <cellStyle name="_NLHL 10.09.2006_IB Life Insurance_3103 V4" xfId="13103" xr:uid="{00000000-0005-0000-0000-00002F330000}"/>
    <cellStyle name="_NLHL 10.09.2006_IB Trustee Company_3103 V4" xfId="13104" xr:uid="{00000000-0005-0000-0000-000030330000}"/>
    <cellStyle name="_NLHL 10.09.2006_IBFSL 30 Sep 11 V8" xfId="13105" xr:uid="{00000000-0005-0000-0000-000031330000}"/>
    <cellStyle name="_NLHL 10.09.2006_IBFSL 31 May V1" xfId="13106" xr:uid="{00000000-0005-0000-0000-000032330000}"/>
    <cellStyle name="_NLHL 10.09.2006_IBFSL 31 May V1_Xl0000013" xfId="13107" xr:uid="{00000000-0005-0000-0000-000033330000}"/>
    <cellStyle name="_NLHL 10.09.2006_IBFSL_Conso_March_10_11" xfId="13108" xr:uid="{00000000-0005-0000-0000-000034330000}"/>
    <cellStyle name="_NLHL 10.09.2006_IBLIC_BS  Final working -New_Format_31.03 V5" xfId="13109" xr:uid="{00000000-0005-0000-0000-000035330000}"/>
    <cellStyle name="_NLHL 10.09.2006_Ibulls BS Final woirking -New format_31.03 V5" xfId="13110" xr:uid="{00000000-0005-0000-0000-000036330000}"/>
    <cellStyle name="_NLHL 10.09.2006_IbullsSales_3103" xfId="13111" xr:uid="{00000000-0005-0000-0000-000037330000}"/>
    <cellStyle name="_NLHL 10.09.2006_IbullsSales_3103 V2" xfId="13112" xr:uid="{00000000-0005-0000-0000-000038330000}"/>
    <cellStyle name="_NLHL 10.09.2006_IbullsSales_3103 V5" xfId="13113" xr:uid="{00000000-0005-0000-0000-000039330000}"/>
    <cellStyle name="_NLHL 10.09.2006_ICAL-BS Final Working _New format" xfId="13114" xr:uid="{00000000-0005-0000-0000-00003A330000}"/>
    <cellStyle name="_NLHL 10.09.2006_ICL_BS_30.06.2009" xfId="13115" xr:uid="{00000000-0005-0000-0000-00003B330000}"/>
    <cellStyle name="_NLHL 10.09.2006_ICPL_BS_31.03.2009_new" xfId="13116" xr:uid="{00000000-0005-0000-0000-00003C330000}"/>
    <cellStyle name="_NLHL 10.09.2006_ICPL_BS_31.03.2009_new_ISL__3CD_FY2010-11" xfId="13117" xr:uid="{00000000-0005-0000-0000-00003D330000}"/>
    <cellStyle name="_NLHL 10.09.2006_IDSL_31.03.2010" xfId="13118" xr:uid="{00000000-0005-0000-0000-00003E330000}"/>
    <cellStyle name="_NLHL 10.09.2006_IFCPL 31 03 2010 VER6 Final" xfId="13119" xr:uid="{00000000-0005-0000-0000-00003F330000}"/>
    <cellStyle name="_NLHL 10.09.2006_IHFL_Dec_23_2008" xfId="13120" xr:uid="{00000000-0005-0000-0000-000040330000}"/>
    <cellStyle name="_NLHL 10.09.2006_IHFL_Dec_23_2008_Xl0000013" xfId="13121" xr:uid="{00000000-0005-0000-0000-000041330000}"/>
    <cellStyle name="_NLHL 10.09.2006_IHFL_SEP_30_2009 XIII AUDIT- Sch II" xfId="13122" xr:uid="{00000000-0005-0000-0000-000042330000}"/>
    <cellStyle name="_NLHL 10.09.2006_IIAL 31.03.2010 VER2" xfId="13123" xr:uid="{00000000-0005-0000-0000-000043330000}"/>
    <cellStyle name="_NLHL 10.09.2006_IICL_March'11" xfId="13124" xr:uid="{00000000-0005-0000-0000-000044330000}"/>
    <cellStyle name="_NLHL 10.09.2006_IIDL_3227_2008_09" xfId="13125" xr:uid="{00000000-0005-0000-0000-000045330000}"/>
    <cellStyle name="_NLHL 10.09.2006_IIDL_3227_2008_09_Advance Tax Summary" xfId="13126" xr:uid="{00000000-0005-0000-0000-000046330000}"/>
    <cellStyle name="_NLHL 10.09.2006_IIDL_3227_2008_09_Advance Tax Summary 2" xfId="13127" xr:uid="{00000000-0005-0000-0000-000047330000}"/>
    <cellStyle name="_NLHL 10.09.2006_IIDL_3227_2008_09_ISL Group - Advance Tax working for 3rd Instalment" xfId="13128" xr:uid="{00000000-0005-0000-0000-000048330000}"/>
    <cellStyle name="_NLHL 10.09.2006_IIDL_3227_2008_09_Xl0000013" xfId="13129" xr:uid="{00000000-0005-0000-0000-000049330000}"/>
    <cellStyle name="_NLHL 10.09.2006_Indiabulls Asset Management Company Limited printable" xfId="13130" xr:uid="{00000000-0005-0000-0000-00004A330000}"/>
    <cellStyle name="_NLHL 10.09.2006_IREL_3000_08-09" xfId="13131" xr:uid="{00000000-0005-0000-0000-00004B330000}"/>
    <cellStyle name="_NLHL 10.09.2006_IREL_3000_08-09 2" xfId="13132" xr:uid="{00000000-0005-0000-0000-00004C330000}"/>
    <cellStyle name="_NLHL 10.09.2006_ISL_March_08_09.final_11.12.2009" xfId="13133" xr:uid="{00000000-0005-0000-0000-00004D330000}"/>
    <cellStyle name="_NLHL 10.09.2006_ISL_March_08_09.final_11.12.2009_ISL__3CD_FY2010-11" xfId="13134" xr:uid="{00000000-0005-0000-0000-00004E330000}"/>
    <cellStyle name="_NLHL 10.09.2006_ITCL_BS working _New format_31.03 V7" xfId="13135" xr:uid="{00000000-0005-0000-0000-00004F330000}"/>
    <cellStyle name="_NLHL 10.09.2006_ITCL-New format_31.03 V6" xfId="13136" xr:uid="{00000000-0005-0000-0000-000050330000}"/>
    <cellStyle name="_NLHL 10.09.2006_NFCL working file" xfId="13137" xr:uid="{00000000-0005-0000-0000-000051330000}"/>
    <cellStyle name="_NLHL 10.09.2006_NFCL_ Tax Audit Report FY08-09 " xfId="13138" xr:uid="{00000000-0005-0000-0000-000052330000}"/>
    <cellStyle name="_NLHL 10.09.2006_Revised Consol Balance Sheet_Sophia_Jan09_10.02.2009" xfId="13139" xr:uid="{00000000-0005-0000-0000-000053330000}"/>
    <cellStyle name="_NLHL 10.09.2006_Sophia Consol for Printout 22 Jun 09" xfId="13140" xr:uid="{00000000-0005-0000-0000-000054330000}"/>
    <cellStyle name="_NLHL 10.09.2006_Sophia Consol_march_09_05 June  09_1" xfId="13141" xr:uid="{00000000-0005-0000-0000-000055330000}"/>
    <cellStyle name="_NLHL 10.09.2006_Tax Audit Report  F.Y.08-09" xfId="13142" xr:uid="{00000000-0005-0000-0000-000056330000}"/>
    <cellStyle name="_NLHL 10.09.2006_Tax Audit Report  ICSL F.Y.09-10" xfId="13143" xr:uid="{00000000-0005-0000-0000-000057330000}"/>
    <cellStyle name="_NLHL 10.09.2006_Treasury ICD Interest_ MIS_ 23  09 2009(final)" xfId="13144" xr:uid="{00000000-0005-0000-0000-000058330000}"/>
    <cellStyle name="_NLHL 10.09.2006_Treasury ICD Interest_ MIS_ 30. 06 2009(final)" xfId="13145" xr:uid="{00000000-0005-0000-0000-000059330000}"/>
    <cellStyle name="_NLHL 10.09.2006_Treasury ICD Interest_ MIS_ 30. 09 2009(final)" xfId="13146" xr:uid="{00000000-0005-0000-0000-00005A330000}"/>
    <cellStyle name="_NLHL 10.09.2006_Treasury ICD Interest_ MIS_ 31 05 2009" xfId="13147" xr:uid="{00000000-0005-0000-0000-00005B330000}"/>
    <cellStyle name="_NLHL 10.09.2006_Treasury ICD Interest_ MIS_ 31 10 2009" xfId="13148" xr:uid="{00000000-0005-0000-0000-00005C330000}"/>
    <cellStyle name="_NLHL 10.09.2006_Treasury ICD Interest_ MIS_ 31.10.2009" xfId="13149" xr:uid="{00000000-0005-0000-0000-00005D330000}"/>
    <cellStyle name="_NLHL 10.09.2006_Treasury ICD Interest_ MIS_ 310309" xfId="13150" xr:uid="{00000000-0005-0000-0000-00005E330000}"/>
    <cellStyle name="_NLHL Trial" xfId="13151" xr:uid="{00000000-0005-0000-0000-00005F330000}"/>
    <cellStyle name="_NLHL Trial 2" xfId="13152" xr:uid="{00000000-0005-0000-0000-000060330000}"/>
    <cellStyle name="_NLL  10.09.2006" xfId="13153" xr:uid="{00000000-0005-0000-0000-000061330000}"/>
    <cellStyle name="_NLL  10.09.2006 2" xfId="13154" xr:uid="{00000000-0005-0000-0000-000062330000}"/>
    <cellStyle name="_NLL  10.09.2006 2 2" xfId="13155" xr:uid="{00000000-0005-0000-0000-000063330000}"/>
    <cellStyle name="_NLL  10.09.2006 3" xfId="13156" xr:uid="{00000000-0005-0000-0000-000064330000}"/>
    <cellStyle name="_NLL  10.09.2006_269SS &amp; T IIAPL 09-10" xfId="13157" xr:uid="{00000000-0005-0000-0000-000065330000}"/>
    <cellStyle name="_NLL  10.09.2006_Abstract-2007-08" xfId="13158" xr:uid="{00000000-0005-0000-0000-000066330000}"/>
    <cellStyle name="_NLL  10.09.2006_Abstract-2007-08 2" xfId="13159" xr:uid="{00000000-0005-0000-0000-000067330000}"/>
    <cellStyle name="_NLL  10.09.2006_Advance Tax Format_F.Y. 2010-11" xfId="13160" xr:uid="{00000000-0005-0000-0000-000068330000}"/>
    <cellStyle name="_NLL  10.09.2006_Advance Tax Sophia Jun 09" xfId="13161" xr:uid="{00000000-0005-0000-0000-000069330000}"/>
    <cellStyle name="_NLL  10.09.2006_Asset Management Company Limited" xfId="13162" xr:uid="{00000000-0005-0000-0000-00006A330000}"/>
    <cellStyle name="_NLL  10.09.2006_Base File For Segment" xfId="13163" xr:uid="{00000000-0005-0000-0000-00006B330000}"/>
    <cellStyle name="_NLL  10.09.2006_Book1" xfId="13164" xr:uid="{00000000-0005-0000-0000-00006C330000}"/>
    <cellStyle name="_NLL  10.09.2006_Book1 (2)" xfId="13165" xr:uid="{00000000-0005-0000-0000-00006D330000}"/>
    <cellStyle name="_NLL  10.09.2006_Book1 (2) 2" xfId="13166" xr:uid="{00000000-0005-0000-0000-00006E330000}"/>
    <cellStyle name="_NLL  10.09.2006_Bracond Balance Sheet  PL_301108_krishanu" xfId="13167" xr:uid="{00000000-0005-0000-0000-00006F330000}"/>
    <cellStyle name="_NLL  10.09.2006_BS _IB Asset Management _3103_ver5" xfId="13168" xr:uid="{00000000-0005-0000-0000-000070330000}"/>
    <cellStyle name="_NLL  10.09.2006_BS _IB Asset Management _3103_ver5_IAMCL BS working -New format_31.03 V5" xfId="13169" xr:uid="{00000000-0005-0000-0000-000071330000}"/>
    <cellStyle name="_NLL  10.09.2006_CCL_3353_2007-08" xfId="13170" xr:uid="{00000000-0005-0000-0000-000072330000}"/>
    <cellStyle name="_NLL  10.09.2006_ChlorisProperties_3351_Dec.08" xfId="13171" xr:uid="{00000000-0005-0000-0000-000073330000}"/>
    <cellStyle name="_NLL  10.09.2006_Consol Balance Sheet_Sophia_Dec08_Ibrel_1.3" xfId="13172" xr:uid="{00000000-0005-0000-0000-000074330000}"/>
    <cellStyle name="_NLL  10.09.2006_CRAR - dec- 10v-12" xfId="13173" xr:uid="{00000000-0005-0000-0000-000075330000}"/>
    <cellStyle name="_NLL  10.09.2006_CRAR - dec- 10v-12 2" xfId="13174" xr:uid="{00000000-0005-0000-0000-000076330000}"/>
    <cellStyle name="_NLL  10.09.2006_detail (2)" xfId="13175" xr:uid="{00000000-0005-0000-0000-000077330000}"/>
    <cellStyle name="_NLL  10.09.2006_Detail of IPO funding" xfId="13176" xr:uid="{00000000-0005-0000-0000-000078330000}"/>
    <cellStyle name="_NLL  10.09.2006_Details" xfId="13177" xr:uid="{00000000-0005-0000-0000-000079330000}"/>
    <cellStyle name="_NLL  10.09.2006_Entries Passed in Conso for profit on sale of invRevised 30.07.08" xfId="13178" xr:uid="{00000000-0005-0000-0000-00007A330000}"/>
    <cellStyle name="_NLL  10.09.2006_Entries Passed in Conso for profit on sale of invRevised 30.07.08 2" xfId="13179" xr:uid="{00000000-0005-0000-0000-00007B330000}"/>
    <cellStyle name="_NLL  10.09.2006_Entries Passed in Conso for profit on sale of invRevised 30.07.08_IREL_3000_08-09" xfId="13180" xr:uid="{00000000-0005-0000-0000-00007C330000}"/>
    <cellStyle name="_NLL  10.09.2006_Entries Passed in Conso for profit on sale of invRevised 30.07.08_IREL_3000_08-09 2" xfId="13181" xr:uid="{00000000-0005-0000-0000-00007D330000}"/>
    <cellStyle name="_NLL  10.09.2006_Entries Passed in Conso for profit on sale of invRevised 30.07.08_IREL_3000_08-09 2 2" xfId="13182" xr:uid="{00000000-0005-0000-0000-00007E330000}"/>
    <cellStyle name="_NLL  10.09.2006_Entries Passed in Conso for profit on sale of invRevised 30.07.08_IREL_3000_08-09 3" xfId="13183" xr:uid="{00000000-0005-0000-0000-00007F330000}"/>
    <cellStyle name="_NLL  10.09.2006_Entries Passed in Conso for profit on sale of invRevised 30.07.08_IREL_3000_08-09 stage 3" xfId="13184" xr:uid="{00000000-0005-0000-0000-000080330000}"/>
    <cellStyle name="_NLL  10.09.2006_Entries Passed in Conso for profit on sale of invRevised 30.07.08_IREL_3000_08-09 stage 3 2" xfId="13185" xr:uid="{00000000-0005-0000-0000-000081330000}"/>
    <cellStyle name="_NLL  10.09.2006_Entries Passed in Conso for profit on sale of invRevised 30.07.08_IREL_3000_08-09 stage 3_IREL_3000_08-09" xfId="13186" xr:uid="{00000000-0005-0000-0000-000082330000}"/>
    <cellStyle name="_NLL  10.09.2006_Entries Passed in Conso for profit on sale of invRevised 30.07.08_IREL_3000_08-09 stage 3_IREL_3000_08-09 2" xfId="13187" xr:uid="{00000000-0005-0000-0000-000083330000}"/>
    <cellStyle name="_NLL  10.09.2006_Entries Passed in Conso for profit on sale of invRevised 30.07.08_IREL_3000_08-09 stage 3_IREL_3000_08-09 2 2" xfId="13188" xr:uid="{00000000-0005-0000-0000-000084330000}"/>
    <cellStyle name="_NLL  10.09.2006_Entries Passed in Conso for profit on sale of invRevised 30.07.08_IREL_3000_08-09 stage 3_IREL_3000_08-09 3" xfId="13189" xr:uid="{00000000-0005-0000-0000-000085330000}"/>
    <cellStyle name="_NLL  10.09.2006_Entries Passed in Conso for profit on sale of invRevised 30.07.08_IREL_3000_08-09_IBREAL_BS PACK-Version.02" xfId="13190" xr:uid="{00000000-0005-0000-0000-000086330000}"/>
    <cellStyle name="_NLL  10.09.2006_Entries Passed in Conso for profit on sale of invRevised 30.07.08_IREL_3000_08-09_IBREAL_BS PACK-Version.02 2" xfId="13191" xr:uid="{00000000-0005-0000-0000-000087330000}"/>
    <cellStyle name="_NLL  10.09.2006_Entries Passed in Conso for profit on sale of invRevised 30.07.08_IREL_3000_08-09_IBREAL_BS PACK-Version.02 2 2" xfId="13192" xr:uid="{00000000-0005-0000-0000-000088330000}"/>
    <cellStyle name="_NLL  10.09.2006_Entries Passed in Conso for profit on sale of invRevised 30.07.08_IREL_3000_08-09_IBREAL_BS PACK-Version.02 3" xfId="13193" xr:uid="{00000000-0005-0000-0000-000089330000}"/>
    <cellStyle name="_NLL  10.09.2006_Entries Passed in Conso for profit on sale of invRevised 30.07.08_IREL_3000_08-09_IBREAL_BS PACK-Version.02_IBREAL_BS PACK-Version.03" xfId="13194" xr:uid="{00000000-0005-0000-0000-00008A330000}"/>
    <cellStyle name="_NLL  10.09.2006_Entries Passed in Conso for profit on sale of invRevised 30.07.08_IREL_3000_08-09_IBREAL_BS PACK-Version.02_IBREAL_BS PACK-Version.03 2" xfId="13195" xr:uid="{00000000-0005-0000-0000-00008B330000}"/>
    <cellStyle name="_NLL  10.09.2006_Entries Passed in Conso for profit on sale of invRevised 30.07.08_IREL_3000_08-09_IBREAL_BS PACK-Version.02_IBREAL_BS PACK-Version.03 2 2" xfId="13196" xr:uid="{00000000-0005-0000-0000-00008C330000}"/>
    <cellStyle name="_NLL  10.09.2006_Entries Passed in Conso for profit on sale of invRevised 30.07.08_IREL_3000_08-09_IBREAL_BS PACK-Version.02_IBREAL_BS PACK-Version.03 3" xfId="13197" xr:uid="{00000000-0005-0000-0000-00008D330000}"/>
    <cellStyle name="_NLL  10.09.2006_Entries Passed in Conso for profit on sale of invRevised 30.07.08_IREL_3000_08-09_IBREAL_BS PACK-Version.02_IBREAL_BS PACK-Version.03_IBREAL_BS PACK-Version.07" xfId="13198" xr:uid="{00000000-0005-0000-0000-00008E330000}"/>
    <cellStyle name="_NLL  10.09.2006_Entries Passed in Conso for profit on sale of invRevised 30.07.08_IREL_3000_08-09_IBREAL_BS PACK-Version.02_IBREAL_BS PACK-Version.03_IBREAL_BS PACK-Version.07 2" xfId="13199" xr:uid="{00000000-0005-0000-0000-00008F330000}"/>
    <cellStyle name="_NLL  10.09.2006_Entries Passed in Conso for profit on sale of invRevised 30.07.08_IREL_3000_08-09_IBREAL_BS PACK-Version.02_IBREAL_BS PACK-Version.03_IBREAL_BS PACK-Version.07 2 2" xfId="13200" xr:uid="{00000000-0005-0000-0000-000090330000}"/>
    <cellStyle name="_NLL  10.09.2006_Entries Passed in Conso for profit on sale of invRevised 30.07.08_IREL_3000_08-09_IBREAL_BS PACK-Version.02_IBREAL_BS PACK-Version.03_IBREAL_BS PACK-Version.07 3" xfId="13201" xr:uid="{00000000-0005-0000-0000-000091330000}"/>
    <cellStyle name="_NLL  10.09.2006_EPL_3346_2007-08(C)" xfId="13202" xr:uid="{00000000-0005-0000-0000-000092330000}"/>
    <cellStyle name="_NLL  10.09.2006_FD Detail" xfId="13203" xr:uid="{00000000-0005-0000-0000-000093330000}"/>
    <cellStyle name="_NLL  10.09.2006_FD Detail_Xl0000013" xfId="13204" xr:uid="{00000000-0005-0000-0000-000094330000}"/>
    <cellStyle name="_NLL  10.09.2006_Final Consol Balance Sheet_Sophia_Dec08_27.01.08" xfId="13205" xr:uid="{00000000-0005-0000-0000-000095330000}"/>
    <cellStyle name="_NLL  10.09.2006_Fixed Assets consolidated" xfId="13206" xr:uid="{00000000-0005-0000-0000-000096330000}"/>
    <cellStyle name="_NLL  10.09.2006_IAMCL BS working -New format_31.03 V5" xfId="13207" xr:uid="{00000000-0005-0000-0000-000097330000}"/>
    <cellStyle name="_NLL  10.09.2006_IB Asset Management _2910" xfId="13208" xr:uid="{00000000-0005-0000-0000-000098330000}"/>
    <cellStyle name="_NLL  10.09.2006_IB Asset Management _2910_IB Collection Agency_3103 V3" xfId="13209" xr:uid="{00000000-0005-0000-0000-000099330000}"/>
    <cellStyle name="_NLL  10.09.2006_IB Asset Management _2910_IB Collection Agency_3103 V3_ICAL-New Format_31.03 V4" xfId="13210" xr:uid="{00000000-0005-0000-0000-00009A330000}"/>
    <cellStyle name="_NLL  10.09.2006_IB Asset Management _2910_ICAL-BS Final Working _New format" xfId="13211" xr:uid="{00000000-0005-0000-0000-00009B330000}"/>
    <cellStyle name="_NLL  10.09.2006_IB Asset Management _3103_ver5" xfId="13212" xr:uid="{00000000-0005-0000-0000-00009C330000}"/>
    <cellStyle name="_NLL  10.09.2006_IB Asset Management_3103 V2" xfId="13213" xr:uid="{00000000-0005-0000-0000-00009D330000}"/>
    <cellStyle name="_NLL  10.09.2006_IB Asset Management_3103 V4" xfId="13214" xr:uid="{00000000-0005-0000-0000-00009E330000}"/>
    <cellStyle name="_NLL  10.09.2006_IB Asset Management_3103 V5" xfId="13215" xr:uid="{00000000-0005-0000-0000-00009F330000}"/>
    <cellStyle name="_NLL  10.09.2006_IB Collection Agency_3103 V3" xfId="13216" xr:uid="{00000000-0005-0000-0000-0000A0330000}"/>
    <cellStyle name="_NLL  10.09.2006_IB Collection Agency_3103 V3_ICAL-New Format_31.03 V4" xfId="13217" xr:uid="{00000000-0005-0000-0000-0000A1330000}"/>
    <cellStyle name="_NLL  10.09.2006_IB Infrastructure Credit" xfId="13218" xr:uid="{00000000-0005-0000-0000-0000A2330000}"/>
    <cellStyle name="_NLL  10.09.2006_IB Infrastructure Credit-3103_V6" xfId="13219" xr:uid="{00000000-0005-0000-0000-0000A3330000}"/>
    <cellStyle name="_NLL  10.09.2006_IB Infrastructure Credit-3103_V7" xfId="13220" xr:uid="{00000000-0005-0000-0000-0000A4330000}"/>
    <cellStyle name="_NLL  10.09.2006_IB Life Insurance_3103 V4" xfId="13221" xr:uid="{00000000-0005-0000-0000-0000A5330000}"/>
    <cellStyle name="_NLL  10.09.2006_IB Trustee Company_3103 V4" xfId="13222" xr:uid="{00000000-0005-0000-0000-0000A6330000}"/>
    <cellStyle name="_NLL  10.09.2006_IBFSL 30 Sep 11 V8" xfId="13223" xr:uid="{00000000-0005-0000-0000-0000A7330000}"/>
    <cellStyle name="_NLL  10.09.2006_IBFSL 31 May V1" xfId="13224" xr:uid="{00000000-0005-0000-0000-0000A8330000}"/>
    <cellStyle name="_NLL  10.09.2006_IBFSL 31 May V1_Xl0000013" xfId="13225" xr:uid="{00000000-0005-0000-0000-0000A9330000}"/>
    <cellStyle name="_NLL  10.09.2006_IBFSL_Conso_March_10_11" xfId="13226" xr:uid="{00000000-0005-0000-0000-0000AA330000}"/>
    <cellStyle name="_NLL  10.09.2006_IBLIC_BS  Final working -New_Format_31.03 V5" xfId="13227" xr:uid="{00000000-0005-0000-0000-0000AB330000}"/>
    <cellStyle name="_NLL  10.09.2006_Ibulls BS Final woirking -New format_31.03 V5" xfId="13228" xr:uid="{00000000-0005-0000-0000-0000AC330000}"/>
    <cellStyle name="_NLL  10.09.2006_IbullsSales_3103" xfId="13229" xr:uid="{00000000-0005-0000-0000-0000AD330000}"/>
    <cellStyle name="_NLL  10.09.2006_IbullsSales_3103 V2" xfId="13230" xr:uid="{00000000-0005-0000-0000-0000AE330000}"/>
    <cellStyle name="_NLL  10.09.2006_IbullsSales_3103 V5" xfId="13231" xr:uid="{00000000-0005-0000-0000-0000AF330000}"/>
    <cellStyle name="_NLL  10.09.2006_ICAL-BS Final Working _New format" xfId="13232" xr:uid="{00000000-0005-0000-0000-0000B0330000}"/>
    <cellStyle name="_NLL  10.09.2006_ICL_BS_30.06.2009" xfId="13233" xr:uid="{00000000-0005-0000-0000-0000B1330000}"/>
    <cellStyle name="_NLL  10.09.2006_ICPL_BS_31.03.2009_new" xfId="13234" xr:uid="{00000000-0005-0000-0000-0000B2330000}"/>
    <cellStyle name="_NLL  10.09.2006_ICPL_BS_31.03.2009_new_ISL__3CD_FY2010-11" xfId="13235" xr:uid="{00000000-0005-0000-0000-0000B3330000}"/>
    <cellStyle name="_NLL  10.09.2006_IDSL_31.03.2010" xfId="13236" xr:uid="{00000000-0005-0000-0000-0000B4330000}"/>
    <cellStyle name="_NLL  10.09.2006_IFCPL 31 03 2010 VER6 Final" xfId="13237" xr:uid="{00000000-0005-0000-0000-0000B5330000}"/>
    <cellStyle name="_NLL  10.09.2006_IHFL_Dec_23_2008" xfId="13238" xr:uid="{00000000-0005-0000-0000-0000B6330000}"/>
    <cellStyle name="_NLL  10.09.2006_IHFL_Dec_23_2008_Xl0000013" xfId="13239" xr:uid="{00000000-0005-0000-0000-0000B7330000}"/>
    <cellStyle name="_NLL  10.09.2006_IHFL_SEP_30_2009 XIII AUDIT- Sch II" xfId="13240" xr:uid="{00000000-0005-0000-0000-0000B8330000}"/>
    <cellStyle name="_NLL  10.09.2006_IIAL 31.03.2010 VER2" xfId="13241" xr:uid="{00000000-0005-0000-0000-0000B9330000}"/>
    <cellStyle name="_NLL  10.09.2006_IICL_March'11" xfId="13242" xr:uid="{00000000-0005-0000-0000-0000BA330000}"/>
    <cellStyle name="_NLL  10.09.2006_IIDL_3227_2008_09" xfId="13243" xr:uid="{00000000-0005-0000-0000-0000BB330000}"/>
    <cellStyle name="_NLL  10.09.2006_IIDL_3227_2008_09_Advance Tax Summary" xfId="13244" xr:uid="{00000000-0005-0000-0000-0000BC330000}"/>
    <cellStyle name="_NLL  10.09.2006_IIDL_3227_2008_09_Advance Tax Summary 2" xfId="13245" xr:uid="{00000000-0005-0000-0000-0000BD330000}"/>
    <cellStyle name="_NLL  10.09.2006_IIDL_3227_2008_09_ISL Group - Advance Tax working for 3rd Instalment" xfId="13246" xr:uid="{00000000-0005-0000-0000-0000BE330000}"/>
    <cellStyle name="_NLL  10.09.2006_IIDL_3227_2008_09_Xl0000013" xfId="13247" xr:uid="{00000000-0005-0000-0000-0000BF330000}"/>
    <cellStyle name="_NLL  10.09.2006_Indiabulls Asset Management Company Limited printable" xfId="13248" xr:uid="{00000000-0005-0000-0000-0000C0330000}"/>
    <cellStyle name="_NLL  10.09.2006_IREL_3000_08-09" xfId="13249" xr:uid="{00000000-0005-0000-0000-0000C1330000}"/>
    <cellStyle name="_NLL  10.09.2006_IREL_3000_08-09 2" xfId="13250" xr:uid="{00000000-0005-0000-0000-0000C2330000}"/>
    <cellStyle name="_NLL  10.09.2006_ISL_March_08_09.final_11.12.2009" xfId="13251" xr:uid="{00000000-0005-0000-0000-0000C3330000}"/>
    <cellStyle name="_NLL  10.09.2006_ISL_March_08_09.final_11.12.2009_ISL__3CD_FY2010-11" xfId="13252" xr:uid="{00000000-0005-0000-0000-0000C4330000}"/>
    <cellStyle name="_NLL  10.09.2006_ITCL_BS working _New format_31.03 V7" xfId="13253" xr:uid="{00000000-0005-0000-0000-0000C5330000}"/>
    <cellStyle name="_NLL  10.09.2006_ITCL-New format_31.03 V6" xfId="13254" xr:uid="{00000000-0005-0000-0000-0000C6330000}"/>
    <cellStyle name="_NLL  10.09.2006_NFCL working file" xfId="13255" xr:uid="{00000000-0005-0000-0000-0000C7330000}"/>
    <cellStyle name="_NLL  10.09.2006_NFCL_ Tax Audit Report FY08-09 " xfId="13256" xr:uid="{00000000-0005-0000-0000-0000C8330000}"/>
    <cellStyle name="_NLL  10.09.2006_Revised Consol Balance Sheet_Sophia_Jan09_10.02.2009" xfId="13257" xr:uid="{00000000-0005-0000-0000-0000C9330000}"/>
    <cellStyle name="_NLL  10.09.2006_Sophia Consol for Printout 22 Jun 09" xfId="13258" xr:uid="{00000000-0005-0000-0000-0000CA330000}"/>
    <cellStyle name="_NLL  10.09.2006_Sophia Consol_march_09_05 June  09_1" xfId="13259" xr:uid="{00000000-0005-0000-0000-0000CB330000}"/>
    <cellStyle name="_NLL  10.09.2006_Tax Audit Report  F.Y.08-09" xfId="13260" xr:uid="{00000000-0005-0000-0000-0000CC330000}"/>
    <cellStyle name="_NLL  10.09.2006_Tax Audit Report  ICSL F.Y.09-10" xfId="13261" xr:uid="{00000000-0005-0000-0000-0000CD330000}"/>
    <cellStyle name="_NLL  10.09.2006_Treasury ICD Interest_ MIS_ 23  09 2009(final)" xfId="13262" xr:uid="{00000000-0005-0000-0000-0000CE330000}"/>
    <cellStyle name="_NLL  10.09.2006_Treasury ICD Interest_ MIS_ 30. 06 2009(final)" xfId="13263" xr:uid="{00000000-0005-0000-0000-0000CF330000}"/>
    <cellStyle name="_NLL  10.09.2006_Treasury ICD Interest_ MIS_ 30. 09 2009(final)" xfId="13264" xr:uid="{00000000-0005-0000-0000-0000D0330000}"/>
    <cellStyle name="_NLL  10.09.2006_Treasury ICD Interest_ MIS_ 31 05 2009" xfId="13265" xr:uid="{00000000-0005-0000-0000-0000D1330000}"/>
    <cellStyle name="_NLL  10.09.2006_Treasury ICD Interest_ MIS_ 31 10 2009" xfId="13266" xr:uid="{00000000-0005-0000-0000-0000D2330000}"/>
    <cellStyle name="_NLL  10.09.2006_Treasury ICD Interest_ MIS_ 31.10.2009" xfId="13267" xr:uid="{00000000-0005-0000-0000-0000D3330000}"/>
    <cellStyle name="_NLL  10.09.2006_Treasury ICD Interest_ MIS_ 310309" xfId="13268" xr:uid="{00000000-0005-0000-0000-0000D4330000}"/>
    <cellStyle name="_NLL Trial" xfId="13269" xr:uid="{00000000-0005-0000-0000-0000D5330000}"/>
    <cellStyle name="_NLL Trial 2" xfId="13270" xr:uid="{00000000-0005-0000-0000-0000D6330000}"/>
    <cellStyle name="_Notes Work(irecpl)" xfId="13271" xr:uid="{00000000-0005-0000-0000-0000D7330000}"/>
    <cellStyle name="_Notes Work(irecpl) 2" xfId="13272" xr:uid="{00000000-0005-0000-0000-0000D8330000}"/>
    <cellStyle name="_Notes Work(irecpl) 2 2" xfId="13273" xr:uid="{00000000-0005-0000-0000-0000D9330000}"/>
    <cellStyle name="_Notes Work(irecpl) 3" xfId="13274" xr:uid="{00000000-0005-0000-0000-0000DA330000}"/>
    <cellStyle name="_Notes Work(irecpl) 3 2" xfId="13275" xr:uid="{00000000-0005-0000-0000-0000DB330000}"/>
    <cellStyle name="_Notes Work(irecpl) 4" xfId="13276" xr:uid="{00000000-0005-0000-0000-0000DC330000}"/>
    <cellStyle name="_Notes Work(irecpl) 4 2" xfId="13277" xr:uid="{00000000-0005-0000-0000-0000DD330000}"/>
    <cellStyle name="_Notes Work(irecpl) 5" xfId="13278" xr:uid="{00000000-0005-0000-0000-0000DE330000}"/>
    <cellStyle name="_Notes Work(irecpl) 5 2" xfId="13279" xr:uid="{00000000-0005-0000-0000-0000DF330000}"/>
    <cellStyle name="_Notes Work(irecpl) 6" xfId="13280" xr:uid="{00000000-0005-0000-0000-0000E0330000}"/>
    <cellStyle name="_Notes Work(irecpl)_Abstract-2007-08" xfId="13281" xr:uid="{00000000-0005-0000-0000-0000E1330000}"/>
    <cellStyle name="_Notes Work(irecpl)_Abstract-2007-08 2" xfId="13282" xr:uid="{00000000-0005-0000-0000-0000E2330000}"/>
    <cellStyle name="_Notes Work(irecpl)_Advance Tax Format_F.Y. 2010-11" xfId="13283" xr:uid="{00000000-0005-0000-0000-0000E3330000}"/>
    <cellStyle name="_Notes Work(irecpl)_Advance Tax Sophia Jun 09" xfId="13284" xr:uid="{00000000-0005-0000-0000-0000E4330000}"/>
    <cellStyle name="_Notes Work(irecpl)_Advance Tax Sophia Jun 09 2" xfId="13285" xr:uid="{00000000-0005-0000-0000-0000E5330000}"/>
    <cellStyle name="_Notes Work(irecpl)_Base File For Segment" xfId="13286" xr:uid="{00000000-0005-0000-0000-0000E6330000}"/>
    <cellStyle name="_Notes Work(irecpl)_Base File For Segment 2" xfId="13287" xr:uid="{00000000-0005-0000-0000-0000E7330000}"/>
    <cellStyle name="_Notes Work(irecpl)_Book1" xfId="13288" xr:uid="{00000000-0005-0000-0000-0000E8330000}"/>
    <cellStyle name="_Notes Work(irecpl)_Book1 (2)" xfId="13289" xr:uid="{00000000-0005-0000-0000-0000E9330000}"/>
    <cellStyle name="_Notes Work(irecpl)_Book1 (2) 2" xfId="13290" xr:uid="{00000000-0005-0000-0000-0000EA330000}"/>
    <cellStyle name="_Notes Work(irecpl)_Book2" xfId="13291" xr:uid="{00000000-0005-0000-0000-0000EB330000}"/>
    <cellStyle name="_Notes Work(irecpl)_Book2 2" xfId="13292" xr:uid="{00000000-0005-0000-0000-0000EC330000}"/>
    <cellStyle name="_Notes Work(irecpl)_Bracond Balance Sheet  PL_301108_krishanu" xfId="13293" xr:uid="{00000000-0005-0000-0000-0000ED330000}"/>
    <cellStyle name="_Notes Work(irecpl)_Bracond Balance Sheet  PL_301108_krishanu 2" xfId="13294" xr:uid="{00000000-0005-0000-0000-0000EE330000}"/>
    <cellStyle name="_Notes Work(irecpl)_CCL_3353_2007-08" xfId="13295" xr:uid="{00000000-0005-0000-0000-0000EF330000}"/>
    <cellStyle name="_Notes Work(irecpl)_CCL_3353_2007-08 2" xfId="13296" xr:uid="{00000000-0005-0000-0000-0000F0330000}"/>
    <cellStyle name="_Notes Work(irecpl)_ChlorisProperties_3351_Dec.08" xfId="13297" xr:uid="{00000000-0005-0000-0000-0000F1330000}"/>
    <cellStyle name="_Notes Work(irecpl)_ChlorisProperties_3351_Dec.08 2" xfId="13298" xr:uid="{00000000-0005-0000-0000-0000F2330000}"/>
    <cellStyle name="_Notes Work(irecpl)_Consol Balance Sheet_Sophia_Dec08_Ibrel_1.3" xfId="13299" xr:uid="{00000000-0005-0000-0000-0000F3330000}"/>
    <cellStyle name="_Notes Work(irecpl)_Consol Balance Sheet_Sophia_Dec08_Ibrel_1.3 2" xfId="13300" xr:uid="{00000000-0005-0000-0000-0000F4330000}"/>
    <cellStyle name="_Notes Work(irecpl)_detail (2)" xfId="13301" xr:uid="{00000000-0005-0000-0000-0000F5330000}"/>
    <cellStyle name="_Notes Work(irecpl)_detail (2) 2" xfId="13302" xr:uid="{00000000-0005-0000-0000-0000F6330000}"/>
    <cellStyle name="_Notes Work(irecpl)_Details" xfId="13303" xr:uid="{00000000-0005-0000-0000-0000F7330000}"/>
    <cellStyle name="_Notes Work(irecpl)_Details 2" xfId="13304" xr:uid="{00000000-0005-0000-0000-0000F8330000}"/>
    <cellStyle name="_Notes Work(irecpl)_EPL_3346_2007-08(C)" xfId="13305" xr:uid="{00000000-0005-0000-0000-0000F9330000}"/>
    <cellStyle name="_Notes Work(irecpl)_EPL_3346_2007-08(C) 2" xfId="13306" xr:uid="{00000000-0005-0000-0000-0000FA330000}"/>
    <cellStyle name="_Notes Work(irecpl)_FD Detail" xfId="13307" xr:uid="{00000000-0005-0000-0000-0000FB330000}"/>
    <cellStyle name="_Notes Work(irecpl)_Final Consol Balance Sheet_Sophia_Dec08_27.01.08" xfId="13308" xr:uid="{00000000-0005-0000-0000-0000FC330000}"/>
    <cellStyle name="_Notes Work(irecpl)_Final Consol Balance Sheet_Sophia_Dec08_27.01.08 2" xfId="13309" xr:uid="{00000000-0005-0000-0000-0000FD330000}"/>
    <cellStyle name="_Notes Work(irecpl)_Fixed Assets consolidated" xfId="13310" xr:uid="{00000000-0005-0000-0000-0000FE330000}"/>
    <cellStyle name="_Notes Work(irecpl)_Fixed Assets consolidated 2" xfId="13311" xr:uid="{00000000-0005-0000-0000-0000FF330000}"/>
    <cellStyle name="_Notes Work(irecpl)_IBFSL 31 May V1" xfId="13312" xr:uid="{00000000-0005-0000-0000-000000340000}"/>
    <cellStyle name="_Notes Work(irecpl)_IBFSL_Conso_March_10_11" xfId="13313" xr:uid="{00000000-0005-0000-0000-000001340000}"/>
    <cellStyle name="_Notes Work(irecpl)_ICL_09 12 2009" xfId="13314" xr:uid="{00000000-0005-0000-0000-000002340000}"/>
    <cellStyle name="_Notes Work(irecpl)_ICL_09 12 2009 2" xfId="13315" xr:uid="{00000000-0005-0000-0000-000003340000}"/>
    <cellStyle name="_Notes Work(irecpl)_ICL_22 12 2009" xfId="13316" xr:uid="{00000000-0005-0000-0000-000004340000}"/>
    <cellStyle name="_Notes Work(irecpl)_ICL_22 12 2009 2" xfId="13317" xr:uid="{00000000-0005-0000-0000-000005340000}"/>
    <cellStyle name="_Notes Work(irecpl)_IESL_09.12.2009" xfId="13318" xr:uid="{00000000-0005-0000-0000-000006340000}"/>
    <cellStyle name="_Notes Work(irecpl)_IESL_09.12.2009 2" xfId="13319" xr:uid="{00000000-0005-0000-0000-000007340000}"/>
    <cellStyle name="_Notes Work(irecpl)_IHFL_Dec_23_2008" xfId="13320" xr:uid="{00000000-0005-0000-0000-000008340000}"/>
    <cellStyle name="_Notes Work(irecpl)_IIDL_3227_2008_09" xfId="13321" xr:uid="{00000000-0005-0000-0000-000009340000}"/>
    <cellStyle name="_Notes Work(irecpl)_IIDL_3227_2008_09 2" xfId="13322" xr:uid="{00000000-0005-0000-0000-00000A340000}"/>
    <cellStyle name="_Notes Work(irecpl)_Indiabulls Asset Management Company Limited printable" xfId="13323" xr:uid="{00000000-0005-0000-0000-00000B340000}"/>
    <cellStyle name="_Notes Work(irecpl)_Revised Consol Balance Sheet_Sophia_Jan09_10.02.2009" xfId="13324" xr:uid="{00000000-0005-0000-0000-00000C340000}"/>
    <cellStyle name="_Notes Work(irecpl)_Revised Consol Balance Sheet_Sophia_Jan09_10.02.2009 2" xfId="13325" xr:uid="{00000000-0005-0000-0000-00000D340000}"/>
    <cellStyle name="_Notes Work(irecpl)_Sophia Consol for Printout 22 Jun 09" xfId="13326" xr:uid="{00000000-0005-0000-0000-00000E340000}"/>
    <cellStyle name="_Notes Work(irecpl)_Sophia Consol for Printout 22 Jun 09 2" xfId="13327" xr:uid="{00000000-0005-0000-0000-00000F340000}"/>
    <cellStyle name="_Notes Work(irecpl)_Sophia Consol_march_09_05 June  09_1" xfId="13328" xr:uid="{00000000-0005-0000-0000-000010340000}"/>
    <cellStyle name="_Notes Work(irecpl)_Sophia Consol_march_09_05 June  09_1 2" xfId="13329" xr:uid="{00000000-0005-0000-0000-000011340000}"/>
    <cellStyle name="_Notes Work(irecpl)_Treasury ICD Interest_ MIS_ 23  09 2009(final)" xfId="13330" xr:uid="{00000000-0005-0000-0000-000012340000}"/>
    <cellStyle name="_Notes Work(irecpl)_Treasury ICD Interest_ MIS_ 23  09 2009(final) 2" xfId="13331" xr:uid="{00000000-0005-0000-0000-000013340000}"/>
    <cellStyle name="_Notes Work(irecpl)_Treasury ICD Interest_ MIS_ 30. 06 2009(final)" xfId="13332" xr:uid="{00000000-0005-0000-0000-000014340000}"/>
    <cellStyle name="_Notes Work(irecpl)_Treasury ICD Interest_ MIS_ 30. 06 2009(final) 2" xfId="13333" xr:uid="{00000000-0005-0000-0000-000015340000}"/>
    <cellStyle name="_Notes Work(irecpl)_Treasury ICD Interest_ MIS_ 30. 09 2009(final)" xfId="13334" xr:uid="{00000000-0005-0000-0000-000016340000}"/>
    <cellStyle name="_Notes Work(irecpl)_Treasury ICD Interest_ MIS_ 30. 09 2009(final) 2" xfId="13335" xr:uid="{00000000-0005-0000-0000-000017340000}"/>
    <cellStyle name="_Notes Work(irecpl)_Treasury ICD Interest_ MIS_ 31 05 2009" xfId="13336" xr:uid="{00000000-0005-0000-0000-000018340000}"/>
    <cellStyle name="_Notes Work(irecpl)_Treasury ICD Interest_ MIS_ 31 05 2009 2" xfId="13337" xr:uid="{00000000-0005-0000-0000-000019340000}"/>
    <cellStyle name="_Notes Work(irecpl)_Treasury ICD Interest_ MIS_ 31 10 2009" xfId="13338" xr:uid="{00000000-0005-0000-0000-00001A340000}"/>
    <cellStyle name="_Notes Work(irecpl)_Treasury ICD Interest_ MIS_ 31 10 2009 2" xfId="13339" xr:uid="{00000000-0005-0000-0000-00001B340000}"/>
    <cellStyle name="_Notes Work(irecpl)_Treasury ICD Interest_ MIS_ 31.10.2009" xfId="13340" xr:uid="{00000000-0005-0000-0000-00001C340000}"/>
    <cellStyle name="_Notes Work(irecpl)_Treasury ICD Interest_ MIS_ 31.10.2009 2" xfId="13341" xr:uid="{00000000-0005-0000-0000-00001D340000}"/>
    <cellStyle name="_Notes Work(irecpl)_Treasury ICD Interest_ MIS_ 310309" xfId="13342" xr:uid="{00000000-0005-0000-0000-00001E340000}"/>
    <cellStyle name="_Notes Work(irecpl)_Treasury ICD Interest_ MIS_ 310309 2" xfId="13343" xr:uid="{00000000-0005-0000-0000-00001F340000}"/>
    <cellStyle name="_Notes Working" xfId="13344" xr:uid="{00000000-0005-0000-0000-000020340000}"/>
    <cellStyle name="_Notes Working (1)" xfId="13345" xr:uid="{00000000-0005-0000-0000-000021340000}"/>
    <cellStyle name="_Notes Working (1) 2" xfId="13346" xr:uid="{00000000-0005-0000-0000-000022340000}"/>
    <cellStyle name="_Notes Working (1)_IBL_09.12.2009" xfId="13347" xr:uid="{00000000-0005-0000-0000-000023340000}"/>
    <cellStyle name="_Notes Working (1)_IBL_09.12.2009 2" xfId="13348" xr:uid="{00000000-0005-0000-0000-000024340000}"/>
    <cellStyle name="_Notes Working (1)_ICL_22 12 2009" xfId="13349" xr:uid="{00000000-0005-0000-0000-000025340000}"/>
    <cellStyle name="_Notes Working (1)_ICL_22 12 2009 2" xfId="13350" xr:uid="{00000000-0005-0000-0000-000026340000}"/>
    <cellStyle name="_Notes Working (1)_Indiabulls Asset Management Company Limited printable" xfId="13351" xr:uid="{00000000-0005-0000-0000-000027340000}"/>
    <cellStyle name="_Notes Working (2)" xfId="13352" xr:uid="{00000000-0005-0000-0000-000028340000}"/>
    <cellStyle name="_Notes Working (2) 2" xfId="13353" xr:uid="{00000000-0005-0000-0000-000029340000}"/>
    <cellStyle name="_Notes Working (2)_Indiabulls Asset Management Company Limited printable" xfId="13354" xr:uid="{00000000-0005-0000-0000-00002A340000}"/>
    <cellStyle name="_Notes Working 2" xfId="13355" xr:uid="{00000000-0005-0000-0000-00002B340000}"/>
    <cellStyle name="_Notes Working 3" xfId="13356" xr:uid="{00000000-0005-0000-0000-00002C340000}"/>
    <cellStyle name="_Notes Working_IBL_09.12.2009" xfId="13357" xr:uid="{00000000-0005-0000-0000-00002D340000}"/>
    <cellStyle name="_Notes Working_IBL_09.12.2009 2" xfId="13358" xr:uid="{00000000-0005-0000-0000-00002E340000}"/>
    <cellStyle name="_Notes Working_ICL_22 12 2009" xfId="13359" xr:uid="{00000000-0005-0000-0000-00002F340000}"/>
    <cellStyle name="_Notes Working_ICL_22 12 2009 2" xfId="13360" xr:uid="{00000000-0005-0000-0000-000030340000}"/>
    <cellStyle name="_Notes Working_Indiabulls Asset Management Company Limited printable" xfId="13361" xr:uid="{00000000-0005-0000-0000-000031340000}"/>
    <cellStyle name="_NPA Reversal August" xfId="13362" xr:uid="{00000000-0005-0000-0000-000032340000}"/>
    <cellStyle name="_NPA Reversal August 2" xfId="13363" xr:uid="{00000000-0005-0000-0000-000033340000}"/>
    <cellStyle name="_NPA Reversal August_Indiabulls Asset Management Company Limited printable" xfId="13364" xr:uid="{00000000-0005-0000-0000-000034340000}"/>
    <cellStyle name="_NPA reversal May" xfId="13365" xr:uid="{00000000-0005-0000-0000-000035340000}"/>
    <cellStyle name="_NPA reversal May 2" xfId="13366" xr:uid="{00000000-0005-0000-0000-000036340000}"/>
    <cellStyle name="_NPA reversal May_Indiabulls Asset Management Company Limited printable" xfId="13367" xr:uid="{00000000-0005-0000-0000-000037340000}"/>
    <cellStyle name="_O category FEB'10 Salary sheet" xfId="13368" xr:uid="{00000000-0005-0000-0000-000038340000}"/>
    <cellStyle name="_O category FEB'10 Salary sheet 2" xfId="13369" xr:uid="{00000000-0005-0000-0000-000039340000}"/>
    <cellStyle name="_OS as on Jun 06 &amp; 07" xfId="13370" xr:uid="{00000000-0005-0000-0000-00003A340000}"/>
    <cellStyle name="_OS as on Jun 06 &amp; 07 2" xfId="13371" xr:uid="{00000000-0005-0000-0000-00003B340000}"/>
    <cellStyle name="_OS as on Jun 06 &amp; 07 3" xfId="13372" xr:uid="{00000000-0005-0000-0000-00003C340000}"/>
    <cellStyle name="_OS as on Jun 06 &amp; 07_Details of Assets &amp; Liablilities" xfId="13373" xr:uid="{00000000-0005-0000-0000-00003D340000}"/>
    <cellStyle name="_OS as on Jun 06 &amp; 07_Details of Assets &amp; Liablilities 2" xfId="13374" xr:uid="{00000000-0005-0000-0000-00003E340000}"/>
    <cellStyle name="_OS as on Jun 06 &amp; 07_Details of Assets &amp; Liablilities 3" xfId="13375" xr:uid="{00000000-0005-0000-0000-00003F340000}"/>
    <cellStyle name="_OS as on Jun 06 &amp; 07_IBL_09.12.2009" xfId="13376" xr:uid="{00000000-0005-0000-0000-000040340000}"/>
    <cellStyle name="_OS as on Jun 06 &amp; 07_IBL_09.12.2009 2" xfId="13377" xr:uid="{00000000-0005-0000-0000-000041340000}"/>
    <cellStyle name="_OS as on Jun 06 &amp; 07_ICL_22 12 2009" xfId="13378" xr:uid="{00000000-0005-0000-0000-000042340000}"/>
    <cellStyle name="_OS as on Jun 06 &amp; 07_ICL_22 12 2009 2" xfId="13379" xr:uid="{00000000-0005-0000-0000-000043340000}"/>
    <cellStyle name="_OS as on Jun 06 &amp; 07_IHFL_September_30_2010 VERSION 10" xfId="13380" xr:uid="{00000000-0005-0000-0000-000044340000}"/>
    <cellStyle name="_OS as on Jun 06 &amp; 07_Indiabulls Asset Management Company Limited printable" xfId="13381" xr:uid="{00000000-0005-0000-0000-000045340000}"/>
    <cellStyle name="_OS as on Jun 06 &amp; 07_ISL_ Adv Tax 2009-10 Q3" xfId="13382" xr:uid="{00000000-0005-0000-0000-000046340000}"/>
    <cellStyle name="_OS as on Jun 06 &amp; 07_ISL_ Adv Tax 2009-10 Q3 2" xfId="13383" xr:uid="{00000000-0005-0000-0000-000047340000}"/>
    <cellStyle name="_OS as on Jun 06 &amp; 07_ISL_conso_September_09_10" xfId="13384" xr:uid="{00000000-0005-0000-0000-000048340000}"/>
    <cellStyle name="_OS as on Jun 06 &amp; 07_ISL_conso_September_09_10 2" xfId="13385" xr:uid="{00000000-0005-0000-0000-000049340000}"/>
    <cellStyle name="_OS as on Jun 06 &amp; 07_ISL_conso_September_09_10 2 2" xfId="13386" xr:uid="{00000000-0005-0000-0000-00004A340000}"/>
    <cellStyle name="_OS as on Jun 06 &amp; 07_ISL_conso_September_09_10 3" xfId="13387" xr:uid="{00000000-0005-0000-0000-00004B340000}"/>
    <cellStyle name="_OS as on Jun 06 &amp; 07_ISL_Provisions_30.09.2010" xfId="13388" xr:uid="{00000000-0005-0000-0000-00004C340000}"/>
    <cellStyle name="_OS as on Jun 06 &amp; 07_ISL_Provisions_30.09.2010 2" xfId="13389" xr:uid="{00000000-0005-0000-0000-00004D340000}"/>
    <cellStyle name="_OS as on Jun 06 &amp; 07_Provision" xfId="13390" xr:uid="{00000000-0005-0000-0000-00004E340000}"/>
    <cellStyle name="_OS as on Jun 06 &amp; 07_Provision 2" xfId="13391" xr:uid="{00000000-0005-0000-0000-00004F340000}"/>
    <cellStyle name="_OS as on Jun 06 &amp; 07_Provision for Exp - FY 0809" xfId="13392" xr:uid="{00000000-0005-0000-0000-000050340000}"/>
    <cellStyle name="_OS as on Jun 06 &amp; 07_provisions q3" xfId="13393" xr:uid="{00000000-0005-0000-0000-000051340000}"/>
    <cellStyle name="_OS as on Jun 06 &amp; 07_provisions q3 2" xfId="13394" xr:uid="{00000000-0005-0000-0000-000052340000}"/>
    <cellStyle name="_OS as on Jun 06 &amp; 07_Results" xfId="13395" xr:uid="{00000000-0005-0000-0000-000053340000}"/>
    <cellStyle name="_OS as on Jun 06 &amp; 07_Results 2" xfId="13396" xr:uid="{00000000-0005-0000-0000-000054340000}"/>
    <cellStyle name="_OS as on Jun 06 &amp; 07_Results 2 2" xfId="13397" xr:uid="{00000000-0005-0000-0000-000055340000}"/>
    <cellStyle name="_OS as on Jun 06 &amp; 07_Results 3" xfId="13398" xr:uid="{00000000-0005-0000-0000-000056340000}"/>
    <cellStyle name="_other_liability" xfId="13399" xr:uid="{00000000-0005-0000-0000-000057340000}"/>
    <cellStyle name="_other_liability_IB Collection Agency_3103 V3" xfId="13400" xr:uid="{00000000-0005-0000-0000-000058340000}"/>
    <cellStyle name="_other_liability_IB Collection Agency_3103 V3_ICAL-New Format_31.03 V4" xfId="13401" xr:uid="{00000000-0005-0000-0000-000059340000}"/>
    <cellStyle name="_other_liability_ICAL-BS Final Working _New format" xfId="13402" xr:uid="{00000000-0005-0000-0000-00005A340000}"/>
    <cellStyle name="_PL Plus incentive for the month of july 2008" xfId="13403" xr:uid="{00000000-0005-0000-0000-00005B340000}"/>
    <cellStyle name="_PL Plus incentive for the month of july 2008 2" xfId="13404" xr:uid="{00000000-0005-0000-0000-00005C340000}"/>
    <cellStyle name="_PL Plus incentive for the month of june 2008" xfId="13405" xr:uid="{00000000-0005-0000-0000-00005D340000}"/>
    <cellStyle name="_PL Plus incentive for the month of june 2008 2" xfId="13406" xr:uid="{00000000-0005-0000-0000-00005E340000}"/>
    <cellStyle name="_Power Companies data March 24 2008 (3)" xfId="13407" xr:uid="{00000000-0005-0000-0000-00005F340000}"/>
    <cellStyle name="_Power Companies data March 24 2008 (3) 2" xfId="13408" xr:uid="{00000000-0005-0000-0000-000060340000}"/>
    <cellStyle name="_power -salary register_Reconciliation with Books (version 1)" xfId="13409" xr:uid="{00000000-0005-0000-0000-000061340000}"/>
    <cellStyle name="_power -salary register_Reconciliation with Books (version 1) 2" xfId="13410" xr:uid="{00000000-0005-0000-0000-000062340000}"/>
    <cellStyle name="_Powergrid_IBFCPL" xfId="13411" xr:uid="{00000000-0005-0000-0000-000063340000}"/>
    <cellStyle name="_PPL - Mar 08" xfId="13412" xr:uid="{00000000-0005-0000-0000-000064340000}"/>
    <cellStyle name="_PPL - Mar 08 2" xfId="13413" xr:uid="{00000000-0005-0000-0000-000065340000}"/>
    <cellStyle name="_PPR Aug 2006 IHFL" xfId="13414" xr:uid="{00000000-0005-0000-0000-000066340000}"/>
    <cellStyle name="_PPR Aug 2006 IHFL 2" xfId="13415" xr:uid="{00000000-0005-0000-0000-000067340000}"/>
    <cellStyle name="_Principal n foreclosure Run off" xfId="13416" xr:uid="{00000000-0005-0000-0000-000068340000}"/>
    <cellStyle name="_Principal n foreclosure Run off 2" xfId="13417" xr:uid="{00000000-0005-0000-0000-000069340000}"/>
    <cellStyle name="_printing" xfId="13418" xr:uid="{00000000-0005-0000-0000-00006A340000}"/>
    <cellStyle name="_Printing &amp; Stat 01.04 to 24.02.09-1100" xfId="13419" xr:uid="{00000000-0005-0000-0000-00006B340000}"/>
    <cellStyle name="_Printing &amp; Stat 01.04 to 24.02.09-1100 2" xfId="13420" xr:uid="{00000000-0005-0000-0000-00006C340000}"/>
    <cellStyle name="_Printing &amp; stat.Jun-1100" xfId="13421" xr:uid="{00000000-0005-0000-0000-00006D340000}"/>
    <cellStyle name="_Printing &amp; stat.Jun-1100 2" xfId="13422" xr:uid="{00000000-0005-0000-0000-00006E340000}"/>
    <cellStyle name="_printing07" xfId="13423" xr:uid="{00000000-0005-0000-0000-00006F340000}"/>
    <cellStyle name="_Product %" xfId="13424" xr:uid="{00000000-0005-0000-0000-000070340000}"/>
    <cellStyle name="_Product % 2" xfId="13425" xr:uid="{00000000-0005-0000-0000-000071340000}"/>
    <cellStyle name="_Profit on redemption of mutual fund" xfId="13426" xr:uid="{00000000-0005-0000-0000-000072340000}"/>
    <cellStyle name="_projection for BTU &amp; BTS cases" xfId="13427" xr:uid="{00000000-0005-0000-0000-000073340000}"/>
    <cellStyle name="_projection for BTU &amp; BTS cases 2" xfId="13428" xr:uid="{00000000-0005-0000-0000-000074340000}"/>
    <cellStyle name="_projection may" xfId="13429" xr:uid="{00000000-0005-0000-0000-000075340000}"/>
    <cellStyle name="_projection may 2" xfId="13430" xr:uid="{00000000-0005-0000-0000-000076340000}"/>
    <cellStyle name="_projection may n june- may working" xfId="13431" xr:uid="{00000000-0005-0000-0000-000077340000}"/>
    <cellStyle name="_projection may n june- may working 2" xfId="13432" xr:uid="{00000000-0005-0000-0000-000078340000}"/>
    <cellStyle name="_Projection of Interest_Mar08_v3" xfId="13433" xr:uid="{00000000-0005-0000-0000-000079340000}"/>
    <cellStyle name="_Projections Q4_28 Jan" xfId="13434" xr:uid="{00000000-0005-0000-0000-00007A340000}"/>
    <cellStyle name="_Projections Q4_28 Jan 2" xfId="13435" xr:uid="{00000000-0005-0000-0000-00007B340000}"/>
    <cellStyle name="_PROV DEC 07" xfId="13436" xr:uid="{00000000-0005-0000-0000-00007C340000}"/>
    <cellStyle name="_PROV DEC 07 2" xfId="13437" xr:uid="{00000000-0005-0000-0000-00007D340000}"/>
    <cellStyle name="_PROV DEC 07_IHFL_September_30_2010 VERSION 10" xfId="13438" xr:uid="{00000000-0005-0000-0000-00007E340000}"/>
    <cellStyle name="_prov feb - 09 IFSL" xfId="13439" xr:uid="{00000000-0005-0000-0000-00007F340000}"/>
    <cellStyle name="_prov feb - 09 IFSL 2" xfId="13440" xr:uid="{00000000-0005-0000-0000-000080340000}"/>
    <cellStyle name="_prov feb - 09 IHFL" xfId="13441" xr:uid="{00000000-0005-0000-0000-000081340000}"/>
    <cellStyle name="_prov feb - 09 IHFL 2" xfId="13442" xr:uid="{00000000-0005-0000-0000-000082340000}"/>
    <cellStyle name="_PROV FOR JAN-09 IHFL" xfId="13443" xr:uid="{00000000-0005-0000-0000-000083340000}"/>
    <cellStyle name="_prov net off (2)" xfId="13444" xr:uid="{00000000-0005-0000-0000-000084340000}"/>
    <cellStyle name="_prov net off (2)_BS _IB Asset Management _3103_ver5" xfId="13445" xr:uid="{00000000-0005-0000-0000-000085340000}"/>
    <cellStyle name="_prov net off (2)_BS _IB Asset Management _3103_ver5_IAMCL BS working -New format_31.03 V5" xfId="13446" xr:uid="{00000000-0005-0000-0000-000086340000}"/>
    <cellStyle name="_prov net off (2)_IAMCL BS working -New format_31.03 V5" xfId="13447" xr:uid="{00000000-0005-0000-0000-000087340000}"/>
    <cellStyle name="_prov net off (2)_IB Asset Management_3103 V5" xfId="13448" xr:uid="{00000000-0005-0000-0000-000088340000}"/>
    <cellStyle name="_prov net off (2)_IB Collection Agency_3103 V3" xfId="13449" xr:uid="{00000000-0005-0000-0000-000089340000}"/>
    <cellStyle name="_prov net off (2)_IB Collection Agency_3103 V3_ICAL-New Format_31.03 V4" xfId="13450" xr:uid="{00000000-0005-0000-0000-00008A340000}"/>
    <cellStyle name="_prov net off (2)_Ibulls BS Final woirking -New format_31.03 V5" xfId="13451" xr:uid="{00000000-0005-0000-0000-00008B340000}"/>
    <cellStyle name="_prov net off (2)_IbullsSales_3103 V5" xfId="13452" xr:uid="{00000000-0005-0000-0000-00008C340000}"/>
    <cellStyle name="_prov net off (2)_ICAL-BS Final Working _New format" xfId="13453" xr:uid="{00000000-0005-0000-0000-00008D340000}"/>
    <cellStyle name="_prov net off (2)_Indiabulls Asset Management Company Limited printable" xfId="13454" xr:uid="{00000000-0005-0000-0000-00008E340000}"/>
    <cellStyle name="_PROV NOV 07" xfId="13455" xr:uid="{00000000-0005-0000-0000-00008F340000}"/>
    <cellStyle name="_PROV NOV 07 2" xfId="13456" xr:uid="{00000000-0005-0000-0000-000090340000}"/>
    <cellStyle name="_PROV NOV 07_IHFL_September_30_2010 VERSION 10" xfId="13457" xr:uid="{00000000-0005-0000-0000-000091340000}"/>
    <cellStyle name="_PROV OCT 07" xfId="13458" xr:uid="{00000000-0005-0000-0000-000092340000}"/>
    <cellStyle name="_PROV OCT 07 2" xfId="13459" xr:uid="{00000000-0005-0000-0000-000093340000}"/>
    <cellStyle name="_PROV OCT 07_IHFL_September_30_2010 VERSION 10" xfId="13460" xr:uid="{00000000-0005-0000-0000-000094340000}"/>
    <cellStyle name="_PROV SEPT 07 (Detailed Working)" xfId="13461" xr:uid="{00000000-0005-0000-0000-000095340000}"/>
    <cellStyle name="_PROV SEPT 07 (Detailed Working) 2" xfId="13462" xr:uid="{00000000-0005-0000-0000-000096340000}"/>
    <cellStyle name="_PROV SEPT 07 (Detailed Working)_IHFL_September_30_2010 VERSION 10" xfId="13463" xr:uid="{00000000-0005-0000-0000-000097340000}"/>
    <cellStyle name="_PROV SEPT 07 FOR OTHER PRODUCTS" xfId="13464" xr:uid="{00000000-0005-0000-0000-000098340000}"/>
    <cellStyle name="_PROV SEPT 07 FOR OTHER PRODUCTS 2" xfId="13465" xr:uid="{00000000-0005-0000-0000-000099340000}"/>
    <cellStyle name="_PROV SEPT 07 FOR OTHER PRODUCTS_IHFL_September_30_2010 VERSION 10" xfId="13466" xr:uid="{00000000-0005-0000-0000-00009A340000}"/>
    <cellStyle name="_PROV SEPT 07(SAP Working)" xfId="13467" xr:uid="{00000000-0005-0000-0000-00009B340000}"/>
    <cellStyle name="_PROV SEPT 07(SAP Working) 2" xfId="13468" xr:uid="{00000000-0005-0000-0000-00009C340000}"/>
    <cellStyle name="_PROV SEPT 07(SAP Working)_IHFL_September_30_2010 VERSION 10" xfId="13469" xr:uid="{00000000-0005-0000-0000-00009D340000}"/>
    <cellStyle name="_Provis Feb-09" xfId="13470" xr:uid="{00000000-0005-0000-0000-00009E340000}"/>
    <cellStyle name="_Provis Feb-09 2" xfId="13471" xr:uid="{00000000-0005-0000-0000-00009F340000}"/>
    <cellStyle name="_Provision  October 2008" xfId="13472" xr:uid="{00000000-0005-0000-0000-0000A0340000}"/>
    <cellStyle name="_Provision  October 2008 2" xfId="13473" xr:uid="{00000000-0005-0000-0000-0000A1340000}"/>
    <cellStyle name="_Provision Adver_Final_June" xfId="13474" xr:uid="{00000000-0005-0000-0000-0000A2340000}"/>
    <cellStyle name="_Provision Adver_Final_May" xfId="13475" xr:uid="{00000000-0005-0000-0000-0000A3340000}"/>
    <cellStyle name="_Provision Apr-08_FCI_FCU_final" xfId="13476" xr:uid="{00000000-0005-0000-0000-0000A4340000}"/>
    <cellStyle name="_Provision Apr-08_FCI_FCU_final 2" xfId="13477" xr:uid="{00000000-0005-0000-0000-0000A5340000}"/>
    <cellStyle name="_provision april" xfId="13478" xr:uid="{00000000-0005-0000-0000-0000A6340000}"/>
    <cellStyle name="_provision april 2" xfId="13479" xr:uid="{00000000-0005-0000-0000-0000A7340000}"/>
    <cellStyle name="_Provision Aug-08_FCI_FCU" xfId="13480" xr:uid="{00000000-0005-0000-0000-0000A8340000}"/>
    <cellStyle name="_Provision Aug-08_FCI_FCU 2" xfId="13481" xr:uid="{00000000-0005-0000-0000-0000A9340000}"/>
    <cellStyle name="_PROVISION BEFOR 20TH MAY(Amrit)" xfId="13482" xr:uid="{00000000-0005-0000-0000-0000AA340000}"/>
    <cellStyle name="_PROVISION BEFOR 20TH MAY(Amrit) 2" xfId="13483" xr:uid="{00000000-0005-0000-0000-0000AB340000}"/>
    <cellStyle name="_PROVISION BEFOR 20TH MAY(Amrit)_IHFL_September_30_2010 VERSION 10" xfId="13484" xr:uid="{00000000-0005-0000-0000-0000AC340000}"/>
    <cellStyle name="_Provision Cost  Aug'08" xfId="13485" xr:uid="{00000000-0005-0000-0000-0000AD340000}"/>
    <cellStyle name="_Provision Cost  Aug'08 2" xfId="13486" xr:uid="{00000000-0005-0000-0000-0000AE340000}"/>
    <cellStyle name="_Provision cost  sept  2008" xfId="13487" xr:uid="{00000000-0005-0000-0000-0000AF340000}"/>
    <cellStyle name="_Provision cost  sept  2008 2" xfId="13488" xr:uid="{00000000-0005-0000-0000-0000B0340000}"/>
    <cellStyle name="_Provision cost June 2008 (2)" xfId="13489" xr:uid="{00000000-0005-0000-0000-0000B1340000}"/>
    <cellStyle name="_Provision cost June 2008 (2) 2" xfId="13490" xr:uid="{00000000-0005-0000-0000-0000B2340000}"/>
    <cellStyle name="_Provision data  for the month of December-08" xfId="13491" xr:uid="{00000000-0005-0000-0000-0000B3340000}"/>
    <cellStyle name="_Provision data  for the month of December-08 2" xfId="13492" xr:uid="{00000000-0005-0000-0000-0000B4340000}"/>
    <cellStyle name="_Provision data  for the month of November-08" xfId="13493" xr:uid="{00000000-0005-0000-0000-0000B5340000}"/>
    <cellStyle name="_Provision data  for the month of November-08 2" xfId="13494" xr:uid="{00000000-0005-0000-0000-0000B6340000}"/>
    <cellStyle name="_Provision data  for the month of September-'08" xfId="13495" xr:uid="{00000000-0005-0000-0000-0000B7340000}"/>
    <cellStyle name="_Provision data  for the month of September-'08 2" xfId="13496" xr:uid="{00000000-0005-0000-0000-0000B8340000}"/>
    <cellStyle name="_Provision Data for the month " xfId="13497" xr:uid="{00000000-0005-0000-0000-0000B9340000}"/>
    <cellStyle name="_Provision Data for the month  2" xfId="13498" xr:uid="{00000000-0005-0000-0000-0000BA340000}"/>
    <cellStyle name="_Provision Data for the month _IHFL_September_30_2010 VERSION 10" xfId="13499" xr:uid="{00000000-0005-0000-0000-0000BB340000}"/>
    <cellStyle name="_Provision data for the month of April '08 (2)" xfId="13500" xr:uid="{00000000-0005-0000-0000-0000BC340000}"/>
    <cellStyle name="_Provision data for the month of April '08 (2) 2" xfId="13501" xr:uid="{00000000-0005-0000-0000-0000BD340000}"/>
    <cellStyle name="_Provision data for the month of August-'08" xfId="13502" xr:uid="{00000000-0005-0000-0000-0000BE340000}"/>
    <cellStyle name="_Provision data for the month of August-'08 2" xfId="13503" xr:uid="{00000000-0005-0000-0000-0000BF340000}"/>
    <cellStyle name="_Provision Data for the month of February-08 ---- (7)" xfId="13504" xr:uid="{00000000-0005-0000-0000-0000C0340000}"/>
    <cellStyle name="_Provision Data for the month of February-08 ---- (7) 2" xfId="13505" xr:uid="{00000000-0005-0000-0000-0000C1340000}"/>
    <cellStyle name="_Provision Data for the month of February-08 ---- (7)_IHFL_September_30_2010 VERSION 10" xfId="13506" xr:uid="{00000000-0005-0000-0000-0000C2340000}"/>
    <cellStyle name="_Provision Data for the month of January08 ----" xfId="13507" xr:uid="{00000000-0005-0000-0000-0000C3340000}"/>
    <cellStyle name="_Provision Data for the month of January08 ---- 2" xfId="13508" xr:uid="{00000000-0005-0000-0000-0000C4340000}"/>
    <cellStyle name="_Provision Data for the month of January08 ----_IHFL_September_30_2010 VERSION 10" xfId="13509" xr:uid="{00000000-0005-0000-0000-0000C5340000}"/>
    <cellStyle name="_Provision data for the month of July-'08" xfId="13510" xr:uid="{00000000-0005-0000-0000-0000C6340000}"/>
    <cellStyle name="_Provision data for the month of July-'08 2" xfId="13511" xr:uid="{00000000-0005-0000-0000-0000C7340000}"/>
    <cellStyle name="_Provision data for the month of June'08" xfId="13512" xr:uid="{00000000-0005-0000-0000-0000C8340000}"/>
    <cellStyle name="_Provision data for the month of June'08 2" xfId="13513" xr:uid="{00000000-0005-0000-0000-0000C9340000}"/>
    <cellStyle name="_Provision data for the month of March'08" xfId="13514" xr:uid="{00000000-0005-0000-0000-0000CA340000}"/>
    <cellStyle name="_Provision data for the month of March'08 2" xfId="13515" xr:uid="{00000000-0005-0000-0000-0000CB340000}"/>
    <cellStyle name="_Provision data for the month of May 08" xfId="13516" xr:uid="{00000000-0005-0000-0000-0000CC340000}"/>
    <cellStyle name="_Provision data for the month of May 08 2" xfId="13517" xr:uid="{00000000-0005-0000-0000-0000CD340000}"/>
    <cellStyle name="_Provision Dec_fci_fcu" xfId="13518" xr:uid="{00000000-0005-0000-0000-0000CE340000}"/>
    <cellStyle name="_Provision Dec_fci_fcu 2" xfId="13519" xr:uid="{00000000-0005-0000-0000-0000CF340000}"/>
    <cellStyle name="_Provision Dec_fci_fcu_IHFL_September_30_2010 VERSION 10" xfId="13520" xr:uid="{00000000-0005-0000-0000-0000D0340000}"/>
    <cellStyle name="_Provision Dec-08_FCI_FCU" xfId="13521" xr:uid="{00000000-0005-0000-0000-0000D1340000}"/>
    <cellStyle name="_Provision Dec-08_FCI_FCU 2" xfId="13522" xr:uid="{00000000-0005-0000-0000-0000D2340000}"/>
    <cellStyle name="_Provision december" xfId="13523" xr:uid="{00000000-0005-0000-0000-0000D3340000}"/>
    <cellStyle name="_Provision december 2" xfId="13524" xr:uid="{00000000-0005-0000-0000-0000D4340000}"/>
    <cellStyle name="_Provision Detail - IHFL as on Aug06 (1)" xfId="13525" xr:uid="{00000000-0005-0000-0000-0000D5340000}"/>
    <cellStyle name="_Provision Detail - IHFL as on Aug06 (1) 2" xfId="13526" xr:uid="{00000000-0005-0000-0000-0000D6340000}"/>
    <cellStyle name="_Provision Feb_fci_fcu" xfId="13527" xr:uid="{00000000-0005-0000-0000-0000D7340000}"/>
    <cellStyle name="_Provision Feb_fci_fcu 2" xfId="13528" xr:uid="{00000000-0005-0000-0000-0000D8340000}"/>
    <cellStyle name="_Provision Feb_fci_fcu_IHFL_September_30_2010 VERSION 10" xfId="13529" xr:uid="{00000000-0005-0000-0000-0000D9340000}"/>
    <cellStyle name="_Provision for February 2009_IHFL" xfId="13530" xr:uid="{00000000-0005-0000-0000-0000DA340000}"/>
    <cellStyle name="_Provision for February 2009_IHFL 2" xfId="13531" xr:uid="{00000000-0005-0000-0000-0000DB340000}"/>
    <cellStyle name="_Provision for Jan'09" xfId="13532" xr:uid="{00000000-0005-0000-0000-0000DC340000}"/>
    <cellStyle name="_Provision for Jan'09 2" xfId="13533" xr:uid="{00000000-0005-0000-0000-0000DD340000}"/>
    <cellStyle name="_Provision for security &amp; House keeping" xfId="13534" xr:uid="{00000000-0005-0000-0000-0000DE340000}"/>
    <cellStyle name="_Provision for security &amp; House keeping 2" xfId="13535" xr:uid="{00000000-0005-0000-0000-0000DF340000}"/>
    <cellStyle name="_Provision for security &amp; House keeping_IHFL_September_30_2010 VERSION 10" xfId="13536" xr:uid="{00000000-0005-0000-0000-0000E0340000}"/>
    <cellStyle name="_PROVISION FOR THE MO MAY07 (Amrit)" xfId="13537" xr:uid="{00000000-0005-0000-0000-0000E1340000}"/>
    <cellStyle name="_PROVISION FOR THE MO MAY07 (Amrit) 2" xfId="13538" xr:uid="{00000000-0005-0000-0000-0000E2340000}"/>
    <cellStyle name="_PROVISION FOR THE MO MAY07 (Amrit)_IHFL_September_30_2010 VERSION 10" xfId="13539" xr:uid="{00000000-0005-0000-0000-0000E3340000}"/>
    <cellStyle name="_Provision for the Month of July08" xfId="13540" xr:uid="{00000000-0005-0000-0000-0000E4340000}"/>
    <cellStyle name="_PROVISION IFSL MARCH-09_Gagan Sharma" xfId="13541" xr:uid="{00000000-0005-0000-0000-0000E5340000}"/>
    <cellStyle name="_PROVISION IFSL MARCH-09_Gagan Sharma 2" xfId="13542" xr:uid="{00000000-0005-0000-0000-0000E6340000}"/>
    <cellStyle name="_PROVISION IHFL MARCH 2009 _ GAGAN SHARMA" xfId="13543" xr:uid="{00000000-0005-0000-0000-0000E7340000}"/>
    <cellStyle name="_PROVISION IHFL MARCH 2009 _ GAGAN SHARMA (2)" xfId="13544" xr:uid="{00000000-0005-0000-0000-0000E8340000}"/>
    <cellStyle name="_PROVISION IHFL MARCH 2009 _ GAGAN SHARMA (2) 2" xfId="13545" xr:uid="{00000000-0005-0000-0000-0000E9340000}"/>
    <cellStyle name="_PROVISION IHFL MARCH 2009 _ GAGAN SHARMA 2" xfId="13546" xr:uid="{00000000-0005-0000-0000-0000EA340000}"/>
    <cellStyle name="_PROVISION IHFL MARCH 2009 _ GAGAN SHARMA 3" xfId="13547" xr:uid="{00000000-0005-0000-0000-0000EB340000}"/>
    <cellStyle name="_PROVISION IHFL MARCH 2009 _ GAGAN SHARMA 4" xfId="13548" xr:uid="{00000000-0005-0000-0000-0000EC340000}"/>
    <cellStyle name="_Provision Jan_fci_fcu" xfId="13549" xr:uid="{00000000-0005-0000-0000-0000ED340000}"/>
    <cellStyle name="_Provision Jan_fci_fcu 2" xfId="13550" xr:uid="{00000000-0005-0000-0000-0000EE340000}"/>
    <cellStyle name="_Provision Jan_fci_fcu_IHFL_September_30_2010 VERSION 10" xfId="13551" xr:uid="{00000000-0005-0000-0000-0000EF340000}"/>
    <cellStyle name="_PROVISION JANUARY_09 IFSL" xfId="13552" xr:uid="{00000000-0005-0000-0000-0000F0340000}"/>
    <cellStyle name="_PROVISION JANUARY_09 IFSL 2" xfId="13553" xr:uid="{00000000-0005-0000-0000-0000F1340000}"/>
    <cellStyle name="_Provision July 2008(cost)" xfId="13554" xr:uid="{00000000-0005-0000-0000-0000F2340000}"/>
    <cellStyle name="_Provision July 2008(cost) 2" xfId="13555" xr:uid="{00000000-0005-0000-0000-0000F3340000}"/>
    <cellStyle name="_Provision July-08(New)_Final" xfId="13556" xr:uid="{00000000-0005-0000-0000-0000F4340000}"/>
    <cellStyle name="_Provision July-08(New)_Final 2" xfId="13557" xr:uid="{00000000-0005-0000-0000-0000F5340000}"/>
    <cellStyle name="_Provision June-08" xfId="13558" xr:uid="{00000000-0005-0000-0000-0000F6340000}"/>
    <cellStyle name="_Provision June-08 2" xfId="13559" xr:uid="{00000000-0005-0000-0000-0000F7340000}"/>
    <cellStyle name="_Provision Mar_fci_fcu_final" xfId="13560" xr:uid="{00000000-0005-0000-0000-0000F8340000}"/>
    <cellStyle name="_Provision Mar_fci_fcu_final 2" xfId="13561" xr:uid="{00000000-0005-0000-0000-0000F9340000}"/>
    <cellStyle name="_Provision Mar-09 ," xfId="13562" xr:uid="{00000000-0005-0000-0000-0000FA340000}"/>
    <cellStyle name="_Provision Mar-09 , 2" xfId="13563" xr:uid="{00000000-0005-0000-0000-0000FB340000}"/>
    <cellStyle name="_Provision May-08" xfId="13564" xr:uid="{00000000-0005-0000-0000-0000FC340000}"/>
    <cellStyle name="_Provision May-08 2" xfId="13565" xr:uid="{00000000-0005-0000-0000-0000FD340000}"/>
    <cellStyle name="_PROVISION NOV" xfId="13566" xr:uid="{00000000-0005-0000-0000-0000FE340000}"/>
    <cellStyle name="_PROVISION NOV 2" xfId="13567" xr:uid="{00000000-0005-0000-0000-0000FF340000}"/>
    <cellStyle name="_PROVISION NOV_IHFL_September_30_2010 VERSION 10" xfId="13568" xr:uid="{00000000-0005-0000-0000-000000350000}"/>
    <cellStyle name="_Provision Nov-08_FCI_FCU" xfId="13569" xr:uid="{00000000-0005-0000-0000-000001350000}"/>
    <cellStyle name="_Provision Nov-08_FCI_FCU (3)" xfId="13570" xr:uid="{00000000-0005-0000-0000-000002350000}"/>
    <cellStyle name="_Provision Nov-08_FCI_FCU (3) 2" xfId="13571" xr:uid="{00000000-0005-0000-0000-000003350000}"/>
    <cellStyle name="_Provision Nov-08_FCI_FCU 2" xfId="13572" xr:uid="{00000000-0005-0000-0000-000004350000}"/>
    <cellStyle name="_Provision Nov-08_FCI_FCU 3" xfId="13573" xr:uid="{00000000-0005-0000-0000-000005350000}"/>
    <cellStyle name="_Provision Nov-08_FCI_FCU 4" xfId="13574" xr:uid="{00000000-0005-0000-0000-000006350000}"/>
    <cellStyle name="_Provision Oct-08_FCI_FCU" xfId="13575" xr:uid="{00000000-0005-0000-0000-000007350000}"/>
    <cellStyle name="_Provision Oct-08_FCI_FCU 2" xfId="13576" xr:uid="{00000000-0005-0000-0000-000008350000}"/>
    <cellStyle name="_Provision of August'08Hina" xfId="13577" xr:uid="{00000000-0005-0000-0000-000009350000}"/>
    <cellStyle name="_Provision of month May - 2008" xfId="13578" xr:uid="{00000000-0005-0000-0000-00000A350000}"/>
    <cellStyle name="_Provision of month May - 2008 2" xfId="13579" xr:uid="{00000000-0005-0000-0000-00000B350000}"/>
    <cellStyle name="_Provision Sept 08" xfId="13580" xr:uid="{00000000-0005-0000-0000-00000C350000}"/>
    <cellStyle name="_Provision Sept-08_FCI_FCU_123" xfId="13581" xr:uid="{00000000-0005-0000-0000-00000D350000}"/>
    <cellStyle name="_Provision Sept-08_FCI_FCU_123 2" xfId="13582" xr:uid="{00000000-0005-0000-0000-00000E350000}"/>
    <cellStyle name="_Provisioning - IHFL -Feb2007" xfId="13583" xr:uid="{00000000-0005-0000-0000-00000F350000}"/>
    <cellStyle name="_Provisioning - IHFL -Feb2007 2" xfId="13584" xr:uid="{00000000-0005-0000-0000-000010350000}"/>
    <cellStyle name="_Provisioning - IHFL -Feb2007_IHFL_September_30_2010 VERSION 10" xfId="13585" xr:uid="{00000000-0005-0000-0000-000011350000}"/>
    <cellStyle name="_Provisioning (4)" xfId="13586" xr:uid="{00000000-0005-0000-0000-000012350000}"/>
    <cellStyle name="_Provisioning (4) 2" xfId="13587" xr:uid="{00000000-0005-0000-0000-000013350000}"/>
    <cellStyle name="_Provisioning (4)_IHFL_September_30_2010 VERSION 10" xfId="13588" xr:uid="{00000000-0005-0000-0000-000014350000}"/>
    <cellStyle name="_Provisioning Format - IHFL" xfId="13589" xr:uid="{00000000-0005-0000-0000-000015350000}"/>
    <cellStyle name="_Provisioning Format - IHFL 2" xfId="13590" xr:uid="{00000000-0005-0000-0000-000016350000}"/>
    <cellStyle name="_Provisioning Format - IHFL_IHFL_September_30_2010 VERSION 10" xfId="13591" xr:uid="{00000000-0005-0000-0000-000017350000}"/>
    <cellStyle name="_Provisioning Format (Branches)- ICSL" xfId="13592" xr:uid="{00000000-0005-0000-0000-000018350000}"/>
    <cellStyle name="_Provisioning Format (Branches)- ICSL 2" xfId="13593" xr:uid="{00000000-0005-0000-0000-000019350000}"/>
    <cellStyle name="_Provisioning Format (Branches)- ICSL_IHFL_September_30_2010 VERSION 10" xfId="13594" xr:uid="{00000000-0005-0000-0000-00001A350000}"/>
    <cellStyle name="_Provisioning- IHFL- Mar2007 final" xfId="13595" xr:uid="{00000000-0005-0000-0000-00001B350000}"/>
    <cellStyle name="_Provisioning- IHFL- Mar2007 final 2" xfId="13596" xr:uid="{00000000-0005-0000-0000-00001C350000}"/>
    <cellStyle name="_Provisioning- IHFL- Mar2007 final_IHFL_September_30_2010 VERSION 10" xfId="13597" xr:uid="{00000000-0005-0000-0000-00001D350000}"/>
    <cellStyle name="_Provisioning Oct'07-Master" xfId="13598" xr:uid="{00000000-0005-0000-0000-00001E350000}"/>
    <cellStyle name="_Provisioning Oct'07-Master 2" xfId="13599" xr:uid="{00000000-0005-0000-0000-00001F350000}"/>
    <cellStyle name="_Provisioning Oct'07-Master_IHFL_September_30_2010 VERSION 10" xfId="13600" xr:uid="{00000000-0005-0000-0000-000020350000}"/>
    <cellStyle name="_Provisioning_Oct'07_OTHER" xfId="13601" xr:uid="{00000000-0005-0000-0000-000021350000}"/>
    <cellStyle name="_Provisioning_Oct'07_OTHER 2" xfId="13602" xr:uid="{00000000-0005-0000-0000-000022350000}"/>
    <cellStyle name="_Provisioning_Oct'07_OTHER_IHFL_September_30_2010 VERSION 10" xfId="13603" xr:uid="{00000000-0005-0000-0000-000023350000}"/>
    <cellStyle name="_Provisions final IHFL Dec 07" xfId="13604" xr:uid="{00000000-0005-0000-0000-000024350000}"/>
    <cellStyle name="_Provisions final IHFL Dec 07 2" xfId="13605" xr:uid="{00000000-0005-0000-0000-000025350000}"/>
    <cellStyle name="_Provisions final IHFL Dec 07_IHFL_September_30_2010 VERSION 10" xfId="13606" xr:uid="{00000000-0005-0000-0000-000026350000}"/>
    <cellStyle name="_Provisions IHFL JAN'08" xfId="13607" xr:uid="{00000000-0005-0000-0000-000027350000}"/>
    <cellStyle name="_Provisions IHFL JAN'08 (2)" xfId="13608" xr:uid="{00000000-0005-0000-0000-000028350000}"/>
    <cellStyle name="_Provisions IHFL JAN'08 (2) 2" xfId="13609" xr:uid="{00000000-0005-0000-0000-000029350000}"/>
    <cellStyle name="_Provisions IHFL JAN'08 2" xfId="13610" xr:uid="{00000000-0005-0000-0000-00002A350000}"/>
    <cellStyle name="_Provisions IHFL JAN'08 3" xfId="13611" xr:uid="{00000000-0005-0000-0000-00002B350000}"/>
    <cellStyle name="_Provisions IHFL JAN'08 4" xfId="13612" xr:uid="{00000000-0005-0000-0000-00002C350000}"/>
    <cellStyle name="_Provisions IHFL JAN'08 5" xfId="13613" xr:uid="{00000000-0005-0000-0000-00002D350000}"/>
    <cellStyle name="_Provisions IHFL JAN'08 6" xfId="13614" xr:uid="{00000000-0005-0000-0000-00002E350000}"/>
    <cellStyle name="_Provisions IHFL JAN'08 7" xfId="13615" xr:uid="{00000000-0005-0000-0000-00002F350000}"/>
    <cellStyle name="_Provisions IHFL JAN'08 8" xfId="13616" xr:uid="{00000000-0005-0000-0000-000030350000}"/>
    <cellStyle name="_Provisions IHFL March'08" xfId="13617" xr:uid="{00000000-0005-0000-0000-000031350000}"/>
    <cellStyle name="_Provisions IHFL March'08 2" xfId="13618" xr:uid="{00000000-0005-0000-0000-000032350000}"/>
    <cellStyle name="_Provisions Jan SBL (4)" xfId="13619" xr:uid="{00000000-0005-0000-0000-000033350000}"/>
    <cellStyle name="_Provisions Jan SBL (4) 2" xfId="13620" xr:uid="{00000000-0005-0000-0000-000034350000}"/>
    <cellStyle name="_Provisions Jan SBL (4)_IHFL_September_30_2010 VERSION 10" xfId="13621" xr:uid="{00000000-0005-0000-0000-000035350000}"/>
    <cellStyle name="_Provission Sheet (3)" xfId="13622" xr:uid="{00000000-0005-0000-0000-000036350000}"/>
    <cellStyle name="_Provsion sheet (2)" xfId="13623" xr:uid="{00000000-0005-0000-0000-000037350000}"/>
    <cellStyle name="_Provsion sheet (2) 2" xfId="13624" xr:uid="{00000000-0005-0000-0000-000038350000}"/>
    <cellStyle name="_Provsion sheet (2)_IHFL_September_30_2010 VERSION 10" xfId="13625" xr:uid="{00000000-0005-0000-0000-000039350000}"/>
    <cellStyle name="_Provsion sheetnov" xfId="13626" xr:uid="{00000000-0005-0000-0000-00003A350000}"/>
    <cellStyle name="_Provsion sheetnov 2" xfId="13627" xr:uid="{00000000-0005-0000-0000-00003B350000}"/>
    <cellStyle name="_Provsion sheetnov_IHFL_September_30_2010 VERSION 10" xfId="13628" xr:uid="{00000000-0005-0000-0000-00003C350000}"/>
    <cellStyle name="_RBI RETURN 30.04.2007" xfId="13629" xr:uid="{00000000-0005-0000-0000-00003D350000}"/>
    <cellStyle name="_RBI RETURN 30.04.2007 2" xfId="13630" xr:uid="{00000000-0005-0000-0000-00003E350000}"/>
    <cellStyle name="_RBI RETURN 30.04.2007_Indiabulls Asset Management Company Limited printable" xfId="13631" xr:uid="{00000000-0005-0000-0000-00003F350000}"/>
    <cellStyle name="_Real Estate(Sam)" xfId="13632" xr:uid="{00000000-0005-0000-0000-000040350000}"/>
    <cellStyle name="_Real Estate(Sam) 2" xfId="13633" xr:uid="{00000000-0005-0000-0000-000041350000}"/>
    <cellStyle name="_Reco.Electricity 23.11.07" xfId="13634" xr:uid="{00000000-0005-0000-0000-000042350000}"/>
    <cellStyle name="_Reco.Electricity 23.11.07 2" xfId="13635" xr:uid="{00000000-0005-0000-0000-000043350000}"/>
    <cellStyle name="_Reco.Electricity 23.11.07_IHFL_September_30_2010 VERSION 10" xfId="13636" xr:uid="{00000000-0005-0000-0000-000044350000}"/>
    <cellStyle name="_Reco.HCFL Electricity 26.10.07" xfId="13637" xr:uid="{00000000-0005-0000-0000-000045350000}"/>
    <cellStyle name="_Reco.HCFL Electricity 26.10.07 2" xfId="13638" xr:uid="{00000000-0005-0000-0000-000046350000}"/>
    <cellStyle name="_Reco.HCFL Electricity 26.10.07_IHFL_September_30_2010 VERSION 10" xfId="13639" xr:uid="{00000000-0005-0000-0000-000047350000}"/>
    <cellStyle name="_RECON  INSURANCE" xfId="13640" xr:uid="{00000000-0005-0000-0000-000048350000}"/>
    <cellStyle name="_RECON  INSURANCE_Asset Management Company Limited" xfId="13641" xr:uid="{00000000-0005-0000-0000-000049350000}"/>
    <cellStyle name="_RECON  INSURANCE_BS _IB Asset Management _3103_ver5" xfId="13642" xr:uid="{00000000-0005-0000-0000-00004A350000}"/>
    <cellStyle name="_RECON  INSURANCE_BS _IB Asset Management _3103_ver5_IAMCL BS working -New format_31.03 V5" xfId="13643" xr:uid="{00000000-0005-0000-0000-00004B350000}"/>
    <cellStyle name="_RECON  INSURANCE_IAMCL BS working -New format_31.03 V5" xfId="13644" xr:uid="{00000000-0005-0000-0000-00004C350000}"/>
    <cellStyle name="_RECON  INSURANCE_IB Asset Management _2910" xfId="13645" xr:uid="{00000000-0005-0000-0000-00004D350000}"/>
    <cellStyle name="_RECON  INSURANCE_IB Asset Management _2910_IB Collection Agency_3103 V3" xfId="13646" xr:uid="{00000000-0005-0000-0000-00004E350000}"/>
    <cellStyle name="_RECON  INSURANCE_IB Asset Management _2910_IB Collection Agency_3103 V3_ICAL-New Format_31.03 V4" xfId="13647" xr:uid="{00000000-0005-0000-0000-00004F350000}"/>
    <cellStyle name="_RECON  INSURANCE_IB Asset Management _2910_ICAL-BS Final Working _New format" xfId="13648" xr:uid="{00000000-0005-0000-0000-000050350000}"/>
    <cellStyle name="_RECON  INSURANCE_IB Asset Management _3103_ver5" xfId="13649" xr:uid="{00000000-0005-0000-0000-000051350000}"/>
    <cellStyle name="_RECON  INSURANCE_IB Asset Management_3103 V2" xfId="13650" xr:uid="{00000000-0005-0000-0000-000052350000}"/>
    <cellStyle name="_RECON  INSURANCE_IB Asset Management_3103 V4" xfId="13651" xr:uid="{00000000-0005-0000-0000-000053350000}"/>
    <cellStyle name="_RECON  INSURANCE_IB Asset Management_3103 V5" xfId="13652" xr:uid="{00000000-0005-0000-0000-000054350000}"/>
    <cellStyle name="_RECON  INSURANCE_IB Collection Agency_3103 V3" xfId="13653" xr:uid="{00000000-0005-0000-0000-000055350000}"/>
    <cellStyle name="_RECON  INSURANCE_IB Collection Agency_3103 V3_ICAL-New Format_31.03 V4" xfId="13654" xr:uid="{00000000-0005-0000-0000-000056350000}"/>
    <cellStyle name="_RECON  INSURANCE_IB Infrastructure Credit" xfId="13655" xr:uid="{00000000-0005-0000-0000-000057350000}"/>
    <cellStyle name="_RECON  INSURANCE_IB Infrastructure Credit-3103_V6" xfId="13656" xr:uid="{00000000-0005-0000-0000-000058350000}"/>
    <cellStyle name="_RECON  INSURANCE_IB Infrastructure Credit-3103_V7" xfId="13657" xr:uid="{00000000-0005-0000-0000-000059350000}"/>
    <cellStyle name="_RECON  INSURANCE_IB Life Insurance_3103 V4" xfId="13658" xr:uid="{00000000-0005-0000-0000-00005A350000}"/>
    <cellStyle name="_RECON  INSURANCE_IB Trustee Company_3103 V4" xfId="13659" xr:uid="{00000000-0005-0000-0000-00005B350000}"/>
    <cellStyle name="_RECON  INSURANCE_IBLIC_BS  Final working -New_Format_31.03 V5" xfId="13660" xr:uid="{00000000-0005-0000-0000-00005C350000}"/>
    <cellStyle name="_RECON  INSURANCE_Ibulls BS Final woirking -New format_31.03 V5" xfId="13661" xr:uid="{00000000-0005-0000-0000-00005D350000}"/>
    <cellStyle name="_RECON  INSURANCE_IbullsSales_3103" xfId="13662" xr:uid="{00000000-0005-0000-0000-00005E350000}"/>
    <cellStyle name="_RECON  INSURANCE_IbullsSales_3103 V2" xfId="13663" xr:uid="{00000000-0005-0000-0000-00005F350000}"/>
    <cellStyle name="_RECON  INSURANCE_IbullsSales_3103 V5" xfId="13664" xr:uid="{00000000-0005-0000-0000-000060350000}"/>
    <cellStyle name="_RECON  INSURANCE_ICAL-BS Final Working _New format" xfId="13665" xr:uid="{00000000-0005-0000-0000-000061350000}"/>
    <cellStyle name="_RECON  INSURANCE_IICL_March'11" xfId="13666" xr:uid="{00000000-0005-0000-0000-000062350000}"/>
    <cellStyle name="_RECON  INSURANCE_Indiabulls Asset Management Company Limited printable" xfId="13667" xr:uid="{00000000-0005-0000-0000-000063350000}"/>
    <cellStyle name="_RECON  INSURANCE_ITCL_BS working _New format_31.03 V7" xfId="13668" xr:uid="{00000000-0005-0000-0000-000064350000}"/>
    <cellStyle name="_RECON  INSURANCE_ITCL-New format_31.03 V6" xfId="13669" xr:uid="{00000000-0005-0000-0000-000065350000}"/>
    <cellStyle name="_RECON  INSURANCE_NFCL working file" xfId="13670" xr:uid="{00000000-0005-0000-0000-000066350000}"/>
    <cellStyle name="_RECON  INSURANCE_Tax Audit Report  F.Y.08-09" xfId="13671" xr:uid="{00000000-0005-0000-0000-000067350000}"/>
    <cellStyle name="_RECON  INSURANCE_Tax Audit Report  ICSL F.Y.09-10" xfId="13672" xr:uid="{00000000-0005-0000-0000-000068350000}"/>
    <cellStyle name="_RECON  INSURANCE_Xl0000013" xfId="13673" xr:uid="{00000000-0005-0000-0000-000069350000}"/>
    <cellStyle name="_RELIANCE POWER LIMITED" xfId="13674" xr:uid="{00000000-0005-0000-0000-00006A350000}"/>
    <cellStyle name="_RELIANCE POWER LIMITED 2" xfId="13675" xr:uid="{00000000-0005-0000-0000-00006B350000}"/>
    <cellStyle name="_RELIANCE POWER LIMITED(Final Amita)" xfId="13676" xr:uid="{00000000-0005-0000-0000-00006C350000}"/>
    <cellStyle name="_RELIANCE POWER LIMITED(Final Amita) 2" xfId="13677" xr:uid="{00000000-0005-0000-0000-00006D350000}"/>
    <cellStyle name="_RELIANCE POWER LIMITED(Final Amita)_Details of Assets &amp; Liablilities" xfId="13678" xr:uid="{00000000-0005-0000-0000-00006E350000}"/>
    <cellStyle name="_RELIANCE POWER LIMITED(Final Amita)_Details of Assets &amp; Liablilities 2" xfId="13679" xr:uid="{00000000-0005-0000-0000-00006F350000}"/>
    <cellStyle name="_RELIANCE POWER LIMITED(Final Amita)_Details of Assets &amp; Liablilities 3" xfId="13680" xr:uid="{00000000-0005-0000-0000-000070350000}"/>
    <cellStyle name="_RELIANCE POWER LIMITED(Final Amita)_Indiabulls Asset Management Company Limited printable" xfId="13681" xr:uid="{00000000-0005-0000-0000-000071350000}"/>
    <cellStyle name="_RELIANCE POWER LIMITED_Indiabulls Asset Management Company Limited printable" xfId="13682" xr:uid="{00000000-0005-0000-0000-000072350000}"/>
    <cellStyle name="_RELIANCE POWER LIMITED1" xfId="13683" xr:uid="{00000000-0005-0000-0000-000073350000}"/>
    <cellStyle name="_RELIANCE POWER LIMITED1 2" xfId="13684" xr:uid="{00000000-0005-0000-0000-000074350000}"/>
    <cellStyle name="_RELIANCE POWER LIMITED1_Indiabulls Asset Management Company Limited printable" xfId="13685" xr:uid="{00000000-0005-0000-0000-000075350000}"/>
    <cellStyle name="_Rent details of 1Qtr" xfId="13686" xr:uid="{00000000-0005-0000-0000-000076350000}"/>
    <cellStyle name="_Rent details of 1Qtr 2" xfId="13687" xr:uid="{00000000-0005-0000-0000-000077350000}"/>
    <cellStyle name="_Rent Provision" xfId="13688" xr:uid="{00000000-0005-0000-0000-000078350000}"/>
    <cellStyle name="_Rent Provision 2" xfId="13689" xr:uid="{00000000-0005-0000-0000-000079350000}"/>
    <cellStyle name="_Repaymnet of BTBTUCC" xfId="13690" xr:uid="{00000000-0005-0000-0000-00007A350000}"/>
    <cellStyle name="_Repaymnet of BTBTUCC 2" xfId="13691" xr:uid="{00000000-0005-0000-0000-00007B350000}"/>
    <cellStyle name="_Repaymnet schedule of bigtickect loans version 2" xfId="13692" xr:uid="{00000000-0005-0000-0000-00007C350000}"/>
    <cellStyle name="_Repaymnet schedule of bigtickect loans version 2 2" xfId="13693" xr:uid="{00000000-0005-0000-0000-00007D350000}"/>
    <cellStyle name="_Reportees as per Reporting Matrix Sept'07 Adjusted (branches)" xfId="13694" xr:uid="{00000000-0005-0000-0000-00007E350000}"/>
    <cellStyle name="_Reportees as per Reporting Matrix Sept'07 Adjusted (branches) 2" xfId="13695" xr:uid="{00000000-0005-0000-0000-00007F350000}"/>
    <cellStyle name="_Results 0.30" xfId="13696" xr:uid="{00000000-0005-0000-0000-000080350000}"/>
    <cellStyle name="_Results 0.30 2" xfId="13697" xr:uid="{00000000-0005-0000-0000-000081350000}"/>
    <cellStyle name="_Results 0.30 2 2" xfId="13698" xr:uid="{00000000-0005-0000-0000-000082350000}"/>
    <cellStyle name="_Results 0.30 3" xfId="13699" xr:uid="{00000000-0005-0000-0000-000083350000}"/>
    <cellStyle name="_Results 0.30 3 2" xfId="13700" xr:uid="{00000000-0005-0000-0000-000084350000}"/>
    <cellStyle name="_Results 0.30 4" xfId="13701" xr:uid="{00000000-0005-0000-0000-000085350000}"/>
    <cellStyle name="_Results 0.30 4 2" xfId="13702" xr:uid="{00000000-0005-0000-0000-000086350000}"/>
    <cellStyle name="_Results 0.30 5" xfId="13703" xr:uid="{00000000-0005-0000-0000-000087350000}"/>
    <cellStyle name="_Results 0.30 5 2" xfId="13704" xr:uid="{00000000-0005-0000-0000-000088350000}"/>
    <cellStyle name="_Results 0.30 6" xfId="13705" xr:uid="{00000000-0005-0000-0000-000089350000}"/>
    <cellStyle name="_Results 0.30_Abstract-2007-08" xfId="13706" xr:uid="{00000000-0005-0000-0000-00008A350000}"/>
    <cellStyle name="_Results 0.30_Abstract-2007-08 2" xfId="13707" xr:uid="{00000000-0005-0000-0000-00008B350000}"/>
    <cellStyle name="_Results 0.30_ACL_3402_2008-09" xfId="13708" xr:uid="{00000000-0005-0000-0000-00008C350000}"/>
    <cellStyle name="_Results 0.30_ACL_3402_2008-09 2" xfId="13709" xr:uid="{00000000-0005-0000-0000-00008D350000}"/>
    <cellStyle name="_Results 0.30_ADL_3373_2008-09" xfId="13710" xr:uid="{00000000-0005-0000-0000-00008E350000}"/>
    <cellStyle name="_Results 0.30_ADL_3373_2008-09 2" xfId="13711" xr:uid="{00000000-0005-0000-0000-00008F350000}"/>
    <cellStyle name="_Results 0.30_Book1 (2)" xfId="13712" xr:uid="{00000000-0005-0000-0000-000090350000}"/>
    <cellStyle name="_Results 0.30_Book1 (2) 2" xfId="13713" xr:uid="{00000000-0005-0000-0000-000091350000}"/>
    <cellStyle name="_Results 0.30_Book2" xfId="13714" xr:uid="{00000000-0005-0000-0000-000092350000}"/>
    <cellStyle name="_Results 0.30_Book2 2" xfId="13715" xr:uid="{00000000-0005-0000-0000-000093350000}"/>
    <cellStyle name="_Results 0.30_CIL_3415_2008-09" xfId="13716" xr:uid="{00000000-0005-0000-0000-000094350000}"/>
    <cellStyle name="_Results 0.30_CIL_3415_2008-09 2" xfId="13717" xr:uid="{00000000-0005-0000-0000-000095350000}"/>
    <cellStyle name="_Results 0.30_detail (2)" xfId="13718" xr:uid="{00000000-0005-0000-0000-000096350000}"/>
    <cellStyle name="_Results 0.30_detail (2) 2" xfId="13719" xr:uid="{00000000-0005-0000-0000-000097350000}"/>
    <cellStyle name="_Results 0.30_Details of Assets &amp; Liablilities" xfId="13720" xr:uid="{00000000-0005-0000-0000-000098350000}"/>
    <cellStyle name="_Results 0.30_Details of Assets &amp; Liablilities 2" xfId="13721" xr:uid="{00000000-0005-0000-0000-000099350000}"/>
    <cellStyle name="_Results 0.30_Details of Assets &amp; Liablilities 3" xfId="13722" xr:uid="{00000000-0005-0000-0000-00009A350000}"/>
    <cellStyle name="_Results 0.30_FD Detail" xfId="13723" xr:uid="{00000000-0005-0000-0000-00009B350000}"/>
    <cellStyle name="_Results 0.30_FDR Int Calculation as per BS" xfId="13724" xr:uid="{00000000-0005-0000-0000-00009C350000}"/>
    <cellStyle name="_Results 0.30_IBL_3441_2008-09" xfId="13725" xr:uid="{00000000-0005-0000-0000-00009D350000}"/>
    <cellStyle name="_Results 0.30_IBL_3441_2008-09 2" xfId="13726" xr:uid="{00000000-0005-0000-0000-00009E350000}"/>
    <cellStyle name="_Results 0.30_ICL_09 12 2009" xfId="13727" xr:uid="{00000000-0005-0000-0000-00009F350000}"/>
    <cellStyle name="_Results 0.30_ICL_09 12 2009 2" xfId="13728" xr:uid="{00000000-0005-0000-0000-0000A0350000}"/>
    <cellStyle name="_Results 0.30_ICL_22 12 2009" xfId="13729" xr:uid="{00000000-0005-0000-0000-0000A1350000}"/>
    <cellStyle name="_Results 0.30_ICL_22 12 2009 2" xfId="13730" xr:uid="{00000000-0005-0000-0000-0000A2350000}"/>
    <cellStyle name="_Results 0.30_IEL_3210_ 2007-2008" xfId="13731" xr:uid="{00000000-0005-0000-0000-0000A3350000}"/>
    <cellStyle name="_Results 0.30_IEL_3210_ 2007-2008 2" xfId="13732" xr:uid="{00000000-0005-0000-0000-0000A4350000}"/>
    <cellStyle name="_Results 0.30_IEL_3210_ 2007-2008 3" xfId="13733" xr:uid="{00000000-0005-0000-0000-0000A5350000}"/>
    <cellStyle name="_Results 0.30_IEL_3210_ 2007-2008_260508" xfId="13734" xr:uid="{00000000-0005-0000-0000-0000A6350000}"/>
    <cellStyle name="_Results 0.30_IEL_3210_ 2007-2008_260508 2" xfId="13735" xr:uid="{00000000-0005-0000-0000-0000A7350000}"/>
    <cellStyle name="_Results 0.30_IEL_3210_ 2007-2008_260508 3" xfId="13736" xr:uid="{00000000-0005-0000-0000-0000A8350000}"/>
    <cellStyle name="_Results 0.30_IESL_09.12.2009" xfId="13737" xr:uid="{00000000-0005-0000-0000-0000A9350000}"/>
    <cellStyle name="_Results 0.30_IESL_09.12.2009 2" xfId="13738" xr:uid="{00000000-0005-0000-0000-0000AA350000}"/>
    <cellStyle name="_Results 0.30_IIDL_3227_2008_09" xfId="13739" xr:uid="{00000000-0005-0000-0000-0000AB350000}"/>
    <cellStyle name="_Results 0.30_IIDL_3227_2008_09 2" xfId="13740" xr:uid="{00000000-0005-0000-0000-0000AC350000}"/>
    <cellStyle name="_Results 0.30_Indiabulls Asset Management Company Limited printable" xfId="13741" xr:uid="{00000000-0005-0000-0000-0000AD350000}"/>
    <cellStyle name="_Results 0.30_ISL_conso_September_09_10" xfId="13742" xr:uid="{00000000-0005-0000-0000-0000AE350000}"/>
    <cellStyle name="_Results 0.30_ISL_conso_September_09_10 2" xfId="13743" xr:uid="{00000000-0005-0000-0000-0000AF350000}"/>
    <cellStyle name="_Results 0.30_ISL_conso_September_09_10 2 2" xfId="13744" xr:uid="{00000000-0005-0000-0000-0000B0350000}"/>
    <cellStyle name="_Results 0.30_ISL_conso_September_09_10 3" xfId="13745" xr:uid="{00000000-0005-0000-0000-0000B1350000}"/>
    <cellStyle name="_Results 0.30_ISL_Provisions_30.09.2010" xfId="13746" xr:uid="{00000000-0005-0000-0000-0000B2350000}"/>
    <cellStyle name="_Results 0.30_ISL_Provisions_30.09.2010 2" xfId="13747" xr:uid="{00000000-0005-0000-0000-0000B3350000}"/>
    <cellStyle name="_Results 0.30_Land  CWIP status" xfId="13748" xr:uid="{00000000-0005-0000-0000-0000B4350000}"/>
    <cellStyle name="_Results 0.30_Land  CWIP status 2" xfId="13749" xr:uid="{00000000-0005-0000-0000-0000B5350000}"/>
    <cellStyle name="_Results 0.30_Power Group - Advance Tax working for 3rd Installment" xfId="13750" xr:uid="{00000000-0005-0000-0000-0000B6350000}"/>
    <cellStyle name="_Results 0.30_Power Group - Advance Tax working for 3rd Installment 2" xfId="13751" xr:uid="{00000000-0005-0000-0000-0000B7350000}"/>
    <cellStyle name="_Results 0.30_Provision" xfId="13752" xr:uid="{00000000-0005-0000-0000-0000B8350000}"/>
    <cellStyle name="_Results 0.30_Provision 2" xfId="13753" xr:uid="{00000000-0005-0000-0000-0000B9350000}"/>
    <cellStyle name="_Results 0.30_Provision for Exp - FY 0809" xfId="13754" xr:uid="{00000000-0005-0000-0000-0000BA350000}"/>
    <cellStyle name="_Results 0.30_provisions q3" xfId="13755" xr:uid="{00000000-0005-0000-0000-0000BB350000}"/>
    <cellStyle name="_Results 0.30_provisions q3 2" xfId="13756" xr:uid="{00000000-0005-0000-0000-0000BC350000}"/>
    <cellStyle name="_Results 0.30_Results" xfId="13757" xr:uid="{00000000-0005-0000-0000-0000BD350000}"/>
    <cellStyle name="_Results 0.30_Results 2" xfId="13758" xr:uid="{00000000-0005-0000-0000-0000BE350000}"/>
    <cellStyle name="_Results 0.30_Results 2 2" xfId="13759" xr:uid="{00000000-0005-0000-0000-0000BF350000}"/>
    <cellStyle name="_Results 0.30_Results 3" xfId="13760" xr:uid="{00000000-0005-0000-0000-0000C0350000}"/>
    <cellStyle name="_Results 0.30_Sheet1" xfId="13761" xr:uid="{00000000-0005-0000-0000-0000C1350000}"/>
    <cellStyle name="_revenue break up (1)" xfId="13762" xr:uid="{00000000-0005-0000-0000-0000C2350000}"/>
    <cellStyle name="_revenue break up (1) 2" xfId="13763" xr:uid="{00000000-0005-0000-0000-0000C3350000}"/>
    <cellStyle name="_revenue break up (1) 3" xfId="13764" xr:uid="{00000000-0005-0000-0000-0000C4350000}"/>
    <cellStyle name="_revenue break up (1)_Details of Assets &amp; Liablilities" xfId="13765" xr:uid="{00000000-0005-0000-0000-0000C5350000}"/>
    <cellStyle name="_revenue break up (1)_Details of Assets &amp; Liablilities 2" xfId="13766" xr:uid="{00000000-0005-0000-0000-0000C6350000}"/>
    <cellStyle name="_revenue break up (1)_Details of Assets &amp; Liablilities 3" xfId="13767" xr:uid="{00000000-0005-0000-0000-0000C7350000}"/>
    <cellStyle name="_revenue break up (1)_IBL_09.12.2009" xfId="13768" xr:uid="{00000000-0005-0000-0000-0000C8350000}"/>
    <cellStyle name="_revenue break up (1)_IBL_09.12.2009 2" xfId="13769" xr:uid="{00000000-0005-0000-0000-0000C9350000}"/>
    <cellStyle name="_revenue break up (1)_ICL_22 12 2009" xfId="13770" xr:uid="{00000000-0005-0000-0000-0000CA350000}"/>
    <cellStyle name="_revenue break up (1)_ICL_22 12 2009 2" xfId="13771" xr:uid="{00000000-0005-0000-0000-0000CB350000}"/>
    <cellStyle name="_revenue break up (1)_IHFL_September_30_2010 VERSION 10" xfId="13772" xr:uid="{00000000-0005-0000-0000-0000CC350000}"/>
    <cellStyle name="_revenue break up (1)_Indiabulls Asset Management Company Limited printable" xfId="13773" xr:uid="{00000000-0005-0000-0000-0000CD350000}"/>
    <cellStyle name="_revenue break up (1)_ISL_ Adv Tax 2009-10 Q3" xfId="13774" xr:uid="{00000000-0005-0000-0000-0000CE350000}"/>
    <cellStyle name="_revenue break up (1)_ISL_ Adv Tax 2009-10 Q3 2" xfId="13775" xr:uid="{00000000-0005-0000-0000-0000CF350000}"/>
    <cellStyle name="_revenue break up (1)_ISL_conso_September_09_10" xfId="13776" xr:uid="{00000000-0005-0000-0000-0000D0350000}"/>
    <cellStyle name="_revenue break up (1)_ISL_conso_September_09_10 2" xfId="13777" xr:uid="{00000000-0005-0000-0000-0000D1350000}"/>
    <cellStyle name="_revenue break up (1)_ISL_conso_September_09_10 2 2" xfId="13778" xr:uid="{00000000-0005-0000-0000-0000D2350000}"/>
    <cellStyle name="_revenue break up (1)_ISL_conso_September_09_10 3" xfId="13779" xr:uid="{00000000-0005-0000-0000-0000D3350000}"/>
    <cellStyle name="_revenue break up (1)_ISL_Provisions_30.09.2010" xfId="13780" xr:uid="{00000000-0005-0000-0000-0000D4350000}"/>
    <cellStyle name="_revenue break up (1)_ISL_Provisions_30.09.2010 2" xfId="13781" xr:uid="{00000000-0005-0000-0000-0000D5350000}"/>
    <cellStyle name="_revenue break up (1)_Provision" xfId="13782" xr:uid="{00000000-0005-0000-0000-0000D6350000}"/>
    <cellStyle name="_revenue break up (1)_Provision 2" xfId="13783" xr:uid="{00000000-0005-0000-0000-0000D7350000}"/>
    <cellStyle name="_revenue break up (1)_Provision for Exp - FY 0809" xfId="13784" xr:uid="{00000000-0005-0000-0000-0000D8350000}"/>
    <cellStyle name="_revenue break up (1)_provisions q3" xfId="13785" xr:uid="{00000000-0005-0000-0000-0000D9350000}"/>
    <cellStyle name="_revenue break up (1)_provisions q3 2" xfId="13786" xr:uid="{00000000-0005-0000-0000-0000DA350000}"/>
    <cellStyle name="_revenue break up (1)_Results" xfId="13787" xr:uid="{00000000-0005-0000-0000-0000DB350000}"/>
    <cellStyle name="_revenue break up (1)_Results 2" xfId="13788" xr:uid="{00000000-0005-0000-0000-0000DC350000}"/>
    <cellStyle name="_revenue break up (1)_Results 2 2" xfId="13789" xr:uid="{00000000-0005-0000-0000-0000DD350000}"/>
    <cellStyle name="_revenue break up (1)_Results 3" xfId="13790" xr:uid="{00000000-0005-0000-0000-0000DE350000}"/>
    <cellStyle name="_revenue break up_IFSL" xfId="13791" xr:uid="{00000000-0005-0000-0000-0000DF350000}"/>
    <cellStyle name="_revenue break up_IFSL 2" xfId="13792" xr:uid="{00000000-0005-0000-0000-0000E0350000}"/>
    <cellStyle name="_revenue break up_IFSL 3" xfId="13793" xr:uid="{00000000-0005-0000-0000-0000E1350000}"/>
    <cellStyle name="_revenue break up_IFSL_Details of Assets &amp; Liablilities" xfId="13794" xr:uid="{00000000-0005-0000-0000-0000E2350000}"/>
    <cellStyle name="_revenue break up_IFSL_Details of Assets &amp; Liablilities 2" xfId="13795" xr:uid="{00000000-0005-0000-0000-0000E3350000}"/>
    <cellStyle name="_revenue break up_IFSL_Details of Assets &amp; Liablilities 3" xfId="13796" xr:uid="{00000000-0005-0000-0000-0000E4350000}"/>
    <cellStyle name="_revenue break up_IFSL_IBL_09.12.2009" xfId="13797" xr:uid="{00000000-0005-0000-0000-0000E5350000}"/>
    <cellStyle name="_revenue break up_IFSL_IBL_09.12.2009 2" xfId="13798" xr:uid="{00000000-0005-0000-0000-0000E6350000}"/>
    <cellStyle name="_revenue break up_IFSL_ICL_22 12 2009" xfId="13799" xr:uid="{00000000-0005-0000-0000-0000E7350000}"/>
    <cellStyle name="_revenue break up_IFSL_ICL_22 12 2009 2" xfId="13800" xr:uid="{00000000-0005-0000-0000-0000E8350000}"/>
    <cellStyle name="_revenue break up_IFSL_IHFL_September_30_2010 VERSION 10" xfId="13801" xr:uid="{00000000-0005-0000-0000-0000E9350000}"/>
    <cellStyle name="_revenue break up_IFSL_Indiabulls Asset Management Company Limited printable" xfId="13802" xr:uid="{00000000-0005-0000-0000-0000EA350000}"/>
    <cellStyle name="_revenue break up_IFSL_ISL_ Adv Tax 2009-10 Q3" xfId="13803" xr:uid="{00000000-0005-0000-0000-0000EB350000}"/>
    <cellStyle name="_revenue break up_IFSL_ISL_ Adv Tax 2009-10 Q3 2" xfId="13804" xr:uid="{00000000-0005-0000-0000-0000EC350000}"/>
    <cellStyle name="_revenue break up_IFSL_ISL_conso_September_09_10" xfId="13805" xr:uid="{00000000-0005-0000-0000-0000ED350000}"/>
    <cellStyle name="_revenue break up_IFSL_ISL_conso_September_09_10 2" xfId="13806" xr:uid="{00000000-0005-0000-0000-0000EE350000}"/>
    <cellStyle name="_revenue break up_IFSL_ISL_conso_September_09_10 2 2" xfId="13807" xr:uid="{00000000-0005-0000-0000-0000EF350000}"/>
    <cellStyle name="_revenue break up_IFSL_ISL_conso_September_09_10 3" xfId="13808" xr:uid="{00000000-0005-0000-0000-0000F0350000}"/>
    <cellStyle name="_revenue break up_IFSL_ISL_Provisions_30.09.2010" xfId="13809" xr:uid="{00000000-0005-0000-0000-0000F1350000}"/>
    <cellStyle name="_revenue break up_IFSL_ISL_Provisions_30.09.2010 2" xfId="13810" xr:uid="{00000000-0005-0000-0000-0000F2350000}"/>
    <cellStyle name="_revenue break up_IFSL_Provision" xfId="13811" xr:uid="{00000000-0005-0000-0000-0000F3350000}"/>
    <cellStyle name="_revenue break up_IFSL_Provision 2" xfId="13812" xr:uid="{00000000-0005-0000-0000-0000F4350000}"/>
    <cellStyle name="_revenue break up_IFSL_Provision for Exp - FY 0809" xfId="13813" xr:uid="{00000000-0005-0000-0000-0000F5350000}"/>
    <cellStyle name="_revenue break up_IFSL_provisions q3" xfId="13814" xr:uid="{00000000-0005-0000-0000-0000F6350000}"/>
    <cellStyle name="_revenue break up_IFSL_provisions q3 2" xfId="13815" xr:uid="{00000000-0005-0000-0000-0000F7350000}"/>
    <cellStyle name="_revenue break up_IFSL_Results" xfId="13816" xr:uid="{00000000-0005-0000-0000-0000F8350000}"/>
    <cellStyle name="_revenue break up_IFSL_Results 2" xfId="13817" xr:uid="{00000000-0005-0000-0000-0000F9350000}"/>
    <cellStyle name="_revenue break up_IFSL_Results 2 2" xfId="13818" xr:uid="{00000000-0005-0000-0000-0000FA350000}"/>
    <cellStyle name="_revenue break up_IFSL_Results 3" xfId="13819" xr:uid="{00000000-0005-0000-0000-0000FB350000}"/>
    <cellStyle name="_Revenue Break-up" xfId="13820" xr:uid="{00000000-0005-0000-0000-0000FC350000}"/>
    <cellStyle name="_Revenue Break-up 2" xfId="13821" xr:uid="{00000000-0005-0000-0000-0000FD350000}"/>
    <cellStyle name="_Revenue Break-up 2 2" xfId="13822" xr:uid="{00000000-0005-0000-0000-0000FE350000}"/>
    <cellStyle name="_Revenue Break-up 3" xfId="13823" xr:uid="{00000000-0005-0000-0000-0000FF350000}"/>
    <cellStyle name="_Revenue Break-up 3 2" xfId="13824" xr:uid="{00000000-0005-0000-0000-000000360000}"/>
    <cellStyle name="_Revenue Break-up 4" xfId="13825" xr:uid="{00000000-0005-0000-0000-000001360000}"/>
    <cellStyle name="_Revenue Break-up 4 2" xfId="13826" xr:uid="{00000000-0005-0000-0000-000002360000}"/>
    <cellStyle name="_Revenue Break-up 5" xfId="13827" xr:uid="{00000000-0005-0000-0000-000003360000}"/>
    <cellStyle name="_Revenue Break-up 5 2" xfId="13828" xr:uid="{00000000-0005-0000-0000-000004360000}"/>
    <cellStyle name="_Revenue Break-up 6" xfId="13829" xr:uid="{00000000-0005-0000-0000-000005360000}"/>
    <cellStyle name="_Revenue Break-up_detail" xfId="13830" xr:uid="{00000000-0005-0000-0000-000006360000}"/>
    <cellStyle name="_Revenue Break-up_detail (2)" xfId="13831" xr:uid="{00000000-0005-0000-0000-000007360000}"/>
    <cellStyle name="_Revenue Break-up_detail (2) 2" xfId="13832" xr:uid="{00000000-0005-0000-0000-000008360000}"/>
    <cellStyle name="_Revenue Break-up_detail 2" xfId="13833" xr:uid="{00000000-0005-0000-0000-000009360000}"/>
    <cellStyle name="_Revenue Break-up_detail to be added in june,2008" xfId="13834" xr:uid="{00000000-0005-0000-0000-00000A360000}"/>
    <cellStyle name="_Revenue Break-up_detail to be added in june,2008 2" xfId="13835" xr:uid="{00000000-0005-0000-0000-00000B360000}"/>
    <cellStyle name="_Revenue Break-up_Details of Assets &amp; Liablilities" xfId="13836" xr:uid="{00000000-0005-0000-0000-00000C360000}"/>
    <cellStyle name="_Revenue Break-up_Details of Assets &amp; Liablilities 2" xfId="13837" xr:uid="{00000000-0005-0000-0000-00000D360000}"/>
    <cellStyle name="_Revenue Break-up_Details of Assets &amp; Liablilities 3" xfId="13838" xr:uid="{00000000-0005-0000-0000-00000E360000}"/>
    <cellStyle name="_Revenue Break-up_IBL_09.12.2009" xfId="13839" xr:uid="{00000000-0005-0000-0000-00000F360000}"/>
    <cellStyle name="_Revenue Break-up_IBL_09.12.2009 2" xfId="13840" xr:uid="{00000000-0005-0000-0000-000010360000}"/>
    <cellStyle name="_Revenue Break-up_ICL_22 12 2009" xfId="13841" xr:uid="{00000000-0005-0000-0000-000011360000}"/>
    <cellStyle name="_Revenue Break-up_ICL_22 12 2009 2" xfId="13842" xr:uid="{00000000-0005-0000-0000-000012360000}"/>
    <cellStyle name="_Revenue Break-up_Indiabulls Asset Management Company Limited printable" xfId="13843" xr:uid="{00000000-0005-0000-0000-000013360000}"/>
    <cellStyle name="_Revenue Break-up_IRECPL_Himanshu Shah Bill" xfId="13844" xr:uid="{00000000-0005-0000-0000-000014360000}"/>
    <cellStyle name="_Revenue Break-up_IRECPL_Himanshu Shah Bill 2" xfId="13845" xr:uid="{00000000-0005-0000-0000-000015360000}"/>
    <cellStyle name="_Revenue Break-up_ISL_ Adv Tax 2009-10 Q3" xfId="13846" xr:uid="{00000000-0005-0000-0000-000016360000}"/>
    <cellStyle name="_Revenue Break-up_ISL_ Adv Tax 2009-10 Q3 2" xfId="13847" xr:uid="{00000000-0005-0000-0000-000017360000}"/>
    <cellStyle name="_Revenue Break-up_ISL_conso_September_09_10" xfId="13848" xr:uid="{00000000-0005-0000-0000-000018360000}"/>
    <cellStyle name="_Revenue Break-up_ISL_conso_September_09_10 2" xfId="13849" xr:uid="{00000000-0005-0000-0000-000019360000}"/>
    <cellStyle name="_Revenue Break-up_ISL_conso_September_09_10 2 2" xfId="13850" xr:uid="{00000000-0005-0000-0000-00001A360000}"/>
    <cellStyle name="_Revenue Break-up_ISL_conso_September_09_10 3" xfId="13851" xr:uid="{00000000-0005-0000-0000-00001B360000}"/>
    <cellStyle name="_Revenue Break-up_ISL_Provisions_30.09.2010" xfId="13852" xr:uid="{00000000-0005-0000-0000-00001C360000}"/>
    <cellStyle name="_Revenue Break-up_ISL_Provisions_30.09.2010 2" xfId="13853" xr:uid="{00000000-0005-0000-0000-00001D360000}"/>
    <cellStyle name="_Revenue Break-up_Provision" xfId="13854" xr:uid="{00000000-0005-0000-0000-00001E360000}"/>
    <cellStyle name="_Revenue Break-up_Provision 2" xfId="13855" xr:uid="{00000000-0005-0000-0000-00001F360000}"/>
    <cellStyle name="_Revenue Break-up_Provision for Exp - FY 0809" xfId="13856" xr:uid="{00000000-0005-0000-0000-000020360000}"/>
    <cellStyle name="_Revenue Break-up_provisions q3" xfId="13857" xr:uid="{00000000-0005-0000-0000-000021360000}"/>
    <cellStyle name="_Revenue Break-up_provisions q3 2" xfId="13858" xr:uid="{00000000-0005-0000-0000-000022360000}"/>
    <cellStyle name="_Revenue Break-up_Results" xfId="13859" xr:uid="{00000000-0005-0000-0000-000023360000}"/>
    <cellStyle name="_Revenue Break-up_Results 2" xfId="13860" xr:uid="{00000000-0005-0000-0000-000024360000}"/>
    <cellStyle name="_Revenue Break-up_Results 2 2" xfId="13861" xr:uid="{00000000-0005-0000-0000-000025360000}"/>
    <cellStyle name="_Revenue Break-up_Results 3" xfId="13862" xr:uid="{00000000-0005-0000-0000-000026360000}"/>
    <cellStyle name="_Revised Computation - Business Income - FY0708" xfId="13863" xr:uid="{00000000-0005-0000-0000-000027360000}"/>
    <cellStyle name="_Revised computation - IIAPL" xfId="13864" xr:uid="{00000000-0005-0000-0000-000028360000}"/>
    <cellStyle name="_Revised computation - IIAPL 2" xfId="13865" xr:uid="{00000000-0005-0000-0000-000029360000}"/>
    <cellStyle name="_Revised computation - IIAPL_IBL_09.12.2009" xfId="13866" xr:uid="{00000000-0005-0000-0000-00002A360000}"/>
    <cellStyle name="_Revised computation - IIAPL_IBL_09.12.2009 2" xfId="13867" xr:uid="{00000000-0005-0000-0000-00002B360000}"/>
    <cellStyle name="_Revised computation - IIAPL_ICL_22 12 2009" xfId="13868" xr:uid="{00000000-0005-0000-0000-00002C360000}"/>
    <cellStyle name="_Revised computation - IIAPL_ICL_22 12 2009 2" xfId="13869" xr:uid="{00000000-0005-0000-0000-00002D360000}"/>
    <cellStyle name="_Revised computation - IIAPL_Indiabulls Asset Management Company Limited printable" xfId="13870" xr:uid="{00000000-0005-0000-0000-00002E360000}"/>
    <cellStyle name="_revised computation ICAPSL" xfId="13871" xr:uid="{00000000-0005-0000-0000-00002F360000}"/>
    <cellStyle name="_revised computation ICAPSL 2" xfId="13872" xr:uid="{00000000-0005-0000-0000-000030360000}"/>
    <cellStyle name="_revised computation ICAPSL_Book1" xfId="13873" xr:uid="{00000000-0005-0000-0000-000031360000}"/>
    <cellStyle name="_revised computation ICAPSL_Indiabulls Asset Management Company Limited printable" xfId="13874" xr:uid="{00000000-0005-0000-0000-000032360000}"/>
    <cellStyle name="_Revised Ranbaxy" xfId="13875" xr:uid="{00000000-0005-0000-0000-000033360000}"/>
    <cellStyle name="_Revised Ranbaxy_NFCL working file" xfId="13876" xr:uid="{00000000-0005-0000-0000-000034360000}"/>
    <cellStyle name="_Revised Ranbaxy_Tax Audit Report  F.Y.08-09" xfId="13877" xr:uid="{00000000-0005-0000-0000-000035360000}"/>
    <cellStyle name="_Revised Ranbaxy_Tax Audit Report  ICSL F.Y.09-10" xfId="13878" xr:uid="{00000000-0005-0000-0000-000036360000}"/>
    <cellStyle name="_Revised Schedule II_31st March '07" xfId="13879" xr:uid="{00000000-0005-0000-0000-000037360000}"/>
    <cellStyle name="_Revised Schedule II_31st March '07 2" xfId="13880" xr:uid="{00000000-0005-0000-0000-000038360000}"/>
    <cellStyle name="_Revised Schedule II_31st March '07_Advance Tax Format_F.Y. 2010-11" xfId="13881" xr:uid="{00000000-0005-0000-0000-000039360000}"/>
    <cellStyle name="_Revised Schedule II_31st March '07_Asset Management Company Limited" xfId="13882" xr:uid="{00000000-0005-0000-0000-00003A360000}"/>
    <cellStyle name="_Revised Schedule II_31st March '07_BS _IB Asset Management _3103_ver5" xfId="13883" xr:uid="{00000000-0005-0000-0000-00003B360000}"/>
    <cellStyle name="_Revised Schedule II_31st March '07_BS _IB Asset Management _3103_ver5_IAMCL BS working -New format_31.03 V5" xfId="13884" xr:uid="{00000000-0005-0000-0000-00003C360000}"/>
    <cellStyle name="_Revised Schedule II_31st March '07_CRAR - dec- 10v-12" xfId="13885" xr:uid="{00000000-0005-0000-0000-00003D360000}"/>
    <cellStyle name="_Revised Schedule II_31st March '07_CRAR - dec- 10v-12 2" xfId="13886" xr:uid="{00000000-0005-0000-0000-00003E360000}"/>
    <cellStyle name="_Revised Schedule II_31st March '07_IAMCL BS working -New format_31.03 V5" xfId="13887" xr:uid="{00000000-0005-0000-0000-00003F360000}"/>
    <cellStyle name="_Revised Schedule II_31st March '07_IB Asset Management _2910" xfId="13888" xr:uid="{00000000-0005-0000-0000-000040360000}"/>
    <cellStyle name="_Revised Schedule II_31st March '07_IB Asset Management _2910_IB Collection Agency_3103 V3" xfId="13889" xr:uid="{00000000-0005-0000-0000-000041360000}"/>
    <cellStyle name="_Revised Schedule II_31st March '07_IB Asset Management _2910_IB Collection Agency_3103 V3_ICAL-New Format_31.03 V4" xfId="13890" xr:uid="{00000000-0005-0000-0000-000042360000}"/>
    <cellStyle name="_Revised Schedule II_31st March '07_IB Asset Management _2910_ICAL-BS Final Working _New format" xfId="13891" xr:uid="{00000000-0005-0000-0000-000043360000}"/>
    <cellStyle name="_Revised Schedule II_31st March '07_IB Asset Management _3103_ver5" xfId="13892" xr:uid="{00000000-0005-0000-0000-000044360000}"/>
    <cellStyle name="_Revised Schedule II_31st March '07_IB Asset Management_3103 V2" xfId="13893" xr:uid="{00000000-0005-0000-0000-000045360000}"/>
    <cellStyle name="_Revised Schedule II_31st March '07_IB Asset Management_3103 V4" xfId="13894" xr:uid="{00000000-0005-0000-0000-000046360000}"/>
    <cellStyle name="_Revised Schedule II_31st March '07_IB Asset Management_3103 V5" xfId="13895" xr:uid="{00000000-0005-0000-0000-000047360000}"/>
    <cellStyle name="_Revised Schedule II_31st March '07_IB Collection Agency_3103 V3" xfId="13896" xr:uid="{00000000-0005-0000-0000-000048360000}"/>
    <cellStyle name="_Revised Schedule II_31st March '07_IB Collection Agency_3103 V3_ICAL-New Format_31.03 V4" xfId="13897" xr:uid="{00000000-0005-0000-0000-000049360000}"/>
    <cellStyle name="_Revised Schedule II_31st March '07_IB Infrastructure Credit" xfId="13898" xr:uid="{00000000-0005-0000-0000-00004A360000}"/>
    <cellStyle name="_Revised Schedule II_31st March '07_IB Infrastructure Credit-3103_V6" xfId="13899" xr:uid="{00000000-0005-0000-0000-00004B360000}"/>
    <cellStyle name="_Revised Schedule II_31st March '07_IB Infrastructure Credit-3103_V7" xfId="13900" xr:uid="{00000000-0005-0000-0000-00004C360000}"/>
    <cellStyle name="_Revised Schedule II_31st March '07_IB Life Insurance_3103 V4" xfId="13901" xr:uid="{00000000-0005-0000-0000-00004D360000}"/>
    <cellStyle name="_Revised Schedule II_31st March '07_IB Trustee Company_3103 V4" xfId="13902" xr:uid="{00000000-0005-0000-0000-00004E360000}"/>
    <cellStyle name="_Revised Schedule II_31st March '07_IBFSL_Conso_March_10_11" xfId="13903" xr:uid="{00000000-0005-0000-0000-00004F360000}"/>
    <cellStyle name="_Revised Schedule II_31st March '07_IBLIC_BS  Final working -New_Format_31.03 V5" xfId="13904" xr:uid="{00000000-0005-0000-0000-000050360000}"/>
    <cellStyle name="_Revised Schedule II_31st March '07_Ibulls BS Final woirking -New format_31.03 V5" xfId="13905" xr:uid="{00000000-0005-0000-0000-000051360000}"/>
    <cellStyle name="_Revised Schedule II_31st March '07_IbullsSales_3103" xfId="13906" xr:uid="{00000000-0005-0000-0000-000052360000}"/>
    <cellStyle name="_Revised Schedule II_31st March '07_IbullsSales_3103 V2" xfId="13907" xr:uid="{00000000-0005-0000-0000-000053360000}"/>
    <cellStyle name="_Revised Schedule II_31st March '07_IbullsSales_3103 V5" xfId="13908" xr:uid="{00000000-0005-0000-0000-000054360000}"/>
    <cellStyle name="_Revised Schedule II_31st March '07_ICAL-BS Final Working _New format" xfId="13909" xr:uid="{00000000-0005-0000-0000-000055360000}"/>
    <cellStyle name="_Revised Schedule II_31st March '07_IHFL_SEP_30_2009 XIII AUDIT- Sch II" xfId="13910" xr:uid="{00000000-0005-0000-0000-000056360000}"/>
    <cellStyle name="_Revised Schedule II_31st March '07_IICL_March'11" xfId="13911" xr:uid="{00000000-0005-0000-0000-000057360000}"/>
    <cellStyle name="_Revised Schedule II_31st March '07_Indiabulls Asset Management Company Limited printable" xfId="13912" xr:uid="{00000000-0005-0000-0000-000058360000}"/>
    <cellStyle name="_Revised Schedule II_31st March '07_ITCL_BS working _New format_31.03 V7" xfId="13913" xr:uid="{00000000-0005-0000-0000-000059360000}"/>
    <cellStyle name="_Revised Schedule II_31st March '07_ITCL-New format_31.03 V6" xfId="13914" xr:uid="{00000000-0005-0000-0000-00005A360000}"/>
    <cellStyle name="_Revised Schedule II_31st March '07_NFCL working file" xfId="13915" xr:uid="{00000000-0005-0000-0000-00005B360000}"/>
    <cellStyle name="_Revised Schedule II_31st March '07_NFCL_ Tax Audit Report FY08-09 " xfId="13916" xr:uid="{00000000-0005-0000-0000-00005C360000}"/>
    <cellStyle name="_Revised Schedule II_31st March '07_Tax Audit Report  F.Y.08-09" xfId="13917" xr:uid="{00000000-0005-0000-0000-00005D360000}"/>
    <cellStyle name="_Revised Schedule II_31st March '07_Tax Audit Report  ICSL F.Y.09-10" xfId="13918" xr:uid="{00000000-0005-0000-0000-00005E360000}"/>
    <cellStyle name="_Revised Schedule II_31st March '07_Xl0000013" xfId="13919" xr:uid="{00000000-0005-0000-0000-00005F360000}"/>
    <cellStyle name="_Rohinton" xfId="13920" xr:uid="{00000000-0005-0000-0000-000060360000}"/>
    <cellStyle name="_Rohinton 2" xfId="13921" xr:uid="{00000000-0005-0000-0000-000061360000}"/>
    <cellStyle name="_SALARY RECO (IFCPL)" xfId="13922" xr:uid="{00000000-0005-0000-0000-000062360000}"/>
    <cellStyle name="_SALARY RECO (IFCPL) 2" xfId="13923" xr:uid="{00000000-0005-0000-0000-000063360000}"/>
    <cellStyle name="_SALARY RECO (IFCPL)_Indiabulls Asset Management Company Limited printable" xfId="13924" xr:uid="{00000000-0005-0000-0000-000064360000}"/>
    <cellStyle name="_Salary Sheet for Jan'08 -ISL" xfId="13925" xr:uid="{00000000-0005-0000-0000-000065360000}"/>
    <cellStyle name="_Salary Sheet for Jan'08 -ISL 2" xfId="13926" xr:uid="{00000000-0005-0000-0000-000066360000}"/>
    <cellStyle name="_Salary Sheet for Oct'07 -ISL" xfId="13927" xr:uid="{00000000-0005-0000-0000-000067360000}"/>
    <cellStyle name="_Salary Sheet for Oct'07 -ISL 2" xfId="13928" xr:uid="{00000000-0005-0000-0000-000068360000}"/>
    <cellStyle name="_Salary Sheet -IHFL-FINAL_Aug06" xfId="13929" xr:uid="{00000000-0005-0000-0000-000069360000}"/>
    <cellStyle name="_Salary Sheet -IHFL-FINAL_Aug06 2" xfId="13930" xr:uid="{00000000-0005-0000-0000-00006A360000}"/>
    <cellStyle name="_SALARY SHEET JAN-08" xfId="13931" xr:uid="{00000000-0005-0000-0000-00006B360000}"/>
    <cellStyle name="_SALARY SHEET JAN-08 2" xfId="13932" xr:uid="{00000000-0005-0000-0000-00006C360000}"/>
    <cellStyle name="_sanjay discussion" xfId="13933" xr:uid="{00000000-0005-0000-0000-00006D360000}"/>
    <cellStyle name="_sanjay discussion 2" xfId="13934" xr:uid="{00000000-0005-0000-0000-00006E360000}"/>
    <cellStyle name="_sanjay discussion_Indiabulls Asset Management Company Limited printable" xfId="13935" xr:uid="{00000000-0005-0000-0000-00006F360000}"/>
    <cellStyle name="_Sanjay Requirement" xfId="13936" xr:uid="{00000000-0005-0000-0000-000070360000}"/>
    <cellStyle name="_Sanjay Requirement 2" xfId="13937" xr:uid="{00000000-0005-0000-0000-000071360000}"/>
    <cellStyle name="_Sanjay Requirement_Advance Tax Format_F.Y. 2010-11" xfId="13938" xr:uid="{00000000-0005-0000-0000-000072360000}"/>
    <cellStyle name="_Sanjay Requirement_BS _IB Asset Management _3103_ver5" xfId="13939" xr:uid="{00000000-0005-0000-0000-000073360000}"/>
    <cellStyle name="_Sanjay Requirement_BS _IB Asset Management _3103_ver5_IAMCL BS working -New format_31.03 V5" xfId="13940" xr:uid="{00000000-0005-0000-0000-000074360000}"/>
    <cellStyle name="_Sanjay Requirement_CRAR - dec- 10v-12" xfId="13941" xr:uid="{00000000-0005-0000-0000-000075360000}"/>
    <cellStyle name="_Sanjay Requirement_CRAR - dec- 10v-12 2" xfId="13942" xr:uid="{00000000-0005-0000-0000-000076360000}"/>
    <cellStyle name="_Sanjay Requirement_IAMCL BS working -New format_31.03 V5" xfId="13943" xr:uid="{00000000-0005-0000-0000-000077360000}"/>
    <cellStyle name="_Sanjay Requirement_IB Asset Management _2910" xfId="13944" xr:uid="{00000000-0005-0000-0000-000078360000}"/>
    <cellStyle name="_Sanjay Requirement_IB Asset Management _2910_IB Collection Agency_3103 V3" xfId="13945" xr:uid="{00000000-0005-0000-0000-000079360000}"/>
    <cellStyle name="_Sanjay Requirement_IB Asset Management _2910_IB Collection Agency_3103 V3_ICAL-New Format_31.03 V4" xfId="13946" xr:uid="{00000000-0005-0000-0000-00007A360000}"/>
    <cellStyle name="_Sanjay Requirement_IB Asset Management _2910_ICAL-BS Final Working _New format" xfId="13947" xr:uid="{00000000-0005-0000-0000-00007B360000}"/>
    <cellStyle name="_Sanjay Requirement_IB Asset Management _3103_ver5" xfId="13948" xr:uid="{00000000-0005-0000-0000-00007C360000}"/>
    <cellStyle name="_Sanjay Requirement_IB Asset Management_3103 V2" xfId="13949" xr:uid="{00000000-0005-0000-0000-00007D360000}"/>
    <cellStyle name="_Sanjay Requirement_IB Asset Management_3103 V4" xfId="13950" xr:uid="{00000000-0005-0000-0000-00007E360000}"/>
    <cellStyle name="_Sanjay Requirement_IB Asset Management_3103 V5" xfId="13951" xr:uid="{00000000-0005-0000-0000-00007F360000}"/>
    <cellStyle name="_Sanjay Requirement_IB Collection Agency_3103 V3" xfId="13952" xr:uid="{00000000-0005-0000-0000-000080360000}"/>
    <cellStyle name="_Sanjay Requirement_IB Collection Agency_3103 V3_ICAL-New Format_31.03 V4" xfId="13953" xr:uid="{00000000-0005-0000-0000-000081360000}"/>
    <cellStyle name="_Sanjay Requirement_IB Infrastructure Credit-3103_V7" xfId="13954" xr:uid="{00000000-0005-0000-0000-000082360000}"/>
    <cellStyle name="_Sanjay Requirement_IB Life Insurance_3103 V4" xfId="13955" xr:uid="{00000000-0005-0000-0000-000083360000}"/>
    <cellStyle name="_Sanjay Requirement_IB Trustee Company_3103 V4" xfId="13956" xr:uid="{00000000-0005-0000-0000-000084360000}"/>
    <cellStyle name="_Sanjay Requirement_IBFSL_Conso_March_10_11" xfId="13957" xr:uid="{00000000-0005-0000-0000-000085360000}"/>
    <cellStyle name="_Sanjay Requirement_IBLIC_BS  Final working -New_Format_31.03 V5" xfId="13958" xr:uid="{00000000-0005-0000-0000-000086360000}"/>
    <cellStyle name="_Sanjay Requirement_Ibulls BS Final woirking -New format_31.03 V5" xfId="13959" xr:uid="{00000000-0005-0000-0000-000087360000}"/>
    <cellStyle name="_Sanjay Requirement_IbullsSales_3103" xfId="13960" xr:uid="{00000000-0005-0000-0000-000088360000}"/>
    <cellStyle name="_Sanjay Requirement_IbullsSales_3103 V2" xfId="13961" xr:uid="{00000000-0005-0000-0000-000089360000}"/>
    <cellStyle name="_Sanjay Requirement_IbullsSales_3103 V5" xfId="13962" xr:uid="{00000000-0005-0000-0000-00008A360000}"/>
    <cellStyle name="_Sanjay Requirement_ICAL-BS Final Working _New format" xfId="13963" xr:uid="{00000000-0005-0000-0000-00008B360000}"/>
    <cellStyle name="_Sanjay Requirement_IHFL_SEP_30_2009 XIII AUDIT- Sch II" xfId="13964" xr:uid="{00000000-0005-0000-0000-00008C360000}"/>
    <cellStyle name="_Sanjay Requirement_IICL_March'11" xfId="13965" xr:uid="{00000000-0005-0000-0000-00008D360000}"/>
    <cellStyle name="_Sanjay Requirement_Indiabulls Asset Management Company Limited printable" xfId="13966" xr:uid="{00000000-0005-0000-0000-00008E360000}"/>
    <cellStyle name="_Sanjay Requirement_ITCL_BS working _New format_31.03 V7" xfId="13967" xr:uid="{00000000-0005-0000-0000-00008F360000}"/>
    <cellStyle name="_Sanjay Requirement_ITCL-New format_31.03 V6" xfId="13968" xr:uid="{00000000-0005-0000-0000-000090360000}"/>
    <cellStyle name="_Sanjay Requirement_Xl0000013" xfId="13969" xr:uid="{00000000-0005-0000-0000-000091360000}"/>
    <cellStyle name="_SAP Salary Sheet - April'08" xfId="13970" xr:uid="{00000000-0005-0000-0000-000092360000}"/>
    <cellStyle name="_SAP Salary Sheet - April'08 2" xfId="13971" xr:uid="{00000000-0005-0000-0000-000093360000}"/>
    <cellStyle name="_SAP Salary Sheet - Feb'08" xfId="13972" xr:uid="{00000000-0005-0000-0000-000094360000}"/>
    <cellStyle name="_SAP Salary Sheet - Feb'08 2" xfId="13973" xr:uid="{00000000-0005-0000-0000-000095360000}"/>
    <cellStyle name="_Schedule II_sent by auditors" xfId="13974" xr:uid="{00000000-0005-0000-0000-000096360000}"/>
    <cellStyle name="_Schedule II_sent by auditors 10" xfId="13975" xr:uid="{00000000-0005-0000-0000-000097360000}"/>
    <cellStyle name="_Schedule II_sent by auditors 10 2" xfId="13976" xr:uid="{00000000-0005-0000-0000-000098360000}"/>
    <cellStyle name="_Schedule II_sent by auditors 10 2 2" xfId="13977" xr:uid="{00000000-0005-0000-0000-000099360000}"/>
    <cellStyle name="_Schedule II_sent by auditors 10 3" xfId="13978" xr:uid="{00000000-0005-0000-0000-00009A360000}"/>
    <cellStyle name="_Schedule II_sent by auditors 11" xfId="13979" xr:uid="{00000000-0005-0000-0000-00009B360000}"/>
    <cellStyle name="_Schedule II_sent by auditors 11 2" xfId="13980" xr:uid="{00000000-0005-0000-0000-00009C360000}"/>
    <cellStyle name="_Schedule II_sent by auditors 11 2 2" xfId="13981" xr:uid="{00000000-0005-0000-0000-00009D360000}"/>
    <cellStyle name="_Schedule II_sent by auditors 11 3" xfId="13982" xr:uid="{00000000-0005-0000-0000-00009E360000}"/>
    <cellStyle name="_Schedule II_sent by auditors 12" xfId="13983" xr:uid="{00000000-0005-0000-0000-00009F360000}"/>
    <cellStyle name="_Schedule II_sent by auditors 12 2" xfId="13984" xr:uid="{00000000-0005-0000-0000-0000A0360000}"/>
    <cellStyle name="_Schedule II_sent by auditors 12 2 2" xfId="13985" xr:uid="{00000000-0005-0000-0000-0000A1360000}"/>
    <cellStyle name="_Schedule II_sent by auditors 12 3" xfId="13986" xr:uid="{00000000-0005-0000-0000-0000A2360000}"/>
    <cellStyle name="_Schedule II_sent by auditors 13" xfId="13987" xr:uid="{00000000-0005-0000-0000-0000A3360000}"/>
    <cellStyle name="_Schedule II_sent by auditors 13 2" xfId="13988" xr:uid="{00000000-0005-0000-0000-0000A4360000}"/>
    <cellStyle name="_Schedule II_sent by auditors 13 2 2" xfId="13989" xr:uid="{00000000-0005-0000-0000-0000A5360000}"/>
    <cellStyle name="_Schedule II_sent by auditors 13 3" xfId="13990" xr:uid="{00000000-0005-0000-0000-0000A6360000}"/>
    <cellStyle name="_Schedule II_sent by auditors 14" xfId="13991" xr:uid="{00000000-0005-0000-0000-0000A7360000}"/>
    <cellStyle name="_Schedule II_sent by auditors 14 2" xfId="13992" xr:uid="{00000000-0005-0000-0000-0000A8360000}"/>
    <cellStyle name="_Schedule II_sent by auditors 14 2 2" xfId="13993" xr:uid="{00000000-0005-0000-0000-0000A9360000}"/>
    <cellStyle name="_Schedule II_sent by auditors 14 3" xfId="13994" xr:uid="{00000000-0005-0000-0000-0000AA360000}"/>
    <cellStyle name="_Schedule II_sent by auditors 15" xfId="13995" xr:uid="{00000000-0005-0000-0000-0000AB360000}"/>
    <cellStyle name="_Schedule II_sent by auditors 15 2" xfId="13996" xr:uid="{00000000-0005-0000-0000-0000AC360000}"/>
    <cellStyle name="_Schedule II_sent by auditors 15 2 2" xfId="13997" xr:uid="{00000000-0005-0000-0000-0000AD360000}"/>
    <cellStyle name="_Schedule II_sent by auditors 15 3" xfId="13998" xr:uid="{00000000-0005-0000-0000-0000AE360000}"/>
    <cellStyle name="_Schedule II_sent by auditors 16" xfId="13999" xr:uid="{00000000-0005-0000-0000-0000AF360000}"/>
    <cellStyle name="_Schedule II_sent by auditors 16 2" xfId="14000" xr:uid="{00000000-0005-0000-0000-0000B0360000}"/>
    <cellStyle name="_Schedule II_sent by auditors 16 2 2" xfId="14001" xr:uid="{00000000-0005-0000-0000-0000B1360000}"/>
    <cellStyle name="_Schedule II_sent by auditors 16 3" xfId="14002" xr:uid="{00000000-0005-0000-0000-0000B2360000}"/>
    <cellStyle name="_Schedule II_sent by auditors 17" xfId="14003" xr:uid="{00000000-0005-0000-0000-0000B3360000}"/>
    <cellStyle name="_Schedule II_sent by auditors 17 2" xfId="14004" xr:uid="{00000000-0005-0000-0000-0000B4360000}"/>
    <cellStyle name="_Schedule II_sent by auditors 17 2 2" xfId="14005" xr:uid="{00000000-0005-0000-0000-0000B5360000}"/>
    <cellStyle name="_Schedule II_sent by auditors 17 3" xfId="14006" xr:uid="{00000000-0005-0000-0000-0000B6360000}"/>
    <cellStyle name="_Schedule II_sent by auditors 18" xfId="14007" xr:uid="{00000000-0005-0000-0000-0000B7360000}"/>
    <cellStyle name="_Schedule II_sent by auditors 18 2" xfId="14008" xr:uid="{00000000-0005-0000-0000-0000B8360000}"/>
    <cellStyle name="_Schedule II_sent by auditors 18 2 2" xfId="14009" xr:uid="{00000000-0005-0000-0000-0000B9360000}"/>
    <cellStyle name="_Schedule II_sent by auditors 18 3" xfId="14010" xr:uid="{00000000-0005-0000-0000-0000BA360000}"/>
    <cellStyle name="_Schedule II_sent by auditors 19" xfId="14011" xr:uid="{00000000-0005-0000-0000-0000BB360000}"/>
    <cellStyle name="_Schedule II_sent by auditors 19 2" xfId="14012" xr:uid="{00000000-0005-0000-0000-0000BC360000}"/>
    <cellStyle name="_Schedule II_sent by auditors 19 2 2" xfId="14013" xr:uid="{00000000-0005-0000-0000-0000BD360000}"/>
    <cellStyle name="_Schedule II_sent by auditors 19 3" xfId="14014" xr:uid="{00000000-0005-0000-0000-0000BE360000}"/>
    <cellStyle name="_Schedule II_sent by auditors 2" xfId="14015" xr:uid="{00000000-0005-0000-0000-0000BF360000}"/>
    <cellStyle name="_Schedule II_sent by auditors 2 2" xfId="14016" xr:uid="{00000000-0005-0000-0000-0000C0360000}"/>
    <cellStyle name="_Schedule II_sent by auditors 2 2 2" xfId="14017" xr:uid="{00000000-0005-0000-0000-0000C1360000}"/>
    <cellStyle name="_Schedule II_sent by auditors 2 3" xfId="14018" xr:uid="{00000000-0005-0000-0000-0000C2360000}"/>
    <cellStyle name="_Schedule II_sent by auditors 20" xfId="14019" xr:uid="{00000000-0005-0000-0000-0000C3360000}"/>
    <cellStyle name="_Schedule II_sent by auditors 20 2" xfId="14020" xr:uid="{00000000-0005-0000-0000-0000C4360000}"/>
    <cellStyle name="_Schedule II_sent by auditors 21" xfId="14021" xr:uid="{00000000-0005-0000-0000-0000C5360000}"/>
    <cellStyle name="_Schedule II_sent by auditors 21 2" xfId="14022" xr:uid="{00000000-0005-0000-0000-0000C6360000}"/>
    <cellStyle name="_Schedule II_sent by auditors 22" xfId="14023" xr:uid="{00000000-0005-0000-0000-0000C7360000}"/>
    <cellStyle name="_Schedule II_sent by auditors 22 2" xfId="14024" xr:uid="{00000000-0005-0000-0000-0000C8360000}"/>
    <cellStyle name="_Schedule II_sent by auditors 23" xfId="14025" xr:uid="{00000000-0005-0000-0000-0000C9360000}"/>
    <cellStyle name="_Schedule II_sent by auditors 23 2" xfId="14026" xr:uid="{00000000-0005-0000-0000-0000CA360000}"/>
    <cellStyle name="_Schedule II_sent by auditors 24" xfId="14027" xr:uid="{00000000-0005-0000-0000-0000CB360000}"/>
    <cellStyle name="_Schedule II_sent by auditors 3" xfId="14028" xr:uid="{00000000-0005-0000-0000-0000CC360000}"/>
    <cellStyle name="_Schedule II_sent by auditors 3 2" xfId="14029" xr:uid="{00000000-0005-0000-0000-0000CD360000}"/>
    <cellStyle name="_Schedule II_sent by auditors 3 2 2" xfId="14030" xr:uid="{00000000-0005-0000-0000-0000CE360000}"/>
    <cellStyle name="_Schedule II_sent by auditors 3 3" xfId="14031" xr:uid="{00000000-0005-0000-0000-0000CF360000}"/>
    <cellStyle name="_Schedule II_sent by auditors 4" xfId="14032" xr:uid="{00000000-0005-0000-0000-0000D0360000}"/>
    <cellStyle name="_Schedule II_sent by auditors 4 2" xfId="14033" xr:uid="{00000000-0005-0000-0000-0000D1360000}"/>
    <cellStyle name="_Schedule II_sent by auditors 4 2 2" xfId="14034" xr:uid="{00000000-0005-0000-0000-0000D2360000}"/>
    <cellStyle name="_Schedule II_sent by auditors 4 3" xfId="14035" xr:uid="{00000000-0005-0000-0000-0000D3360000}"/>
    <cellStyle name="_Schedule II_sent by auditors 5" xfId="14036" xr:uid="{00000000-0005-0000-0000-0000D4360000}"/>
    <cellStyle name="_Schedule II_sent by auditors 5 2" xfId="14037" xr:uid="{00000000-0005-0000-0000-0000D5360000}"/>
    <cellStyle name="_Schedule II_sent by auditors 5 2 2" xfId="14038" xr:uid="{00000000-0005-0000-0000-0000D6360000}"/>
    <cellStyle name="_Schedule II_sent by auditors 5 3" xfId="14039" xr:uid="{00000000-0005-0000-0000-0000D7360000}"/>
    <cellStyle name="_Schedule II_sent by auditors 6" xfId="14040" xr:uid="{00000000-0005-0000-0000-0000D8360000}"/>
    <cellStyle name="_Schedule II_sent by auditors 6 2" xfId="14041" xr:uid="{00000000-0005-0000-0000-0000D9360000}"/>
    <cellStyle name="_Schedule II_sent by auditors 6 2 2" xfId="14042" xr:uid="{00000000-0005-0000-0000-0000DA360000}"/>
    <cellStyle name="_Schedule II_sent by auditors 6 3" xfId="14043" xr:uid="{00000000-0005-0000-0000-0000DB360000}"/>
    <cellStyle name="_Schedule II_sent by auditors 7" xfId="14044" xr:uid="{00000000-0005-0000-0000-0000DC360000}"/>
    <cellStyle name="_Schedule II_sent by auditors 7 2" xfId="14045" xr:uid="{00000000-0005-0000-0000-0000DD360000}"/>
    <cellStyle name="_Schedule II_sent by auditors 7 2 2" xfId="14046" xr:uid="{00000000-0005-0000-0000-0000DE360000}"/>
    <cellStyle name="_Schedule II_sent by auditors 7 3" xfId="14047" xr:uid="{00000000-0005-0000-0000-0000DF360000}"/>
    <cellStyle name="_Schedule II_sent by auditors 8" xfId="14048" xr:uid="{00000000-0005-0000-0000-0000E0360000}"/>
    <cellStyle name="_Schedule II_sent by auditors 8 2" xfId="14049" xr:uid="{00000000-0005-0000-0000-0000E1360000}"/>
    <cellStyle name="_Schedule II_sent by auditors 8 2 2" xfId="14050" xr:uid="{00000000-0005-0000-0000-0000E2360000}"/>
    <cellStyle name="_Schedule II_sent by auditors 8 3" xfId="14051" xr:uid="{00000000-0005-0000-0000-0000E3360000}"/>
    <cellStyle name="_Schedule II_sent by auditors 9" xfId="14052" xr:uid="{00000000-0005-0000-0000-0000E4360000}"/>
    <cellStyle name="_Schedule II_sent by auditors 9 2" xfId="14053" xr:uid="{00000000-0005-0000-0000-0000E5360000}"/>
    <cellStyle name="_Schedule II_sent by auditors 9 2 2" xfId="14054" xr:uid="{00000000-0005-0000-0000-0000E6360000}"/>
    <cellStyle name="_Schedule II_sent by auditors 9 3" xfId="14055" xr:uid="{00000000-0005-0000-0000-0000E7360000}"/>
    <cellStyle name="_Schedule II_sent by auditors_269SS &amp; T IIAPL 09-10" xfId="14056" xr:uid="{00000000-0005-0000-0000-0000E8360000}"/>
    <cellStyle name="_Schedule II_sent by auditors_Abstract-2007-08" xfId="14057" xr:uid="{00000000-0005-0000-0000-0000E9360000}"/>
    <cellStyle name="_Schedule II_sent by auditors_Abstract-2007-08 2" xfId="14058" xr:uid="{00000000-0005-0000-0000-0000EA360000}"/>
    <cellStyle name="_Schedule II_sent by auditors_Advance Tax Summary" xfId="14059" xr:uid="{00000000-0005-0000-0000-0000EB360000}"/>
    <cellStyle name="_Schedule II_sent by auditors_Advance Tax Summary 2" xfId="14060" xr:uid="{00000000-0005-0000-0000-0000EC360000}"/>
    <cellStyle name="_Schedule II_sent by auditors_Asset Management Company Limited" xfId="14061" xr:uid="{00000000-0005-0000-0000-0000ED360000}"/>
    <cellStyle name="_Schedule II_sent by auditors_attachment-2  Power Companies" xfId="14062" xr:uid="{00000000-0005-0000-0000-0000EE360000}"/>
    <cellStyle name="_Schedule II_sent by auditors_Aug consl backup-land adv &amp; Ext ICD" xfId="14063" xr:uid="{00000000-0005-0000-0000-0000EF360000}"/>
    <cellStyle name="_Schedule II_sent by auditors_Aug consl backup-land adv &amp; Ext ICD 2" xfId="14064" xr:uid="{00000000-0005-0000-0000-0000F0360000}"/>
    <cellStyle name="_Schedule II_sent by auditors_Book1" xfId="14065" xr:uid="{00000000-0005-0000-0000-0000F1360000}"/>
    <cellStyle name="_Schedule II_sent by auditors_Book1 (2)" xfId="14066" xr:uid="{00000000-0005-0000-0000-0000F2360000}"/>
    <cellStyle name="_Schedule II_sent by auditors_Book1 (2) 2" xfId="14067" xr:uid="{00000000-0005-0000-0000-0000F3360000}"/>
    <cellStyle name="_Schedule II_sent by auditors_Book1 (2) 2 2" xfId="14068" xr:uid="{00000000-0005-0000-0000-0000F4360000}"/>
    <cellStyle name="_Schedule II_sent by auditors_Book1 (2) 3" xfId="14069" xr:uid="{00000000-0005-0000-0000-0000F5360000}"/>
    <cellStyle name="_Schedule II_sent by auditors_Book1 10" xfId="14070" xr:uid="{00000000-0005-0000-0000-0000F6360000}"/>
    <cellStyle name="_Schedule II_sent by auditors_Book1 11" xfId="14071" xr:uid="{00000000-0005-0000-0000-0000F7360000}"/>
    <cellStyle name="_Schedule II_sent by auditors_Book1 2" xfId="14072" xr:uid="{00000000-0005-0000-0000-0000F8360000}"/>
    <cellStyle name="_Schedule II_sent by auditors_Book1 2 2" xfId="14073" xr:uid="{00000000-0005-0000-0000-0000F9360000}"/>
    <cellStyle name="_Schedule II_sent by auditors_Book1 3" xfId="14074" xr:uid="{00000000-0005-0000-0000-0000FA360000}"/>
    <cellStyle name="_Schedule II_sent by auditors_Book1 3 2" xfId="14075" xr:uid="{00000000-0005-0000-0000-0000FB360000}"/>
    <cellStyle name="_Schedule II_sent by auditors_Book1 4" xfId="14076" xr:uid="{00000000-0005-0000-0000-0000FC360000}"/>
    <cellStyle name="_Schedule II_sent by auditors_Book1 4 2" xfId="14077" xr:uid="{00000000-0005-0000-0000-0000FD360000}"/>
    <cellStyle name="_Schedule II_sent by auditors_Book1 5" xfId="14078" xr:uid="{00000000-0005-0000-0000-0000FE360000}"/>
    <cellStyle name="_Schedule II_sent by auditors_Book1 5 2" xfId="14079" xr:uid="{00000000-0005-0000-0000-0000FF360000}"/>
    <cellStyle name="_Schedule II_sent by auditors_Book1 6" xfId="14080" xr:uid="{00000000-0005-0000-0000-000000370000}"/>
    <cellStyle name="_Schedule II_sent by auditors_Book1 7" xfId="14081" xr:uid="{00000000-0005-0000-0000-000001370000}"/>
    <cellStyle name="_Schedule II_sent by auditors_Book1 8" xfId="14082" xr:uid="{00000000-0005-0000-0000-000002370000}"/>
    <cellStyle name="_Schedule II_sent by auditors_Book1 9" xfId="14083" xr:uid="{00000000-0005-0000-0000-000003370000}"/>
    <cellStyle name="_Schedule II_sent by auditors_Book1_EPS working" xfId="14084" xr:uid="{00000000-0005-0000-0000-000004370000}"/>
    <cellStyle name="_Schedule II_sent by auditors_Book1_EPS working 2" xfId="14085" xr:uid="{00000000-0005-0000-0000-000005370000}"/>
    <cellStyle name="_Schedule II_sent by auditors_Book1_EPS working 2 2" xfId="14086" xr:uid="{00000000-0005-0000-0000-000006370000}"/>
    <cellStyle name="_Schedule II_sent by auditors_Book1_EPS working 3" xfId="14087" xr:uid="{00000000-0005-0000-0000-000007370000}"/>
    <cellStyle name="_Schedule II_sent by auditors_Book1_IREL_3000_08-09" xfId="14088" xr:uid="{00000000-0005-0000-0000-000008370000}"/>
    <cellStyle name="_Schedule II_sent by auditors_Book1_IREL_3000_08-09 2" xfId="14089" xr:uid="{00000000-0005-0000-0000-000009370000}"/>
    <cellStyle name="_Schedule II_sent by auditors_Book1_IREL_3000_08-09 2 2" xfId="14090" xr:uid="{00000000-0005-0000-0000-00000A370000}"/>
    <cellStyle name="_Schedule II_sent by auditors_Book1_IREL_3000_08-09 3" xfId="14091" xr:uid="{00000000-0005-0000-0000-00000B370000}"/>
    <cellStyle name="_Schedule II_sent by auditors_Book1_IREL_3000_2009-29_July2009  Final Shahi" xfId="14092" xr:uid="{00000000-0005-0000-0000-00000C370000}"/>
    <cellStyle name="_Schedule II_sent by auditors_Book1_IREL_3000_2009-29_July2009  Final Shahi 2" xfId="14093" xr:uid="{00000000-0005-0000-0000-00000D370000}"/>
    <cellStyle name="_Schedule II_sent by auditors_Book1_IREL_3000_2009-29_July2009  Final Shahi 2 2" xfId="14094" xr:uid="{00000000-0005-0000-0000-00000E370000}"/>
    <cellStyle name="_Schedule II_sent by auditors_Book1_IREL_3000_2009-29_July2009  Final Shahi 3" xfId="14095" xr:uid="{00000000-0005-0000-0000-00000F370000}"/>
    <cellStyle name="_Schedule II_sent by auditors_Book1_ISL Group - Advance Tax working for 3rd Instalment" xfId="14096" xr:uid="{00000000-0005-0000-0000-000010370000}"/>
    <cellStyle name="_Schedule II_sent by auditors_Book1_ISL_ Adv Tax 2009-10 Q3" xfId="14097" xr:uid="{00000000-0005-0000-0000-000011370000}"/>
    <cellStyle name="_Schedule II_sent by auditors_Book1_ISL__3CD_FY2010-11" xfId="14098" xr:uid="{00000000-0005-0000-0000-000012370000}"/>
    <cellStyle name="_Schedule II_sent by auditors_Book2" xfId="14099" xr:uid="{00000000-0005-0000-0000-000013370000}"/>
    <cellStyle name="_Schedule II_sent by auditors_Book2 2" xfId="14100" xr:uid="{00000000-0005-0000-0000-000014370000}"/>
    <cellStyle name="_Schedule II_sent by auditors_Book2 2 2" xfId="14101" xr:uid="{00000000-0005-0000-0000-000015370000}"/>
    <cellStyle name="_Schedule II_sent by auditors_Book2 3" xfId="14102" xr:uid="{00000000-0005-0000-0000-000016370000}"/>
    <cellStyle name="_Schedule II_sent by auditors_Book2_ISL__3CD_FY2010-11" xfId="14103" xr:uid="{00000000-0005-0000-0000-000017370000}"/>
    <cellStyle name="_Schedule II_sent by auditors_Book4" xfId="14104" xr:uid="{00000000-0005-0000-0000-000018370000}"/>
    <cellStyle name="_Schedule II_sent by auditors_Book4 2" xfId="14105" xr:uid="{00000000-0005-0000-0000-000019370000}"/>
    <cellStyle name="_Schedule II_sent by auditors_Book4 2 2" xfId="14106" xr:uid="{00000000-0005-0000-0000-00001A370000}"/>
    <cellStyle name="_Schedule II_sent by auditors_Book4 3" xfId="14107" xr:uid="{00000000-0005-0000-0000-00001B370000}"/>
    <cellStyle name="_Schedule II_sent by auditors_Book4_ISL__3CD_FY2010-11" xfId="14108" xr:uid="{00000000-0005-0000-0000-00001C370000}"/>
    <cellStyle name="_Schedule II_sent by auditors_BS" xfId="14109" xr:uid="{00000000-0005-0000-0000-00001D370000}"/>
    <cellStyle name="_Schedule II_sent by auditors_BS _IB Asset Management _3103_ver5" xfId="14110" xr:uid="{00000000-0005-0000-0000-00001E370000}"/>
    <cellStyle name="_Schedule II_sent by auditors_BS _IB Asset Management _3103_ver5_IAMCL BS working -New format_31.03 V5" xfId="14111" xr:uid="{00000000-0005-0000-0000-00001F370000}"/>
    <cellStyle name="_Schedule II_sent by auditors_BS_Tax Audit Report  ICSL F.Y.09-10" xfId="14112" xr:uid="{00000000-0005-0000-0000-000020370000}"/>
    <cellStyle name="_Schedule II_sent by auditors_ChlorisProperties_3351_Dec.08" xfId="14113" xr:uid="{00000000-0005-0000-0000-000021370000}"/>
    <cellStyle name="_Schedule II_sent by auditors_Consol Balance Sheet_Sophia_Dec08_Ibrel_1.3" xfId="14114" xr:uid="{00000000-0005-0000-0000-000022370000}"/>
    <cellStyle name="_Schedule II_sent by auditors_Consol_sophia _Ipsl_Nov" xfId="14115" xr:uid="{00000000-0005-0000-0000-000023370000}"/>
    <cellStyle name="_Schedule II_sent by auditors_CRAR - dec- 10v-12" xfId="14116" xr:uid="{00000000-0005-0000-0000-000024370000}"/>
    <cellStyle name="_Schedule II_sent by auditors_CRAR - dec- 10v-12 2" xfId="14117" xr:uid="{00000000-0005-0000-0000-000025370000}"/>
    <cellStyle name="_Schedule II_sent by auditors_detail" xfId="14118" xr:uid="{00000000-0005-0000-0000-000026370000}"/>
    <cellStyle name="_Schedule II_sent by auditors_detail (2)" xfId="14119" xr:uid="{00000000-0005-0000-0000-000027370000}"/>
    <cellStyle name="_Schedule II_sent by auditors_detail 2" xfId="14120" xr:uid="{00000000-0005-0000-0000-000028370000}"/>
    <cellStyle name="_Schedule II_sent by auditors_Detail of IPO funding" xfId="14121" xr:uid="{00000000-0005-0000-0000-000029370000}"/>
    <cellStyle name="_Schedule II_sent by auditors_detail to be added in june,2008" xfId="14122" xr:uid="{00000000-0005-0000-0000-00002A370000}"/>
    <cellStyle name="_Schedule II_sent by auditors_Details" xfId="14123" xr:uid="{00000000-0005-0000-0000-00002B370000}"/>
    <cellStyle name="_Schedule II_sent by auditors_Details of Assets &amp; Liablilities" xfId="14124" xr:uid="{00000000-0005-0000-0000-00002C370000}"/>
    <cellStyle name="_Schedule II_sent by auditors_Dividend working" xfId="14125" xr:uid="{00000000-0005-0000-0000-00002D370000}"/>
    <cellStyle name="_Schedule II_sent by auditors_Dividend working 2" xfId="14126" xr:uid="{00000000-0005-0000-0000-00002E370000}"/>
    <cellStyle name="_Schedule II_sent by auditors_Dividend working 2 2" xfId="14127" xr:uid="{00000000-0005-0000-0000-00002F370000}"/>
    <cellStyle name="_Schedule II_sent by auditors_Dividend working 3" xfId="14128" xr:uid="{00000000-0005-0000-0000-000030370000}"/>
    <cellStyle name="_Schedule II_sent by auditors_Dividend working_EPS working" xfId="14129" xr:uid="{00000000-0005-0000-0000-000031370000}"/>
    <cellStyle name="_Schedule II_sent by auditors_Dividend working_EPS working 2" xfId="14130" xr:uid="{00000000-0005-0000-0000-000032370000}"/>
    <cellStyle name="_Schedule II_sent by auditors_Dividend working_EPS working 2 2" xfId="14131" xr:uid="{00000000-0005-0000-0000-000033370000}"/>
    <cellStyle name="_Schedule II_sent by auditors_Dividend working_EPS working 3" xfId="14132" xr:uid="{00000000-0005-0000-0000-000034370000}"/>
    <cellStyle name="_Schedule II_sent by auditors_Dividend working_EPS working_IBREAL_BS PACK-Version.02" xfId="14133" xr:uid="{00000000-0005-0000-0000-000035370000}"/>
    <cellStyle name="_Schedule II_sent by auditors_Dividend working_EPS working_IBREAL_BS PACK-Version.02 2" xfId="14134" xr:uid="{00000000-0005-0000-0000-000036370000}"/>
    <cellStyle name="_Schedule II_sent by auditors_Dividend working_EPS working_IBREAL_BS PACK-Version.02 2 2" xfId="14135" xr:uid="{00000000-0005-0000-0000-000037370000}"/>
    <cellStyle name="_Schedule II_sent by auditors_Dividend working_EPS working_IBREAL_BS PACK-Version.02 3" xfId="14136" xr:uid="{00000000-0005-0000-0000-000038370000}"/>
    <cellStyle name="_Schedule II_sent by auditors_Dividend working_EPS working_IBREAL_BS PACK-Version.02_IBREAL_BS PACK-Version.03" xfId="14137" xr:uid="{00000000-0005-0000-0000-000039370000}"/>
    <cellStyle name="_Schedule II_sent by auditors_Dividend working_EPS working_IBREAL_BS PACK-Version.02_IBREAL_BS PACK-Version.03 2" xfId="14138" xr:uid="{00000000-0005-0000-0000-00003A370000}"/>
    <cellStyle name="_Schedule II_sent by auditors_Dividend working_EPS working_IBREAL_BS PACK-Version.02_IBREAL_BS PACK-Version.03 2 2" xfId="14139" xr:uid="{00000000-0005-0000-0000-00003B370000}"/>
    <cellStyle name="_Schedule II_sent by auditors_Dividend working_EPS working_IBREAL_BS PACK-Version.02_IBREAL_BS PACK-Version.03 3" xfId="14140" xr:uid="{00000000-0005-0000-0000-00003C370000}"/>
    <cellStyle name="_Schedule II_sent by auditors_Dividend working_EPS working_IBREAL_BS PACK-Version.02_IBREAL_BS PACK-Version.03_IBREAL_BS PACK-Version.07" xfId="14141" xr:uid="{00000000-0005-0000-0000-00003D370000}"/>
    <cellStyle name="_Schedule II_sent by auditors_Dividend working_EPS working_IBREAL_BS PACK-Version.02_IBREAL_BS PACK-Version.03_IBREAL_BS PACK-Version.07 2" xfId="14142" xr:uid="{00000000-0005-0000-0000-00003E370000}"/>
    <cellStyle name="_Schedule II_sent by auditors_Dividend working_EPS working_IBREAL_BS PACK-Version.02_IBREAL_BS PACK-Version.03_IBREAL_BS PACK-Version.07 2 2" xfId="14143" xr:uid="{00000000-0005-0000-0000-00003F370000}"/>
    <cellStyle name="_Schedule II_sent by auditors_Dividend working_EPS working_IBREAL_BS PACK-Version.02_IBREAL_BS PACK-Version.03_IBREAL_BS PACK-Version.07 3" xfId="14144" xr:uid="{00000000-0005-0000-0000-000040370000}"/>
    <cellStyle name="_Schedule II_sent by auditors_Dividend working_IREL_3000_08-09" xfId="14145" xr:uid="{00000000-0005-0000-0000-000041370000}"/>
    <cellStyle name="_Schedule II_sent by auditors_Dividend working_IREL_3000_08-09 2" xfId="14146" xr:uid="{00000000-0005-0000-0000-000042370000}"/>
    <cellStyle name="_Schedule II_sent by auditors_Dividend working_IREL_3000_08-09 stage 3" xfId="14147" xr:uid="{00000000-0005-0000-0000-000043370000}"/>
    <cellStyle name="_Schedule II_sent by auditors_Dividend working_IREL_3000_08-09 stage 3 2" xfId="14148" xr:uid="{00000000-0005-0000-0000-000044370000}"/>
    <cellStyle name="_Schedule II_sent by auditors_Dividend working_IREL_3000_08-09 stage 3_IREL_3000_08-09" xfId="14149" xr:uid="{00000000-0005-0000-0000-000045370000}"/>
    <cellStyle name="_Schedule II_sent by auditors_Dividend working_IREL_3000_08-09 stage 3_IREL_3000_08-09 2" xfId="14150" xr:uid="{00000000-0005-0000-0000-000046370000}"/>
    <cellStyle name="_Schedule II_sent by auditors_Dividend working_IREL_3000_08-09 stage 3_IREL_3000_08-09 2 2" xfId="14151" xr:uid="{00000000-0005-0000-0000-000047370000}"/>
    <cellStyle name="_Schedule II_sent by auditors_Dividend working_IREL_3000_08-09 stage 3_IREL_3000_08-09 3" xfId="14152" xr:uid="{00000000-0005-0000-0000-000048370000}"/>
    <cellStyle name="_Schedule II_sent by auditors_Dividend working_IREL_3000_08-09_1" xfId="14153" xr:uid="{00000000-0005-0000-0000-000049370000}"/>
    <cellStyle name="_Schedule II_sent by auditors_Dividend working_IREL_3000_08-09_1 2" xfId="14154" xr:uid="{00000000-0005-0000-0000-00004A370000}"/>
    <cellStyle name="_Schedule II_sent by auditors_Dividend working_IREL_3000_08-09_1 2 2" xfId="14155" xr:uid="{00000000-0005-0000-0000-00004B370000}"/>
    <cellStyle name="_Schedule II_sent by auditors_Dividend working_IREL_3000_08-09_1 3" xfId="14156" xr:uid="{00000000-0005-0000-0000-00004C370000}"/>
    <cellStyle name="_Schedule II_sent by auditors_Dividend working_IREL_3000_08-09_1_IBREAL_BS PACK-Version.02" xfId="14157" xr:uid="{00000000-0005-0000-0000-00004D370000}"/>
    <cellStyle name="_Schedule II_sent by auditors_Dividend working_IREL_3000_08-09_1_IBREAL_BS PACK-Version.02 2" xfId="14158" xr:uid="{00000000-0005-0000-0000-00004E370000}"/>
    <cellStyle name="_Schedule II_sent by auditors_Dividend working_IREL_3000_08-09_1_IBREAL_BS PACK-Version.02 2 2" xfId="14159" xr:uid="{00000000-0005-0000-0000-00004F370000}"/>
    <cellStyle name="_Schedule II_sent by auditors_Dividend working_IREL_3000_08-09_1_IBREAL_BS PACK-Version.02 3" xfId="14160" xr:uid="{00000000-0005-0000-0000-000050370000}"/>
    <cellStyle name="_Schedule II_sent by auditors_Dividend working_IREL_3000_08-09_1_IBREAL_BS PACK-Version.02_IBREAL_BS PACK-Version.03" xfId="14161" xr:uid="{00000000-0005-0000-0000-000051370000}"/>
    <cellStyle name="_Schedule II_sent by auditors_Dividend working_IREL_3000_08-09_1_IBREAL_BS PACK-Version.02_IBREAL_BS PACK-Version.03 2" xfId="14162" xr:uid="{00000000-0005-0000-0000-000052370000}"/>
    <cellStyle name="_Schedule II_sent by auditors_Dividend working_IREL_3000_08-09_1_IBREAL_BS PACK-Version.02_IBREAL_BS PACK-Version.03 2 2" xfId="14163" xr:uid="{00000000-0005-0000-0000-000053370000}"/>
    <cellStyle name="_Schedule II_sent by auditors_Dividend working_IREL_3000_08-09_1_IBREAL_BS PACK-Version.02_IBREAL_BS PACK-Version.03 3" xfId="14164" xr:uid="{00000000-0005-0000-0000-000054370000}"/>
    <cellStyle name="_Schedule II_sent by auditors_Dividend working_IREL_3000_08-09_1_IBREAL_BS PACK-Version.02_IBREAL_BS PACK-Version.03_IBREAL_BS PACK-Version.07" xfId="14165" xr:uid="{00000000-0005-0000-0000-000055370000}"/>
    <cellStyle name="_Schedule II_sent by auditors_Dividend working_IREL_3000_08-09_1_IBREAL_BS PACK-Version.02_IBREAL_BS PACK-Version.03_IBREAL_BS PACK-Version.07 2" xfId="14166" xr:uid="{00000000-0005-0000-0000-000056370000}"/>
    <cellStyle name="_Schedule II_sent by auditors_Dividend working_IREL_3000_08-09_1_IBREAL_BS PACK-Version.02_IBREAL_BS PACK-Version.03_IBREAL_BS PACK-Version.07 2 2" xfId="14167" xr:uid="{00000000-0005-0000-0000-000057370000}"/>
    <cellStyle name="_Schedule II_sent by auditors_Dividend working_IREL_3000_08-09_1_IBREAL_BS PACK-Version.02_IBREAL_BS PACK-Version.03_IBREAL_BS PACK-Version.07 3" xfId="14168" xr:uid="{00000000-0005-0000-0000-000058370000}"/>
    <cellStyle name="_Schedule II_sent by auditors_Dividend working_IREL_3000_2009-29_July2009  Final Shahi" xfId="14169" xr:uid="{00000000-0005-0000-0000-000059370000}"/>
    <cellStyle name="_Schedule II_sent by auditors_Dividend working_IREL_3000_2009-29_July2009  Final Shahi 2" xfId="14170" xr:uid="{00000000-0005-0000-0000-00005A370000}"/>
    <cellStyle name="_Schedule II_sent by auditors_Dividend working_IREL_3000_2009-29_July2009  Final Shahi 2 2" xfId="14171" xr:uid="{00000000-0005-0000-0000-00005B370000}"/>
    <cellStyle name="_Schedule II_sent by auditors_Dividend working_IREL_3000_2009-29_July2009  Final Shahi 3" xfId="14172" xr:uid="{00000000-0005-0000-0000-00005C370000}"/>
    <cellStyle name="_Schedule II_sent by auditors_Dividend working_IREL_3000_2009-29_July2009  Final Shahi_IBREAL_BS PACK-Version.02" xfId="14173" xr:uid="{00000000-0005-0000-0000-00005D370000}"/>
    <cellStyle name="_Schedule II_sent by auditors_Dividend working_IREL_3000_2009-29_July2009  Final Shahi_IBREAL_BS PACK-Version.02 2" xfId="14174" xr:uid="{00000000-0005-0000-0000-00005E370000}"/>
    <cellStyle name="_Schedule II_sent by auditors_Dividend working_IREL_3000_2009-29_July2009  Final Shahi_IBREAL_BS PACK-Version.02 2 2" xfId="14175" xr:uid="{00000000-0005-0000-0000-00005F370000}"/>
    <cellStyle name="_Schedule II_sent by auditors_Dividend working_IREL_3000_2009-29_July2009  Final Shahi_IBREAL_BS PACK-Version.02 3" xfId="14176" xr:uid="{00000000-0005-0000-0000-000060370000}"/>
    <cellStyle name="_Schedule II_sent by auditors_Dividend working_IREL_3000_2009-29_July2009  Final Shahi_IBREAL_BS PACK-Version.02_IBREAL_BS PACK-Version.03" xfId="14177" xr:uid="{00000000-0005-0000-0000-000061370000}"/>
    <cellStyle name="_Schedule II_sent by auditors_Dividend working_IREL_3000_2009-29_July2009  Final Shahi_IBREAL_BS PACK-Version.02_IBREAL_BS PACK-Version.03 2" xfId="14178" xr:uid="{00000000-0005-0000-0000-000062370000}"/>
    <cellStyle name="_Schedule II_sent by auditors_Dividend working_IREL_3000_2009-29_July2009  Final Shahi_IBREAL_BS PACK-Version.02_IBREAL_BS PACK-Version.03 2 2" xfId="14179" xr:uid="{00000000-0005-0000-0000-000063370000}"/>
    <cellStyle name="_Schedule II_sent by auditors_Dividend working_IREL_3000_2009-29_July2009  Final Shahi_IBREAL_BS PACK-Version.02_IBREAL_BS PACK-Version.03 3" xfId="14180" xr:uid="{00000000-0005-0000-0000-000064370000}"/>
    <cellStyle name="_Schedule II_sent by auditors_Dividend working_IREL_3000_2009-29_July2009  Final Shahi_IBREAL_BS PACK-Version.02_IBREAL_BS PACK-Version.03_IBREAL_BS PACK-Version.07" xfId="14181" xr:uid="{00000000-0005-0000-0000-000065370000}"/>
    <cellStyle name="_Schedule II_sent by auditors_Dividend working_IREL_3000_2009-29_July2009  Final Shahi_IBREAL_BS PACK-Version.02_IBREAL_BS PACK-Version.03_IBREAL_BS PACK-Version.07 2" xfId="14182" xr:uid="{00000000-0005-0000-0000-000066370000}"/>
    <cellStyle name="_Schedule II_sent by auditors_Dividend working_IREL_3000_2009-29_July2009  Final Shahi_IBREAL_BS PACK-Version.02_IBREAL_BS PACK-Version.03_IBREAL_BS PACK-Version.07 2 2" xfId="14183" xr:uid="{00000000-0005-0000-0000-000067370000}"/>
    <cellStyle name="_Schedule II_sent by auditors_Dividend working_IREL_3000_2009-29_July2009  Final Shahi_IBREAL_BS PACK-Version.02_IBREAL_BS PACK-Version.03_IBREAL_BS PACK-Version.07 3" xfId="14184" xr:uid="{00000000-0005-0000-0000-000068370000}"/>
    <cellStyle name="_Schedule II_sent by auditors_EPL_3346_2007-08" xfId="14185" xr:uid="{00000000-0005-0000-0000-000069370000}"/>
    <cellStyle name="_Schedule II_sent by auditors_EPL_3346_2007-08(C)" xfId="14186" xr:uid="{00000000-0005-0000-0000-00006A370000}"/>
    <cellStyle name="_Schedule II_sent by auditors_Final Consol Balance Sheet_Sophia_Dec08_27.01.08" xfId="14187" xr:uid="{00000000-0005-0000-0000-00006B370000}"/>
    <cellStyle name="_Schedule II_sent by auditors_Fixed Assets consolidated" xfId="14188" xr:uid="{00000000-0005-0000-0000-00006C370000}"/>
    <cellStyle name="_Schedule II_sent by auditors_Fornax" xfId="14189" xr:uid="{00000000-0005-0000-0000-00006D370000}"/>
    <cellStyle name="_Schedule II_sent by auditors_Fornax 2" xfId="14190" xr:uid="{00000000-0005-0000-0000-00006E370000}"/>
    <cellStyle name="_Schedule II_sent by auditors_IAMCL BS working -New format_31.03 V5" xfId="14191" xr:uid="{00000000-0005-0000-0000-00006F370000}"/>
    <cellStyle name="_Schedule II_sent by auditors_IB Asset Management _2910" xfId="14192" xr:uid="{00000000-0005-0000-0000-000070370000}"/>
    <cellStyle name="_Schedule II_sent by auditors_IB Asset Management _2910_IB Collection Agency_3103 V3" xfId="14193" xr:uid="{00000000-0005-0000-0000-000071370000}"/>
    <cellStyle name="_Schedule II_sent by auditors_IB Asset Management _2910_IB Collection Agency_3103 V3_ICAL-New Format_31.03 V4" xfId="14194" xr:uid="{00000000-0005-0000-0000-000072370000}"/>
    <cellStyle name="_Schedule II_sent by auditors_IB Asset Management _2910_ICAL-BS Final Working _New format" xfId="14195" xr:uid="{00000000-0005-0000-0000-000073370000}"/>
    <cellStyle name="_Schedule II_sent by auditors_IB Asset Management _3103_ver5" xfId="14196" xr:uid="{00000000-0005-0000-0000-000074370000}"/>
    <cellStyle name="_Schedule II_sent by auditors_IB Asset Management_3103 V2" xfId="14197" xr:uid="{00000000-0005-0000-0000-000075370000}"/>
    <cellStyle name="_Schedule II_sent by auditors_IB Asset Management_3103 V4" xfId="14198" xr:uid="{00000000-0005-0000-0000-000076370000}"/>
    <cellStyle name="_Schedule II_sent by auditors_IB Asset Management_3103 V5" xfId="14199" xr:uid="{00000000-0005-0000-0000-000077370000}"/>
    <cellStyle name="_Schedule II_sent by auditors_IB Collection Agency_3103 V3" xfId="14200" xr:uid="{00000000-0005-0000-0000-000078370000}"/>
    <cellStyle name="_Schedule II_sent by auditors_IB Collection Agency_3103 V3_ICAL-New Format_31.03 V4" xfId="14201" xr:uid="{00000000-0005-0000-0000-000079370000}"/>
    <cellStyle name="_Schedule II_sent by auditors_IB Infrastructure Credit" xfId="14202" xr:uid="{00000000-0005-0000-0000-00007A370000}"/>
    <cellStyle name="_Schedule II_sent by auditors_IB Infrastructure Credit-3103_V6" xfId="14203" xr:uid="{00000000-0005-0000-0000-00007B370000}"/>
    <cellStyle name="_Schedule II_sent by auditors_IB Infrastructure Credit-3103_V7" xfId="14204" xr:uid="{00000000-0005-0000-0000-00007C370000}"/>
    <cellStyle name="_Schedule II_sent by auditors_IB Life Insurance_3103 V4" xfId="14205" xr:uid="{00000000-0005-0000-0000-00007D370000}"/>
    <cellStyle name="_Schedule II_sent by auditors_IB Trustee Company_3103 V4" xfId="14206" xr:uid="{00000000-0005-0000-0000-00007E370000}"/>
    <cellStyle name="_Schedule II_sent by auditors_IBFSL 30 Sep 11 V8" xfId="14207" xr:uid="{00000000-0005-0000-0000-00007F370000}"/>
    <cellStyle name="_Schedule II_sent by auditors_IBFSL_Conso_June_09_10 " xfId="14208" xr:uid="{00000000-0005-0000-0000-000080370000}"/>
    <cellStyle name="_Schedule II_sent by auditors_IBFSL_Conso_June_09_10  2" xfId="14209" xr:uid="{00000000-0005-0000-0000-000081370000}"/>
    <cellStyle name="_Schedule II_sent by auditors_IBFSL_Conso_June_09_10  2 2" xfId="14210" xr:uid="{00000000-0005-0000-0000-000082370000}"/>
    <cellStyle name="_Schedule II_sent by auditors_IBFSL_Conso_June_09_10  3" xfId="14211" xr:uid="{00000000-0005-0000-0000-000083370000}"/>
    <cellStyle name="_Schedule II_sent by auditors_IBFSL_Conso_June_09_10 _Book1 (2)" xfId="14212" xr:uid="{00000000-0005-0000-0000-000084370000}"/>
    <cellStyle name="_Schedule II_sent by auditors_IBFSL_Conso_June_09_10 _Book1 (2) 2" xfId="14213" xr:uid="{00000000-0005-0000-0000-000085370000}"/>
    <cellStyle name="_Schedule II_sent by auditors_IBFSL_Conso_June_09_10 _Book1 (2) 2 2" xfId="14214" xr:uid="{00000000-0005-0000-0000-000086370000}"/>
    <cellStyle name="_Schedule II_sent by auditors_IBFSL_Conso_June_09_10 _Book1 (2) 3" xfId="14215" xr:uid="{00000000-0005-0000-0000-000087370000}"/>
    <cellStyle name="_Schedule II_sent by auditors_IBFSL_Conso_June_09_10 _ISL__3CD_FY2010-11" xfId="14216" xr:uid="{00000000-0005-0000-0000-000088370000}"/>
    <cellStyle name="_Schedule II_sent by auditors_IBFSL_Conso_June_09_10 _ISL_Conso_09_10_Other working" xfId="14217" xr:uid="{00000000-0005-0000-0000-000089370000}"/>
    <cellStyle name="_Schedule II_sent by auditors_IBFSL_Conso_June_09_10 _ISL_Conso_09_10_Other working 2" xfId="14218" xr:uid="{00000000-0005-0000-0000-00008A370000}"/>
    <cellStyle name="_Schedule II_sent by auditors_IBFSL_Conso_June_09_10 _ISL_Conso_09_10_Other working 2 2" xfId="14219" xr:uid="{00000000-0005-0000-0000-00008B370000}"/>
    <cellStyle name="_Schedule II_sent by auditors_IBFSL_Conso_June_09_10 _ISL_Conso_09_10_Other working 3" xfId="14220" xr:uid="{00000000-0005-0000-0000-00008C370000}"/>
    <cellStyle name="_Schedule II_sent by auditors_IBFSL_Conso_June_09_10 _ISL_Conso_09_10_Other working_Xl0000012" xfId="14221" xr:uid="{00000000-0005-0000-0000-00008D370000}"/>
    <cellStyle name="_Schedule II_sent by auditors_IBFSL_Conso_June_09_10 _ISL_Conso_09_10_Other working_Xl0000012 2" xfId="14222" xr:uid="{00000000-0005-0000-0000-00008E370000}"/>
    <cellStyle name="_Schedule II_sent by auditors_IBFSL_Conso_June_09_10 _ISL_Conso_09_10_Other working_Xl0000012 2 2" xfId="14223" xr:uid="{00000000-0005-0000-0000-00008F370000}"/>
    <cellStyle name="_Schedule II_sent by auditors_IBFSL_Conso_June_09_10 _ISL_Conso_09_10_Other working_Xl0000012 3" xfId="14224" xr:uid="{00000000-0005-0000-0000-000090370000}"/>
    <cellStyle name="_Schedule II_sent by auditors_IBFSL_Conso_June_09_10 _ISL_conso_August_10_11" xfId="14225" xr:uid="{00000000-0005-0000-0000-000091370000}"/>
    <cellStyle name="_Schedule II_sent by auditors_IBFSL_Conso_June_09_10 _ISL_conso_August_10_11 2" xfId="14226" xr:uid="{00000000-0005-0000-0000-000092370000}"/>
    <cellStyle name="_Schedule II_sent by auditors_IBFSL_Conso_June_09_10 _ISL_conso_August_10_11 2 2" xfId="14227" xr:uid="{00000000-0005-0000-0000-000093370000}"/>
    <cellStyle name="_Schedule II_sent by auditors_IBFSL_Conso_June_09_10 _ISL_conso_August_10_11 3" xfId="14228" xr:uid="{00000000-0005-0000-0000-000094370000}"/>
    <cellStyle name="_Schedule II_sent by auditors_IBFSL_Conso_June_09_10 _ISL_conso_December_10_11" xfId="14229" xr:uid="{00000000-0005-0000-0000-000095370000}"/>
    <cellStyle name="_Schedule II_sent by auditors_IBFSL_Conso_June_09_10 _ISL_conso_December_10_11 2" xfId="14230" xr:uid="{00000000-0005-0000-0000-000096370000}"/>
    <cellStyle name="_Schedule II_sent by auditors_IBFSL_Conso_June_09_10 _ISL_conso_December_10_11 2 2" xfId="14231" xr:uid="{00000000-0005-0000-0000-000097370000}"/>
    <cellStyle name="_Schedule II_sent by auditors_IBFSL_Conso_June_09_10 _ISL_conso_December_10_11 3" xfId="14232" xr:uid="{00000000-0005-0000-0000-000098370000}"/>
    <cellStyle name="_Schedule II_sent by auditors_IBFSL_Conso_June_09_10 _ISL_conso_July_10_11" xfId="14233" xr:uid="{00000000-0005-0000-0000-000099370000}"/>
    <cellStyle name="_Schedule II_sent by auditors_IBFSL_Conso_June_09_10 _ISL_conso_July_10_11 2" xfId="14234" xr:uid="{00000000-0005-0000-0000-00009A370000}"/>
    <cellStyle name="_Schedule II_sent by auditors_IBFSL_Conso_June_09_10 _ISL_conso_July_10_11 2 2" xfId="14235" xr:uid="{00000000-0005-0000-0000-00009B370000}"/>
    <cellStyle name="_Schedule II_sent by auditors_IBFSL_Conso_June_09_10 _ISL_conso_July_10_11 3" xfId="14236" xr:uid="{00000000-0005-0000-0000-00009C370000}"/>
    <cellStyle name="_Schedule II_sent by auditors_IBFSL_Conso_June_09_10 _ISL_conso_June_10_11" xfId="14237" xr:uid="{00000000-0005-0000-0000-00009D370000}"/>
    <cellStyle name="_Schedule II_sent by auditors_IBFSL_Conso_June_09_10 _ISL_conso_June_10_11 2" xfId="14238" xr:uid="{00000000-0005-0000-0000-00009E370000}"/>
    <cellStyle name="_Schedule II_sent by auditors_IBFSL_Conso_June_09_10 _ISL_conso_June_10_11 2 2" xfId="14239" xr:uid="{00000000-0005-0000-0000-00009F370000}"/>
    <cellStyle name="_Schedule II_sent by auditors_IBFSL_Conso_June_09_10 _ISL_conso_June_10_11 3" xfId="14240" xr:uid="{00000000-0005-0000-0000-0000A0370000}"/>
    <cellStyle name="_Schedule II_sent by auditors_IBFSL_Conso_June_09_10 _ISL_conso_March_09_10" xfId="14241" xr:uid="{00000000-0005-0000-0000-0000A1370000}"/>
    <cellStyle name="_Schedule II_sent by auditors_IBFSL_Conso_June_09_10 _ISL_conso_March_09_10 2" xfId="14242" xr:uid="{00000000-0005-0000-0000-0000A2370000}"/>
    <cellStyle name="_Schedule II_sent by auditors_IBFSL_Conso_June_09_10 _ISL_conso_March_09_10 2 2" xfId="14243" xr:uid="{00000000-0005-0000-0000-0000A3370000}"/>
    <cellStyle name="_Schedule II_sent by auditors_IBFSL_Conso_June_09_10 _ISL_conso_March_09_10 3" xfId="14244" xr:uid="{00000000-0005-0000-0000-0000A4370000}"/>
    <cellStyle name="_Schedule II_sent by auditors_IBFSL_Conso_June_09_10 _ISL_conso_March_09_10_Xl0000012" xfId="14245" xr:uid="{00000000-0005-0000-0000-0000A5370000}"/>
    <cellStyle name="_Schedule II_sent by auditors_IBFSL_Conso_June_09_10 _ISL_conso_March_09_10_Xl0000012 2" xfId="14246" xr:uid="{00000000-0005-0000-0000-0000A6370000}"/>
    <cellStyle name="_Schedule II_sent by auditors_IBFSL_Conso_June_09_10 _ISL_conso_March_09_10_Xl0000012 2 2" xfId="14247" xr:uid="{00000000-0005-0000-0000-0000A7370000}"/>
    <cellStyle name="_Schedule II_sent by auditors_IBFSL_Conso_June_09_10 _ISL_conso_March_09_10_Xl0000012 3" xfId="14248" xr:uid="{00000000-0005-0000-0000-0000A8370000}"/>
    <cellStyle name="_Schedule II_sent by auditors_IBFSL_Conso_June_09_10 _ISL_conso_May_10_11" xfId="14249" xr:uid="{00000000-0005-0000-0000-0000A9370000}"/>
    <cellStyle name="_Schedule II_sent by auditors_IBFSL_Conso_June_09_10 _ISL_conso_May_10_11 2" xfId="14250" xr:uid="{00000000-0005-0000-0000-0000AA370000}"/>
    <cellStyle name="_Schedule II_sent by auditors_IBFSL_Conso_June_09_10 _ISL_conso_May_10_11 2 2" xfId="14251" xr:uid="{00000000-0005-0000-0000-0000AB370000}"/>
    <cellStyle name="_Schedule II_sent by auditors_IBFSL_Conso_June_09_10 _ISL_conso_May_10_11 3" xfId="14252" xr:uid="{00000000-0005-0000-0000-0000AC370000}"/>
    <cellStyle name="_Schedule II_sent by auditors_IBFSL_Conso_June_09_10 _ISL_conso_November_10_11" xfId="14253" xr:uid="{00000000-0005-0000-0000-0000AD370000}"/>
    <cellStyle name="_Schedule II_sent by auditors_IBFSL_Conso_June_09_10 _ISL_conso_November_10_11 2" xfId="14254" xr:uid="{00000000-0005-0000-0000-0000AE370000}"/>
    <cellStyle name="_Schedule II_sent by auditors_IBFSL_Conso_June_09_10 _ISL_conso_November_10_11 2 2" xfId="14255" xr:uid="{00000000-0005-0000-0000-0000AF370000}"/>
    <cellStyle name="_Schedule II_sent by auditors_IBFSL_Conso_June_09_10 _ISL_conso_November_10_11 3" xfId="14256" xr:uid="{00000000-0005-0000-0000-0000B0370000}"/>
    <cellStyle name="_Schedule II_sent by auditors_IBFSL_Conso_June_09_10 _ISL_conso_October_10_11" xfId="14257" xr:uid="{00000000-0005-0000-0000-0000B1370000}"/>
    <cellStyle name="_Schedule II_sent by auditors_IBFSL_Conso_June_09_10 _ISL_conso_October_10_11 2" xfId="14258" xr:uid="{00000000-0005-0000-0000-0000B2370000}"/>
    <cellStyle name="_Schedule II_sent by auditors_IBFSL_Conso_June_09_10 _ISL_conso_October_10_11 2 2" xfId="14259" xr:uid="{00000000-0005-0000-0000-0000B3370000}"/>
    <cellStyle name="_Schedule II_sent by auditors_IBFSL_Conso_June_09_10 _ISL_conso_October_10_11 3" xfId="14260" xr:uid="{00000000-0005-0000-0000-0000B4370000}"/>
    <cellStyle name="_Schedule II_sent by auditors_IBFSL_Conso_June_09_10 _ISL_conso_September_10_11" xfId="14261" xr:uid="{00000000-0005-0000-0000-0000B5370000}"/>
    <cellStyle name="_Schedule II_sent by auditors_IBFSL_Conso_June_09_10 _ISL_conso_September_10_11 2" xfId="14262" xr:uid="{00000000-0005-0000-0000-0000B6370000}"/>
    <cellStyle name="_Schedule II_sent by auditors_IBFSL_Conso_June_09_10 _ISL_conso_September_10_11 2 2" xfId="14263" xr:uid="{00000000-0005-0000-0000-0000B7370000}"/>
    <cellStyle name="_Schedule II_sent by auditors_IBFSL_Conso_June_09_10 _ISL_conso_September_10_11 3" xfId="14264" xr:uid="{00000000-0005-0000-0000-0000B8370000}"/>
    <cellStyle name="_Schedule II_sent by auditors_IBFSL_Conso_June_09_10 _ISL_June_10" xfId="14265" xr:uid="{00000000-0005-0000-0000-0000B9370000}"/>
    <cellStyle name="_Schedule II_sent by auditors_IBFSL_Conso_June_09_10 _ISL_June_10 2" xfId="14266" xr:uid="{00000000-0005-0000-0000-0000BA370000}"/>
    <cellStyle name="_Schedule II_sent by auditors_IBFSL_Conso_June_09_10 _ISL_June_10 2 2" xfId="14267" xr:uid="{00000000-0005-0000-0000-0000BB370000}"/>
    <cellStyle name="_Schedule II_sent by auditors_IBFSL_Conso_June_09_10 _ISL_June_10 3" xfId="14268" xr:uid="{00000000-0005-0000-0000-0000BC370000}"/>
    <cellStyle name="_Schedule II_sent by auditors_IBFSL_Conso_June_09_10 _Results" xfId="14269" xr:uid="{00000000-0005-0000-0000-0000BD370000}"/>
    <cellStyle name="_Schedule II_sent by auditors_IBFSL_Conso_June_09_10 _Results 2" xfId="14270" xr:uid="{00000000-0005-0000-0000-0000BE370000}"/>
    <cellStyle name="_Schedule II_sent by auditors_IBFSL_Conso_June_09_10 _Results 2 2" xfId="14271" xr:uid="{00000000-0005-0000-0000-0000BF370000}"/>
    <cellStyle name="_Schedule II_sent by auditors_IBFSL_Conso_June_09_10 _Results 3" xfId="14272" xr:uid="{00000000-0005-0000-0000-0000C0370000}"/>
    <cellStyle name="_Schedule II_sent by auditors_IBFSL_Conso_June_09_10 _Xl0000012" xfId="14273" xr:uid="{00000000-0005-0000-0000-0000C1370000}"/>
    <cellStyle name="_Schedule II_sent by auditors_IBFSL_Conso_June_09_10 _Xl0000012 2" xfId="14274" xr:uid="{00000000-0005-0000-0000-0000C2370000}"/>
    <cellStyle name="_Schedule II_sent by auditors_IBFSL_Conso_June_09_10 _Xl0000012 2 2" xfId="14275" xr:uid="{00000000-0005-0000-0000-0000C3370000}"/>
    <cellStyle name="_Schedule II_sent by auditors_IBFSL_Conso_June_09_10 _Xl0000012 3" xfId="14276" xr:uid="{00000000-0005-0000-0000-0000C4370000}"/>
    <cellStyle name="_Schedule II_sent by auditors_IBFSL_Conso_March_10_11" xfId="14277" xr:uid="{00000000-0005-0000-0000-0000C5370000}"/>
    <cellStyle name="_Schedule II_sent by auditors_IBL_09.12.2009" xfId="14278" xr:uid="{00000000-0005-0000-0000-0000C6370000}"/>
    <cellStyle name="_Schedule II_sent by auditors_IBLIC_BS  Final working -New_Format_31.03 V5" xfId="14279" xr:uid="{00000000-0005-0000-0000-0000C7370000}"/>
    <cellStyle name="_Schedule II_sent by auditors_Ibulls BS Final woirking -New format_31.03 V5" xfId="14280" xr:uid="{00000000-0005-0000-0000-0000C8370000}"/>
    <cellStyle name="_Schedule II_sent by auditors_IbullsSales_3103" xfId="14281" xr:uid="{00000000-0005-0000-0000-0000C9370000}"/>
    <cellStyle name="_Schedule II_sent by auditors_IbullsSales_3103 V2" xfId="14282" xr:uid="{00000000-0005-0000-0000-0000CA370000}"/>
    <cellStyle name="_Schedule II_sent by auditors_IbullsSales_3103 V5" xfId="14283" xr:uid="{00000000-0005-0000-0000-0000CB370000}"/>
    <cellStyle name="_Schedule II_sent by auditors_ICAL-BS Final Working _New format" xfId="14284" xr:uid="{00000000-0005-0000-0000-0000CC370000}"/>
    <cellStyle name="_Schedule II_sent by auditors_ICD Detail External from IBREL 23Jun'08" xfId="14285" xr:uid="{00000000-0005-0000-0000-0000CD370000}"/>
    <cellStyle name="_Schedule II_sent by auditors_ICD Detail External from IBREL 23Jun'08 2" xfId="14286" xr:uid="{00000000-0005-0000-0000-0000CE370000}"/>
    <cellStyle name="_Schedule II_sent by auditors_ICD Detail External from IBREL 23Jun'08 2 2" xfId="14287" xr:uid="{00000000-0005-0000-0000-0000CF370000}"/>
    <cellStyle name="_Schedule II_sent by auditors_ICD Detail External from IBREL 23Jun'08 3" xfId="14288" xr:uid="{00000000-0005-0000-0000-0000D0370000}"/>
    <cellStyle name="_Schedule II_sent by auditors_ICD_Int Working" xfId="14289" xr:uid="{00000000-0005-0000-0000-0000D1370000}"/>
    <cellStyle name="_Schedule II_sent by auditors_ICD_Int Working 2" xfId="14290" xr:uid="{00000000-0005-0000-0000-0000D2370000}"/>
    <cellStyle name="_Schedule II_sent by auditors_ICD_Int Working_EPS working" xfId="14291" xr:uid="{00000000-0005-0000-0000-0000D3370000}"/>
    <cellStyle name="_Schedule II_sent by auditors_ICD_Int Working_EPS working 2" xfId="14292" xr:uid="{00000000-0005-0000-0000-0000D4370000}"/>
    <cellStyle name="_Schedule II_sent by auditors_ICD_Int Working_EPS working 2 2" xfId="14293" xr:uid="{00000000-0005-0000-0000-0000D5370000}"/>
    <cellStyle name="_Schedule II_sent by auditors_ICD_Int Working_EPS working 3" xfId="14294" xr:uid="{00000000-0005-0000-0000-0000D6370000}"/>
    <cellStyle name="_Schedule II_sent by auditors_ICD_Int Working_EPS working_IBREAL_BS PACK-Version.02" xfId="14295" xr:uid="{00000000-0005-0000-0000-0000D7370000}"/>
    <cellStyle name="_Schedule II_sent by auditors_ICD_Int Working_EPS working_IBREAL_BS PACK-Version.02 2" xfId="14296" xr:uid="{00000000-0005-0000-0000-0000D8370000}"/>
    <cellStyle name="_Schedule II_sent by auditors_ICD_Int Working_EPS working_IBREAL_BS PACK-Version.02 2 2" xfId="14297" xr:uid="{00000000-0005-0000-0000-0000D9370000}"/>
    <cellStyle name="_Schedule II_sent by auditors_ICD_Int Working_EPS working_IBREAL_BS PACK-Version.02 3" xfId="14298" xr:uid="{00000000-0005-0000-0000-0000DA370000}"/>
    <cellStyle name="_Schedule II_sent by auditors_ICD_Int Working_EPS working_IBREAL_BS PACK-Version.02_IBREAL_BS PACK-Version.03" xfId="14299" xr:uid="{00000000-0005-0000-0000-0000DB370000}"/>
    <cellStyle name="_Schedule II_sent by auditors_ICD_Int Working_EPS working_IBREAL_BS PACK-Version.02_IBREAL_BS PACK-Version.03 2" xfId="14300" xr:uid="{00000000-0005-0000-0000-0000DC370000}"/>
    <cellStyle name="_Schedule II_sent by auditors_ICD_Int Working_EPS working_IBREAL_BS PACK-Version.02_IBREAL_BS PACK-Version.03 2 2" xfId="14301" xr:uid="{00000000-0005-0000-0000-0000DD370000}"/>
    <cellStyle name="_Schedule II_sent by auditors_ICD_Int Working_EPS working_IBREAL_BS PACK-Version.02_IBREAL_BS PACK-Version.03 3" xfId="14302" xr:uid="{00000000-0005-0000-0000-0000DE370000}"/>
    <cellStyle name="_Schedule II_sent by auditors_ICD_Int Working_EPS working_IBREAL_BS PACK-Version.02_IBREAL_BS PACK-Version.03_IBREAL_BS PACK-Version.07" xfId="14303" xr:uid="{00000000-0005-0000-0000-0000DF370000}"/>
    <cellStyle name="_Schedule II_sent by auditors_ICD_Int Working_EPS working_IBREAL_BS PACK-Version.02_IBREAL_BS PACK-Version.03_IBREAL_BS PACK-Version.07 2" xfId="14304" xr:uid="{00000000-0005-0000-0000-0000E0370000}"/>
    <cellStyle name="_Schedule II_sent by auditors_ICD_Int Working_EPS working_IBREAL_BS PACK-Version.02_IBREAL_BS PACK-Version.03_IBREAL_BS PACK-Version.07 2 2" xfId="14305" xr:uid="{00000000-0005-0000-0000-0000E1370000}"/>
    <cellStyle name="_Schedule II_sent by auditors_ICD_Int Working_EPS working_IBREAL_BS PACK-Version.02_IBREAL_BS PACK-Version.03_IBREAL_BS PACK-Version.07 3" xfId="14306" xr:uid="{00000000-0005-0000-0000-0000E2370000}"/>
    <cellStyle name="_Schedule II_sent by auditors_ICD_Int Working_IREL_3000_08-09" xfId="14307" xr:uid="{00000000-0005-0000-0000-0000E3370000}"/>
    <cellStyle name="_Schedule II_sent by auditors_ICD_Int Working_IREL_3000_08-09 2" xfId="14308" xr:uid="{00000000-0005-0000-0000-0000E4370000}"/>
    <cellStyle name="_Schedule II_sent by auditors_ICD_Int Working_IREL_3000_08-09 2 2" xfId="14309" xr:uid="{00000000-0005-0000-0000-0000E5370000}"/>
    <cellStyle name="_Schedule II_sent by auditors_ICD_Int Working_IREL_3000_08-09 3" xfId="14310" xr:uid="{00000000-0005-0000-0000-0000E6370000}"/>
    <cellStyle name="_Schedule II_sent by auditors_ICD_Int Working_IREL_3000_08-09 stage 3" xfId="14311" xr:uid="{00000000-0005-0000-0000-0000E7370000}"/>
    <cellStyle name="_Schedule II_sent by auditors_ICD_Int Working_IREL_3000_08-09 stage 3 2" xfId="14312" xr:uid="{00000000-0005-0000-0000-0000E8370000}"/>
    <cellStyle name="_Schedule II_sent by auditors_ICD_Int Working_IREL_3000_08-09 stage 3_IREL_3000_08-09" xfId="14313" xr:uid="{00000000-0005-0000-0000-0000E9370000}"/>
    <cellStyle name="_Schedule II_sent by auditors_ICD_Int Working_IREL_3000_08-09 stage 3_IREL_3000_08-09 2" xfId="14314" xr:uid="{00000000-0005-0000-0000-0000EA370000}"/>
    <cellStyle name="_Schedule II_sent by auditors_ICD_Int Working_IREL_3000_08-09 stage 3_IREL_3000_08-09 2 2" xfId="14315" xr:uid="{00000000-0005-0000-0000-0000EB370000}"/>
    <cellStyle name="_Schedule II_sent by auditors_ICD_Int Working_IREL_3000_08-09 stage 3_IREL_3000_08-09 3" xfId="14316" xr:uid="{00000000-0005-0000-0000-0000EC370000}"/>
    <cellStyle name="_Schedule II_sent by auditors_ICD_Int Working_IREL_3000_08-09_IBREAL_BS PACK-Version.02" xfId="14317" xr:uid="{00000000-0005-0000-0000-0000ED370000}"/>
    <cellStyle name="_Schedule II_sent by auditors_ICD_Int Working_IREL_3000_08-09_IBREAL_BS PACK-Version.02 2" xfId="14318" xr:uid="{00000000-0005-0000-0000-0000EE370000}"/>
    <cellStyle name="_Schedule II_sent by auditors_ICD_Int Working_IREL_3000_08-09_IBREAL_BS PACK-Version.02 2 2" xfId="14319" xr:uid="{00000000-0005-0000-0000-0000EF370000}"/>
    <cellStyle name="_Schedule II_sent by auditors_ICD_Int Working_IREL_3000_08-09_IBREAL_BS PACK-Version.02 3" xfId="14320" xr:uid="{00000000-0005-0000-0000-0000F0370000}"/>
    <cellStyle name="_Schedule II_sent by auditors_ICD_Int Working_IREL_3000_08-09_IBREAL_BS PACK-Version.02_IBREAL_BS PACK-Version.03" xfId="14321" xr:uid="{00000000-0005-0000-0000-0000F1370000}"/>
    <cellStyle name="_Schedule II_sent by auditors_ICD_Int Working_IREL_3000_08-09_IBREAL_BS PACK-Version.02_IBREAL_BS PACK-Version.03 2" xfId="14322" xr:uid="{00000000-0005-0000-0000-0000F2370000}"/>
    <cellStyle name="_Schedule II_sent by auditors_ICD_Int Working_IREL_3000_08-09_IBREAL_BS PACK-Version.02_IBREAL_BS PACK-Version.03 2 2" xfId="14323" xr:uid="{00000000-0005-0000-0000-0000F3370000}"/>
    <cellStyle name="_Schedule II_sent by auditors_ICD_Int Working_IREL_3000_08-09_IBREAL_BS PACK-Version.02_IBREAL_BS PACK-Version.03 3" xfId="14324" xr:uid="{00000000-0005-0000-0000-0000F4370000}"/>
    <cellStyle name="_Schedule II_sent by auditors_ICD_Int Working_IREL_3000_08-09_IBREAL_BS PACK-Version.02_IBREAL_BS PACK-Version.03_IBREAL_BS PACK-Version.07" xfId="14325" xr:uid="{00000000-0005-0000-0000-0000F5370000}"/>
    <cellStyle name="_Schedule II_sent by auditors_ICD_Int Working_IREL_3000_08-09_IBREAL_BS PACK-Version.02_IBREAL_BS PACK-Version.03_IBREAL_BS PACK-Version.07 2" xfId="14326" xr:uid="{00000000-0005-0000-0000-0000F6370000}"/>
    <cellStyle name="_Schedule II_sent by auditors_ICD_Int Working_IREL_3000_08-09_IBREAL_BS PACK-Version.02_IBREAL_BS PACK-Version.03_IBREAL_BS PACK-Version.07 2 2" xfId="14327" xr:uid="{00000000-0005-0000-0000-0000F7370000}"/>
    <cellStyle name="_Schedule II_sent by auditors_ICD_Int Working_IREL_3000_08-09_IBREAL_BS PACK-Version.02_IBREAL_BS PACK-Version.03_IBREAL_BS PACK-Version.07 3" xfId="14328" xr:uid="{00000000-0005-0000-0000-0000F8370000}"/>
    <cellStyle name="_Schedule II_sent by auditors_ICD_Int Working_IREL_3000_2009-29_July2009  Final Shahi" xfId="14329" xr:uid="{00000000-0005-0000-0000-0000F9370000}"/>
    <cellStyle name="_Schedule II_sent by auditors_ICD_Int Working_IREL_3000_2009-29_July2009  Final Shahi 2" xfId="14330" xr:uid="{00000000-0005-0000-0000-0000FA370000}"/>
    <cellStyle name="_Schedule II_sent by auditors_ICD_Int Working_IREL_3000_2009-29_July2009  Final Shahi 2 2" xfId="14331" xr:uid="{00000000-0005-0000-0000-0000FB370000}"/>
    <cellStyle name="_Schedule II_sent by auditors_ICD_Int Working_IREL_3000_2009-29_July2009  Final Shahi 3" xfId="14332" xr:uid="{00000000-0005-0000-0000-0000FC370000}"/>
    <cellStyle name="_Schedule II_sent by auditors_ICD_Int Working_IREL_3000_2009-29_July2009  Final Shahi_IBREAL_BS PACK-Version.02" xfId="14333" xr:uid="{00000000-0005-0000-0000-0000FD370000}"/>
    <cellStyle name="_Schedule II_sent by auditors_ICD_Int Working_IREL_3000_2009-29_July2009  Final Shahi_IBREAL_BS PACK-Version.02 2" xfId="14334" xr:uid="{00000000-0005-0000-0000-0000FE370000}"/>
    <cellStyle name="_Schedule II_sent by auditors_ICD_Int Working_IREL_3000_2009-29_July2009  Final Shahi_IBREAL_BS PACK-Version.02 2 2" xfId="14335" xr:uid="{00000000-0005-0000-0000-0000FF370000}"/>
    <cellStyle name="_Schedule II_sent by auditors_ICD_Int Working_IREL_3000_2009-29_July2009  Final Shahi_IBREAL_BS PACK-Version.02 3" xfId="14336" xr:uid="{00000000-0005-0000-0000-000000380000}"/>
    <cellStyle name="_Schedule II_sent by auditors_ICD_Int Working_IREL_3000_2009-29_July2009  Final Shahi_IBREAL_BS PACK-Version.02_IBREAL_BS PACK-Version.03" xfId="14337" xr:uid="{00000000-0005-0000-0000-000001380000}"/>
    <cellStyle name="_Schedule II_sent by auditors_ICD_Int Working_IREL_3000_2009-29_July2009  Final Shahi_IBREAL_BS PACK-Version.02_IBREAL_BS PACK-Version.03 2" xfId="14338" xr:uid="{00000000-0005-0000-0000-000002380000}"/>
    <cellStyle name="_Schedule II_sent by auditors_ICD_Int Working_IREL_3000_2009-29_July2009  Final Shahi_IBREAL_BS PACK-Version.02_IBREAL_BS PACK-Version.03 2 2" xfId="14339" xr:uid="{00000000-0005-0000-0000-000003380000}"/>
    <cellStyle name="_Schedule II_sent by auditors_ICD_Int Working_IREL_3000_2009-29_July2009  Final Shahi_IBREAL_BS PACK-Version.02_IBREAL_BS PACK-Version.03 3" xfId="14340" xr:uid="{00000000-0005-0000-0000-000004380000}"/>
    <cellStyle name="_Schedule II_sent by auditors_ICD_Int Working_IREL_3000_2009-29_July2009  Final Shahi_IBREAL_BS PACK-Version.02_IBREAL_BS PACK-Version.03_IBREAL_BS PACK-Version.07" xfId="14341" xr:uid="{00000000-0005-0000-0000-000005380000}"/>
    <cellStyle name="_Schedule II_sent by auditors_ICD_Int Working_IREL_3000_2009-29_July2009  Final Shahi_IBREAL_BS PACK-Version.02_IBREAL_BS PACK-Version.03_IBREAL_BS PACK-Version.07 2" xfId="14342" xr:uid="{00000000-0005-0000-0000-000006380000}"/>
    <cellStyle name="_Schedule II_sent by auditors_ICD_Int Working_IREL_3000_2009-29_July2009  Final Shahi_IBREAL_BS PACK-Version.02_IBREAL_BS PACK-Version.03_IBREAL_BS PACK-Version.07 2 2" xfId="14343" xr:uid="{00000000-0005-0000-0000-000007380000}"/>
    <cellStyle name="_Schedule II_sent by auditors_ICD_Int Working_IREL_3000_2009-29_July2009  Final Shahi_IBREAL_BS PACK-Version.02_IBREAL_BS PACK-Version.03_IBREAL_BS PACK-Version.07 3" xfId="14344" xr:uid="{00000000-0005-0000-0000-000008380000}"/>
    <cellStyle name="_Schedule II_sent by auditors_ICL_09 12 2009" xfId="14345" xr:uid="{00000000-0005-0000-0000-000009380000}"/>
    <cellStyle name="_Schedule II_sent by auditors_ICL_BS_30.06.2009" xfId="14346" xr:uid="{00000000-0005-0000-0000-00000A380000}"/>
    <cellStyle name="_Schedule II_sent by auditors_ICPL_BS_31.03.2009" xfId="14347" xr:uid="{00000000-0005-0000-0000-00000B380000}"/>
    <cellStyle name="_Schedule II_sent by auditors_ICPL_BS_31.03.2009 2" xfId="14348" xr:uid="{00000000-0005-0000-0000-00000C380000}"/>
    <cellStyle name="_Schedule II_sent by auditors_ICPL_BS_31.03.2009_Detail of IPO funding" xfId="14349" xr:uid="{00000000-0005-0000-0000-00000D380000}"/>
    <cellStyle name="_Schedule II_sent by auditors_ICPL_BS_31.03.2009_IFCPL 31 03 2010 VER6 Final" xfId="14350" xr:uid="{00000000-0005-0000-0000-00000E380000}"/>
    <cellStyle name="_Schedule II_sent by auditors_ICPL_BS_31.03.2009_new" xfId="14351" xr:uid="{00000000-0005-0000-0000-00000F380000}"/>
    <cellStyle name="_Schedule II_sent by auditors_ICPL_BS_31.03.2009_new_ISL__3CD_FY2010-11" xfId="14352" xr:uid="{00000000-0005-0000-0000-000010380000}"/>
    <cellStyle name="_Schedule II_sent by auditors_IDSL_31.03.2010" xfId="14353" xr:uid="{00000000-0005-0000-0000-000011380000}"/>
    <cellStyle name="_Schedule II_sent by auditors_IEL net worth as on 31st March 2007." xfId="14354" xr:uid="{00000000-0005-0000-0000-000012380000}"/>
    <cellStyle name="_Schedule II_sent by auditors_IEL net worth as on 31st March 2007. 2" xfId="14355" xr:uid="{00000000-0005-0000-0000-000013380000}"/>
    <cellStyle name="_Schedule II_sent by auditors_IEL_3210_ 2007-2008" xfId="14356" xr:uid="{00000000-0005-0000-0000-000014380000}"/>
    <cellStyle name="_Schedule II_sent by auditors_IEL_3210_ 2007-2008 2" xfId="14357" xr:uid="{00000000-0005-0000-0000-000015380000}"/>
    <cellStyle name="_Schedule II_sent by auditors_IEL_3210_ 2007-2008_260508" xfId="14358" xr:uid="{00000000-0005-0000-0000-000016380000}"/>
    <cellStyle name="_Schedule II_sent by auditors_IEL_3210_ 2007-2008_260508 2" xfId="14359" xr:uid="{00000000-0005-0000-0000-000017380000}"/>
    <cellStyle name="_Schedule II_sent by auditors_IESL_09.12.2009" xfId="14360" xr:uid="{00000000-0005-0000-0000-000018380000}"/>
    <cellStyle name="_Schedule II_sent by auditors_IFCPL 31 03 2010 VER6 Final" xfId="14361" xr:uid="{00000000-0005-0000-0000-000019380000}"/>
    <cellStyle name="_Schedule II_sent by auditors_IFCPL 31.03.09 ver 6 - RBI Return" xfId="14362" xr:uid="{00000000-0005-0000-0000-00001A380000}"/>
    <cellStyle name="_Schedule II_sent by auditors_IFCPL Financials - March 2009" xfId="14363" xr:uid="{00000000-0005-0000-0000-00001B380000}"/>
    <cellStyle name="_Schedule II_sent by auditors_IFCPL Financials - March 2009 2" xfId="14364" xr:uid="{00000000-0005-0000-0000-00001C380000}"/>
    <cellStyle name="_Schedule II_sent by auditors_IFCPL Financials - March 2009 With Computation" xfId="14365" xr:uid="{00000000-0005-0000-0000-00001D380000}"/>
    <cellStyle name="_Schedule II_sent by auditors_IFCPL Financials - March 2009 With Computation 2" xfId="14366" xr:uid="{00000000-0005-0000-0000-00001E380000}"/>
    <cellStyle name="_Schedule II_sent by auditors_IFCPL Financials - March 2009 With Computation_Detail of IPO funding" xfId="14367" xr:uid="{00000000-0005-0000-0000-00001F380000}"/>
    <cellStyle name="_Schedule II_sent by auditors_IFCPL Financials - March 2009 With Computation_IFCPL 31 03 2010 VER6 Final" xfId="14368" xr:uid="{00000000-0005-0000-0000-000020380000}"/>
    <cellStyle name="_Schedule II_sent by auditors_IFCPL Financials - March 2009_FDR working" xfId="14369" xr:uid="{00000000-0005-0000-0000-000021380000}"/>
    <cellStyle name="_Schedule II_sent by auditors_IFCPL Financials - March 2009_IFCPL 31 03 2010 VER6 Final" xfId="14370" xr:uid="{00000000-0005-0000-0000-000022380000}"/>
    <cellStyle name="_Schedule II_sent by auditors_IHFL_SEP_30_2009 XIII AUDIT- Sch II" xfId="14371" xr:uid="{00000000-0005-0000-0000-000023380000}"/>
    <cellStyle name="_Schedule II_sent by auditors_IIAL 31.03.2010 VER2" xfId="14372" xr:uid="{00000000-0005-0000-0000-000024380000}"/>
    <cellStyle name="_Schedule II_sent by auditors_IICL_March'11" xfId="14373" xr:uid="{00000000-0005-0000-0000-000025380000}"/>
    <cellStyle name="_Schedule II_sent by auditors_IIDL_3227_2007-08" xfId="14374" xr:uid="{00000000-0005-0000-0000-000026380000}"/>
    <cellStyle name="_Schedule II_sent by auditors_IIL_3220_2007-08" xfId="14375" xr:uid="{00000000-0005-0000-0000-000027380000}"/>
    <cellStyle name="_Schedule II_sent by auditors_IIL_3220_2007-08 2" xfId="14376" xr:uid="{00000000-0005-0000-0000-000028380000}"/>
    <cellStyle name="_Schedule II_sent by auditors_Indiabulls Asset Management Company Limited printable" xfId="14377" xr:uid="{00000000-0005-0000-0000-000029380000}"/>
    <cellStyle name="_Schedule II_sent by auditors_Interest receivable from Divya Shakti" xfId="14378" xr:uid="{00000000-0005-0000-0000-00002A380000}"/>
    <cellStyle name="_Schedule II_sent by auditors_IPGL_3355_2007-08" xfId="14379" xr:uid="{00000000-0005-0000-0000-00002B380000}"/>
    <cellStyle name="_Schedule II_sent by auditors_Ipsl_Nov_1 1" xfId="14380" xr:uid="{00000000-0005-0000-0000-00002C380000}"/>
    <cellStyle name="_Schedule II_sent by auditors_IRECPL_Himanshu Shah Bill" xfId="14381" xr:uid="{00000000-0005-0000-0000-00002D380000}"/>
    <cellStyle name="_Schedule II_sent by auditors_IREL(Conso)_2007-08_March_Revised" xfId="14382" xr:uid="{00000000-0005-0000-0000-00002E380000}"/>
    <cellStyle name="_Schedule II_sent by auditors_IREL(Conso)_2007-08_March_Revised 2" xfId="14383" xr:uid="{00000000-0005-0000-0000-00002F380000}"/>
    <cellStyle name="_Schedule II_sent by auditors_IREL(Conso)_2007-08_March_Revised_IREL_3000_08-09" xfId="14384" xr:uid="{00000000-0005-0000-0000-000030380000}"/>
    <cellStyle name="_Schedule II_sent by auditors_IREL(Conso)_2007-08_March_Revised_IREL_3000_08-09 2" xfId="14385" xr:uid="{00000000-0005-0000-0000-000031380000}"/>
    <cellStyle name="_Schedule II_sent by auditors_IREL(Conso)_2007-08_March_Revised_IREL_3000_08-09 2 2" xfId="14386" xr:uid="{00000000-0005-0000-0000-000032380000}"/>
    <cellStyle name="_Schedule II_sent by auditors_IREL(Conso)_2007-08_March_Revised_IREL_3000_08-09 3" xfId="14387" xr:uid="{00000000-0005-0000-0000-000033380000}"/>
    <cellStyle name="_Schedule II_sent by auditors_IREL(Conso)_2007-08_March_Revised_IREL_3000_08-09 stage 3" xfId="14388" xr:uid="{00000000-0005-0000-0000-000034380000}"/>
    <cellStyle name="_Schedule II_sent by auditors_IREL(Conso)_2007-08_March_Revised_IREL_3000_08-09 stage 3 2" xfId="14389" xr:uid="{00000000-0005-0000-0000-000035380000}"/>
    <cellStyle name="_Schedule II_sent by auditors_IREL(Conso)_2007-08_March_Revised_IREL_3000_08-09 stage 3_IREL_3000_08-09" xfId="14390" xr:uid="{00000000-0005-0000-0000-000036380000}"/>
    <cellStyle name="_Schedule II_sent by auditors_IREL(Conso)_2007-08_March_Revised_IREL_3000_08-09 stage 3_IREL_3000_08-09 2" xfId="14391" xr:uid="{00000000-0005-0000-0000-000037380000}"/>
    <cellStyle name="_Schedule II_sent by auditors_IREL(Conso)_2007-08_March_Revised_IREL_3000_08-09 stage 3_IREL_3000_08-09 2 2" xfId="14392" xr:uid="{00000000-0005-0000-0000-000038380000}"/>
    <cellStyle name="_Schedule II_sent by auditors_IREL(Conso)_2007-08_March_Revised_IREL_3000_08-09 stage 3_IREL_3000_08-09 3" xfId="14393" xr:uid="{00000000-0005-0000-0000-000039380000}"/>
    <cellStyle name="_Schedule II_sent by auditors_IREL(Conso)_2007-08_March_Revised_IREL_3000_08-09_IBREAL_BS PACK-Version.02" xfId="14394" xr:uid="{00000000-0005-0000-0000-00003A380000}"/>
    <cellStyle name="_Schedule II_sent by auditors_IREL(Conso)_2007-08_March_Revised_IREL_3000_08-09_IBREAL_BS PACK-Version.02 2" xfId="14395" xr:uid="{00000000-0005-0000-0000-00003B380000}"/>
    <cellStyle name="_Schedule II_sent by auditors_IREL(Conso)_2007-08_March_Revised_IREL_3000_08-09_IBREAL_BS PACK-Version.02 2 2" xfId="14396" xr:uid="{00000000-0005-0000-0000-00003C380000}"/>
    <cellStyle name="_Schedule II_sent by auditors_IREL(Conso)_2007-08_March_Revised_IREL_3000_08-09_IBREAL_BS PACK-Version.02 3" xfId="14397" xr:uid="{00000000-0005-0000-0000-00003D380000}"/>
    <cellStyle name="_Schedule II_sent by auditors_IREL(Conso)_2007-08_March_Revised_IREL_3000_08-09_IBREAL_BS PACK-Version.02_IBREAL_BS PACK-Version.03" xfId="14398" xr:uid="{00000000-0005-0000-0000-00003E380000}"/>
    <cellStyle name="_Schedule II_sent by auditors_IREL(Conso)_2007-08_March_Revised_IREL_3000_08-09_IBREAL_BS PACK-Version.02_IBREAL_BS PACK-Version.03 2" xfId="14399" xr:uid="{00000000-0005-0000-0000-00003F380000}"/>
    <cellStyle name="_Schedule II_sent by auditors_IREL(Conso)_2007-08_March_Revised_IREL_3000_08-09_IBREAL_BS PACK-Version.02_IBREAL_BS PACK-Version.03 2 2" xfId="14400" xr:uid="{00000000-0005-0000-0000-000040380000}"/>
    <cellStyle name="_Schedule II_sent by auditors_IREL(Conso)_2007-08_March_Revised_IREL_3000_08-09_IBREAL_BS PACK-Version.02_IBREAL_BS PACK-Version.03 3" xfId="14401" xr:uid="{00000000-0005-0000-0000-000041380000}"/>
    <cellStyle name="_Schedule II_sent by auditors_IREL(Conso)_2007-08_March_Revised_IREL_3000_08-09_IBREAL_BS PACK-Version.02_IBREAL_BS PACK-Version.03_IBREAL_BS PACK-Version.07" xfId="14402" xr:uid="{00000000-0005-0000-0000-000042380000}"/>
    <cellStyle name="_Schedule II_sent by auditors_IREL(Conso)_2007-08_March_Revised_IREL_3000_08-09_IBREAL_BS PACK-Version.02_IBREAL_BS PACK-Version.03_IBREAL_BS PACK-Version.07 2" xfId="14403" xr:uid="{00000000-0005-0000-0000-000043380000}"/>
    <cellStyle name="_Schedule II_sent by auditors_IREL(Conso)_2007-08_March_Revised_IREL_3000_08-09_IBREAL_BS PACK-Version.02_IBREAL_BS PACK-Version.03_IBREAL_BS PACK-Version.07 2 2" xfId="14404" xr:uid="{00000000-0005-0000-0000-000044380000}"/>
    <cellStyle name="_Schedule II_sent by auditors_IREL(Conso)_2007-08_March_Revised_IREL_3000_08-09_IBREAL_BS PACK-Version.02_IBREAL_BS PACK-Version.03_IBREAL_BS PACK-Version.07 3" xfId="14405" xr:uid="{00000000-0005-0000-0000-000045380000}"/>
    <cellStyle name="_Schedule II_sent by auditors_IREL(Conso)_2007-08_November-1" xfId="14406" xr:uid="{00000000-0005-0000-0000-000046380000}"/>
    <cellStyle name="_Schedule II_sent by auditors_IREL(Conso)_2007-08_November-1 2" xfId="14407" xr:uid="{00000000-0005-0000-0000-000047380000}"/>
    <cellStyle name="_Schedule II_sent by auditors_IREL(Conso)_2007-08_November-1 2 2" xfId="14408" xr:uid="{00000000-0005-0000-0000-000048380000}"/>
    <cellStyle name="_Schedule II_sent by auditors_IREL(Conso)_2007-08_November-1 3" xfId="14409" xr:uid="{00000000-0005-0000-0000-000049380000}"/>
    <cellStyle name="_Schedule II_sent by auditors_IREL(Conso)_2007-08_November-1_Abstract-2007-08" xfId="14410" xr:uid="{00000000-0005-0000-0000-00004A380000}"/>
    <cellStyle name="_Schedule II_sent by auditors_IREL(Conso)_2007-08_November-1_Abstract-2007-08 2" xfId="14411" xr:uid="{00000000-0005-0000-0000-00004B380000}"/>
    <cellStyle name="_Schedule II_sent by auditors_IREL(Conso)_2007-08_November-1_Aug consl backup-land adv &amp; Ext ICD" xfId="14412" xr:uid="{00000000-0005-0000-0000-00004C380000}"/>
    <cellStyle name="_Schedule II_sent by auditors_IREL(Conso)_2007-08_November-1_Aug consl backup-land adv &amp; Ext ICD 2" xfId="14413" xr:uid="{00000000-0005-0000-0000-00004D380000}"/>
    <cellStyle name="_Schedule II_sent by auditors_IREL(Conso)_2007-08_November-1_Fornax" xfId="14414" xr:uid="{00000000-0005-0000-0000-00004E380000}"/>
    <cellStyle name="_Schedule II_sent by auditors_IREL(Conso)_2007-08_November-1_Fornax 2" xfId="14415" xr:uid="{00000000-0005-0000-0000-00004F380000}"/>
    <cellStyle name="_Schedule II_sent by auditors_IREL(Conso)_2007-08_November-1_IREL_3000_08-09" xfId="14416" xr:uid="{00000000-0005-0000-0000-000050380000}"/>
    <cellStyle name="_Schedule II_sent by auditors_IREL(Conso)_2007-08_November-1_IREL_3000_08-09 2" xfId="14417" xr:uid="{00000000-0005-0000-0000-000051380000}"/>
    <cellStyle name="_Schedule II_sent by auditors_IREL(Conso)_2007-08_November-1_ISL Group - Advance Tax working for 3rd Instalment" xfId="14418" xr:uid="{00000000-0005-0000-0000-000052380000}"/>
    <cellStyle name="_Schedule II_sent by auditors_IREL(Conso)_June_07-08_30-07-08" xfId="14419" xr:uid="{00000000-0005-0000-0000-000053380000}"/>
    <cellStyle name="_Schedule II_sent by auditors_IREL(Conso)_June_07-08_30-07-08 2" xfId="14420" xr:uid="{00000000-0005-0000-0000-000054380000}"/>
    <cellStyle name="_Schedule II_sent by auditors_IREL(Conso)_June_07-08_30-07-08_IREL_3000_08-09" xfId="14421" xr:uid="{00000000-0005-0000-0000-000055380000}"/>
    <cellStyle name="_Schedule II_sent by auditors_IREL(Conso)_June_07-08_30-07-08_IREL_3000_08-09 2" xfId="14422" xr:uid="{00000000-0005-0000-0000-000056380000}"/>
    <cellStyle name="_Schedule II_sent by auditors_IREL(Conso)_June_07-08_30-07-08_IREL_3000_08-09 2 2" xfId="14423" xr:uid="{00000000-0005-0000-0000-000057380000}"/>
    <cellStyle name="_Schedule II_sent by auditors_IREL(Conso)_June_07-08_30-07-08_IREL_3000_08-09 3" xfId="14424" xr:uid="{00000000-0005-0000-0000-000058380000}"/>
    <cellStyle name="_Schedule II_sent by auditors_IREL(Conso)_June_07-08_30-07-08_IREL_3000_08-09 stage 3" xfId="14425" xr:uid="{00000000-0005-0000-0000-000059380000}"/>
    <cellStyle name="_Schedule II_sent by auditors_IREL(Conso)_June_07-08_30-07-08_IREL_3000_08-09 stage 3 2" xfId="14426" xr:uid="{00000000-0005-0000-0000-00005A380000}"/>
    <cellStyle name="_Schedule II_sent by auditors_IREL(Conso)_June_07-08_30-07-08_IREL_3000_08-09 stage 3_IREL_3000_08-09" xfId="14427" xr:uid="{00000000-0005-0000-0000-00005B380000}"/>
    <cellStyle name="_Schedule II_sent by auditors_IREL(Conso)_June_07-08_30-07-08_IREL_3000_08-09 stage 3_IREL_3000_08-09 2" xfId="14428" xr:uid="{00000000-0005-0000-0000-00005C380000}"/>
    <cellStyle name="_Schedule II_sent by auditors_IREL(Conso)_June_07-08_30-07-08_IREL_3000_08-09 stage 3_IREL_3000_08-09 2 2" xfId="14429" xr:uid="{00000000-0005-0000-0000-00005D380000}"/>
    <cellStyle name="_Schedule II_sent by auditors_IREL(Conso)_June_07-08_30-07-08_IREL_3000_08-09 stage 3_IREL_3000_08-09 3" xfId="14430" xr:uid="{00000000-0005-0000-0000-00005E380000}"/>
    <cellStyle name="_Schedule II_sent by auditors_IREL(Conso)_June_07-08_30-07-08_IREL_3000_08-09_IBREAL_BS PACK-Version.02" xfId="14431" xr:uid="{00000000-0005-0000-0000-00005F380000}"/>
    <cellStyle name="_Schedule II_sent by auditors_IREL(Conso)_June_07-08_30-07-08_IREL_3000_08-09_IBREAL_BS PACK-Version.02 2" xfId="14432" xr:uid="{00000000-0005-0000-0000-000060380000}"/>
    <cellStyle name="_Schedule II_sent by auditors_IREL(Conso)_June_07-08_30-07-08_IREL_3000_08-09_IBREAL_BS PACK-Version.02 2 2" xfId="14433" xr:uid="{00000000-0005-0000-0000-000061380000}"/>
    <cellStyle name="_Schedule II_sent by auditors_IREL(Conso)_June_07-08_30-07-08_IREL_3000_08-09_IBREAL_BS PACK-Version.02 3" xfId="14434" xr:uid="{00000000-0005-0000-0000-000062380000}"/>
    <cellStyle name="_Schedule II_sent by auditors_IREL(Conso)_June_07-08_30-07-08_IREL_3000_08-09_IBREAL_BS PACK-Version.02_IBREAL_BS PACK-Version.03" xfId="14435" xr:uid="{00000000-0005-0000-0000-000063380000}"/>
    <cellStyle name="_Schedule II_sent by auditors_IREL(Conso)_June_07-08_30-07-08_IREL_3000_08-09_IBREAL_BS PACK-Version.02_IBREAL_BS PACK-Version.03 2" xfId="14436" xr:uid="{00000000-0005-0000-0000-000064380000}"/>
    <cellStyle name="_Schedule II_sent by auditors_IREL(Conso)_June_07-08_30-07-08_IREL_3000_08-09_IBREAL_BS PACK-Version.02_IBREAL_BS PACK-Version.03 2 2" xfId="14437" xr:uid="{00000000-0005-0000-0000-000065380000}"/>
    <cellStyle name="_Schedule II_sent by auditors_IREL(Conso)_June_07-08_30-07-08_IREL_3000_08-09_IBREAL_BS PACK-Version.02_IBREAL_BS PACK-Version.03 3" xfId="14438" xr:uid="{00000000-0005-0000-0000-000066380000}"/>
    <cellStyle name="_Schedule II_sent by auditors_IREL(Conso)_June_07-08_30-07-08_IREL_3000_08-09_IBREAL_BS PACK-Version.02_IBREAL_BS PACK-Version.03_IBREAL_BS PACK-Version.07" xfId="14439" xr:uid="{00000000-0005-0000-0000-000067380000}"/>
    <cellStyle name="_Schedule II_sent by auditors_IREL(Conso)_June_07-08_30-07-08_IREL_3000_08-09_IBREAL_BS PACK-Version.02_IBREAL_BS PACK-Version.03_IBREAL_BS PACK-Version.07 2" xfId="14440" xr:uid="{00000000-0005-0000-0000-000068380000}"/>
    <cellStyle name="_Schedule II_sent by auditors_IREL(Conso)_June_07-08_30-07-08_IREL_3000_08-09_IBREAL_BS PACK-Version.02_IBREAL_BS PACK-Version.03_IBREAL_BS PACK-Version.07 2 2" xfId="14441" xr:uid="{00000000-0005-0000-0000-000069380000}"/>
    <cellStyle name="_Schedule II_sent by auditors_IREL(Conso)_June_07-08_30-07-08_IREL_3000_08-09_IBREAL_BS PACK-Version.02_IBREAL_BS PACK-Version.03_IBREAL_BS PACK-Version.07 3" xfId="14442" xr:uid="{00000000-0005-0000-0000-00006A380000}"/>
    <cellStyle name="_Schedule II_sent by auditors_IREL_3000_08-09" xfId="14443" xr:uid="{00000000-0005-0000-0000-00006B380000}"/>
    <cellStyle name="_Schedule II_sent by auditors_IREL_3000_08-09 2" xfId="14444" xr:uid="{00000000-0005-0000-0000-00006C380000}"/>
    <cellStyle name="_Schedule II_sent by auditors_IREL_3000_2007-08" xfId="14445" xr:uid="{00000000-0005-0000-0000-00006D380000}"/>
    <cellStyle name="_Schedule II_sent by auditors_IREL_3000_2007-08 2" xfId="14446" xr:uid="{00000000-0005-0000-0000-00006E380000}"/>
    <cellStyle name="_Schedule II_sent by auditors_IREL_3000_2007-08 2 2" xfId="14447" xr:uid="{00000000-0005-0000-0000-00006F380000}"/>
    <cellStyle name="_Schedule II_sent by auditors_IREL_3000_2007-08 3" xfId="14448" xr:uid="{00000000-0005-0000-0000-000070380000}"/>
    <cellStyle name="_Schedule II_sent by auditors_IREL_3000_2007-08_IREL_3000_08-09" xfId="14449" xr:uid="{00000000-0005-0000-0000-000071380000}"/>
    <cellStyle name="_Schedule II_sent by auditors_IREL_3000_2007-08_IREL_3000_08-09 2" xfId="14450" xr:uid="{00000000-0005-0000-0000-000072380000}"/>
    <cellStyle name="_Schedule II_sent by auditors_IRL_5002_2007-08" xfId="14451" xr:uid="{00000000-0005-0000-0000-000073380000}"/>
    <cellStyle name="_Schedule II_sent by auditors_IRL_5002_2008-09" xfId="14452" xr:uid="{00000000-0005-0000-0000-000074380000}"/>
    <cellStyle name="_Schedule II_sent by auditors_IRL_October" xfId="14453" xr:uid="{00000000-0005-0000-0000-000075380000}"/>
    <cellStyle name="_Schedule II_sent by auditors_ISL Group - Advance Tax working for 3rd Instalment" xfId="14454" xr:uid="{00000000-0005-0000-0000-000076380000}"/>
    <cellStyle name="_Schedule II_sent by auditors_ISL June 09" xfId="14455" xr:uid="{00000000-0005-0000-0000-000077380000}"/>
    <cellStyle name="_Schedule II_sent by auditors_ISL June 09 2" xfId="14456" xr:uid="{00000000-0005-0000-0000-000078380000}"/>
    <cellStyle name="_Schedule II_sent by auditors_ISL June 09 2 2" xfId="14457" xr:uid="{00000000-0005-0000-0000-000079380000}"/>
    <cellStyle name="_Schedule II_sent by auditors_ISL June 09 3" xfId="14458" xr:uid="{00000000-0005-0000-0000-00007A380000}"/>
    <cellStyle name="_Schedule II_sent by auditors_ISL June 09_ISL__3CD_FY2010-11" xfId="14459" xr:uid="{00000000-0005-0000-0000-00007B380000}"/>
    <cellStyle name="_Schedule II_sent by auditors_ISL Rev" xfId="14460" xr:uid="{00000000-0005-0000-0000-00007C380000}"/>
    <cellStyle name="_Schedule II_sent by auditors_ISL Rev 2" xfId="14461" xr:uid="{00000000-0005-0000-0000-00007D380000}"/>
    <cellStyle name="_Schedule II_sent by auditors_ISL Rev 2 2" xfId="14462" xr:uid="{00000000-0005-0000-0000-00007E380000}"/>
    <cellStyle name="_Schedule II_sent by auditors_ISL Rev 3" xfId="14463" xr:uid="{00000000-0005-0000-0000-00007F380000}"/>
    <cellStyle name="_Schedule II_sent by auditors_ISL Rev_ISL__3CD_FY2010-11" xfId="14464" xr:uid="{00000000-0005-0000-0000-000080380000}"/>
    <cellStyle name="_Schedule II_sent by auditors_ISL Rev_Results" xfId="14465" xr:uid="{00000000-0005-0000-0000-000081380000}"/>
    <cellStyle name="_Schedule II_sent by auditors_ISL Rev_Results 2" xfId="14466" xr:uid="{00000000-0005-0000-0000-000082380000}"/>
    <cellStyle name="_Schedule II_sent by auditors_ISL Rev_Results 2 2" xfId="14467" xr:uid="{00000000-0005-0000-0000-000083380000}"/>
    <cellStyle name="_Schedule II_sent by auditors_ISL Rev_Results 3" xfId="14468" xr:uid="{00000000-0005-0000-0000-000084380000}"/>
    <cellStyle name="_Schedule II_sent by auditors_ISL Rev_Xl0000012" xfId="14469" xr:uid="{00000000-0005-0000-0000-000085380000}"/>
    <cellStyle name="_Schedule II_sent by auditors_ISL Rev_Xl0000012 2" xfId="14470" xr:uid="{00000000-0005-0000-0000-000086380000}"/>
    <cellStyle name="_Schedule II_sent by auditors_ISL Rev_Xl0000012 2 2" xfId="14471" xr:uid="{00000000-0005-0000-0000-000087380000}"/>
    <cellStyle name="_Schedule II_sent by auditors_ISL Rev_Xl0000012 3" xfId="14472" xr:uid="{00000000-0005-0000-0000-000088380000}"/>
    <cellStyle name="_Schedule II_sent by auditors_ISL_ Adv Tax 2009-10 Q3" xfId="14473" xr:uid="{00000000-0005-0000-0000-000089380000}"/>
    <cellStyle name="_Schedule II_sent by auditors_ISL_BS_03.03.2009" xfId="14474" xr:uid="{00000000-0005-0000-0000-00008A380000}"/>
    <cellStyle name="_Schedule II_sent by auditors_ISL_BS_03.03.2009 2" xfId="14475" xr:uid="{00000000-0005-0000-0000-00008B380000}"/>
    <cellStyle name="_Schedule II_sent by auditors_ISL_BS_03.03.2009 2 2" xfId="14476" xr:uid="{00000000-0005-0000-0000-00008C380000}"/>
    <cellStyle name="_Schedule II_sent by auditors_ISL_BS_03.03.2009 3" xfId="14477" xr:uid="{00000000-0005-0000-0000-00008D380000}"/>
    <cellStyle name="_Schedule II_sent by auditors_ISL_BS_03.03.2009_ISL__3CD_FY2010-11" xfId="14478" xr:uid="{00000000-0005-0000-0000-00008E380000}"/>
    <cellStyle name="_Schedule II_sent by auditors_ISL_BS_08.03.2009" xfId="14479" xr:uid="{00000000-0005-0000-0000-00008F380000}"/>
    <cellStyle name="_Schedule II_sent by auditors_ISL_BS_08.03.2009 2" xfId="14480" xr:uid="{00000000-0005-0000-0000-000090380000}"/>
    <cellStyle name="_Schedule II_sent by auditors_ISL_BS_08.03.2009 2 2" xfId="14481" xr:uid="{00000000-0005-0000-0000-000091380000}"/>
    <cellStyle name="_Schedule II_sent by auditors_ISL_BS_08.03.2009 3" xfId="14482" xr:uid="{00000000-0005-0000-0000-000092380000}"/>
    <cellStyle name="_Schedule II_sent by auditors_ISL_BS_08.03.2009_ISL__3CD_FY2010-11" xfId="14483" xr:uid="{00000000-0005-0000-0000-000093380000}"/>
    <cellStyle name="_Schedule II_sent by auditors_ISL_BS_15.03.2009" xfId="14484" xr:uid="{00000000-0005-0000-0000-000094380000}"/>
    <cellStyle name="_Schedule II_sent by auditors_ISL_BS_15.03.2009 2" xfId="14485" xr:uid="{00000000-0005-0000-0000-000095380000}"/>
    <cellStyle name="_Schedule II_sent by auditors_ISL_BS_15.03.2009 2 2" xfId="14486" xr:uid="{00000000-0005-0000-0000-000096380000}"/>
    <cellStyle name="_Schedule II_sent by auditors_ISL_BS_15.03.2009 3" xfId="14487" xr:uid="{00000000-0005-0000-0000-000097380000}"/>
    <cellStyle name="_Schedule II_sent by auditors_ISL_BS_15.03.2009_ISL__3CD_FY2010-11" xfId="14488" xr:uid="{00000000-0005-0000-0000-000098380000}"/>
    <cellStyle name="_Schedule II_sent by auditors_ISL_BS_2008-09- First Cut" xfId="14489" xr:uid="{00000000-0005-0000-0000-000099380000}"/>
    <cellStyle name="_Schedule II_sent by auditors_ISL_BS_2008-09- First Cut 2" xfId="14490" xr:uid="{00000000-0005-0000-0000-00009A380000}"/>
    <cellStyle name="_Schedule II_sent by auditors_ISL_BS_2008-09- First Cut 2 2" xfId="14491" xr:uid="{00000000-0005-0000-0000-00009B380000}"/>
    <cellStyle name="_Schedule II_sent by auditors_ISL_BS_2008-09- First Cut 3" xfId="14492" xr:uid="{00000000-0005-0000-0000-00009C380000}"/>
    <cellStyle name="_Schedule II_sent by auditors_ISL_BS_2008-09- First Cut_ISL__3CD_FY2010-11" xfId="14493" xr:uid="{00000000-0005-0000-0000-00009D380000}"/>
    <cellStyle name="_Schedule II_sent by auditors_ISL_BS_21.09.2009" xfId="14494" xr:uid="{00000000-0005-0000-0000-00009E380000}"/>
    <cellStyle name="_Schedule II_sent by auditors_ISL_BS_21.09.2009 2" xfId="14495" xr:uid="{00000000-0005-0000-0000-00009F380000}"/>
    <cellStyle name="_Schedule II_sent by auditors_ISL_BS_21.09.2009 2 2" xfId="14496" xr:uid="{00000000-0005-0000-0000-0000A0380000}"/>
    <cellStyle name="_Schedule II_sent by auditors_ISL_BS_21.09.2009 3" xfId="14497" xr:uid="{00000000-0005-0000-0000-0000A1380000}"/>
    <cellStyle name="_Schedule II_sent by auditors_ISL_BS_23.02.2009" xfId="14498" xr:uid="{00000000-0005-0000-0000-0000A2380000}"/>
    <cellStyle name="_Schedule II_sent by auditors_ISL_BS_23.02.2009 2" xfId="14499" xr:uid="{00000000-0005-0000-0000-0000A3380000}"/>
    <cellStyle name="_Schedule II_sent by auditors_ISL_BS_23.02.2009 2 2" xfId="14500" xr:uid="{00000000-0005-0000-0000-0000A4380000}"/>
    <cellStyle name="_Schedule II_sent by auditors_ISL_BS_23.02.2009 3" xfId="14501" xr:uid="{00000000-0005-0000-0000-0000A5380000}"/>
    <cellStyle name="_Schedule II_sent by auditors_ISL_BS_23.02.2009_ISL__3CD_FY2010-11" xfId="14502" xr:uid="{00000000-0005-0000-0000-0000A6380000}"/>
    <cellStyle name="_Schedule II_sent by auditors_ISL_BS_24.02.2009" xfId="14503" xr:uid="{00000000-0005-0000-0000-0000A7380000}"/>
    <cellStyle name="_Schedule II_sent by auditors_ISL_BS_24.02.2009 2" xfId="14504" xr:uid="{00000000-0005-0000-0000-0000A8380000}"/>
    <cellStyle name="_Schedule II_sent by auditors_ISL_BS_24.02.2009 2 2" xfId="14505" xr:uid="{00000000-0005-0000-0000-0000A9380000}"/>
    <cellStyle name="_Schedule II_sent by auditors_ISL_BS_24.02.2009 3" xfId="14506" xr:uid="{00000000-0005-0000-0000-0000AA380000}"/>
    <cellStyle name="_Schedule II_sent by auditors_ISL_BS_24.02.2009_ISL__3CD_FY2010-11" xfId="14507" xr:uid="{00000000-0005-0000-0000-0000AB380000}"/>
    <cellStyle name="_Schedule II_sent by auditors_ISL_BS_Aug 09" xfId="14508" xr:uid="{00000000-0005-0000-0000-0000AC380000}"/>
    <cellStyle name="_Schedule II_sent by auditors_ISL_BS_Aug 09 2" xfId="14509" xr:uid="{00000000-0005-0000-0000-0000AD380000}"/>
    <cellStyle name="_Schedule II_sent by auditors_ISL_BS_Aug 09 2 2" xfId="14510" xr:uid="{00000000-0005-0000-0000-0000AE380000}"/>
    <cellStyle name="_Schedule II_sent by auditors_ISL_BS_Aug 09 3" xfId="14511" xr:uid="{00000000-0005-0000-0000-0000AF380000}"/>
    <cellStyle name="_Schedule II_sent by auditors_ISL_BS_Aug 09.z" xfId="14512" xr:uid="{00000000-0005-0000-0000-0000B0380000}"/>
    <cellStyle name="_Schedule II_sent by auditors_ISL_BS_Aug 09.z 2" xfId="14513" xr:uid="{00000000-0005-0000-0000-0000B1380000}"/>
    <cellStyle name="_Schedule II_sent by auditors_ISL_BS_Aug 09.z 2 2" xfId="14514" xr:uid="{00000000-0005-0000-0000-0000B2380000}"/>
    <cellStyle name="_Schedule II_sent by auditors_ISL_BS_Aug 09.z 3" xfId="14515" xr:uid="{00000000-0005-0000-0000-0000B3380000}"/>
    <cellStyle name="_Schedule II_sent by auditors_ISL_BS_Aug 09.z_ISL__3CD_FY2010-11" xfId="14516" xr:uid="{00000000-0005-0000-0000-0000B4380000}"/>
    <cellStyle name="_Schedule II_sent by auditors_ISL_BS_Aug 09_ISL__3CD_FY2010-11" xfId="14517" xr:uid="{00000000-0005-0000-0000-0000B5380000}"/>
    <cellStyle name="_Schedule II_sent by auditors_ISL_Conso_09_10_Other working" xfId="14518" xr:uid="{00000000-0005-0000-0000-0000B6380000}"/>
    <cellStyle name="_Schedule II_sent by auditors_ISL_Conso_09_10_Other working 2" xfId="14519" xr:uid="{00000000-0005-0000-0000-0000B7380000}"/>
    <cellStyle name="_Schedule II_sent by auditors_ISL_Conso_09_10_Other working 2 2" xfId="14520" xr:uid="{00000000-0005-0000-0000-0000B8380000}"/>
    <cellStyle name="_Schedule II_sent by auditors_ISL_Conso_09_10_Other working 3" xfId="14521" xr:uid="{00000000-0005-0000-0000-0000B9380000}"/>
    <cellStyle name="_Schedule II_sent by auditors_ISL_conso_August_09_10" xfId="14522" xr:uid="{00000000-0005-0000-0000-0000BA380000}"/>
    <cellStyle name="_Schedule II_sent by auditors_ISL_conso_August_09_10 2" xfId="14523" xr:uid="{00000000-0005-0000-0000-0000BB380000}"/>
    <cellStyle name="_Schedule II_sent by auditors_ISL_conso_August_09_10 2 2" xfId="14524" xr:uid="{00000000-0005-0000-0000-0000BC380000}"/>
    <cellStyle name="_Schedule II_sent by auditors_ISL_conso_August_09_10 3" xfId="14525" xr:uid="{00000000-0005-0000-0000-0000BD380000}"/>
    <cellStyle name="_Schedule II_sent by auditors_ISL_conso_August_09_10_ISL__3CD_FY2010-11" xfId="14526" xr:uid="{00000000-0005-0000-0000-0000BE380000}"/>
    <cellStyle name="_Schedule II_sent by auditors_ISL_conso_August_10_11" xfId="14527" xr:uid="{00000000-0005-0000-0000-0000BF380000}"/>
    <cellStyle name="_Schedule II_sent by auditors_ISL_conso_August_10_11 2" xfId="14528" xr:uid="{00000000-0005-0000-0000-0000C0380000}"/>
    <cellStyle name="_Schedule II_sent by auditors_ISL_conso_August_10_11 2 2" xfId="14529" xr:uid="{00000000-0005-0000-0000-0000C1380000}"/>
    <cellStyle name="_Schedule II_sent by auditors_ISL_conso_August_10_11 3" xfId="14530" xr:uid="{00000000-0005-0000-0000-0000C2380000}"/>
    <cellStyle name="_Schedule II_sent by auditors_ISL_conso_December_08_09" xfId="14531" xr:uid="{00000000-0005-0000-0000-0000C3380000}"/>
    <cellStyle name="_Schedule II_sent by auditors_ISL_conso_December_08_09 2" xfId="14532" xr:uid="{00000000-0005-0000-0000-0000C4380000}"/>
    <cellStyle name="_Schedule II_sent by auditors_ISL_conso_December_08_09 2 2" xfId="14533" xr:uid="{00000000-0005-0000-0000-0000C5380000}"/>
    <cellStyle name="_Schedule II_sent by auditors_ISL_conso_December_08_09 3" xfId="14534" xr:uid="{00000000-0005-0000-0000-0000C6380000}"/>
    <cellStyle name="_Schedule II_sent by auditors_ISL_conso_December_08_09_ISL__3CD_FY2010-11" xfId="14535" xr:uid="{00000000-0005-0000-0000-0000C7380000}"/>
    <cellStyle name="_Schedule II_sent by auditors_ISL_conso_December_08_09_Results" xfId="14536" xr:uid="{00000000-0005-0000-0000-0000C8380000}"/>
    <cellStyle name="_Schedule II_sent by auditors_ISL_conso_December_08_09_Results 2" xfId="14537" xr:uid="{00000000-0005-0000-0000-0000C9380000}"/>
    <cellStyle name="_Schedule II_sent by auditors_ISL_conso_December_08_09_Results 2 2" xfId="14538" xr:uid="{00000000-0005-0000-0000-0000CA380000}"/>
    <cellStyle name="_Schedule II_sent by auditors_ISL_conso_December_08_09_Results 3" xfId="14539" xr:uid="{00000000-0005-0000-0000-0000CB380000}"/>
    <cellStyle name="_Schedule II_sent by auditors_ISL_conso_December_08_09_Xl0000012" xfId="14540" xr:uid="{00000000-0005-0000-0000-0000CC380000}"/>
    <cellStyle name="_Schedule II_sent by auditors_ISL_conso_December_08_09_Xl0000012 2" xfId="14541" xr:uid="{00000000-0005-0000-0000-0000CD380000}"/>
    <cellStyle name="_Schedule II_sent by auditors_ISL_conso_December_08_09_Xl0000012 2 2" xfId="14542" xr:uid="{00000000-0005-0000-0000-0000CE380000}"/>
    <cellStyle name="_Schedule II_sent by auditors_ISL_conso_December_08_09_Xl0000012 3" xfId="14543" xr:uid="{00000000-0005-0000-0000-0000CF380000}"/>
    <cellStyle name="_Schedule II_sent by auditors_ISL_conso_December_09_10" xfId="14544" xr:uid="{00000000-0005-0000-0000-0000D0380000}"/>
    <cellStyle name="_Schedule II_sent by auditors_ISL_conso_December_09_10 2" xfId="14545" xr:uid="{00000000-0005-0000-0000-0000D1380000}"/>
    <cellStyle name="_Schedule II_sent by auditors_ISL_conso_December_09_10 2 2" xfId="14546" xr:uid="{00000000-0005-0000-0000-0000D2380000}"/>
    <cellStyle name="_Schedule II_sent by auditors_ISL_conso_December_09_10 3" xfId="14547" xr:uid="{00000000-0005-0000-0000-0000D3380000}"/>
    <cellStyle name="_Schedule II_sent by auditors_ISL_conso_December_09_10_ISL__3CD_FY2010-11" xfId="14548" xr:uid="{00000000-0005-0000-0000-0000D4380000}"/>
    <cellStyle name="_Schedule II_sent by auditors_ISL_conso_December_10_11" xfId="14549" xr:uid="{00000000-0005-0000-0000-0000D5380000}"/>
    <cellStyle name="_Schedule II_sent by auditors_ISL_conso_December_10_11 2" xfId="14550" xr:uid="{00000000-0005-0000-0000-0000D6380000}"/>
    <cellStyle name="_Schedule II_sent by auditors_ISL_conso_December_10_11 2 2" xfId="14551" xr:uid="{00000000-0005-0000-0000-0000D7380000}"/>
    <cellStyle name="_Schedule II_sent by auditors_ISL_conso_December_10_11 3" xfId="14552" xr:uid="{00000000-0005-0000-0000-0000D8380000}"/>
    <cellStyle name="_Schedule II_sent by auditors_ISL_conso_February_09_10" xfId="14553" xr:uid="{00000000-0005-0000-0000-0000D9380000}"/>
    <cellStyle name="_Schedule II_sent by auditors_ISL_conso_February_09_10 2" xfId="14554" xr:uid="{00000000-0005-0000-0000-0000DA380000}"/>
    <cellStyle name="_Schedule II_sent by auditors_ISL_conso_February_09_10 2 2" xfId="14555" xr:uid="{00000000-0005-0000-0000-0000DB380000}"/>
    <cellStyle name="_Schedule II_sent by auditors_ISL_conso_February_09_10 3" xfId="14556" xr:uid="{00000000-0005-0000-0000-0000DC380000}"/>
    <cellStyle name="_Schedule II_sent by auditors_ISL_conso_January_09_10" xfId="14557" xr:uid="{00000000-0005-0000-0000-0000DD380000}"/>
    <cellStyle name="_Schedule II_sent by auditors_ISL_conso_January_09_10 2" xfId="14558" xr:uid="{00000000-0005-0000-0000-0000DE380000}"/>
    <cellStyle name="_Schedule II_sent by auditors_ISL_conso_January_09_10 2 2" xfId="14559" xr:uid="{00000000-0005-0000-0000-0000DF380000}"/>
    <cellStyle name="_Schedule II_sent by auditors_ISL_conso_January_09_10 3" xfId="14560" xr:uid="{00000000-0005-0000-0000-0000E0380000}"/>
    <cellStyle name="_Schedule II_sent by auditors_ISL_conso_July_08_09" xfId="14561" xr:uid="{00000000-0005-0000-0000-0000E1380000}"/>
    <cellStyle name="_Schedule II_sent by auditors_ISL_conso_July_08_09 2" xfId="14562" xr:uid="{00000000-0005-0000-0000-0000E2380000}"/>
    <cellStyle name="_Schedule II_sent by auditors_ISL_conso_July_08_09 2 2" xfId="14563" xr:uid="{00000000-0005-0000-0000-0000E3380000}"/>
    <cellStyle name="_Schedule II_sent by auditors_ISL_conso_July_08_09 3" xfId="14564" xr:uid="{00000000-0005-0000-0000-0000E4380000}"/>
    <cellStyle name="_Schedule II_sent by auditors_ISL_conso_July_08_09_ISL__3CD_FY2010-11" xfId="14565" xr:uid="{00000000-0005-0000-0000-0000E5380000}"/>
    <cellStyle name="_Schedule II_sent by auditors_ISL_conso_July_08_09_Results" xfId="14566" xr:uid="{00000000-0005-0000-0000-0000E6380000}"/>
    <cellStyle name="_Schedule II_sent by auditors_ISL_conso_July_08_09_Results 2" xfId="14567" xr:uid="{00000000-0005-0000-0000-0000E7380000}"/>
    <cellStyle name="_Schedule II_sent by auditors_ISL_conso_July_08_09_Results 2 2" xfId="14568" xr:uid="{00000000-0005-0000-0000-0000E8380000}"/>
    <cellStyle name="_Schedule II_sent by auditors_ISL_conso_July_08_09_Results 3" xfId="14569" xr:uid="{00000000-0005-0000-0000-0000E9380000}"/>
    <cellStyle name="_Schedule II_sent by auditors_ISL_conso_July_08_09_Xl0000012" xfId="14570" xr:uid="{00000000-0005-0000-0000-0000EA380000}"/>
    <cellStyle name="_Schedule II_sent by auditors_ISL_conso_July_08_09_Xl0000012 2" xfId="14571" xr:uid="{00000000-0005-0000-0000-0000EB380000}"/>
    <cellStyle name="_Schedule II_sent by auditors_ISL_conso_July_08_09_Xl0000012 2 2" xfId="14572" xr:uid="{00000000-0005-0000-0000-0000EC380000}"/>
    <cellStyle name="_Schedule II_sent by auditors_ISL_conso_July_08_09_Xl0000012 3" xfId="14573" xr:uid="{00000000-0005-0000-0000-0000ED380000}"/>
    <cellStyle name="_Schedule II_sent by auditors_ISL_conso_July_09_10" xfId="14574" xr:uid="{00000000-0005-0000-0000-0000EE380000}"/>
    <cellStyle name="_Schedule II_sent by auditors_ISL_conso_July_09_10 2" xfId="14575" xr:uid="{00000000-0005-0000-0000-0000EF380000}"/>
    <cellStyle name="_Schedule II_sent by auditors_ISL_conso_July_09_10 2 2" xfId="14576" xr:uid="{00000000-0005-0000-0000-0000F0380000}"/>
    <cellStyle name="_Schedule II_sent by auditors_ISL_conso_July_09_10 3" xfId="14577" xr:uid="{00000000-0005-0000-0000-0000F1380000}"/>
    <cellStyle name="_Schedule II_sent by auditors_ISL_conso_July_09_10_ISL__3CD_FY2010-11" xfId="14578" xr:uid="{00000000-0005-0000-0000-0000F2380000}"/>
    <cellStyle name="_Schedule II_sent by auditors_ISL_conso_July_10_11" xfId="14579" xr:uid="{00000000-0005-0000-0000-0000F3380000}"/>
    <cellStyle name="_Schedule II_sent by auditors_ISL_conso_July_10_11 2" xfId="14580" xr:uid="{00000000-0005-0000-0000-0000F4380000}"/>
    <cellStyle name="_Schedule II_sent by auditors_ISL_conso_July_10_11 2 2" xfId="14581" xr:uid="{00000000-0005-0000-0000-0000F5380000}"/>
    <cellStyle name="_Schedule II_sent by auditors_ISL_conso_July_10_11 3" xfId="14582" xr:uid="{00000000-0005-0000-0000-0000F6380000}"/>
    <cellStyle name="_Schedule II_sent by auditors_ISL_conso_June_09_10" xfId="14583" xr:uid="{00000000-0005-0000-0000-0000F7380000}"/>
    <cellStyle name="_Schedule II_sent by auditors_ISL_conso_June_09_10 2" xfId="14584" xr:uid="{00000000-0005-0000-0000-0000F8380000}"/>
    <cellStyle name="_Schedule II_sent by auditors_ISL_conso_June_09_10 2 2" xfId="14585" xr:uid="{00000000-0005-0000-0000-0000F9380000}"/>
    <cellStyle name="_Schedule II_sent by auditors_ISL_conso_June_09_10 3" xfId="14586" xr:uid="{00000000-0005-0000-0000-0000FA380000}"/>
    <cellStyle name="_Schedule II_sent by auditors_ISL_conso_June_09_10_ISL__3CD_FY2010-11" xfId="14587" xr:uid="{00000000-0005-0000-0000-0000FB380000}"/>
    <cellStyle name="_Schedule II_sent by auditors_ISL_conso_June_10_11" xfId="14588" xr:uid="{00000000-0005-0000-0000-0000FC380000}"/>
    <cellStyle name="_Schedule II_sent by auditors_ISL_conso_June_10_11 2" xfId="14589" xr:uid="{00000000-0005-0000-0000-0000FD380000}"/>
    <cellStyle name="_Schedule II_sent by auditors_ISL_conso_June_10_11 2 2" xfId="14590" xr:uid="{00000000-0005-0000-0000-0000FE380000}"/>
    <cellStyle name="_Schedule II_sent by auditors_ISL_conso_June_10_11 3" xfId="14591" xr:uid="{00000000-0005-0000-0000-0000FF380000}"/>
    <cellStyle name="_Schedule II_sent by auditors_ISL_conso_March_08_09" xfId="14592" xr:uid="{00000000-0005-0000-0000-000000390000}"/>
    <cellStyle name="_Schedule II_sent by auditors_ISL_conso_March_08_09 2" xfId="14593" xr:uid="{00000000-0005-0000-0000-000001390000}"/>
    <cellStyle name="_Schedule II_sent by auditors_ISL_conso_March_08_09 2 2" xfId="14594" xr:uid="{00000000-0005-0000-0000-000002390000}"/>
    <cellStyle name="_Schedule II_sent by auditors_ISL_conso_March_08_09 3" xfId="14595" xr:uid="{00000000-0005-0000-0000-000003390000}"/>
    <cellStyle name="_Schedule II_sent by auditors_ISL_conso_March_08_09_ISL__3CD_FY2010-11" xfId="14596" xr:uid="{00000000-0005-0000-0000-000004390000}"/>
    <cellStyle name="_Schedule II_sent by auditors_ISL_conso_March_09_10" xfId="14597" xr:uid="{00000000-0005-0000-0000-000005390000}"/>
    <cellStyle name="_Schedule II_sent by auditors_ISL_conso_March_09_10 2" xfId="14598" xr:uid="{00000000-0005-0000-0000-000006390000}"/>
    <cellStyle name="_Schedule II_sent by auditors_ISL_conso_March_09_10 2 2" xfId="14599" xr:uid="{00000000-0005-0000-0000-000007390000}"/>
    <cellStyle name="_Schedule II_sent by auditors_ISL_conso_March_09_10 3" xfId="14600" xr:uid="{00000000-0005-0000-0000-000008390000}"/>
    <cellStyle name="_Schedule II_sent by auditors_ISL_conso_May_09_10" xfId="14601" xr:uid="{00000000-0005-0000-0000-000009390000}"/>
    <cellStyle name="_Schedule II_sent by auditors_ISL_conso_May_09_10 2" xfId="14602" xr:uid="{00000000-0005-0000-0000-00000A390000}"/>
    <cellStyle name="_Schedule II_sent by auditors_ISL_conso_May_09_10 2 2" xfId="14603" xr:uid="{00000000-0005-0000-0000-00000B390000}"/>
    <cellStyle name="_Schedule II_sent by auditors_ISL_conso_May_09_10 3" xfId="14604" xr:uid="{00000000-0005-0000-0000-00000C390000}"/>
    <cellStyle name="_Schedule II_sent by auditors_ISL_conso_May_09_10_ISL__3CD_FY2010-11" xfId="14605" xr:uid="{00000000-0005-0000-0000-00000D390000}"/>
    <cellStyle name="_Schedule II_sent by auditors_ISL_conso_May_10_11" xfId="14606" xr:uid="{00000000-0005-0000-0000-00000E390000}"/>
    <cellStyle name="_Schedule II_sent by auditors_ISL_conso_May_10_11 2" xfId="14607" xr:uid="{00000000-0005-0000-0000-00000F390000}"/>
    <cellStyle name="_Schedule II_sent by auditors_ISL_conso_May_10_11 2 2" xfId="14608" xr:uid="{00000000-0005-0000-0000-000010390000}"/>
    <cellStyle name="_Schedule II_sent by auditors_ISL_conso_May_10_11 3" xfId="14609" xr:uid="{00000000-0005-0000-0000-000011390000}"/>
    <cellStyle name="_Schedule II_sent by auditors_ISL_conso_November_09_10" xfId="14610" xr:uid="{00000000-0005-0000-0000-000012390000}"/>
    <cellStyle name="_Schedule II_sent by auditors_ISL_conso_November_09_10 2" xfId="14611" xr:uid="{00000000-0005-0000-0000-000013390000}"/>
    <cellStyle name="_Schedule II_sent by auditors_ISL_conso_November_09_10 2 2" xfId="14612" xr:uid="{00000000-0005-0000-0000-000014390000}"/>
    <cellStyle name="_Schedule II_sent by auditors_ISL_conso_November_09_10 3" xfId="14613" xr:uid="{00000000-0005-0000-0000-000015390000}"/>
    <cellStyle name="_Schedule II_sent by auditors_ISL_conso_November_09_10_ISL__3CD_FY2010-11" xfId="14614" xr:uid="{00000000-0005-0000-0000-000016390000}"/>
    <cellStyle name="_Schedule II_sent by auditors_ISL_conso_November_10_11" xfId="14615" xr:uid="{00000000-0005-0000-0000-000017390000}"/>
    <cellStyle name="_Schedule II_sent by auditors_ISL_conso_November_10_11 2" xfId="14616" xr:uid="{00000000-0005-0000-0000-000018390000}"/>
    <cellStyle name="_Schedule II_sent by auditors_ISL_conso_November_10_11 2 2" xfId="14617" xr:uid="{00000000-0005-0000-0000-000019390000}"/>
    <cellStyle name="_Schedule II_sent by auditors_ISL_conso_November_10_11 3" xfId="14618" xr:uid="{00000000-0005-0000-0000-00001A390000}"/>
    <cellStyle name="_Schedule II_sent by auditors_ISL_conso_October_09_10" xfId="14619" xr:uid="{00000000-0005-0000-0000-00001B390000}"/>
    <cellStyle name="_Schedule II_sent by auditors_ISL_conso_October_09_10 2" xfId="14620" xr:uid="{00000000-0005-0000-0000-00001C390000}"/>
    <cellStyle name="_Schedule II_sent by auditors_ISL_conso_October_09_10 2 2" xfId="14621" xr:uid="{00000000-0005-0000-0000-00001D390000}"/>
    <cellStyle name="_Schedule II_sent by auditors_ISL_conso_October_09_10 3" xfId="14622" xr:uid="{00000000-0005-0000-0000-00001E390000}"/>
    <cellStyle name="_Schedule II_sent by auditors_ISL_conso_October_09_10_ISL__3CD_FY2010-11" xfId="14623" xr:uid="{00000000-0005-0000-0000-00001F390000}"/>
    <cellStyle name="_Schedule II_sent by auditors_ISL_conso_October_10_11" xfId="14624" xr:uid="{00000000-0005-0000-0000-000020390000}"/>
    <cellStyle name="_Schedule II_sent by auditors_ISL_conso_October_10_11 2" xfId="14625" xr:uid="{00000000-0005-0000-0000-000021390000}"/>
    <cellStyle name="_Schedule II_sent by auditors_ISL_conso_October_10_11 2 2" xfId="14626" xr:uid="{00000000-0005-0000-0000-000022390000}"/>
    <cellStyle name="_Schedule II_sent by auditors_ISL_conso_October_10_11 3" xfId="14627" xr:uid="{00000000-0005-0000-0000-000023390000}"/>
    <cellStyle name="_Schedule II_sent by auditors_ISL_conso_September_08_09" xfId="14628" xr:uid="{00000000-0005-0000-0000-000024390000}"/>
    <cellStyle name="_Schedule II_sent by auditors_ISL_conso_September_08_09 2" xfId="14629" xr:uid="{00000000-0005-0000-0000-000025390000}"/>
    <cellStyle name="_Schedule II_sent by auditors_ISL_conso_September_08_09 2 2" xfId="14630" xr:uid="{00000000-0005-0000-0000-000026390000}"/>
    <cellStyle name="_Schedule II_sent by auditors_ISL_conso_September_08_09 3" xfId="14631" xr:uid="{00000000-0005-0000-0000-000027390000}"/>
    <cellStyle name="_Schedule II_sent by auditors_ISL_conso_September_08_09_ISL__3CD_FY2010-11" xfId="14632" xr:uid="{00000000-0005-0000-0000-000028390000}"/>
    <cellStyle name="_Schedule II_sent by auditors_ISL_conso_September_08_09_Results" xfId="14633" xr:uid="{00000000-0005-0000-0000-000029390000}"/>
    <cellStyle name="_Schedule II_sent by auditors_ISL_conso_September_08_09_Results 2" xfId="14634" xr:uid="{00000000-0005-0000-0000-00002A390000}"/>
    <cellStyle name="_Schedule II_sent by auditors_ISL_conso_September_08_09_Results 2 2" xfId="14635" xr:uid="{00000000-0005-0000-0000-00002B390000}"/>
    <cellStyle name="_Schedule II_sent by auditors_ISL_conso_September_08_09_Results 3" xfId="14636" xr:uid="{00000000-0005-0000-0000-00002C390000}"/>
    <cellStyle name="_Schedule II_sent by auditors_ISL_conso_September_08_09_Xl0000012" xfId="14637" xr:uid="{00000000-0005-0000-0000-00002D390000}"/>
    <cellStyle name="_Schedule II_sent by auditors_ISL_conso_September_08_09_Xl0000012 2" xfId="14638" xr:uid="{00000000-0005-0000-0000-00002E390000}"/>
    <cellStyle name="_Schedule II_sent by auditors_ISL_conso_September_08_09_Xl0000012 2 2" xfId="14639" xr:uid="{00000000-0005-0000-0000-00002F390000}"/>
    <cellStyle name="_Schedule II_sent by auditors_ISL_conso_September_08_09_Xl0000012 3" xfId="14640" xr:uid="{00000000-0005-0000-0000-000030390000}"/>
    <cellStyle name="_Schedule II_sent by auditors_ISL_conso_September_09_10" xfId="14641" xr:uid="{00000000-0005-0000-0000-000031390000}"/>
    <cellStyle name="_Schedule II_sent by auditors_ISL_conso_September_09_10 2" xfId="14642" xr:uid="{00000000-0005-0000-0000-000032390000}"/>
    <cellStyle name="_Schedule II_sent by auditors_ISL_conso_September_09_10 2 2" xfId="14643" xr:uid="{00000000-0005-0000-0000-000033390000}"/>
    <cellStyle name="_Schedule II_sent by auditors_ISL_conso_September_09_10 3" xfId="14644" xr:uid="{00000000-0005-0000-0000-000034390000}"/>
    <cellStyle name="_Schedule II_sent by auditors_ISL_conso_September_09_10_ISL__3CD_FY2010-11" xfId="14645" xr:uid="{00000000-0005-0000-0000-000035390000}"/>
    <cellStyle name="_Schedule II_sent by auditors_ISL_conso_September_10_11" xfId="14646" xr:uid="{00000000-0005-0000-0000-000036390000}"/>
    <cellStyle name="_Schedule II_sent by auditors_ISL_conso_September_10_11 2" xfId="14647" xr:uid="{00000000-0005-0000-0000-000037390000}"/>
    <cellStyle name="_Schedule II_sent by auditors_ISL_conso_September_10_11 2 2" xfId="14648" xr:uid="{00000000-0005-0000-0000-000038390000}"/>
    <cellStyle name="_Schedule II_sent by auditors_ISL_conso_September_10_11 3" xfId="14649" xr:uid="{00000000-0005-0000-0000-000039390000}"/>
    <cellStyle name="_Schedule II_sent by auditors_ISL_June_10" xfId="14650" xr:uid="{00000000-0005-0000-0000-00003A390000}"/>
    <cellStyle name="_Schedule II_sent by auditors_ISL_June_10 2" xfId="14651" xr:uid="{00000000-0005-0000-0000-00003B390000}"/>
    <cellStyle name="_Schedule II_sent by auditors_ISL_June_10 2 2" xfId="14652" xr:uid="{00000000-0005-0000-0000-00003C390000}"/>
    <cellStyle name="_Schedule II_sent by auditors_ISL_June_10 3" xfId="14653" xr:uid="{00000000-0005-0000-0000-00003D390000}"/>
    <cellStyle name="_Schedule II_sent by auditors_ISL_MAR_2008_09" xfId="14654" xr:uid="{00000000-0005-0000-0000-00003E390000}"/>
    <cellStyle name="_Schedule II_sent by auditors_ISL_MAR_2008_09 2" xfId="14655" xr:uid="{00000000-0005-0000-0000-00003F390000}"/>
    <cellStyle name="_Schedule II_sent by auditors_ISL_March_08_09.final_11.12.2009" xfId="14656" xr:uid="{00000000-0005-0000-0000-000040390000}"/>
    <cellStyle name="_Schedule II_sent by auditors_ISL_March_08_09.final_11.12.2009_ISL__3CD_FY2010-11" xfId="14657" xr:uid="{00000000-0005-0000-0000-000041390000}"/>
    <cellStyle name="_Schedule II_sent by auditors_ISL_Provisions_30.09.2010" xfId="14658" xr:uid="{00000000-0005-0000-0000-000042390000}"/>
    <cellStyle name="_Schedule II_sent by auditors_ISL_Provisions_30.09.2010 2" xfId="14659" xr:uid="{00000000-0005-0000-0000-000043390000}"/>
    <cellStyle name="_Schedule II_sent by auditors_ITCL_BS working _New format_31.03 V7" xfId="14660" xr:uid="{00000000-0005-0000-0000-000044390000}"/>
    <cellStyle name="_Schedule II_sent by auditors_ITCL-New format_31.03 V6" xfId="14661" xr:uid="{00000000-0005-0000-0000-000045390000}"/>
    <cellStyle name="_Schedule II_sent by auditors_ITR6_2009_10_ICPL1" xfId="14662" xr:uid="{00000000-0005-0000-0000-000046390000}"/>
    <cellStyle name="_Schedule II_sent by auditors_ITR6_2009_10_ICPL1_ISL__3CD_FY2010-11" xfId="14663" xr:uid="{00000000-0005-0000-0000-000047390000}"/>
    <cellStyle name="_Schedule II_sent by auditors_ITR6_2009_10_ISL_Vivek" xfId="14664" xr:uid="{00000000-0005-0000-0000-000048390000}"/>
    <cellStyle name="_Schedule II_sent by auditors_ITR6_2009_10_ISL_Vivek_ISL__3CD_FY2010-11" xfId="14665" xr:uid="{00000000-0005-0000-0000-000049390000}"/>
    <cellStyle name="_Schedule II_sent by auditors_July Consolidation" xfId="14666" xr:uid="{00000000-0005-0000-0000-00004A390000}"/>
    <cellStyle name="_Schedule II_sent by auditors_Land  CWIP status" xfId="14667" xr:uid="{00000000-0005-0000-0000-00004B390000}"/>
    <cellStyle name="_Schedule II_sent by auditors_Land  CWIP status 2" xfId="14668" xr:uid="{00000000-0005-0000-0000-00004C390000}"/>
    <cellStyle name="_Schedule II_sent by auditors_Land Control Sheet Aug 31.08 - Recon" xfId="14669" xr:uid="{00000000-0005-0000-0000-00004D390000}"/>
    <cellStyle name="_Schedule II_sent by auditors_Land Control Sheet Aug 31.08 - Recon 2" xfId="14670" xr:uid="{00000000-0005-0000-0000-00004E390000}"/>
    <cellStyle name="_Schedule II_sent by auditors_Land Control Sheet Sep 26.08" xfId="14671" xr:uid="{00000000-0005-0000-0000-00004F390000}"/>
    <cellStyle name="_Schedule II_sent by auditors_Land Control Sheet Sep 26.08 2" xfId="14672" xr:uid="{00000000-0005-0000-0000-000050390000}"/>
    <cellStyle name="_Schedule II_sent by auditors_loan" xfId="14673" xr:uid="{00000000-0005-0000-0000-000051390000}"/>
    <cellStyle name="_Schedule II_sent by auditors_loan_ISL__3CD_FY2010-11" xfId="14674" xr:uid="{00000000-0005-0000-0000-000052390000}"/>
    <cellStyle name="_Schedule II_sent by auditors_NFCL working file" xfId="14675" xr:uid="{00000000-0005-0000-0000-000053390000}"/>
    <cellStyle name="_Schedule II_sent by auditors_NFCL_ Tax Audit Report FY08-09 " xfId="14676" xr:uid="{00000000-0005-0000-0000-000054390000}"/>
    <cellStyle name="_Schedule II_sent by auditors_Power Group - Advance Tax working for 3rd Installment" xfId="14677" xr:uid="{00000000-0005-0000-0000-000055390000}"/>
    <cellStyle name="_Schedule II_sent by auditors_Provision" xfId="14678" xr:uid="{00000000-0005-0000-0000-000056390000}"/>
    <cellStyle name="_Schedule II_sent by auditors_Provision 2" xfId="14679" xr:uid="{00000000-0005-0000-0000-000057390000}"/>
    <cellStyle name="_Schedule II_sent by auditors_Provision for Exp - FY 0809" xfId="14680" xr:uid="{00000000-0005-0000-0000-000058390000}"/>
    <cellStyle name="_Schedule II_sent by auditors_Provision for Exp - FY 0809_ISL__3CD_FY2010-11" xfId="14681" xr:uid="{00000000-0005-0000-0000-000059390000}"/>
    <cellStyle name="_Schedule II_sent by auditors_Provision March 09 (1)" xfId="14682" xr:uid="{00000000-0005-0000-0000-00005A390000}"/>
    <cellStyle name="_Schedule II_sent by auditors_Provision March 09 (1) 2" xfId="14683" xr:uid="{00000000-0005-0000-0000-00005B390000}"/>
    <cellStyle name="_Schedule II_sent by auditors_provisions q3" xfId="14684" xr:uid="{00000000-0005-0000-0000-00005C390000}"/>
    <cellStyle name="_Schedule II_sent by auditors_provisions q3 2" xfId="14685" xr:uid="{00000000-0005-0000-0000-00005D390000}"/>
    <cellStyle name="_Schedule II_sent by auditors_Result" xfId="14686" xr:uid="{00000000-0005-0000-0000-00005E390000}"/>
    <cellStyle name="_Schedule II_sent by auditors_Result 2" xfId="14687" xr:uid="{00000000-0005-0000-0000-00005F390000}"/>
    <cellStyle name="_Schedule II_sent by auditors_Result 2 2" xfId="14688" xr:uid="{00000000-0005-0000-0000-000060390000}"/>
    <cellStyle name="_Schedule II_sent by auditors_Result 3" xfId="14689" xr:uid="{00000000-0005-0000-0000-000061390000}"/>
    <cellStyle name="_Schedule II_sent by auditors_Results" xfId="14690" xr:uid="{00000000-0005-0000-0000-000062390000}"/>
    <cellStyle name="_Schedule II_sent by auditors_Results  Format - Sep 30" xfId="14691" xr:uid="{00000000-0005-0000-0000-000063390000}"/>
    <cellStyle name="_Schedule II_sent by auditors_Results  Format - Sep 30 2" xfId="14692" xr:uid="{00000000-0005-0000-0000-000064390000}"/>
    <cellStyle name="_Schedule II_sent by auditors_Results  Format - Sep 30_EPS working" xfId="14693" xr:uid="{00000000-0005-0000-0000-000065390000}"/>
    <cellStyle name="_Schedule II_sent by auditors_Results  Format - Sep 30_EPS working 2" xfId="14694" xr:uid="{00000000-0005-0000-0000-000066390000}"/>
    <cellStyle name="_Schedule II_sent by auditors_Results  Format - Sep 30_EPS working 2 2" xfId="14695" xr:uid="{00000000-0005-0000-0000-000067390000}"/>
    <cellStyle name="_Schedule II_sent by auditors_Results  Format - Sep 30_EPS working 3" xfId="14696" xr:uid="{00000000-0005-0000-0000-000068390000}"/>
    <cellStyle name="_Schedule II_sent by auditors_Results  Format - Sep 30_EPS working_IBREAL_BS PACK-Version.02" xfId="14697" xr:uid="{00000000-0005-0000-0000-000069390000}"/>
    <cellStyle name="_Schedule II_sent by auditors_Results  Format - Sep 30_EPS working_IBREAL_BS PACK-Version.02 2" xfId="14698" xr:uid="{00000000-0005-0000-0000-00006A390000}"/>
    <cellStyle name="_Schedule II_sent by auditors_Results  Format - Sep 30_EPS working_IBREAL_BS PACK-Version.02 2 2" xfId="14699" xr:uid="{00000000-0005-0000-0000-00006B390000}"/>
    <cellStyle name="_Schedule II_sent by auditors_Results  Format - Sep 30_EPS working_IBREAL_BS PACK-Version.02 3" xfId="14700" xr:uid="{00000000-0005-0000-0000-00006C390000}"/>
    <cellStyle name="_Schedule II_sent by auditors_Results  Format - Sep 30_EPS working_IBREAL_BS PACK-Version.02_IBREAL_BS PACK-Version.03" xfId="14701" xr:uid="{00000000-0005-0000-0000-00006D390000}"/>
    <cellStyle name="_Schedule II_sent by auditors_Results  Format - Sep 30_EPS working_IBREAL_BS PACK-Version.02_IBREAL_BS PACK-Version.03 2" xfId="14702" xr:uid="{00000000-0005-0000-0000-00006E390000}"/>
    <cellStyle name="_Schedule II_sent by auditors_Results  Format - Sep 30_EPS working_IBREAL_BS PACK-Version.02_IBREAL_BS PACK-Version.03 2 2" xfId="14703" xr:uid="{00000000-0005-0000-0000-00006F390000}"/>
    <cellStyle name="_Schedule II_sent by auditors_Results  Format - Sep 30_EPS working_IBREAL_BS PACK-Version.02_IBREAL_BS PACK-Version.03 3" xfId="14704" xr:uid="{00000000-0005-0000-0000-000070390000}"/>
    <cellStyle name="_Schedule II_sent by auditors_Results  Format - Sep 30_EPS working_IBREAL_BS PACK-Version.02_IBREAL_BS PACK-Version.03_IBREAL_BS PACK-Version.07" xfId="14705" xr:uid="{00000000-0005-0000-0000-000071390000}"/>
    <cellStyle name="_Schedule II_sent by auditors_Results  Format - Sep 30_EPS working_IBREAL_BS PACK-Version.02_IBREAL_BS PACK-Version.03_IBREAL_BS PACK-Version.07 2" xfId="14706" xr:uid="{00000000-0005-0000-0000-000072390000}"/>
    <cellStyle name="_Schedule II_sent by auditors_Results  Format - Sep 30_EPS working_IBREAL_BS PACK-Version.02_IBREAL_BS PACK-Version.03_IBREAL_BS PACK-Version.07 2 2" xfId="14707" xr:uid="{00000000-0005-0000-0000-000073390000}"/>
    <cellStyle name="_Schedule II_sent by auditors_Results  Format - Sep 30_EPS working_IBREAL_BS PACK-Version.02_IBREAL_BS PACK-Version.03_IBREAL_BS PACK-Version.07 3" xfId="14708" xr:uid="{00000000-0005-0000-0000-000074390000}"/>
    <cellStyle name="_Schedule II_sent by auditors_Results  Format - Sep 30_IREL_3000_08-09" xfId="14709" xr:uid="{00000000-0005-0000-0000-000075390000}"/>
    <cellStyle name="_Schedule II_sent by auditors_Results  Format - Sep 30_IREL_3000_08-09 2" xfId="14710" xr:uid="{00000000-0005-0000-0000-000076390000}"/>
    <cellStyle name="_Schedule II_sent by auditors_Results  Format - Sep 30_IREL_3000_08-09 2 2" xfId="14711" xr:uid="{00000000-0005-0000-0000-000077390000}"/>
    <cellStyle name="_Schedule II_sent by auditors_Results  Format - Sep 30_IREL_3000_08-09 3" xfId="14712" xr:uid="{00000000-0005-0000-0000-000078390000}"/>
    <cellStyle name="_Schedule II_sent by auditors_Results  Format - Sep 30_IREL_3000_08-09 stage 3" xfId="14713" xr:uid="{00000000-0005-0000-0000-000079390000}"/>
    <cellStyle name="_Schedule II_sent by auditors_Results  Format - Sep 30_IREL_3000_08-09 stage 3 2" xfId="14714" xr:uid="{00000000-0005-0000-0000-00007A390000}"/>
    <cellStyle name="_Schedule II_sent by auditors_Results  Format - Sep 30_IREL_3000_08-09 stage 3_IREL_3000_08-09" xfId="14715" xr:uid="{00000000-0005-0000-0000-00007B390000}"/>
    <cellStyle name="_Schedule II_sent by auditors_Results  Format - Sep 30_IREL_3000_08-09 stage 3_IREL_3000_08-09 2" xfId="14716" xr:uid="{00000000-0005-0000-0000-00007C390000}"/>
    <cellStyle name="_Schedule II_sent by auditors_Results  Format - Sep 30_IREL_3000_08-09 stage 3_IREL_3000_08-09 2 2" xfId="14717" xr:uid="{00000000-0005-0000-0000-00007D390000}"/>
    <cellStyle name="_Schedule II_sent by auditors_Results  Format - Sep 30_IREL_3000_08-09 stage 3_IREL_3000_08-09 3" xfId="14718" xr:uid="{00000000-0005-0000-0000-00007E390000}"/>
    <cellStyle name="_Schedule II_sent by auditors_Results  Format - Sep 30_IREL_3000_08-09_IBREAL_BS PACK-Version.02" xfId="14719" xr:uid="{00000000-0005-0000-0000-00007F390000}"/>
    <cellStyle name="_Schedule II_sent by auditors_Results  Format - Sep 30_IREL_3000_08-09_IBREAL_BS PACK-Version.02 2" xfId="14720" xr:uid="{00000000-0005-0000-0000-000080390000}"/>
    <cellStyle name="_Schedule II_sent by auditors_Results  Format - Sep 30_IREL_3000_08-09_IBREAL_BS PACK-Version.02 2 2" xfId="14721" xr:uid="{00000000-0005-0000-0000-000081390000}"/>
    <cellStyle name="_Schedule II_sent by auditors_Results  Format - Sep 30_IREL_3000_08-09_IBREAL_BS PACK-Version.02 3" xfId="14722" xr:uid="{00000000-0005-0000-0000-000082390000}"/>
    <cellStyle name="_Schedule II_sent by auditors_Results  Format - Sep 30_IREL_3000_08-09_IBREAL_BS PACK-Version.02_IBREAL_BS PACK-Version.03" xfId="14723" xr:uid="{00000000-0005-0000-0000-000083390000}"/>
    <cellStyle name="_Schedule II_sent by auditors_Results  Format - Sep 30_IREL_3000_08-09_IBREAL_BS PACK-Version.02_IBREAL_BS PACK-Version.03 2" xfId="14724" xr:uid="{00000000-0005-0000-0000-000084390000}"/>
    <cellStyle name="_Schedule II_sent by auditors_Results  Format - Sep 30_IREL_3000_08-09_IBREAL_BS PACK-Version.02_IBREAL_BS PACK-Version.03 2 2" xfId="14725" xr:uid="{00000000-0005-0000-0000-000085390000}"/>
    <cellStyle name="_Schedule II_sent by auditors_Results  Format - Sep 30_IREL_3000_08-09_IBREAL_BS PACK-Version.02_IBREAL_BS PACK-Version.03 3" xfId="14726" xr:uid="{00000000-0005-0000-0000-000086390000}"/>
    <cellStyle name="_Schedule II_sent by auditors_Results  Format - Sep 30_IREL_3000_08-09_IBREAL_BS PACK-Version.02_IBREAL_BS PACK-Version.03_IBREAL_BS PACK-Version.07" xfId="14727" xr:uid="{00000000-0005-0000-0000-000087390000}"/>
    <cellStyle name="_Schedule II_sent by auditors_Results  Format - Sep 30_IREL_3000_08-09_IBREAL_BS PACK-Version.02_IBREAL_BS PACK-Version.03_IBREAL_BS PACK-Version.07 2" xfId="14728" xr:uid="{00000000-0005-0000-0000-000088390000}"/>
    <cellStyle name="_Schedule II_sent by auditors_Results  Format - Sep 30_IREL_3000_08-09_IBREAL_BS PACK-Version.02_IBREAL_BS PACK-Version.03_IBREAL_BS PACK-Version.07 2 2" xfId="14729" xr:uid="{00000000-0005-0000-0000-000089390000}"/>
    <cellStyle name="_Schedule II_sent by auditors_Results  Format - Sep 30_IREL_3000_08-09_IBREAL_BS PACK-Version.02_IBREAL_BS PACK-Version.03_IBREAL_BS PACK-Version.07 3" xfId="14730" xr:uid="{00000000-0005-0000-0000-00008A390000}"/>
    <cellStyle name="_Schedule II_sent by auditors_Results  Format - Sep 30_IREL_3000_2009-29_July2009  Final Shahi" xfId="14731" xr:uid="{00000000-0005-0000-0000-00008B390000}"/>
    <cellStyle name="_Schedule II_sent by auditors_Results  Format - Sep 30_IREL_3000_2009-29_July2009  Final Shahi 2" xfId="14732" xr:uid="{00000000-0005-0000-0000-00008C390000}"/>
    <cellStyle name="_Schedule II_sent by auditors_Results  Format - Sep 30_IREL_3000_2009-29_July2009  Final Shahi 2 2" xfId="14733" xr:uid="{00000000-0005-0000-0000-00008D390000}"/>
    <cellStyle name="_Schedule II_sent by auditors_Results  Format - Sep 30_IREL_3000_2009-29_July2009  Final Shahi 3" xfId="14734" xr:uid="{00000000-0005-0000-0000-00008E390000}"/>
    <cellStyle name="_Schedule II_sent by auditors_Results  Format - Sep 30_IREL_3000_2009-29_July2009  Final Shahi_IBREAL_BS PACK-Version.02" xfId="14735" xr:uid="{00000000-0005-0000-0000-00008F390000}"/>
    <cellStyle name="_Schedule II_sent by auditors_Results  Format - Sep 30_IREL_3000_2009-29_July2009  Final Shahi_IBREAL_BS PACK-Version.02 2" xfId="14736" xr:uid="{00000000-0005-0000-0000-000090390000}"/>
    <cellStyle name="_Schedule II_sent by auditors_Results  Format - Sep 30_IREL_3000_2009-29_July2009  Final Shahi_IBREAL_BS PACK-Version.02 2 2" xfId="14737" xr:uid="{00000000-0005-0000-0000-000091390000}"/>
    <cellStyle name="_Schedule II_sent by auditors_Results  Format - Sep 30_IREL_3000_2009-29_July2009  Final Shahi_IBREAL_BS PACK-Version.02 3" xfId="14738" xr:uid="{00000000-0005-0000-0000-000092390000}"/>
    <cellStyle name="_Schedule II_sent by auditors_Results  Format - Sep 30_IREL_3000_2009-29_July2009  Final Shahi_IBREAL_BS PACK-Version.02_IBREAL_BS PACK-Version.03" xfId="14739" xr:uid="{00000000-0005-0000-0000-000093390000}"/>
    <cellStyle name="_Schedule II_sent by auditors_Results  Format - Sep 30_IREL_3000_2009-29_July2009  Final Shahi_IBREAL_BS PACK-Version.02_IBREAL_BS PACK-Version.03 2" xfId="14740" xr:uid="{00000000-0005-0000-0000-000094390000}"/>
    <cellStyle name="_Schedule II_sent by auditors_Results  Format - Sep 30_IREL_3000_2009-29_July2009  Final Shahi_IBREAL_BS PACK-Version.02_IBREAL_BS PACK-Version.03 2 2" xfId="14741" xr:uid="{00000000-0005-0000-0000-000095390000}"/>
    <cellStyle name="_Schedule II_sent by auditors_Results  Format - Sep 30_IREL_3000_2009-29_July2009  Final Shahi_IBREAL_BS PACK-Version.02_IBREAL_BS PACK-Version.03 3" xfId="14742" xr:uid="{00000000-0005-0000-0000-000096390000}"/>
    <cellStyle name="_Schedule II_sent by auditors_Results  Format - Sep 30_IREL_3000_2009-29_July2009  Final Shahi_IBREAL_BS PACK-Version.02_IBREAL_BS PACK-Version.03_IBREAL_BS PACK-Version.07" xfId="14743" xr:uid="{00000000-0005-0000-0000-000097390000}"/>
    <cellStyle name="_Schedule II_sent by auditors_Results  Format - Sep 30_IREL_3000_2009-29_July2009  Final Shahi_IBREAL_BS PACK-Version.02_IBREAL_BS PACK-Version.03_IBREAL_BS PACK-Version.07 2" xfId="14744" xr:uid="{00000000-0005-0000-0000-000098390000}"/>
    <cellStyle name="_Schedule II_sent by auditors_Results  Format - Sep 30_IREL_3000_2009-29_July2009  Final Shahi_IBREAL_BS PACK-Version.02_IBREAL_BS PACK-Version.03_IBREAL_BS PACK-Version.07 2 2" xfId="14745" xr:uid="{00000000-0005-0000-0000-000099390000}"/>
    <cellStyle name="_Schedule II_sent by auditors_Results  Format - Sep 30_IREL_3000_2009-29_July2009  Final Shahi_IBREAL_BS PACK-Version.02_IBREAL_BS PACK-Version.03_IBREAL_BS PACK-Version.07 3" xfId="14746" xr:uid="{00000000-0005-0000-0000-00009A390000}"/>
    <cellStyle name="_Schedule II_sent by auditors_Results 2" xfId="14747" xr:uid="{00000000-0005-0000-0000-00009B390000}"/>
    <cellStyle name="_Schedule II_sent by auditors_Results 2 2" xfId="14748" xr:uid="{00000000-0005-0000-0000-00009C390000}"/>
    <cellStyle name="_Schedule II_sent by auditors_Results 3" xfId="14749" xr:uid="{00000000-0005-0000-0000-00009D390000}"/>
    <cellStyle name="_Schedule II_sent by auditors_Results 3 2" xfId="14750" xr:uid="{00000000-0005-0000-0000-00009E390000}"/>
    <cellStyle name="_Schedule II_sent by auditors_Results 4" xfId="14751" xr:uid="{00000000-0005-0000-0000-00009F390000}"/>
    <cellStyle name="_Schedule II_sent by auditors_Results 5" xfId="14752" xr:uid="{00000000-0005-0000-0000-0000A0390000}"/>
    <cellStyle name="_Schedule II_sent by auditors_Results 6" xfId="14753" xr:uid="{00000000-0005-0000-0000-0000A1390000}"/>
    <cellStyle name="_Schedule II_sent by auditors_Results 7" xfId="14754" xr:uid="{00000000-0005-0000-0000-0000A2390000}"/>
    <cellStyle name="_Schedule II_sent by auditors_Results 8" xfId="14755" xr:uid="{00000000-0005-0000-0000-0000A3390000}"/>
    <cellStyle name="_Schedule II_sent by auditors_Results 9" xfId="14756" xr:uid="{00000000-0005-0000-0000-0000A4390000}"/>
    <cellStyle name="_Schedule II_sent by auditors_Revised Consol Balance Sheet_Sophia_Jan09_10.02.2009" xfId="14757" xr:uid="{00000000-0005-0000-0000-0000A5390000}"/>
    <cellStyle name="_Schedule II_sent by auditors_SCH" xfId="14758" xr:uid="{00000000-0005-0000-0000-0000A6390000}"/>
    <cellStyle name="_Schedule II_sent by auditors_SCH_Tax Audit Report  ICSL F.Y.09-10" xfId="14759" xr:uid="{00000000-0005-0000-0000-0000A7390000}"/>
    <cellStyle name="_Schedule II_sent by auditors_Sheet2" xfId="14760" xr:uid="{00000000-0005-0000-0000-0000A8390000}"/>
    <cellStyle name="_Schedule II_sent by auditors_Sheet4" xfId="14761" xr:uid="{00000000-0005-0000-0000-0000A9390000}"/>
    <cellStyle name="_Schedule II_sent by auditors_Sophia Consol for Printout 22 Jun 09" xfId="14762" xr:uid="{00000000-0005-0000-0000-0000AA390000}"/>
    <cellStyle name="_Schedule II_sent by auditors_Sophia Consol_march_09_05 June  09_1" xfId="14763" xr:uid="{00000000-0005-0000-0000-0000AB390000}"/>
    <cellStyle name="_Schedule II_sent by auditors_sophia_Nov08" xfId="14764" xr:uid="{00000000-0005-0000-0000-0000AC390000}"/>
    <cellStyle name="_Schedule II_sent by auditors_Standalone Financials - March 31, 2010 - Printable" xfId="14765" xr:uid="{00000000-0005-0000-0000-0000AD390000}"/>
    <cellStyle name="_Schedule II_sent by auditors_Standalone Financials - March 31, 2010 - Printable_ISL__3CD_FY2010-11" xfId="14766" xr:uid="{00000000-0005-0000-0000-0000AE390000}"/>
    <cellStyle name="_Schedule II_sent by auditors_Tax Audit Report  F.Y.08-09" xfId="14767" xr:uid="{00000000-0005-0000-0000-0000AF390000}"/>
    <cellStyle name="_Schedule II_sent by auditors_Tax Audit Report  ICSL F.Y.09-10" xfId="14768" xr:uid="{00000000-0005-0000-0000-0000B0390000}"/>
    <cellStyle name="_Schedule II_sent by auditors_TB Sept" xfId="14769" xr:uid="{00000000-0005-0000-0000-0000B1390000}"/>
    <cellStyle name="_Schedule II_sent by auditors_TB Sept_Tax Audit Report  ICSL F.Y.09-10" xfId="14770" xr:uid="{00000000-0005-0000-0000-0000B2390000}"/>
    <cellStyle name="_Schedule II_sent by auditors_Treasury ICD Interest_ MIS_ 23  09 2009(final)" xfId="14771" xr:uid="{00000000-0005-0000-0000-0000B3390000}"/>
    <cellStyle name="_Schedule II_sent by auditors_Treasury ICD Interest_ MIS_ 30. 06 2009(final)" xfId="14772" xr:uid="{00000000-0005-0000-0000-0000B4390000}"/>
    <cellStyle name="_Schedule II_sent by auditors_Treasury ICD Interest_ MIS_ 30. 09 2009(final)" xfId="14773" xr:uid="{00000000-0005-0000-0000-0000B5390000}"/>
    <cellStyle name="_Schedule II_sent by auditors_Treasury ICD Interest_ MIS_ 31 05 2009" xfId="14774" xr:uid="{00000000-0005-0000-0000-0000B6390000}"/>
    <cellStyle name="_Schedule II_sent by auditors_Treasury ICD Interest_ MIS_ 31 10 2009" xfId="14775" xr:uid="{00000000-0005-0000-0000-0000B7390000}"/>
    <cellStyle name="_Schedule II_sent by auditors_Treasury ICD Interest_ MIS_ 31.10.2009" xfId="14776" xr:uid="{00000000-0005-0000-0000-0000B8390000}"/>
    <cellStyle name="_Schedule II_sent by auditors_Treasury ICD Interest_ MIS_ 310309" xfId="14777" xr:uid="{00000000-0005-0000-0000-0000B9390000}"/>
    <cellStyle name="_Schedule II_sent by auditors_Xl0000012" xfId="14778" xr:uid="{00000000-0005-0000-0000-0000BA390000}"/>
    <cellStyle name="_Schedule II_sent by auditors_Xl0000012 2" xfId="14779" xr:uid="{00000000-0005-0000-0000-0000BB390000}"/>
    <cellStyle name="_Schedule II_sent by auditors_Xl0000012 2 2" xfId="14780" xr:uid="{00000000-0005-0000-0000-0000BC390000}"/>
    <cellStyle name="_Schedule II_sent by auditors_Xl0000012 3" xfId="14781" xr:uid="{00000000-0005-0000-0000-0000BD390000}"/>
    <cellStyle name="_Schedule II_sent by auditors_Xl0000013" xfId="14782" xr:uid="{00000000-0005-0000-0000-0000BE390000}"/>
    <cellStyle name="_Schedule III" xfId="14783" xr:uid="{00000000-0005-0000-0000-0000BF390000}"/>
    <cellStyle name="_Schedule III 2" xfId="14784" xr:uid="{00000000-0005-0000-0000-0000C0390000}"/>
    <cellStyle name="_Schedule III_Advance Tax Format_F.Y. 2010-11" xfId="14785" xr:uid="{00000000-0005-0000-0000-0000C1390000}"/>
    <cellStyle name="_Schedule III_Asset Management Company Limited" xfId="14786" xr:uid="{00000000-0005-0000-0000-0000C2390000}"/>
    <cellStyle name="_Schedule III_BS _IB Asset Management _3103_ver5" xfId="14787" xr:uid="{00000000-0005-0000-0000-0000C3390000}"/>
    <cellStyle name="_Schedule III_BS _IB Asset Management _3103_ver5_IAMCL BS working -New format_31.03 V5" xfId="14788" xr:uid="{00000000-0005-0000-0000-0000C4390000}"/>
    <cellStyle name="_Schedule III_CRAR - dec- 10v-12" xfId="14789" xr:uid="{00000000-0005-0000-0000-0000C5390000}"/>
    <cellStyle name="_Schedule III_CRAR - dec- 10v-12 2" xfId="14790" xr:uid="{00000000-0005-0000-0000-0000C6390000}"/>
    <cellStyle name="_Schedule III_IAMCL BS working -New format_31.03 V5" xfId="14791" xr:uid="{00000000-0005-0000-0000-0000C7390000}"/>
    <cellStyle name="_Schedule III_IB Asset Management _2910" xfId="14792" xr:uid="{00000000-0005-0000-0000-0000C8390000}"/>
    <cellStyle name="_Schedule III_IB Asset Management _2910_IB Collection Agency_3103 V3" xfId="14793" xr:uid="{00000000-0005-0000-0000-0000C9390000}"/>
    <cellStyle name="_Schedule III_IB Asset Management _2910_IB Collection Agency_3103 V3_ICAL-New Format_31.03 V4" xfId="14794" xr:uid="{00000000-0005-0000-0000-0000CA390000}"/>
    <cellStyle name="_Schedule III_IB Asset Management _2910_ICAL-BS Final Working _New format" xfId="14795" xr:uid="{00000000-0005-0000-0000-0000CB390000}"/>
    <cellStyle name="_Schedule III_IB Asset Management _3103_ver5" xfId="14796" xr:uid="{00000000-0005-0000-0000-0000CC390000}"/>
    <cellStyle name="_Schedule III_IB Asset Management_3103 V2" xfId="14797" xr:uid="{00000000-0005-0000-0000-0000CD390000}"/>
    <cellStyle name="_Schedule III_IB Asset Management_3103 V4" xfId="14798" xr:uid="{00000000-0005-0000-0000-0000CE390000}"/>
    <cellStyle name="_Schedule III_IB Asset Management_3103 V5" xfId="14799" xr:uid="{00000000-0005-0000-0000-0000CF390000}"/>
    <cellStyle name="_Schedule III_IB Collection Agency_3103 V3" xfId="14800" xr:uid="{00000000-0005-0000-0000-0000D0390000}"/>
    <cellStyle name="_Schedule III_IB Collection Agency_3103 V3_ICAL-New Format_31.03 V4" xfId="14801" xr:uid="{00000000-0005-0000-0000-0000D1390000}"/>
    <cellStyle name="_Schedule III_IB Infrastructure Credit" xfId="14802" xr:uid="{00000000-0005-0000-0000-0000D2390000}"/>
    <cellStyle name="_Schedule III_IB Infrastructure Credit-3103_V6" xfId="14803" xr:uid="{00000000-0005-0000-0000-0000D3390000}"/>
    <cellStyle name="_Schedule III_IB Infrastructure Credit-3103_V7" xfId="14804" xr:uid="{00000000-0005-0000-0000-0000D4390000}"/>
    <cellStyle name="_Schedule III_IB Life Insurance_3103 V4" xfId="14805" xr:uid="{00000000-0005-0000-0000-0000D5390000}"/>
    <cellStyle name="_Schedule III_IB Trustee Company_3103 V4" xfId="14806" xr:uid="{00000000-0005-0000-0000-0000D6390000}"/>
    <cellStyle name="_Schedule III_IBFSL_Conso_March_10_11" xfId="14807" xr:uid="{00000000-0005-0000-0000-0000D7390000}"/>
    <cellStyle name="_Schedule III_IBLIC_BS  Final working -New_Format_31.03 V5" xfId="14808" xr:uid="{00000000-0005-0000-0000-0000D8390000}"/>
    <cellStyle name="_Schedule III_Ibulls BS Final woirking -New format_31.03 V5" xfId="14809" xr:uid="{00000000-0005-0000-0000-0000D9390000}"/>
    <cellStyle name="_Schedule III_IbullsSales_3103" xfId="14810" xr:uid="{00000000-0005-0000-0000-0000DA390000}"/>
    <cellStyle name="_Schedule III_IbullsSales_3103 V2" xfId="14811" xr:uid="{00000000-0005-0000-0000-0000DB390000}"/>
    <cellStyle name="_Schedule III_IbullsSales_3103 V5" xfId="14812" xr:uid="{00000000-0005-0000-0000-0000DC390000}"/>
    <cellStyle name="_Schedule III_ICAL-BS Final Working _New format" xfId="14813" xr:uid="{00000000-0005-0000-0000-0000DD390000}"/>
    <cellStyle name="_Schedule III_IHFL_SEP_30_2009 XIII AUDIT- Sch II" xfId="14814" xr:uid="{00000000-0005-0000-0000-0000DE390000}"/>
    <cellStyle name="_Schedule III_IICL_March'11" xfId="14815" xr:uid="{00000000-0005-0000-0000-0000DF390000}"/>
    <cellStyle name="_Schedule III_Indiabulls Asset Management Company Limited printable" xfId="14816" xr:uid="{00000000-0005-0000-0000-0000E0390000}"/>
    <cellStyle name="_Schedule III_ITCL_BS working _New format_31.03 V7" xfId="14817" xr:uid="{00000000-0005-0000-0000-0000E1390000}"/>
    <cellStyle name="_Schedule III_ITCL-New format_31.03 V6" xfId="14818" xr:uid="{00000000-0005-0000-0000-0000E2390000}"/>
    <cellStyle name="_Schedule III_NFCL working file" xfId="14819" xr:uid="{00000000-0005-0000-0000-0000E3390000}"/>
    <cellStyle name="_Schedule III_NFCL_ Tax Audit Report FY08-09 " xfId="14820" xr:uid="{00000000-0005-0000-0000-0000E4390000}"/>
    <cellStyle name="_Schedule III_Tax Audit Report  F.Y.08-09" xfId="14821" xr:uid="{00000000-0005-0000-0000-0000E5390000}"/>
    <cellStyle name="_Schedule III_Tax Audit Report  ICSL F.Y.09-10" xfId="14822" xr:uid="{00000000-0005-0000-0000-0000E6390000}"/>
    <cellStyle name="_Schedule III_Xl0000013" xfId="14823" xr:uid="{00000000-0005-0000-0000-0000E7390000}"/>
    <cellStyle name="_Securities Active Sheet - 1st July'08" xfId="14824" xr:uid="{00000000-0005-0000-0000-0000E8390000}"/>
    <cellStyle name="_Securities Active Sheet - 1st July'08 2" xfId="14825" xr:uid="{00000000-0005-0000-0000-0000E9390000}"/>
    <cellStyle name="_securitisation details nhb report nov" xfId="14826" xr:uid="{00000000-0005-0000-0000-0000EA390000}"/>
    <cellStyle name="_securitisation details nhb report nov 2" xfId="14827" xr:uid="{00000000-0005-0000-0000-0000EB390000}"/>
    <cellStyle name="_securitisation details nhb report nov_Details of Assets &amp; Liablilities" xfId="14828" xr:uid="{00000000-0005-0000-0000-0000EC390000}"/>
    <cellStyle name="_securitisation details nhb report nov_Details of Assets &amp; Liablilities 2" xfId="14829" xr:uid="{00000000-0005-0000-0000-0000ED390000}"/>
    <cellStyle name="_securitisation details nhb report nov_Details of Assets &amp; Liablilities 3" xfId="14830" xr:uid="{00000000-0005-0000-0000-0000EE390000}"/>
    <cellStyle name="_securitisation details nhb report nov_IBL_09.12.2009" xfId="14831" xr:uid="{00000000-0005-0000-0000-0000EF390000}"/>
    <cellStyle name="_securitisation details nhb report nov_IBL_09.12.2009 2" xfId="14832" xr:uid="{00000000-0005-0000-0000-0000F0390000}"/>
    <cellStyle name="_securitisation details nhb report nov_ICL_22 12 2009" xfId="14833" xr:uid="{00000000-0005-0000-0000-0000F1390000}"/>
    <cellStyle name="_securitisation details nhb report nov_ICL_22 12 2009 2" xfId="14834" xr:uid="{00000000-0005-0000-0000-0000F2390000}"/>
    <cellStyle name="_securitisation details nhb report nov_Indiabulls Asset Management Company Limited printable" xfId="14835" xr:uid="{00000000-0005-0000-0000-0000F3390000}"/>
    <cellStyle name="_security Charges final tracker" xfId="14836" xr:uid="{00000000-0005-0000-0000-0000F4390000}"/>
    <cellStyle name="_security Charges final tracker 2" xfId="14837" xr:uid="{00000000-0005-0000-0000-0000F5390000}"/>
    <cellStyle name="_security Charges final tracker_IHFL_September_30_2010 VERSION 10" xfId="14838" xr:uid="{00000000-0005-0000-0000-0000F6390000}"/>
    <cellStyle name="_Segment Working" xfId="14839" xr:uid="{00000000-0005-0000-0000-0000F7390000}"/>
    <cellStyle name="_Segment Working (2)" xfId="14840" xr:uid="{00000000-0005-0000-0000-0000F8390000}"/>
    <cellStyle name="_Segment Working 2" xfId="14841" xr:uid="{00000000-0005-0000-0000-0000F9390000}"/>
    <cellStyle name="_Segment Working_Indiabulls Asset Management Company Limited printable" xfId="14842" xr:uid="{00000000-0005-0000-0000-0000FA390000}"/>
    <cellStyle name="_Sept 07" xfId="14843" xr:uid="{00000000-0005-0000-0000-0000FB390000}"/>
    <cellStyle name="_Service tax details 0708_to ajayji" xfId="14844" xr:uid="{00000000-0005-0000-0000-0000FC390000}"/>
    <cellStyle name="_Service tax details 0708_to ajayji 2" xfId="14845" xr:uid="{00000000-0005-0000-0000-0000FD390000}"/>
    <cellStyle name="_Sheet1" xfId="14846" xr:uid="{00000000-0005-0000-0000-0000FE390000}"/>
    <cellStyle name="_Sheet1 2" xfId="14847" xr:uid="{00000000-0005-0000-0000-0000FF390000}"/>
    <cellStyle name="_Sheet1_Indiabulls Asset Management Company Limited printable" xfId="14848" xr:uid="{00000000-0005-0000-0000-0000003A0000}"/>
    <cellStyle name="_Sheet2" xfId="14849" xr:uid="{00000000-0005-0000-0000-0000013A0000}"/>
    <cellStyle name="_Sheet2 2" xfId="14850" xr:uid="{00000000-0005-0000-0000-0000023A0000}"/>
    <cellStyle name="_Sheet3" xfId="14851" xr:uid="{00000000-0005-0000-0000-0000033A0000}"/>
    <cellStyle name="_Sheet3 2" xfId="14852" xr:uid="{00000000-0005-0000-0000-0000043A0000}"/>
    <cellStyle name="_Sheet3_Details of Assets &amp; Liablilities" xfId="14853" xr:uid="{00000000-0005-0000-0000-0000053A0000}"/>
    <cellStyle name="_Sheet3_Details of Assets &amp; Liablilities 2" xfId="14854" xr:uid="{00000000-0005-0000-0000-0000063A0000}"/>
    <cellStyle name="_Sheet3_Details of Assets &amp; Liablilities 3" xfId="14855" xr:uid="{00000000-0005-0000-0000-0000073A0000}"/>
    <cellStyle name="_Sheet3_IBL_09.12.2009" xfId="14856" xr:uid="{00000000-0005-0000-0000-0000083A0000}"/>
    <cellStyle name="_Sheet3_IBL_09.12.2009 2" xfId="14857" xr:uid="{00000000-0005-0000-0000-0000093A0000}"/>
    <cellStyle name="_Sheet3_ICL_22 12 2009" xfId="14858" xr:uid="{00000000-0005-0000-0000-00000A3A0000}"/>
    <cellStyle name="_Sheet3_ICL_22 12 2009 2" xfId="14859" xr:uid="{00000000-0005-0000-0000-00000B3A0000}"/>
    <cellStyle name="_Sheet3_Indiabulls Asset Management Company Limited printable" xfId="14860" xr:uid="{00000000-0005-0000-0000-00000C3A0000}"/>
    <cellStyle name="_SME incentive Collection July 2008" xfId="14861" xr:uid="{00000000-0005-0000-0000-00000D3A0000}"/>
    <cellStyle name="_SME incentive Collection July 2008 2" xfId="14862" xr:uid="{00000000-0005-0000-0000-00000E3A0000}"/>
    <cellStyle name="_SME incentive Collection June 2008" xfId="14863" xr:uid="{00000000-0005-0000-0000-00000F3A0000}"/>
    <cellStyle name="_SME incentive Collection June 2008 2" xfId="14864" xr:uid="{00000000-0005-0000-0000-0000103A0000}"/>
    <cellStyle name="_SME Sales Incentive - Jan'08" xfId="14865" xr:uid="{00000000-0005-0000-0000-0000113A0000}"/>
    <cellStyle name="_SME Sales Incentive - Jan'08 2" xfId="14866" xr:uid="{00000000-0005-0000-0000-0000123A0000}"/>
    <cellStyle name="_SME Sales Incentive May'2008" xfId="14867" xr:uid="{00000000-0005-0000-0000-0000133A0000}"/>
    <cellStyle name="_SME Sales Incentive May'2008 2" xfId="14868" xr:uid="{00000000-0005-0000-0000-0000143A0000}"/>
    <cellStyle name="_Sophia Consol for Printout 22 Jun 09" xfId="14869" xr:uid="{00000000-0005-0000-0000-0000153A0000}"/>
    <cellStyle name="_Sophia Consol_march_09_05 June  09_1" xfId="14870" xr:uid="{00000000-0005-0000-0000-0000163A0000}"/>
    <cellStyle name="_Sources of Funds" xfId="14871" xr:uid="{00000000-0005-0000-0000-0000173A0000}"/>
    <cellStyle name="_Sources of Funds 2" xfId="14872" xr:uid="{00000000-0005-0000-0000-0000183A0000}"/>
    <cellStyle name="_Sources of Funds 3" xfId="14873" xr:uid="{00000000-0005-0000-0000-0000193A0000}"/>
    <cellStyle name="_Sources of Funds_ISL_conso_September_09_10" xfId="14874" xr:uid="{00000000-0005-0000-0000-00001A3A0000}"/>
    <cellStyle name="_Sources of Funds_ISL_conso_September_09_10 2" xfId="14875" xr:uid="{00000000-0005-0000-0000-00001B3A0000}"/>
    <cellStyle name="_Sources of Funds_ISL_conso_September_09_10 2 2" xfId="14876" xr:uid="{00000000-0005-0000-0000-00001C3A0000}"/>
    <cellStyle name="_Sources of Funds_ISL_conso_September_09_10 3" xfId="14877" xr:uid="{00000000-0005-0000-0000-00001D3A0000}"/>
    <cellStyle name="_Sources of Funds_ISL_Provisions_30.09.2010" xfId="14878" xr:uid="{00000000-0005-0000-0000-00001E3A0000}"/>
    <cellStyle name="_Sources of Funds_ISL_Provisions_30.09.2010 2" xfId="14879" xr:uid="{00000000-0005-0000-0000-00001F3A0000}"/>
    <cellStyle name="_Sources of Funds_Provision" xfId="14880" xr:uid="{00000000-0005-0000-0000-0000203A0000}"/>
    <cellStyle name="_Sources of Funds_Provision 2" xfId="14881" xr:uid="{00000000-0005-0000-0000-0000213A0000}"/>
    <cellStyle name="_Sources of Funds_Provision for Exp - FY 0809" xfId="14882" xr:uid="{00000000-0005-0000-0000-0000223A0000}"/>
    <cellStyle name="_Sources of Funds_provisions q3" xfId="14883" xr:uid="{00000000-0005-0000-0000-0000233A0000}"/>
    <cellStyle name="_Sources of Funds_provisions q3 2" xfId="14884" xr:uid="{00000000-0005-0000-0000-0000243A0000}"/>
    <cellStyle name="_Sources of Funds_Results" xfId="14885" xr:uid="{00000000-0005-0000-0000-0000253A0000}"/>
    <cellStyle name="_Sources of Funds_Results 2" xfId="14886" xr:uid="{00000000-0005-0000-0000-0000263A0000}"/>
    <cellStyle name="_Sources of Funds_Results 2 2" xfId="14887" xr:uid="{00000000-0005-0000-0000-0000273A0000}"/>
    <cellStyle name="_Sources of Funds_Results 3" xfId="14888" xr:uid="{00000000-0005-0000-0000-0000283A0000}"/>
    <cellStyle name="_Spring Festival 2008 - Fair" xfId="14889" xr:uid="{00000000-0005-0000-0000-0000293A0000}"/>
    <cellStyle name="_Spring Festival 2008 - Fair 2" xfId="14890" xr:uid="{00000000-0005-0000-0000-00002A3A0000}"/>
    <cellStyle name="_Statutory dues report 10-11" xfId="14891" xr:uid="{00000000-0005-0000-0000-00002B3A0000}"/>
    <cellStyle name="_Statutory dues report upto Mar'10" xfId="14892" xr:uid="{00000000-0005-0000-0000-00002C3A0000}"/>
    <cellStyle name="_STPL Coll- October'08" xfId="14893" xr:uid="{00000000-0005-0000-0000-00002D3A0000}"/>
    <cellStyle name="_STPL Coll- October'08 2" xfId="14894" xr:uid="{00000000-0005-0000-0000-00002E3A0000}"/>
    <cellStyle name="_STPL Coll- sept'2008 " xfId="14895" xr:uid="{00000000-0005-0000-0000-00002F3A0000}"/>
    <cellStyle name="_STPL Coll- sept'2008  2" xfId="14896" xr:uid="{00000000-0005-0000-0000-0000303A0000}"/>
    <cellStyle name="_STPL-Coll- RCM &amp; Above august 2008" xfId="14897" xr:uid="{00000000-0005-0000-0000-0000313A0000}"/>
    <cellStyle name="_STPL-Coll- RCM &amp; Above august 2008 2" xfId="14898" xr:uid="{00000000-0005-0000-0000-0000323A0000}"/>
    <cellStyle name="_Summary" xfId="14899" xr:uid="{00000000-0005-0000-0000-0000333A0000}"/>
    <cellStyle name="_summary (2)" xfId="14900" xr:uid="{00000000-0005-0000-0000-0000343A0000}"/>
    <cellStyle name="_summary (2) 2" xfId="14901" xr:uid="{00000000-0005-0000-0000-0000353A0000}"/>
    <cellStyle name="_Summary 10" xfId="14902" xr:uid="{00000000-0005-0000-0000-0000363A0000}"/>
    <cellStyle name="_Summary 2" xfId="14903" xr:uid="{00000000-0005-0000-0000-0000373A0000}"/>
    <cellStyle name="_Summary 2 2" xfId="14904" xr:uid="{00000000-0005-0000-0000-0000383A0000}"/>
    <cellStyle name="_Summary 3" xfId="14905" xr:uid="{00000000-0005-0000-0000-0000393A0000}"/>
    <cellStyle name="_Summary 4" xfId="14906" xr:uid="{00000000-0005-0000-0000-00003A3A0000}"/>
    <cellStyle name="_Summary 5" xfId="14907" xr:uid="{00000000-0005-0000-0000-00003B3A0000}"/>
    <cellStyle name="_Summary 6" xfId="14908" xr:uid="{00000000-0005-0000-0000-00003C3A0000}"/>
    <cellStyle name="_Summary 7" xfId="14909" xr:uid="{00000000-0005-0000-0000-00003D3A0000}"/>
    <cellStyle name="_Summary 8" xfId="14910" xr:uid="{00000000-0005-0000-0000-00003E3A0000}"/>
    <cellStyle name="_Summary 9" xfId="14911" xr:uid="{00000000-0005-0000-0000-00003F3A0000}"/>
    <cellStyle name="_Summary_269SS &amp; T IIAPL 09-10" xfId="14912" xr:uid="{00000000-0005-0000-0000-0000403A0000}"/>
    <cellStyle name="_Summary_Abstract-2007-08" xfId="14913" xr:uid="{00000000-0005-0000-0000-0000413A0000}"/>
    <cellStyle name="_Summary_Abstract-2007-08 2" xfId="14914" xr:uid="{00000000-0005-0000-0000-0000423A0000}"/>
    <cellStyle name="_Summary_Advance Tax Format_F.Y. 2010-11" xfId="14915" xr:uid="{00000000-0005-0000-0000-0000433A0000}"/>
    <cellStyle name="_Summary_Advance Tax Sophia Jun 09" xfId="14916" xr:uid="{00000000-0005-0000-0000-0000443A0000}"/>
    <cellStyle name="_Summary_Asset Management Company Limited" xfId="14917" xr:uid="{00000000-0005-0000-0000-0000453A0000}"/>
    <cellStyle name="_Summary_Base File For Segment" xfId="14918" xr:uid="{00000000-0005-0000-0000-0000463A0000}"/>
    <cellStyle name="_Summary_Book1" xfId="14919" xr:uid="{00000000-0005-0000-0000-0000473A0000}"/>
    <cellStyle name="_Summary_Book1 (2)" xfId="14920" xr:uid="{00000000-0005-0000-0000-0000483A0000}"/>
    <cellStyle name="_Summary_Book1 (2) 2" xfId="14921" xr:uid="{00000000-0005-0000-0000-0000493A0000}"/>
    <cellStyle name="_Summary_Bracond Balance Sheet  PL_301108_krishanu" xfId="14922" xr:uid="{00000000-0005-0000-0000-00004A3A0000}"/>
    <cellStyle name="_Summary_BS _IB Asset Management _3103_ver5" xfId="14923" xr:uid="{00000000-0005-0000-0000-00004B3A0000}"/>
    <cellStyle name="_Summary_BS _IB Asset Management _3103_ver5_IAMCL BS working -New format_31.03 V5" xfId="14924" xr:uid="{00000000-0005-0000-0000-00004C3A0000}"/>
    <cellStyle name="_Summary_CCL_3353_2007-08" xfId="14925" xr:uid="{00000000-0005-0000-0000-00004D3A0000}"/>
    <cellStyle name="_Summary_ChlorisProperties_3351_Dec.08" xfId="14926" xr:uid="{00000000-0005-0000-0000-00004E3A0000}"/>
    <cellStyle name="_Summary_Consol Balance Sheet_Sophia_Dec08_Ibrel_1.3" xfId="14927" xr:uid="{00000000-0005-0000-0000-00004F3A0000}"/>
    <cellStyle name="_Summary_CRAR - dec- 10v-12" xfId="14928" xr:uid="{00000000-0005-0000-0000-0000503A0000}"/>
    <cellStyle name="_Summary_CRAR - dec- 10v-12 2" xfId="14929" xr:uid="{00000000-0005-0000-0000-0000513A0000}"/>
    <cellStyle name="_Summary_detail (2)" xfId="14930" xr:uid="{00000000-0005-0000-0000-0000523A0000}"/>
    <cellStyle name="_Summary_Detail of IPO funding" xfId="14931" xr:uid="{00000000-0005-0000-0000-0000533A0000}"/>
    <cellStyle name="_Summary_Details" xfId="14932" xr:uid="{00000000-0005-0000-0000-0000543A0000}"/>
    <cellStyle name="_Summary_Entries Passed in Conso for profit on sale of invRevised 30.07.08" xfId="14933" xr:uid="{00000000-0005-0000-0000-0000553A0000}"/>
    <cellStyle name="_Summary_Entries Passed in Conso for profit on sale of invRevised 30.07.08 2" xfId="14934" xr:uid="{00000000-0005-0000-0000-0000563A0000}"/>
    <cellStyle name="_Summary_Entries Passed in Conso for profit on sale of invRevised 30.07.08_IREL_3000_08-09" xfId="14935" xr:uid="{00000000-0005-0000-0000-0000573A0000}"/>
    <cellStyle name="_Summary_Entries Passed in Conso for profit on sale of invRevised 30.07.08_IREL_3000_08-09 2" xfId="14936" xr:uid="{00000000-0005-0000-0000-0000583A0000}"/>
    <cellStyle name="_Summary_Entries Passed in Conso for profit on sale of invRevised 30.07.08_IREL_3000_08-09 2 2" xfId="14937" xr:uid="{00000000-0005-0000-0000-0000593A0000}"/>
    <cellStyle name="_Summary_Entries Passed in Conso for profit on sale of invRevised 30.07.08_IREL_3000_08-09 3" xfId="14938" xr:uid="{00000000-0005-0000-0000-00005A3A0000}"/>
    <cellStyle name="_Summary_Entries Passed in Conso for profit on sale of invRevised 30.07.08_IREL_3000_08-09 stage 3" xfId="14939" xr:uid="{00000000-0005-0000-0000-00005B3A0000}"/>
    <cellStyle name="_Summary_Entries Passed in Conso for profit on sale of invRevised 30.07.08_IREL_3000_08-09 stage 3 2" xfId="14940" xr:uid="{00000000-0005-0000-0000-00005C3A0000}"/>
    <cellStyle name="_Summary_Entries Passed in Conso for profit on sale of invRevised 30.07.08_IREL_3000_08-09 stage 3_IREL_3000_08-09" xfId="14941" xr:uid="{00000000-0005-0000-0000-00005D3A0000}"/>
    <cellStyle name="_Summary_Entries Passed in Conso for profit on sale of invRevised 30.07.08_IREL_3000_08-09 stage 3_IREL_3000_08-09 2" xfId="14942" xr:uid="{00000000-0005-0000-0000-00005E3A0000}"/>
    <cellStyle name="_Summary_Entries Passed in Conso for profit on sale of invRevised 30.07.08_IREL_3000_08-09 stage 3_IREL_3000_08-09 2 2" xfId="14943" xr:uid="{00000000-0005-0000-0000-00005F3A0000}"/>
    <cellStyle name="_Summary_Entries Passed in Conso for profit on sale of invRevised 30.07.08_IREL_3000_08-09 stage 3_IREL_3000_08-09 3" xfId="14944" xr:uid="{00000000-0005-0000-0000-0000603A0000}"/>
    <cellStyle name="_Summary_Entries Passed in Conso for profit on sale of invRevised 30.07.08_IREL_3000_08-09_IBREAL_BS PACK-Version.02" xfId="14945" xr:uid="{00000000-0005-0000-0000-0000613A0000}"/>
    <cellStyle name="_Summary_Entries Passed in Conso for profit on sale of invRevised 30.07.08_IREL_3000_08-09_IBREAL_BS PACK-Version.02 2" xfId="14946" xr:uid="{00000000-0005-0000-0000-0000623A0000}"/>
    <cellStyle name="_Summary_Entries Passed in Conso for profit on sale of invRevised 30.07.08_IREL_3000_08-09_IBREAL_BS PACK-Version.02 2 2" xfId="14947" xr:uid="{00000000-0005-0000-0000-0000633A0000}"/>
    <cellStyle name="_Summary_Entries Passed in Conso for profit on sale of invRevised 30.07.08_IREL_3000_08-09_IBREAL_BS PACK-Version.02 3" xfId="14948" xr:uid="{00000000-0005-0000-0000-0000643A0000}"/>
    <cellStyle name="_Summary_Entries Passed in Conso for profit on sale of invRevised 30.07.08_IREL_3000_08-09_IBREAL_BS PACK-Version.02_IBREAL_BS PACK-Version.03" xfId="14949" xr:uid="{00000000-0005-0000-0000-0000653A0000}"/>
    <cellStyle name="_Summary_Entries Passed in Conso for profit on sale of invRevised 30.07.08_IREL_3000_08-09_IBREAL_BS PACK-Version.02_IBREAL_BS PACK-Version.03 2" xfId="14950" xr:uid="{00000000-0005-0000-0000-0000663A0000}"/>
    <cellStyle name="_Summary_Entries Passed in Conso for profit on sale of invRevised 30.07.08_IREL_3000_08-09_IBREAL_BS PACK-Version.02_IBREAL_BS PACK-Version.03 2 2" xfId="14951" xr:uid="{00000000-0005-0000-0000-0000673A0000}"/>
    <cellStyle name="_Summary_Entries Passed in Conso for profit on sale of invRevised 30.07.08_IREL_3000_08-09_IBREAL_BS PACK-Version.02_IBREAL_BS PACK-Version.03 3" xfId="14952" xr:uid="{00000000-0005-0000-0000-0000683A0000}"/>
    <cellStyle name="_Summary_Entries Passed in Conso for profit on sale of invRevised 30.07.08_IREL_3000_08-09_IBREAL_BS PACK-Version.02_IBREAL_BS PACK-Version.03_IBREAL_BS PACK-Version.07" xfId="14953" xr:uid="{00000000-0005-0000-0000-0000693A0000}"/>
    <cellStyle name="_Summary_Entries Passed in Conso for profit on sale of invRevised 30.07.08_IREL_3000_08-09_IBREAL_BS PACK-Version.02_IBREAL_BS PACK-Version.03_IBREAL_BS PACK-Version.07 2" xfId="14954" xr:uid="{00000000-0005-0000-0000-00006A3A0000}"/>
    <cellStyle name="_Summary_Entries Passed in Conso for profit on sale of invRevised 30.07.08_IREL_3000_08-09_IBREAL_BS PACK-Version.02_IBREAL_BS PACK-Version.03_IBREAL_BS PACK-Version.07 2 2" xfId="14955" xr:uid="{00000000-0005-0000-0000-00006B3A0000}"/>
    <cellStyle name="_Summary_Entries Passed in Conso for profit on sale of invRevised 30.07.08_IREL_3000_08-09_IBREAL_BS PACK-Version.02_IBREAL_BS PACK-Version.03_IBREAL_BS PACK-Version.07 3" xfId="14956" xr:uid="{00000000-0005-0000-0000-00006C3A0000}"/>
    <cellStyle name="_Summary_EPL_3346_2007-08(C)" xfId="14957" xr:uid="{00000000-0005-0000-0000-00006D3A0000}"/>
    <cellStyle name="_Summary_FD Detail" xfId="14958" xr:uid="{00000000-0005-0000-0000-00006E3A0000}"/>
    <cellStyle name="_Summary_FD Detail_Xl0000013" xfId="14959" xr:uid="{00000000-0005-0000-0000-00006F3A0000}"/>
    <cellStyle name="_Summary_Final Consol Balance Sheet_Sophia_Dec08_27.01.08" xfId="14960" xr:uid="{00000000-0005-0000-0000-0000703A0000}"/>
    <cellStyle name="_Summary_Fixed Assets consolidated" xfId="14961" xr:uid="{00000000-0005-0000-0000-0000713A0000}"/>
    <cellStyle name="_Summary_IAMCL BS working -New format_31.03 V5" xfId="14962" xr:uid="{00000000-0005-0000-0000-0000723A0000}"/>
    <cellStyle name="_Summary_IB Asset Management _2910" xfId="14963" xr:uid="{00000000-0005-0000-0000-0000733A0000}"/>
    <cellStyle name="_Summary_IB Asset Management _2910_IB Collection Agency_3103 V3" xfId="14964" xr:uid="{00000000-0005-0000-0000-0000743A0000}"/>
    <cellStyle name="_Summary_IB Asset Management _2910_IB Collection Agency_3103 V3_ICAL-New Format_31.03 V4" xfId="14965" xr:uid="{00000000-0005-0000-0000-0000753A0000}"/>
    <cellStyle name="_Summary_IB Asset Management _2910_ICAL-BS Final Working _New format" xfId="14966" xr:uid="{00000000-0005-0000-0000-0000763A0000}"/>
    <cellStyle name="_Summary_IB Asset Management _3103_ver5" xfId="14967" xr:uid="{00000000-0005-0000-0000-0000773A0000}"/>
    <cellStyle name="_Summary_IB Asset Management_3103 V2" xfId="14968" xr:uid="{00000000-0005-0000-0000-0000783A0000}"/>
    <cellStyle name="_Summary_IB Asset Management_3103 V4" xfId="14969" xr:uid="{00000000-0005-0000-0000-0000793A0000}"/>
    <cellStyle name="_Summary_IB Asset Management_3103 V5" xfId="14970" xr:uid="{00000000-0005-0000-0000-00007A3A0000}"/>
    <cellStyle name="_Summary_IB Collection Agency_3103 V3" xfId="14971" xr:uid="{00000000-0005-0000-0000-00007B3A0000}"/>
    <cellStyle name="_Summary_IB Collection Agency_3103 V3_ICAL-New Format_31.03 V4" xfId="14972" xr:uid="{00000000-0005-0000-0000-00007C3A0000}"/>
    <cellStyle name="_Summary_IB Infrastructure Credit" xfId="14973" xr:uid="{00000000-0005-0000-0000-00007D3A0000}"/>
    <cellStyle name="_Summary_IB Infrastructure Credit-3103_V6" xfId="14974" xr:uid="{00000000-0005-0000-0000-00007E3A0000}"/>
    <cellStyle name="_Summary_IB Infrastructure Credit-3103_V7" xfId="14975" xr:uid="{00000000-0005-0000-0000-00007F3A0000}"/>
    <cellStyle name="_Summary_IB Life Insurance_3103 V4" xfId="14976" xr:uid="{00000000-0005-0000-0000-0000803A0000}"/>
    <cellStyle name="_Summary_IB Trustee Company_3103 V4" xfId="14977" xr:uid="{00000000-0005-0000-0000-0000813A0000}"/>
    <cellStyle name="_Summary_IBFSL 30 Sep 11 V8" xfId="14978" xr:uid="{00000000-0005-0000-0000-0000823A0000}"/>
    <cellStyle name="_Summary_IBFSL 31 May V1" xfId="14979" xr:uid="{00000000-0005-0000-0000-0000833A0000}"/>
    <cellStyle name="_Summary_IBFSL 31 May V1_Xl0000013" xfId="14980" xr:uid="{00000000-0005-0000-0000-0000843A0000}"/>
    <cellStyle name="_Summary_IBFSL_Conso_March_10_11" xfId="14981" xr:uid="{00000000-0005-0000-0000-0000853A0000}"/>
    <cellStyle name="_Summary_IBLIC_BS  Final working -New_Format_31.03 V5" xfId="14982" xr:uid="{00000000-0005-0000-0000-0000863A0000}"/>
    <cellStyle name="_Summary_Ibulls BS Final woirking -New format_31.03 V5" xfId="14983" xr:uid="{00000000-0005-0000-0000-0000873A0000}"/>
    <cellStyle name="_Summary_IbullsSales_3103" xfId="14984" xr:uid="{00000000-0005-0000-0000-0000883A0000}"/>
    <cellStyle name="_Summary_IbullsSales_3103 V2" xfId="14985" xr:uid="{00000000-0005-0000-0000-0000893A0000}"/>
    <cellStyle name="_Summary_IbullsSales_3103 V5" xfId="14986" xr:uid="{00000000-0005-0000-0000-00008A3A0000}"/>
    <cellStyle name="_Summary_ICAL-BS Final Working _New format" xfId="14987" xr:uid="{00000000-0005-0000-0000-00008B3A0000}"/>
    <cellStyle name="_Summary_ICL_BS_30.06.2009" xfId="14988" xr:uid="{00000000-0005-0000-0000-00008C3A0000}"/>
    <cellStyle name="_Summary_ICPL_BS_31.03.2009_new" xfId="14989" xr:uid="{00000000-0005-0000-0000-00008D3A0000}"/>
    <cellStyle name="_Summary_ICPL_BS_31.03.2009_new_ISL__3CD_FY2010-11" xfId="14990" xr:uid="{00000000-0005-0000-0000-00008E3A0000}"/>
    <cellStyle name="_Summary_IDSL_31.03.2010" xfId="14991" xr:uid="{00000000-0005-0000-0000-00008F3A0000}"/>
    <cellStyle name="_Summary_IFCPL 31 03 2010 VER6 Final" xfId="14992" xr:uid="{00000000-0005-0000-0000-0000903A0000}"/>
    <cellStyle name="_Summary_IHFL_Dec_23_2008" xfId="14993" xr:uid="{00000000-0005-0000-0000-0000913A0000}"/>
    <cellStyle name="_Summary_IHFL_Dec_23_2008_Xl0000013" xfId="14994" xr:uid="{00000000-0005-0000-0000-0000923A0000}"/>
    <cellStyle name="_Summary_IHFL_SEP_30_2009 XIII AUDIT- Sch II" xfId="14995" xr:uid="{00000000-0005-0000-0000-0000933A0000}"/>
    <cellStyle name="_Summary_IIAL 31.03.2010 VER2" xfId="14996" xr:uid="{00000000-0005-0000-0000-0000943A0000}"/>
    <cellStyle name="_Summary_IICL_March'11" xfId="14997" xr:uid="{00000000-0005-0000-0000-0000953A0000}"/>
    <cellStyle name="_Summary_IIDL_3227_2008_09" xfId="14998" xr:uid="{00000000-0005-0000-0000-0000963A0000}"/>
    <cellStyle name="_Summary_IIDL_3227_2008_09_Advance Tax Summary" xfId="14999" xr:uid="{00000000-0005-0000-0000-0000973A0000}"/>
    <cellStyle name="_Summary_IIDL_3227_2008_09_Advance Tax Summary 2" xfId="15000" xr:uid="{00000000-0005-0000-0000-0000983A0000}"/>
    <cellStyle name="_Summary_IIDL_3227_2008_09_ISL Group - Advance Tax working for 3rd Instalment" xfId="15001" xr:uid="{00000000-0005-0000-0000-0000993A0000}"/>
    <cellStyle name="_Summary_IIDL_3227_2008_09_Xl0000013" xfId="15002" xr:uid="{00000000-0005-0000-0000-00009A3A0000}"/>
    <cellStyle name="_Summary_Indiabulls Asset Management Company Limited printable" xfId="15003" xr:uid="{00000000-0005-0000-0000-00009B3A0000}"/>
    <cellStyle name="_Summary_IREL_3000_08-09" xfId="15004" xr:uid="{00000000-0005-0000-0000-00009C3A0000}"/>
    <cellStyle name="_Summary_IREL_3000_08-09 2" xfId="15005" xr:uid="{00000000-0005-0000-0000-00009D3A0000}"/>
    <cellStyle name="_Summary_ISL_March_08_09.final_11.12.2009" xfId="15006" xr:uid="{00000000-0005-0000-0000-00009E3A0000}"/>
    <cellStyle name="_Summary_ISL_March_08_09.final_11.12.2009_ISL__3CD_FY2010-11" xfId="15007" xr:uid="{00000000-0005-0000-0000-00009F3A0000}"/>
    <cellStyle name="_Summary_ITCL_BS working _New format_31.03 V7" xfId="15008" xr:uid="{00000000-0005-0000-0000-0000A03A0000}"/>
    <cellStyle name="_Summary_ITCL-New format_31.03 V6" xfId="15009" xr:uid="{00000000-0005-0000-0000-0000A13A0000}"/>
    <cellStyle name="_Summary_NFCL working file" xfId="15010" xr:uid="{00000000-0005-0000-0000-0000A23A0000}"/>
    <cellStyle name="_Summary_NFCL_ Tax Audit Report FY08-09 " xfId="15011" xr:uid="{00000000-0005-0000-0000-0000A33A0000}"/>
    <cellStyle name="_Summary_Revised Consol Balance Sheet_Sophia_Jan09_10.02.2009" xfId="15012" xr:uid="{00000000-0005-0000-0000-0000A43A0000}"/>
    <cellStyle name="_Summary_Sophia Consol for Printout 22 Jun 09" xfId="15013" xr:uid="{00000000-0005-0000-0000-0000A53A0000}"/>
    <cellStyle name="_Summary_Sophia Consol_march_09_05 June  09_1" xfId="15014" xr:uid="{00000000-0005-0000-0000-0000A63A0000}"/>
    <cellStyle name="_Summary_Tax Audit Report  F.Y.08-09" xfId="15015" xr:uid="{00000000-0005-0000-0000-0000A73A0000}"/>
    <cellStyle name="_Summary_Tax Audit Report  ICSL F.Y.09-10" xfId="15016" xr:uid="{00000000-0005-0000-0000-0000A83A0000}"/>
    <cellStyle name="_Summary_Treasury ICD Interest_ MIS_ 23  09 2009(final)" xfId="15017" xr:uid="{00000000-0005-0000-0000-0000A93A0000}"/>
    <cellStyle name="_Summary_Treasury ICD Interest_ MIS_ 30. 06 2009(final)" xfId="15018" xr:uid="{00000000-0005-0000-0000-0000AA3A0000}"/>
    <cellStyle name="_Summary_Treasury ICD Interest_ MIS_ 30. 09 2009(final)" xfId="15019" xr:uid="{00000000-0005-0000-0000-0000AB3A0000}"/>
    <cellStyle name="_Summary_Treasury ICD Interest_ MIS_ 31 05 2009" xfId="15020" xr:uid="{00000000-0005-0000-0000-0000AC3A0000}"/>
    <cellStyle name="_Summary_Treasury ICD Interest_ MIS_ 31 10 2009" xfId="15021" xr:uid="{00000000-0005-0000-0000-0000AD3A0000}"/>
    <cellStyle name="_Summary_Treasury ICD Interest_ MIS_ 31.10.2009" xfId="15022" xr:uid="{00000000-0005-0000-0000-0000AE3A0000}"/>
    <cellStyle name="_Summary_Treasury ICD Interest_ MIS_ 310309" xfId="15023" xr:uid="{00000000-0005-0000-0000-0000AF3A0000}"/>
    <cellStyle name="_Tax Audit Report  F.Y.09-10" xfId="15024" xr:uid="{00000000-0005-0000-0000-0000B03A0000}"/>
    <cellStyle name="_Tax audit requirements DSTSL" xfId="15025" xr:uid="{00000000-0005-0000-0000-0000B13A0000}"/>
    <cellStyle name="_Tax_Audit_Requirements" xfId="15026" xr:uid="{00000000-0005-0000-0000-0000B23A0000}"/>
    <cellStyle name="_Tax_Audit_Requirements 2" xfId="15027" xr:uid="{00000000-0005-0000-0000-0000B33A0000}"/>
    <cellStyle name="_Taxation (Net of Provision)" xfId="15028" xr:uid="{00000000-0005-0000-0000-0000B43A0000}"/>
    <cellStyle name="_Taxation (Net of Provision) (4)" xfId="15029" xr:uid="{00000000-0005-0000-0000-0000B53A0000}"/>
    <cellStyle name="_Taxation (Net of Provision) (4)_BS _IB Asset Management _3103_ver5" xfId="15030" xr:uid="{00000000-0005-0000-0000-0000B63A0000}"/>
    <cellStyle name="_Taxation (Net of Provision) (4)_BS _IB Asset Management _3103_ver5_IAMCL BS working -New format_31.03 V5" xfId="15031" xr:uid="{00000000-0005-0000-0000-0000B73A0000}"/>
    <cellStyle name="_Taxation (Net of Provision) (4)_IAMCL BS working -New format_31.03 V5" xfId="15032" xr:uid="{00000000-0005-0000-0000-0000B83A0000}"/>
    <cellStyle name="_Taxation (Net of Provision) (4)_IB Asset Management_3103 V5" xfId="15033" xr:uid="{00000000-0005-0000-0000-0000B93A0000}"/>
    <cellStyle name="_Taxation (Net of Provision) (4)_IB Collection Agency_3103 V3" xfId="15034" xr:uid="{00000000-0005-0000-0000-0000BA3A0000}"/>
    <cellStyle name="_Taxation (Net of Provision) (4)_IB Collection Agency_3103 V3_ICAL-New Format_31.03 V4" xfId="15035" xr:uid="{00000000-0005-0000-0000-0000BB3A0000}"/>
    <cellStyle name="_Taxation (Net of Provision) (4)_Ibulls BS Final woirking -New format_31.03 V5" xfId="15036" xr:uid="{00000000-0005-0000-0000-0000BC3A0000}"/>
    <cellStyle name="_Taxation (Net of Provision) (4)_IbullsSales_3103 V5" xfId="15037" xr:uid="{00000000-0005-0000-0000-0000BD3A0000}"/>
    <cellStyle name="_Taxation (Net of Provision) (4)_ICAL-BS Final Working _New format" xfId="15038" xr:uid="{00000000-0005-0000-0000-0000BE3A0000}"/>
    <cellStyle name="_Taxation (Net of Provision) (4)_Indiabulls Asset Management Company Limited printable" xfId="15039" xr:uid="{00000000-0005-0000-0000-0000BF3A0000}"/>
    <cellStyle name="_Taxation (Net of Provision)_Asset Management Company Limited" xfId="15040" xr:uid="{00000000-0005-0000-0000-0000C03A0000}"/>
    <cellStyle name="_Taxation (Net of Provision)_BS _IB Asset Management _3103_ver5" xfId="15041" xr:uid="{00000000-0005-0000-0000-0000C13A0000}"/>
    <cellStyle name="_Taxation (Net of Provision)_BS _IB Asset Management _3103_ver5_IAMCL BS working -New format_31.03 V5" xfId="15042" xr:uid="{00000000-0005-0000-0000-0000C23A0000}"/>
    <cellStyle name="_Taxation (Net of Provision)_IAMCL BS working -New format_31.03 V5" xfId="15043" xr:uid="{00000000-0005-0000-0000-0000C33A0000}"/>
    <cellStyle name="_Taxation (Net of Provision)_IB Asset Management _2910" xfId="15044" xr:uid="{00000000-0005-0000-0000-0000C43A0000}"/>
    <cellStyle name="_Taxation (Net of Provision)_IB Asset Management _2910_IB Collection Agency_3103 V3" xfId="15045" xr:uid="{00000000-0005-0000-0000-0000C53A0000}"/>
    <cellStyle name="_Taxation (Net of Provision)_IB Asset Management _2910_IB Collection Agency_3103 V3_ICAL-New Format_31.03 V4" xfId="15046" xr:uid="{00000000-0005-0000-0000-0000C63A0000}"/>
    <cellStyle name="_Taxation (Net of Provision)_IB Asset Management _2910_ICAL-BS Final Working _New format" xfId="15047" xr:uid="{00000000-0005-0000-0000-0000C73A0000}"/>
    <cellStyle name="_Taxation (Net of Provision)_IB Asset Management_3103 V5" xfId="15048" xr:uid="{00000000-0005-0000-0000-0000C83A0000}"/>
    <cellStyle name="_Taxation (Net of Provision)_IB Collection Agency_3103 V3" xfId="15049" xr:uid="{00000000-0005-0000-0000-0000C93A0000}"/>
    <cellStyle name="_Taxation (Net of Provision)_IB Collection Agency_3103 V3_ICAL-New Format_31.03 V4" xfId="15050" xr:uid="{00000000-0005-0000-0000-0000CA3A0000}"/>
    <cellStyle name="_Taxation (Net of Provision)_Ibulls BS Final woirking -New format_31.03 V5" xfId="15051" xr:uid="{00000000-0005-0000-0000-0000CB3A0000}"/>
    <cellStyle name="_Taxation (Net of Provision)_IbullsSales_3103 V5" xfId="15052" xr:uid="{00000000-0005-0000-0000-0000CC3A0000}"/>
    <cellStyle name="_Taxation (Net of Provision)_ICAL-BS Final Working _New format" xfId="15053" xr:uid="{00000000-0005-0000-0000-0000CD3A0000}"/>
    <cellStyle name="_Taxation (Net of Provision)_Indiabulls Asset Management Company Limited printable" xfId="15054" xr:uid="{00000000-0005-0000-0000-0000CE3A0000}"/>
    <cellStyle name="_TDs cert  req  Insurance" xfId="15055" xr:uid="{00000000-0005-0000-0000-0000CF3A0000}"/>
    <cellStyle name="_TDs cert  req  Insurance 2" xfId="15056" xr:uid="{00000000-0005-0000-0000-0000D03A0000}"/>
    <cellStyle name="_TDs cert  req  Insurance_Indiabulls Asset Management Company Limited printable" xfId="15057" xr:uid="{00000000-0005-0000-0000-0000D13A0000}"/>
    <cellStyle name="_TDS Summary (2)" xfId="15058" xr:uid="{00000000-0005-0000-0000-0000D23A0000}"/>
    <cellStyle name="_TDS Summary (2) 2" xfId="15059" xr:uid="{00000000-0005-0000-0000-0000D33A0000}"/>
    <cellStyle name="_TDS Summary (2) 2 2" xfId="15060" xr:uid="{00000000-0005-0000-0000-0000D43A0000}"/>
    <cellStyle name="_TDS Summary (2) 3" xfId="15061" xr:uid="{00000000-0005-0000-0000-0000D53A0000}"/>
    <cellStyle name="_TDS Summary (2) 3 2" xfId="15062" xr:uid="{00000000-0005-0000-0000-0000D63A0000}"/>
    <cellStyle name="_TDS Summary (2) 4" xfId="15063" xr:uid="{00000000-0005-0000-0000-0000D73A0000}"/>
    <cellStyle name="_TDS Summary (2) 4 2" xfId="15064" xr:uid="{00000000-0005-0000-0000-0000D83A0000}"/>
    <cellStyle name="_TDS Summary (2) 5" xfId="15065" xr:uid="{00000000-0005-0000-0000-0000D93A0000}"/>
    <cellStyle name="_TDS Summary (2) 5 2" xfId="15066" xr:uid="{00000000-0005-0000-0000-0000DA3A0000}"/>
    <cellStyle name="_TDS Summary (2) 6" xfId="15067" xr:uid="{00000000-0005-0000-0000-0000DB3A0000}"/>
    <cellStyle name="_Template-Form 3CD" xfId="15068" xr:uid="{00000000-0005-0000-0000-0000DC3A0000}"/>
    <cellStyle name="_Template-Form 3CD_ISL__3CD_FY2010-11" xfId="15069" xr:uid="{00000000-0005-0000-0000-0000DD3A0000}"/>
    <cellStyle name="_Total disbursal MIS auditors" xfId="15070" xr:uid="{00000000-0005-0000-0000-0000DE3A0000}"/>
    <cellStyle name="_Total disbursal MIS auditors 2" xfId="15071" xr:uid="{00000000-0005-0000-0000-0000DF3A0000}"/>
    <cellStyle name="_Total disbursal MIS auditors_Indiabulls Asset Management Company Limited printable" xfId="15072" xr:uid="{00000000-0005-0000-0000-0000E03A0000}"/>
    <cellStyle name="_Total Land detail" xfId="15073" xr:uid="{00000000-0005-0000-0000-0000E13A0000}"/>
    <cellStyle name="_Total Land detail 2" xfId="15074" xr:uid="{00000000-0005-0000-0000-0000E23A0000}"/>
    <cellStyle name="_transfer cases of oct to nov(avneet)" xfId="15075" xr:uid="{00000000-0005-0000-0000-0000E33A0000}"/>
    <cellStyle name="_transfer cases of oct to nov(avneet) 2" xfId="15076" xr:uid="{00000000-0005-0000-0000-0000E43A0000}"/>
    <cellStyle name="_Transfer Cases of Oct2008" xfId="15077" xr:uid="{00000000-0005-0000-0000-0000E53A0000}"/>
    <cellStyle name="_Transfer Cases of Oct2008 2" xfId="15078" xr:uid="{00000000-0005-0000-0000-0000E63A0000}"/>
    <cellStyle name="_Treasury ICD Interest MIS 311208" xfId="15079" xr:uid="{00000000-0005-0000-0000-0000E73A0000}"/>
    <cellStyle name="_Treasury ICD Interest MIS 311208 2" xfId="15080" xr:uid="{00000000-0005-0000-0000-0000E83A0000}"/>
    <cellStyle name="_Treasury ICD Interest_ MIS_ 23  09 2009(final)" xfId="15081" xr:uid="{00000000-0005-0000-0000-0000E93A0000}"/>
    <cellStyle name="_Treasury ICD Interest_ MIS_ 23  09 2009(final) 2" xfId="15082" xr:uid="{00000000-0005-0000-0000-0000EA3A0000}"/>
    <cellStyle name="_Treasury ICD Interest_ MIS_ 30. 06 2009(final)" xfId="15083" xr:uid="{00000000-0005-0000-0000-0000EB3A0000}"/>
    <cellStyle name="_Treasury ICD Interest_ MIS_ 30. 06 2009(final) 2" xfId="15084" xr:uid="{00000000-0005-0000-0000-0000EC3A0000}"/>
    <cellStyle name="_Treasury ICD Interest_ MIS_ 30. 09 2009(final)" xfId="15085" xr:uid="{00000000-0005-0000-0000-0000ED3A0000}"/>
    <cellStyle name="_Treasury ICD Interest_ MIS_ 30. 09 2009(final) 2" xfId="15086" xr:uid="{00000000-0005-0000-0000-0000EE3A0000}"/>
    <cellStyle name="_Treasury ICD Interest_ MIS_ 31 05 2009" xfId="15087" xr:uid="{00000000-0005-0000-0000-0000EF3A0000}"/>
    <cellStyle name="_Treasury ICD Interest_ MIS_ 31 05 2009 2" xfId="15088" xr:uid="{00000000-0005-0000-0000-0000F03A0000}"/>
    <cellStyle name="_Treasury ICD Interest_ MIS_ 31 10 2009" xfId="15089" xr:uid="{00000000-0005-0000-0000-0000F13A0000}"/>
    <cellStyle name="_Treasury ICD Interest_ MIS_ 31 10 2009 2" xfId="15090" xr:uid="{00000000-0005-0000-0000-0000F23A0000}"/>
    <cellStyle name="_Treasury ICD Interest_ MIS_ 31.10.2009" xfId="15091" xr:uid="{00000000-0005-0000-0000-0000F33A0000}"/>
    <cellStyle name="_Treasury ICD Interest_ MIS_ 31.10.2009 2" xfId="15092" xr:uid="{00000000-0005-0000-0000-0000F43A0000}"/>
    <cellStyle name="_Treasury ICD Interest_ MIS_ 310309" xfId="15093" xr:uid="{00000000-0005-0000-0000-0000F53A0000}"/>
    <cellStyle name="_Treasury ICD Interest_ MIS_ 310309 2" xfId="15094" xr:uid="{00000000-0005-0000-0000-0000F63A0000}"/>
    <cellStyle name="_Treasury MIS_30 11 08" xfId="15095" xr:uid="{00000000-0005-0000-0000-0000F73A0000}"/>
    <cellStyle name="_Treasury MIS_30 11 08 2" xfId="15096" xr:uid="{00000000-0005-0000-0000-0000F83A0000}"/>
    <cellStyle name="_Trial_IBL_F (2)" xfId="15097" xr:uid="{00000000-0005-0000-0000-0000F93A0000}"/>
    <cellStyle name="_Trial_IBL_F (2)_IDSL_31.03.2010" xfId="15098" xr:uid="{00000000-0005-0000-0000-0000FA3A0000}"/>
    <cellStyle name="_Undisburse Amt of IHFL Loan Sanctioned" xfId="15099" xr:uid="{00000000-0005-0000-0000-0000FB3A0000}"/>
    <cellStyle name="_Undisbursed - Mar'06-Apr'07" xfId="15100" xr:uid="{00000000-0005-0000-0000-0000FC3A0000}"/>
    <cellStyle name="_Undisbursed - Mar'06-Apr'07 2" xfId="15101" xr:uid="{00000000-0005-0000-0000-0000FD3A0000}"/>
    <cellStyle name="_Undisbursed - Mar'06-Apr'07_Details of Assets &amp; Liablilities" xfId="15102" xr:uid="{00000000-0005-0000-0000-0000FE3A0000}"/>
    <cellStyle name="_Undisbursed - Mar'06-Apr'07_Details of Assets &amp; Liablilities 2" xfId="15103" xr:uid="{00000000-0005-0000-0000-0000FF3A0000}"/>
    <cellStyle name="_Undisbursed - Mar'06-Apr'07_Details of Assets &amp; Liablilities 3" xfId="15104" xr:uid="{00000000-0005-0000-0000-0000003B0000}"/>
    <cellStyle name="_Undisbursed - Mar'06-Apr'07_IBL_09.12.2009" xfId="15105" xr:uid="{00000000-0005-0000-0000-0000013B0000}"/>
    <cellStyle name="_Undisbursed - Mar'06-Apr'07_IBL_09.12.2009 2" xfId="15106" xr:uid="{00000000-0005-0000-0000-0000023B0000}"/>
    <cellStyle name="_Undisbursed - Mar'06-Apr'07_ICL_22 12 2009" xfId="15107" xr:uid="{00000000-0005-0000-0000-0000033B0000}"/>
    <cellStyle name="_Undisbursed - Mar'06-Apr'07_ICL_22 12 2009 2" xfId="15108" xr:uid="{00000000-0005-0000-0000-0000043B0000}"/>
    <cellStyle name="_Undisbursed - Mar'06-Apr'07_Indiabulls Asset Management Company Limited printable" xfId="15109" xr:uid="{00000000-0005-0000-0000-0000053B0000}"/>
    <cellStyle name="_Undisbursed - Mar'06-Mar'07" xfId="15110" xr:uid="{00000000-0005-0000-0000-0000063B0000}"/>
    <cellStyle name="_Undisbursed - Mar'06-Mar'07 2" xfId="15111" xr:uid="{00000000-0005-0000-0000-0000073B0000}"/>
    <cellStyle name="_Undisbursed - Mar'06-Mar'07_Details of Assets &amp; Liablilities" xfId="15112" xr:uid="{00000000-0005-0000-0000-0000083B0000}"/>
    <cellStyle name="_Undisbursed - Mar'06-Mar'07_Details of Assets &amp; Liablilities 2" xfId="15113" xr:uid="{00000000-0005-0000-0000-0000093B0000}"/>
    <cellStyle name="_Undisbursed - Mar'06-Mar'07_Details of Assets &amp; Liablilities 3" xfId="15114" xr:uid="{00000000-0005-0000-0000-00000A3B0000}"/>
    <cellStyle name="_Undisbursed - Mar'06-Mar'07_IBL_09.12.2009" xfId="15115" xr:uid="{00000000-0005-0000-0000-00000B3B0000}"/>
    <cellStyle name="_Undisbursed - Mar'06-Mar'07_IBL_09.12.2009 2" xfId="15116" xr:uid="{00000000-0005-0000-0000-00000C3B0000}"/>
    <cellStyle name="_Undisbursed - Mar'06-Mar'07_ICL_22 12 2009" xfId="15117" xr:uid="{00000000-0005-0000-0000-00000D3B0000}"/>
    <cellStyle name="_Undisbursed - Mar'06-Mar'07_ICL_22 12 2009 2" xfId="15118" xr:uid="{00000000-0005-0000-0000-00000E3B0000}"/>
    <cellStyle name="_Undisbursed - Mar'06-Mar'07_Indiabulls Asset Management Company Limited printable" xfId="15119" xr:uid="{00000000-0005-0000-0000-00000F3B0000}"/>
    <cellStyle name="_Undisbursed amt. of Housing loans_Nikunj" xfId="15120" xr:uid="{00000000-0005-0000-0000-0000103B0000}"/>
    <cellStyle name="_Undisbursed amt. of Housing loans_Nikunj 2" xfId="15121" xr:uid="{00000000-0005-0000-0000-0000113B0000}"/>
    <cellStyle name="_Undisbursed amt. of Housing loans_Nikunj_Details of Assets &amp; Liablilities" xfId="15122" xr:uid="{00000000-0005-0000-0000-0000123B0000}"/>
    <cellStyle name="_Undisbursed amt. of Housing loans_Nikunj_Details of Assets &amp; Liablilities 2" xfId="15123" xr:uid="{00000000-0005-0000-0000-0000133B0000}"/>
    <cellStyle name="_Undisbursed amt. of Housing loans_Nikunj_Details of Assets &amp; Liablilities 3" xfId="15124" xr:uid="{00000000-0005-0000-0000-0000143B0000}"/>
    <cellStyle name="_Undisbursed amt. of Housing loans_Nikunj_IBL_09.12.2009" xfId="15125" xr:uid="{00000000-0005-0000-0000-0000153B0000}"/>
    <cellStyle name="_Undisbursed amt. of Housing loans_Nikunj_IBL_09.12.2009 2" xfId="15126" xr:uid="{00000000-0005-0000-0000-0000163B0000}"/>
    <cellStyle name="_Undisbursed amt. of Housing loans_Nikunj_ICL_22 12 2009" xfId="15127" xr:uid="{00000000-0005-0000-0000-0000173B0000}"/>
    <cellStyle name="_Undisbursed amt. of Housing loans_Nikunj_ICL_22 12 2009 2" xfId="15128" xr:uid="{00000000-0005-0000-0000-0000183B0000}"/>
    <cellStyle name="_Undisbursed amt. of Housing loans_Nikunj_Indiabulls Asset Management Company Limited printable" xfId="15129" xr:uid="{00000000-0005-0000-0000-0000193B0000}"/>
    <cellStyle name="_Updated Aug file" xfId="15130" xr:uid="{00000000-0005-0000-0000-00001A3B0000}"/>
    <cellStyle name="_Updated Aug file 2" xfId="15131" xr:uid="{00000000-0005-0000-0000-00001B3B0000}"/>
    <cellStyle name="_Updated Aug file 2 2" xfId="15132" xr:uid="{00000000-0005-0000-0000-00001C3B0000}"/>
    <cellStyle name="_Updated Aug file 3" xfId="15133" xr:uid="{00000000-0005-0000-0000-00001D3B0000}"/>
    <cellStyle name="_Updated Aug file 3 2" xfId="15134" xr:uid="{00000000-0005-0000-0000-00001E3B0000}"/>
    <cellStyle name="_Updated Aug file 4" xfId="15135" xr:uid="{00000000-0005-0000-0000-00001F3B0000}"/>
    <cellStyle name="_Updated Aug file 4 2" xfId="15136" xr:uid="{00000000-0005-0000-0000-0000203B0000}"/>
    <cellStyle name="_Updated Aug file 5" xfId="15137" xr:uid="{00000000-0005-0000-0000-0000213B0000}"/>
    <cellStyle name="_Updated Aug file 5 2" xfId="15138" xr:uid="{00000000-0005-0000-0000-0000223B0000}"/>
    <cellStyle name="_Updated Aug file 6" xfId="15139" xr:uid="{00000000-0005-0000-0000-0000233B0000}"/>
    <cellStyle name="_V240_2904_SCB" xfId="15140" xr:uid="{00000000-0005-0000-0000-0000243B0000}"/>
    <cellStyle name="_V240_2904_SCB 2" xfId="15141" xr:uid="{00000000-0005-0000-0000-0000253B0000}"/>
    <cellStyle name="_VENDOR- IFSL BILLS" xfId="15142" xr:uid="{00000000-0005-0000-0000-0000263B0000}"/>
    <cellStyle name="_vendor pro" xfId="15143" xr:uid="{00000000-0005-0000-0000-0000273B0000}"/>
    <cellStyle name="_vendor pro 2" xfId="15144" xr:uid="{00000000-0005-0000-0000-0000283B0000}"/>
    <cellStyle name="_vendor pro_IHFL_September_30_2010 VERSION 10" xfId="15145" xr:uid="{00000000-0005-0000-0000-0000293B0000}"/>
    <cellStyle name="_Vikram Final" xfId="15146" xr:uid="{00000000-0005-0000-0000-00002A3B0000}"/>
    <cellStyle name="_Vikram Final 2" xfId="15147" xr:uid="{00000000-0005-0000-0000-00002B3B0000}"/>
    <cellStyle name="_vikram jan.08" xfId="15148" xr:uid="{00000000-0005-0000-0000-00002C3B0000}"/>
    <cellStyle name="_vikram jan.08 2" xfId="15149" xr:uid="{00000000-0005-0000-0000-00002D3B0000}"/>
    <cellStyle name="_WIP vs ACS version 1" xfId="15150" xr:uid="{00000000-0005-0000-0000-00002E3B0000}"/>
    <cellStyle name="_WIP vs ACS version 1 2" xfId="15151" xr:uid="{00000000-0005-0000-0000-00002F3B0000}"/>
    <cellStyle name="_Working File" xfId="15152" xr:uid="{00000000-0005-0000-0000-0000303B0000}"/>
    <cellStyle name="_Working file A" xfId="15153" xr:uid="{00000000-0005-0000-0000-0000313B0000}"/>
    <cellStyle name="_working file ifcplB" xfId="15154" xr:uid="{00000000-0005-0000-0000-0000323B0000}"/>
    <cellStyle name="_working file ifcplB_Tax Audit Report  ICSL F.Y.09-10" xfId="15155" xr:uid="{00000000-0005-0000-0000-0000333B0000}"/>
    <cellStyle name="_Working Notes to accounts" xfId="15156" xr:uid="{00000000-0005-0000-0000-0000343B0000}"/>
    <cellStyle name="_Working Notes to accounts 2" xfId="15157" xr:uid="{00000000-0005-0000-0000-0000353B0000}"/>
    <cellStyle name="_Working Notes_31.12.2007" xfId="15158" xr:uid="{00000000-0005-0000-0000-0000363B0000}"/>
    <cellStyle name="_Working Notes_31.12.2007 2" xfId="15159" xr:uid="{00000000-0005-0000-0000-0000373B0000}"/>
    <cellStyle name="_Working Notes_31.12.2007_Detail of IPO funding" xfId="15160" xr:uid="{00000000-0005-0000-0000-0000383B0000}"/>
    <cellStyle name="_Working Notes_31.12.2007_FDR Int Calculation as per BS" xfId="15161" xr:uid="{00000000-0005-0000-0000-0000393B0000}"/>
    <cellStyle name="_Working Notes_31.12.2007_ICL_BS_30.06.2009" xfId="15162" xr:uid="{00000000-0005-0000-0000-00003A3B0000}"/>
    <cellStyle name="_Working Notes_31.12.2007_ICPL_BS_31.03.2009_new" xfId="15163" xr:uid="{00000000-0005-0000-0000-00003B3B0000}"/>
    <cellStyle name="_Working Notes_31.12.2007_ICPL_BS_31.03.2009_new_ISL__3CD_FY2010-11" xfId="15164" xr:uid="{00000000-0005-0000-0000-00003C3B0000}"/>
    <cellStyle name="_Working Notes_31.12.2007_IDSL_31.03.2010" xfId="15165" xr:uid="{00000000-0005-0000-0000-00003D3B0000}"/>
    <cellStyle name="_Working Notes_31.12.2007_IFCPL 31 03 2010 VER6 Final" xfId="15166" xr:uid="{00000000-0005-0000-0000-00003E3B0000}"/>
    <cellStyle name="_Working Notes_31.12.2007_ISL_March_08_09.final_11.12.2009" xfId="15167" xr:uid="{00000000-0005-0000-0000-00003F3B0000}"/>
    <cellStyle name="_Working Notes_31.12.2007_ISL_March_08_09.final_11.12.2009_ISL__3CD_FY2010-11" xfId="15168" xr:uid="{00000000-0005-0000-0000-0000403B0000}"/>
    <cellStyle name="_WORKING SALARY SHEET DEC-07" xfId="15169" xr:uid="{00000000-0005-0000-0000-0000413B0000}"/>
    <cellStyle name="_WORKING SALARY SHEET DEC-07 2" xfId="15170" xr:uid="{00000000-0005-0000-0000-0000423B0000}"/>
    <cellStyle name="_xerox 1100 working" xfId="15171" xr:uid="{00000000-0005-0000-0000-0000433B0000}"/>
    <cellStyle name="_xerox 1100 working 2" xfId="15172" xr:uid="{00000000-0005-0000-0000-0000443B0000}"/>
    <cellStyle name="_Yield Working -31st Jan 08-Gross Portfolio-Total POS" xfId="15173" xr:uid="{00000000-0005-0000-0000-0000453B0000}"/>
    <cellStyle name="_Yield Working -31st Jan 08-Gross Portfolio-Total POS 2" xfId="15174" xr:uid="{00000000-0005-0000-0000-0000463B0000}"/>
    <cellStyle name="_Yield Working -31st Jan 08-Gross Portfolio-Total POS 3" xfId="15175" xr:uid="{00000000-0005-0000-0000-0000473B0000}"/>
    <cellStyle name="_Yield Working -31st Jan 08-Gross Portfolio-Total POS_ISL_conso_September_09_10" xfId="15176" xr:uid="{00000000-0005-0000-0000-0000483B0000}"/>
    <cellStyle name="_Yield Working -31st Jan 08-Gross Portfolio-Total POS_ISL_conso_September_09_10 2" xfId="15177" xr:uid="{00000000-0005-0000-0000-0000493B0000}"/>
    <cellStyle name="_Yield Working -31st Jan 08-Gross Portfolio-Total POS_ISL_conso_September_09_10 2 2" xfId="15178" xr:uid="{00000000-0005-0000-0000-00004A3B0000}"/>
    <cellStyle name="_Yield Working -31st Jan 08-Gross Portfolio-Total POS_ISL_conso_September_09_10 3" xfId="15179" xr:uid="{00000000-0005-0000-0000-00004B3B0000}"/>
    <cellStyle name="_Yield Working -31st Jan 08-Gross Portfolio-Total POS_ISL_Provisions_30.09.2010" xfId="15180" xr:uid="{00000000-0005-0000-0000-00004C3B0000}"/>
    <cellStyle name="_Yield Working -31st Jan 08-Gross Portfolio-Total POS_ISL_Provisions_30.09.2010 2" xfId="15181" xr:uid="{00000000-0005-0000-0000-00004D3B0000}"/>
    <cellStyle name="_Yield Working -31st Jan 08-Gross Portfolio-Total POS_Provision" xfId="15182" xr:uid="{00000000-0005-0000-0000-00004E3B0000}"/>
    <cellStyle name="_Yield Working -31st Jan 08-Gross Portfolio-Total POS_Provision 2" xfId="15183" xr:uid="{00000000-0005-0000-0000-00004F3B0000}"/>
    <cellStyle name="_Yield Working -31st Jan 08-Gross Portfolio-Total POS_Provision for Exp - FY 0809" xfId="15184" xr:uid="{00000000-0005-0000-0000-0000503B0000}"/>
    <cellStyle name="_Yield Working -31st Jan 08-Gross Portfolio-Total POS_provisions q3" xfId="15185" xr:uid="{00000000-0005-0000-0000-0000513B0000}"/>
    <cellStyle name="_Yield Working -31st Jan 08-Gross Portfolio-Total POS_provisions q3 2" xfId="15186" xr:uid="{00000000-0005-0000-0000-0000523B0000}"/>
    <cellStyle name="_Yield Working -31st Jan 08-Gross Portfolio-Total POS_Results" xfId="15187" xr:uid="{00000000-0005-0000-0000-0000533B0000}"/>
    <cellStyle name="_Yield Working -31st Jan 08-Gross Portfolio-Total POS_Results 2" xfId="15188" xr:uid="{00000000-0005-0000-0000-0000543B0000}"/>
    <cellStyle name="_Yield Working -31st Jan 08-Gross Portfolio-Total POS_Results 2 2" xfId="15189" xr:uid="{00000000-0005-0000-0000-0000553B0000}"/>
    <cellStyle name="_Yield Working -31st Jan 08-Gross Portfolio-Total POS_Results 3" xfId="15190" xr:uid="{00000000-0005-0000-0000-0000563B0000}"/>
    <cellStyle name="¼ÀÚ»?XLS!check_filesche|_x0005_" xfId="15191" xr:uid="{00000000-0005-0000-0000-0000573B0000}"/>
    <cellStyle name="20% - Accent1 10" xfId="15192" xr:uid="{00000000-0005-0000-0000-0000583B0000}"/>
    <cellStyle name="20% - Accent1 10 2" xfId="15193" xr:uid="{00000000-0005-0000-0000-0000593B0000}"/>
    <cellStyle name="20% - Accent1 10 2 2" xfId="15194" xr:uid="{00000000-0005-0000-0000-00005A3B0000}"/>
    <cellStyle name="20% - Accent1 10 2 3" xfId="15195" xr:uid="{00000000-0005-0000-0000-00005B3B0000}"/>
    <cellStyle name="20% - Accent1 10 3" xfId="15196" xr:uid="{00000000-0005-0000-0000-00005C3B0000}"/>
    <cellStyle name="20% - Accent1 10 4" xfId="15197" xr:uid="{00000000-0005-0000-0000-00005D3B0000}"/>
    <cellStyle name="20% - Accent1 11" xfId="15198" xr:uid="{00000000-0005-0000-0000-00005E3B0000}"/>
    <cellStyle name="20% - Accent1 11 2" xfId="15199" xr:uid="{00000000-0005-0000-0000-00005F3B0000}"/>
    <cellStyle name="20% - Accent1 11 3" xfId="15200" xr:uid="{00000000-0005-0000-0000-0000603B0000}"/>
    <cellStyle name="20% - Accent1 12" xfId="15201" xr:uid="{00000000-0005-0000-0000-0000613B0000}"/>
    <cellStyle name="20% - Accent1 12 2" xfId="15202" xr:uid="{00000000-0005-0000-0000-0000623B0000}"/>
    <cellStyle name="20% - Accent1 12 3" xfId="15203" xr:uid="{00000000-0005-0000-0000-0000633B0000}"/>
    <cellStyle name="20% - Accent1 13" xfId="15204" xr:uid="{00000000-0005-0000-0000-0000643B0000}"/>
    <cellStyle name="20% - Accent1 13 2" xfId="15205" xr:uid="{00000000-0005-0000-0000-0000653B0000}"/>
    <cellStyle name="20% - Accent1 13 3" xfId="15206" xr:uid="{00000000-0005-0000-0000-0000663B0000}"/>
    <cellStyle name="20% - Accent1 14" xfId="15207" xr:uid="{00000000-0005-0000-0000-0000673B0000}"/>
    <cellStyle name="20% - Accent1 14 2" xfId="15208" xr:uid="{00000000-0005-0000-0000-0000683B0000}"/>
    <cellStyle name="20% - Accent1 14 3" xfId="15209" xr:uid="{00000000-0005-0000-0000-0000693B0000}"/>
    <cellStyle name="20% - Accent1 15" xfId="15210" xr:uid="{00000000-0005-0000-0000-00006A3B0000}"/>
    <cellStyle name="20% - Accent1 16" xfId="15211" xr:uid="{00000000-0005-0000-0000-00006B3B0000}"/>
    <cellStyle name="20% - Accent1 17" xfId="15212" xr:uid="{00000000-0005-0000-0000-00006C3B0000}"/>
    <cellStyle name="20% - Accent1 18" xfId="15213" xr:uid="{00000000-0005-0000-0000-00006D3B0000}"/>
    <cellStyle name="20% - Accent1 19" xfId="15214" xr:uid="{00000000-0005-0000-0000-00006E3B0000}"/>
    <cellStyle name="20% - Accent1 2" xfId="15215" xr:uid="{00000000-0005-0000-0000-00006F3B0000}"/>
    <cellStyle name="20% - Accent1 2 2" xfId="15216" xr:uid="{00000000-0005-0000-0000-0000703B0000}"/>
    <cellStyle name="20% - Accent1 2 3" xfId="15217" xr:uid="{00000000-0005-0000-0000-0000713B0000}"/>
    <cellStyle name="20% - Accent1 2 4" xfId="15218" xr:uid="{00000000-0005-0000-0000-0000723B0000}"/>
    <cellStyle name="20% - Accent1 3" xfId="15219" xr:uid="{00000000-0005-0000-0000-0000733B0000}"/>
    <cellStyle name="20% - Accent1 3 2" xfId="15220" xr:uid="{00000000-0005-0000-0000-0000743B0000}"/>
    <cellStyle name="20% - Accent1 3 3" xfId="15221" xr:uid="{00000000-0005-0000-0000-0000753B0000}"/>
    <cellStyle name="20% - Accent1 4" xfId="15222" xr:uid="{00000000-0005-0000-0000-0000763B0000}"/>
    <cellStyle name="20% - Accent1 4 2" xfId="15223" xr:uid="{00000000-0005-0000-0000-0000773B0000}"/>
    <cellStyle name="20% - Accent1 5" xfId="15224" xr:uid="{00000000-0005-0000-0000-0000783B0000}"/>
    <cellStyle name="20% - Accent1 5 2" xfId="15225" xr:uid="{00000000-0005-0000-0000-0000793B0000}"/>
    <cellStyle name="20% - Accent1 6" xfId="15226" xr:uid="{00000000-0005-0000-0000-00007A3B0000}"/>
    <cellStyle name="20% - Accent1 6 2" xfId="15227" xr:uid="{00000000-0005-0000-0000-00007B3B0000}"/>
    <cellStyle name="20% - Accent1 7" xfId="15228" xr:uid="{00000000-0005-0000-0000-00007C3B0000}"/>
    <cellStyle name="20% - Accent1 7 2" xfId="15229" xr:uid="{00000000-0005-0000-0000-00007D3B0000}"/>
    <cellStyle name="20% - Accent1 7 2 2" xfId="15230" xr:uid="{00000000-0005-0000-0000-00007E3B0000}"/>
    <cellStyle name="20% - Accent1 7 2 3" xfId="15231" xr:uid="{00000000-0005-0000-0000-00007F3B0000}"/>
    <cellStyle name="20% - Accent1 7 3" xfId="15232" xr:uid="{00000000-0005-0000-0000-0000803B0000}"/>
    <cellStyle name="20% - Accent1 7 4" xfId="15233" xr:uid="{00000000-0005-0000-0000-0000813B0000}"/>
    <cellStyle name="20% - Accent1 8" xfId="15234" xr:uid="{00000000-0005-0000-0000-0000823B0000}"/>
    <cellStyle name="20% - Accent1 8 2" xfId="15235" xr:uid="{00000000-0005-0000-0000-0000833B0000}"/>
    <cellStyle name="20% - Accent1 8 2 2" xfId="15236" xr:uid="{00000000-0005-0000-0000-0000843B0000}"/>
    <cellStyle name="20% - Accent1 8 2 3" xfId="15237" xr:uid="{00000000-0005-0000-0000-0000853B0000}"/>
    <cellStyle name="20% - Accent1 8 3" xfId="15238" xr:uid="{00000000-0005-0000-0000-0000863B0000}"/>
    <cellStyle name="20% - Accent1 8 4" xfId="15239" xr:uid="{00000000-0005-0000-0000-0000873B0000}"/>
    <cellStyle name="20% - Accent1 9" xfId="15240" xr:uid="{00000000-0005-0000-0000-0000883B0000}"/>
    <cellStyle name="20% - Accent1 9 2" xfId="15241" xr:uid="{00000000-0005-0000-0000-0000893B0000}"/>
    <cellStyle name="20% - Accent1 9 2 2" xfId="15242" xr:uid="{00000000-0005-0000-0000-00008A3B0000}"/>
    <cellStyle name="20% - Accent1 9 2 3" xfId="15243" xr:uid="{00000000-0005-0000-0000-00008B3B0000}"/>
    <cellStyle name="20% - Accent1 9 3" xfId="15244" xr:uid="{00000000-0005-0000-0000-00008C3B0000}"/>
    <cellStyle name="20% - Accent1 9 4" xfId="15245" xr:uid="{00000000-0005-0000-0000-00008D3B0000}"/>
    <cellStyle name="20% - Accent2 10" xfId="15246" xr:uid="{00000000-0005-0000-0000-00008E3B0000}"/>
    <cellStyle name="20% - Accent2 10 2" xfId="15247" xr:uid="{00000000-0005-0000-0000-00008F3B0000}"/>
    <cellStyle name="20% - Accent2 10 2 2" xfId="15248" xr:uid="{00000000-0005-0000-0000-0000903B0000}"/>
    <cellStyle name="20% - Accent2 10 2 3" xfId="15249" xr:uid="{00000000-0005-0000-0000-0000913B0000}"/>
    <cellStyle name="20% - Accent2 10 3" xfId="15250" xr:uid="{00000000-0005-0000-0000-0000923B0000}"/>
    <cellStyle name="20% - Accent2 10 4" xfId="15251" xr:uid="{00000000-0005-0000-0000-0000933B0000}"/>
    <cellStyle name="20% - Accent2 11" xfId="15252" xr:uid="{00000000-0005-0000-0000-0000943B0000}"/>
    <cellStyle name="20% - Accent2 11 2" xfId="15253" xr:uid="{00000000-0005-0000-0000-0000953B0000}"/>
    <cellStyle name="20% - Accent2 11 3" xfId="15254" xr:uid="{00000000-0005-0000-0000-0000963B0000}"/>
    <cellStyle name="20% - Accent2 12" xfId="15255" xr:uid="{00000000-0005-0000-0000-0000973B0000}"/>
    <cellStyle name="20% - Accent2 12 2" xfId="15256" xr:uid="{00000000-0005-0000-0000-0000983B0000}"/>
    <cellStyle name="20% - Accent2 12 3" xfId="15257" xr:uid="{00000000-0005-0000-0000-0000993B0000}"/>
    <cellStyle name="20% - Accent2 13" xfId="15258" xr:uid="{00000000-0005-0000-0000-00009A3B0000}"/>
    <cellStyle name="20% - Accent2 13 2" xfId="15259" xr:uid="{00000000-0005-0000-0000-00009B3B0000}"/>
    <cellStyle name="20% - Accent2 13 3" xfId="15260" xr:uid="{00000000-0005-0000-0000-00009C3B0000}"/>
    <cellStyle name="20% - Accent2 14" xfId="15261" xr:uid="{00000000-0005-0000-0000-00009D3B0000}"/>
    <cellStyle name="20% - Accent2 14 2" xfId="15262" xr:uid="{00000000-0005-0000-0000-00009E3B0000}"/>
    <cellStyle name="20% - Accent2 14 3" xfId="15263" xr:uid="{00000000-0005-0000-0000-00009F3B0000}"/>
    <cellStyle name="20% - Accent2 15" xfId="15264" xr:uid="{00000000-0005-0000-0000-0000A03B0000}"/>
    <cellStyle name="20% - Accent2 16" xfId="15265" xr:uid="{00000000-0005-0000-0000-0000A13B0000}"/>
    <cellStyle name="20% - Accent2 17" xfId="15266" xr:uid="{00000000-0005-0000-0000-0000A23B0000}"/>
    <cellStyle name="20% - Accent2 18" xfId="15267" xr:uid="{00000000-0005-0000-0000-0000A33B0000}"/>
    <cellStyle name="20% - Accent2 19" xfId="15268" xr:uid="{00000000-0005-0000-0000-0000A43B0000}"/>
    <cellStyle name="20% - Accent2 2" xfId="15269" xr:uid="{00000000-0005-0000-0000-0000A53B0000}"/>
    <cellStyle name="20% - Accent2 2 2" xfId="15270" xr:uid="{00000000-0005-0000-0000-0000A63B0000}"/>
    <cellStyle name="20% - Accent2 2 3" xfId="15271" xr:uid="{00000000-0005-0000-0000-0000A73B0000}"/>
    <cellStyle name="20% - Accent2 2 4" xfId="15272" xr:uid="{00000000-0005-0000-0000-0000A83B0000}"/>
    <cellStyle name="20% - Accent2 3" xfId="15273" xr:uid="{00000000-0005-0000-0000-0000A93B0000}"/>
    <cellStyle name="20% - Accent2 3 2" xfId="15274" xr:uid="{00000000-0005-0000-0000-0000AA3B0000}"/>
    <cellStyle name="20% - Accent2 3 3" xfId="15275" xr:uid="{00000000-0005-0000-0000-0000AB3B0000}"/>
    <cellStyle name="20% - Accent2 4" xfId="15276" xr:uid="{00000000-0005-0000-0000-0000AC3B0000}"/>
    <cellStyle name="20% - Accent2 4 2" xfId="15277" xr:uid="{00000000-0005-0000-0000-0000AD3B0000}"/>
    <cellStyle name="20% - Accent2 5" xfId="15278" xr:uid="{00000000-0005-0000-0000-0000AE3B0000}"/>
    <cellStyle name="20% - Accent2 5 2" xfId="15279" xr:uid="{00000000-0005-0000-0000-0000AF3B0000}"/>
    <cellStyle name="20% - Accent2 6" xfId="15280" xr:uid="{00000000-0005-0000-0000-0000B03B0000}"/>
    <cellStyle name="20% - Accent2 6 2" xfId="15281" xr:uid="{00000000-0005-0000-0000-0000B13B0000}"/>
    <cellStyle name="20% - Accent2 7" xfId="15282" xr:uid="{00000000-0005-0000-0000-0000B23B0000}"/>
    <cellStyle name="20% - Accent2 7 2" xfId="15283" xr:uid="{00000000-0005-0000-0000-0000B33B0000}"/>
    <cellStyle name="20% - Accent2 7 2 2" xfId="15284" xr:uid="{00000000-0005-0000-0000-0000B43B0000}"/>
    <cellStyle name="20% - Accent2 7 2 3" xfId="15285" xr:uid="{00000000-0005-0000-0000-0000B53B0000}"/>
    <cellStyle name="20% - Accent2 7 3" xfId="15286" xr:uid="{00000000-0005-0000-0000-0000B63B0000}"/>
    <cellStyle name="20% - Accent2 7 4" xfId="15287" xr:uid="{00000000-0005-0000-0000-0000B73B0000}"/>
    <cellStyle name="20% - Accent2 8" xfId="15288" xr:uid="{00000000-0005-0000-0000-0000B83B0000}"/>
    <cellStyle name="20% - Accent2 8 2" xfId="15289" xr:uid="{00000000-0005-0000-0000-0000B93B0000}"/>
    <cellStyle name="20% - Accent2 8 2 2" xfId="15290" xr:uid="{00000000-0005-0000-0000-0000BA3B0000}"/>
    <cellStyle name="20% - Accent2 8 2 3" xfId="15291" xr:uid="{00000000-0005-0000-0000-0000BB3B0000}"/>
    <cellStyle name="20% - Accent2 8 3" xfId="15292" xr:uid="{00000000-0005-0000-0000-0000BC3B0000}"/>
    <cellStyle name="20% - Accent2 8 4" xfId="15293" xr:uid="{00000000-0005-0000-0000-0000BD3B0000}"/>
    <cellStyle name="20% - Accent2 9" xfId="15294" xr:uid="{00000000-0005-0000-0000-0000BE3B0000}"/>
    <cellStyle name="20% - Accent2 9 2" xfId="15295" xr:uid="{00000000-0005-0000-0000-0000BF3B0000}"/>
    <cellStyle name="20% - Accent2 9 2 2" xfId="15296" xr:uid="{00000000-0005-0000-0000-0000C03B0000}"/>
    <cellStyle name="20% - Accent2 9 2 3" xfId="15297" xr:uid="{00000000-0005-0000-0000-0000C13B0000}"/>
    <cellStyle name="20% - Accent2 9 3" xfId="15298" xr:uid="{00000000-0005-0000-0000-0000C23B0000}"/>
    <cellStyle name="20% - Accent2 9 4" xfId="15299" xr:uid="{00000000-0005-0000-0000-0000C33B0000}"/>
    <cellStyle name="20% - Accent3 10" xfId="15300" xr:uid="{00000000-0005-0000-0000-0000C43B0000}"/>
    <cellStyle name="20% - Accent3 10 2" xfId="15301" xr:uid="{00000000-0005-0000-0000-0000C53B0000}"/>
    <cellStyle name="20% - Accent3 10 2 2" xfId="15302" xr:uid="{00000000-0005-0000-0000-0000C63B0000}"/>
    <cellStyle name="20% - Accent3 10 2 3" xfId="15303" xr:uid="{00000000-0005-0000-0000-0000C73B0000}"/>
    <cellStyle name="20% - Accent3 10 3" xfId="15304" xr:uid="{00000000-0005-0000-0000-0000C83B0000}"/>
    <cellStyle name="20% - Accent3 10 4" xfId="15305" xr:uid="{00000000-0005-0000-0000-0000C93B0000}"/>
    <cellStyle name="20% - Accent3 11" xfId="15306" xr:uid="{00000000-0005-0000-0000-0000CA3B0000}"/>
    <cellStyle name="20% - Accent3 11 2" xfId="15307" xr:uid="{00000000-0005-0000-0000-0000CB3B0000}"/>
    <cellStyle name="20% - Accent3 11 3" xfId="15308" xr:uid="{00000000-0005-0000-0000-0000CC3B0000}"/>
    <cellStyle name="20% - Accent3 12" xfId="15309" xr:uid="{00000000-0005-0000-0000-0000CD3B0000}"/>
    <cellStyle name="20% - Accent3 12 2" xfId="15310" xr:uid="{00000000-0005-0000-0000-0000CE3B0000}"/>
    <cellStyle name="20% - Accent3 12 3" xfId="15311" xr:uid="{00000000-0005-0000-0000-0000CF3B0000}"/>
    <cellStyle name="20% - Accent3 13" xfId="15312" xr:uid="{00000000-0005-0000-0000-0000D03B0000}"/>
    <cellStyle name="20% - Accent3 13 2" xfId="15313" xr:uid="{00000000-0005-0000-0000-0000D13B0000}"/>
    <cellStyle name="20% - Accent3 13 3" xfId="15314" xr:uid="{00000000-0005-0000-0000-0000D23B0000}"/>
    <cellStyle name="20% - Accent3 14" xfId="15315" xr:uid="{00000000-0005-0000-0000-0000D33B0000}"/>
    <cellStyle name="20% - Accent3 14 2" xfId="15316" xr:uid="{00000000-0005-0000-0000-0000D43B0000}"/>
    <cellStyle name="20% - Accent3 14 3" xfId="15317" xr:uid="{00000000-0005-0000-0000-0000D53B0000}"/>
    <cellStyle name="20% - Accent3 15" xfId="15318" xr:uid="{00000000-0005-0000-0000-0000D63B0000}"/>
    <cellStyle name="20% - Accent3 16" xfId="15319" xr:uid="{00000000-0005-0000-0000-0000D73B0000}"/>
    <cellStyle name="20% - Accent3 17" xfId="15320" xr:uid="{00000000-0005-0000-0000-0000D83B0000}"/>
    <cellStyle name="20% - Accent3 18" xfId="15321" xr:uid="{00000000-0005-0000-0000-0000D93B0000}"/>
    <cellStyle name="20% - Accent3 19" xfId="15322" xr:uid="{00000000-0005-0000-0000-0000DA3B0000}"/>
    <cellStyle name="20% - Accent3 2" xfId="15323" xr:uid="{00000000-0005-0000-0000-0000DB3B0000}"/>
    <cellStyle name="20% - Accent3 2 2" xfId="15324" xr:uid="{00000000-0005-0000-0000-0000DC3B0000}"/>
    <cellStyle name="20% - Accent3 2 3" xfId="15325" xr:uid="{00000000-0005-0000-0000-0000DD3B0000}"/>
    <cellStyle name="20% - Accent3 2 4" xfId="15326" xr:uid="{00000000-0005-0000-0000-0000DE3B0000}"/>
    <cellStyle name="20% - Accent3 3" xfId="15327" xr:uid="{00000000-0005-0000-0000-0000DF3B0000}"/>
    <cellStyle name="20% - Accent3 3 2" xfId="15328" xr:uid="{00000000-0005-0000-0000-0000E03B0000}"/>
    <cellStyle name="20% - Accent3 3 3" xfId="15329" xr:uid="{00000000-0005-0000-0000-0000E13B0000}"/>
    <cellStyle name="20% - Accent3 4" xfId="15330" xr:uid="{00000000-0005-0000-0000-0000E23B0000}"/>
    <cellStyle name="20% - Accent3 4 2" xfId="15331" xr:uid="{00000000-0005-0000-0000-0000E33B0000}"/>
    <cellStyle name="20% - Accent3 5" xfId="15332" xr:uid="{00000000-0005-0000-0000-0000E43B0000}"/>
    <cellStyle name="20% - Accent3 5 2" xfId="15333" xr:uid="{00000000-0005-0000-0000-0000E53B0000}"/>
    <cellStyle name="20% - Accent3 6" xfId="15334" xr:uid="{00000000-0005-0000-0000-0000E63B0000}"/>
    <cellStyle name="20% - Accent3 6 2" xfId="15335" xr:uid="{00000000-0005-0000-0000-0000E73B0000}"/>
    <cellStyle name="20% - Accent3 7" xfId="15336" xr:uid="{00000000-0005-0000-0000-0000E83B0000}"/>
    <cellStyle name="20% - Accent3 7 2" xfId="15337" xr:uid="{00000000-0005-0000-0000-0000E93B0000}"/>
    <cellStyle name="20% - Accent3 7 2 2" xfId="15338" xr:uid="{00000000-0005-0000-0000-0000EA3B0000}"/>
    <cellStyle name="20% - Accent3 7 2 3" xfId="15339" xr:uid="{00000000-0005-0000-0000-0000EB3B0000}"/>
    <cellStyle name="20% - Accent3 7 3" xfId="15340" xr:uid="{00000000-0005-0000-0000-0000EC3B0000}"/>
    <cellStyle name="20% - Accent3 7 4" xfId="15341" xr:uid="{00000000-0005-0000-0000-0000ED3B0000}"/>
    <cellStyle name="20% - Accent3 8" xfId="15342" xr:uid="{00000000-0005-0000-0000-0000EE3B0000}"/>
    <cellStyle name="20% - Accent3 8 2" xfId="15343" xr:uid="{00000000-0005-0000-0000-0000EF3B0000}"/>
    <cellStyle name="20% - Accent3 8 2 2" xfId="15344" xr:uid="{00000000-0005-0000-0000-0000F03B0000}"/>
    <cellStyle name="20% - Accent3 8 2 3" xfId="15345" xr:uid="{00000000-0005-0000-0000-0000F13B0000}"/>
    <cellStyle name="20% - Accent3 8 3" xfId="15346" xr:uid="{00000000-0005-0000-0000-0000F23B0000}"/>
    <cellStyle name="20% - Accent3 8 4" xfId="15347" xr:uid="{00000000-0005-0000-0000-0000F33B0000}"/>
    <cellStyle name="20% - Accent3 9" xfId="15348" xr:uid="{00000000-0005-0000-0000-0000F43B0000}"/>
    <cellStyle name="20% - Accent3 9 2" xfId="15349" xr:uid="{00000000-0005-0000-0000-0000F53B0000}"/>
    <cellStyle name="20% - Accent3 9 2 2" xfId="15350" xr:uid="{00000000-0005-0000-0000-0000F63B0000}"/>
    <cellStyle name="20% - Accent3 9 2 3" xfId="15351" xr:uid="{00000000-0005-0000-0000-0000F73B0000}"/>
    <cellStyle name="20% - Accent3 9 3" xfId="15352" xr:uid="{00000000-0005-0000-0000-0000F83B0000}"/>
    <cellStyle name="20% - Accent3 9 4" xfId="15353" xr:uid="{00000000-0005-0000-0000-0000F93B0000}"/>
    <cellStyle name="20% - Accent4 10" xfId="15354" xr:uid="{00000000-0005-0000-0000-0000FA3B0000}"/>
    <cellStyle name="20% - Accent4 10 2" xfId="15355" xr:uid="{00000000-0005-0000-0000-0000FB3B0000}"/>
    <cellStyle name="20% - Accent4 10 2 2" xfId="15356" xr:uid="{00000000-0005-0000-0000-0000FC3B0000}"/>
    <cellStyle name="20% - Accent4 10 2 3" xfId="15357" xr:uid="{00000000-0005-0000-0000-0000FD3B0000}"/>
    <cellStyle name="20% - Accent4 10 3" xfId="15358" xr:uid="{00000000-0005-0000-0000-0000FE3B0000}"/>
    <cellStyle name="20% - Accent4 10 4" xfId="15359" xr:uid="{00000000-0005-0000-0000-0000FF3B0000}"/>
    <cellStyle name="20% - Accent4 11" xfId="15360" xr:uid="{00000000-0005-0000-0000-0000003C0000}"/>
    <cellStyle name="20% - Accent4 11 2" xfId="15361" xr:uid="{00000000-0005-0000-0000-0000013C0000}"/>
    <cellStyle name="20% - Accent4 11 3" xfId="15362" xr:uid="{00000000-0005-0000-0000-0000023C0000}"/>
    <cellStyle name="20% - Accent4 12" xfId="15363" xr:uid="{00000000-0005-0000-0000-0000033C0000}"/>
    <cellStyle name="20% - Accent4 12 2" xfId="15364" xr:uid="{00000000-0005-0000-0000-0000043C0000}"/>
    <cellStyle name="20% - Accent4 12 3" xfId="15365" xr:uid="{00000000-0005-0000-0000-0000053C0000}"/>
    <cellStyle name="20% - Accent4 13" xfId="15366" xr:uid="{00000000-0005-0000-0000-0000063C0000}"/>
    <cellStyle name="20% - Accent4 13 2" xfId="15367" xr:uid="{00000000-0005-0000-0000-0000073C0000}"/>
    <cellStyle name="20% - Accent4 13 3" xfId="15368" xr:uid="{00000000-0005-0000-0000-0000083C0000}"/>
    <cellStyle name="20% - Accent4 14" xfId="15369" xr:uid="{00000000-0005-0000-0000-0000093C0000}"/>
    <cellStyle name="20% - Accent4 14 2" xfId="15370" xr:uid="{00000000-0005-0000-0000-00000A3C0000}"/>
    <cellStyle name="20% - Accent4 14 3" xfId="15371" xr:uid="{00000000-0005-0000-0000-00000B3C0000}"/>
    <cellStyle name="20% - Accent4 15" xfId="15372" xr:uid="{00000000-0005-0000-0000-00000C3C0000}"/>
    <cellStyle name="20% - Accent4 16" xfId="15373" xr:uid="{00000000-0005-0000-0000-00000D3C0000}"/>
    <cellStyle name="20% - Accent4 17" xfId="15374" xr:uid="{00000000-0005-0000-0000-00000E3C0000}"/>
    <cellStyle name="20% - Accent4 18" xfId="15375" xr:uid="{00000000-0005-0000-0000-00000F3C0000}"/>
    <cellStyle name="20% - Accent4 19" xfId="15376" xr:uid="{00000000-0005-0000-0000-0000103C0000}"/>
    <cellStyle name="20% - Accent4 2" xfId="15377" xr:uid="{00000000-0005-0000-0000-0000113C0000}"/>
    <cellStyle name="20% - Accent4 2 2" xfId="15378" xr:uid="{00000000-0005-0000-0000-0000123C0000}"/>
    <cellStyle name="20% - Accent4 2 3" xfId="15379" xr:uid="{00000000-0005-0000-0000-0000133C0000}"/>
    <cellStyle name="20% - Accent4 2 4" xfId="15380" xr:uid="{00000000-0005-0000-0000-0000143C0000}"/>
    <cellStyle name="20% - Accent4 3" xfId="15381" xr:uid="{00000000-0005-0000-0000-0000153C0000}"/>
    <cellStyle name="20% - Accent4 3 2" xfId="15382" xr:uid="{00000000-0005-0000-0000-0000163C0000}"/>
    <cellStyle name="20% - Accent4 3 3" xfId="15383" xr:uid="{00000000-0005-0000-0000-0000173C0000}"/>
    <cellStyle name="20% - Accent4 4" xfId="15384" xr:uid="{00000000-0005-0000-0000-0000183C0000}"/>
    <cellStyle name="20% - Accent4 4 2" xfId="15385" xr:uid="{00000000-0005-0000-0000-0000193C0000}"/>
    <cellStyle name="20% - Accent4 5" xfId="15386" xr:uid="{00000000-0005-0000-0000-00001A3C0000}"/>
    <cellStyle name="20% - Accent4 5 2" xfId="15387" xr:uid="{00000000-0005-0000-0000-00001B3C0000}"/>
    <cellStyle name="20% - Accent4 6" xfId="15388" xr:uid="{00000000-0005-0000-0000-00001C3C0000}"/>
    <cellStyle name="20% - Accent4 6 2" xfId="15389" xr:uid="{00000000-0005-0000-0000-00001D3C0000}"/>
    <cellStyle name="20% - Accent4 7" xfId="15390" xr:uid="{00000000-0005-0000-0000-00001E3C0000}"/>
    <cellStyle name="20% - Accent4 7 2" xfId="15391" xr:uid="{00000000-0005-0000-0000-00001F3C0000}"/>
    <cellStyle name="20% - Accent4 7 2 2" xfId="15392" xr:uid="{00000000-0005-0000-0000-0000203C0000}"/>
    <cellStyle name="20% - Accent4 7 2 3" xfId="15393" xr:uid="{00000000-0005-0000-0000-0000213C0000}"/>
    <cellStyle name="20% - Accent4 7 3" xfId="15394" xr:uid="{00000000-0005-0000-0000-0000223C0000}"/>
    <cellStyle name="20% - Accent4 7 4" xfId="15395" xr:uid="{00000000-0005-0000-0000-0000233C0000}"/>
    <cellStyle name="20% - Accent4 8" xfId="15396" xr:uid="{00000000-0005-0000-0000-0000243C0000}"/>
    <cellStyle name="20% - Accent4 8 2" xfId="15397" xr:uid="{00000000-0005-0000-0000-0000253C0000}"/>
    <cellStyle name="20% - Accent4 8 2 2" xfId="15398" xr:uid="{00000000-0005-0000-0000-0000263C0000}"/>
    <cellStyle name="20% - Accent4 8 2 3" xfId="15399" xr:uid="{00000000-0005-0000-0000-0000273C0000}"/>
    <cellStyle name="20% - Accent4 8 3" xfId="15400" xr:uid="{00000000-0005-0000-0000-0000283C0000}"/>
    <cellStyle name="20% - Accent4 8 4" xfId="15401" xr:uid="{00000000-0005-0000-0000-0000293C0000}"/>
    <cellStyle name="20% - Accent4 9" xfId="15402" xr:uid="{00000000-0005-0000-0000-00002A3C0000}"/>
    <cellStyle name="20% - Accent4 9 2" xfId="15403" xr:uid="{00000000-0005-0000-0000-00002B3C0000}"/>
    <cellStyle name="20% - Accent4 9 2 2" xfId="15404" xr:uid="{00000000-0005-0000-0000-00002C3C0000}"/>
    <cellStyle name="20% - Accent4 9 2 3" xfId="15405" xr:uid="{00000000-0005-0000-0000-00002D3C0000}"/>
    <cellStyle name="20% - Accent4 9 3" xfId="15406" xr:uid="{00000000-0005-0000-0000-00002E3C0000}"/>
    <cellStyle name="20% - Accent4 9 4" xfId="15407" xr:uid="{00000000-0005-0000-0000-00002F3C0000}"/>
    <cellStyle name="20% - Accent5 10" xfId="15408" xr:uid="{00000000-0005-0000-0000-0000303C0000}"/>
    <cellStyle name="20% - Accent5 10 2" xfId="15409" xr:uid="{00000000-0005-0000-0000-0000313C0000}"/>
    <cellStyle name="20% - Accent5 10 2 2" xfId="15410" xr:uid="{00000000-0005-0000-0000-0000323C0000}"/>
    <cellStyle name="20% - Accent5 10 2 3" xfId="15411" xr:uid="{00000000-0005-0000-0000-0000333C0000}"/>
    <cellStyle name="20% - Accent5 10 3" xfId="15412" xr:uid="{00000000-0005-0000-0000-0000343C0000}"/>
    <cellStyle name="20% - Accent5 10 4" xfId="15413" xr:uid="{00000000-0005-0000-0000-0000353C0000}"/>
    <cellStyle name="20% - Accent5 11" xfId="15414" xr:uid="{00000000-0005-0000-0000-0000363C0000}"/>
    <cellStyle name="20% - Accent5 11 2" xfId="15415" xr:uid="{00000000-0005-0000-0000-0000373C0000}"/>
    <cellStyle name="20% - Accent5 11 3" xfId="15416" xr:uid="{00000000-0005-0000-0000-0000383C0000}"/>
    <cellStyle name="20% - Accent5 12" xfId="15417" xr:uid="{00000000-0005-0000-0000-0000393C0000}"/>
    <cellStyle name="20% - Accent5 12 2" xfId="15418" xr:uid="{00000000-0005-0000-0000-00003A3C0000}"/>
    <cellStyle name="20% - Accent5 12 3" xfId="15419" xr:uid="{00000000-0005-0000-0000-00003B3C0000}"/>
    <cellStyle name="20% - Accent5 13" xfId="15420" xr:uid="{00000000-0005-0000-0000-00003C3C0000}"/>
    <cellStyle name="20% - Accent5 13 2" xfId="15421" xr:uid="{00000000-0005-0000-0000-00003D3C0000}"/>
    <cellStyle name="20% - Accent5 13 3" xfId="15422" xr:uid="{00000000-0005-0000-0000-00003E3C0000}"/>
    <cellStyle name="20% - Accent5 14" xfId="15423" xr:uid="{00000000-0005-0000-0000-00003F3C0000}"/>
    <cellStyle name="20% - Accent5 14 2" xfId="15424" xr:uid="{00000000-0005-0000-0000-0000403C0000}"/>
    <cellStyle name="20% - Accent5 14 3" xfId="15425" xr:uid="{00000000-0005-0000-0000-0000413C0000}"/>
    <cellStyle name="20% - Accent5 15" xfId="15426" xr:uid="{00000000-0005-0000-0000-0000423C0000}"/>
    <cellStyle name="20% - Accent5 16" xfId="15427" xr:uid="{00000000-0005-0000-0000-0000433C0000}"/>
    <cellStyle name="20% - Accent5 17" xfId="15428" xr:uid="{00000000-0005-0000-0000-0000443C0000}"/>
    <cellStyle name="20% - Accent5 18" xfId="15429" xr:uid="{00000000-0005-0000-0000-0000453C0000}"/>
    <cellStyle name="20% - Accent5 19" xfId="15430" xr:uid="{00000000-0005-0000-0000-0000463C0000}"/>
    <cellStyle name="20% - Accent5 2" xfId="15431" xr:uid="{00000000-0005-0000-0000-0000473C0000}"/>
    <cellStyle name="20% - Accent5 2 2" xfId="15432" xr:uid="{00000000-0005-0000-0000-0000483C0000}"/>
    <cellStyle name="20% - Accent5 2 3" xfId="15433" xr:uid="{00000000-0005-0000-0000-0000493C0000}"/>
    <cellStyle name="20% - Accent5 2 4" xfId="15434" xr:uid="{00000000-0005-0000-0000-00004A3C0000}"/>
    <cellStyle name="20% - Accent5 3" xfId="15435" xr:uid="{00000000-0005-0000-0000-00004B3C0000}"/>
    <cellStyle name="20% - Accent5 3 2" xfId="15436" xr:uid="{00000000-0005-0000-0000-00004C3C0000}"/>
    <cellStyle name="20% - Accent5 3 3" xfId="15437" xr:uid="{00000000-0005-0000-0000-00004D3C0000}"/>
    <cellStyle name="20% - Accent5 4" xfId="15438" xr:uid="{00000000-0005-0000-0000-00004E3C0000}"/>
    <cellStyle name="20% - Accent5 4 2" xfId="15439" xr:uid="{00000000-0005-0000-0000-00004F3C0000}"/>
    <cellStyle name="20% - Accent5 5" xfId="15440" xr:uid="{00000000-0005-0000-0000-0000503C0000}"/>
    <cellStyle name="20% - Accent5 5 2" xfId="15441" xr:uid="{00000000-0005-0000-0000-0000513C0000}"/>
    <cellStyle name="20% - Accent5 6" xfId="15442" xr:uid="{00000000-0005-0000-0000-0000523C0000}"/>
    <cellStyle name="20% - Accent5 6 2" xfId="15443" xr:uid="{00000000-0005-0000-0000-0000533C0000}"/>
    <cellStyle name="20% - Accent5 7" xfId="15444" xr:uid="{00000000-0005-0000-0000-0000543C0000}"/>
    <cellStyle name="20% - Accent5 7 2" xfId="15445" xr:uid="{00000000-0005-0000-0000-0000553C0000}"/>
    <cellStyle name="20% - Accent5 7 2 2" xfId="15446" xr:uid="{00000000-0005-0000-0000-0000563C0000}"/>
    <cellStyle name="20% - Accent5 7 2 3" xfId="15447" xr:uid="{00000000-0005-0000-0000-0000573C0000}"/>
    <cellStyle name="20% - Accent5 7 3" xfId="15448" xr:uid="{00000000-0005-0000-0000-0000583C0000}"/>
    <cellStyle name="20% - Accent5 7 4" xfId="15449" xr:uid="{00000000-0005-0000-0000-0000593C0000}"/>
    <cellStyle name="20% - Accent5 8" xfId="15450" xr:uid="{00000000-0005-0000-0000-00005A3C0000}"/>
    <cellStyle name="20% - Accent5 8 2" xfId="15451" xr:uid="{00000000-0005-0000-0000-00005B3C0000}"/>
    <cellStyle name="20% - Accent5 8 2 2" xfId="15452" xr:uid="{00000000-0005-0000-0000-00005C3C0000}"/>
    <cellStyle name="20% - Accent5 8 2 3" xfId="15453" xr:uid="{00000000-0005-0000-0000-00005D3C0000}"/>
    <cellStyle name="20% - Accent5 8 3" xfId="15454" xr:uid="{00000000-0005-0000-0000-00005E3C0000}"/>
    <cellStyle name="20% - Accent5 8 4" xfId="15455" xr:uid="{00000000-0005-0000-0000-00005F3C0000}"/>
    <cellStyle name="20% - Accent5 9" xfId="15456" xr:uid="{00000000-0005-0000-0000-0000603C0000}"/>
    <cellStyle name="20% - Accent5 9 2" xfId="15457" xr:uid="{00000000-0005-0000-0000-0000613C0000}"/>
    <cellStyle name="20% - Accent5 9 2 2" xfId="15458" xr:uid="{00000000-0005-0000-0000-0000623C0000}"/>
    <cellStyle name="20% - Accent5 9 2 3" xfId="15459" xr:uid="{00000000-0005-0000-0000-0000633C0000}"/>
    <cellStyle name="20% - Accent5 9 3" xfId="15460" xr:uid="{00000000-0005-0000-0000-0000643C0000}"/>
    <cellStyle name="20% - Accent5 9 4" xfId="15461" xr:uid="{00000000-0005-0000-0000-0000653C0000}"/>
    <cellStyle name="20% - Accent6 10" xfId="15462" xr:uid="{00000000-0005-0000-0000-0000663C0000}"/>
    <cellStyle name="20% - Accent6 10 2" xfId="15463" xr:uid="{00000000-0005-0000-0000-0000673C0000}"/>
    <cellStyle name="20% - Accent6 10 2 2" xfId="15464" xr:uid="{00000000-0005-0000-0000-0000683C0000}"/>
    <cellStyle name="20% - Accent6 10 2 3" xfId="15465" xr:uid="{00000000-0005-0000-0000-0000693C0000}"/>
    <cellStyle name="20% - Accent6 10 3" xfId="15466" xr:uid="{00000000-0005-0000-0000-00006A3C0000}"/>
    <cellStyle name="20% - Accent6 10 4" xfId="15467" xr:uid="{00000000-0005-0000-0000-00006B3C0000}"/>
    <cellStyle name="20% - Accent6 11" xfId="15468" xr:uid="{00000000-0005-0000-0000-00006C3C0000}"/>
    <cellStyle name="20% - Accent6 11 2" xfId="15469" xr:uid="{00000000-0005-0000-0000-00006D3C0000}"/>
    <cellStyle name="20% - Accent6 11 3" xfId="15470" xr:uid="{00000000-0005-0000-0000-00006E3C0000}"/>
    <cellStyle name="20% - Accent6 12" xfId="15471" xr:uid="{00000000-0005-0000-0000-00006F3C0000}"/>
    <cellStyle name="20% - Accent6 12 2" xfId="15472" xr:uid="{00000000-0005-0000-0000-0000703C0000}"/>
    <cellStyle name="20% - Accent6 12 3" xfId="15473" xr:uid="{00000000-0005-0000-0000-0000713C0000}"/>
    <cellStyle name="20% - Accent6 13" xfId="15474" xr:uid="{00000000-0005-0000-0000-0000723C0000}"/>
    <cellStyle name="20% - Accent6 13 2" xfId="15475" xr:uid="{00000000-0005-0000-0000-0000733C0000}"/>
    <cellStyle name="20% - Accent6 13 3" xfId="15476" xr:uid="{00000000-0005-0000-0000-0000743C0000}"/>
    <cellStyle name="20% - Accent6 14" xfId="15477" xr:uid="{00000000-0005-0000-0000-0000753C0000}"/>
    <cellStyle name="20% - Accent6 14 2" xfId="15478" xr:uid="{00000000-0005-0000-0000-0000763C0000}"/>
    <cellStyle name="20% - Accent6 14 3" xfId="15479" xr:uid="{00000000-0005-0000-0000-0000773C0000}"/>
    <cellStyle name="20% - Accent6 15" xfId="15480" xr:uid="{00000000-0005-0000-0000-0000783C0000}"/>
    <cellStyle name="20% - Accent6 16" xfId="15481" xr:uid="{00000000-0005-0000-0000-0000793C0000}"/>
    <cellStyle name="20% - Accent6 17" xfId="15482" xr:uid="{00000000-0005-0000-0000-00007A3C0000}"/>
    <cellStyle name="20% - Accent6 18" xfId="15483" xr:uid="{00000000-0005-0000-0000-00007B3C0000}"/>
    <cellStyle name="20% - Accent6 19" xfId="15484" xr:uid="{00000000-0005-0000-0000-00007C3C0000}"/>
    <cellStyle name="20% - Accent6 2" xfId="15485" xr:uid="{00000000-0005-0000-0000-00007D3C0000}"/>
    <cellStyle name="20% - Accent6 2 2" xfId="15486" xr:uid="{00000000-0005-0000-0000-00007E3C0000}"/>
    <cellStyle name="20% - Accent6 2 3" xfId="15487" xr:uid="{00000000-0005-0000-0000-00007F3C0000}"/>
    <cellStyle name="20% - Accent6 2 4" xfId="15488" xr:uid="{00000000-0005-0000-0000-0000803C0000}"/>
    <cellStyle name="20% - Accent6 3" xfId="15489" xr:uid="{00000000-0005-0000-0000-0000813C0000}"/>
    <cellStyle name="20% - Accent6 3 2" xfId="15490" xr:uid="{00000000-0005-0000-0000-0000823C0000}"/>
    <cellStyle name="20% - Accent6 3 3" xfId="15491" xr:uid="{00000000-0005-0000-0000-0000833C0000}"/>
    <cellStyle name="20% - Accent6 4" xfId="15492" xr:uid="{00000000-0005-0000-0000-0000843C0000}"/>
    <cellStyle name="20% - Accent6 4 2" xfId="15493" xr:uid="{00000000-0005-0000-0000-0000853C0000}"/>
    <cellStyle name="20% - Accent6 5" xfId="15494" xr:uid="{00000000-0005-0000-0000-0000863C0000}"/>
    <cellStyle name="20% - Accent6 5 2" xfId="15495" xr:uid="{00000000-0005-0000-0000-0000873C0000}"/>
    <cellStyle name="20% - Accent6 6" xfId="15496" xr:uid="{00000000-0005-0000-0000-0000883C0000}"/>
    <cellStyle name="20% - Accent6 6 2" xfId="15497" xr:uid="{00000000-0005-0000-0000-0000893C0000}"/>
    <cellStyle name="20% - Accent6 7" xfId="15498" xr:uid="{00000000-0005-0000-0000-00008A3C0000}"/>
    <cellStyle name="20% - Accent6 7 2" xfId="15499" xr:uid="{00000000-0005-0000-0000-00008B3C0000}"/>
    <cellStyle name="20% - Accent6 7 2 2" xfId="15500" xr:uid="{00000000-0005-0000-0000-00008C3C0000}"/>
    <cellStyle name="20% - Accent6 7 2 3" xfId="15501" xr:uid="{00000000-0005-0000-0000-00008D3C0000}"/>
    <cellStyle name="20% - Accent6 7 3" xfId="15502" xr:uid="{00000000-0005-0000-0000-00008E3C0000}"/>
    <cellStyle name="20% - Accent6 7 4" xfId="15503" xr:uid="{00000000-0005-0000-0000-00008F3C0000}"/>
    <cellStyle name="20% - Accent6 8" xfId="15504" xr:uid="{00000000-0005-0000-0000-0000903C0000}"/>
    <cellStyle name="20% - Accent6 8 2" xfId="15505" xr:uid="{00000000-0005-0000-0000-0000913C0000}"/>
    <cellStyle name="20% - Accent6 8 2 2" xfId="15506" xr:uid="{00000000-0005-0000-0000-0000923C0000}"/>
    <cellStyle name="20% - Accent6 8 2 3" xfId="15507" xr:uid="{00000000-0005-0000-0000-0000933C0000}"/>
    <cellStyle name="20% - Accent6 8 3" xfId="15508" xr:uid="{00000000-0005-0000-0000-0000943C0000}"/>
    <cellStyle name="20% - Accent6 8 4" xfId="15509" xr:uid="{00000000-0005-0000-0000-0000953C0000}"/>
    <cellStyle name="20% - Accent6 9" xfId="15510" xr:uid="{00000000-0005-0000-0000-0000963C0000}"/>
    <cellStyle name="20% - Accent6 9 2" xfId="15511" xr:uid="{00000000-0005-0000-0000-0000973C0000}"/>
    <cellStyle name="20% - Accent6 9 2 2" xfId="15512" xr:uid="{00000000-0005-0000-0000-0000983C0000}"/>
    <cellStyle name="20% - Accent6 9 2 3" xfId="15513" xr:uid="{00000000-0005-0000-0000-0000993C0000}"/>
    <cellStyle name="20% - Accent6 9 3" xfId="15514" xr:uid="{00000000-0005-0000-0000-00009A3C0000}"/>
    <cellStyle name="20% - Accent6 9 4" xfId="15515" xr:uid="{00000000-0005-0000-0000-00009B3C0000}"/>
    <cellStyle name="40% - Accent1 10" xfId="15516" xr:uid="{00000000-0005-0000-0000-00009C3C0000}"/>
    <cellStyle name="40% - Accent1 10 2" xfId="15517" xr:uid="{00000000-0005-0000-0000-00009D3C0000}"/>
    <cellStyle name="40% - Accent1 10 2 2" xfId="15518" xr:uid="{00000000-0005-0000-0000-00009E3C0000}"/>
    <cellStyle name="40% - Accent1 10 2 3" xfId="15519" xr:uid="{00000000-0005-0000-0000-00009F3C0000}"/>
    <cellStyle name="40% - Accent1 10 3" xfId="15520" xr:uid="{00000000-0005-0000-0000-0000A03C0000}"/>
    <cellStyle name="40% - Accent1 10 4" xfId="15521" xr:uid="{00000000-0005-0000-0000-0000A13C0000}"/>
    <cellStyle name="40% - Accent1 11" xfId="15522" xr:uid="{00000000-0005-0000-0000-0000A23C0000}"/>
    <cellStyle name="40% - Accent1 11 2" xfId="15523" xr:uid="{00000000-0005-0000-0000-0000A33C0000}"/>
    <cellStyle name="40% - Accent1 11 3" xfId="15524" xr:uid="{00000000-0005-0000-0000-0000A43C0000}"/>
    <cellStyle name="40% - Accent1 12" xfId="15525" xr:uid="{00000000-0005-0000-0000-0000A53C0000}"/>
    <cellStyle name="40% - Accent1 12 2" xfId="15526" xr:uid="{00000000-0005-0000-0000-0000A63C0000}"/>
    <cellStyle name="40% - Accent1 12 3" xfId="15527" xr:uid="{00000000-0005-0000-0000-0000A73C0000}"/>
    <cellStyle name="40% - Accent1 13" xfId="15528" xr:uid="{00000000-0005-0000-0000-0000A83C0000}"/>
    <cellStyle name="40% - Accent1 13 2" xfId="15529" xr:uid="{00000000-0005-0000-0000-0000A93C0000}"/>
    <cellStyle name="40% - Accent1 13 3" xfId="15530" xr:uid="{00000000-0005-0000-0000-0000AA3C0000}"/>
    <cellStyle name="40% - Accent1 14" xfId="15531" xr:uid="{00000000-0005-0000-0000-0000AB3C0000}"/>
    <cellStyle name="40% - Accent1 14 2" xfId="15532" xr:uid="{00000000-0005-0000-0000-0000AC3C0000}"/>
    <cellStyle name="40% - Accent1 14 3" xfId="15533" xr:uid="{00000000-0005-0000-0000-0000AD3C0000}"/>
    <cellStyle name="40% - Accent1 15" xfId="15534" xr:uid="{00000000-0005-0000-0000-0000AE3C0000}"/>
    <cellStyle name="40% - Accent1 16" xfId="15535" xr:uid="{00000000-0005-0000-0000-0000AF3C0000}"/>
    <cellStyle name="40% - Accent1 17" xfId="15536" xr:uid="{00000000-0005-0000-0000-0000B03C0000}"/>
    <cellStyle name="40% - Accent1 18" xfId="15537" xr:uid="{00000000-0005-0000-0000-0000B13C0000}"/>
    <cellStyle name="40% - Accent1 19" xfId="15538" xr:uid="{00000000-0005-0000-0000-0000B23C0000}"/>
    <cellStyle name="40% - Accent1 2" xfId="15539" xr:uid="{00000000-0005-0000-0000-0000B33C0000}"/>
    <cellStyle name="40% - Accent1 2 2" xfId="15540" xr:uid="{00000000-0005-0000-0000-0000B43C0000}"/>
    <cellStyle name="40% - Accent1 2 3" xfId="15541" xr:uid="{00000000-0005-0000-0000-0000B53C0000}"/>
    <cellStyle name="40% - Accent1 2 4" xfId="15542" xr:uid="{00000000-0005-0000-0000-0000B63C0000}"/>
    <cellStyle name="40% - Accent1 3" xfId="15543" xr:uid="{00000000-0005-0000-0000-0000B73C0000}"/>
    <cellStyle name="40% - Accent1 3 2" xfId="15544" xr:uid="{00000000-0005-0000-0000-0000B83C0000}"/>
    <cellStyle name="40% - Accent1 3 3" xfId="15545" xr:uid="{00000000-0005-0000-0000-0000B93C0000}"/>
    <cellStyle name="40% - Accent1 4" xfId="15546" xr:uid="{00000000-0005-0000-0000-0000BA3C0000}"/>
    <cellStyle name="40% - Accent1 4 2" xfId="15547" xr:uid="{00000000-0005-0000-0000-0000BB3C0000}"/>
    <cellStyle name="40% - Accent1 5" xfId="15548" xr:uid="{00000000-0005-0000-0000-0000BC3C0000}"/>
    <cellStyle name="40% - Accent1 5 2" xfId="15549" xr:uid="{00000000-0005-0000-0000-0000BD3C0000}"/>
    <cellStyle name="40% - Accent1 6" xfId="15550" xr:uid="{00000000-0005-0000-0000-0000BE3C0000}"/>
    <cellStyle name="40% - Accent1 6 2" xfId="15551" xr:uid="{00000000-0005-0000-0000-0000BF3C0000}"/>
    <cellStyle name="40% - Accent1 7" xfId="15552" xr:uid="{00000000-0005-0000-0000-0000C03C0000}"/>
    <cellStyle name="40% - Accent1 7 2" xfId="15553" xr:uid="{00000000-0005-0000-0000-0000C13C0000}"/>
    <cellStyle name="40% - Accent1 7 2 2" xfId="15554" xr:uid="{00000000-0005-0000-0000-0000C23C0000}"/>
    <cellStyle name="40% - Accent1 7 2 3" xfId="15555" xr:uid="{00000000-0005-0000-0000-0000C33C0000}"/>
    <cellStyle name="40% - Accent1 7 3" xfId="15556" xr:uid="{00000000-0005-0000-0000-0000C43C0000}"/>
    <cellStyle name="40% - Accent1 7 4" xfId="15557" xr:uid="{00000000-0005-0000-0000-0000C53C0000}"/>
    <cellStyle name="40% - Accent1 8" xfId="15558" xr:uid="{00000000-0005-0000-0000-0000C63C0000}"/>
    <cellStyle name="40% - Accent1 8 2" xfId="15559" xr:uid="{00000000-0005-0000-0000-0000C73C0000}"/>
    <cellStyle name="40% - Accent1 8 2 2" xfId="15560" xr:uid="{00000000-0005-0000-0000-0000C83C0000}"/>
    <cellStyle name="40% - Accent1 8 2 3" xfId="15561" xr:uid="{00000000-0005-0000-0000-0000C93C0000}"/>
    <cellStyle name="40% - Accent1 8 3" xfId="15562" xr:uid="{00000000-0005-0000-0000-0000CA3C0000}"/>
    <cellStyle name="40% - Accent1 8 4" xfId="15563" xr:uid="{00000000-0005-0000-0000-0000CB3C0000}"/>
    <cellStyle name="40% - Accent1 9" xfId="15564" xr:uid="{00000000-0005-0000-0000-0000CC3C0000}"/>
    <cellStyle name="40% - Accent1 9 2" xfId="15565" xr:uid="{00000000-0005-0000-0000-0000CD3C0000}"/>
    <cellStyle name="40% - Accent1 9 2 2" xfId="15566" xr:uid="{00000000-0005-0000-0000-0000CE3C0000}"/>
    <cellStyle name="40% - Accent1 9 2 3" xfId="15567" xr:uid="{00000000-0005-0000-0000-0000CF3C0000}"/>
    <cellStyle name="40% - Accent1 9 3" xfId="15568" xr:uid="{00000000-0005-0000-0000-0000D03C0000}"/>
    <cellStyle name="40% - Accent1 9 4" xfId="15569" xr:uid="{00000000-0005-0000-0000-0000D13C0000}"/>
    <cellStyle name="40% - Accent2 10" xfId="15570" xr:uid="{00000000-0005-0000-0000-0000D23C0000}"/>
    <cellStyle name="40% - Accent2 10 2" xfId="15571" xr:uid="{00000000-0005-0000-0000-0000D33C0000}"/>
    <cellStyle name="40% - Accent2 10 2 2" xfId="15572" xr:uid="{00000000-0005-0000-0000-0000D43C0000}"/>
    <cellStyle name="40% - Accent2 10 2 3" xfId="15573" xr:uid="{00000000-0005-0000-0000-0000D53C0000}"/>
    <cellStyle name="40% - Accent2 10 3" xfId="15574" xr:uid="{00000000-0005-0000-0000-0000D63C0000}"/>
    <cellStyle name="40% - Accent2 10 4" xfId="15575" xr:uid="{00000000-0005-0000-0000-0000D73C0000}"/>
    <cellStyle name="40% - Accent2 11" xfId="15576" xr:uid="{00000000-0005-0000-0000-0000D83C0000}"/>
    <cellStyle name="40% - Accent2 11 2" xfId="15577" xr:uid="{00000000-0005-0000-0000-0000D93C0000}"/>
    <cellStyle name="40% - Accent2 11 3" xfId="15578" xr:uid="{00000000-0005-0000-0000-0000DA3C0000}"/>
    <cellStyle name="40% - Accent2 12" xfId="15579" xr:uid="{00000000-0005-0000-0000-0000DB3C0000}"/>
    <cellStyle name="40% - Accent2 12 2" xfId="15580" xr:uid="{00000000-0005-0000-0000-0000DC3C0000}"/>
    <cellStyle name="40% - Accent2 12 3" xfId="15581" xr:uid="{00000000-0005-0000-0000-0000DD3C0000}"/>
    <cellStyle name="40% - Accent2 13" xfId="15582" xr:uid="{00000000-0005-0000-0000-0000DE3C0000}"/>
    <cellStyle name="40% - Accent2 13 2" xfId="15583" xr:uid="{00000000-0005-0000-0000-0000DF3C0000}"/>
    <cellStyle name="40% - Accent2 13 3" xfId="15584" xr:uid="{00000000-0005-0000-0000-0000E03C0000}"/>
    <cellStyle name="40% - Accent2 14" xfId="15585" xr:uid="{00000000-0005-0000-0000-0000E13C0000}"/>
    <cellStyle name="40% - Accent2 14 2" xfId="15586" xr:uid="{00000000-0005-0000-0000-0000E23C0000}"/>
    <cellStyle name="40% - Accent2 14 3" xfId="15587" xr:uid="{00000000-0005-0000-0000-0000E33C0000}"/>
    <cellStyle name="40% - Accent2 15" xfId="15588" xr:uid="{00000000-0005-0000-0000-0000E43C0000}"/>
    <cellStyle name="40% - Accent2 16" xfId="15589" xr:uid="{00000000-0005-0000-0000-0000E53C0000}"/>
    <cellStyle name="40% - Accent2 17" xfId="15590" xr:uid="{00000000-0005-0000-0000-0000E63C0000}"/>
    <cellStyle name="40% - Accent2 18" xfId="15591" xr:uid="{00000000-0005-0000-0000-0000E73C0000}"/>
    <cellStyle name="40% - Accent2 19" xfId="15592" xr:uid="{00000000-0005-0000-0000-0000E83C0000}"/>
    <cellStyle name="40% - Accent2 2" xfId="15593" xr:uid="{00000000-0005-0000-0000-0000E93C0000}"/>
    <cellStyle name="40% - Accent2 2 2" xfId="15594" xr:uid="{00000000-0005-0000-0000-0000EA3C0000}"/>
    <cellStyle name="40% - Accent2 2 3" xfId="15595" xr:uid="{00000000-0005-0000-0000-0000EB3C0000}"/>
    <cellStyle name="40% - Accent2 2 4" xfId="15596" xr:uid="{00000000-0005-0000-0000-0000EC3C0000}"/>
    <cellStyle name="40% - Accent2 3" xfId="15597" xr:uid="{00000000-0005-0000-0000-0000ED3C0000}"/>
    <cellStyle name="40% - Accent2 3 2" xfId="15598" xr:uid="{00000000-0005-0000-0000-0000EE3C0000}"/>
    <cellStyle name="40% - Accent2 3 3" xfId="15599" xr:uid="{00000000-0005-0000-0000-0000EF3C0000}"/>
    <cellStyle name="40% - Accent2 4" xfId="15600" xr:uid="{00000000-0005-0000-0000-0000F03C0000}"/>
    <cellStyle name="40% - Accent2 4 2" xfId="15601" xr:uid="{00000000-0005-0000-0000-0000F13C0000}"/>
    <cellStyle name="40% - Accent2 5" xfId="15602" xr:uid="{00000000-0005-0000-0000-0000F23C0000}"/>
    <cellStyle name="40% - Accent2 5 2" xfId="15603" xr:uid="{00000000-0005-0000-0000-0000F33C0000}"/>
    <cellStyle name="40% - Accent2 6" xfId="15604" xr:uid="{00000000-0005-0000-0000-0000F43C0000}"/>
    <cellStyle name="40% - Accent2 6 2" xfId="15605" xr:uid="{00000000-0005-0000-0000-0000F53C0000}"/>
    <cellStyle name="40% - Accent2 7" xfId="15606" xr:uid="{00000000-0005-0000-0000-0000F63C0000}"/>
    <cellStyle name="40% - Accent2 7 2" xfId="15607" xr:uid="{00000000-0005-0000-0000-0000F73C0000}"/>
    <cellStyle name="40% - Accent2 7 2 2" xfId="15608" xr:uid="{00000000-0005-0000-0000-0000F83C0000}"/>
    <cellStyle name="40% - Accent2 7 2 3" xfId="15609" xr:uid="{00000000-0005-0000-0000-0000F93C0000}"/>
    <cellStyle name="40% - Accent2 7 3" xfId="15610" xr:uid="{00000000-0005-0000-0000-0000FA3C0000}"/>
    <cellStyle name="40% - Accent2 7 4" xfId="15611" xr:uid="{00000000-0005-0000-0000-0000FB3C0000}"/>
    <cellStyle name="40% - Accent2 8" xfId="15612" xr:uid="{00000000-0005-0000-0000-0000FC3C0000}"/>
    <cellStyle name="40% - Accent2 8 2" xfId="15613" xr:uid="{00000000-0005-0000-0000-0000FD3C0000}"/>
    <cellStyle name="40% - Accent2 8 2 2" xfId="15614" xr:uid="{00000000-0005-0000-0000-0000FE3C0000}"/>
    <cellStyle name="40% - Accent2 8 2 3" xfId="15615" xr:uid="{00000000-0005-0000-0000-0000FF3C0000}"/>
    <cellStyle name="40% - Accent2 8 3" xfId="15616" xr:uid="{00000000-0005-0000-0000-0000003D0000}"/>
    <cellStyle name="40% - Accent2 8 4" xfId="15617" xr:uid="{00000000-0005-0000-0000-0000013D0000}"/>
    <cellStyle name="40% - Accent2 9" xfId="15618" xr:uid="{00000000-0005-0000-0000-0000023D0000}"/>
    <cellStyle name="40% - Accent2 9 2" xfId="15619" xr:uid="{00000000-0005-0000-0000-0000033D0000}"/>
    <cellStyle name="40% - Accent2 9 2 2" xfId="15620" xr:uid="{00000000-0005-0000-0000-0000043D0000}"/>
    <cellStyle name="40% - Accent2 9 2 3" xfId="15621" xr:uid="{00000000-0005-0000-0000-0000053D0000}"/>
    <cellStyle name="40% - Accent2 9 3" xfId="15622" xr:uid="{00000000-0005-0000-0000-0000063D0000}"/>
    <cellStyle name="40% - Accent2 9 4" xfId="15623" xr:uid="{00000000-0005-0000-0000-0000073D0000}"/>
    <cellStyle name="40% - Accent3 10" xfId="15624" xr:uid="{00000000-0005-0000-0000-0000083D0000}"/>
    <cellStyle name="40% - Accent3 10 2" xfId="15625" xr:uid="{00000000-0005-0000-0000-0000093D0000}"/>
    <cellStyle name="40% - Accent3 10 2 2" xfId="15626" xr:uid="{00000000-0005-0000-0000-00000A3D0000}"/>
    <cellStyle name="40% - Accent3 10 2 3" xfId="15627" xr:uid="{00000000-0005-0000-0000-00000B3D0000}"/>
    <cellStyle name="40% - Accent3 10 3" xfId="15628" xr:uid="{00000000-0005-0000-0000-00000C3D0000}"/>
    <cellStyle name="40% - Accent3 10 4" xfId="15629" xr:uid="{00000000-0005-0000-0000-00000D3D0000}"/>
    <cellStyle name="40% - Accent3 11" xfId="15630" xr:uid="{00000000-0005-0000-0000-00000E3D0000}"/>
    <cellStyle name="40% - Accent3 11 2" xfId="15631" xr:uid="{00000000-0005-0000-0000-00000F3D0000}"/>
    <cellStyle name="40% - Accent3 11 3" xfId="15632" xr:uid="{00000000-0005-0000-0000-0000103D0000}"/>
    <cellStyle name="40% - Accent3 12" xfId="15633" xr:uid="{00000000-0005-0000-0000-0000113D0000}"/>
    <cellStyle name="40% - Accent3 12 2" xfId="15634" xr:uid="{00000000-0005-0000-0000-0000123D0000}"/>
    <cellStyle name="40% - Accent3 12 3" xfId="15635" xr:uid="{00000000-0005-0000-0000-0000133D0000}"/>
    <cellStyle name="40% - Accent3 13" xfId="15636" xr:uid="{00000000-0005-0000-0000-0000143D0000}"/>
    <cellStyle name="40% - Accent3 13 2" xfId="15637" xr:uid="{00000000-0005-0000-0000-0000153D0000}"/>
    <cellStyle name="40% - Accent3 13 3" xfId="15638" xr:uid="{00000000-0005-0000-0000-0000163D0000}"/>
    <cellStyle name="40% - Accent3 14" xfId="15639" xr:uid="{00000000-0005-0000-0000-0000173D0000}"/>
    <cellStyle name="40% - Accent3 14 2" xfId="15640" xr:uid="{00000000-0005-0000-0000-0000183D0000}"/>
    <cellStyle name="40% - Accent3 14 3" xfId="15641" xr:uid="{00000000-0005-0000-0000-0000193D0000}"/>
    <cellStyle name="40% - Accent3 15" xfId="15642" xr:uid="{00000000-0005-0000-0000-00001A3D0000}"/>
    <cellStyle name="40% - Accent3 16" xfId="15643" xr:uid="{00000000-0005-0000-0000-00001B3D0000}"/>
    <cellStyle name="40% - Accent3 17" xfId="15644" xr:uid="{00000000-0005-0000-0000-00001C3D0000}"/>
    <cellStyle name="40% - Accent3 18" xfId="15645" xr:uid="{00000000-0005-0000-0000-00001D3D0000}"/>
    <cellStyle name="40% - Accent3 19" xfId="15646" xr:uid="{00000000-0005-0000-0000-00001E3D0000}"/>
    <cellStyle name="40% - Accent3 2" xfId="15647" xr:uid="{00000000-0005-0000-0000-00001F3D0000}"/>
    <cellStyle name="40% - Accent3 2 2" xfId="15648" xr:uid="{00000000-0005-0000-0000-0000203D0000}"/>
    <cellStyle name="40% - Accent3 2 3" xfId="15649" xr:uid="{00000000-0005-0000-0000-0000213D0000}"/>
    <cellStyle name="40% - Accent3 2 4" xfId="15650" xr:uid="{00000000-0005-0000-0000-0000223D0000}"/>
    <cellStyle name="40% - Accent3 3" xfId="15651" xr:uid="{00000000-0005-0000-0000-0000233D0000}"/>
    <cellStyle name="40% - Accent3 3 2" xfId="15652" xr:uid="{00000000-0005-0000-0000-0000243D0000}"/>
    <cellStyle name="40% - Accent3 3 3" xfId="15653" xr:uid="{00000000-0005-0000-0000-0000253D0000}"/>
    <cellStyle name="40% - Accent3 4" xfId="15654" xr:uid="{00000000-0005-0000-0000-0000263D0000}"/>
    <cellStyle name="40% - Accent3 4 2" xfId="15655" xr:uid="{00000000-0005-0000-0000-0000273D0000}"/>
    <cellStyle name="40% - Accent3 5" xfId="15656" xr:uid="{00000000-0005-0000-0000-0000283D0000}"/>
    <cellStyle name="40% - Accent3 5 2" xfId="15657" xr:uid="{00000000-0005-0000-0000-0000293D0000}"/>
    <cellStyle name="40% - Accent3 6" xfId="15658" xr:uid="{00000000-0005-0000-0000-00002A3D0000}"/>
    <cellStyle name="40% - Accent3 6 2" xfId="15659" xr:uid="{00000000-0005-0000-0000-00002B3D0000}"/>
    <cellStyle name="40% - Accent3 7" xfId="15660" xr:uid="{00000000-0005-0000-0000-00002C3D0000}"/>
    <cellStyle name="40% - Accent3 7 2" xfId="15661" xr:uid="{00000000-0005-0000-0000-00002D3D0000}"/>
    <cellStyle name="40% - Accent3 7 2 2" xfId="15662" xr:uid="{00000000-0005-0000-0000-00002E3D0000}"/>
    <cellStyle name="40% - Accent3 7 2 3" xfId="15663" xr:uid="{00000000-0005-0000-0000-00002F3D0000}"/>
    <cellStyle name="40% - Accent3 7 3" xfId="15664" xr:uid="{00000000-0005-0000-0000-0000303D0000}"/>
    <cellStyle name="40% - Accent3 7 4" xfId="15665" xr:uid="{00000000-0005-0000-0000-0000313D0000}"/>
    <cellStyle name="40% - Accent3 8" xfId="15666" xr:uid="{00000000-0005-0000-0000-0000323D0000}"/>
    <cellStyle name="40% - Accent3 8 2" xfId="15667" xr:uid="{00000000-0005-0000-0000-0000333D0000}"/>
    <cellStyle name="40% - Accent3 8 2 2" xfId="15668" xr:uid="{00000000-0005-0000-0000-0000343D0000}"/>
    <cellStyle name="40% - Accent3 8 2 3" xfId="15669" xr:uid="{00000000-0005-0000-0000-0000353D0000}"/>
    <cellStyle name="40% - Accent3 8 3" xfId="15670" xr:uid="{00000000-0005-0000-0000-0000363D0000}"/>
    <cellStyle name="40% - Accent3 8 4" xfId="15671" xr:uid="{00000000-0005-0000-0000-0000373D0000}"/>
    <cellStyle name="40% - Accent3 9" xfId="15672" xr:uid="{00000000-0005-0000-0000-0000383D0000}"/>
    <cellStyle name="40% - Accent3 9 2" xfId="15673" xr:uid="{00000000-0005-0000-0000-0000393D0000}"/>
    <cellStyle name="40% - Accent3 9 2 2" xfId="15674" xr:uid="{00000000-0005-0000-0000-00003A3D0000}"/>
    <cellStyle name="40% - Accent3 9 2 3" xfId="15675" xr:uid="{00000000-0005-0000-0000-00003B3D0000}"/>
    <cellStyle name="40% - Accent3 9 3" xfId="15676" xr:uid="{00000000-0005-0000-0000-00003C3D0000}"/>
    <cellStyle name="40% - Accent3 9 4" xfId="15677" xr:uid="{00000000-0005-0000-0000-00003D3D0000}"/>
    <cellStyle name="40% - Accent4 10" xfId="15678" xr:uid="{00000000-0005-0000-0000-00003E3D0000}"/>
    <cellStyle name="40% - Accent4 10 2" xfId="15679" xr:uid="{00000000-0005-0000-0000-00003F3D0000}"/>
    <cellStyle name="40% - Accent4 10 2 2" xfId="15680" xr:uid="{00000000-0005-0000-0000-0000403D0000}"/>
    <cellStyle name="40% - Accent4 10 2 3" xfId="15681" xr:uid="{00000000-0005-0000-0000-0000413D0000}"/>
    <cellStyle name="40% - Accent4 10 3" xfId="15682" xr:uid="{00000000-0005-0000-0000-0000423D0000}"/>
    <cellStyle name="40% - Accent4 10 4" xfId="15683" xr:uid="{00000000-0005-0000-0000-0000433D0000}"/>
    <cellStyle name="40% - Accent4 11" xfId="15684" xr:uid="{00000000-0005-0000-0000-0000443D0000}"/>
    <cellStyle name="40% - Accent4 11 2" xfId="15685" xr:uid="{00000000-0005-0000-0000-0000453D0000}"/>
    <cellStyle name="40% - Accent4 11 3" xfId="15686" xr:uid="{00000000-0005-0000-0000-0000463D0000}"/>
    <cellStyle name="40% - Accent4 12" xfId="15687" xr:uid="{00000000-0005-0000-0000-0000473D0000}"/>
    <cellStyle name="40% - Accent4 12 2" xfId="15688" xr:uid="{00000000-0005-0000-0000-0000483D0000}"/>
    <cellStyle name="40% - Accent4 12 3" xfId="15689" xr:uid="{00000000-0005-0000-0000-0000493D0000}"/>
    <cellStyle name="40% - Accent4 13" xfId="15690" xr:uid="{00000000-0005-0000-0000-00004A3D0000}"/>
    <cellStyle name="40% - Accent4 13 2" xfId="15691" xr:uid="{00000000-0005-0000-0000-00004B3D0000}"/>
    <cellStyle name="40% - Accent4 13 3" xfId="15692" xr:uid="{00000000-0005-0000-0000-00004C3D0000}"/>
    <cellStyle name="40% - Accent4 14" xfId="15693" xr:uid="{00000000-0005-0000-0000-00004D3D0000}"/>
    <cellStyle name="40% - Accent4 14 2" xfId="15694" xr:uid="{00000000-0005-0000-0000-00004E3D0000}"/>
    <cellStyle name="40% - Accent4 14 3" xfId="15695" xr:uid="{00000000-0005-0000-0000-00004F3D0000}"/>
    <cellStyle name="40% - Accent4 15" xfId="15696" xr:uid="{00000000-0005-0000-0000-0000503D0000}"/>
    <cellStyle name="40% - Accent4 16" xfId="15697" xr:uid="{00000000-0005-0000-0000-0000513D0000}"/>
    <cellStyle name="40% - Accent4 17" xfId="15698" xr:uid="{00000000-0005-0000-0000-0000523D0000}"/>
    <cellStyle name="40% - Accent4 18" xfId="15699" xr:uid="{00000000-0005-0000-0000-0000533D0000}"/>
    <cellStyle name="40% - Accent4 19" xfId="15700" xr:uid="{00000000-0005-0000-0000-0000543D0000}"/>
    <cellStyle name="40% - Accent4 2" xfId="15701" xr:uid="{00000000-0005-0000-0000-0000553D0000}"/>
    <cellStyle name="40% - Accent4 2 2" xfId="15702" xr:uid="{00000000-0005-0000-0000-0000563D0000}"/>
    <cellStyle name="40% - Accent4 2 3" xfId="15703" xr:uid="{00000000-0005-0000-0000-0000573D0000}"/>
    <cellStyle name="40% - Accent4 2 4" xfId="15704" xr:uid="{00000000-0005-0000-0000-0000583D0000}"/>
    <cellStyle name="40% - Accent4 3" xfId="15705" xr:uid="{00000000-0005-0000-0000-0000593D0000}"/>
    <cellStyle name="40% - Accent4 3 2" xfId="15706" xr:uid="{00000000-0005-0000-0000-00005A3D0000}"/>
    <cellStyle name="40% - Accent4 3 3" xfId="15707" xr:uid="{00000000-0005-0000-0000-00005B3D0000}"/>
    <cellStyle name="40% - Accent4 4" xfId="15708" xr:uid="{00000000-0005-0000-0000-00005C3D0000}"/>
    <cellStyle name="40% - Accent4 4 2" xfId="15709" xr:uid="{00000000-0005-0000-0000-00005D3D0000}"/>
    <cellStyle name="40% - Accent4 5" xfId="15710" xr:uid="{00000000-0005-0000-0000-00005E3D0000}"/>
    <cellStyle name="40% - Accent4 5 2" xfId="15711" xr:uid="{00000000-0005-0000-0000-00005F3D0000}"/>
    <cellStyle name="40% - Accent4 6" xfId="15712" xr:uid="{00000000-0005-0000-0000-0000603D0000}"/>
    <cellStyle name="40% - Accent4 6 2" xfId="15713" xr:uid="{00000000-0005-0000-0000-0000613D0000}"/>
    <cellStyle name="40% - Accent4 7" xfId="15714" xr:uid="{00000000-0005-0000-0000-0000623D0000}"/>
    <cellStyle name="40% - Accent4 7 2" xfId="15715" xr:uid="{00000000-0005-0000-0000-0000633D0000}"/>
    <cellStyle name="40% - Accent4 7 2 2" xfId="15716" xr:uid="{00000000-0005-0000-0000-0000643D0000}"/>
    <cellStyle name="40% - Accent4 7 2 3" xfId="15717" xr:uid="{00000000-0005-0000-0000-0000653D0000}"/>
    <cellStyle name="40% - Accent4 7 3" xfId="15718" xr:uid="{00000000-0005-0000-0000-0000663D0000}"/>
    <cellStyle name="40% - Accent4 7 4" xfId="15719" xr:uid="{00000000-0005-0000-0000-0000673D0000}"/>
    <cellStyle name="40% - Accent4 8" xfId="15720" xr:uid="{00000000-0005-0000-0000-0000683D0000}"/>
    <cellStyle name="40% - Accent4 8 2" xfId="15721" xr:uid="{00000000-0005-0000-0000-0000693D0000}"/>
    <cellStyle name="40% - Accent4 8 2 2" xfId="15722" xr:uid="{00000000-0005-0000-0000-00006A3D0000}"/>
    <cellStyle name="40% - Accent4 8 2 3" xfId="15723" xr:uid="{00000000-0005-0000-0000-00006B3D0000}"/>
    <cellStyle name="40% - Accent4 8 3" xfId="15724" xr:uid="{00000000-0005-0000-0000-00006C3D0000}"/>
    <cellStyle name="40% - Accent4 8 4" xfId="15725" xr:uid="{00000000-0005-0000-0000-00006D3D0000}"/>
    <cellStyle name="40% - Accent4 9" xfId="15726" xr:uid="{00000000-0005-0000-0000-00006E3D0000}"/>
    <cellStyle name="40% - Accent4 9 2" xfId="15727" xr:uid="{00000000-0005-0000-0000-00006F3D0000}"/>
    <cellStyle name="40% - Accent4 9 2 2" xfId="15728" xr:uid="{00000000-0005-0000-0000-0000703D0000}"/>
    <cellStyle name="40% - Accent4 9 2 3" xfId="15729" xr:uid="{00000000-0005-0000-0000-0000713D0000}"/>
    <cellStyle name="40% - Accent4 9 3" xfId="15730" xr:uid="{00000000-0005-0000-0000-0000723D0000}"/>
    <cellStyle name="40% - Accent4 9 4" xfId="15731" xr:uid="{00000000-0005-0000-0000-0000733D0000}"/>
    <cellStyle name="40% - Accent5 10" xfId="15732" xr:uid="{00000000-0005-0000-0000-0000743D0000}"/>
    <cellStyle name="40% - Accent5 10 2" xfId="15733" xr:uid="{00000000-0005-0000-0000-0000753D0000}"/>
    <cellStyle name="40% - Accent5 10 2 2" xfId="15734" xr:uid="{00000000-0005-0000-0000-0000763D0000}"/>
    <cellStyle name="40% - Accent5 10 2 3" xfId="15735" xr:uid="{00000000-0005-0000-0000-0000773D0000}"/>
    <cellStyle name="40% - Accent5 10 3" xfId="15736" xr:uid="{00000000-0005-0000-0000-0000783D0000}"/>
    <cellStyle name="40% - Accent5 10 4" xfId="15737" xr:uid="{00000000-0005-0000-0000-0000793D0000}"/>
    <cellStyle name="40% - Accent5 11" xfId="15738" xr:uid="{00000000-0005-0000-0000-00007A3D0000}"/>
    <cellStyle name="40% - Accent5 11 2" xfId="15739" xr:uid="{00000000-0005-0000-0000-00007B3D0000}"/>
    <cellStyle name="40% - Accent5 11 3" xfId="15740" xr:uid="{00000000-0005-0000-0000-00007C3D0000}"/>
    <cellStyle name="40% - Accent5 12" xfId="15741" xr:uid="{00000000-0005-0000-0000-00007D3D0000}"/>
    <cellStyle name="40% - Accent5 12 2" xfId="15742" xr:uid="{00000000-0005-0000-0000-00007E3D0000}"/>
    <cellStyle name="40% - Accent5 12 3" xfId="15743" xr:uid="{00000000-0005-0000-0000-00007F3D0000}"/>
    <cellStyle name="40% - Accent5 13" xfId="15744" xr:uid="{00000000-0005-0000-0000-0000803D0000}"/>
    <cellStyle name="40% - Accent5 13 2" xfId="15745" xr:uid="{00000000-0005-0000-0000-0000813D0000}"/>
    <cellStyle name="40% - Accent5 13 3" xfId="15746" xr:uid="{00000000-0005-0000-0000-0000823D0000}"/>
    <cellStyle name="40% - Accent5 14" xfId="15747" xr:uid="{00000000-0005-0000-0000-0000833D0000}"/>
    <cellStyle name="40% - Accent5 14 2" xfId="15748" xr:uid="{00000000-0005-0000-0000-0000843D0000}"/>
    <cellStyle name="40% - Accent5 14 3" xfId="15749" xr:uid="{00000000-0005-0000-0000-0000853D0000}"/>
    <cellStyle name="40% - Accent5 15" xfId="15750" xr:uid="{00000000-0005-0000-0000-0000863D0000}"/>
    <cellStyle name="40% - Accent5 16" xfId="15751" xr:uid="{00000000-0005-0000-0000-0000873D0000}"/>
    <cellStyle name="40% - Accent5 17" xfId="15752" xr:uid="{00000000-0005-0000-0000-0000883D0000}"/>
    <cellStyle name="40% - Accent5 18" xfId="15753" xr:uid="{00000000-0005-0000-0000-0000893D0000}"/>
    <cellStyle name="40% - Accent5 19" xfId="15754" xr:uid="{00000000-0005-0000-0000-00008A3D0000}"/>
    <cellStyle name="40% - Accent5 2" xfId="15755" xr:uid="{00000000-0005-0000-0000-00008B3D0000}"/>
    <cellStyle name="40% - Accent5 2 2" xfId="15756" xr:uid="{00000000-0005-0000-0000-00008C3D0000}"/>
    <cellStyle name="40% - Accent5 2 3" xfId="15757" xr:uid="{00000000-0005-0000-0000-00008D3D0000}"/>
    <cellStyle name="40% - Accent5 2 4" xfId="15758" xr:uid="{00000000-0005-0000-0000-00008E3D0000}"/>
    <cellStyle name="40% - Accent5 3" xfId="15759" xr:uid="{00000000-0005-0000-0000-00008F3D0000}"/>
    <cellStyle name="40% - Accent5 3 2" xfId="15760" xr:uid="{00000000-0005-0000-0000-0000903D0000}"/>
    <cellStyle name="40% - Accent5 3 3" xfId="15761" xr:uid="{00000000-0005-0000-0000-0000913D0000}"/>
    <cellStyle name="40% - Accent5 4" xfId="15762" xr:uid="{00000000-0005-0000-0000-0000923D0000}"/>
    <cellStyle name="40% - Accent5 4 2" xfId="15763" xr:uid="{00000000-0005-0000-0000-0000933D0000}"/>
    <cellStyle name="40% - Accent5 5" xfId="15764" xr:uid="{00000000-0005-0000-0000-0000943D0000}"/>
    <cellStyle name="40% - Accent5 5 2" xfId="15765" xr:uid="{00000000-0005-0000-0000-0000953D0000}"/>
    <cellStyle name="40% - Accent5 6" xfId="15766" xr:uid="{00000000-0005-0000-0000-0000963D0000}"/>
    <cellStyle name="40% - Accent5 6 2" xfId="15767" xr:uid="{00000000-0005-0000-0000-0000973D0000}"/>
    <cellStyle name="40% - Accent5 7" xfId="15768" xr:uid="{00000000-0005-0000-0000-0000983D0000}"/>
    <cellStyle name="40% - Accent5 7 2" xfId="15769" xr:uid="{00000000-0005-0000-0000-0000993D0000}"/>
    <cellStyle name="40% - Accent5 7 2 2" xfId="15770" xr:uid="{00000000-0005-0000-0000-00009A3D0000}"/>
    <cellStyle name="40% - Accent5 7 2 3" xfId="15771" xr:uid="{00000000-0005-0000-0000-00009B3D0000}"/>
    <cellStyle name="40% - Accent5 7 3" xfId="15772" xr:uid="{00000000-0005-0000-0000-00009C3D0000}"/>
    <cellStyle name="40% - Accent5 7 4" xfId="15773" xr:uid="{00000000-0005-0000-0000-00009D3D0000}"/>
    <cellStyle name="40% - Accent5 8" xfId="15774" xr:uid="{00000000-0005-0000-0000-00009E3D0000}"/>
    <cellStyle name="40% - Accent5 8 2" xfId="15775" xr:uid="{00000000-0005-0000-0000-00009F3D0000}"/>
    <cellStyle name="40% - Accent5 8 2 2" xfId="15776" xr:uid="{00000000-0005-0000-0000-0000A03D0000}"/>
    <cellStyle name="40% - Accent5 8 2 3" xfId="15777" xr:uid="{00000000-0005-0000-0000-0000A13D0000}"/>
    <cellStyle name="40% - Accent5 8 3" xfId="15778" xr:uid="{00000000-0005-0000-0000-0000A23D0000}"/>
    <cellStyle name="40% - Accent5 8 4" xfId="15779" xr:uid="{00000000-0005-0000-0000-0000A33D0000}"/>
    <cellStyle name="40% - Accent5 9" xfId="15780" xr:uid="{00000000-0005-0000-0000-0000A43D0000}"/>
    <cellStyle name="40% - Accent5 9 2" xfId="15781" xr:uid="{00000000-0005-0000-0000-0000A53D0000}"/>
    <cellStyle name="40% - Accent5 9 2 2" xfId="15782" xr:uid="{00000000-0005-0000-0000-0000A63D0000}"/>
    <cellStyle name="40% - Accent5 9 2 3" xfId="15783" xr:uid="{00000000-0005-0000-0000-0000A73D0000}"/>
    <cellStyle name="40% - Accent5 9 3" xfId="15784" xr:uid="{00000000-0005-0000-0000-0000A83D0000}"/>
    <cellStyle name="40% - Accent5 9 4" xfId="15785" xr:uid="{00000000-0005-0000-0000-0000A93D0000}"/>
    <cellStyle name="40% - Accent6 10" xfId="15786" xr:uid="{00000000-0005-0000-0000-0000AA3D0000}"/>
    <cellStyle name="40% - Accent6 10 2" xfId="15787" xr:uid="{00000000-0005-0000-0000-0000AB3D0000}"/>
    <cellStyle name="40% - Accent6 10 2 2" xfId="15788" xr:uid="{00000000-0005-0000-0000-0000AC3D0000}"/>
    <cellStyle name="40% - Accent6 10 2 3" xfId="15789" xr:uid="{00000000-0005-0000-0000-0000AD3D0000}"/>
    <cellStyle name="40% - Accent6 10 3" xfId="15790" xr:uid="{00000000-0005-0000-0000-0000AE3D0000}"/>
    <cellStyle name="40% - Accent6 10 4" xfId="15791" xr:uid="{00000000-0005-0000-0000-0000AF3D0000}"/>
    <cellStyle name="40% - Accent6 11" xfId="15792" xr:uid="{00000000-0005-0000-0000-0000B03D0000}"/>
    <cellStyle name="40% - Accent6 11 2" xfId="15793" xr:uid="{00000000-0005-0000-0000-0000B13D0000}"/>
    <cellStyle name="40% - Accent6 11 3" xfId="15794" xr:uid="{00000000-0005-0000-0000-0000B23D0000}"/>
    <cellStyle name="40% - Accent6 12" xfId="15795" xr:uid="{00000000-0005-0000-0000-0000B33D0000}"/>
    <cellStyle name="40% - Accent6 12 2" xfId="15796" xr:uid="{00000000-0005-0000-0000-0000B43D0000}"/>
    <cellStyle name="40% - Accent6 12 3" xfId="15797" xr:uid="{00000000-0005-0000-0000-0000B53D0000}"/>
    <cellStyle name="40% - Accent6 13" xfId="15798" xr:uid="{00000000-0005-0000-0000-0000B63D0000}"/>
    <cellStyle name="40% - Accent6 13 2" xfId="15799" xr:uid="{00000000-0005-0000-0000-0000B73D0000}"/>
    <cellStyle name="40% - Accent6 13 3" xfId="15800" xr:uid="{00000000-0005-0000-0000-0000B83D0000}"/>
    <cellStyle name="40% - Accent6 14" xfId="15801" xr:uid="{00000000-0005-0000-0000-0000B93D0000}"/>
    <cellStyle name="40% - Accent6 14 2" xfId="15802" xr:uid="{00000000-0005-0000-0000-0000BA3D0000}"/>
    <cellStyle name="40% - Accent6 14 3" xfId="15803" xr:uid="{00000000-0005-0000-0000-0000BB3D0000}"/>
    <cellStyle name="40% - Accent6 15" xfId="15804" xr:uid="{00000000-0005-0000-0000-0000BC3D0000}"/>
    <cellStyle name="40% - Accent6 16" xfId="15805" xr:uid="{00000000-0005-0000-0000-0000BD3D0000}"/>
    <cellStyle name="40% - Accent6 17" xfId="15806" xr:uid="{00000000-0005-0000-0000-0000BE3D0000}"/>
    <cellStyle name="40% - Accent6 18" xfId="15807" xr:uid="{00000000-0005-0000-0000-0000BF3D0000}"/>
    <cellStyle name="40% - Accent6 19" xfId="15808" xr:uid="{00000000-0005-0000-0000-0000C03D0000}"/>
    <cellStyle name="40% - Accent6 2" xfId="15809" xr:uid="{00000000-0005-0000-0000-0000C13D0000}"/>
    <cellStyle name="40% - Accent6 2 2" xfId="15810" xr:uid="{00000000-0005-0000-0000-0000C23D0000}"/>
    <cellStyle name="40% - Accent6 2 3" xfId="15811" xr:uid="{00000000-0005-0000-0000-0000C33D0000}"/>
    <cellStyle name="40% - Accent6 2 4" xfId="15812" xr:uid="{00000000-0005-0000-0000-0000C43D0000}"/>
    <cellStyle name="40% - Accent6 3" xfId="15813" xr:uid="{00000000-0005-0000-0000-0000C53D0000}"/>
    <cellStyle name="40% - Accent6 3 2" xfId="15814" xr:uid="{00000000-0005-0000-0000-0000C63D0000}"/>
    <cellStyle name="40% - Accent6 3 3" xfId="15815" xr:uid="{00000000-0005-0000-0000-0000C73D0000}"/>
    <cellStyle name="40% - Accent6 4" xfId="15816" xr:uid="{00000000-0005-0000-0000-0000C83D0000}"/>
    <cellStyle name="40% - Accent6 4 2" xfId="15817" xr:uid="{00000000-0005-0000-0000-0000C93D0000}"/>
    <cellStyle name="40% - Accent6 5" xfId="15818" xr:uid="{00000000-0005-0000-0000-0000CA3D0000}"/>
    <cellStyle name="40% - Accent6 5 2" xfId="15819" xr:uid="{00000000-0005-0000-0000-0000CB3D0000}"/>
    <cellStyle name="40% - Accent6 6" xfId="15820" xr:uid="{00000000-0005-0000-0000-0000CC3D0000}"/>
    <cellStyle name="40% - Accent6 6 2" xfId="15821" xr:uid="{00000000-0005-0000-0000-0000CD3D0000}"/>
    <cellStyle name="40% - Accent6 7" xfId="15822" xr:uid="{00000000-0005-0000-0000-0000CE3D0000}"/>
    <cellStyle name="40% - Accent6 7 2" xfId="15823" xr:uid="{00000000-0005-0000-0000-0000CF3D0000}"/>
    <cellStyle name="40% - Accent6 7 2 2" xfId="15824" xr:uid="{00000000-0005-0000-0000-0000D03D0000}"/>
    <cellStyle name="40% - Accent6 7 2 3" xfId="15825" xr:uid="{00000000-0005-0000-0000-0000D13D0000}"/>
    <cellStyle name="40% - Accent6 7 3" xfId="15826" xr:uid="{00000000-0005-0000-0000-0000D23D0000}"/>
    <cellStyle name="40% - Accent6 7 4" xfId="15827" xr:uid="{00000000-0005-0000-0000-0000D33D0000}"/>
    <cellStyle name="40% - Accent6 8" xfId="15828" xr:uid="{00000000-0005-0000-0000-0000D43D0000}"/>
    <cellStyle name="40% - Accent6 8 2" xfId="15829" xr:uid="{00000000-0005-0000-0000-0000D53D0000}"/>
    <cellStyle name="40% - Accent6 8 2 2" xfId="15830" xr:uid="{00000000-0005-0000-0000-0000D63D0000}"/>
    <cellStyle name="40% - Accent6 8 2 3" xfId="15831" xr:uid="{00000000-0005-0000-0000-0000D73D0000}"/>
    <cellStyle name="40% - Accent6 8 3" xfId="15832" xr:uid="{00000000-0005-0000-0000-0000D83D0000}"/>
    <cellStyle name="40% - Accent6 8 4" xfId="15833" xr:uid="{00000000-0005-0000-0000-0000D93D0000}"/>
    <cellStyle name="40% - Accent6 9" xfId="15834" xr:uid="{00000000-0005-0000-0000-0000DA3D0000}"/>
    <cellStyle name="40% - Accent6 9 2" xfId="15835" xr:uid="{00000000-0005-0000-0000-0000DB3D0000}"/>
    <cellStyle name="40% - Accent6 9 2 2" xfId="15836" xr:uid="{00000000-0005-0000-0000-0000DC3D0000}"/>
    <cellStyle name="40% - Accent6 9 2 3" xfId="15837" xr:uid="{00000000-0005-0000-0000-0000DD3D0000}"/>
    <cellStyle name="40% - Accent6 9 3" xfId="15838" xr:uid="{00000000-0005-0000-0000-0000DE3D0000}"/>
    <cellStyle name="40% - Accent6 9 4" xfId="15839" xr:uid="{00000000-0005-0000-0000-0000DF3D0000}"/>
    <cellStyle name="60% - Accent1 2" xfId="15840" xr:uid="{00000000-0005-0000-0000-0000E03D0000}"/>
    <cellStyle name="60% - Accent1 2 2" xfId="15841" xr:uid="{00000000-0005-0000-0000-0000E13D0000}"/>
    <cellStyle name="60% - Accent1 3" xfId="15842" xr:uid="{00000000-0005-0000-0000-0000E23D0000}"/>
    <cellStyle name="60% - Accent1 3 2" xfId="15843" xr:uid="{00000000-0005-0000-0000-0000E33D0000}"/>
    <cellStyle name="60% - Accent1 4" xfId="15844" xr:uid="{00000000-0005-0000-0000-0000E43D0000}"/>
    <cellStyle name="60% - Accent1 4 2" xfId="15845" xr:uid="{00000000-0005-0000-0000-0000E53D0000}"/>
    <cellStyle name="60% - Accent1 5" xfId="15846" xr:uid="{00000000-0005-0000-0000-0000E63D0000}"/>
    <cellStyle name="60% - Accent1 5 2" xfId="15847" xr:uid="{00000000-0005-0000-0000-0000E73D0000}"/>
    <cellStyle name="60% - Accent1 6" xfId="15848" xr:uid="{00000000-0005-0000-0000-0000E83D0000}"/>
    <cellStyle name="60% - Accent1 6 2" xfId="15849" xr:uid="{00000000-0005-0000-0000-0000E93D0000}"/>
    <cellStyle name="60% - Accent2 2" xfId="15850" xr:uid="{00000000-0005-0000-0000-0000EA3D0000}"/>
    <cellStyle name="60% - Accent2 2 2" xfId="15851" xr:uid="{00000000-0005-0000-0000-0000EB3D0000}"/>
    <cellStyle name="60% - Accent2 3" xfId="15852" xr:uid="{00000000-0005-0000-0000-0000EC3D0000}"/>
    <cellStyle name="60% - Accent2 3 2" xfId="15853" xr:uid="{00000000-0005-0000-0000-0000ED3D0000}"/>
    <cellStyle name="60% - Accent2 4" xfId="15854" xr:uid="{00000000-0005-0000-0000-0000EE3D0000}"/>
    <cellStyle name="60% - Accent2 4 2" xfId="15855" xr:uid="{00000000-0005-0000-0000-0000EF3D0000}"/>
    <cellStyle name="60% - Accent2 5" xfId="15856" xr:uid="{00000000-0005-0000-0000-0000F03D0000}"/>
    <cellStyle name="60% - Accent2 5 2" xfId="15857" xr:uid="{00000000-0005-0000-0000-0000F13D0000}"/>
    <cellStyle name="60% - Accent2 6" xfId="15858" xr:uid="{00000000-0005-0000-0000-0000F23D0000}"/>
    <cellStyle name="60% - Accent2 6 2" xfId="15859" xr:uid="{00000000-0005-0000-0000-0000F33D0000}"/>
    <cellStyle name="60% - Accent3 2" xfId="15860" xr:uid="{00000000-0005-0000-0000-0000F43D0000}"/>
    <cellStyle name="60% - Accent3 2 2" xfId="15861" xr:uid="{00000000-0005-0000-0000-0000F53D0000}"/>
    <cellStyle name="60% - Accent3 2 3" xfId="15862" xr:uid="{00000000-0005-0000-0000-0000F63D0000}"/>
    <cellStyle name="60% - Accent3 3" xfId="15863" xr:uid="{00000000-0005-0000-0000-0000F73D0000}"/>
    <cellStyle name="60% - Accent3 3 2" xfId="15864" xr:uid="{00000000-0005-0000-0000-0000F83D0000}"/>
    <cellStyle name="60% - Accent3 4" xfId="15865" xr:uid="{00000000-0005-0000-0000-0000F93D0000}"/>
    <cellStyle name="60% - Accent3 4 2" xfId="15866" xr:uid="{00000000-0005-0000-0000-0000FA3D0000}"/>
    <cellStyle name="60% - Accent3 5" xfId="15867" xr:uid="{00000000-0005-0000-0000-0000FB3D0000}"/>
    <cellStyle name="60% - Accent3 5 2" xfId="15868" xr:uid="{00000000-0005-0000-0000-0000FC3D0000}"/>
    <cellStyle name="60% - Accent3 6" xfId="15869" xr:uid="{00000000-0005-0000-0000-0000FD3D0000}"/>
    <cellStyle name="60% - Accent3 6 2" xfId="15870" xr:uid="{00000000-0005-0000-0000-0000FE3D0000}"/>
    <cellStyle name="60% - Accent4 2" xfId="15871" xr:uid="{00000000-0005-0000-0000-0000FF3D0000}"/>
    <cellStyle name="60% - Accent4 2 2" xfId="15872" xr:uid="{00000000-0005-0000-0000-0000003E0000}"/>
    <cellStyle name="60% - Accent4 2 3" xfId="15873" xr:uid="{00000000-0005-0000-0000-0000013E0000}"/>
    <cellStyle name="60% - Accent4 3" xfId="15874" xr:uid="{00000000-0005-0000-0000-0000023E0000}"/>
    <cellStyle name="60% - Accent4 3 2" xfId="15875" xr:uid="{00000000-0005-0000-0000-0000033E0000}"/>
    <cellStyle name="60% - Accent4 4" xfId="15876" xr:uid="{00000000-0005-0000-0000-0000043E0000}"/>
    <cellStyle name="60% - Accent4 4 2" xfId="15877" xr:uid="{00000000-0005-0000-0000-0000053E0000}"/>
    <cellStyle name="60% - Accent4 5" xfId="15878" xr:uid="{00000000-0005-0000-0000-0000063E0000}"/>
    <cellStyle name="60% - Accent4 5 2" xfId="15879" xr:uid="{00000000-0005-0000-0000-0000073E0000}"/>
    <cellStyle name="60% - Accent4 6" xfId="15880" xr:uid="{00000000-0005-0000-0000-0000083E0000}"/>
    <cellStyle name="60% - Accent4 6 2" xfId="15881" xr:uid="{00000000-0005-0000-0000-0000093E0000}"/>
    <cellStyle name="60% - Accent5 2" xfId="15882" xr:uid="{00000000-0005-0000-0000-00000A3E0000}"/>
    <cellStyle name="60% - Accent5 2 2" xfId="15883" xr:uid="{00000000-0005-0000-0000-00000B3E0000}"/>
    <cellStyle name="60% - Accent5 3" xfId="15884" xr:uid="{00000000-0005-0000-0000-00000C3E0000}"/>
    <cellStyle name="60% - Accent5 3 2" xfId="15885" xr:uid="{00000000-0005-0000-0000-00000D3E0000}"/>
    <cellStyle name="60% - Accent5 4" xfId="15886" xr:uid="{00000000-0005-0000-0000-00000E3E0000}"/>
    <cellStyle name="60% - Accent5 4 2" xfId="15887" xr:uid="{00000000-0005-0000-0000-00000F3E0000}"/>
    <cellStyle name="60% - Accent5 5" xfId="15888" xr:uid="{00000000-0005-0000-0000-0000103E0000}"/>
    <cellStyle name="60% - Accent5 5 2" xfId="15889" xr:uid="{00000000-0005-0000-0000-0000113E0000}"/>
    <cellStyle name="60% - Accent5 6" xfId="15890" xr:uid="{00000000-0005-0000-0000-0000123E0000}"/>
    <cellStyle name="60% - Accent5 6 2" xfId="15891" xr:uid="{00000000-0005-0000-0000-0000133E0000}"/>
    <cellStyle name="60% - Accent6 2" xfId="15892" xr:uid="{00000000-0005-0000-0000-0000143E0000}"/>
    <cellStyle name="60% - Accent6 2 2" xfId="15893" xr:uid="{00000000-0005-0000-0000-0000153E0000}"/>
    <cellStyle name="60% - Accent6 2 3" xfId="15894" xr:uid="{00000000-0005-0000-0000-0000163E0000}"/>
    <cellStyle name="60% - Accent6 3" xfId="15895" xr:uid="{00000000-0005-0000-0000-0000173E0000}"/>
    <cellStyle name="60% - Accent6 3 2" xfId="15896" xr:uid="{00000000-0005-0000-0000-0000183E0000}"/>
    <cellStyle name="60% - Accent6 4" xfId="15897" xr:uid="{00000000-0005-0000-0000-0000193E0000}"/>
    <cellStyle name="60% - Accent6 4 2" xfId="15898" xr:uid="{00000000-0005-0000-0000-00001A3E0000}"/>
    <cellStyle name="60% - Accent6 5" xfId="15899" xr:uid="{00000000-0005-0000-0000-00001B3E0000}"/>
    <cellStyle name="60% - Accent6 5 2" xfId="15900" xr:uid="{00000000-0005-0000-0000-00001C3E0000}"/>
    <cellStyle name="60% - Accent6 6" xfId="15901" xr:uid="{00000000-0005-0000-0000-00001D3E0000}"/>
    <cellStyle name="60% - Accent6 6 2" xfId="15902" xr:uid="{00000000-0005-0000-0000-00001E3E0000}"/>
    <cellStyle name="Accent1 2" xfId="15903" xr:uid="{00000000-0005-0000-0000-00001F3E0000}"/>
    <cellStyle name="Accent1 2 2" xfId="15904" xr:uid="{00000000-0005-0000-0000-0000203E0000}"/>
    <cellStyle name="Accent1 3" xfId="15905" xr:uid="{00000000-0005-0000-0000-0000213E0000}"/>
    <cellStyle name="Accent1 3 2" xfId="15906" xr:uid="{00000000-0005-0000-0000-0000223E0000}"/>
    <cellStyle name="Accent1 4" xfId="15907" xr:uid="{00000000-0005-0000-0000-0000233E0000}"/>
    <cellStyle name="Accent1 4 2" xfId="15908" xr:uid="{00000000-0005-0000-0000-0000243E0000}"/>
    <cellStyle name="Accent1 5" xfId="15909" xr:uid="{00000000-0005-0000-0000-0000253E0000}"/>
    <cellStyle name="Accent1 5 2" xfId="15910" xr:uid="{00000000-0005-0000-0000-0000263E0000}"/>
    <cellStyle name="Accent1 6" xfId="15911" xr:uid="{00000000-0005-0000-0000-0000273E0000}"/>
    <cellStyle name="Accent1 6 2" xfId="15912" xr:uid="{00000000-0005-0000-0000-0000283E0000}"/>
    <cellStyle name="Accent2 2" xfId="15913" xr:uid="{00000000-0005-0000-0000-0000293E0000}"/>
    <cellStyle name="Accent2 2 2" xfId="15914" xr:uid="{00000000-0005-0000-0000-00002A3E0000}"/>
    <cellStyle name="Accent2 3" xfId="15915" xr:uid="{00000000-0005-0000-0000-00002B3E0000}"/>
    <cellStyle name="Accent2 3 2" xfId="15916" xr:uid="{00000000-0005-0000-0000-00002C3E0000}"/>
    <cellStyle name="Accent2 4" xfId="15917" xr:uid="{00000000-0005-0000-0000-00002D3E0000}"/>
    <cellStyle name="Accent2 4 2" xfId="15918" xr:uid="{00000000-0005-0000-0000-00002E3E0000}"/>
    <cellStyle name="Accent2 5" xfId="15919" xr:uid="{00000000-0005-0000-0000-00002F3E0000}"/>
    <cellStyle name="Accent2 5 2" xfId="15920" xr:uid="{00000000-0005-0000-0000-0000303E0000}"/>
    <cellStyle name="Accent2 6" xfId="15921" xr:uid="{00000000-0005-0000-0000-0000313E0000}"/>
    <cellStyle name="Accent2 6 2" xfId="15922" xr:uid="{00000000-0005-0000-0000-0000323E0000}"/>
    <cellStyle name="Accent3 2" xfId="15923" xr:uid="{00000000-0005-0000-0000-0000333E0000}"/>
    <cellStyle name="Accent3 2 2" xfId="15924" xr:uid="{00000000-0005-0000-0000-0000343E0000}"/>
    <cellStyle name="Accent3 3" xfId="15925" xr:uid="{00000000-0005-0000-0000-0000353E0000}"/>
    <cellStyle name="Accent3 3 2" xfId="15926" xr:uid="{00000000-0005-0000-0000-0000363E0000}"/>
    <cellStyle name="Accent3 4" xfId="15927" xr:uid="{00000000-0005-0000-0000-0000373E0000}"/>
    <cellStyle name="Accent3 4 2" xfId="15928" xr:uid="{00000000-0005-0000-0000-0000383E0000}"/>
    <cellStyle name="Accent3 5" xfId="15929" xr:uid="{00000000-0005-0000-0000-0000393E0000}"/>
    <cellStyle name="Accent3 5 2" xfId="15930" xr:uid="{00000000-0005-0000-0000-00003A3E0000}"/>
    <cellStyle name="Accent3 6" xfId="15931" xr:uid="{00000000-0005-0000-0000-00003B3E0000}"/>
    <cellStyle name="Accent3 6 2" xfId="15932" xr:uid="{00000000-0005-0000-0000-00003C3E0000}"/>
    <cellStyle name="Accent4 2" xfId="15933" xr:uid="{00000000-0005-0000-0000-00003D3E0000}"/>
    <cellStyle name="Accent4 2 2" xfId="15934" xr:uid="{00000000-0005-0000-0000-00003E3E0000}"/>
    <cellStyle name="Accent4 3" xfId="15935" xr:uid="{00000000-0005-0000-0000-00003F3E0000}"/>
    <cellStyle name="Accent4 3 2" xfId="15936" xr:uid="{00000000-0005-0000-0000-0000403E0000}"/>
    <cellStyle name="Accent4 4" xfId="15937" xr:uid="{00000000-0005-0000-0000-0000413E0000}"/>
    <cellStyle name="Accent4 4 2" xfId="15938" xr:uid="{00000000-0005-0000-0000-0000423E0000}"/>
    <cellStyle name="Accent4 5" xfId="15939" xr:uid="{00000000-0005-0000-0000-0000433E0000}"/>
    <cellStyle name="Accent4 5 2" xfId="15940" xr:uid="{00000000-0005-0000-0000-0000443E0000}"/>
    <cellStyle name="Accent4 6" xfId="15941" xr:uid="{00000000-0005-0000-0000-0000453E0000}"/>
    <cellStyle name="Accent4 6 2" xfId="15942" xr:uid="{00000000-0005-0000-0000-0000463E0000}"/>
    <cellStyle name="Accent5 2" xfId="15943" xr:uid="{00000000-0005-0000-0000-0000473E0000}"/>
    <cellStyle name="Accent5 2 2" xfId="15944" xr:uid="{00000000-0005-0000-0000-0000483E0000}"/>
    <cellStyle name="Accent5 3" xfId="15945" xr:uid="{00000000-0005-0000-0000-0000493E0000}"/>
    <cellStyle name="Accent5 3 2" xfId="15946" xr:uid="{00000000-0005-0000-0000-00004A3E0000}"/>
    <cellStyle name="Accent5 4" xfId="15947" xr:uid="{00000000-0005-0000-0000-00004B3E0000}"/>
    <cellStyle name="Accent5 4 2" xfId="15948" xr:uid="{00000000-0005-0000-0000-00004C3E0000}"/>
    <cellStyle name="Accent5 5" xfId="15949" xr:uid="{00000000-0005-0000-0000-00004D3E0000}"/>
    <cellStyle name="Accent5 5 2" xfId="15950" xr:uid="{00000000-0005-0000-0000-00004E3E0000}"/>
    <cellStyle name="Accent5 6" xfId="15951" xr:uid="{00000000-0005-0000-0000-00004F3E0000}"/>
    <cellStyle name="Accent5 6 2" xfId="15952" xr:uid="{00000000-0005-0000-0000-0000503E0000}"/>
    <cellStyle name="Accent6 2" xfId="15953" xr:uid="{00000000-0005-0000-0000-0000513E0000}"/>
    <cellStyle name="Accent6 2 2" xfId="15954" xr:uid="{00000000-0005-0000-0000-0000523E0000}"/>
    <cellStyle name="Accent6 3" xfId="15955" xr:uid="{00000000-0005-0000-0000-0000533E0000}"/>
    <cellStyle name="Accent6 3 2" xfId="15956" xr:uid="{00000000-0005-0000-0000-0000543E0000}"/>
    <cellStyle name="Accent6 4" xfId="15957" xr:uid="{00000000-0005-0000-0000-0000553E0000}"/>
    <cellStyle name="Accent6 4 2" xfId="15958" xr:uid="{00000000-0005-0000-0000-0000563E0000}"/>
    <cellStyle name="Accent6 5" xfId="15959" xr:uid="{00000000-0005-0000-0000-0000573E0000}"/>
    <cellStyle name="Accent6 5 2" xfId="15960" xr:uid="{00000000-0005-0000-0000-0000583E0000}"/>
    <cellStyle name="Accent6 6" xfId="15961" xr:uid="{00000000-0005-0000-0000-0000593E0000}"/>
    <cellStyle name="Accent6 6 2" xfId="15962" xr:uid="{00000000-0005-0000-0000-00005A3E0000}"/>
    <cellStyle name="ÅëÈ­ [0]_¿ï»êÈ­·Â ±â±¸Á¶Á÷Ç¥" xfId="15963" xr:uid="{00000000-0005-0000-0000-00005B3E0000}"/>
    <cellStyle name="ÅëÈ­_¿ï»êÈ­·Â ±â±¸Á¶Á÷Ç¥" xfId="15964" xr:uid="{00000000-0005-0000-0000-00005C3E0000}"/>
    <cellStyle name="ÄÞ¸¶ [0]_¿ï»êÈ­·Â ±â±¸Á¶Á÷Ç¥" xfId="15965" xr:uid="{00000000-0005-0000-0000-00005D3E0000}"/>
    <cellStyle name="ÄÞ¸¶,_x0005__x0014_" xfId="15966" xr:uid="{00000000-0005-0000-0000-00005E3E0000}"/>
    <cellStyle name="ÄÞ¸¶_¿ï»êÈ­·Â ±â±¸Á¶Á÷Ç¥" xfId="15967" xr:uid="{00000000-0005-0000-0000-00005F3E0000}"/>
    <cellStyle name="AutoFormat Options" xfId="15968" xr:uid="{00000000-0005-0000-0000-0000603E0000}"/>
    <cellStyle name="AutoFormat Options 2" xfId="15969" xr:uid="{00000000-0005-0000-0000-0000613E0000}"/>
    <cellStyle name="Bad 2" xfId="15970" xr:uid="{00000000-0005-0000-0000-0000623E0000}"/>
    <cellStyle name="Bad 2 2" xfId="15971" xr:uid="{00000000-0005-0000-0000-0000633E0000}"/>
    <cellStyle name="Bad 3" xfId="15972" xr:uid="{00000000-0005-0000-0000-0000643E0000}"/>
    <cellStyle name="Bad 3 2" xfId="15973" xr:uid="{00000000-0005-0000-0000-0000653E0000}"/>
    <cellStyle name="Bad 4" xfId="15974" xr:uid="{00000000-0005-0000-0000-0000663E0000}"/>
    <cellStyle name="Bad 4 2" xfId="15975" xr:uid="{00000000-0005-0000-0000-0000673E0000}"/>
    <cellStyle name="Bad 5" xfId="15976" xr:uid="{00000000-0005-0000-0000-0000683E0000}"/>
    <cellStyle name="Bad 5 2" xfId="15977" xr:uid="{00000000-0005-0000-0000-0000693E0000}"/>
    <cellStyle name="Bad 6" xfId="15978" xr:uid="{00000000-0005-0000-0000-00006A3E0000}"/>
    <cellStyle name="Bad 6 2" xfId="15979" xr:uid="{00000000-0005-0000-0000-00006B3E0000}"/>
    <cellStyle name="Ç¥ÁØ_¸ÅÀÌ¼ö" xfId="15980" xr:uid="{00000000-0005-0000-0000-00006C3E0000}"/>
    <cellStyle name="Calc Currency (0)" xfId="15981" xr:uid="{00000000-0005-0000-0000-00006D3E0000}"/>
    <cellStyle name="Calc Units (2)" xfId="15982" xr:uid="{00000000-0005-0000-0000-00006E3E0000}"/>
    <cellStyle name="Calculation 2" xfId="15983" xr:uid="{00000000-0005-0000-0000-00006F3E0000}"/>
    <cellStyle name="Calculation 2 2" xfId="15984" xr:uid="{00000000-0005-0000-0000-0000703E0000}"/>
    <cellStyle name="Calculation 3" xfId="15985" xr:uid="{00000000-0005-0000-0000-0000713E0000}"/>
    <cellStyle name="Calculation 3 2" xfId="15986" xr:uid="{00000000-0005-0000-0000-0000723E0000}"/>
    <cellStyle name="Calculation 4" xfId="15987" xr:uid="{00000000-0005-0000-0000-0000733E0000}"/>
    <cellStyle name="Calculation 4 2" xfId="15988" xr:uid="{00000000-0005-0000-0000-0000743E0000}"/>
    <cellStyle name="Calculation 5" xfId="15989" xr:uid="{00000000-0005-0000-0000-0000753E0000}"/>
    <cellStyle name="Calculation 5 2" xfId="15990" xr:uid="{00000000-0005-0000-0000-0000763E0000}"/>
    <cellStyle name="Calculation 6" xfId="15991" xr:uid="{00000000-0005-0000-0000-0000773E0000}"/>
    <cellStyle name="Calculation 6 2" xfId="15992" xr:uid="{00000000-0005-0000-0000-0000783E0000}"/>
    <cellStyle name="Check Cell 2" xfId="15993" xr:uid="{00000000-0005-0000-0000-0000793E0000}"/>
    <cellStyle name="Check Cell 2 2" xfId="15994" xr:uid="{00000000-0005-0000-0000-00007A3E0000}"/>
    <cellStyle name="Check Cell 3" xfId="15995" xr:uid="{00000000-0005-0000-0000-00007B3E0000}"/>
    <cellStyle name="Check Cell 3 2" xfId="15996" xr:uid="{00000000-0005-0000-0000-00007C3E0000}"/>
    <cellStyle name="Check Cell 4" xfId="15997" xr:uid="{00000000-0005-0000-0000-00007D3E0000}"/>
    <cellStyle name="Check Cell 4 2" xfId="15998" xr:uid="{00000000-0005-0000-0000-00007E3E0000}"/>
    <cellStyle name="Check Cell 5" xfId="15999" xr:uid="{00000000-0005-0000-0000-00007F3E0000}"/>
    <cellStyle name="Check Cell 5 2" xfId="16000" xr:uid="{00000000-0005-0000-0000-0000803E0000}"/>
    <cellStyle name="Check Cell 6" xfId="16001" xr:uid="{00000000-0005-0000-0000-0000813E0000}"/>
    <cellStyle name="Check Cell 6 2" xfId="16002" xr:uid="{00000000-0005-0000-0000-0000823E0000}"/>
    <cellStyle name="Column_Title" xfId="16003" xr:uid="{00000000-0005-0000-0000-0000833E0000}"/>
    <cellStyle name="Comma" xfId="1" builtinId="3"/>
    <cellStyle name="Comma  - Style1" xfId="16004" xr:uid="{00000000-0005-0000-0000-0000843E0000}"/>
    <cellStyle name="Comma  - Style2" xfId="16005" xr:uid="{00000000-0005-0000-0000-0000853E0000}"/>
    <cellStyle name="Comma  - Style3" xfId="16006" xr:uid="{00000000-0005-0000-0000-0000863E0000}"/>
    <cellStyle name="Comma  - Style4" xfId="16007" xr:uid="{00000000-0005-0000-0000-0000873E0000}"/>
    <cellStyle name="Comma  - Style5" xfId="16008" xr:uid="{00000000-0005-0000-0000-0000883E0000}"/>
    <cellStyle name="Comma  - Style6" xfId="16009" xr:uid="{00000000-0005-0000-0000-0000893E0000}"/>
    <cellStyle name="Comma  - Style7" xfId="16010" xr:uid="{00000000-0005-0000-0000-00008A3E0000}"/>
    <cellStyle name="Comma  - Style8" xfId="16011" xr:uid="{00000000-0005-0000-0000-00008B3E0000}"/>
    <cellStyle name="Comma [00]" xfId="16012" xr:uid="{00000000-0005-0000-0000-00008C3E0000}"/>
    <cellStyle name="Comma 10" xfId="16013" xr:uid="{00000000-0005-0000-0000-00008D3E0000}"/>
    <cellStyle name="Comma 10 10" xfId="16014" xr:uid="{00000000-0005-0000-0000-00008E3E0000}"/>
    <cellStyle name="Comma 10 10 2" xfId="16015" xr:uid="{00000000-0005-0000-0000-00008F3E0000}"/>
    <cellStyle name="Comma 10 10 3" xfId="16016" xr:uid="{00000000-0005-0000-0000-0000903E0000}"/>
    <cellStyle name="Comma 10 11" xfId="16017" xr:uid="{00000000-0005-0000-0000-0000913E0000}"/>
    <cellStyle name="Comma 10 12" xfId="16018" xr:uid="{00000000-0005-0000-0000-0000923E0000}"/>
    <cellStyle name="Comma 10 2" xfId="16019" xr:uid="{00000000-0005-0000-0000-0000933E0000}"/>
    <cellStyle name="Comma 10 2 2" xfId="16020" xr:uid="{00000000-0005-0000-0000-0000943E0000}"/>
    <cellStyle name="Comma 10 2 2 2" xfId="16021" xr:uid="{00000000-0005-0000-0000-0000953E0000}"/>
    <cellStyle name="Comma 10 2 3" xfId="16022" xr:uid="{00000000-0005-0000-0000-0000963E0000}"/>
    <cellStyle name="Comma 10 3" xfId="16023" xr:uid="{00000000-0005-0000-0000-0000973E0000}"/>
    <cellStyle name="Comma 10 3 10" xfId="16024" xr:uid="{00000000-0005-0000-0000-0000983E0000}"/>
    <cellStyle name="Comma 10 3 2" xfId="16025" xr:uid="{00000000-0005-0000-0000-0000993E0000}"/>
    <cellStyle name="Comma 10 3 2 2" xfId="16026" xr:uid="{00000000-0005-0000-0000-00009A3E0000}"/>
    <cellStyle name="Comma 10 3 2 2 2" xfId="16027" xr:uid="{00000000-0005-0000-0000-00009B3E0000}"/>
    <cellStyle name="Comma 10 3 2 2 2 2" xfId="16028" xr:uid="{00000000-0005-0000-0000-00009C3E0000}"/>
    <cellStyle name="Comma 10 3 2 2 2 2 2" xfId="16029" xr:uid="{00000000-0005-0000-0000-00009D3E0000}"/>
    <cellStyle name="Comma 10 3 2 2 2 2 2 2" xfId="16030" xr:uid="{00000000-0005-0000-0000-00009E3E0000}"/>
    <cellStyle name="Comma 10 3 2 2 2 2 2 2 2" xfId="16031" xr:uid="{00000000-0005-0000-0000-00009F3E0000}"/>
    <cellStyle name="Comma 10 3 2 2 2 2 2 2 2 2" xfId="16032" xr:uid="{00000000-0005-0000-0000-0000A03E0000}"/>
    <cellStyle name="Comma 10 3 2 2 2 2 2 2 2 3" xfId="16033" xr:uid="{00000000-0005-0000-0000-0000A13E0000}"/>
    <cellStyle name="Comma 10 3 2 2 2 2 2 2 3" xfId="16034" xr:uid="{00000000-0005-0000-0000-0000A23E0000}"/>
    <cellStyle name="Comma 10 3 2 2 2 2 2 2 4" xfId="16035" xr:uid="{00000000-0005-0000-0000-0000A33E0000}"/>
    <cellStyle name="Comma 10 3 2 2 2 2 2 3" xfId="16036" xr:uid="{00000000-0005-0000-0000-0000A43E0000}"/>
    <cellStyle name="Comma 10 3 2 2 2 2 2 3 2" xfId="16037" xr:uid="{00000000-0005-0000-0000-0000A53E0000}"/>
    <cellStyle name="Comma 10 3 2 2 2 2 2 3 3" xfId="16038" xr:uid="{00000000-0005-0000-0000-0000A63E0000}"/>
    <cellStyle name="Comma 10 3 2 2 2 2 2 4" xfId="16039" xr:uid="{00000000-0005-0000-0000-0000A73E0000}"/>
    <cellStyle name="Comma 10 3 2 2 2 2 2 5" xfId="16040" xr:uid="{00000000-0005-0000-0000-0000A83E0000}"/>
    <cellStyle name="Comma 10 3 2 2 2 2 3" xfId="16041" xr:uid="{00000000-0005-0000-0000-0000A93E0000}"/>
    <cellStyle name="Comma 10 3 2 2 2 2 3 2" xfId="16042" xr:uid="{00000000-0005-0000-0000-0000AA3E0000}"/>
    <cellStyle name="Comma 10 3 2 2 2 2 3 2 2" xfId="16043" xr:uid="{00000000-0005-0000-0000-0000AB3E0000}"/>
    <cellStyle name="Comma 10 3 2 2 2 2 3 2 3" xfId="16044" xr:uid="{00000000-0005-0000-0000-0000AC3E0000}"/>
    <cellStyle name="Comma 10 3 2 2 2 2 3 3" xfId="16045" xr:uid="{00000000-0005-0000-0000-0000AD3E0000}"/>
    <cellStyle name="Comma 10 3 2 2 2 2 3 4" xfId="16046" xr:uid="{00000000-0005-0000-0000-0000AE3E0000}"/>
    <cellStyle name="Comma 10 3 2 2 2 2 4" xfId="16047" xr:uid="{00000000-0005-0000-0000-0000AF3E0000}"/>
    <cellStyle name="Comma 10 3 2 2 2 2 4 2" xfId="16048" xr:uid="{00000000-0005-0000-0000-0000B03E0000}"/>
    <cellStyle name="Comma 10 3 2 2 2 2 4 3" xfId="16049" xr:uid="{00000000-0005-0000-0000-0000B13E0000}"/>
    <cellStyle name="Comma 10 3 2 2 2 2 5" xfId="16050" xr:uid="{00000000-0005-0000-0000-0000B23E0000}"/>
    <cellStyle name="Comma 10 3 2 2 2 2 6" xfId="16051" xr:uid="{00000000-0005-0000-0000-0000B33E0000}"/>
    <cellStyle name="Comma 10 3 2 2 2 3" xfId="16052" xr:uid="{00000000-0005-0000-0000-0000B43E0000}"/>
    <cellStyle name="Comma 10 3 2 2 2 3 2" xfId="16053" xr:uid="{00000000-0005-0000-0000-0000B53E0000}"/>
    <cellStyle name="Comma 10 3 2 2 2 3 2 2" xfId="16054" xr:uid="{00000000-0005-0000-0000-0000B63E0000}"/>
    <cellStyle name="Comma 10 3 2 2 2 3 2 2 2" xfId="16055" xr:uid="{00000000-0005-0000-0000-0000B73E0000}"/>
    <cellStyle name="Comma 10 3 2 2 2 3 2 2 3" xfId="16056" xr:uid="{00000000-0005-0000-0000-0000B83E0000}"/>
    <cellStyle name="Comma 10 3 2 2 2 3 2 3" xfId="16057" xr:uid="{00000000-0005-0000-0000-0000B93E0000}"/>
    <cellStyle name="Comma 10 3 2 2 2 3 2 4" xfId="16058" xr:uid="{00000000-0005-0000-0000-0000BA3E0000}"/>
    <cellStyle name="Comma 10 3 2 2 2 3 3" xfId="16059" xr:uid="{00000000-0005-0000-0000-0000BB3E0000}"/>
    <cellStyle name="Comma 10 3 2 2 2 3 3 2" xfId="16060" xr:uid="{00000000-0005-0000-0000-0000BC3E0000}"/>
    <cellStyle name="Comma 10 3 2 2 2 3 3 3" xfId="16061" xr:uid="{00000000-0005-0000-0000-0000BD3E0000}"/>
    <cellStyle name="Comma 10 3 2 2 2 3 4" xfId="16062" xr:uid="{00000000-0005-0000-0000-0000BE3E0000}"/>
    <cellStyle name="Comma 10 3 2 2 2 3 5" xfId="16063" xr:uid="{00000000-0005-0000-0000-0000BF3E0000}"/>
    <cellStyle name="Comma 10 3 2 2 2 4" xfId="16064" xr:uid="{00000000-0005-0000-0000-0000C03E0000}"/>
    <cellStyle name="Comma 10 3 2 2 2 4 2" xfId="16065" xr:uid="{00000000-0005-0000-0000-0000C13E0000}"/>
    <cellStyle name="Comma 10 3 2 2 2 4 2 2" xfId="16066" xr:uid="{00000000-0005-0000-0000-0000C23E0000}"/>
    <cellStyle name="Comma 10 3 2 2 2 4 2 3" xfId="16067" xr:uid="{00000000-0005-0000-0000-0000C33E0000}"/>
    <cellStyle name="Comma 10 3 2 2 2 4 3" xfId="16068" xr:uid="{00000000-0005-0000-0000-0000C43E0000}"/>
    <cellStyle name="Comma 10 3 2 2 2 4 4" xfId="16069" xr:uid="{00000000-0005-0000-0000-0000C53E0000}"/>
    <cellStyle name="Comma 10 3 2 2 2 5" xfId="16070" xr:uid="{00000000-0005-0000-0000-0000C63E0000}"/>
    <cellStyle name="Comma 10 3 2 2 2 5 2" xfId="16071" xr:uid="{00000000-0005-0000-0000-0000C73E0000}"/>
    <cellStyle name="Comma 10 3 2 2 2 5 3" xfId="16072" xr:uid="{00000000-0005-0000-0000-0000C83E0000}"/>
    <cellStyle name="Comma 10 3 2 2 2 6" xfId="16073" xr:uid="{00000000-0005-0000-0000-0000C93E0000}"/>
    <cellStyle name="Comma 10 3 2 2 2 7" xfId="16074" xr:uid="{00000000-0005-0000-0000-0000CA3E0000}"/>
    <cellStyle name="Comma 10 3 2 2 3" xfId="16075" xr:uid="{00000000-0005-0000-0000-0000CB3E0000}"/>
    <cellStyle name="Comma 10 3 2 2 3 2" xfId="16076" xr:uid="{00000000-0005-0000-0000-0000CC3E0000}"/>
    <cellStyle name="Comma 10 3 2 2 3 2 2" xfId="16077" xr:uid="{00000000-0005-0000-0000-0000CD3E0000}"/>
    <cellStyle name="Comma 10 3 2 2 3 2 2 2" xfId="16078" xr:uid="{00000000-0005-0000-0000-0000CE3E0000}"/>
    <cellStyle name="Comma 10 3 2 2 3 2 2 2 2" xfId="16079" xr:uid="{00000000-0005-0000-0000-0000CF3E0000}"/>
    <cellStyle name="Comma 10 3 2 2 3 2 2 2 3" xfId="16080" xr:uid="{00000000-0005-0000-0000-0000D03E0000}"/>
    <cellStyle name="Comma 10 3 2 2 3 2 2 3" xfId="16081" xr:uid="{00000000-0005-0000-0000-0000D13E0000}"/>
    <cellStyle name="Comma 10 3 2 2 3 2 2 4" xfId="16082" xr:uid="{00000000-0005-0000-0000-0000D23E0000}"/>
    <cellStyle name="Comma 10 3 2 2 3 2 3" xfId="16083" xr:uid="{00000000-0005-0000-0000-0000D33E0000}"/>
    <cellStyle name="Comma 10 3 2 2 3 2 3 2" xfId="16084" xr:uid="{00000000-0005-0000-0000-0000D43E0000}"/>
    <cellStyle name="Comma 10 3 2 2 3 2 3 3" xfId="16085" xr:uid="{00000000-0005-0000-0000-0000D53E0000}"/>
    <cellStyle name="Comma 10 3 2 2 3 2 4" xfId="16086" xr:uid="{00000000-0005-0000-0000-0000D63E0000}"/>
    <cellStyle name="Comma 10 3 2 2 3 2 5" xfId="16087" xr:uid="{00000000-0005-0000-0000-0000D73E0000}"/>
    <cellStyle name="Comma 10 3 2 2 3 3" xfId="16088" xr:uid="{00000000-0005-0000-0000-0000D83E0000}"/>
    <cellStyle name="Comma 10 3 2 2 3 3 2" xfId="16089" xr:uid="{00000000-0005-0000-0000-0000D93E0000}"/>
    <cellStyle name="Comma 10 3 2 2 3 3 2 2" xfId="16090" xr:uid="{00000000-0005-0000-0000-0000DA3E0000}"/>
    <cellStyle name="Comma 10 3 2 2 3 3 2 3" xfId="16091" xr:uid="{00000000-0005-0000-0000-0000DB3E0000}"/>
    <cellStyle name="Comma 10 3 2 2 3 3 3" xfId="16092" xr:uid="{00000000-0005-0000-0000-0000DC3E0000}"/>
    <cellStyle name="Comma 10 3 2 2 3 3 4" xfId="16093" xr:uid="{00000000-0005-0000-0000-0000DD3E0000}"/>
    <cellStyle name="Comma 10 3 2 2 3 4" xfId="16094" xr:uid="{00000000-0005-0000-0000-0000DE3E0000}"/>
    <cellStyle name="Comma 10 3 2 2 3 4 2" xfId="16095" xr:uid="{00000000-0005-0000-0000-0000DF3E0000}"/>
    <cellStyle name="Comma 10 3 2 2 3 4 3" xfId="16096" xr:uid="{00000000-0005-0000-0000-0000E03E0000}"/>
    <cellStyle name="Comma 10 3 2 2 3 5" xfId="16097" xr:uid="{00000000-0005-0000-0000-0000E13E0000}"/>
    <cellStyle name="Comma 10 3 2 2 3 6" xfId="16098" xr:uid="{00000000-0005-0000-0000-0000E23E0000}"/>
    <cellStyle name="Comma 10 3 2 2 4" xfId="16099" xr:uid="{00000000-0005-0000-0000-0000E33E0000}"/>
    <cellStyle name="Comma 10 3 2 2 4 2" xfId="16100" xr:uid="{00000000-0005-0000-0000-0000E43E0000}"/>
    <cellStyle name="Comma 10 3 2 2 4 2 2" xfId="16101" xr:uid="{00000000-0005-0000-0000-0000E53E0000}"/>
    <cellStyle name="Comma 10 3 2 2 4 2 2 2" xfId="16102" xr:uid="{00000000-0005-0000-0000-0000E63E0000}"/>
    <cellStyle name="Comma 10 3 2 2 4 2 2 3" xfId="16103" xr:uid="{00000000-0005-0000-0000-0000E73E0000}"/>
    <cellStyle name="Comma 10 3 2 2 4 2 3" xfId="16104" xr:uid="{00000000-0005-0000-0000-0000E83E0000}"/>
    <cellStyle name="Comma 10 3 2 2 4 2 4" xfId="16105" xr:uid="{00000000-0005-0000-0000-0000E93E0000}"/>
    <cellStyle name="Comma 10 3 2 2 4 3" xfId="16106" xr:uid="{00000000-0005-0000-0000-0000EA3E0000}"/>
    <cellStyle name="Comma 10 3 2 2 4 3 2" xfId="16107" xr:uid="{00000000-0005-0000-0000-0000EB3E0000}"/>
    <cellStyle name="Comma 10 3 2 2 4 3 3" xfId="16108" xr:uid="{00000000-0005-0000-0000-0000EC3E0000}"/>
    <cellStyle name="Comma 10 3 2 2 4 4" xfId="16109" xr:uid="{00000000-0005-0000-0000-0000ED3E0000}"/>
    <cellStyle name="Comma 10 3 2 2 4 5" xfId="16110" xr:uid="{00000000-0005-0000-0000-0000EE3E0000}"/>
    <cellStyle name="Comma 10 3 2 2 5" xfId="16111" xr:uid="{00000000-0005-0000-0000-0000EF3E0000}"/>
    <cellStyle name="Comma 10 3 2 2 5 2" xfId="16112" xr:uid="{00000000-0005-0000-0000-0000F03E0000}"/>
    <cellStyle name="Comma 10 3 2 2 5 2 2" xfId="16113" xr:uid="{00000000-0005-0000-0000-0000F13E0000}"/>
    <cellStyle name="Comma 10 3 2 2 5 2 3" xfId="16114" xr:uid="{00000000-0005-0000-0000-0000F23E0000}"/>
    <cellStyle name="Comma 10 3 2 2 5 3" xfId="16115" xr:uid="{00000000-0005-0000-0000-0000F33E0000}"/>
    <cellStyle name="Comma 10 3 2 2 5 4" xfId="16116" xr:uid="{00000000-0005-0000-0000-0000F43E0000}"/>
    <cellStyle name="Comma 10 3 2 2 6" xfId="16117" xr:uid="{00000000-0005-0000-0000-0000F53E0000}"/>
    <cellStyle name="Comma 10 3 2 2 6 2" xfId="16118" xr:uid="{00000000-0005-0000-0000-0000F63E0000}"/>
    <cellStyle name="Comma 10 3 2 2 6 3" xfId="16119" xr:uid="{00000000-0005-0000-0000-0000F73E0000}"/>
    <cellStyle name="Comma 10 3 2 2 7" xfId="16120" xr:uid="{00000000-0005-0000-0000-0000F83E0000}"/>
    <cellStyle name="Comma 10 3 2 2 8" xfId="16121" xr:uid="{00000000-0005-0000-0000-0000F93E0000}"/>
    <cellStyle name="Comma 10 3 2 3" xfId="16122" xr:uid="{00000000-0005-0000-0000-0000FA3E0000}"/>
    <cellStyle name="Comma 10 3 2 3 2" xfId="16123" xr:uid="{00000000-0005-0000-0000-0000FB3E0000}"/>
    <cellStyle name="Comma 10 3 2 3 2 2" xfId="16124" xr:uid="{00000000-0005-0000-0000-0000FC3E0000}"/>
    <cellStyle name="Comma 10 3 2 3 2 2 2" xfId="16125" xr:uid="{00000000-0005-0000-0000-0000FD3E0000}"/>
    <cellStyle name="Comma 10 3 2 3 2 2 2 2" xfId="16126" xr:uid="{00000000-0005-0000-0000-0000FE3E0000}"/>
    <cellStyle name="Comma 10 3 2 3 2 2 2 2 2" xfId="16127" xr:uid="{00000000-0005-0000-0000-0000FF3E0000}"/>
    <cellStyle name="Comma 10 3 2 3 2 2 2 2 3" xfId="16128" xr:uid="{00000000-0005-0000-0000-0000003F0000}"/>
    <cellStyle name="Comma 10 3 2 3 2 2 2 3" xfId="16129" xr:uid="{00000000-0005-0000-0000-0000013F0000}"/>
    <cellStyle name="Comma 10 3 2 3 2 2 2 4" xfId="16130" xr:uid="{00000000-0005-0000-0000-0000023F0000}"/>
    <cellStyle name="Comma 10 3 2 3 2 2 3" xfId="16131" xr:uid="{00000000-0005-0000-0000-0000033F0000}"/>
    <cellStyle name="Comma 10 3 2 3 2 2 3 2" xfId="16132" xr:uid="{00000000-0005-0000-0000-0000043F0000}"/>
    <cellStyle name="Comma 10 3 2 3 2 2 3 3" xfId="16133" xr:uid="{00000000-0005-0000-0000-0000053F0000}"/>
    <cellStyle name="Comma 10 3 2 3 2 2 4" xfId="16134" xr:uid="{00000000-0005-0000-0000-0000063F0000}"/>
    <cellStyle name="Comma 10 3 2 3 2 2 5" xfId="16135" xr:uid="{00000000-0005-0000-0000-0000073F0000}"/>
    <cellStyle name="Comma 10 3 2 3 2 3" xfId="16136" xr:uid="{00000000-0005-0000-0000-0000083F0000}"/>
    <cellStyle name="Comma 10 3 2 3 2 3 2" xfId="16137" xr:uid="{00000000-0005-0000-0000-0000093F0000}"/>
    <cellStyle name="Comma 10 3 2 3 2 3 2 2" xfId="16138" xr:uid="{00000000-0005-0000-0000-00000A3F0000}"/>
    <cellStyle name="Comma 10 3 2 3 2 3 2 3" xfId="16139" xr:uid="{00000000-0005-0000-0000-00000B3F0000}"/>
    <cellStyle name="Comma 10 3 2 3 2 3 3" xfId="16140" xr:uid="{00000000-0005-0000-0000-00000C3F0000}"/>
    <cellStyle name="Comma 10 3 2 3 2 3 4" xfId="16141" xr:uid="{00000000-0005-0000-0000-00000D3F0000}"/>
    <cellStyle name="Comma 10 3 2 3 2 4" xfId="16142" xr:uid="{00000000-0005-0000-0000-00000E3F0000}"/>
    <cellStyle name="Comma 10 3 2 3 2 4 2" xfId="16143" xr:uid="{00000000-0005-0000-0000-00000F3F0000}"/>
    <cellStyle name="Comma 10 3 2 3 2 4 3" xfId="16144" xr:uid="{00000000-0005-0000-0000-0000103F0000}"/>
    <cellStyle name="Comma 10 3 2 3 2 5" xfId="16145" xr:uid="{00000000-0005-0000-0000-0000113F0000}"/>
    <cellStyle name="Comma 10 3 2 3 2 6" xfId="16146" xr:uid="{00000000-0005-0000-0000-0000123F0000}"/>
    <cellStyle name="Comma 10 3 2 3 3" xfId="16147" xr:uid="{00000000-0005-0000-0000-0000133F0000}"/>
    <cellStyle name="Comma 10 3 2 3 3 2" xfId="16148" xr:uid="{00000000-0005-0000-0000-0000143F0000}"/>
    <cellStyle name="Comma 10 3 2 3 3 2 2" xfId="16149" xr:uid="{00000000-0005-0000-0000-0000153F0000}"/>
    <cellStyle name="Comma 10 3 2 3 3 2 2 2" xfId="16150" xr:uid="{00000000-0005-0000-0000-0000163F0000}"/>
    <cellStyle name="Comma 10 3 2 3 3 2 2 3" xfId="16151" xr:uid="{00000000-0005-0000-0000-0000173F0000}"/>
    <cellStyle name="Comma 10 3 2 3 3 2 3" xfId="16152" xr:uid="{00000000-0005-0000-0000-0000183F0000}"/>
    <cellStyle name="Comma 10 3 2 3 3 2 4" xfId="16153" xr:uid="{00000000-0005-0000-0000-0000193F0000}"/>
    <cellStyle name="Comma 10 3 2 3 3 3" xfId="16154" xr:uid="{00000000-0005-0000-0000-00001A3F0000}"/>
    <cellStyle name="Comma 10 3 2 3 3 3 2" xfId="16155" xr:uid="{00000000-0005-0000-0000-00001B3F0000}"/>
    <cellStyle name="Comma 10 3 2 3 3 3 3" xfId="16156" xr:uid="{00000000-0005-0000-0000-00001C3F0000}"/>
    <cellStyle name="Comma 10 3 2 3 3 4" xfId="16157" xr:uid="{00000000-0005-0000-0000-00001D3F0000}"/>
    <cellStyle name="Comma 10 3 2 3 3 5" xfId="16158" xr:uid="{00000000-0005-0000-0000-00001E3F0000}"/>
    <cellStyle name="Comma 10 3 2 3 4" xfId="16159" xr:uid="{00000000-0005-0000-0000-00001F3F0000}"/>
    <cellStyle name="Comma 10 3 2 3 4 2" xfId="16160" xr:uid="{00000000-0005-0000-0000-0000203F0000}"/>
    <cellStyle name="Comma 10 3 2 3 4 2 2" xfId="16161" xr:uid="{00000000-0005-0000-0000-0000213F0000}"/>
    <cellStyle name="Comma 10 3 2 3 4 2 3" xfId="16162" xr:uid="{00000000-0005-0000-0000-0000223F0000}"/>
    <cellStyle name="Comma 10 3 2 3 4 3" xfId="16163" xr:uid="{00000000-0005-0000-0000-0000233F0000}"/>
    <cellStyle name="Comma 10 3 2 3 4 4" xfId="16164" xr:uid="{00000000-0005-0000-0000-0000243F0000}"/>
    <cellStyle name="Comma 10 3 2 3 5" xfId="16165" xr:uid="{00000000-0005-0000-0000-0000253F0000}"/>
    <cellStyle name="Comma 10 3 2 3 5 2" xfId="16166" xr:uid="{00000000-0005-0000-0000-0000263F0000}"/>
    <cellStyle name="Comma 10 3 2 3 5 3" xfId="16167" xr:uid="{00000000-0005-0000-0000-0000273F0000}"/>
    <cellStyle name="Comma 10 3 2 3 6" xfId="16168" xr:uid="{00000000-0005-0000-0000-0000283F0000}"/>
    <cellStyle name="Comma 10 3 2 3 7" xfId="16169" xr:uid="{00000000-0005-0000-0000-0000293F0000}"/>
    <cellStyle name="Comma 10 3 2 4" xfId="16170" xr:uid="{00000000-0005-0000-0000-00002A3F0000}"/>
    <cellStyle name="Comma 10 3 2 4 2" xfId="16171" xr:uid="{00000000-0005-0000-0000-00002B3F0000}"/>
    <cellStyle name="Comma 10 3 2 4 2 2" xfId="16172" xr:uid="{00000000-0005-0000-0000-00002C3F0000}"/>
    <cellStyle name="Comma 10 3 2 4 2 2 2" xfId="16173" xr:uid="{00000000-0005-0000-0000-00002D3F0000}"/>
    <cellStyle name="Comma 10 3 2 4 2 2 2 2" xfId="16174" xr:uid="{00000000-0005-0000-0000-00002E3F0000}"/>
    <cellStyle name="Comma 10 3 2 4 2 2 2 3" xfId="16175" xr:uid="{00000000-0005-0000-0000-00002F3F0000}"/>
    <cellStyle name="Comma 10 3 2 4 2 2 3" xfId="16176" xr:uid="{00000000-0005-0000-0000-0000303F0000}"/>
    <cellStyle name="Comma 10 3 2 4 2 2 4" xfId="16177" xr:uid="{00000000-0005-0000-0000-0000313F0000}"/>
    <cellStyle name="Comma 10 3 2 4 2 3" xfId="16178" xr:uid="{00000000-0005-0000-0000-0000323F0000}"/>
    <cellStyle name="Comma 10 3 2 4 2 3 2" xfId="16179" xr:uid="{00000000-0005-0000-0000-0000333F0000}"/>
    <cellStyle name="Comma 10 3 2 4 2 3 3" xfId="16180" xr:uid="{00000000-0005-0000-0000-0000343F0000}"/>
    <cellStyle name="Comma 10 3 2 4 2 4" xfId="16181" xr:uid="{00000000-0005-0000-0000-0000353F0000}"/>
    <cellStyle name="Comma 10 3 2 4 2 5" xfId="16182" xr:uid="{00000000-0005-0000-0000-0000363F0000}"/>
    <cellStyle name="Comma 10 3 2 4 3" xfId="16183" xr:uid="{00000000-0005-0000-0000-0000373F0000}"/>
    <cellStyle name="Comma 10 3 2 4 3 2" xfId="16184" xr:uid="{00000000-0005-0000-0000-0000383F0000}"/>
    <cellStyle name="Comma 10 3 2 4 3 2 2" xfId="16185" xr:uid="{00000000-0005-0000-0000-0000393F0000}"/>
    <cellStyle name="Comma 10 3 2 4 3 2 3" xfId="16186" xr:uid="{00000000-0005-0000-0000-00003A3F0000}"/>
    <cellStyle name="Comma 10 3 2 4 3 3" xfId="16187" xr:uid="{00000000-0005-0000-0000-00003B3F0000}"/>
    <cellStyle name="Comma 10 3 2 4 3 4" xfId="16188" xr:uid="{00000000-0005-0000-0000-00003C3F0000}"/>
    <cellStyle name="Comma 10 3 2 4 4" xfId="16189" xr:uid="{00000000-0005-0000-0000-00003D3F0000}"/>
    <cellStyle name="Comma 10 3 2 4 4 2" xfId="16190" xr:uid="{00000000-0005-0000-0000-00003E3F0000}"/>
    <cellStyle name="Comma 10 3 2 4 4 3" xfId="16191" xr:uid="{00000000-0005-0000-0000-00003F3F0000}"/>
    <cellStyle name="Comma 10 3 2 4 5" xfId="16192" xr:uid="{00000000-0005-0000-0000-0000403F0000}"/>
    <cellStyle name="Comma 10 3 2 4 6" xfId="16193" xr:uid="{00000000-0005-0000-0000-0000413F0000}"/>
    <cellStyle name="Comma 10 3 2 5" xfId="16194" xr:uid="{00000000-0005-0000-0000-0000423F0000}"/>
    <cellStyle name="Comma 10 3 2 5 2" xfId="16195" xr:uid="{00000000-0005-0000-0000-0000433F0000}"/>
    <cellStyle name="Comma 10 3 2 5 2 2" xfId="16196" xr:uid="{00000000-0005-0000-0000-0000443F0000}"/>
    <cellStyle name="Comma 10 3 2 5 2 2 2" xfId="16197" xr:uid="{00000000-0005-0000-0000-0000453F0000}"/>
    <cellStyle name="Comma 10 3 2 5 2 2 3" xfId="16198" xr:uid="{00000000-0005-0000-0000-0000463F0000}"/>
    <cellStyle name="Comma 10 3 2 5 2 3" xfId="16199" xr:uid="{00000000-0005-0000-0000-0000473F0000}"/>
    <cellStyle name="Comma 10 3 2 5 2 4" xfId="16200" xr:uid="{00000000-0005-0000-0000-0000483F0000}"/>
    <cellStyle name="Comma 10 3 2 5 3" xfId="16201" xr:uid="{00000000-0005-0000-0000-0000493F0000}"/>
    <cellStyle name="Comma 10 3 2 5 3 2" xfId="16202" xr:uid="{00000000-0005-0000-0000-00004A3F0000}"/>
    <cellStyle name="Comma 10 3 2 5 3 3" xfId="16203" xr:uid="{00000000-0005-0000-0000-00004B3F0000}"/>
    <cellStyle name="Comma 10 3 2 5 4" xfId="16204" xr:uid="{00000000-0005-0000-0000-00004C3F0000}"/>
    <cellStyle name="Comma 10 3 2 5 5" xfId="16205" xr:uid="{00000000-0005-0000-0000-00004D3F0000}"/>
    <cellStyle name="Comma 10 3 2 6" xfId="16206" xr:uid="{00000000-0005-0000-0000-00004E3F0000}"/>
    <cellStyle name="Comma 10 3 2 6 2" xfId="16207" xr:uid="{00000000-0005-0000-0000-00004F3F0000}"/>
    <cellStyle name="Comma 10 3 2 6 2 2" xfId="16208" xr:uid="{00000000-0005-0000-0000-0000503F0000}"/>
    <cellStyle name="Comma 10 3 2 6 2 3" xfId="16209" xr:uid="{00000000-0005-0000-0000-0000513F0000}"/>
    <cellStyle name="Comma 10 3 2 6 3" xfId="16210" xr:uid="{00000000-0005-0000-0000-0000523F0000}"/>
    <cellStyle name="Comma 10 3 2 6 4" xfId="16211" xr:uid="{00000000-0005-0000-0000-0000533F0000}"/>
    <cellStyle name="Comma 10 3 2 7" xfId="16212" xr:uid="{00000000-0005-0000-0000-0000543F0000}"/>
    <cellStyle name="Comma 10 3 2 7 2" xfId="16213" xr:uid="{00000000-0005-0000-0000-0000553F0000}"/>
    <cellStyle name="Comma 10 3 2 7 3" xfId="16214" xr:uid="{00000000-0005-0000-0000-0000563F0000}"/>
    <cellStyle name="Comma 10 3 2 8" xfId="16215" xr:uid="{00000000-0005-0000-0000-0000573F0000}"/>
    <cellStyle name="Comma 10 3 2 9" xfId="16216" xr:uid="{00000000-0005-0000-0000-0000583F0000}"/>
    <cellStyle name="Comma 10 3 3" xfId="16217" xr:uid="{00000000-0005-0000-0000-0000593F0000}"/>
    <cellStyle name="Comma 10 3 3 2" xfId="16218" xr:uid="{00000000-0005-0000-0000-00005A3F0000}"/>
    <cellStyle name="Comma 10 3 3 2 2" xfId="16219" xr:uid="{00000000-0005-0000-0000-00005B3F0000}"/>
    <cellStyle name="Comma 10 3 3 2 2 2" xfId="16220" xr:uid="{00000000-0005-0000-0000-00005C3F0000}"/>
    <cellStyle name="Comma 10 3 3 2 2 2 2" xfId="16221" xr:uid="{00000000-0005-0000-0000-00005D3F0000}"/>
    <cellStyle name="Comma 10 3 3 2 2 2 2 2" xfId="16222" xr:uid="{00000000-0005-0000-0000-00005E3F0000}"/>
    <cellStyle name="Comma 10 3 3 2 2 2 2 2 2" xfId="16223" xr:uid="{00000000-0005-0000-0000-00005F3F0000}"/>
    <cellStyle name="Comma 10 3 3 2 2 2 2 2 3" xfId="16224" xr:uid="{00000000-0005-0000-0000-0000603F0000}"/>
    <cellStyle name="Comma 10 3 3 2 2 2 2 3" xfId="16225" xr:uid="{00000000-0005-0000-0000-0000613F0000}"/>
    <cellStyle name="Comma 10 3 3 2 2 2 2 4" xfId="16226" xr:uid="{00000000-0005-0000-0000-0000623F0000}"/>
    <cellStyle name="Comma 10 3 3 2 2 2 3" xfId="16227" xr:uid="{00000000-0005-0000-0000-0000633F0000}"/>
    <cellStyle name="Comma 10 3 3 2 2 2 3 2" xfId="16228" xr:uid="{00000000-0005-0000-0000-0000643F0000}"/>
    <cellStyle name="Comma 10 3 3 2 2 2 3 3" xfId="16229" xr:uid="{00000000-0005-0000-0000-0000653F0000}"/>
    <cellStyle name="Comma 10 3 3 2 2 2 4" xfId="16230" xr:uid="{00000000-0005-0000-0000-0000663F0000}"/>
    <cellStyle name="Comma 10 3 3 2 2 2 5" xfId="16231" xr:uid="{00000000-0005-0000-0000-0000673F0000}"/>
    <cellStyle name="Comma 10 3 3 2 2 3" xfId="16232" xr:uid="{00000000-0005-0000-0000-0000683F0000}"/>
    <cellStyle name="Comma 10 3 3 2 2 3 2" xfId="16233" xr:uid="{00000000-0005-0000-0000-0000693F0000}"/>
    <cellStyle name="Comma 10 3 3 2 2 3 2 2" xfId="16234" xr:uid="{00000000-0005-0000-0000-00006A3F0000}"/>
    <cellStyle name="Comma 10 3 3 2 2 3 2 3" xfId="16235" xr:uid="{00000000-0005-0000-0000-00006B3F0000}"/>
    <cellStyle name="Comma 10 3 3 2 2 3 3" xfId="16236" xr:uid="{00000000-0005-0000-0000-00006C3F0000}"/>
    <cellStyle name="Comma 10 3 3 2 2 3 4" xfId="16237" xr:uid="{00000000-0005-0000-0000-00006D3F0000}"/>
    <cellStyle name="Comma 10 3 3 2 2 4" xfId="16238" xr:uid="{00000000-0005-0000-0000-00006E3F0000}"/>
    <cellStyle name="Comma 10 3 3 2 2 4 2" xfId="16239" xr:uid="{00000000-0005-0000-0000-00006F3F0000}"/>
    <cellStyle name="Comma 10 3 3 2 2 4 3" xfId="16240" xr:uid="{00000000-0005-0000-0000-0000703F0000}"/>
    <cellStyle name="Comma 10 3 3 2 2 5" xfId="16241" xr:uid="{00000000-0005-0000-0000-0000713F0000}"/>
    <cellStyle name="Comma 10 3 3 2 2 6" xfId="16242" xr:uid="{00000000-0005-0000-0000-0000723F0000}"/>
    <cellStyle name="Comma 10 3 3 2 3" xfId="16243" xr:uid="{00000000-0005-0000-0000-0000733F0000}"/>
    <cellStyle name="Comma 10 3 3 2 3 2" xfId="16244" xr:uid="{00000000-0005-0000-0000-0000743F0000}"/>
    <cellStyle name="Comma 10 3 3 2 3 2 2" xfId="16245" xr:uid="{00000000-0005-0000-0000-0000753F0000}"/>
    <cellStyle name="Comma 10 3 3 2 3 2 2 2" xfId="16246" xr:uid="{00000000-0005-0000-0000-0000763F0000}"/>
    <cellStyle name="Comma 10 3 3 2 3 2 2 3" xfId="16247" xr:uid="{00000000-0005-0000-0000-0000773F0000}"/>
    <cellStyle name="Comma 10 3 3 2 3 2 3" xfId="16248" xr:uid="{00000000-0005-0000-0000-0000783F0000}"/>
    <cellStyle name="Comma 10 3 3 2 3 2 4" xfId="16249" xr:uid="{00000000-0005-0000-0000-0000793F0000}"/>
    <cellStyle name="Comma 10 3 3 2 3 3" xfId="16250" xr:uid="{00000000-0005-0000-0000-00007A3F0000}"/>
    <cellStyle name="Comma 10 3 3 2 3 3 2" xfId="16251" xr:uid="{00000000-0005-0000-0000-00007B3F0000}"/>
    <cellStyle name="Comma 10 3 3 2 3 3 3" xfId="16252" xr:uid="{00000000-0005-0000-0000-00007C3F0000}"/>
    <cellStyle name="Comma 10 3 3 2 3 4" xfId="16253" xr:uid="{00000000-0005-0000-0000-00007D3F0000}"/>
    <cellStyle name="Comma 10 3 3 2 3 5" xfId="16254" xr:uid="{00000000-0005-0000-0000-00007E3F0000}"/>
    <cellStyle name="Comma 10 3 3 2 4" xfId="16255" xr:uid="{00000000-0005-0000-0000-00007F3F0000}"/>
    <cellStyle name="Comma 10 3 3 2 4 2" xfId="16256" xr:uid="{00000000-0005-0000-0000-0000803F0000}"/>
    <cellStyle name="Comma 10 3 3 2 4 2 2" xfId="16257" xr:uid="{00000000-0005-0000-0000-0000813F0000}"/>
    <cellStyle name="Comma 10 3 3 2 4 2 3" xfId="16258" xr:uid="{00000000-0005-0000-0000-0000823F0000}"/>
    <cellStyle name="Comma 10 3 3 2 4 3" xfId="16259" xr:uid="{00000000-0005-0000-0000-0000833F0000}"/>
    <cellStyle name="Comma 10 3 3 2 4 4" xfId="16260" xr:uid="{00000000-0005-0000-0000-0000843F0000}"/>
    <cellStyle name="Comma 10 3 3 2 5" xfId="16261" xr:uid="{00000000-0005-0000-0000-0000853F0000}"/>
    <cellStyle name="Comma 10 3 3 2 5 2" xfId="16262" xr:uid="{00000000-0005-0000-0000-0000863F0000}"/>
    <cellStyle name="Comma 10 3 3 2 5 3" xfId="16263" xr:uid="{00000000-0005-0000-0000-0000873F0000}"/>
    <cellStyle name="Comma 10 3 3 2 6" xfId="16264" xr:uid="{00000000-0005-0000-0000-0000883F0000}"/>
    <cellStyle name="Comma 10 3 3 2 7" xfId="16265" xr:uid="{00000000-0005-0000-0000-0000893F0000}"/>
    <cellStyle name="Comma 10 3 3 3" xfId="16266" xr:uid="{00000000-0005-0000-0000-00008A3F0000}"/>
    <cellStyle name="Comma 10 3 3 3 2" xfId="16267" xr:uid="{00000000-0005-0000-0000-00008B3F0000}"/>
    <cellStyle name="Comma 10 3 3 3 2 2" xfId="16268" xr:uid="{00000000-0005-0000-0000-00008C3F0000}"/>
    <cellStyle name="Comma 10 3 3 3 2 2 2" xfId="16269" xr:uid="{00000000-0005-0000-0000-00008D3F0000}"/>
    <cellStyle name="Comma 10 3 3 3 2 2 2 2" xfId="16270" xr:uid="{00000000-0005-0000-0000-00008E3F0000}"/>
    <cellStyle name="Comma 10 3 3 3 2 2 2 3" xfId="16271" xr:uid="{00000000-0005-0000-0000-00008F3F0000}"/>
    <cellStyle name="Comma 10 3 3 3 2 2 3" xfId="16272" xr:uid="{00000000-0005-0000-0000-0000903F0000}"/>
    <cellStyle name="Comma 10 3 3 3 2 2 4" xfId="16273" xr:uid="{00000000-0005-0000-0000-0000913F0000}"/>
    <cellStyle name="Comma 10 3 3 3 2 3" xfId="16274" xr:uid="{00000000-0005-0000-0000-0000923F0000}"/>
    <cellStyle name="Comma 10 3 3 3 2 3 2" xfId="16275" xr:uid="{00000000-0005-0000-0000-0000933F0000}"/>
    <cellStyle name="Comma 10 3 3 3 2 3 3" xfId="16276" xr:uid="{00000000-0005-0000-0000-0000943F0000}"/>
    <cellStyle name="Comma 10 3 3 3 2 4" xfId="16277" xr:uid="{00000000-0005-0000-0000-0000953F0000}"/>
    <cellStyle name="Comma 10 3 3 3 2 5" xfId="16278" xr:uid="{00000000-0005-0000-0000-0000963F0000}"/>
    <cellStyle name="Comma 10 3 3 3 3" xfId="16279" xr:uid="{00000000-0005-0000-0000-0000973F0000}"/>
    <cellStyle name="Comma 10 3 3 3 3 2" xfId="16280" xr:uid="{00000000-0005-0000-0000-0000983F0000}"/>
    <cellStyle name="Comma 10 3 3 3 3 2 2" xfId="16281" xr:uid="{00000000-0005-0000-0000-0000993F0000}"/>
    <cellStyle name="Comma 10 3 3 3 3 2 3" xfId="16282" xr:uid="{00000000-0005-0000-0000-00009A3F0000}"/>
    <cellStyle name="Comma 10 3 3 3 3 3" xfId="16283" xr:uid="{00000000-0005-0000-0000-00009B3F0000}"/>
    <cellStyle name="Comma 10 3 3 3 3 4" xfId="16284" xr:uid="{00000000-0005-0000-0000-00009C3F0000}"/>
    <cellStyle name="Comma 10 3 3 3 4" xfId="16285" xr:uid="{00000000-0005-0000-0000-00009D3F0000}"/>
    <cellStyle name="Comma 10 3 3 3 4 2" xfId="16286" xr:uid="{00000000-0005-0000-0000-00009E3F0000}"/>
    <cellStyle name="Comma 10 3 3 3 4 3" xfId="16287" xr:uid="{00000000-0005-0000-0000-00009F3F0000}"/>
    <cellStyle name="Comma 10 3 3 3 5" xfId="16288" xr:uid="{00000000-0005-0000-0000-0000A03F0000}"/>
    <cellStyle name="Comma 10 3 3 3 6" xfId="16289" xr:uid="{00000000-0005-0000-0000-0000A13F0000}"/>
    <cellStyle name="Comma 10 3 3 4" xfId="16290" xr:uid="{00000000-0005-0000-0000-0000A23F0000}"/>
    <cellStyle name="Comma 10 3 3 4 2" xfId="16291" xr:uid="{00000000-0005-0000-0000-0000A33F0000}"/>
    <cellStyle name="Comma 10 3 3 4 2 2" xfId="16292" xr:uid="{00000000-0005-0000-0000-0000A43F0000}"/>
    <cellStyle name="Comma 10 3 3 4 2 2 2" xfId="16293" xr:uid="{00000000-0005-0000-0000-0000A53F0000}"/>
    <cellStyle name="Comma 10 3 3 4 2 2 3" xfId="16294" xr:uid="{00000000-0005-0000-0000-0000A63F0000}"/>
    <cellStyle name="Comma 10 3 3 4 2 3" xfId="16295" xr:uid="{00000000-0005-0000-0000-0000A73F0000}"/>
    <cellStyle name="Comma 10 3 3 4 2 4" xfId="16296" xr:uid="{00000000-0005-0000-0000-0000A83F0000}"/>
    <cellStyle name="Comma 10 3 3 4 3" xfId="16297" xr:uid="{00000000-0005-0000-0000-0000A93F0000}"/>
    <cellStyle name="Comma 10 3 3 4 3 2" xfId="16298" xr:uid="{00000000-0005-0000-0000-0000AA3F0000}"/>
    <cellStyle name="Comma 10 3 3 4 3 3" xfId="16299" xr:uid="{00000000-0005-0000-0000-0000AB3F0000}"/>
    <cellStyle name="Comma 10 3 3 4 4" xfId="16300" xr:uid="{00000000-0005-0000-0000-0000AC3F0000}"/>
    <cellStyle name="Comma 10 3 3 4 5" xfId="16301" xr:uid="{00000000-0005-0000-0000-0000AD3F0000}"/>
    <cellStyle name="Comma 10 3 3 5" xfId="16302" xr:uid="{00000000-0005-0000-0000-0000AE3F0000}"/>
    <cellStyle name="Comma 10 3 3 5 2" xfId="16303" xr:uid="{00000000-0005-0000-0000-0000AF3F0000}"/>
    <cellStyle name="Comma 10 3 3 5 2 2" xfId="16304" xr:uid="{00000000-0005-0000-0000-0000B03F0000}"/>
    <cellStyle name="Comma 10 3 3 5 2 3" xfId="16305" xr:uid="{00000000-0005-0000-0000-0000B13F0000}"/>
    <cellStyle name="Comma 10 3 3 5 3" xfId="16306" xr:uid="{00000000-0005-0000-0000-0000B23F0000}"/>
    <cellStyle name="Comma 10 3 3 5 4" xfId="16307" xr:uid="{00000000-0005-0000-0000-0000B33F0000}"/>
    <cellStyle name="Comma 10 3 3 6" xfId="16308" xr:uid="{00000000-0005-0000-0000-0000B43F0000}"/>
    <cellStyle name="Comma 10 3 3 6 2" xfId="16309" xr:uid="{00000000-0005-0000-0000-0000B53F0000}"/>
    <cellStyle name="Comma 10 3 3 6 3" xfId="16310" xr:uid="{00000000-0005-0000-0000-0000B63F0000}"/>
    <cellStyle name="Comma 10 3 3 7" xfId="16311" xr:uid="{00000000-0005-0000-0000-0000B73F0000}"/>
    <cellStyle name="Comma 10 3 3 8" xfId="16312" xr:uid="{00000000-0005-0000-0000-0000B83F0000}"/>
    <cellStyle name="Comma 10 3 4" xfId="16313" xr:uid="{00000000-0005-0000-0000-0000B93F0000}"/>
    <cellStyle name="Comma 10 3 4 2" xfId="16314" xr:uid="{00000000-0005-0000-0000-0000BA3F0000}"/>
    <cellStyle name="Comma 10 3 4 2 2" xfId="16315" xr:uid="{00000000-0005-0000-0000-0000BB3F0000}"/>
    <cellStyle name="Comma 10 3 4 2 2 2" xfId="16316" xr:uid="{00000000-0005-0000-0000-0000BC3F0000}"/>
    <cellStyle name="Comma 10 3 4 2 2 2 2" xfId="16317" xr:uid="{00000000-0005-0000-0000-0000BD3F0000}"/>
    <cellStyle name="Comma 10 3 4 2 2 2 2 2" xfId="16318" xr:uid="{00000000-0005-0000-0000-0000BE3F0000}"/>
    <cellStyle name="Comma 10 3 4 2 2 2 2 3" xfId="16319" xr:uid="{00000000-0005-0000-0000-0000BF3F0000}"/>
    <cellStyle name="Comma 10 3 4 2 2 2 3" xfId="16320" xr:uid="{00000000-0005-0000-0000-0000C03F0000}"/>
    <cellStyle name="Comma 10 3 4 2 2 2 4" xfId="16321" xr:uid="{00000000-0005-0000-0000-0000C13F0000}"/>
    <cellStyle name="Comma 10 3 4 2 2 3" xfId="16322" xr:uid="{00000000-0005-0000-0000-0000C23F0000}"/>
    <cellStyle name="Comma 10 3 4 2 2 3 2" xfId="16323" xr:uid="{00000000-0005-0000-0000-0000C33F0000}"/>
    <cellStyle name="Comma 10 3 4 2 2 3 3" xfId="16324" xr:uid="{00000000-0005-0000-0000-0000C43F0000}"/>
    <cellStyle name="Comma 10 3 4 2 2 4" xfId="16325" xr:uid="{00000000-0005-0000-0000-0000C53F0000}"/>
    <cellStyle name="Comma 10 3 4 2 2 5" xfId="16326" xr:uid="{00000000-0005-0000-0000-0000C63F0000}"/>
    <cellStyle name="Comma 10 3 4 2 3" xfId="16327" xr:uid="{00000000-0005-0000-0000-0000C73F0000}"/>
    <cellStyle name="Comma 10 3 4 2 3 2" xfId="16328" xr:uid="{00000000-0005-0000-0000-0000C83F0000}"/>
    <cellStyle name="Comma 10 3 4 2 3 2 2" xfId="16329" xr:uid="{00000000-0005-0000-0000-0000C93F0000}"/>
    <cellStyle name="Comma 10 3 4 2 3 2 3" xfId="16330" xr:uid="{00000000-0005-0000-0000-0000CA3F0000}"/>
    <cellStyle name="Comma 10 3 4 2 3 3" xfId="16331" xr:uid="{00000000-0005-0000-0000-0000CB3F0000}"/>
    <cellStyle name="Comma 10 3 4 2 3 4" xfId="16332" xr:uid="{00000000-0005-0000-0000-0000CC3F0000}"/>
    <cellStyle name="Comma 10 3 4 2 4" xfId="16333" xr:uid="{00000000-0005-0000-0000-0000CD3F0000}"/>
    <cellStyle name="Comma 10 3 4 2 4 2" xfId="16334" xr:uid="{00000000-0005-0000-0000-0000CE3F0000}"/>
    <cellStyle name="Comma 10 3 4 2 4 3" xfId="16335" xr:uid="{00000000-0005-0000-0000-0000CF3F0000}"/>
    <cellStyle name="Comma 10 3 4 2 5" xfId="16336" xr:uid="{00000000-0005-0000-0000-0000D03F0000}"/>
    <cellStyle name="Comma 10 3 4 2 6" xfId="16337" xr:uid="{00000000-0005-0000-0000-0000D13F0000}"/>
    <cellStyle name="Comma 10 3 4 3" xfId="16338" xr:uid="{00000000-0005-0000-0000-0000D23F0000}"/>
    <cellStyle name="Comma 10 3 4 3 2" xfId="16339" xr:uid="{00000000-0005-0000-0000-0000D33F0000}"/>
    <cellStyle name="Comma 10 3 4 3 2 2" xfId="16340" xr:uid="{00000000-0005-0000-0000-0000D43F0000}"/>
    <cellStyle name="Comma 10 3 4 3 2 2 2" xfId="16341" xr:uid="{00000000-0005-0000-0000-0000D53F0000}"/>
    <cellStyle name="Comma 10 3 4 3 2 2 3" xfId="16342" xr:uid="{00000000-0005-0000-0000-0000D63F0000}"/>
    <cellStyle name="Comma 10 3 4 3 2 3" xfId="16343" xr:uid="{00000000-0005-0000-0000-0000D73F0000}"/>
    <cellStyle name="Comma 10 3 4 3 2 4" xfId="16344" xr:uid="{00000000-0005-0000-0000-0000D83F0000}"/>
    <cellStyle name="Comma 10 3 4 3 3" xfId="16345" xr:uid="{00000000-0005-0000-0000-0000D93F0000}"/>
    <cellStyle name="Comma 10 3 4 3 3 2" xfId="16346" xr:uid="{00000000-0005-0000-0000-0000DA3F0000}"/>
    <cellStyle name="Comma 10 3 4 3 3 3" xfId="16347" xr:uid="{00000000-0005-0000-0000-0000DB3F0000}"/>
    <cellStyle name="Comma 10 3 4 3 4" xfId="16348" xr:uid="{00000000-0005-0000-0000-0000DC3F0000}"/>
    <cellStyle name="Comma 10 3 4 3 5" xfId="16349" xr:uid="{00000000-0005-0000-0000-0000DD3F0000}"/>
    <cellStyle name="Comma 10 3 4 4" xfId="16350" xr:uid="{00000000-0005-0000-0000-0000DE3F0000}"/>
    <cellStyle name="Comma 10 3 4 4 2" xfId="16351" xr:uid="{00000000-0005-0000-0000-0000DF3F0000}"/>
    <cellStyle name="Comma 10 3 4 4 2 2" xfId="16352" xr:uid="{00000000-0005-0000-0000-0000E03F0000}"/>
    <cellStyle name="Comma 10 3 4 4 2 3" xfId="16353" xr:uid="{00000000-0005-0000-0000-0000E13F0000}"/>
    <cellStyle name="Comma 10 3 4 4 3" xfId="16354" xr:uid="{00000000-0005-0000-0000-0000E23F0000}"/>
    <cellStyle name="Comma 10 3 4 4 4" xfId="16355" xr:uid="{00000000-0005-0000-0000-0000E33F0000}"/>
    <cellStyle name="Comma 10 3 4 5" xfId="16356" xr:uid="{00000000-0005-0000-0000-0000E43F0000}"/>
    <cellStyle name="Comma 10 3 4 5 2" xfId="16357" xr:uid="{00000000-0005-0000-0000-0000E53F0000}"/>
    <cellStyle name="Comma 10 3 4 5 3" xfId="16358" xr:uid="{00000000-0005-0000-0000-0000E63F0000}"/>
    <cellStyle name="Comma 10 3 4 6" xfId="16359" xr:uid="{00000000-0005-0000-0000-0000E73F0000}"/>
    <cellStyle name="Comma 10 3 4 7" xfId="16360" xr:uid="{00000000-0005-0000-0000-0000E83F0000}"/>
    <cellStyle name="Comma 10 3 5" xfId="16361" xr:uid="{00000000-0005-0000-0000-0000E93F0000}"/>
    <cellStyle name="Comma 10 3 5 2" xfId="16362" xr:uid="{00000000-0005-0000-0000-0000EA3F0000}"/>
    <cellStyle name="Comma 10 3 5 2 2" xfId="16363" xr:uid="{00000000-0005-0000-0000-0000EB3F0000}"/>
    <cellStyle name="Comma 10 3 5 2 2 2" xfId="16364" xr:uid="{00000000-0005-0000-0000-0000EC3F0000}"/>
    <cellStyle name="Comma 10 3 5 2 2 2 2" xfId="16365" xr:uid="{00000000-0005-0000-0000-0000ED3F0000}"/>
    <cellStyle name="Comma 10 3 5 2 2 2 3" xfId="16366" xr:uid="{00000000-0005-0000-0000-0000EE3F0000}"/>
    <cellStyle name="Comma 10 3 5 2 2 3" xfId="16367" xr:uid="{00000000-0005-0000-0000-0000EF3F0000}"/>
    <cellStyle name="Comma 10 3 5 2 2 4" xfId="16368" xr:uid="{00000000-0005-0000-0000-0000F03F0000}"/>
    <cellStyle name="Comma 10 3 5 2 3" xfId="16369" xr:uid="{00000000-0005-0000-0000-0000F13F0000}"/>
    <cellStyle name="Comma 10 3 5 2 3 2" xfId="16370" xr:uid="{00000000-0005-0000-0000-0000F23F0000}"/>
    <cellStyle name="Comma 10 3 5 2 3 3" xfId="16371" xr:uid="{00000000-0005-0000-0000-0000F33F0000}"/>
    <cellStyle name="Comma 10 3 5 2 4" xfId="16372" xr:uid="{00000000-0005-0000-0000-0000F43F0000}"/>
    <cellStyle name="Comma 10 3 5 2 5" xfId="16373" xr:uid="{00000000-0005-0000-0000-0000F53F0000}"/>
    <cellStyle name="Comma 10 3 5 3" xfId="16374" xr:uid="{00000000-0005-0000-0000-0000F63F0000}"/>
    <cellStyle name="Comma 10 3 5 3 2" xfId="16375" xr:uid="{00000000-0005-0000-0000-0000F73F0000}"/>
    <cellStyle name="Comma 10 3 5 3 2 2" xfId="16376" xr:uid="{00000000-0005-0000-0000-0000F83F0000}"/>
    <cellStyle name="Comma 10 3 5 3 2 3" xfId="16377" xr:uid="{00000000-0005-0000-0000-0000F93F0000}"/>
    <cellStyle name="Comma 10 3 5 3 3" xfId="16378" xr:uid="{00000000-0005-0000-0000-0000FA3F0000}"/>
    <cellStyle name="Comma 10 3 5 3 4" xfId="16379" xr:uid="{00000000-0005-0000-0000-0000FB3F0000}"/>
    <cellStyle name="Comma 10 3 5 4" xfId="16380" xr:uid="{00000000-0005-0000-0000-0000FC3F0000}"/>
    <cellStyle name="Comma 10 3 5 4 2" xfId="16381" xr:uid="{00000000-0005-0000-0000-0000FD3F0000}"/>
    <cellStyle name="Comma 10 3 5 4 3" xfId="16382" xr:uid="{00000000-0005-0000-0000-0000FE3F0000}"/>
    <cellStyle name="Comma 10 3 5 5" xfId="16383" xr:uid="{00000000-0005-0000-0000-0000FF3F0000}"/>
    <cellStyle name="Comma 10 3 5 6" xfId="16384" xr:uid="{00000000-0005-0000-0000-000000400000}"/>
    <cellStyle name="Comma 10 3 6" xfId="16385" xr:uid="{00000000-0005-0000-0000-000001400000}"/>
    <cellStyle name="Comma 10 3 6 2" xfId="16386" xr:uid="{00000000-0005-0000-0000-000002400000}"/>
    <cellStyle name="Comma 10 3 6 2 2" xfId="16387" xr:uid="{00000000-0005-0000-0000-000003400000}"/>
    <cellStyle name="Comma 10 3 6 2 2 2" xfId="16388" xr:uid="{00000000-0005-0000-0000-000004400000}"/>
    <cellStyle name="Comma 10 3 6 2 2 3" xfId="16389" xr:uid="{00000000-0005-0000-0000-000005400000}"/>
    <cellStyle name="Comma 10 3 6 2 3" xfId="16390" xr:uid="{00000000-0005-0000-0000-000006400000}"/>
    <cellStyle name="Comma 10 3 6 2 4" xfId="16391" xr:uid="{00000000-0005-0000-0000-000007400000}"/>
    <cellStyle name="Comma 10 3 6 3" xfId="16392" xr:uid="{00000000-0005-0000-0000-000008400000}"/>
    <cellStyle name="Comma 10 3 6 3 2" xfId="16393" xr:uid="{00000000-0005-0000-0000-000009400000}"/>
    <cellStyle name="Comma 10 3 6 3 3" xfId="16394" xr:uid="{00000000-0005-0000-0000-00000A400000}"/>
    <cellStyle name="Comma 10 3 6 4" xfId="16395" xr:uid="{00000000-0005-0000-0000-00000B400000}"/>
    <cellStyle name="Comma 10 3 6 5" xfId="16396" xr:uid="{00000000-0005-0000-0000-00000C400000}"/>
    <cellStyle name="Comma 10 3 7" xfId="16397" xr:uid="{00000000-0005-0000-0000-00000D400000}"/>
    <cellStyle name="Comma 10 3 7 2" xfId="16398" xr:uid="{00000000-0005-0000-0000-00000E400000}"/>
    <cellStyle name="Comma 10 3 7 2 2" xfId="16399" xr:uid="{00000000-0005-0000-0000-00000F400000}"/>
    <cellStyle name="Comma 10 3 7 2 3" xfId="16400" xr:uid="{00000000-0005-0000-0000-000010400000}"/>
    <cellStyle name="Comma 10 3 7 3" xfId="16401" xr:uid="{00000000-0005-0000-0000-000011400000}"/>
    <cellStyle name="Comma 10 3 7 4" xfId="16402" xr:uid="{00000000-0005-0000-0000-000012400000}"/>
    <cellStyle name="Comma 10 3 8" xfId="16403" xr:uid="{00000000-0005-0000-0000-000013400000}"/>
    <cellStyle name="Comma 10 3 8 2" xfId="16404" xr:uid="{00000000-0005-0000-0000-000014400000}"/>
    <cellStyle name="Comma 10 3 8 3" xfId="16405" xr:uid="{00000000-0005-0000-0000-000015400000}"/>
    <cellStyle name="Comma 10 3 9" xfId="16406" xr:uid="{00000000-0005-0000-0000-000016400000}"/>
    <cellStyle name="Comma 10 4" xfId="16407" xr:uid="{00000000-0005-0000-0000-000017400000}"/>
    <cellStyle name="Comma 10 4 2" xfId="16408" xr:uid="{00000000-0005-0000-0000-000018400000}"/>
    <cellStyle name="Comma 10 4 2 2" xfId="16409" xr:uid="{00000000-0005-0000-0000-000019400000}"/>
    <cellStyle name="Comma 10 4 2 2 2" xfId="16410" xr:uid="{00000000-0005-0000-0000-00001A400000}"/>
    <cellStyle name="Comma 10 4 2 2 2 2" xfId="16411" xr:uid="{00000000-0005-0000-0000-00001B400000}"/>
    <cellStyle name="Comma 10 4 2 2 2 2 2" xfId="16412" xr:uid="{00000000-0005-0000-0000-00001C400000}"/>
    <cellStyle name="Comma 10 4 2 2 2 2 2 2" xfId="16413" xr:uid="{00000000-0005-0000-0000-00001D400000}"/>
    <cellStyle name="Comma 10 4 2 2 2 2 2 2 2" xfId="16414" xr:uid="{00000000-0005-0000-0000-00001E400000}"/>
    <cellStyle name="Comma 10 4 2 2 2 2 2 2 3" xfId="16415" xr:uid="{00000000-0005-0000-0000-00001F400000}"/>
    <cellStyle name="Comma 10 4 2 2 2 2 2 3" xfId="16416" xr:uid="{00000000-0005-0000-0000-000020400000}"/>
    <cellStyle name="Comma 10 4 2 2 2 2 2 4" xfId="16417" xr:uid="{00000000-0005-0000-0000-000021400000}"/>
    <cellStyle name="Comma 10 4 2 2 2 2 3" xfId="16418" xr:uid="{00000000-0005-0000-0000-000022400000}"/>
    <cellStyle name="Comma 10 4 2 2 2 2 3 2" xfId="16419" xr:uid="{00000000-0005-0000-0000-000023400000}"/>
    <cellStyle name="Comma 10 4 2 2 2 2 3 3" xfId="16420" xr:uid="{00000000-0005-0000-0000-000024400000}"/>
    <cellStyle name="Comma 10 4 2 2 2 2 4" xfId="16421" xr:uid="{00000000-0005-0000-0000-000025400000}"/>
    <cellStyle name="Comma 10 4 2 2 2 2 5" xfId="16422" xr:uid="{00000000-0005-0000-0000-000026400000}"/>
    <cellStyle name="Comma 10 4 2 2 2 3" xfId="16423" xr:uid="{00000000-0005-0000-0000-000027400000}"/>
    <cellStyle name="Comma 10 4 2 2 2 3 2" xfId="16424" xr:uid="{00000000-0005-0000-0000-000028400000}"/>
    <cellStyle name="Comma 10 4 2 2 2 3 2 2" xfId="16425" xr:uid="{00000000-0005-0000-0000-000029400000}"/>
    <cellStyle name="Comma 10 4 2 2 2 3 2 3" xfId="16426" xr:uid="{00000000-0005-0000-0000-00002A400000}"/>
    <cellStyle name="Comma 10 4 2 2 2 3 3" xfId="16427" xr:uid="{00000000-0005-0000-0000-00002B400000}"/>
    <cellStyle name="Comma 10 4 2 2 2 3 4" xfId="16428" xr:uid="{00000000-0005-0000-0000-00002C400000}"/>
    <cellStyle name="Comma 10 4 2 2 2 4" xfId="16429" xr:uid="{00000000-0005-0000-0000-00002D400000}"/>
    <cellStyle name="Comma 10 4 2 2 2 4 2" xfId="16430" xr:uid="{00000000-0005-0000-0000-00002E400000}"/>
    <cellStyle name="Comma 10 4 2 2 2 4 3" xfId="16431" xr:uid="{00000000-0005-0000-0000-00002F400000}"/>
    <cellStyle name="Comma 10 4 2 2 2 5" xfId="16432" xr:uid="{00000000-0005-0000-0000-000030400000}"/>
    <cellStyle name="Comma 10 4 2 2 2 6" xfId="16433" xr:uid="{00000000-0005-0000-0000-000031400000}"/>
    <cellStyle name="Comma 10 4 2 2 3" xfId="16434" xr:uid="{00000000-0005-0000-0000-000032400000}"/>
    <cellStyle name="Comma 10 4 2 2 3 2" xfId="16435" xr:uid="{00000000-0005-0000-0000-000033400000}"/>
    <cellStyle name="Comma 10 4 2 2 3 2 2" xfId="16436" xr:uid="{00000000-0005-0000-0000-000034400000}"/>
    <cellStyle name="Comma 10 4 2 2 3 2 2 2" xfId="16437" xr:uid="{00000000-0005-0000-0000-000035400000}"/>
    <cellStyle name="Comma 10 4 2 2 3 2 2 3" xfId="16438" xr:uid="{00000000-0005-0000-0000-000036400000}"/>
    <cellStyle name="Comma 10 4 2 2 3 2 3" xfId="16439" xr:uid="{00000000-0005-0000-0000-000037400000}"/>
    <cellStyle name="Comma 10 4 2 2 3 2 4" xfId="16440" xr:uid="{00000000-0005-0000-0000-000038400000}"/>
    <cellStyle name="Comma 10 4 2 2 3 3" xfId="16441" xr:uid="{00000000-0005-0000-0000-000039400000}"/>
    <cellStyle name="Comma 10 4 2 2 3 3 2" xfId="16442" xr:uid="{00000000-0005-0000-0000-00003A400000}"/>
    <cellStyle name="Comma 10 4 2 2 3 3 3" xfId="16443" xr:uid="{00000000-0005-0000-0000-00003B400000}"/>
    <cellStyle name="Comma 10 4 2 2 3 4" xfId="16444" xr:uid="{00000000-0005-0000-0000-00003C400000}"/>
    <cellStyle name="Comma 10 4 2 2 3 5" xfId="16445" xr:uid="{00000000-0005-0000-0000-00003D400000}"/>
    <cellStyle name="Comma 10 4 2 2 4" xfId="16446" xr:uid="{00000000-0005-0000-0000-00003E400000}"/>
    <cellStyle name="Comma 10 4 2 2 4 2" xfId="16447" xr:uid="{00000000-0005-0000-0000-00003F400000}"/>
    <cellStyle name="Comma 10 4 2 2 4 2 2" xfId="16448" xr:uid="{00000000-0005-0000-0000-000040400000}"/>
    <cellStyle name="Comma 10 4 2 2 4 2 3" xfId="16449" xr:uid="{00000000-0005-0000-0000-000041400000}"/>
    <cellStyle name="Comma 10 4 2 2 4 3" xfId="16450" xr:uid="{00000000-0005-0000-0000-000042400000}"/>
    <cellStyle name="Comma 10 4 2 2 4 4" xfId="16451" xr:uid="{00000000-0005-0000-0000-000043400000}"/>
    <cellStyle name="Comma 10 4 2 2 5" xfId="16452" xr:uid="{00000000-0005-0000-0000-000044400000}"/>
    <cellStyle name="Comma 10 4 2 2 5 2" xfId="16453" xr:uid="{00000000-0005-0000-0000-000045400000}"/>
    <cellStyle name="Comma 10 4 2 2 5 3" xfId="16454" xr:uid="{00000000-0005-0000-0000-000046400000}"/>
    <cellStyle name="Comma 10 4 2 2 6" xfId="16455" xr:uid="{00000000-0005-0000-0000-000047400000}"/>
    <cellStyle name="Comma 10 4 2 2 7" xfId="16456" xr:uid="{00000000-0005-0000-0000-000048400000}"/>
    <cellStyle name="Comma 10 4 2 3" xfId="16457" xr:uid="{00000000-0005-0000-0000-000049400000}"/>
    <cellStyle name="Comma 10 4 2 3 2" xfId="16458" xr:uid="{00000000-0005-0000-0000-00004A400000}"/>
    <cellStyle name="Comma 10 4 2 3 2 2" xfId="16459" xr:uid="{00000000-0005-0000-0000-00004B400000}"/>
    <cellStyle name="Comma 10 4 2 3 2 2 2" xfId="16460" xr:uid="{00000000-0005-0000-0000-00004C400000}"/>
    <cellStyle name="Comma 10 4 2 3 2 2 2 2" xfId="16461" xr:uid="{00000000-0005-0000-0000-00004D400000}"/>
    <cellStyle name="Comma 10 4 2 3 2 2 2 3" xfId="16462" xr:uid="{00000000-0005-0000-0000-00004E400000}"/>
    <cellStyle name="Comma 10 4 2 3 2 2 3" xfId="16463" xr:uid="{00000000-0005-0000-0000-00004F400000}"/>
    <cellStyle name="Comma 10 4 2 3 2 2 4" xfId="16464" xr:uid="{00000000-0005-0000-0000-000050400000}"/>
    <cellStyle name="Comma 10 4 2 3 2 3" xfId="16465" xr:uid="{00000000-0005-0000-0000-000051400000}"/>
    <cellStyle name="Comma 10 4 2 3 2 3 2" xfId="16466" xr:uid="{00000000-0005-0000-0000-000052400000}"/>
    <cellStyle name="Comma 10 4 2 3 2 3 3" xfId="16467" xr:uid="{00000000-0005-0000-0000-000053400000}"/>
    <cellStyle name="Comma 10 4 2 3 2 4" xfId="16468" xr:uid="{00000000-0005-0000-0000-000054400000}"/>
    <cellStyle name="Comma 10 4 2 3 2 5" xfId="16469" xr:uid="{00000000-0005-0000-0000-000055400000}"/>
    <cellStyle name="Comma 10 4 2 3 3" xfId="16470" xr:uid="{00000000-0005-0000-0000-000056400000}"/>
    <cellStyle name="Comma 10 4 2 3 3 2" xfId="16471" xr:uid="{00000000-0005-0000-0000-000057400000}"/>
    <cellStyle name="Comma 10 4 2 3 3 2 2" xfId="16472" xr:uid="{00000000-0005-0000-0000-000058400000}"/>
    <cellStyle name="Comma 10 4 2 3 3 2 3" xfId="16473" xr:uid="{00000000-0005-0000-0000-000059400000}"/>
    <cellStyle name="Comma 10 4 2 3 3 3" xfId="16474" xr:uid="{00000000-0005-0000-0000-00005A400000}"/>
    <cellStyle name="Comma 10 4 2 3 3 4" xfId="16475" xr:uid="{00000000-0005-0000-0000-00005B400000}"/>
    <cellStyle name="Comma 10 4 2 3 4" xfId="16476" xr:uid="{00000000-0005-0000-0000-00005C400000}"/>
    <cellStyle name="Comma 10 4 2 3 4 2" xfId="16477" xr:uid="{00000000-0005-0000-0000-00005D400000}"/>
    <cellStyle name="Comma 10 4 2 3 4 3" xfId="16478" xr:uid="{00000000-0005-0000-0000-00005E400000}"/>
    <cellStyle name="Comma 10 4 2 3 5" xfId="16479" xr:uid="{00000000-0005-0000-0000-00005F400000}"/>
    <cellStyle name="Comma 10 4 2 3 6" xfId="16480" xr:uid="{00000000-0005-0000-0000-000060400000}"/>
    <cellStyle name="Comma 10 4 2 4" xfId="16481" xr:uid="{00000000-0005-0000-0000-000061400000}"/>
    <cellStyle name="Comma 10 4 2 4 2" xfId="16482" xr:uid="{00000000-0005-0000-0000-000062400000}"/>
    <cellStyle name="Comma 10 4 2 4 2 2" xfId="16483" xr:uid="{00000000-0005-0000-0000-000063400000}"/>
    <cellStyle name="Comma 10 4 2 4 2 2 2" xfId="16484" xr:uid="{00000000-0005-0000-0000-000064400000}"/>
    <cellStyle name="Comma 10 4 2 4 2 2 3" xfId="16485" xr:uid="{00000000-0005-0000-0000-000065400000}"/>
    <cellStyle name="Comma 10 4 2 4 2 3" xfId="16486" xr:uid="{00000000-0005-0000-0000-000066400000}"/>
    <cellStyle name="Comma 10 4 2 4 2 4" xfId="16487" xr:uid="{00000000-0005-0000-0000-000067400000}"/>
    <cellStyle name="Comma 10 4 2 4 3" xfId="16488" xr:uid="{00000000-0005-0000-0000-000068400000}"/>
    <cellStyle name="Comma 10 4 2 4 3 2" xfId="16489" xr:uid="{00000000-0005-0000-0000-000069400000}"/>
    <cellStyle name="Comma 10 4 2 4 3 3" xfId="16490" xr:uid="{00000000-0005-0000-0000-00006A400000}"/>
    <cellStyle name="Comma 10 4 2 4 4" xfId="16491" xr:uid="{00000000-0005-0000-0000-00006B400000}"/>
    <cellStyle name="Comma 10 4 2 4 5" xfId="16492" xr:uid="{00000000-0005-0000-0000-00006C400000}"/>
    <cellStyle name="Comma 10 4 2 5" xfId="16493" xr:uid="{00000000-0005-0000-0000-00006D400000}"/>
    <cellStyle name="Comma 10 4 2 5 2" xfId="16494" xr:uid="{00000000-0005-0000-0000-00006E400000}"/>
    <cellStyle name="Comma 10 4 2 5 2 2" xfId="16495" xr:uid="{00000000-0005-0000-0000-00006F400000}"/>
    <cellStyle name="Comma 10 4 2 5 2 3" xfId="16496" xr:uid="{00000000-0005-0000-0000-000070400000}"/>
    <cellStyle name="Comma 10 4 2 5 3" xfId="16497" xr:uid="{00000000-0005-0000-0000-000071400000}"/>
    <cellStyle name="Comma 10 4 2 5 4" xfId="16498" xr:uid="{00000000-0005-0000-0000-000072400000}"/>
    <cellStyle name="Comma 10 4 2 6" xfId="16499" xr:uid="{00000000-0005-0000-0000-000073400000}"/>
    <cellStyle name="Comma 10 4 2 6 2" xfId="16500" xr:uid="{00000000-0005-0000-0000-000074400000}"/>
    <cellStyle name="Comma 10 4 2 6 3" xfId="16501" xr:uid="{00000000-0005-0000-0000-000075400000}"/>
    <cellStyle name="Comma 10 4 2 7" xfId="16502" xr:uid="{00000000-0005-0000-0000-000076400000}"/>
    <cellStyle name="Comma 10 4 2 8" xfId="16503" xr:uid="{00000000-0005-0000-0000-000077400000}"/>
    <cellStyle name="Comma 10 4 3" xfId="16504" xr:uid="{00000000-0005-0000-0000-000078400000}"/>
    <cellStyle name="Comma 10 4 3 2" xfId="16505" xr:uid="{00000000-0005-0000-0000-000079400000}"/>
    <cellStyle name="Comma 10 4 3 2 2" xfId="16506" xr:uid="{00000000-0005-0000-0000-00007A400000}"/>
    <cellStyle name="Comma 10 4 3 2 2 2" xfId="16507" xr:uid="{00000000-0005-0000-0000-00007B400000}"/>
    <cellStyle name="Comma 10 4 3 2 2 2 2" xfId="16508" xr:uid="{00000000-0005-0000-0000-00007C400000}"/>
    <cellStyle name="Comma 10 4 3 2 2 2 2 2" xfId="16509" xr:uid="{00000000-0005-0000-0000-00007D400000}"/>
    <cellStyle name="Comma 10 4 3 2 2 2 2 3" xfId="16510" xr:uid="{00000000-0005-0000-0000-00007E400000}"/>
    <cellStyle name="Comma 10 4 3 2 2 2 3" xfId="16511" xr:uid="{00000000-0005-0000-0000-00007F400000}"/>
    <cellStyle name="Comma 10 4 3 2 2 2 4" xfId="16512" xr:uid="{00000000-0005-0000-0000-000080400000}"/>
    <cellStyle name="Comma 10 4 3 2 2 3" xfId="16513" xr:uid="{00000000-0005-0000-0000-000081400000}"/>
    <cellStyle name="Comma 10 4 3 2 2 3 2" xfId="16514" xr:uid="{00000000-0005-0000-0000-000082400000}"/>
    <cellStyle name="Comma 10 4 3 2 2 3 3" xfId="16515" xr:uid="{00000000-0005-0000-0000-000083400000}"/>
    <cellStyle name="Comma 10 4 3 2 2 4" xfId="16516" xr:uid="{00000000-0005-0000-0000-000084400000}"/>
    <cellStyle name="Comma 10 4 3 2 2 5" xfId="16517" xr:uid="{00000000-0005-0000-0000-000085400000}"/>
    <cellStyle name="Comma 10 4 3 2 3" xfId="16518" xr:uid="{00000000-0005-0000-0000-000086400000}"/>
    <cellStyle name="Comma 10 4 3 2 3 2" xfId="16519" xr:uid="{00000000-0005-0000-0000-000087400000}"/>
    <cellStyle name="Comma 10 4 3 2 3 2 2" xfId="16520" xr:uid="{00000000-0005-0000-0000-000088400000}"/>
    <cellStyle name="Comma 10 4 3 2 3 2 3" xfId="16521" xr:uid="{00000000-0005-0000-0000-000089400000}"/>
    <cellStyle name="Comma 10 4 3 2 3 3" xfId="16522" xr:uid="{00000000-0005-0000-0000-00008A400000}"/>
    <cellStyle name="Comma 10 4 3 2 3 4" xfId="16523" xr:uid="{00000000-0005-0000-0000-00008B400000}"/>
    <cellStyle name="Comma 10 4 3 2 4" xfId="16524" xr:uid="{00000000-0005-0000-0000-00008C400000}"/>
    <cellStyle name="Comma 10 4 3 2 4 2" xfId="16525" xr:uid="{00000000-0005-0000-0000-00008D400000}"/>
    <cellStyle name="Comma 10 4 3 2 4 3" xfId="16526" xr:uid="{00000000-0005-0000-0000-00008E400000}"/>
    <cellStyle name="Comma 10 4 3 2 5" xfId="16527" xr:uid="{00000000-0005-0000-0000-00008F400000}"/>
    <cellStyle name="Comma 10 4 3 2 6" xfId="16528" xr:uid="{00000000-0005-0000-0000-000090400000}"/>
    <cellStyle name="Comma 10 4 3 3" xfId="16529" xr:uid="{00000000-0005-0000-0000-000091400000}"/>
    <cellStyle name="Comma 10 4 3 3 2" xfId="16530" xr:uid="{00000000-0005-0000-0000-000092400000}"/>
    <cellStyle name="Comma 10 4 3 3 2 2" xfId="16531" xr:uid="{00000000-0005-0000-0000-000093400000}"/>
    <cellStyle name="Comma 10 4 3 3 2 2 2" xfId="16532" xr:uid="{00000000-0005-0000-0000-000094400000}"/>
    <cellStyle name="Comma 10 4 3 3 2 2 3" xfId="16533" xr:uid="{00000000-0005-0000-0000-000095400000}"/>
    <cellStyle name="Comma 10 4 3 3 2 3" xfId="16534" xr:uid="{00000000-0005-0000-0000-000096400000}"/>
    <cellStyle name="Comma 10 4 3 3 2 4" xfId="16535" xr:uid="{00000000-0005-0000-0000-000097400000}"/>
    <cellStyle name="Comma 10 4 3 3 3" xfId="16536" xr:uid="{00000000-0005-0000-0000-000098400000}"/>
    <cellStyle name="Comma 10 4 3 3 3 2" xfId="16537" xr:uid="{00000000-0005-0000-0000-000099400000}"/>
    <cellStyle name="Comma 10 4 3 3 3 3" xfId="16538" xr:uid="{00000000-0005-0000-0000-00009A400000}"/>
    <cellStyle name="Comma 10 4 3 3 4" xfId="16539" xr:uid="{00000000-0005-0000-0000-00009B400000}"/>
    <cellStyle name="Comma 10 4 3 3 5" xfId="16540" xr:uid="{00000000-0005-0000-0000-00009C400000}"/>
    <cellStyle name="Comma 10 4 3 4" xfId="16541" xr:uid="{00000000-0005-0000-0000-00009D400000}"/>
    <cellStyle name="Comma 10 4 3 4 2" xfId="16542" xr:uid="{00000000-0005-0000-0000-00009E400000}"/>
    <cellStyle name="Comma 10 4 3 4 2 2" xfId="16543" xr:uid="{00000000-0005-0000-0000-00009F400000}"/>
    <cellStyle name="Comma 10 4 3 4 2 3" xfId="16544" xr:uid="{00000000-0005-0000-0000-0000A0400000}"/>
    <cellStyle name="Comma 10 4 3 4 3" xfId="16545" xr:uid="{00000000-0005-0000-0000-0000A1400000}"/>
    <cellStyle name="Comma 10 4 3 4 4" xfId="16546" xr:uid="{00000000-0005-0000-0000-0000A2400000}"/>
    <cellStyle name="Comma 10 4 3 5" xfId="16547" xr:uid="{00000000-0005-0000-0000-0000A3400000}"/>
    <cellStyle name="Comma 10 4 3 5 2" xfId="16548" xr:uid="{00000000-0005-0000-0000-0000A4400000}"/>
    <cellStyle name="Comma 10 4 3 5 3" xfId="16549" xr:uid="{00000000-0005-0000-0000-0000A5400000}"/>
    <cellStyle name="Comma 10 4 3 6" xfId="16550" xr:uid="{00000000-0005-0000-0000-0000A6400000}"/>
    <cellStyle name="Comma 10 4 3 7" xfId="16551" xr:uid="{00000000-0005-0000-0000-0000A7400000}"/>
    <cellStyle name="Comma 10 4 4" xfId="16552" xr:uid="{00000000-0005-0000-0000-0000A8400000}"/>
    <cellStyle name="Comma 10 4 4 2" xfId="16553" xr:uid="{00000000-0005-0000-0000-0000A9400000}"/>
    <cellStyle name="Comma 10 4 4 2 2" xfId="16554" xr:uid="{00000000-0005-0000-0000-0000AA400000}"/>
    <cellStyle name="Comma 10 4 4 2 2 2" xfId="16555" xr:uid="{00000000-0005-0000-0000-0000AB400000}"/>
    <cellStyle name="Comma 10 4 4 2 2 2 2" xfId="16556" xr:uid="{00000000-0005-0000-0000-0000AC400000}"/>
    <cellStyle name="Comma 10 4 4 2 2 2 3" xfId="16557" xr:uid="{00000000-0005-0000-0000-0000AD400000}"/>
    <cellStyle name="Comma 10 4 4 2 2 3" xfId="16558" xr:uid="{00000000-0005-0000-0000-0000AE400000}"/>
    <cellStyle name="Comma 10 4 4 2 2 4" xfId="16559" xr:uid="{00000000-0005-0000-0000-0000AF400000}"/>
    <cellStyle name="Comma 10 4 4 2 3" xfId="16560" xr:uid="{00000000-0005-0000-0000-0000B0400000}"/>
    <cellStyle name="Comma 10 4 4 2 3 2" xfId="16561" xr:uid="{00000000-0005-0000-0000-0000B1400000}"/>
    <cellStyle name="Comma 10 4 4 2 3 3" xfId="16562" xr:uid="{00000000-0005-0000-0000-0000B2400000}"/>
    <cellStyle name="Comma 10 4 4 2 4" xfId="16563" xr:uid="{00000000-0005-0000-0000-0000B3400000}"/>
    <cellStyle name="Comma 10 4 4 2 5" xfId="16564" xr:uid="{00000000-0005-0000-0000-0000B4400000}"/>
    <cellStyle name="Comma 10 4 4 3" xfId="16565" xr:uid="{00000000-0005-0000-0000-0000B5400000}"/>
    <cellStyle name="Comma 10 4 4 3 2" xfId="16566" xr:uid="{00000000-0005-0000-0000-0000B6400000}"/>
    <cellStyle name="Comma 10 4 4 3 2 2" xfId="16567" xr:uid="{00000000-0005-0000-0000-0000B7400000}"/>
    <cellStyle name="Comma 10 4 4 3 2 3" xfId="16568" xr:uid="{00000000-0005-0000-0000-0000B8400000}"/>
    <cellStyle name="Comma 10 4 4 3 3" xfId="16569" xr:uid="{00000000-0005-0000-0000-0000B9400000}"/>
    <cellStyle name="Comma 10 4 4 3 4" xfId="16570" xr:uid="{00000000-0005-0000-0000-0000BA400000}"/>
    <cellStyle name="Comma 10 4 4 4" xfId="16571" xr:uid="{00000000-0005-0000-0000-0000BB400000}"/>
    <cellStyle name="Comma 10 4 4 4 2" xfId="16572" xr:uid="{00000000-0005-0000-0000-0000BC400000}"/>
    <cellStyle name="Comma 10 4 4 4 3" xfId="16573" xr:uid="{00000000-0005-0000-0000-0000BD400000}"/>
    <cellStyle name="Comma 10 4 4 5" xfId="16574" xr:uid="{00000000-0005-0000-0000-0000BE400000}"/>
    <cellStyle name="Comma 10 4 4 6" xfId="16575" xr:uid="{00000000-0005-0000-0000-0000BF400000}"/>
    <cellStyle name="Comma 10 4 5" xfId="16576" xr:uid="{00000000-0005-0000-0000-0000C0400000}"/>
    <cellStyle name="Comma 10 4 5 2" xfId="16577" xr:uid="{00000000-0005-0000-0000-0000C1400000}"/>
    <cellStyle name="Comma 10 4 5 2 2" xfId="16578" xr:uid="{00000000-0005-0000-0000-0000C2400000}"/>
    <cellStyle name="Comma 10 4 5 2 2 2" xfId="16579" xr:uid="{00000000-0005-0000-0000-0000C3400000}"/>
    <cellStyle name="Comma 10 4 5 2 2 3" xfId="16580" xr:uid="{00000000-0005-0000-0000-0000C4400000}"/>
    <cellStyle name="Comma 10 4 5 2 3" xfId="16581" xr:uid="{00000000-0005-0000-0000-0000C5400000}"/>
    <cellStyle name="Comma 10 4 5 2 4" xfId="16582" xr:uid="{00000000-0005-0000-0000-0000C6400000}"/>
    <cellStyle name="Comma 10 4 5 3" xfId="16583" xr:uid="{00000000-0005-0000-0000-0000C7400000}"/>
    <cellStyle name="Comma 10 4 5 3 2" xfId="16584" xr:uid="{00000000-0005-0000-0000-0000C8400000}"/>
    <cellStyle name="Comma 10 4 5 3 3" xfId="16585" xr:uid="{00000000-0005-0000-0000-0000C9400000}"/>
    <cellStyle name="Comma 10 4 5 4" xfId="16586" xr:uid="{00000000-0005-0000-0000-0000CA400000}"/>
    <cellStyle name="Comma 10 4 5 5" xfId="16587" xr:uid="{00000000-0005-0000-0000-0000CB400000}"/>
    <cellStyle name="Comma 10 4 6" xfId="16588" xr:uid="{00000000-0005-0000-0000-0000CC400000}"/>
    <cellStyle name="Comma 10 4 6 2" xfId="16589" xr:uid="{00000000-0005-0000-0000-0000CD400000}"/>
    <cellStyle name="Comma 10 4 6 2 2" xfId="16590" xr:uid="{00000000-0005-0000-0000-0000CE400000}"/>
    <cellStyle name="Comma 10 4 6 2 3" xfId="16591" xr:uid="{00000000-0005-0000-0000-0000CF400000}"/>
    <cellStyle name="Comma 10 4 6 3" xfId="16592" xr:uid="{00000000-0005-0000-0000-0000D0400000}"/>
    <cellStyle name="Comma 10 4 6 4" xfId="16593" xr:uid="{00000000-0005-0000-0000-0000D1400000}"/>
    <cellStyle name="Comma 10 4 7" xfId="16594" xr:uid="{00000000-0005-0000-0000-0000D2400000}"/>
    <cellStyle name="Comma 10 4 7 2" xfId="16595" xr:uid="{00000000-0005-0000-0000-0000D3400000}"/>
    <cellStyle name="Comma 10 4 7 3" xfId="16596" xr:uid="{00000000-0005-0000-0000-0000D4400000}"/>
    <cellStyle name="Comma 10 4 8" xfId="16597" xr:uid="{00000000-0005-0000-0000-0000D5400000}"/>
    <cellStyle name="Comma 10 4 9" xfId="16598" xr:uid="{00000000-0005-0000-0000-0000D6400000}"/>
    <cellStyle name="Comma 10 5" xfId="16599" xr:uid="{00000000-0005-0000-0000-0000D7400000}"/>
    <cellStyle name="Comma 10 5 2" xfId="16600" xr:uid="{00000000-0005-0000-0000-0000D8400000}"/>
    <cellStyle name="Comma 10 5 2 2" xfId="16601" xr:uid="{00000000-0005-0000-0000-0000D9400000}"/>
    <cellStyle name="Comma 10 5 2 2 2" xfId="16602" xr:uid="{00000000-0005-0000-0000-0000DA400000}"/>
    <cellStyle name="Comma 10 5 2 2 2 2" xfId="16603" xr:uid="{00000000-0005-0000-0000-0000DB400000}"/>
    <cellStyle name="Comma 10 5 2 2 2 2 2" xfId="16604" xr:uid="{00000000-0005-0000-0000-0000DC400000}"/>
    <cellStyle name="Comma 10 5 2 2 2 2 2 2" xfId="16605" xr:uid="{00000000-0005-0000-0000-0000DD400000}"/>
    <cellStyle name="Comma 10 5 2 2 2 2 2 3" xfId="16606" xr:uid="{00000000-0005-0000-0000-0000DE400000}"/>
    <cellStyle name="Comma 10 5 2 2 2 2 3" xfId="16607" xr:uid="{00000000-0005-0000-0000-0000DF400000}"/>
    <cellStyle name="Comma 10 5 2 2 2 2 4" xfId="16608" xr:uid="{00000000-0005-0000-0000-0000E0400000}"/>
    <cellStyle name="Comma 10 5 2 2 2 3" xfId="16609" xr:uid="{00000000-0005-0000-0000-0000E1400000}"/>
    <cellStyle name="Comma 10 5 2 2 2 3 2" xfId="16610" xr:uid="{00000000-0005-0000-0000-0000E2400000}"/>
    <cellStyle name="Comma 10 5 2 2 2 3 3" xfId="16611" xr:uid="{00000000-0005-0000-0000-0000E3400000}"/>
    <cellStyle name="Comma 10 5 2 2 2 4" xfId="16612" xr:uid="{00000000-0005-0000-0000-0000E4400000}"/>
    <cellStyle name="Comma 10 5 2 2 2 5" xfId="16613" xr:uid="{00000000-0005-0000-0000-0000E5400000}"/>
    <cellStyle name="Comma 10 5 2 2 3" xfId="16614" xr:uid="{00000000-0005-0000-0000-0000E6400000}"/>
    <cellStyle name="Comma 10 5 2 2 3 2" xfId="16615" xr:uid="{00000000-0005-0000-0000-0000E7400000}"/>
    <cellStyle name="Comma 10 5 2 2 3 2 2" xfId="16616" xr:uid="{00000000-0005-0000-0000-0000E8400000}"/>
    <cellStyle name="Comma 10 5 2 2 3 2 3" xfId="16617" xr:uid="{00000000-0005-0000-0000-0000E9400000}"/>
    <cellStyle name="Comma 10 5 2 2 3 3" xfId="16618" xr:uid="{00000000-0005-0000-0000-0000EA400000}"/>
    <cellStyle name="Comma 10 5 2 2 3 4" xfId="16619" xr:uid="{00000000-0005-0000-0000-0000EB400000}"/>
    <cellStyle name="Comma 10 5 2 2 4" xfId="16620" xr:uid="{00000000-0005-0000-0000-0000EC400000}"/>
    <cellStyle name="Comma 10 5 2 2 4 2" xfId="16621" xr:uid="{00000000-0005-0000-0000-0000ED400000}"/>
    <cellStyle name="Comma 10 5 2 2 4 3" xfId="16622" xr:uid="{00000000-0005-0000-0000-0000EE400000}"/>
    <cellStyle name="Comma 10 5 2 2 5" xfId="16623" xr:uid="{00000000-0005-0000-0000-0000EF400000}"/>
    <cellStyle name="Comma 10 5 2 2 6" xfId="16624" xr:uid="{00000000-0005-0000-0000-0000F0400000}"/>
    <cellStyle name="Comma 10 5 2 3" xfId="16625" xr:uid="{00000000-0005-0000-0000-0000F1400000}"/>
    <cellStyle name="Comma 10 5 2 3 2" xfId="16626" xr:uid="{00000000-0005-0000-0000-0000F2400000}"/>
    <cellStyle name="Comma 10 5 2 3 2 2" xfId="16627" xr:uid="{00000000-0005-0000-0000-0000F3400000}"/>
    <cellStyle name="Comma 10 5 2 3 2 2 2" xfId="16628" xr:uid="{00000000-0005-0000-0000-0000F4400000}"/>
    <cellStyle name="Comma 10 5 2 3 2 2 3" xfId="16629" xr:uid="{00000000-0005-0000-0000-0000F5400000}"/>
    <cellStyle name="Comma 10 5 2 3 2 3" xfId="16630" xr:uid="{00000000-0005-0000-0000-0000F6400000}"/>
    <cellStyle name="Comma 10 5 2 3 2 4" xfId="16631" xr:uid="{00000000-0005-0000-0000-0000F7400000}"/>
    <cellStyle name="Comma 10 5 2 3 3" xfId="16632" xr:uid="{00000000-0005-0000-0000-0000F8400000}"/>
    <cellStyle name="Comma 10 5 2 3 3 2" xfId="16633" xr:uid="{00000000-0005-0000-0000-0000F9400000}"/>
    <cellStyle name="Comma 10 5 2 3 3 3" xfId="16634" xr:uid="{00000000-0005-0000-0000-0000FA400000}"/>
    <cellStyle name="Comma 10 5 2 3 4" xfId="16635" xr:uid="{00000000-0005-0000-0000-0000FB400000}"/>
    <cellStyle name="Comma 10 5 2 3 5" xfId="16636" xr:uid="{00000000-0005-0000-0000-0000FC400000}"/>
    <cellStyle name="Comma 10 5 2 4" xfId="16637" xr:uid="{00000000-0005-0000-0000-0000FD400000}"/>
    <cellStyle name="Comma 10 5 2 4 2" xfId="16638" xr:uid="{00000000-0005-0000-0000-0000FE400000}"/>
    <cellStyle name="Comma 10 5 2 4 2 2" xfId="16639" xr:uid="{00000000-0005-0000-0000-0000FF400000}"/>
    <cellStyle name="Comma 10 5 2 4 2 3" xfId="16640" xr:uid="{00000000-0005-0000-0000-000000410000}"/>
    <cellStyle name="Comma 10 5 2 4 3" xfId="16641" xr:uid="{00000000-0005-0000-0000-000001410000}"/>
    <cellStyle name="Comma 10 5 2 4 4" xfId="16642" xr:uid="{00000000-0005-0000-0000-000002410000}"/>
    <cellStyle name="Comma 10 5 2 5" xfId="16643" xr:uid="{00000000-0005-0000-0000-000003410000}"/>
    <cellStyle name="Comma 10 5 2 5 2" xfId="16644" xr:uid="{00000000-0005-0000-0000-000004410000}"/>
    <cellStyle name="Comma 10 5 2 5 3" xfId="16645" xr:uid="{00000000-0005-0000-0000-000005410000}"/>
    <cellStyle name="Comma 10 5 2 6" xfId="16646" xr:uid="{00000000-0005-0000-0000-000006410000}"/>
    <cellStyle name="Comma 10 5 2 7" xfId="16647" xr:uid="{00000000-0005-0000-0000-000007410000}"/>
    <cellStyle name="Comma 10 5 3" xfId="16648" xr:uid="{00000000-0005-0000-0000-000008410000}"/>
    <cellStyle name="Comma 10 5 3 2" xfId="16649" xr:uid="{00000000-0005-0000-0000-000009410000}"/>
    <cellStyle name="Comma 10 5 3 2 2" xfId="16650" xr:uid="{00000000-0005-0000-0000-00000A410000}"/>
    <cellStyle name="Comma 10 5 3 2 2 2" xfId="16651" xr:uid="{00000000-0005-0000-0000-00000B410000}"/>
    <cellStyle name="Comma 10 5 3 2 2 2 2" xfId="16652" xr:uid="{00000000-0005-0000-0000-00000C410000}"/>
    <cellStyle name="Comma 10 5 3 2 2 2 3" xfId="16653" xr:uid="{00000000-0005-0000-0000-00000D410000}"/>
    <cellStyle name="Comma 10 5 3 2 2 3" xfId="16654" xr:uid="{00000000-0005-0000-0000-00000E410000}"/>
    <cellStyle name="Comma 10 5 3 2 2 4" xfId="16655" xr:uid="{00000000-0005-0000-0000-00000F410000}"/>
    <cellStyle name="Comma 10 5 3 2 3" xfId="16656" xr:uid="{00000000-0005-0000-0000-000010410000}"/>
    <cellStyle name="Comma 10 5 3 2 3 2" xfId="16657" xr:uid="{00000000-0005-0000-0000-000011410000}"/>
    <cellStyle name="Comma 10 5 3 2 3 3" xfId="16658" xr:uid="{00000000-0005-0000-0000-000012410000}"/>
    <cellStyle name="Comma 10 5 3 2 4" xfId="16659" xr:uid="{00000000-0005-0000-0000-000013410000}"/>
    <cellStyle name="Comma 10 5 3 2 5" xfId="16660" xr:uid="{00000000-0005-0000-0000-000014410000}"/>
    <cellStyle name="Comma 10 5 3 3" xfId="16661" xr:uid="{00000000-0005-0000-0000-000015410000}"/>
    <cellStyle name="Comma 10 5 3 3 2" xfId="16662" xr:uid="{00000000-0005-0000-0000-000016410000}"/>
    <cellStyle name="Comma 10 5 3 3 2 2" xfId="16663" xr:uid="{00000000-0005-0000-0000-000017410000}"/>
    <cellStyle name="Comma 10 5 3 3 2 3" xfId="16664" xr:uid="{00000000-0005-0000-0000-000018410000}"/>
    <cellStyle name="Comma 10 5 3 3 3" xfId="16665" xr:uid="{00000000-0005-0000-0000-000019410000}"/>
    <cellStyle name="Comma 10 5 3 3 4" xfId="16666" xr:uid="{00000000-0005-0000-0000-00001A410000}"/>
    <cellStyle name="Comma 10 5 3 4" xfId="16667" xr:uid="{00000000-0005-0000-0000-00001B410000}"/>
    <cellStyle name="Comma 10 5 3 4 2" xfId="16668" xr:uid="{00000000-0005-0000-0000-00001C410000}"/>
    <cellStyle name="Comma 10 5 3 4 3" xfId="16669" xr:uid="{00000000-0005-0000-0000-00001D410000}"/>
    <cellStyle name="Comma 10 5 3 5" xfId="16670" xr:uid="{00000000-0005-0000-0000-00001E410000}"/>
    <cellStyle name="Comma 10 5 3 6" xfId="16671" xr:uid="{00000000-0005-0000-0000-00001F410000}"/>
    <cellStyle name="Comma 10 5 4" xfId="16672" xr:uid="{00000000-0005-0000-0000-000020410000}"/>
    <cellStyle name="Comma 10 5 4 2" xfId="16673" xr:uid="{00000000-0005-0000-0000-000021410000}"/>
    <cellStyle name="Comma 10 5 4 2 2" xfId="16674" xr:uid="{00000000-0005-0000-0000-000022410000}"/>
    <cellStyle name="Comma 10 5 4 2 2 2" xfId="16675" xr:uid="{00000000-0005-0000-0000-000023410000}"/>
    <cellStyle name="Comma 10 5 4 2 2 3" xfId="16676" xr:uid="{00000000-0005-0000-0000-000024410000}"/>
    <cellStyle name="Comma 10 5 4 2 3" xfId="16677" xr:uid="{00000000-0005-0000-0000-000025410000}"/>
    <cellStyle name="Comma 10 5 4 2 4" xfId="16678" xr:uid="{00000000-0005-0000-0000-000026410000}"/>
    <cellStyle name="Comma 10 5 4 3" xfId="16679" xr:uid="{00000000-0005-0000-0000-000027410000}"/>
    <cellStyle name="Comma 10 5 4 3 2" xfId="16680" xr:uid="{00000000-0005-0000-0000-000028410000}"/>
    <cellStyle name="Comma 10 5 4 3 3" xfId="16681" xr:uid="{00000000-0005-0000-0000-000029410000}"/>
    <cellStyle name="Comma 10 5 4 4" xfId="16682" xr:uid="{00000000-0005-0000-0000-00002A410000}"/>
    <cellStyle name="Comma 10 5 4 5" xfId="16683" xr:uid="{00000000-0005-0000-0000-00002B410000}"/>
    <cellStyle name="Comma 10 5 5" xfId="16684" xr:uid="{00000000-0005-0000-0000-00002C410000}"/>
    <cellStyle name="Comma 10 5 5 2" xfId="16685" xr:uid="{00000000-0005-0000-0000-00002D410000}"/>
    <cellStyle name="Comma 10 5 5 2 2" xfId="16686" xr:uid="{00000000-0005-0000-0000-00002E410000}"/>
    <cellStyle name="Comma 10 5 5 2 3" xfId="16687" xr:uid="{00000000-0005-0000-0000-00002F410000}"/>
    <cellStyle name="Comma 10 5 5 3" xfId="16688" xr:uid="{00000000-0005-0000-0000-000030410000}"/>
    <cellStyle name="Comma 10 5 5 4" xfId="16689" xr:uid="{00000000-0005-0000-0000-000031410000}"/>
    <cellStyle name="Comma 10 5 6" xfId="16690" xr:uid="{00000000-0005-0000-0000-000032410000}"/>
    <cellStyle name="Comma 10 5 6 2" xfId="16691" xr:uid="{00000000-0005-0000-0000-000033410000}"/>
    <cellStyle name="Comma 10 5 6 3" xfId="16692" xr:uid="{00000000-0005-0000-0000-000034410000}"/>
    <cellStyle name="Comma 10 5 7" xfId="16693" xr:uid="{00000000-0005-0000-0000-000035410000}"/>
    <cellStyle name="Comma 10 5 8" xfId="16694" xr:uid="{00000000-0005-0000-0000-000036410000}"/>
    <cellStyle name="Comma 10 6" xfId="16695" xr:uid="{00000000-0005-0000-0000-000037410000}"/>
    <cellStyle name="Comma 10 6 2" xfId="16696" xr:uid="{00000000-0005-0000-0000-000038410000}"/>
    <cellStyle name="Comma 10 6 2 2" xfId="16697" xr:uid="{00000000-0005-0000-0000-000039410000}"/>
    <cellStyle name="Comma 10 6 2 2 2" xfId="16698" xr:uid="{00000000-0005-0000-0000-00003A410000}"/>
    <cellStyle name="Comma 10 6 2 2 2 2" xfId="16699" xr:uid="{00000000-0005-0000-0000-00003B410000}"/>
    <cellStyle name="Comma 10 6 2 2 2 2 2" xfId="16700" xr:uid="{00000000-0005-0000-0000-00003C410000}"/>
    <cellStyle name="Comma 10 6 2 2 2 2 3" xfId="16701" xr:uid="{00000000-0005-0000-0000-00003D410000}"/>
    <cellStyle name="Comma 10 6 2 2 2 3" xfId="16702" xr:uid="{00000000-0005-0000-0000-00003E410000}"/>
    <cellStyle name="Comma 10 6 2 2 2 4" xfId="16703" xr:uid="{00000000-0005-0000-0000-00003F410000}"/>
    <cellStyle name="Comma 10 6 2 2 3" xfId="16704" xr:uid="{00000000-0005-0000-0000-000040410000}"/>
    <cellStyle name="Comma 10 6 2 2 3 2" xfId="16705" xr:uid="{00000000-0005-0000-0000-000041410000}"/>
    <cellStyle name="Comma 10 6 2 2 3 3" xfId="16706" xr:uid="{00000000-0005-0000-0000-000042410000}"/>
    <cellStyle name="Comma 10 6 2 2 4" xfId="16707" xr:uid="{00000000-0005-0000-0000-000043410000}"/>
    <cellStyle name="Comma 10 6 2 2 5" xfId="16708" xr:uid="{00000000-0005-0000-0000-000044410000}"/>
    <cellStyle name="Comma 10 6 2 3" xfId="16709" xr:uid="{00000000-0005-0000-0000-000045410000}"/>
    <cellStyle name="Comma 10 6 2 3 2" xfId="16710" xr:uid="{00000000-0005-0000-0000-000046410000}"/>
    <cellStyle name="Comma 10 6 2 3 2 2" xfId="16711" xr:uid="{00000000-0005-0000-0000-000047410000}"/>
    <cellStyle name="Comma 10 6 2 3 2 3" xfId="16712" xr:uid="{00000000-0005-0000-0000-000048410000}"/>
    <cellStyle name="Comma 10 6 2 3 3" xfId="16713" xr:uid="{00000000-0005-0000-0000-000049410000}"/>
    <cellStyle name="Comma 10 6 2 3 4" xfId="16714" xr:uid="{00000000-0005-0000-0000-00004A410000}"/>
    <cellStyle name="Comma 10 6 2 4" xfId="16715" xr:uid="{00000000-0005-0000-0000-00004B410000}"/>
    <cellStyle name="Comma 10 6 2 4 2" xfId="16716" xr:uid="{00000000-0005-0000-0000-00004C410000}"/>
    <cellStyle name="Comma 10 6 2 4 3" xfId="16717" xr:uid="{00000000-0005-0000-0000-00004D410000}"/>
    <cellStyle name="Comma 10 6 2 5" xfId="16718" xr:uid="{00000000-0005-0000-0000-00004E410000}"/>
    <cellStyle name="Comma 10 6 2 6" xfId="16719" xr:uid="{00000000-0005-0000-0000-00004F410000}"/>
    <cellStyle name="Comma 10 6 3" xfId="16720" xr:uid="{00000000-0005-0000-0000-000050410000}"/>
    <cellStyle name="Comma 10 6 3 2" xfId="16721" xr:uid="{00000000-0005-0000-0000-000051410000}"/>
    <cellStyle name="Comma 10 6 3 2 2" xfId="16722" xr:uid="{00000000-0005-0000-0000-000052410000}"/>
    <cellStyle name="Comma 10 6 3 2 2 2" xfId="16723" xr:uid="{00000000-0005-0000-0000-000053410000}"/>
    <cellStyle name="Comma 10 6 3 2 2 3" xfId="16724" xr:uid="{00000000-0005-0000-0000-000054410000}"/>
    <cellStyle name="Comma 10 6 3 2 3" xfId="16725" xr:uid="{00000000-0005-0000-0000-000055410000}"/>
    <cellStyle name="Comma 10 6 3 2 4" xfId="16726" xr:uid="{00000000-0005-0000-0000-000056410000}"/>
    <cellStyle name="Comma 10 6 3 3" xfId="16727" xr:uid="{00000000-0005-0000-0000-000057410000}"/>
    <cellStyle name="Comma 10 6 3 3 2" xfId="16728" xr:uid="{00000000-0005-0000-0000-000058410000}"/>
    <cellStyle name="Comma 10 6 3 3 3" xfId="16729" xr:uid="{00000000-0005-0000-0000-000059410000}"/>
    <cellStyle name="Comma 10 6 3 4" xfId="16730" xr:uid="{00000000-0005-0000-0000-00005A410000}"/>
    <cellStyle name="Comma 10 6 3 5" xfId="16731" xr:uid="{00000000-0005-0000-0000-00005B410000}"/>
    <cellStyle name="Comma 10 6 4" xfId="16732" xr:uid="{00000000-0005-0000-0000-00005C410000}"/>
    <cellStyle name="Comma 10 6 4 2" xfId="16733" xr:uid="{00000000-0005-0000-0000-00005D410000}"/>
    <cellStyle name="Comma 10 6 4 2 2" xfId="16734" xr:uid="{00000000-0005-0000-0000-00005E410000}"/>
    <cellStyle name="Comma 10 6 4 2 3" xfId="16735" xr:uid="{00000000-0005-0000-0000-00005F410000}"/>
    <cellStyle name="Comma 10 6 4 3" xfId="16736" xr:uid="{00000000-0005-0000-0000-000060410000}"/>
    <cellStyle name="Comma 10 6 4 4" xfId="16737" xr:uid="{00000000-0005-0000-0000-000061410000}"/>
    <cellStyle name="Comma 10 6 5" xfId="16738" xr:uid="{00000000-0005-0000-0000-000062410000}"/>
    <cellStyle name="Comma 10 6 5 2" xfId="16739" xr:uid="{00000000-0005-0000-0000-000063410000}"/>
    <cellStyle name="Comma 10 6 5 3" xfId="16740" xr:uid="{00000000-0005-0000-0000-000064410000}"/>
    <cellStyle name="Comma 10 6 6" xfId="16741" xr:uid="{00000000-0005-0000-0000-000065410000}"/>
    <cellStyle name="Comma 10 6 7" xfId="16742" xr:uid="{00000000-0005-0000-0000-000066410000}"/>
    <cellStyle name="Comma 10 7" xfId="16743" xr:uid="{00000000-0005-0000-0000-000067410000}"/>
    <cellStyle name="Comma 10 7 2" xfId="16744" xr:uid="{00000000-0005-0000-0000-000068410000}"/>
    <cellStyle name="Comma 10 7 2 2" xfId="16745" xr:uid="{00000000-0005-0000-0000-000069410000}"/>
    <cellStyle name="Comma 10 7 2 2 2" xfId="16746" xr:uid="{00000000-0005-0000-0000-00006A410000}"/>
    <cellStyle name="Comma 10 7 2 2 2 2" xfId="16747" xr:uid="{00000000-0005-0000-0000-00006B410000}"/>
    <cellStyle name="Comma 10 7 2 2 2 3" xfId="16748" xr:uid="{00000000-0005-0000-0000-00006C410000}"/>
    <cellStyle name="Comma 10 7 2 2 3" xfId="16749" xr:uid="{00000000-0005-0000-0000-00006D410000}"/>
    <cellStyle name="Comma 10 7 2 2 4" xfId="16750" xr:uid="{00000000-0005-0000-0000-00006E410000}"/>
    <cellStyle name="Comma 10 7 2 3" xfId="16751" xr:uid="{00000000-0005-0000-0000-00006F410000}"/>
    <cellStyle name="Comma 10 7 2 3 2" xfId="16752" xr:uid="{00000000-0005-0000-0000-000070410000}"/>
    <cellStyle name="Comma 10 7 2 3 3" xfId="16753" xr:uid="{00000000-0005-0000-0000-000071410000}"/>
    <cellStyle name="Comma 10 7 2 4" xfId="16754" xr:uid="{00000000-0005-0000-0000-000072410000}"/>
    <cellStyle name="Comma 10 7 2 5" xfId="16755" xr:uid="{00000000-0005-0000-0000-000073410000}"/>
    <cellStyle name="Comma 10 7 3" xfId="16756" xr:uid="{00000000-0005-0000-0000-000074410000}"/>
    <cellStyle name="Comma 10 7 3 2" xfId="16757" xr:uid="{00000000-0005-0000-0000-000075410000}"/>
    <cellStyle name="Comma 10 7 3 2 2" xfId="16758" xr:uid="{00000000-0005-0000-0000-000076410000}"/>
    <cellStyle name="Comma 10 7 3 2 3" xfId="16759" xr:uid="{00000000-0005-0000-0000-000077410000}"/>
    <cellStyle name="Comma 10 7 3 3" xfId="16760" xr:uid="{00000000-0005-0000-0000-000078410000}"/>
    <cellStyle name="Comma 10 7 3 4" xfId="16761" xr:uid="{00000000-0005-0000-0000-000079410000}"/>
    <cellStyle name="Comma 10 7 4" xfId="16762" xr:uid="{00000000-0005-0000-0000-00007A410000}"/>
    <cellStyle name="Comma 10 7 4 2" xfId="16763" xr:uid="{00000000-0005-0000-0000-00007B410000}"/>
    <cellStyle name="Comma 10 7 4 3" xfId="16764" xr:uid="{00000000-0005-0000-0000-00007C410000}"/>
    <cellStyle name="Comma 10 7 5" xfId="16765" xr:uid="{00000000-0005-0000-0000-00007D410000}"/>
    <cellStyle name="Comma 10 7 6" xfId="16766" xr:uid="{00000000-0005-0000-0000-00007E410000}"/>
    <cellStyle name="Comma 10 8" xfId="16767" xr:uid="{00000000-0005-0000-0000-00007F410000}"/>
    <cellStyle name="Comma 10 8 2" xfId="16768" xr:uid="{00000000-0005-0000-0000-000080410000}"/>
    <cellStyle name="Comma 10 8 2 2" xfId="16769" xr:uid="{00000000-0005-0000-0000-000081410000}"/>
    <cellStyle name="Comma 10 8 2 2 2" xfId="16770" xr:uid="{00000000-0005-0000-0000-000082410000}"/>
    <cellStyle name="Comma 10 8 2 2 3" xfId="16771" xr:uid="{00000000-0005-0000-0000-000083410000}"/>
    <cellStyle name="Comma 10 8 2 3" xfId="16772" xr:uid="{00000000-0005-0000-0000-000084410000}"/>
    <cellStyle name="Comma 10 8 2 4" xfId="16773" xr:uid="{00000000-0005-0000-0000-000085410000}"/>
    <cellStyle name="Comma 10 8 3" xfId="16774" xr:uid="{00000000-0005-0000-0000-000086410000}"/>
    <cellStyle name="Comma 10 8 3 2" xfId="16775" xr:uid="{00000000-0005-0000-0000-000087410000}"/>
    <cellStyle name="Comma 10 8 3 3" xfId="16776" xr:uid="{00000000-0005-0000-0000-000088410000}"/>
    <cellStyle name="Comma 10 8 4" xfId="16777" xr:uid="{00000000-0005-0000-0000-000089410000}"/>
    <cellStyle name="Comma 10 8 5" xfId="16778" xr:uid="{00000000-0005-0000-0000-00008A410000}"/>
    <cellStyle name="Comma 10 9" xfId="16779" xr:uid="{00000000-0005-0000-0000-00008B410000}"/>
    <cellStyle name="Comma 10 9 2" xfId="16780" xr:uid="{00000000-0005-0000-0000-00008C410000}"/>
    <cellStyle name="Comma 10 9 2 2" xfId="16781" xr:uid="{00000000-0005-0000-0000-00008D410000}"/>
    <cellStyle name="Comma 10 9 2 3" xfId="16782" xr:uid="{00000000-0005-0000-0000-00008E410000}"/>
    <cellStyle name="Comma 10 9 3" xfId="16783" xr:uid="{00000000-0005-0000-0000-00008F410000}"/>
    <cellStyle name="Comma 10 9 4" xfId="16784" xr:uid="{00000000-0005-0000-0000-000090410000}"/>
    <cellStyle name="Comma 100" xfId="16785" xr:uid="{00000000-0005-0000-0000-000091410000}"/>
    <cellStyle name="Comma 101" xfId="16786" xr:uid="{00000000-0005-0000-0000-000092410000}"/>
    <cellStyle name="Comma 101 2" xfId="16787" xr:uid="{00000000-0005-0000-0000-000093410000}"/>
    <cellStyle name="Comma 101 3" xfId="16788" xr:uid="{00000000-0005-0000-0000-000094410000}"/>
    <cellStyle name="Comma 102" xfId="16789" xr:uid="{00000000-0005-0000-0000-000095410000}"/>
    <cellStyle name="Comma 103" xfId="16790" xr:uid="{00000000-0005-0000-0000-000096410000}"/>
    <cellStyle name="Comma 104" xfId="16791" xr:uid="{00000000-0005-0000-0000-000097410000}"/>
    <cellStyle name="Comma 105" xfId="16792" xr:uid="{00000000-0005-0000-0000-000098410000}"/>
    <cellStyle name="Comma 106" xfId="16793" xr:uid="{00000000-0005-0000-0000-000099410000}"/>
    <cellStyle name="Comma 107" xfId="16794" xr:uid="{00000000-0005-0000-0000-00009A410000}"/>
    <cellStyle name="Comma 108" xfId="16795" xr:uid="{00000000-0005-0000-0000-00009B410000}"/>
    <cellStyle name="Comma 109" xfId="16796" xr:uid="{00000000-0005-0000-0000-00009C410000}"/>
    <cellStyle name="Comma 11" xfId="10" xr:uid="{00000000-0005-0000-0000-00000A000000}"/>
    <cellStyle name="Comma 11 10" xfId="16797" xr:uid="{00000000-0005-0000-0000-00009D410000}"/>
    <cellStyle name="Comma 11 11" xfId="16798" xr:uid="{00000000-0005-0000-0000-00009E410000}"/>
    <cellStyle name="Comma 11 2" xfId="16799" xr:uid="{00000000-0005-0000-0000-00009F410000}"/>
    <cellStyle name="Comma 11 2 10" xfId="16800" xr:uid="{00000000-0005-0000-0000-0000A0410000}"/>
    <cellStyle name="Comma 11 2 2" xfId="16801" xr:uid="{00000000-0005-0000-0000-0000A1410000}"/>
    <cellStyle name="Comma 11 2 2 2" xfId="16802" xr:uid="{00000000-0005-0000-0000-0000A2410000}"/>
    <cellStyle name="Comma 11 2 2 2 2" xfId="16803" xr:uid="{00000000-0005-0000-0000-0000A3410000}"/>
    <cellStyle name="Comma 11 2 2 2 2 2" xfId="16804" xr:uid="{00000000-0005-0000-0000-0000A4410000}"/>
    <cellStyle name="Comma 11 2 2 2 2 2 2" xfId="16805" xr:uid="{00000000-0005-0000-0000-0000A5410000}"/>
    <cellStyle name="Comma 11 2 2 2 2 2 2 2" xfId="16806" xr:uid="{00000000-0005-0000-0000-0000A6410000}"/>
    <cellStyle name="Comma 11 2 2 2 2 2 2 2 2" xfId="16807" xr:uid="{00000000-0005-0000-0000-0000A7410000}"/>
    <cellStyle name="Comma 11 2 2 2 2 2 2 2 2 2" xfId="16808" xr:uid="{00000000-0005-0000-0000-0000A8410000}"/>
    <cellStyle name="Comma 11 2 2 2 2 2 2 2 2 3" xfId="16809" xr:uid="{00000000-0005-0000-0000-0000A9410000}"/>
    <cellStyle name="Comma 11 2 2 2 2 2 2 2 3" xfId="16810" xr:uid="{00000000-0005-0000-0000-0000AA410000}"/>
    <cellStyle name="Comma 11 2 2 2 2 2 2 2 4" xfId="16811" xr:uid="{00000000-0005-0000-0000-0000AB410000}"/>
    <cellStyle name="Comma 11 2 2 2 2 2 2 3" xfId="16812" xr:uid="{00000000-0005-0000-0000-0000AC410000}"/>
    <cellStyle name="Comma 11 2 2 2 2 2 2 3 2" xfId="16813" xr:uid="{00000000-0005-0000-0000-0000AD410000}"/>
    <cellStyle name="Comma 11 2 2 2 2 2 2 3 3" xfId="16814" xr:uid="{00000000-0005-0000-0000-0000AE410000}"/>
    <cellStyle name="Comma 11 2 2 2 2 2 2 4" xfId="16815" xr:uid="{00000000-0005-0000-0000-0000AF410000}"/>
    <cellStyle name="Comma 11 2 2 2 2 2 2 5" xfId="16816" xr:uid="{00000000-0005-0000-0000-0000B0410000}"/>
    <cellStyle name="Comma 11 2 2 2 2 2 3" xfId="16817" xr:uid="{00000000-0005-0000-0000-0000B1410000}"/>
    <cellStyle name="Comma 11 2 2 2 2 2 3 2" xfId="16818" xr:uid="{00000000-0005-0000-0000-0000B2410000}"/>
    <cellStyle name="Comma 11 2 2 2 2 2 3 2 2" xfId="16819" xr:uid="{00000000-0005-0000-0000-0000B3410000}"/>
    <cellStyle name="Comma 11 2 2 2 2 2 3 2 3" xfId="16820" xr:uid="{00000000-0005-0000-0000-0000B4410000}"/>
    <cellStyle name="Comma 11 2 2 2 2 2 3 3" xfId="16821" xr:uid="{00000000-0005-0000-0000-0000B5410000}"/>
    <cellStyle name="Comma 11 2 2 2 2 2 3 4" xfId="16822" xr:uid="{00000000-0005-0000-0000-0000B6410000}"/>
    <cellStyle name="Comma 11 2 2 2 2 2 4" xfId="16823" xr:uid="{00000000-0005-0000-0000-0000B7410000}"/>
    <cellStyle name="Comma 11 2 2 2 2 2 4 2" xfId="16824" xr:uid="{00000000-0005-0000-0000-0000B8410000}"/>
    <cellStyle name="Comma 11 2 2 2 2 2 4 3" xfId="16825" xr:uid="{00000000-0005-0000-0000-0000B9410000}"/>
    <cellStyle name="Comma 11 2 2 2 2 2 5" xfId="16826" xr:uid="{00000000-0005-0000-0000-0000BA410000}"/>
    <cellStyle name="Comma 11 2 2 2 2 2 6" xfId="16827" xr:uid="{00000000-0005-0000-0000-0000BB410000}"/>
    <cellStyle name="Comma 11 2 2 2 2 3" xfId="16828" xr:uid="{00000000-0005-0000-0000-0000BC410000}"/>
    <cellStyle name="Comma 11 2 2 2 2 3 2" xfId="16829" xr:uid="{00000000-0005-0000-0000-0000BD410000}"/>
    <cellStyle name="Comma 11 2 2 2 2 3 2 2" xfId="16830" xr:uid="{00000000-0005-0000-0000-0000BE410000}"/>
    <cellStyle name="Comma 11 2 2 2 2 3 2 2 2" xfId="16831" xr:uid="{00000000-0005-0000-0000-0000BF410000}"/>
    <cellStyle name="Comma 11 2 2 2 2 3 2 2 3" xfId="16832" xr:uid="{00000000-0005-0000-0000-0000C0410000}"/>
    <cellStyle name="Comma 11 2 2 2 2 3 2 3" xfId="16833" xr:uid="{00000000-0005-0000-0000-0000C1410000}"/>
    <cellStyle name="Comma 11 2 2 2 2 3 2 4" xfId="16834" xr:uid="{00000000-0005-0000-0000-0000C2410000}"/>
    <cellStyle name="Comma 11 2 2 2 2 3 3" xfId="16835" xr:uid="{00000000-0005-0000-0000-0000C3410000}"/>
    <cellStyle name="Comma 11 2 2 2 2 3 3 2" xfId="16836" xr:uid="{00000000-0005-0000-0000-0000C4410000}"/>
    <cellStyle name="Comma 11 2 2 2 2 3 3 3" xfId="16837" xr:uid="{00000000-0005-0000-0000-0000C5410000}"/>
    <cellStyle name="Comma 11 2 2 2 2 3 4" xfId="16838" xr:uid="{00000000-0005-0000-0000-0000C6410000}"/>
    <cellStyle name="Comma 11 2 2 2 2 3 5" xfId="16839" xr:uid="{00000000-0005-0000-0000-0000C7410000}"/>
    <cellStyle name="Comma 11 2 2 2 2 4" xfId="16840" xr:uid="{00000000-0005-0000-0000-0000C8410000}"/>
    <cellStyle name="Comma 11 2 2 2 2 4 2" xfId="16841" xr:uid="{00000000-0005-0000-0000-0000C9410000}"/>
    <cellStyle name="Comma 11 2 2 2 2 4 2 2" xfId="16842" xr:uid="{00000000-0005-0000-0000-0000CA410000}"/>
    <cellStyle name="Comma 11 2 2 2 2 4 2 3" xfId="16843" xr:uid="{00000000-0005-0000-0000-0000CB410000}"/>
    <cellStyle name="Comma 11 2 2 2 2 4 3" xfId="16844" xr:uid="{00000000-0005-0000-0000-0000CC410000}"/>
    <cellStyle name="Comma 11 2 2 2 2 4 4" xfId="16845" xr:uid="{00000000-0005-0000-0000-0000CD410000}"/>
    <cellStyle name="Comma 11 2 2 2 2 5" xfId="16846" xr:uid="{00000000-0005-0000-0000-0000CE410000}"/>
    <cellStyle name="Comma 11 2 2 2 2 5 2" xfId="16847" xr:uid="{00000000-0005-0000-0000-0000CF410000}"/>
    <cellStyle name="Comma 11 2 2 2 2 5 3" xfId="16848" xr:uid="{00000000-0005-0000-0000-0000D0410000}"/>
    <cellStyle name="Comma 11 2 2 2 2 6" xfId="16849" xr:uid="{00000000-0005-0000-0000-0000D1410000}"/>
    <cellStyle name="Comma 11 2 2 2 2 7" xfId="16850" xr:uid="{00000000-0005-0000-0000-0000D2410000}"/>
    <cellStyle name="Comma 11 2 2 2 3" xfId="16851" xr:uid="{00000000-0005-0000-0000-0000D3410000}"/>
    <cellStyle name="Comma 11 2 2 2 3 2" xfId="16852" xr:uid="{00000000-0005-0000-0000-0000D4410000}"/>
    <cellStyle name="Comma 11 2 2 2 3 2 2" xfId="16853" xr:uid="{00000000-0005-0000-0000-0000D5410000}"/>
    <cellStyle name="Comma 11 2 2 2 3 2 2 2" xfId="16854" xr:uid="{00000000-0005-0000-0000-0000D6410000}"/>
    <cellStyle name="Comma 11 2 2 2 3 2 2 2 2" xfId="16855" xr:uid="{00000000-0005-0000-0000-0000D7410000}"/>
    <cellStyle name="Comma 11 2 2 2 3 2 2 2 3" xfId="16856" xr:uid="{00000000-0005-0000-0000-0000D8410000}"/>
    <cellStyle name="Comma 11 2 2 2 3 2 2 3" xfId="16857" xr:uid="{00000000-0005-0000-0000-0000D9410000}"/>
    <cellStyle name="Comma 11 2 2 2 3 2 2 4" xfId="16858" xr:uid="{00000000-0005-0000-0000-0000DA410000}"/>
    <cellStyle name="Comma 11 2 2 2 3 2 3" xfId="16859" xr:uid="{00000000-0005-0000-0000-0000DB410000}"/>
    <cellStyle name="Comma 11 2 2 2 3 2 3 2" xfId="16860" xr:uid="{00000000-0005-0000-0000-0000DC410000}"/>
    <cellStyle name="Comma 11 2 2 2 3 2 3 3" xfId="16861" xr:uid="{00000000-0005-0000-0000-0000DD410000}"/>
    <cellStyle name="Comma 11 2 2 2 3 2 4" xfId="16862" xr:uid="{00000000-0005-0000-0000-0000DE410000}"/>
    <cellStyle name="Comma 11 2 2 2 3 2 5" xfId="16863" xr:uid="{00000000-0005-0000-0000-0000DF410000}"/>
    <cellStyle name="Comma 11 2 2 2 3 3" xfId="16864" xr:uid="{00000000-0005-0000-0000-0000E0410000}"/>
    <cellStyle name="Comma 11 2 2 2 3 3 2" xfId="16865" xr:uid="{00000000-0005-0000-0000-0000E1410000}"/>
    <cellStyle name="Comma 11 2 2 2 3 3 2 2" xfId="16866" xr:uid="{00000000-0005-0000-0000-0000E2410000}"/>
    <cellStyle name="Comma 11 2 2 2 3 3 2 3" xfId="16867" xr:uid="{00000000-0005-0000-0000-0000E3410000}"/>
    <cellStyle name="Comma 11 2 2 2 3 3 3" xfId="16868" xr:uid="{00000000-0005-0000-0000-0000E4410000}"/>
    <cellStyle name="Comma 11 2 2 2 3 3 4" xfId="16869" xr:uid="{00000000-0005-0000-0000-0000E5410000}"/>
    <cellStyle name="Comma 11 2 2 2 3 4" xfId="16870" xr:uid="{00000000-0005-0000-0000-0000E6410000}"/>
    <cellStyle name="Comma 11 2 2 2 3 4 2" xfId="16871" xr:uid="{00000000-0005-0000-0000-0000E7410000}"/>
    <cellStyle name="Comma 11 2 2 2 3 4 3" xfId="16872" xr:uid="{00000000-0005-0000-0000-0000E8410000}"/>
    <cellStyle name="Comma 11 2 2 2 3 5" xfId="16873" xr:uid="{00000000-0005-0000-0000-0000E9410000}"/>
    <cellStyle name="Comma 11 2 2 2 3 6" xfId="16874" xr:uid="{00000000-0005-0000-0000-0000EA410000}"/>
    <cellStyle name="Comma 11 2 2 2 4" xfId="16875" xr:uid="{00000000-0005-0000-0000-0000EB410000}"/>
    <cellStyle name="Comma 11 2 2 2 4 2" xfId="16876" xr:uid="{00000000-0005-0000-0000-0000EC410000}"/>
    <cellStyle name="Comma 11 2 2 2 4 2 2" xfId="16877" xr:uid="{00000000-0005-0000-0000-0000ED410000}"/>
    <cellStyle name="Comma 11 2 2 2 4 2 2 2" xfId="16878" xr:uid="{00000000-0005-0000-0000-0000EE410000}"/>
    <cellStyle name="Comma 11 2 2 2 4 2 2 3" xfId="16879" xr:uid="{00000000-0005-0000-0000-0000EF410000}"/>
    <cellStyle name="Comma 11 2 2 2 4 2 3" xfId="16880" xr:uid="{00000000-0005-0000-0000-0000F0410000}"/>
    <cellStyle name="Comma 11 2 2 2 4 2 4" xfId="16881" xr:uid="{00000000-0005-0000-0000-0000F1410000}"/>
    <cellStyle name="Comma 11 2 2 2 4 3" xfId="16882" xr:uid="{00000000-0005-0000-0000-0000F2410000}"/>
    <cellStyle name="Comma 11 2 2 2 4 3 2" xfId="16883" xr:uid="{00000000-0005-0000-0000-0000F3410000}"/>
    <cellStyle name="Comma 11 2 2 2 4 3 3" xfId="16884" xr:uid="{00000000-0005-0000-0000-0000F4410000}"/>
    <cellStyle name="Comma 11 2 2 2 4 4" xfId="16885" xr:uid="{00000000-0005-0000-0000-0000F5410000}"/>
    <cellStyle name="Comma 11 2 2 2 4 5" xfId="16886" xr:uid="{00000000-0005-0000-0000-0000F6410000}"/>
    <cellStyle name="Comma 11 2 2 2 5" xfId="16887" xr:uid="{00000000-0005-0000-0000-0000F7410000}"/>
    <cellStyle name="Comma 11 2 2 2 5 2" xfId="16888" xr:uid="{00000000-0005-0000-0000-0000F8410000}"/>
    <cellStyle name="Comma 11 2 2 2 5 2 2" xfId="16889" xr:uid="{00000000-0005-0000-0000-0000F9410000}"/>
    <cellStyle name="Comma 11 2 2 2 5 2 3" xfId="16890" xr:uid="{00000000-0005-0000-0000-0000FA410000}"/>
    <cellStyle name="Comma 11 2 2 2 5 3" xfId="16891" xr:uid="{00000000-0005-0000-0000-0000FB410000}"/>
    <cellStyle name="Comma 11 2 2 2 5 4" xfId="16892" xr:uid="{00000000-0005-0000-0000-0000FC410000}"/>
    <cellStyle name="Comma 11 2 2 2 6" xfId="16893" xr:uid="{00000000-0005-0000-0000-0000FD410000}"/>
    <cellStyle name="Comma 11 2 2 2 6 2" xfId="16894" xr:uid="{00000000-0005-0000-0000-0000FE410000}"/>
    <cellStyle name="Comma 11 2 2 2 6 3" xfId="16895" xr:uid="{00000000-0005-0000-0000-0000FF410000}"/>
    <cellStyle name="Comma 11 2 2 2 7" xfId="16896" xr:uid="{00000000-0005-0000-0000-000000420000}"/>
    <cellStyle name="Comma 11 2 2 2 8" xfId="16897" xr:uid="{00000000-0005-0000-0000-000001420000}"/>
    <cellStyle name="Comma 11 2 2 3" xfId="16898" xr:uid="{00000000-0005-0000-0000-000002420000}"/>
    <cellStyle name="Comma 11 2 2 3 2" xfId="16899" xr:uid="{00000000-0005-0000-0000-000003420000}"/>
    <cellStyle name="Comma 11 2 2 3 2 2" xfId="16900" xr:uid="{00000000-0005-0000-0000-000004420000}"/>
    <cellStyle name="Comma 11 2 2 3 2 2 2" xfId="16901" xr:uid="{00000000-0005-0000-0000-000005420000}"/>
    <cellStyle name="Comma 11 2 2 3 2 2 2 2" xfId="16902" xr:uid="{00000000-0005-0000-0000-000006420000}"/>
    <cellStyle name="Comma 11 2 2 3 2 2 2 2 2" xfId="16903" xr:uid="{00000000-0005-0000-0000-000007420000}"/>
    <cellStyle name="Comma 11 2 2 3 2 2 2 2 3" xfId="16904" xr:uid="{00000000-0005-0000-0000-000008420000}"/>
    <cellStyle name="Comma 11 2 2 3 2 2 2 3" xfId="16905" xr:uid="{00000000-0005-0000-0000-000009420000}"/>
    <cellStyle name="Comma 11 2 2 3 2 2 2 4" xfId="16906" xr:uid="{00000000-0005-0000-0000-00000A420000}"/>
    <cellStyle name="Comma 11 2 2 3 2 2 3" xfId="16907" xr:uid="{00000000-0005-0000-0000-00000B420000}"/>
    <cellStyle name="Comma 11 2 2 3 2 2 3 2" xfId="16908" xr:uid="{00000000-0005-0000-0000-00000C420000}"/>
    <cellStyle name="Comma 11 2 2 3 2 2 3 3" xfId="16909" xr:uid="{00000000-0005-0000-0000-00000D420000}"/>
    <cellStyle name="Comma 11 2 2 3 2 2 4" xfId="16910" xr:uid="{00000000-0005-0000-0000-00000E420000}"/>
    <cellStyle name="Comma 11 2 2 3 2 2 5" xfId="16911" xr:uid="{00000000-0005-0000-0000-00000F420000}"/>
    <cellStyle name="Comma 11 2 2 3 2 3" xfId="16912" xr:uid="{00000000-0005-0000-0000-000010420000}"/>
    <cellStyle name="Comma 11 2 2 3 2 3 2" xfId="16913" xr:uid="{00000000-0005-0000-0000-000011420000}"/>
    <cellStyle name="Comma 11 2 2 3 2 3 2 2" xfId="16914" xr:uid="{00000000-0005-0000-0000-000012420000}"/>
    <cellStyle name="Comma 11 2 2 3 2 3 2 3" xfId="16915" xr:uid="{00000000-0005-0000-0000-000013420000}"/>
    <cellStyle name="Comma 11 2 2 3 2 3 3" xfId="16916" xr:uid="{00000000-0005-0000-0000-000014420000}"/>
    <cellStyle name="Comma 11 2 2 3 2 3 4" xfId="16917" xr:uid="{00000000-0005-0000-0000-000015420000}"/>
    <cellStyle name="Comma 11 2 2 3 2 4" xfId="16918" xr:uid="{00000000-0005-0000-0000-000016420000}"/>
    <cellStyle name="Comma 11 2 2 3 2 4 2" xfId="16919" xr:uid="{00000000-0005-0000-0000-000017420000}"/>
    <cellStyle name="Comma 11 2 2 3 2 4 3" xfId="16920" xr:uid="{00000000-0005-0000-0000-000018420000}"/>
    <cellStyle name="Comma 11 2 2 3 2 5" xfId="16921" xr:uid="{00000000-0005-0000-0000-000019420000}"/>
    <cellStyle name="Comma 11 2 2 3 2 6" xfId="16922" xr:uid="{00000000-0005-0000-0000-00001A420000}"/>
    <cellStyle name="Comma 11 2 2 3 3" xfId="16923" xr:uid="{00000000-0005-0000-0000-00001B420000}"/>
    <cellStyle name="Comma 11 2 2 3 3 2" xfId="16924" xr:uid="{00000000-0005-0000-0000-00001C420000}"/>
    <cellStyle name="Comma 11 2 2 3 3 2 2" xfId="16925" xr:uid="{00000000-0005-0000-0000-00001D420000}"/>
    <cellStyle name="Comma 11 2 2 3 3 2 2 2" xfId="16926" xr:uid="{00000000-0005-0000-0000-00001E420000}"/>
    <cellStyle name="Comma 11 2 2 3 3 2 2 3" xfId="16927" xr:uid="{00000000-0005-0000-0000-00001F420000}"/>
    <cellStyle name="Comma 11 2 2 3 3 2 3" xfId="16928" xr:uid="{00000000-0005-0000-0000-000020420000}"/>
    <cellStyle name="Comma 11 2 2 3 3 2 4" xfId="16929" xr:uid="{00000000-0005-0000-0000-000021420000}"/>
    <cellStyle name="Comma 11 2 2 3 3 3" xfId="16930" xr:uid="{00000000-0005-0000-0000-000022420000}"/>
    <cellStyle name="Comma 11 2 2 3 3 3 2" xfId="16931" xr:uid="{00000000-0005-0000-0000-000023420000}"/>
    <cellStyle name="Comma 11 2 2 3 3 3 3" xfId="16932" xr:uid="{00000000-0005-0000-0000-000024420000}"/>
    <cellStyle name="Comma 11 2 2 3 3 4" xfId="16933" xr:uid="{00000000-0005-0000-0000-000025420000}"/>
    <cellStyle name="Comma 11 2 2 3 3 5" xfId="16934" xr:uid="{00000000-0005-0000-0000-000026420000}"/>
    <cellStyle name="Comma 11 2 2 3 4" xfId="16935" xr:uid="{00000000-0005-0000-0000-000027420000}"/>
    <cellStyle name="Comma 11 2 2 3 4 2" xfId="16936" xr:uid="{00000000-0005-0000-0000-000028420000}"/>
    <cellStyle name="Comma 11 2 2 3 4 2 2" xfId="16937" xr:uid="{00000000-0005-0000-0000-000029420000}"/>
    <cellStyle name="Comma 11 2 2 3 4 2 3" xfId="16938" xr:uid="{00000000-0005-0000-0000-00002A420000}"/>
    <cellStyle name="Comma 11 2 2 3 4 3" xfId="16939" xr:uid="{00000000-0005-0000-0000-00002B420000}"/>
    <cellStyle name="Comma 11 2 2 3 4 4" xfId="16940" xr:uid="{00000000-0005-0000-0000-00002C420000}"/>
    <cellStyle name="Comma 11 2 2 3 5" xfId="16941" xr:uid="{00000000-0005-0000-0000-00002D420000}"/>
    <cellStyle name="Comma 11 2 2 3 5 2" xfId="16942" xr:uid="{00000000-0005-0000-0000-00002E420000}"/>
    <cellStyle name="Comma 11 2 2 3 5 3" xfId="16943" xr:uid="{00000000-0005-0000-0000-00002F420000}"/>
    <cellStyle name="Comma 11 2 2 3 6" xfId="16944" xr:uid="{00000000-0005-0000-0000-000030420000}"/>
    <cellStyle name="Comma 11 2 2 3 7" xfId="16945" xr:uid="{00000000-0005-0000-0000-000031420000}"/>
    <cellStyle name="Comma 11 2 2 4" xfId="16946" xr:uid="{00000000-0005-0000-0000-000032420000}"/>
    <cellStyle name="Comma 11 2 2 4 2" xfId="16947" xr:uid="{00000000-0005-0000-0000-000033420000}"/>
    <cellStyle name="Comma 11 2 2 4 2 2" xfId="16948" xr:uid="{00000000-0005-0000-0000-000034420000}"/>
    <cellStyle name="Comma 11 2 2 4 2 2 2" xfId="16949" xr:uid="{00000000-0005-0000-0000-000035420000}"/>
    <cellStyle name="Comma 11 2 2 4 2 2 2 2" xfId="16950" xr:uid="{00000000-0005-0000-0000-000036420000}"/>
    <cellStyle name="Comma 11 2 2 4 2 2 2 3" xfId="16951" xr:uid="{00000000-0005-0000-0000-000037420000}"/>
    <cellStyle name="Comma 11 2 2 4 2 2 3" xfId="16952" xr:uid="{00000000-0005-0000-0000-000038420000}"/>
    <cellStyle name="Comma 11 2 2 4 2 2 4" xfId="16953" xr:uid="{00000000-0005-0000-0000-000039420000}"/>
    <cellStyle name="Comma 11 2 2 4 2 3" xfId="16954" xr:uid="{00000000-0005-0000-0000-00003A420000}"/>
    <cellStyle name="Comma 11 2 2 4 2 3 2" xfId="16955" xr:uid="{00000000-0005-0000-0000-00003B420000}"/>
    <cellStyle name="Comma 11 2 2 4 2 3 3" xfId="16956" xr:uid="{00000000-0005-0000-0000-00003C420000}"/>
    <cellStyle name="Comma 11 2 2 4 2 4" xfId="16957" xr:uid="{00000000-0005-0000-0000-00003D420000}"/>
    <cellStyle name="Comma 11 2 2 4 2 5" xfId="16958" xr:uid="{00000000-0005-0000-0000-00003E420000}"/>
    <cellStyle name="Comma 11 2 2 4 3" xfId="16959" xr:uid="{00000000-0005-0000-0000-00003F420000}"/>
    <cellStyle name="Comma 11 2 2 4 3 2" xfId="16960" xr:uid="{00000000-0005-0000-0000-000040420000}"/>
    <cellStyle name="Comma 11 2 2 4 3 2 2" xfId="16961" xr:uid="{00000000-0005-0000-0000-000041420000}"/>
    <cellStyle name="Comma 11 2 2 4 3 2 3" xfId="16962" xr:uid="{00000000-0005-0000-0000-000042420000}"/>
    <cellStyle name="Comma 11 2 2 4 3 3" xfId="16963" xr:uid="{00000000-0005-0000-0000-000043420000}"/>
    <cellStyle name="Comma 11 2 2 4 3 4" xfId="16964" xr:uid="{00000000-0005-0000-0000-000044420000}"/>
    <cellStyle name="Comma 11 2 2 4 4" xfId="16965" xr:uid="{00000000-0005-0000-0000-000045420000}"/>
    <cellStyle name="Comma 11 2 2 4 4 2" xfId="16966" xr:uid="{00000000-0005-0000-0000-000046420000}"/>
    <cellStyle name="Comma 11 2 2 4 4 3" xfId="16967" xr:uid="{00000000-0005-0000-0000-000047420000}"/>
    <cellStyle name="Comma 11 2 2 4 5" xfId="16968" xr:uid="{00000000-0005-0000-0000-000048420000}"/>
    <cellStyle name="Comma 11 2 2 4 6" xfId="16969" xr:uid="{00000000-0005-0000-0000-000049420000}"/>
    <cellStyle name="Comma 11 2 2 5" xfId="16970" xr:uid="{00000000-0005-0000-0000-00004A420000}"/>
    <cellStyle name="Comma 11 2 2 5 2" xfId="16971" xr:uid="{00000000-0005-0000-0000-00004B420000}"/>
    <cellStyle name="Comma 11 2 2 5 2 2" xfId="16972" xr:uid="{00000000-0005-0000-0000-00004C420000}"/>
    <cellStyle name="Comma 11 2 2 5 2 2 2" xfId="16973" xr:uid="{00000000-0005-0000-0000-00004D420000}"/>
    <cellStyle name="Comma 11 2 2 5 2 2 3" xfId="16974" xr:uid="{00000000-0005-0000-0000-00004E420000}"/>
    <cellStyle name="Comma 11 2 2 5 2 3" xfId="16975" xr:uid="{00000000-0005-0000-0000-00004F420000}"/>
    <cellStyle name="Comma 11 2 2 5 2 4" xfId="16976" xr:uid="{00000000-0005-0000-0000-000050420000}"/>
    <cellStyle name="Comma 11 2 2 5 3" xfId="16977" xr:uid="{00000000-0005-0000-0000-000051420000}"/>
    <cellStyle name="Comma 11 2 2 5 3 2" xfId="16978" xr:uid="{00000000-0005-0000-0000-000052420000}"/>
    <cellStyle name="Comma 11 2 2 5 3 3" xfId="16979" xr:uid="{00000000-0005-0000-0000-000053420000}"/>
    <cellStyle name="Comma 11 2 2 5 4" xfId="16980" xr:uid="{00000000-0005-0000-0000-000054420000}"/>
    <cellStyle name="Comma 11 2 2 5 5" xfId="16981" xr:uid="{00000000-0005-0000-0000-000055420000}"/>
    <cellStyle name="Comma 11 2 2 6" xfId="16982" xr:uid="{00000000-0005-0000-0000-000056420000}"/>
    <cellStyle name="Comma 11 2 2 6 2" xfId="16983" xr:uid="{00000000-0005-0000-0000-000057420000}"/>
    <cellStyle name="Comma 11 2 2 6 2 2" xfId="16984" xr:uid="{00000000-0005-0000-0000-000058420000}"/>
    <cellStyle name="Comma 11 2 2 6 2 3" xfId="16985" xr:uid="{00000000-0005-0000-0000-000059420000}"/>
    <cellStyle name="Comma 11 2 2 6 3" xfId="16986" xr:uid="{00000000-0005-0000-0000-00005A420000}"/>
    <cellStyle name="Comma 11 2 2 6 4" xfId="16987" xr:uid="{00000000-0005-0000-0000-00005B420000}"/>
    <cellStyle name="Comma 11 2 2 7" xfId="16988" xr:uid="{00000000-0005-0000-0000-00005C420000}"/>
    <cellStyle name="Comma 11 2 2 7 2" xfId="16989" xr:uid="{00000000-0005-0000-0000-00005D420000}"/>
    <cellStyle name="Comma 11 2 2 7 3" xfId="16990" xr:uid="{00000000-0005-0000-0000-00005E420000}"/>
    <cellStyle name="Comma 11 2 2 8" xfId="16991" xr:uid="{00000000-0005-0000-0000-00005F420000}"/>
    <cellStyle name="Comma 11 2 2 9" xfId="16992" xr:uid="{00000000-0005-0000-0000-000060420000}"/>
    <cellStyle name="Comma 11 2 3" xfId="16993" xr:uid="{00000000-0005-0000-0000-000061420000}"/>
    <cellStyle name="Comma 11 2 3 2" xfId="16994" xr:uid="{00000000-0005-0000-0000-000062420000}"/>
    <cellStyle name="Comma 11 2 3 2 2" xfId="16995" xr:uid="{00000000-0005-0000-0000-000063420000}"/>
    <cellStyle name="Comma 11 2 3 2 2 2" xfId="16996" xr:uid="{00000000-0005-0000-0000-000064420000}"/>
    <cellStyle name="Comma 11 2 3 2 2 2 2" xfId="16997" xr:uid="{00000000-0005-0000-0000-000065420000}"/>
    <cellStyle name="Comma 11 2 3 2 2 2 2 2" xfId="16998" xr:uid="{00000000-0005-0000-0000-000066420000}"/>
    <cellStyle name="Comma 11 2 3 2 2 2 2 2 2" xfId="16999" xr:uid="{00000000-0005-0000-0000-000067420000}"/>
    <cellStyle name="Comma 11 2 3 2 2 2 2 2 3" xfId="17000" xr:uid="{00000000-0005-0000-0000-000068420000}"/>
    <cellStyle name="Comma 11 2 3 2 2 2 2 3" xfId="17001" xr:uid="{00000000-0005-0000-0000-000069420000}"/>
    <cellStyle name="Comma 11 2 3 2 2 2 2 4" xfId="17002" xr:uid="{00000000-0005-0000-0000-00006A420000}"/>
    <cellStyle name="Comma 11 2 3 2 2 2 3" xfId="17003" xr:uid="{00000000-0005-0000-0000-00006B420000}"/>
    <cellStyle name="Comma 11 2 3 2 2 2 3 2" xfId="17004" xr:uid="{00000000-0005-0000-0000-00006C420000}"/>
    <cellStyle name="Comma 11 2 3 2 2 2 3 3" xfId="17005" xr:uid="{00000000-0005-0000-0000-00006D420000}"/>
    <cellStyle name="Comma 11 2 3 2 2 2 4" xfId="17006" xr:uid="{00000000-0005-0000-0000-00006E420000}"/>
    <cellStyle name="Comma 11 2 3 2 2 2 5" xfId="17007" xr:uid="{00000000-0005-0000-0000-00006F420000}"/>
    <cellStyle name="Comma 11 2 3 2 2 3" xfId="17008" xr:uid="{00000000-0005-0000-0000-000070420000}"/>
    <cellStyle name="Comma 11 2 3 2 2 3 2" xfId="17009" xr:uid="{00000000-0005-0000-0000-000071420000}"/>
    <cellStyle name="Comma 11 2 3 2 2 3 2 2" xfId="17010" xr:uid="{00000000-0005-0000-0000-000072420000}"/>
    <cellStyle name="Comma 11 2 3 2 2 3 2 3" xfId="17011" xr:uid="{00000000-0005-0000-0000-000073420000}"/>
    <cellStyle name="Comma 11 2 3 2 2 3 3" xfId="17012" xr:uid="{00000000-0005-0000-0000-000074420000}"/>
    <cellStyle name="Comma 11 2 3 2 2 3 4" xfId="17013" xr:uid="{00000000-0005-0000-0000-000075420000}"/>
    <cellStyle name="Comma 11 2 3 2 2 4" xfId="17014" xr:uid="{00000000-0005-0000-0000-000076420000}"/>
    <cellStyle name="Comma 11 2 3 2 2 4 2" xfId="17015" xr:uid="{00000000-0005-0000-0000-000077420000}"/>
    <cellStyle name="Comma 11 2 3 2 2 4 3" xfId="17016" xr:uid="{00000000-0005-0000-0000-000078420000}"/>
    <cellStyle name="Comma 11 2 3 2 2 5" xfId="17017" xr:uid="{00000000-0005-0000-0000-000079420000}"/>
    <cellStyle name="Comma 11 2 3 2 2 6" xfId="17018" xr:uid="{00000000-0005-0000-0000-00007A420000}"/>
    <cellStyle name="Comma 11 2 3 2 3" xfId="17019" xr:uid="{00000000-0005-0000-0000-00007B420000}"/>
    <cellStyle name="Comma 11 2 3 2 3 2" xfId="17020" xr:uid="{00000000-0005-0000-0000-00007C420000}"/>
    <cellStyle name="Comma 11 2 3 2 3 2 2" xfId="17021" xr:uid="{00000000-0005-0000-0000-00007D420000}"/>
    <cellStyle name="Comma 11 2 3 2 3 2 2 2" xfId="17022" xr:uid="{00000000-0005-0000-0000-00007E420000}"/>
    <cellStyle name="Comma 11 2 3 2 3 2 2 3" xfId="17023" xr:uid="{00000000-0005-0000-0000-00007F420000}"/>
    <cellStyle name="Comma 11 2 3 2 3 2 3" xfId="17024" xr:uid="{00000000-0005-0000-0000-000080420000}"/>
    <cellStyle name="Comma 11 2 3 2 3 2 4" xfId="17025" xr:uid="{00000000-0005-0000-0000-000081420000}"/>
    <cellStyle name="Comma 11 2 3 2 3 3" xfId="17026" xr:uid="{00000000-0005-0000-0000-000082420000}"/>
    <cellStyle name="Comma 11 2 3 2 3 3 2" xfId="17027" xr:uid="{00000000-0005-0000-0000-000083420000}"/>
    <cellStyle name="Comma 11 2 3 2 3 3 3" xfId="17028" xr:uid="{00000000-0005-0000-0000-000084420000}"/>
    <cellStyle name="Comma 11 2 3 2 3 4" xfId="17029" xr:uid="{00000000-0005-0000-0000-000085420000}"/>
    <cellStyle name="Comma 11 2 3 2 3 5" xfId="17030" xr:uid="{00000000-0005-0000-0000-000086420000}"/>
    <cellStyle name="Comma 11 2 3 2 4" xfId="17031" xr:uid="{00000000-0005-0000-0000-000087420000}"/>
    <cellStyle name="Comma 11 2 3 2 4 2" xfId="17032" xr:uid="{00000000-0005-0000-0000-000088420000}"/>
    <cellStyle name="Comma 11 2 3 2 4 2 2" xfId="17033" xr:uid="{00000000-0005-0000-0000-000089420000}"/>
    <cellStyle name="Comma 11 2 3 2 4 2 3" xfId="17034" xr:uid="{00000000-0005-0000-0000-00008A420000}"/>
    <cellStyle name="Comma 11 2 3 2 4 3" xfId="17035" xr:uid="{00000000-0005-0000-0000-00008B420000}"/>
    <cellStyle name="Comma 11 2 3 2 4 4" xfId="17036" xr:uid="{00000000-0005-0000-0000-00008C420000}"/>
    <cellStyle name="Comma 11 2 3 2 5" xfId="17037" xr:uid="{00000000-0005-0000-0000-00008D420000}"/>
    <cellStyle name="Comma 11 2 3 2 5 2" xfId="17038" xr:uid="{00000000-0005-0000-0000-00008E420000}"/>
    <cellStyle name="Comma 11 2 3 2 5 3" xfId="17039" xr:uid="{00000000-0005-0000-0000-00008F420000}"/>
    <cellStyle name="Comma 11 2 3 2 6" xfId="17040" xr:uid="{00000000-0005-0000-0000-000090420000}"/>
    <cellStyle name="Comma 11 2 3 2 7" xfId="17041" xr:uid="{00000000-0005-0000-0000-000091420000}"/>
    <cellStyle name="Comma 11 2 3 3" xfId="17042" xr:uid="{00000000-0005-0000-0000-000092420000}"/>
    <cellStyle name="Comma 11 2 3 3 2" xfId="17043" xr:uid="{00000000-0005-0000-0000-000093420000}"/>
    <cellStyle name="Comma 11 2 3 3 2 2" xfId="17044" xr:uid="{00000000-0005-0000-0000-000094420000}"/>
    <cellStyle name="Comma 11 2 3 3 2 2 2" xfId="17045" xr:uid="{00000000-0005-0000-0000-000095420000}"/>
    <cellStyle name="Comma 11 2 3 3 2 2 2 2" xfId="17046" xr:uid="{00000000-0005-0000-0000-000096420000}"/>
    <cellStyle name="Comma 11 2 3 3 2 2 2 3" xfId="17047" xr:uid="{00000000-0005-0000-0000-000097420000}"/>
    <cellStyle name="Comma 11 2 3 3 2 2 3" xfId="17048" xr:uid="{00000000-0005-0000-0000-000098420000}"/>
    <cellStyle name="Comma 11 2 3 3 2 2 4" xfId="17049" xr:uid="{00000000-0005-0000-0000-000099420000}"/>
    <cellStyle name="Comma 11 2 3 3 2 3" xfId="17050" xr:uid="{00000000-0005-0000-0000-00009A420000}"/>
    <cellStyle name="Comma 11 2 3 3 2 3 2" xfId="17051" xr:uid="{00000000-0005-0000-0000-00009B420000}"/>
    <cellStyle name="Comma 11 2 3 3 2 3 3" xfId="17052" xr:uid="{00000000-0005-0000-0000-00009C420000}"/>
    <cellStyle name="Comma 11 2 3 3 2 4" xfId="17053" xr:uid="{00000000-0005-0000-0000-00009D420000}"/>
    <cellStyle name="Comma 11 2 3 3 2 5" xfId="17054" xr:uid="{00000000-0005-0000-0000-00009E420000}"/>
    <cellStyle name="Comma 11 2 3 3 3" xfId="17055" xr:uid="{00000000-0005-0000-0000-00009F420000}"/>
    <cellStyle name="Comma 11 2 3 3 3 2" xfId="17056" xr:uid="{00000000-0005-0000-0000-0000A0420000}"/>
    <cellStyle name="Comma 11 2 3 3 3 2 2" xfId="17057" xr:uid="{00000000-0005-0000-0000-0000A1420000}"/>
    <cellStyle name="Comma 11 2 3 3 3 2 3" xfId="17058" xr:uid="{00000000-0005-0000-0000-0000A2420000}"/>
    <cellStyle name="Comma 11 2 3 3 3 3" xfId="17059" xr:uid="{00000000-0005-0000-0000-0000A3420000}"/>
    <cellStyle name="Comma 11 2 3 3 3 4" xfId="17060" xr:uid="{00000000-0005-0000-0000-0000A4420000}"/>
    <cellStyle name="Comma 11 2 3 3 4" xfId="17061" xr:uid="{00000000-0005-0000-0000-0000A5420000}"/>
    <cellStyle name="Comma 11 2 3 3 4 2" xfId="17062" xr:uid="{00000000-0005-0000-0000-0000A6420000}"/>
    <cellStyle name="Comma 11 2 3 3 4 3" xfId="17063" xr:uid="{00000000-0005-0000-0000-0000A7420000}"/>
    <cellStyle name="Comma 11 2 3 3 5" xfId="17064" xr:uid="{00000000-0005-0000-0000-0000A8420000}"/>
    <cellStyle name="Comma 11 2 3 3 6" xfId="17065" xr:uid="{00000000-0005-0000-0000-0000A9420000}"/>
    <cellStyle name="Comma 11 2 3 4" xfId="17066" xr:uid="{00000000-0005-0000-0000-0000AA420000}"/>
    <cellStyle name="Comma 11 2 3 4 2" xfId="17067" xr:uid="{00000000-0005-0000-0000-0000AB420000}"/>
    <cellStyle name="Comma 11 2 3 4 2 2" xfId="17068" xr:uid="{00000000-0005-0000-0000-0000AC420000}"/>
    <cellStyle name="Comma 11 2 3 4 2 2 2" xfId="17069" xr:uid="{00000000-0005-0000-0000-0000AD420000}"/>
    <cellStyle name="Comma 11 2 3 4 2 2 3" xfId="17070" xr:uid="{00000000-0005-0000-0000-0000AE420000}"/>
    <cellStyle name="Comma 11 2 3 4 2 3" xfId="17071" xr:uid="{00000000-0005-0000-0000-0000AF420000}"/>
    <cellStyle name="Comma 11 2 3 4 2 4" xfId="17072" xr:uid="{00000000-0005-0000-0000-0000B0420000}"/>
    <cellStyle name="Comma 11 2 3 4 3" xfId="17073" xr:uid="{00000000-0005-0000-0000-0000B1420000}"/>
    <cellStyle name="Comma 11 2 3 4 3 2" xfId="17074" xr:uid="{00000000-0005-0000-0000-0000B2420000}"/>
    <cellStyle name="Comma 11 2 3 4 3 3" xfId="17075" xr:uid="{00000000-0005-0000-0000-0000B3420000}"/>
    <cellStyle name="Comma 11 2 3 4 4" xfId="17076" xr:uid="{00000000-0005-0000-0000-0000B4420000}"/>
    <cellStyle name="Comma 11 2 3 4 5" xfId="17077" xr:uid="{00000000-0005-0000-0000-0000B5420000}"/>
    <cellStyle name="Comma 11 2 3 5" xfId="17078" xr:uid="{00000000-0005-0000-0000-0000B6420000}"/>
    <cellStyle name="Comma 11 2 3 5 2" xfId="17079" xr:uid="{00000000-0005-0000-0000-0000B7420000}"/>
    <cellStyle name="Comma 11 2 3 5 2 2" xfId="17080" xr:uid="{00000000-0005-0000-0000-0000B8420000}"/>
    <cellStyle name="Comma 11 2 3 5 2 3" xfId="17081" xr:uid="{00000000-0005-0000-0000-0000B9420000}"/>
    <cellStyle name="Comma 11 2 3 5 3" xfId="17082" xr:uid="{00000000-0005-0000-0000-0000BA420000}"/>
    <cellStyle name="Comma 11 2 3 5 4" xfId="17083" xr:uid="{00000000-0005-0000-0000-0000BB420000}"/>
    <cellStyle name="Comma 11 2 3 6" xfId="17084" xr:uid="{00000000-0005-0000-0000-0000BC420000}"/>
    <cellStyle name="Comma 11 2 3 6 2" xfId="17085" xr:uid="{00000000-0005-0000-0000-0000BD420000}"/>
    <cellStyle name="Comma 11 2 3 6 3" xfId="17086" xr:uid="{00000000-0005-0000-0000-0000BE420000}"/>
    <cellStyle name="Comma 11 2 3 7" xfId="17087" xr:uid="{00000000-0005-0000-0000-0000BF420000}"/>
    <cellStyle name="Comma 11 2 3 8" xfId="17088" xr:uid="{00000000-0005-0000-0000-0000C0420000}"/>
    <cellStyle name="Comma 11 2 4" xfId="17089" xr:uid="{00000000-0005-0000-0000-0000C1420000}"/>
    <cellStyle name="Comma 11 2 4 2" xfId="17090" xr:uid="{00000000-0005-0000-0000-0000C2420000}"/>
    <cellStyle name="Comma 11 2 4 2 2" xfId="17091" xr:uid="{00000000-0005-0000-0000-0000C3420000}"/>
    <cellStyle name="Comma 11 2 4 2 2 2" xfId="17092" xr:uid="{00000000-0005-0000-0000-0000C4420000}"/>
    <cellStyle name="Comma 11 2 4 2 2 2 2" xfId="17093" xr:uid="{00000000-0005-0000-0000-0000C5420000}"/>
    <cellStyle name="Comma 11 2 4 2 2 2 2 2" xfId="17094" xr:uid="{00000000-0005-0000-0000-0000C6420000}"/>
    <cellStyle name="Comma 11 2 4 2 2 2 2 3" xfId="17095" xr:uid="{00000000-0005-0000-0000-0000C7420000}"/>
    <cellStyle name="Comma 11 2 4 2 2 2 3" xfId="17096" xr:uid="{00000000-0005-0000-0000-0000C8420000}"/>
    <cellStyle name="Comma 11 2 4 2 2 2 4" xfId="17097" xr:uid="{00000000-0005-0000-0000-0000C9420000}"/>
    <cellStyle name="Comma 11 2 4 2 2 3" xfId="17098" xr:uid="{00000000-0005-0000-0000-0000CA420000}"/>
    <cellStyle name="Comma 11 2 4 2 2 3 2" xfId="17099" xr:uid="{00000000-0005-0000-0000-0000CB420000}"/>
    <cellStyle name="Comma 11 2 4 2 2 3 3" xfId="17100" xr:uid="{00000000-0005-0000-0000-0000CC420000}"/>
    <cellStyle name="Comma 11 2 4 2 2 4" xfId="17101" xr:uid="{00000000-0005-0000-0000-0000CD420000}"/>
    <cellStyle name="Comma 11 2 4 2 2 5" xfId="17102" xr:uid="{00000000-0005-0000-0000-0000CE420000}"/>
    <cellStyle name="Comma 11 2 4 2 3" xfId="17103" xr:uid="{00000000-0005-0000-0000-0000CF420000}"/>
    <cellStyle name="Comma 11 2 4 2 3 2" xfId="17104" xr:uid="{00000000-0005-0000-0000-0000D0420000}"/>
    <cellStyle name="Comma 11 2 4 2 3 2 2" xfId="17105" xr:uid="{00000000-0005-0000-0000-0000D1420000}"/>
    <cellStyle name="Comma 11 2 4 2 3 2 3" xfId="17106" xr:uid="{00000000-0005-0000-0000-0000D2420000}"/>
    <cellStyle name="Comma 11 2 4 2 3 3" xfId="17107" xr:uid="{00000000-0005-0000-0000-0000D3420000}"/>
    <cellStyle name="Comma 11 2 4 2 3 4" xfId="17108" xr:uid="{00000000-0005-0000-0000-0000D4420000}"/>
    <cellStyle name="Comma 11 2 4 2 4" xfId="17109" xr:uid="{00000000-0005-0000-0000-0000D5420000}"/>
    <cellStyle name="Comma 11 2 4 2 4 2" xfId="17110" xr:uid="{00000000-0005-0000-0000-0000D6420000}"/>
    <cellStyle name="Comma 11 2 4 2 4 3" xfId="17111" xr:uid="{00000000-0005-0000-0000-0000D7420000}"/>
    <cellStyle name="Comma 11 2 4 2 5" xfId="17112" xr:uid="{00000000-0005-0000-0000-0000D8420000}"/>
    <cellStyle name="Comma 11 2 4 2 6" xfId="17113" xr:uid="{00000000-0005-0000-0000-0000D9420000}"/>
    <cellStyle name="Comma 11 2 4 3" xfId="17114" xr:uid="{00000000-0005-0000-0000-0000DA420000}"/>
    <cellStyle name="Comma 11 2 4 3 2" xfId="17115" xr:uid="{00000000-0005-0000-0000-0000DB420000}"/>
    <cellStyle name="Comma 11 2 4 3 2 2" xfId="17116" xr:uid="{00000000-0005-0000-0000-0000DC420000}"/>
    <cellStyle name="Comma 11 2 4 3 2 2 2" xfId="17117" xr:uid="{00000000-0005-0000-0000-0000DD420000}"/>
    <cellStyle name="Comma 11 2 4 3 2 2 3" xfId="17118" xr:uid="{00000000-0005-0000-0000-0000DE420000}"/>
    <cellStyle name="Comma 11 2 4 3 2 3" xfId="17119" xr:uid="{00000000-0005-0000-0000-0000DF420000}"/>
    <cellStyle name="Comma 11 2 4 3 2 4" xfId="17120" xr:uid="{00000000-0005-0000-0000-0000E0420000}"/>
    <cellStyle name="Comma 11 2 4 3 3" xfId="17121" xr:uid="{00000000-0005-0000-0000-0000E1420000}"/>
    <cellStyle name="Comma 11 2 4 3 3 2" xfId="17122" xr:uid="{00000000-0005-0000-0000-0000E2420000}"/>
    <cellStyle name="Comma 11 2 4 3 3 3" xfId="17123" xr:uid="{00000000-0005-0000-0000-0000E3420000}"/>
    <cellStyle name="Comma 11 2 4 3 4" xfId="17124" xr:uid="{00000000-0005-0000-0000-0000E4420000}"/>
    <cellStyle name="Comma 11 2 4 3 5" xfId="17125" xr:uid="{00000000-0005-0000-0000-0000E5420000}"/>
    <cellStyle name="Comma 11 2 4 4" xfId="17126" xr:uid="{00000000-0005-0000-0000-0000E6420000}"/>
    <cellStyle name="Comma 11 2 4 4 2" xfId="17127" xr:uid="{00000000-0005-0000-0000-0000E7420000}"/>
    <cellStyle name="Comma 11 2 4 4 2 2" xfId="17128" xr:uid="{00000000-0005-0000-0000-0000E8420000}"/>
    <cellStyle name="Comma 11 2 4 4 2 3" xfId="17129" xr:uid="{00000000-0005-0000-0000-0000E9420000}"/>
    <cellStyle name="Comma 11 2 4 4 3" xfId="17130" xr:uid="{00000000-0005-0000-0000-0000EA420000}"/>
    <cellStyle name="Comma 11 2 4 4 4" xfId="17131" xr:uid="{00000000-0005-0000-0000-0000EB420000}"/>
    <cellStyle name="Comma 11 2 4 5" xfId="17132" xr:uid="{00000000-0005-0000-0000-0000EC420000}"/>
    <cellStyle name="Comma 11 2 4 5 2" xfId="17133" xr:uid="{00000000-0005-0000-0000-0000ED420000}"/>
    <cellStyle name="Comma 11 2 4 5 3" xfId="17134" xr:uid="{00000000-0005-0000-0000-0000EE420000}"/>
    <cellStyle name="Comma 11 2 4 6" xfId="17135" xr:uid="{00000000-0005-0000-0000-0000EF420000}"/>
    <cellStyle name="Comma 11 2 4 7" xfId="17136" xr:uid="{00000000-0005-0000-0000-0000F0420000}"/>
    <cellStyle name="Comma 11 2 5" xfId="17137" xr:uid="{00000000-0005-0000-0000-0000F1420000}"/>
    <cellStyle name="Comma 11 2 5 2" xfId="17138" xr:uid="{00000000-0005-0000-0000-0000F2420000}"/>
    <cellStyle name="Comma 11 2 5 2 2" xfId="17139" xr:uid="{00000000-0005-0000-0000-0000F3420000}"/>
    <cellStyle name="Comma 11 2 5 2 2 2" xfId="17140" xr:uid="{00000000-0005-0000-0000-0000F4420000}"/>
    <cellStyle name="Comma 11 2 5 2 2 2 2" xfId="17141" xr:uid="{00000000-0005-0000-0000-0000F5420000}"/>
    <cellStyle name="Comma 11 2 5 2 2 2 3" xfId="17142" xr:uid="{00000000-0005-0000-0000-0000F6420000}"/>
    <cellStyle name="Comma 11 2 5 2 2 3" xfId="17143" xr:uid="{00000000-0005-0000-0000-0000F7420000}"/>
    <cellStyle name="Comma 11 2 5 2 2 4" xfId="17144" xr:uid="{00000000-0005-0000-0000-0000F8420000}"/>
    <cellStyle name="Comma 11 2 5 2 3" xfId="17145" xr:uid="{00000000-0005-0000-0000-0000F9420000}"/>
    <cellStyle name="Comma 11 2 5 2 3 2" xfId="17146" xr:uid="{00000000-0005-0000-0000-0000FA420000}"/>
    <cellStyle name="Comma 11 2 5 2 3 3" xfId="17147" xr:uid="{00000000-0005-0000-0000-0000FB420000}"/>
    <cellStyle name="Comma 11 2 5 2 4" xfId="17148" xr:uid="{00000000-0005-0000-0000-0000FC420000}"/>
    <cellStyle name="Comma 11 2 5 2 5" xfId="17149" xr:uid="{00000000-0005-0000-0000-0000FD420000}"/>
    <cellStyle name="Comma 11 2 5 3" xfId="17150" xr:uid="{00000000-0005-0000-0000-0000FE420000}"/>
    <cellStyle name="Comma 11 2 5 3 2" xfId="17151" xr:uid="{00000000-0005-0000-0000-0000FF420000}"/>
    <cellStyle name="Comma 11 2 5 3 2 2" xfId="17152" xr:uid="{00000000-0005-0000-0000-000000430000}"/>
    <cellStyle name="Comma 11 2 5 3 2 3" xfId="17153" xr:uid="{00000000-0005-0000-0000-000001430000}"/>
    <cellStyle name="Comma 11 2 5 3 3" xfId="17154" xr:uid="{00000000-0005-0000-0000-000002430000}"/>
    <cellStyle name="Comma 11 2 5 3 4" xfId="17155" xr:uid="{00000000-0005-0000-0000-000003430000}"/>
    <cellStyle name="Comma 11 2 5 4" xfId="17156" xr:uid="{00000000-0005-0000-0000-000004430000}"/>
    <cellStyle name="Comma 11 2 5 4 2" xfId="17157" xr:uid="{00000000-0005-0000-0000-000005430000}"/>
    <cellStyle name="Comma 11 2 5 4 3" xfId="17158" xr:uid="{00000000-0005-0000-0000-000006430000}"/>
    <cellStyle name="Comma 11 2 5 5" xfId="17159" xr:uid="{00000000-0005-0000-0000-000007430000}"/>
    <cellStyle name="Comma 11 2 5 6" xfId="17160" xr:uid="{00000000-0005-0000-0000-000008430000}"/>
    <cellStyle name="Comma 11 2 6" xfId="17161" xr:uid="{00000000-0005-0000-0000-000009430000}"/>
    <cellStyle name="Comma 11 2 6 2" xfId="17162" xr:uid="{00000000-0005-0000-0000-00000A430000}"/>
    <cellStyle name="Comma 11 2 6 2 2" xfId="17163" xr:uid="{00000000-0005-0000-0000-00000B430000}"/>
    <cellStyle name="Comma 11 2 6 2 2 2" xfId="17164" xr:uid="{00000000-0005-0000-0000-00000C430000}"/>
    <cellStyle name="Comma 11 2 6 2 2 3" xfId="17165" xr:uid="{00000000-0005-0000-0000-00000D430000}"/>
    <cellStyle name="Comma 11 2 6 2 3" xfId="17166" xr:uid="{00000000-0005-0000-0000-00000E430000}"/>
    <cellStyle name="Comma 11 2 6 2 4" xfId="17167" xr:uid="{00000000-0005-0000-0000-00000F430000}"/>
    <cellStyle name="Comma 11 2 6 3" xfId="17168" xr:uid="{00000000-0005-0000-0000-000010430000}"/>
    <cellStyle name="Comma 11 2 6 3 2" xfId="17169" xr:uid="{00000000-0005-0000-0000-000011430000}"/>
    <cellStyle name="Comma 11 2 6 3 3" xfId="17170" xr:uid="{00000000-0005-0000-0000-000012430000}"/>
    <cellStyle name="Comma 11 2 6 4" xfId="17171" xr:uid="{00000000-0005-0000-0000-000013430000}"/>
    <cellStyle name="Comma 11 2 6 5" xfId="17172" xr:uid="{00000000-0005-0000-0000-000014430000}"/>
    <cellStyle name="Comma 11 2 7" xfId="17173" xr:uid="{00000000-0005-0000-0000-000015430000}"/>
    <cellStyle name="Comma 11 2 7 2" xfId="17174" xr:uid="{00000000-0005-0000-0000-000016430000}"/>
    <cellStyle name="Comma 11 2 7 2 2" xfId="17175" xr:uid="{00000000-0005-0000-0000-000017430000}"/>
    <cellStyle name="Comma 11 2 7 2 3" xfId="17176" xr:uid="{00000000-0005-0000-0000-000018430000}"/>
    <cellStyle name="Comma 11 2 7 3" xfId="17177" xr:uid="{00000000-0005-0000-0000-000019430000}"/>
    <cellStyle name="Comma 11 2 7 4" xfId="17178" xr:uid="{00000000-0005-0000-0000-00001A430000}"/>
    <cellStyle name="Comma 11 2 8" xfId="17179" xr:uid="{00000000-0005-0000-0000-00001B430000}"/>
    <cellStyle name="Comma 11 2 8 2" xfId="17180" xr:uid="{00000000-0005-0000-0000-00001C430000}"/>
    <cellStyle name="Comma 11 2 8 3" xfId="17181" xr:uid="{00000000-0005-0000-0000-00001D430000}"/>
    <cellStyle name="Comma 11 2 9" xfId="17182" xr:uid="{00000000-0005-0000-0000-00001E430000}"/>
    <cellStyle name="Comma 11 3" xfId="17183" xr:uid="{00000000-0005-0000-0000-00001F430000}"/>
    <cellStyle name="Comma 11 3 2" xfId="17184" xr:uid="{00000000-0005-0000-0000-000020430000}"/>
    <cellStyle name="Comma 11 3 2 2" xfId="17185" xr:uid="{00000000-0005-0000-0000-000021430000}"/>
    <cellStyle name="Comma 11 3 2 2 2" xfId="17186" xr:uid="{00000000-0005-0000-0000-000022430000}"/>
    <cellStyle name="Comma 11 3 2 2 2 2" xfId="17187" xr:uid="{00000000-0005-0000-0000-000023430000}"/>
    <cellStyle name="Comma 11 3 2 2 2 2 2" xfId="17188" xr:uid="{00000000-0005-0000-0000-000024430000}"/>
    <cellStyle name="Comma 11 3 2 2 2 2 2 2" xfId="17189" xr:uid="{00000000-0005-0000-0000-000025430000}"/>
    <cellStyle name="Comma 11 3 2 2 2 2 2 2 2" xfId="17190" xr:uid="{00000000-0005-0000-0000-000026430000}"/>
    <cellStyle name="Comma 11 3 2 2 2 2 2 2 3" xfId="17191" xr:uid="{00000000-0005-0000-0000-000027430000}"/>
    <cellStyle name="Comma 11 3 2 2 2 2 2 3" xfId="17192" xr:uid="{00000000-0005-0000-0000-000028430000}"/>
    <cellStyle name="Comma 11 3 2 2 2 2 2 4" xfId="17193" xr:uid="{00000000-0005-0000-0000-000029430000}"/>
    <cellStyle name="Comma 11 3 2 2 2 2 3" xfId="17194" xr:uid="{00000000-0005-0000-0000-00002A430000}"/>
    <cellStyle name="Comma 11 3 2 2 2 2 3 2" xfId="17195" xr:uid="{00000000-0005-0000-0000-00002B430000}"/>
    <cellStyle name="Comma 11 3 2 2 2 2 3 3" xfId="17196" xr:uid="{00000000-0005-0000-0000-00002C430000}"/>
    <cellStyle name="Comma 11 3 2 2 2 2 4" xfId="17197" xr:uid="{00000000-0005-0000-0000-00002D430000}"/>
    <cellStyle name="Comma 11 3 2 2 2 2 5" xfId="17198" xr:uid="{00000000-0005-0000-0000-00002E430000}"/>
    <cellStyle name="Comma 11 3 2 2 2 3" xfId="17199" xr:uid="{00000000-0005-0000-0000-00002F430000}"/>
    <cellStyle name="Comma 11 3 2 2 2 3 2" xfId="17200" xr:uid="{00000000-0005-0000-0000-000030430000}"/>
    <cellStyle name="Comma 11 3 2 2 2 3 2 2" xfId="17201" xr:uid="{00000000-0005-0000-0000-000031430000}"/>
    <cellStyle name="Comma 11 3 2 2 2 3 2 3" xfId="17202" xr:uid="{00000000-0005-0000-0000-000032430000}"/>
    <cellStyle name="Comma 11 3 2 2 2 3 3" xfId="17203" xr:uid="{00000000-0005-0000-0000-000033430000}"/>
    <cellStyle name="Comma 11 3 2 2 2 3 4" xfId="17204" xr:uid="{00000000-0005-0000-0000-000034430000}"/>
    <cellStyle name="Comma 11 3 2 2 2 4" xfId="17205" xr:uid="{00000000-0005-0000-0000-000035430000}"/>
    <cellStyle name="Comma 11 3 2 2 2 4 2" xfId="17206" xr:uid="{00000000-0005-0000-0000-000036430000}"/>
    <cellStyle name="Comma 11 3 2 2 2 4 3" xfId="17207" xr:uid="{00000000-0005-0000-0000-000037430000}"/>
    <cellStyle name="Comma 11 3 2 2 2 5" xfId="17208" xr:uid="{00000000-0005-0000-0000-000038430000}"/>
    <cellStyle name="Comma 11 3 2 2 2 6" xfId="17209" xr:uid="{00000000-0005-0000-0000-000039430000}"/>
    <cellStyle name="Comma 11 3 2 2 3" xfId="17210" xr:uid="{00000000-0005-0000-0000-00003A430000}"/>
    <cellStyle name="Comma 11 3 2 2 3 2" xfId="17211" xr:uid="{00000000-0005-0000-0000-00003B430000}"/>
    <cellStyle name="Comma 11 3 2 2 3 2 2" xfId="17212" xr:uid="{00000000-0005-0000-0000-00003C430000}"/>
    <cellStyle name="Comma 11 3 2 2 3 2 2 2" xfId="17213" xr:uid="{00000000-0005-0000-0000-00003D430000}"/>
    <cellStyle name="Comma 11 3 2 2 3 2 2 3" xfId="17214" xr:uid="{00000000-0005-0000-0000-00003E430000}"/>
    <cellStyle name="Comma 11 3 2 2 3 2 3" xfId="17215" xr:uid="{00000000-0005-0000-0000-00003F430000}"/>
    <cellStyle name="Comma 11 3 2 2 3 2 4" xfId="17216" xr:uid="{00000000-0005-0000-0000-000040430000}"/>
    <cellStyle name="Comma 11 3 2 2 3 3" xfId="17217" xr:uid="{00000000-0005-0000-0000-000041430000}"/>
    <cellStyle name="Comma 11 3 2 2 3 3 2" xfId="17218" xr:uid="{00000000-0005-0000-0000-000042430000}"/>
    <cellStyle name="Comma 11 3 2 2 3 3 3" xfId="17219" xr:uid="{00000000-0005-0000-0000-000043430000}"/>
    <cellStyle name="Comma 11 3 2 2 3 4" xfId="17220" xr:uid="{00000000-0005-0000-0000-000044430000}"/>
    <cellStyle name="Comma 11 3 2 2 3 5" xfId="17221" xr:uid="{00000000-0005-0000-0000-000045430000}"/>
    <cellStyle name="Comma 11 3 2 2 4" xfId="17222" xr:uid="{00000000-0005-0000-0000-000046430000}"/>
    <cellStyle name="Comma 11 3 2 2 4 2" xfId="17223" xr:uid="{00000000-0005-0000-0000-000047430000}"/>
    <cellStyle name="Comma 11 3 2 2 4 2 2" xfId="17224" xr:uid="{00000000-0005-0000-0000-000048430000}"/>
    <cellStyle name="Comma 11 3 2 2 4 2 3" xfId="17225" xr:uid="{00000000-0005-0000-0000-000049430000}"/>
    <cellStyle name="Comma 11 3 2 2 4 3" xfId="17226" xr:uid="{00000000-0005-0000-0000-00004A430000}"/>
    <cellStyle name="Comma 11 3 2 2 4 4" xfId="17227" xr:uid="{00000000-0005-0000-0000-00004B430000}"/>
    <cellStyle name="Comma 11 3 2 2 5" xfId="17228" xr:uid="{00000000-0005-0000-0000-00004C430000}"/>
    <cellStyle name="Comma 11 3 2 2 5 2" xfId="17229" xr:uid="{00000000-0005-0000-0000-00004D430000}"/>
    <cellStyle name="Comma 11 3 2 2 5 3" xfId="17230" xr:uid="{00000000-0005-0000-0000-00004E430000}"/>
    <cellStyle name="Comma 11 3 2 2 6" xfId="17231" xr:uid="{00000000-0005-0000-0000-00004F430000}"/>
    <cellStyle name="Comma 11 3 2 2 7" xfId="17232" xr:uid="{00000000-0005-0000-0000-000050430000}"/>
    <cellStyle name="Comma 11 3 2 3" xfId="17233" xr:uid="{00000000-0005-0000-0000-000051430000}"/>
    <cellStyle name="Comma 11 3 2 3 2" xfId="17234" xr:uid="{00000000-0005-0000-0000-000052430000}"/>
    <cellStyle name="Comma 11 3 2 3 2 2" xfId="17235" xr:uid="{00000000-0005-0000-0000-000053430000}"/>
    <cellStyle name="Comma 11 3 2 3 2 2 2" xfId="17236" xr:uid="{00000000-0005-0000-0000-000054430000}"/>
    <cellStyle name="Comma 11 3 2 3 2 2 2 2" xfId="17237" xr:uid="{00000000-0005-0000-0000-000055430000}"/>
    <cellStyle name="Comma 11 3 2 3 2 2 2 3" xfId="17238" xr:uid="{00000000-0005-0000-0000-000056430000}"/>
    <cellStyle name="Comma 11 3 2 3 2 2 3" xfId="17239" xr:uid="{00000000-0005-0000-0000-000057430000}"/>
    <cellStyle name="Comma 11 3 2 3 2 2 4" xfId="17240" xr:uid="{00000000-0005-0000-0000-000058430000}"/>
    <cellStyle name="Comma 11 3 2 3 2 3" xfId="17241" xr:uid="{00000000-0005-0000-0000-000059430000}"/>
    <cellStyle name="Comma 11 3 2 3 2 3 2" xfId="17242" xr:uid="{00000000-0005-0000-0000-00005A430000}"/>
    <cellStyle name="Comma 11 3 2 3 2 3 3" xfId="17243" xr:uid="{00000000-0005-0000-0000-00005B430000}"/>
    <cellStyle name="Comma 11 3 2 3 2 4" xfId="17244" xr:uid="{00000000-0005-0000-0000-00005C430000}"/>
    <cellStyle name="Comma 11 3 2 3 2 5" xfId="17245" xr:uid="{00000000-0005-0000-0000-00005D430000}"/>
    <cellStyle name="Comma 11 3 2 3 3" xfId="17246" xr:uid="{00000000-0005-0000-0000-00005E430000}"/>
    <cellStyle name="Comma 11 3 2 3 3 2" xfId="17247" xr:uid="{00000000-0005-0000-0000-00005F430000}"/>
    <cellStyle name="Comma 11 3 2 3 3 2 2" xfId="17248" xr:uid="{00000000-0005-0000-0000-000060430000}"/>
    <cellStyle name="Comma 11 3 2 3 3 2 3" xfId="17249" xr:uid="{00000000-0005-0000-0000-000061430000}"/>
    <cellStyle name="Comma 11 3 2 3 3 3" xfId="17250" xr:uid="{00000000-0005-0000-0000-000062430000}"/>
    <cellStyle name="Comma 11 3 2 3 3 4" xfId="17251" xr:uid="{00000000-0005-0000-0000-000063430000}"/>
    <cellStyle name="Comma 11 3 2 3 4" xfId="17252" xr:uid="{00000000-0005-0000-0000-000064430000}"/>
    <cellStyle name="Comma 11 3 2 3 4 2" xfId="17253" xr:uid="{00000000-0005-0000-0000-000065430000}"/>
    <cellStyle name="Comma 11 3 2 3 4 3" xfId="17254" xr:uid="{00000000-0005-0000-0000-000066430000}"/>
    <cellStyle name="Comma 11 3 2 3 5" xfId="17255" xr:uid="{00000000-0005-0000-0000-000067430000}"/>
    <cellStyle name="Comma 11 3 2 3 6" xfId="17256" xr:uid="{00000000-0005-0000-0000-000068430000}"/>
    <cellStyle name="Comma 11 3 2 4" xfId="17257" xr:uid="{00000000-0005-0000-0000-000069430000}"/>
    <cellStyle name="Comma 11 3 2 4 2" xfId="17258" xr:uid="{00000000-0005-0000-0000-00006A430000}"/>
    <cellStyle name="Comma 11 3 2 4 2 2" xfId="17259" xr:uid="{00000000-0005-0000-0000-00006B430000}"/>
    <cellStyle name="Comma 11 3 2 4 2 2 2" xfId="17260" xr:uid="{00000000-0005-0000-0000-00006C430000}"/>
    <cellStyle name="Comma 11 3 2 4 2 2 3" xfId="17261" xr:uid="{00000000-0005-0000-0000-00006D430000}"/>
    <cellStyle name="Comma 11 3 2 4 2 3" xfId="17262" xr:uid="{00000000-0005-0000-0000-00006E430000}"/>
    <cellStyle name="Comma 11 3 2 4 2 4" xfId="17263" xr:uid="{00000000-0005-0000-0000-00006F430000}"/>
    <cellStyle name="Comma 11 3 2 4 3" xfId="17264" xr:uid="{00000000-0005-0000-0000-000070430000}"/>
    <cellStyle name="Comma 11 3 2 4 3 2" xfId="17265" xr:uid="{00000000-0005-0000-0000-000071430000}"/>
    <cellStyle name="Comma 11 3 2 4 3 3" xfId="17266" xr:uid="{00000000-0005-0000-0000-000072430000}"/>
    <cellStyle name="Comma 11 3 2 4 4" xfId="17267" xr:uid="{00000000-0005-0000-0000-000073430000}"/>
    <cellStyle name="Comma 11 3 2 4 5" xfId="17268" xr:uid="{00000000-0005-0000-0000-000074430000}"/>
    <cellStyle name="Comma 11 3 2 5" xfId="17269" xr:uid="{00000000-0005-0000-0000-000075430000}"/>
    <cellStyle name="Comma 11 3 2 5 2" xfId="17270" xr:uid="{00000000-0005-0000-0000-000076430000}"/>
    <cellStyle name="Comma 11 3 2 5 2 2" xfId="17271" xr:uid="{00000000-0005-0000-0000-000077430000}"/>
    <cellStyle name="Comma 11 3 2 5 2 3" xfId="17272" xr:uid="{00000000-0005-0000-0000-000078430000}"/>
    <cellStyle name="Comma 11 3 2 5 3" xfId="17273" xr:uid="{00000000-0005-0000-0000-000079430000}"/>
    <cellStyle name="Comma 11 3 2 5 4" xfId="17274" xr:uid="{00000000-0005-0000-0000-00007A430000}"/>
    <cellStyle name="Comma 11 3 2 6" xfId="17275" xr:uid="{00000000-0005-0000-0000-00007B430000}"/>
    <cellStyle name="Comma 11 3 2 6 2" xfId="17276" xr:uid="{00000000-0005-0000-0000-00007C430000}"/>
    <cellStyle name="Comma 11 3 2 6 3" xfId="17277" xr:uid="{00000000-0005-0000-0000-00007D430000}"/>
    <cellStyle name="Comma 11 3 2 7" xfId="17278" xr:uid="{00000000-0005-0000-0000-00007E430000}"/>
    <cellStyle name="Comma 11 3 2 8" xfId="17279" xr:uid="{00000000-0005-0000-0000-00007F430000}"/>
    <cellStyle name="Comma 11 3 3" xfId="17280" xr:uid="{00000000-0005-0000-0000-000080430000}"/>
    <cellStyle name="Comma 11 3 3 2" xfId="17281" xr:uid="{00000000-0005-0000-0000-000081430000}"/>
    <cellStyle name="Comma 11 3 3 2 2" xfId="17282" xr:uid="{00000000-0005-0000-0000-000082430000}"/>
    <cellStyle name="Comma 11 3 3 2 2 2" xfId="17283" xr:uid="{00000000-0005-0000-0000-000083430000}"/>
    <cellStyle name="Comma 11 3 3 2 2 2 2" xfId="17284" xr:uid="{00000000-0005-0000-0000-000084430000}"/>
    <cellStyle name="Comma 11 3 3 2 2 2 2 2" xfId="17285" xr:uid="{00000000-0005-0000-0000-000085430000}"/>
    <cellStyle name="Comma 11 3 3 2 2 2 2 3" xfId="17286" xr:uid="{00000000-0005-0000-0000-000086430000}"/>
    <cellStyle name="Comma 11 3 3 2 2 2 3" xfId="17287" xr:uid="{00000000-0005-0000-0000-000087430000}"/>
    <cellStyle name="Comma 11 3 3 2 2 2 4" xfId="17288" xr:uid="{00000000-0005-0000-0000-000088430000}"/>
    <cellStyle name="Comma 11 3 3 2 2 3" xfId="17289" xr:uid="{00000000-0005-0000-0000-000089430000}"/>
    <cellStyle name="Comma 11 3 3 2 2 3 2" xfId="17290" xr:uid="{00000000-0005-0000-0000-00008A430000}"/>
    <cellStyle name="Comma 11 3 3 2 2 3 3" xfId="17291" xr:uid="{00000000-0005-0000-0000-00008B430000}"/>
    <cellStyle name="Comma 11 3 3 2 2 4" xfId="17292" xr:uid="{00000000-0005-0000-0000-00008C430000}"/>
    <cellStyle name="Comma 11 3 3 2 2 5" xfId="17293" xr:uid="{00000000-0005-0000-0000-00008D430000}"/>
    <cellStyle name="Comma 11 3 3 2 3" xfId="17294" xr:uid="{00000000-0005-0000-0000-00008E430000}"/>
    <cellStyle name="Comma 11 3 3 2 3 2" xfId="17295" xr:uid="{00000000-0005-0000-0000-00008F430000}"/>
    <cellStyle name="Comma 11 3 3 2 3 2 2" xfId="17296" xr:uid="{00000000-0005-0000-0000-000090430000}"/>
    <cellStyle name="Comma 11 3 3 2 3 2 3" xfId="17297" xr:uid="{00000000-0005-0000-0000-000091430000}"/>
    <cellStyle name="Comma 11 3 3 2 3 3" xfId="17298" xr:uid="{00000000-0005-0000-0000-000092430000}"/>
    <cellStyle name="Comma 11 3 3 2 3 4" xfId="17299" xr:uid="{00000000-0005-0000-0000-000093430000}"/>
    <cellStyle name="Comma 11 3 3 2 4" xfId="17300" xr:uid="{00000000-0005-0000-0000-000094430000}"/>
    <cellStyle name="Comma 11 3 3 2 4 2" xfId="17301" xr:uid="{00000000-0005-0000-0000-000095430000}"/>
    <cellStyle name="Comma 11 3 3 2 4 3" xfId="17302" xr:uid="{00000000-0005-0000-0000-000096430000}"/>
    <cellStyle name="Comma 11 3 3 2 5" xfId="17303" xr:uid="{00000000-0005-0000-0000-000097430000}"/>
    <cellStyle name="Comma 11 3 3 2 6" xfId="17304" xr:uid="{00000000-0005-0000-0000-000098430000}"/>
    <cellStyle name="Comma 11 3 3 3" xfId="17305" xr:uid="{00000000-0005-0000-0000-000099430000}"/>
    <cellStyle name="Comma 11 3 3 3 2" xfId="17306" xr:uid="{00000000-0005-0000-0000-00009A430000}"/>
    <cellStyle name="Comma 11 3 3 3 2 2" xfId="17307" xr:uid="{00000000-0005-0000-0000-00009B430000}"/>
    <cellStyle name="Comma 11 3 3 3 2 2 2" xfId="17308" xr:uid="{00000000-0005-0000-0000-00009C430000}"/>
    <cellStyle name="Comma 11 3 3 3 2 2 3" xfId="17309" xr:uid="{00000000-0005-0000-0000-00009D430000}"/>
    <cellStyle name="Comma 11 3 3 3 2 3" xfId="17310" xr:uid="{00000000-0005-0000-0000-00009E430000}"/>
    <cellStyle name="Comma 11 3 3 3 2 4" xfId="17311" xr:uid="{00000000-0005-0000-0000-00009F430000}"/>
    <cellStyle name="Comma 11 3 3 3 3" xfId="17312" xr:uid="{00000000-0005-0000-0000-0000A0430000}"/>
    <cellStyle name="Comma 11 3 3 3 3 2" xfId="17313" xr:uid="{00000000-0005-0000-0000-0000A1430000}"/>
    <cellStyle name="Comma 11 3 3 3 3 3" xfId="17314" xr:uid="{00000000-0005-0000-0000-0000A2430000}"/>
    <cellStyle name="Comma 11 3 3 3 4" xfId="17315" xr:uid="{00000000-0005-0000-0000-0000A3430000}"/>
    <cellStyle name="Comma 11 3 3 3 5" xfId="17316" xr:uid="{00000000-0005-0000-0000-0000A4430000}"/>
    <cellStyle name="Comma 11 3 3 4" xfId="17317" xr:uid="{00000000-0005-0000-0000-0000A5430000}"/>
    <cellStyle name="Comma 11 3 3 4 2" xfId="17318" xr:uid="{00000000-0005-0000-0000-0000A6430000}"/>
    <cellStyle name="Comma 11 3 3 4 2 2" xfId="17319" xr:uid="{00000000-0005-0000-0000-0000A7430000}"/>
    <cellStyle name="Comma 11 3 3 4 2 3" xfId="17320" xr:uid="{00000000-0005-0000-0000-0000A8430000}"/>
    <cellStyle name="Comma 11 3 3 4 3" xfId="17321" xr:uid="{00000000-0005-0000-0000-0000A9430000}"/>
    <cellStyle name="Comma 11 3 3 4 4" xfId="17322" xr:uid="{00000000-0005-0000-0000-0000AA430000}"/>
    <cellStyle name="Comma 11 3 3 5" xfId="17323" xr:uid="{00000000-0005-0000-0000-0000AB430000}"/>
    <cellStyle name="Comma 11 3 3 5 2" xfId="17324" xr:uid="{00000000-0005-0000-0000-0000AC430000}"/>
    <cellStyle name="Comma 11 3 3 5 3" xfId="17325" xr:uid="{00000000-0005-0000-0000-0000AD430000}"/>
    <cellStyle name="Comma 11 3 3 6" xfId="17326" xr:uid="{00000000-0005-0000-0000-0000AE430000}"/>
    <cellStyle name="Comma 11 3 3 7" xfId="17327" xr:uid="{00000000-0005-0000-0000-0000AF430000}"/>
    <cellStyle name="Comma 11 3 4" xfId="17328" xr:uid="{00000000-0005-0000-0000-0000B0430000}"/>
    <cellStyle name="Comma 11 3 4 2" xfId="17329" xr:uid="{00000000-0005-0000-0000-0000B1430000}"/>
    <cellStyle name="Comma 11 3 4 2 2" xfId="17330" xr:uid="{00000000-0005-0000-0000-0000B2430000}"/>
    <cellStyle name="Comma 11 3 4 2 2 2" xfId="17331" xr:uid="{00000000-0005-0000-0000-0000B3430000}"/>
    <cellStyle name="Comma 11 3 4 2 2 2 2" xfId="17332" xr:uid="{00000000-0005-0000-0000-0000B4430000}"/>
    <cellStyle name="Comma 11 3 4 2 2 2 3" xfId="17333" xr:uid="{00000000-0005-0000-0000-0000B5430000}"/>
    <cellStyle name="Comma 11 3 4 2 2 3" xfId="17334" xr:uid="{00000000-0005-0000-0000-0000B6430000}"/>
    <cellStyle name="Comma 11 3 4 2 2 4" xfId="17335" xr:uid="{00000000-0005-0000-0000-0000B7430000}"/>
    <cellStyle name="Comma 11 3 4 2 3" xfId="17336" xr:uid="{00000000-0005-0000-0000-0000B8430000}"/>
    <cellStyle name="Comma 11 3 4 2 3 2" xfId="17337" xr:uid="{00000000-0005-0000-0000-0000B9430000}"/>
    <cellStyle name="Comma 11 3 4 2 3 3" xfId="17338" xr:uid="{00000000-0005-0000-0000-0000BA430000}"/>
    <cellStyle name="Comma 11 3 4 2 4" xfId="17339" xr:uid="{00000000-0005-0000-0000-0000BB430000}"/>
    <cellStyle name="Comma 11 3 4 2 5" xfId="17340" xr:uid="{00000000-0005-0000-0000-0000BC430000}"/>
    <cellStyle name="Comma 11 3 4 3" xfId="17341" xr:uid="{00000000-0005-0000-0000-0000BD430000}"/>
    <cellStyle name="Comma 11 3 4 3 2" xfId="17342" xr:uid="{00000000-0005-0000-0000-0000BE430000}"/>
    <cellStyle name="Comma 11 3 4 3 2 2" xfId="17343" xr:uid="{00000000-0005-0000-0000-0000BF430000}"/>
    <cellStyle name="Comma 11 3 4 3 2 3" xfId="17344" xr:uid="{00000000-0005-0000-0000-0000C0430000}"/>
    <cellStyle name="Comma 11 3 4 3 3" xfId="17345" xr:uid="{00000000-0005-0000-0000-0000C1430000}"/>
    <cellStyle name="Comma 11 3 4 3 4" xfId="17346" xr:uid="{00000000-0005-0000-0000-0000C2430000}"/>
    <cellStyle name="Comma 11 3 4 4" xfId="17347" xr:uid="{00000000-0005-0000-0000-0000C3430000}"/>
    <cellStyle name="Comma 11 3 4 4 2" xfId="17348" xr:uid="{00000000-0005-0000-0000-0000C4430000}"/>
    <cellStyle name="Comma 11 3 4 4 3" xfId="17349" xr:uid="{00000000-0005-0000-0000-0000C5430000}"/>
    <cellStyle name="Comma 11 3 4 5" xfId="17350" xr:uid="{00000000-0005-0000-0000-0000C6430000}"/>
    <cellStyle name="Comma 11 3 4 6" xfId="17351" xr:uid="{00000000-0005-0000-0000-0000C7430000}"/>
    <cellStyle name="Comma 11 3 5" xfId="17352" xr:uid="{00000000-0005-0000-0000-0000C8430000}"/>
    <cellStyle name="Comma 11 3 5 2" xfId="17353" xr:uid="{00000000-0005-0000-0000-0000C9430000}"/>
    <cellStyle name="Comma 11 3 5 2 2" xfId="17354" xr:uid="{00000000-0005-0000-0000-0000CA430000}"/>
    <cellStyle name="Comma 11 3 5 2 2 2" xfId="17355" xr:uid="{00000000-0005-0000-0000-0000CB430000}"/>
    <cellStyle name="Comma 11 3 5 2 2 3" xfId="17356" xr:uid="{00000000-0005-0000-0000-0000CC430000}"/>
    <cellStyle name="Comma 11 3 5 2 3" xfId="17357" xr:uid="{00000000-0005-0000-0000-0000CD430000}"/>
    <cellStyle name="Comma 11 3 5 2 4" xfId="17358" xr:uid="{00000000-0005-0000-0000-0000CE430000}"/>
    <cellStyle name="Comma 11 3 5 3" xfId="17359" xr:uid="{00000000-0005-0000-0000-0000CF430000}"/>
    <cellStyle name="Comma 11 3 5 3 2" xfId="17360" xr:uid="{00000000-0005-0000-0000-0000D0430000}"/>
    <cellStyle name="Comma 11 3 5 3 3" xfId="17361" xr:uid="{00000000-0005-0000-0000-0000D1430000}"/>
    <cellStyle name="Comma 11 3 5 4" xfId="17362" xr:uid="{00000000-0005-0000-0000-0000D2430000}"/>
    <cellStyle name="Comma 11 3 5 5" xfId="17363" xr:uid="{00000000-0005-0000-0000-0000D3430000}"/>
    <cellStyle name="Comma 11 3 6" xfId="17364" xr:uid="{00000000-0005-0000-0000-0000D4430000}"/>
    <cellStyle name="Comma 11 3 6 2" xfId="17365" xr:uid="{00000000-0005-0000-0000-0000D5430000}"/>
    <cellStyle name="Comma 11 3 6 2 2" xfId="17366" xr:uid="{00000000-0005-0000-0000-0000D6430000}"/>
    <cellStyle name="Comma 11 3 6 2 3" xfId="17367" xr:uid="{00000000-0005-0000-0000-0000D7430000}"/>
    <cellStyle name="Comma 11 3 6 3" xfId="17368" xr:uid="{00000000-0005-0000-0000-0000D8430000}"/>
    <cellStyle name="Comma 11 3 6 4" xfId="17369" xr:uid="{00000000-0005-0000-0000-0000D9430000}"/>
    <cellStyle name="Comma 11 3 7" xfId="17370" xr:uid="{00000000-0005-0000-0000-0000DA430000}"/>
    <cellStyle name="Comma 11 3 7 2" xfId="17371" xr:uid="{00000000-0005-0000-0000-0000DB430000}"/>
    <cellStyle name="Comma 11 3 7 3" xfId="17372" xr:uid="{00000000-0005-0000-0000-0000DC430000}"/>
    <cellStyle name="Comma 11 3 8" xfId="17373" xr:uid="{00000000-0005-0000-0000-0000DD430000}"/>
    <cellStyle name="Comma 11 3 9" xfId="17374" xr:uid="{00000000-0005-0000-0000-0000DE430000}"/>
    <cellStyle name="Comma 11 4" xfId="17375" xr:uid="{00000000-0005-0000-0000-0000DF430000}"/>
    <cellStyle name="Comma 11 4 2" xfId="17376" xr:uid="{00000000-0005-0000-0000-0000E0430000}"/>
    <cellStyle name="Comma 11 4 2 2" xfId="17377" xr:uid="{00000000-0005-0000-0000-0000E1430000}"/>
    <cellStyle name="Comma 11 4 2 2 2" xfId="17378" xr:uid="{00000000-0005-0000-0000-0000E2430000}"/>
    <cellStyle name="Comma 11 4 2 2 2 2" xfId="17379" xr:uid="{00000000-0005-0000-0000-0000E3430000}"/>
    <cellStyle name="Comma 11 4 2 2 2 2 2" xfId="17380" xr:uid="{00000000-0005-0000-0000-0000E4430000}"/>
    <cellStyle name="Comma 11 4 2 2 2 2 2 2" xfId="17381" xr:uid="{00000000-0005-0000-0000-0000E5430000}"/>
    <cellStyle name="Comma 11 4 2 2 2 2 2 3" xfId="17382" xr:uid="{00000000-0005-0000-0000-0000E6430000}"/>
    <cellStyle name="Comma 11 4 2 2 2 2 3" xfId="17383" xr:uid="{00000000-0005-0000-0000-0000E7430000}"/>
    <cellStyle name="Comma 11 4 2 2 2 2 4" xfId="17384" xr:uid="{00000000-0005-0000-0000-0000E8430000}"/>
    <cellStyle name="Comma 11 4 2 2 2 3" xfId="17385" xr:uid="{00000000-0005-0000-0000-0000E9430000}"/>
    <cellStyle name="Comma 11 4 2 2 2 3 2" xfId="17386" xr:uid="{00000000-0005-0000-0000-0000EA430000}"/>
    <cellStyle name="Comma 11 4 2 2 2 3 3" xfId="17387" xr:uid="{00000000-0005-0000-0000-0000EB430000}"/>
    <cellStyle name="Comma 11 4 2 2 2 4" xfId="17388" xr:uid="{00000000-0005-0000-0000-0000EC430000}"/>
    <cellStyle name="Comma 11 4 2 2 2 5" xfId="17389" xr:uid="{00000000-0005-0000-0000-0000ED430000}"/>
    <cellStyle name="Comma 11 4 2 2 3" xfId="17390" xr:uid="{00000000-0005-0000-0000-0000EE430000}"/>
    <cellStyle name="Comma 11 4 2 2 3 2" xfId="17391" xr:uid="{00000000-0005-0000-0000-0000EF430000}"/>
    <cellStyle name="Comma 11 4 2 2 3 2 2" xfId="17392" xr:uid="{00000000-0005-0000-0000-0000F0430000}"/>
    <cellStyle name="Comma 11 4 2 2 3 2 3" xfId="17393" xr:uid="{00000000-0005-0000-0000-0000F1430000}"/>
    <cellStyle name="Comma 11 4 2 2 3 3" xfId="17394" xr:uid="{00000000-0005-0000-0000-0000F2430000}"/>
    <cellStyle name="Comma 11 4 2 2 3 4" xfId="17395" xr:uid="{00000000-0005-0000-0000-0000F3430000}"/>
    <cellStyle name="Comma 11 4 2 2 4" xfId="17396" xr:uid="{00000000-0005-0000-0000-0000F4430000}"/>
    <cellStyle name="Comma 11 4 2 2 4 2" xfId="17397" xr:uid="{00000000-0005-0000-0000-0000F5430000}"/>
    <cellStyle name="Comma 11 4 2 2 4 3" xfId="17398" xr:uid="{00000000-0005-0000-0000-0000F6430000}"/>
    <cellStyle name="Comma 11 4 2 2 5" xfId="17399" xr:uid="{00000000-0005-0000-0000-0000F7430000}"/>
    <cellStyle name="Comma 11 4 2 2 6" xfId="17400" xr:uid="{00000000-0005-0000-0000-0000F8430000}"/>
    <cellStyle name="Comma 11 4 2 3" xfId="17401" xr:uid="{00000000-0005-0000-0000-0000F9430000}"/>
    <cellStyle name="Comma 11 4 2 3 2" xfId="17402" xr:uid="{00000000-0005-0000-0000-0000FA430000}"/>
    <cellStyle name="Comma 11 4 2 3 2 2" xfId="17403" xr:uid="{00000000-0005-0000-0000-0000FB430000}"/>
    <cellStyle name="Comma 11 4 2 3 2 2 2" xfId="17404" xr:uid="{00000000-0005-0000-0000-0000FC430000}"/>
    <cellStyle name="Comma 11 4 2 3 2 2 3" xfId="17405" xr:uid="{00000000-0005-0000-0000-0000FD430000}"/>
    <cellStyle name="Comma 11 4 2 3 2 3" xfId="17406" xr:uid="{00000000-0005-0000-0000-0000FE430000}"/>
    <cellStyle name="Comma 11 4 2 3 2 4" xfId="17407" xr:uid="{00000000-0005-0000-0000-0000FF430000}"/>
    <cellStyle name="Comma 11 4 2 3 3" xfId="17408" xr:uid="{00000000-0005-0000-0000-000000440000}"/>
    <cellStyle name="Comma 11 4 2 3 3 2" xfId="17409" xr:uid="{00000000-0005-0000-0000-000001440000}"/>
    <cellStyle name="Comma 11 4 2 3 3 3" xfId="17410" xr:uid="{00000000-0005-0000-0000-000002440000}"/>
    <cellStyle name="Comma 11 4 2 3 4" xfId="17411" xr:uid="{00000000-0005-0000-0000-000003440000}"/>
    <cellStyle name="Comma 11 4 2 3 5" xfId="17412" xr:uid="{00000000-0005-0000-0000-000004440000}"/>
    <cellStyle name="Comma 11 4 2 4" xfId="17413" xr:uid="{00000000-0005-0000-0000-000005440000}"/>
    <cellStyle name="Comma 11 4 2 4 2" xfId="17414" xr:uid="{00000000-0005-0000-0000-000006440000}"/>
    <cellStyle name="Comma 11 4 2 4 2 2" xfId="17415" xr:uid="{00000000-0005-0000-0000-000007440000}"/>
    <cellStyle name="Comma 11 4 2 4 2 3" xfId="17416" xr:uid="{00000000-0005-0000-0000-000008440000}"/>
    <cellStyle name="Comma 11 4 2 4 3" xfId="17417" xr:uid="{00000000-0005-0000-0000-000009440000}"/>
    <cellStyle name="Comma 11 4 2 4 4" xfId="17418" xr:uid="{00000000-0005-0000-0000-00000A440000}"/>
    <cellStyle name="Comma 11 4 2 5" xfId="17419" xr:uid="{00000000-0005-0000-0000-00000B440000}"/>
    <cellStyle name="Comma 11 4 2 5 2" xfId="17420" xr:uid="{00000000-0005-0000-0000-00000C440000}"/>
    <cellStyle name="Comma 11 4 2 5 3" xfId="17421" xr:uid="{00000000-0005-0000-0000-00000D440000}"/>
    <cellStyle name="Comma 11 4 2 6" xfId="17422" xr:uid="{00000000-0005-0000-0000-00000E440000}"/>
    <cellStyle name="Comma 11 4 2 7" xfId="17423" xr:uid="{00000000-0005-0000-0000-00000F440000}"/>
    <cellStyle name="Comma 11 4 3" xfId="17424" xr:uid="{00000000-0005-0000-0000-000010440000}"/>
    <cellStyle name="Comma 11 4 3 2" xfId="17425" xr:uid="{00000000-0005-0000-0000-000011440000}"/>
    <cellStyle name="Comma 11 4 3 2 2" xfId="17426" xr:uid="{00000000-0005-0000-0000-000012440000}"/>
    <cellStyle name="Comma 11 4 3 2 2 2" xfId="17427" xr:uid="{00000000-0005-0000-0000-000013440000}"/>
    <cellStyle name="Comma 11 4 3 2 2 2 2" xfId="17428" xr:uid="{00000000-0005-0000-0000-000014440000}"/>
    <cellStyle name="Comma 11 4 3 2 2 2 3" xfId="17429" xr:uid="{00000000-0005-0000-0000-000015440000}"/>
    <cellStyle name="Comma 11 4 3 2 2 3" xfId="17430" xr:uid="{00000000-0005-0000-0000-000016440000}"/>
    <cellStyle name="Comma 11 4 3 2 2 4" xfId="17431" xr:uid="{00000000-0005-0000-0000-000017440000}"/>
    <cellStyle name="Comma 11 4 3 2 3" xfId="17432" xr:uid="{00000000-0005-0000-0000-000018440000}"/>
    <cellStyle name="Comma 11 4 3 2 3 2" xfId="17433" xr:uid="{00000000-0005-0000-0000-000019440000}"/>
    <cellStyle name="Comma 11 4 3 2 3 3" xfId="17434" xr:uid="{00000000-0005-0000-0000-00001A440000}"/>
    <cellStyle name="Comma 11 4 3 2 4" xfId="17435" xr:uid="{00000000-0005-0000-0000-00001B440000}"/>
    <cellStyle name="Comma 11 4 3 2 5" xfId="17436" xr:uid="{00000000-0005-0000-0000-00001C440000}"/>
    <cellStyle name="Comma 11 4 3 3" xfId="17437" xr:uid="{00000000-0005-0000-0000-00001D440000}"/>
    <cellStyle name="Comma 11 4 3 3 2" xfId="17438" xr:uid="{00000000-0005-0000-0000-00001E440000}"/>
    <cellStyle name="Comma 11 4 3 3 2 2" xfId="17439" xr:uid="{00000000-0005-0000-0000-00001F440000}"/>
    <cellStyle name="Comma 11 4 3 3 2 3" xfId="17440" xr:uid="{00000000-0005-0000-0000-000020440000}"/>
    <cellStyle name="Comma 11 4 3 3 3" xfId="17441" xr:uid="{00000000-0005-0000-0000-000021440000}"/>
    <cellStyle name="Comma 11 4 3 3 4" xfId="17442" xr:uid="{00000000-0005-0000-0000-000022440000}"/>
    <cellStyle name="Comma 11 4 3 4" xfId="17443" xr:uid="{00000000-0005-0000-0000-000023440000}"/>
    <cellStyle name="Comma 11 4 3 4 2" xfId="17444" xr:uid="{00000000-0005-0000-0000-000024440000}"/>
    <cellStyle name="Comma 11 4 3 4 3" xfId="17445" xr:uid="{00000000-0005-0000-0000-000025440000}"/>
    <cellStyle name="Comma 11 4 3 5" xfId="17446" xr:uid="{00000000-0005-0000-0000-000026440000}"/>
    <cellStyle name="Comma 11 4 3 6" xfId="17447" xr:uid="{00000000-0005-0000-0000-000027440000}"/>
    <cellStyle name="Comma 11 4 4" xfId="17448" xr:uid="{00000000-0005-0000-0000-000028440000}"/>
    <cellStyle name="Comma 11 4 4 2" xfId="17449" xr:uid="{00000000-0005-0000-0000-000029440000}"/>
    <cellStyle name="Comma 11 4 4 2 2" xfId="17450" xr:uid="{00000000-0005-0000-0000-00002A440000}"/>
    <cellStyle name="Comma 11 4 4 2 2 2" xfId="17451" xr:uid="{00000000-0005-0000-0000-00002B440000}"/>
    <cellStyle name="Comma 11 4 4 2 2 3" xfId="17452" xr:uid="{00000000-0005-0000-0000-00002C440000}"/>
    <cellStyle name="Comma 11 4 4 2 3" xfId="17453" xr:uid="{00000000-0005-0000-0000-00002D440000}"/>
    <cellStyle name="Comma 11 4 4 2 4" xfId="17454" xr:uid="{00000000-0005-0000-0000-00002E440000}"/>
    <cellStyle name="Comma 11 4 4 3" xfId="17455" xr:uid="{00000000-0005-0000-0000-00002F440000}"/>
    <cellStyle name="Comma 11 4 4 3 2" xfId="17456" xr:uid="{00000000-0005-0000-0000-000030440000}"/>
    <cellStyle name="Comma 11 4 4 3 3" xfId="17457" xr:uid="{00000000-0005-0000-0000-000031440000}"/>
    <cellStyle name="Comma 11 4 4 4" xfId="17458" xr:uid="{00000000-0005-0000-0000-000032440000}"/>
    <cellStyle name="Comma 11 4 4 5" xfId="17459" xr:uid="{00000000-0005-0000-0000-000033440000}"/>
    <cellStyle name="Comma 11 4 5" xfId="17460" xr:uid="{00000000-0005-0000-0000-000034440000}"/>
    <cellStyle name="Comma 11 4 5 2" xfId="17461" xr:uid="{00000000-0005-0000-0000-000035440000}"/>
    <cellStyle name="Comma 11 4 5 2 2" xfId="17462" xr:uid="{00000000-0005-0000-0000-000036440000}"/>
    <cellStyle name="Comma 11 4 5 2 3" xfId="17463" xr:uid="{00000000-0005-0000-0000-000037440000}"/>
    <cellStyle name="Comma 11 4 5 3" xfId="17464" xr:uid="{00000000-0005-0000-0000-000038440000}"/>
    <cellStyle name="Comma 11 4 5 4" xfId="17465" xr:uid="{00000000-0005-0000-0000-000039440000}"/>
    <cellStyle name="Comma 11 4 6" xfId="17466" xr:uid="{00000000-0005-0000-0000-00003A440000}"/>
    <cellStyle name="Comma 11 4 6 2" xfId="17467" xr:uid="{00000000-0005-0000-0000-00003B440000}"/>
    <cellStyle name="Comma 11 4 6 3" xfId="17468" xr:uid="{00000000-0005-0000-0000-00003C440000}"/>
    <cellStyle name="Comma 11 4 7" xfId="17469" xr:uid="{00000000-0005-0000-0000-00003D440000}"/>
    <cellStyle name="Comma 11 4 8" xfId="17470" xr:uid="{00000000-0005-0000-0000-00003E440000}"/>
    <cellStyle name="Comma 11 5" xfId="17471" xr:uid="{00000000-0005-0000-0000-00003F440000}"/>
    <cellStyle name="Comma 11 5 2" xfId="17472" xr:uid="{00000000-0005-0000-0000-000040440000}"/>
    <cellStyle name="Comma 11 5 2 2" xfId="17473" xr:uid="{00000000-0005-0000-0000-000041440000}"/>
    <cellStyle name="Comma 11 5 2 2 2" xfId="17474" xr:uid="{00000000-0005-0000-0000-000042440000}"/>
    <cellStyle name="Comma 11 5 2 2 2 2" xfId="17475" xr:uid="{00000000-0005-0000-0000-000043440000}"/>
    <cellStyle name="Comma 11 5 2 2 2 2 2" xfId="17476" xr:uid="{00000000-0005-0000-0000-000044440000}"/>
    <cellStyle name="Comma 11 5 2 2 2 2 3" xfId="17477" xr:uid="{00000000-0005-0000-0000-000045440000}"/>
    <cellStyle name="Comma 11 5 2 2 2 3" xfId="17478" xr:uid="{00000000-0005-0000-0000-000046440000}"/>
    <cellStyle name="Comma 11 5 2 2 2 4" xfId="17479" xr:uid="{00000000-0005-0000-0000-000047440000}"/>
    <cellStyle name="Comma 11 5 2 2 3" xfId="17480" xr:uid="{00000000-0005-0000-0000-000048440000}"/>
    <cellStyle name="Comma 11 5 2 2 3 2" xfId="17481" xr:uid="{00000000-0005-0000-0000-000049440000}"/>
    <cellStyle name="Comma 11 5 2 2 3 3" xfId="17482" xr:uid="{00000000-0005-0000-0000-00004A440000}"/>
    <cellStyle name="Comma 11 5 2 2 4" xfId="17483" xr:uid="{00000000-0005-0000-0000-00004B440000}"/>
    <cellStyle name="Comma 11 5 2 2 5" xfId="17484" xr:uid="{00000000-0005-0000-0000-00004C440000}"/>
    <cellStyle name="Comma 11 5 2 3" xfId="17485" xr:uid="{00000000-0005-0000-0000-00004D440000}"/>
    <cellStyle name="Comma 11 5 2 3 2" xfId="17486" xr:uid="{00000000-0005-0000-0000-00004E440000}"/>
    <cellStyle name="Comma 11 5 2 3 2 2" xfId="17487" xr:uid="{00000000-0005-0000-0000-00004F440000}"/>
    <cellStyle name="Comma 11 5 2 3 2 3" xfId="17488" xr:uid="{00000000-0005-0000-0000-000050440000}"/>
    <cellStyle name="Comma 11 5 2 3 3" xfId="17489" xr:uid="{00000000-0005-0000-0000-000051440000}"/>
    <cellStyle name="Comma 11 5 2 3 4" xfId="17490" xr:uid="{00000000-0005-0000-0000-000052440000}"/>
    <cellStyle name="Comma 11 5 2 4" xfId="17491" xr:uid="{00000000-0005-0000-0000-000053440000}"/>
    <cellStyle name="Comma 11 5 2 4 2" xfId="17492" xr:uid="{00000000-0005-0000-0000-000054440000}"/>
    <cellStyle name="Comma 11 5 2 4 3" xfId="17493" xr:uid="{00000000-0005-0000-0000-000055440000}"/>
    <cellStyle name="Comma 11 5 2 5" xfId="17494" xr:uid="{00000000-0005-0000-0000-000056440000}"/>
    <cellStyle name="Comma 11 5 2 6" xfId="17495" xr:uid="{00000000-0005-0000-0000-000057440000}"/>
    <cellStyle name="Comma 11 5 3" xfId="17496" xr:uid="{00000000-0005-0000-0000-000058440000}"/>
    <cellStyle name="Comma 11 5 3 2" xfId="17497" xr:uid="{00000000-0005-0000-0000-000059440000}"/>
    <cellStyle name="Comma 11 5 3 2 2" xfId="17498" xr:uid="{00000000-0005-0000-0000-00005A440000}"/>
    <cellStyle name="Comma 11 5 3 2 2 2" xfId="17499" xr:uid="{00000000-0005-0000-0000-00005B440000}"/>
    <cellStyle name="Comma 11 5 3 2 2 3" xfId="17500" xr:uid="{00000000-0005-0000-0000-00005C440000}"/>
    <cellStyle name="Comma 11 5 3 2 3" xfId="17501" xr:uid="{00000000-0005-0000-0000-00005D440000}"/>
    <cellStyle name="Comma 11 5 3 2 4" xfId="17502" xr:uid="{00000000-0005-0000-0000-00005E440000}"/>
    <cellStyle name="Comma 11 5 3 3" xfId="17503" xr:uid="{00000000-0005-0000-0000-00005F440000}"/>
    <cellStyle name="Comma 11 5 3 3 2" xfId="17504" xr:uid="{00000000-0005-0000-0000-000060440000}"/>
    <cellStyle name="Comma 11 5 3 3 3" xfId="17505" xr:uid="{00000000-0005-0000-0000-000061440000}"/>
    <cellStyle name="Comma 11 5 3 4" xfId="17506" xr:uid="{00000000-0005-0000-0000-000062440000}"/>
    <cellStyle name="Comma 11 5 3 5" xfId="17507" xr:uid="{00000000-0005-0000-0000-000063440000}"/>
    <cellStyle name="Comma 11 5 4" xfId="17508" xr:uid="{00000000-0005-0000-0000-000064440000}"/>
    <cellStyle name="Comma 11 5 4 2" xfId="17509" xr:uid="{00000000-0005-0000-0000-000065440000}"/>
    <cellStyle name="Comma 11 5 4 2 2" xfId="17510" xr:uid="{00000000-0005-0000-0000-000066440000}"/>
    <cellStyle name="Comma 11 5 4 2 3" xfId="17511" xr:uid="{00000000-0005-0000-0000-000067440000}"/>
    <cellStyle name="Comma 11 5 4 3" xfId="17512" xr:uid="{00000000-0005-0000-0000-000068440000}"/>
    <cellStyle name="Comma 11 5 4 4" xfId="17513" xr:uid="{00000000-0005-0000-0000-000069440000}"/>
    <cellStyle name="Comma 11 5 5" xfId="17514" xr:uid="{00000000-0005-0000-0000-00006A440000}"/>
    <cellStyle name="Comma 11 5 5 2" xfId="17515" xr:uid="{00000000-0005-0000-0000-00006B440000}"/>
    <cellStyle name="Comma 11 5 5 3" xfId="17516" xr:uid="{00000000-0005-0000-0000-00006C440000}"/>
    <cellStyle name="Comma 11 5 6" xfId="17517" xr:uid="{00000000-0005-0000-0000-00006D440000}"/>
    <cellStyle name="Comma 11 5 7" xfId="17518" xr:uid="{00000000-0005-0000-0000-00006E440000}"/>
    <cellStyle name="Comma 11 6" xfId="17519" xr:uid="{00000000-0005-0000-0000-00006F440000}"/>
    <cellStyle name="Comma 11 6 2" xfId="17520" xr:uid="{00000000-0005-0000-0000-000070440000}"/>
    <cellStyle name="Comma 11 6 2 2" xfId="17521" xr:uid="{00000000-0005-0000-0000-000071440000}"/>
    <cellStyle name="Comma 11 6 2 2 2" xfId="17522" xr:uid="{00000000-0005-0000-0000-000072440000}"/>
    <cellStyle name="Comma 11 6 2 2 2 2" xfId="17523" xr:uid="{00000000-0005-0000-0000-000073440000}"/>
    <cellStyle name="Comma 11 6 2 2 2 3" xfId="17524" xr:uid="{00000000-0005-0000-0000-000074440000}"/>
    <cellStyle name="Comma 11 6 2 2 3" xfId="17525" xr:uid="{00000000-0005-0000-0000-000075440000}"/>
    <cellStyle name="Comma 11 6 2 2 4" xfId="17526" xr:uid="{00000000-0005-0000-0000-000076440000}"/>
    <cellStyle name="Comma 11 6 2 3" xfId="17527" xr:uid="{00000000-0005-0000-0000-000077440000}"/>
    <cellStyle name="Comma 11 6 2 3 2" xfId="17528" xr:uid="{00000000-0005-0000-0000-000078440000}"/>
    <cellStyle name="Comma 11 6 2 3 3" xfId="17529" xr:uid="{00000000-0005-0000-0000-000079440000}"/>
    <cellStyle name="Comma 11 6 2 4" xfId="17530" xr:uid="{00000000-0005-0000-0000-00007A440000}"/>
    <cellStyle name="Comma 11 6 2 5" xfId="17531" xr:uid="{00000000-0005-0000-0000-00007B440000}"/>
    <cellStyle name="Comma 11 6 3" xfId="17532" xr:uid="{00000000-0005-0000-0000-00007C440000}"/>
    <cellStyle name="Comma 11 6 3 2" xfId="17533" xr:uid="{00000000-0005-0000-0000-00007D440000}"/>
    <cellStyle name="Comma 11 6 3 2 2" xfId="17534" xr:uid="{00000000-0005-0000-0000-00007E440000}"/>
    <cellStyle name="Comma 11 6 3 2 3" xfId="17535" xr:uid="{00000000-0005-0000-0000-00007F440000}"/>
    <cellStyle name="Comma 11 6 3 3" xfId="17536" xr:uid="{00000000-0005-0000-0000-000080440000}"/>
    <cellStyle name="Comma 11 6 3 4" xfId="17537" xr:uid="{00000000-0005-0000-0000-000081440000}"/>
    <cellStyle name="Comma 11 6 4" xfId="17538" xr:uid="{00000000-0005-0000-0000-000082440000}"/>
    <cellStyle name="Comma 11 6 4 2" xfId="17539" xr:uid="{00000000-0005-0000-0000-000083440000}"/>
    <cellStyle name="Comma 11 6 4 3" xfId="17540" xr:uid="{00000000-0005-0000-0000-000084440000}"/>
    <cellStyle name="Comma 11 6 5" xfId="17541" xr:uid="{00000000-0005-0000-0000-000085440000}"/>
    <cellStyle name="Comma 11 6 6" xfId="17542" xr:uid="{00000000-0005-0000-0000-000086440000}"/>
    <cellStyle name="Comma 11 7" xfId="17543" xr:uid="{00000000-0005-0000-0000-000087440000}"/>
    <cellStyle name="Comma 11 7 2" xfId="17544" xr:uid="{00000000-0005-0000-0000-000088440000}"/>
    <cellStyle name="Comma 11 7 2 2" xfId="17545" xr:uid="{00000000-0005-0000-0000-000089440000}"/>
    <cellStyle name="Comma 11 7 2 2 2" xfId="17546" xr:uid="{00000000-0005-0000-0000-00008A440000}"/>
    <cellStyle name="Comma 11 7 2 2 3" xfId="17547" xr:uid="{00000000-0005-0000-0000-00008B440000}"/>
    <cellStyle name="Comma 11 7 2 3" xfId="17548" xr:uid="{00000000-0005-0000-0000-00008C440000}"/>
    <cellStyle name="Comma 11 7 2 4" xfId="17549" xr:uid="{00000000-0005-0000-0000-00008D440000}"/>
    <cellStyle name="Comma 11 7 3" xfId="17550" xr:uid="{00000000-0005-0000-0000-00008E440000}"/>
    <cellStyle name="Comma 11 7 3 2" xfId="17551" xr:uid="{00000000-0005-0000-0000-00008F440000}"/>
    <cellStyle name="Comma 11 7 3 3" xfId="17552" xr:uid="{00000000-0005-0000-0000-000090440000}"/>
    <cellStyle name="Comma 11 7 4" xfId="17553" xr:uid="{00000000-0005-0000-0000-000091440000}"/>
    <cellStyle name="Comma 11 7 5" xfId="17554" xr:uid="{00000000-0005-0000-0000-000092440000}"/>
    <cellStyle name="Comma 11 8" xfId="17555" xr:uid="{00000000-0005-0000-0000-000093440000}"/>
    <cellStyle name="Comma 11 8 2" xfId="17556" xr:uid="{00000000-0005-0000-0000-000094440000}"/>
    <cellStyle name="Comma 11 8 2 2" xfId="17557" xr:uid="{00000000-0005-0000-0000-000095440000}"/>
    <cellStyle name="Comma 11 8 2 3" xfId="17558" xr:uid="{00000000-0005-0000-0000-000096440000}"/>
    <cellStyle name="Comma 11 8 3" xfId="17559" xr:uid="{00000000-0005-0000-0000-000097440000}"/>
    <cellStyle name="Comma 11 8 4" xfId="17560" xr:uid="{00000000-0005-0000-0000-000098440000}"/>
    <cellStyle name="Comma 11 9" xfId="17561" xr:uid="{00000000-0005-0000-0000-000099440000}"/>
    <cellStyle name="Comma 11 9 2" xfId="17562" xr:uid="{00000000-0005-0000-0000-00009A440000}"/>
    <cellStyle name="Comma 11 9 3" xfId="17563" xr:uid="{00000000-0005-0000-0000-00009B440000}"/>
    <cellStyle name="Comma 110" xfId="17564" xr:uid="{00000000-0005-0000-0000-00009C440000}"/>
    <cellStyle name="Comma 111" xfId="17565" xr:uid="{00000000-0005-0000-0000-00009D440000}"/>
    <cellStyle name="Comma 112" xfId="17566" xr:uid="{00000000-0005-0000-0000-00009E440000}"/>
    <cellStyle name="Comma 113" xfId="17567" xr:uid="{00000000-0005-0000-0000-00009F440000}"/>
    <cellStyle name="Comma 114" xfId="17568" xr:uid="{00000000-0005-0000-0000-0000A0440000}"/>
    <cellStyle name="Comma 115" xfId="17569" xr:uid="{00000000-0005-0000-0000-0000A1440000}"/>
    <cellStyle name="Comma 116" xfId="17570" xr:uid="{00000000-0005-0000-0000-0000A2440000}"/>
    <cellStyle name="Comma 117" xfId="17571" xr:uid="{00000000-0005-0000-0000-0000A3440000}"/>
    <cellStyle name="Comma 118" xfId="17572" xr:uid="{00000000-0005-0000-0000-0000A4440000}"/>
    <cellStyle name="Comma 119" xfId="17573" xr:uid="{00000000-0005-0000-0000-0000A5440000}"/>
    <cellStyle name="Comma 12" xfId="17574" xr:uid="{00000000-0005-0000-0000-0000A6440000}"/>
    <cellStyle name="Comma 12 10" xfId="17575" xr:uid="{00000000-0005-0000-0000-0000A7440000}"/>
    <cellStyle name="Comma 12 10 2" xfId="17576" xr:uid="{00000000-0005-0000-0000-0000A8440000}"/>
    <cellStyle name="Comma 12 10 3" xfId="17577" xr:uid="{00000000-0005-0000-0000-0000A9440000}"/>
    <cellStyle name="Comma 12 11" xfId="17578" xr:uid="{00000000-0005-0000-0000-0000AA440000}"/>
    <cellStyle name="Comma 12 11 2" xfId="17579" xr:uid="{00000000-0005-0000-0000-0000AB440000}"/>
    <cellStyle name="Comma 12 11 3" xfId="17580" xr:uid="{00000000-0005-0000-0000-0000AC440000}"/>
    <cellStyle name="Comma 12 12" xfId="17581" xr:uid="{00000000-0005-0000-0000-0000AD440000}"/>
    <cellStyle name="Comma 12 13" xfId="17582" xr:uid="{00000000-0005-0000-0000-0000AE440000}"/>
    <cellStyle name="Comma 12 2" xfId="17583" xr:uid="{00000000-0005-0000-0000-0000AF440000}"/>
    <cellStyle name="Comma 12 2 10" xfId="17584" xr:uid="{00000000-0005-0000-0000-0000B0440000}"/>
    <cellStyle name="Comma 12 2 2" xfId="17585" xr:uid="{00000000-0005-0000-0000-0000B1440000}"/>
    <cellStyle name="Comma 12 2 2 2" xfId="17586" xr:uid="{00000000-0005-0000-0000-0000B2440000}"/>
    <cellStyle name="Comma 12 2 2 2 2" xfId="17587" xr:uid="{00000000-0005-0000-0000-0000B3440000}"/>
    <cellStyle name="Comma 12 2 2 2 2 2" xfId="17588" xr:uid="{00000000-0005-0000-0000-0000B4440000}"/>
    <cellStyle name="Comma 12 2 2 2 2 2 2" xfId="17589" xr:uid="{00000000-0005-0000-0000-0000B5440000}"/>
    <cellStyle name="Comma 12 2 2 2 2 2 2 2" xfId="17590" xr:uid="{00000000-0005-0000-0000-0000B6440000}"/>
    <cellStyle name="Comma 12 2 2 2 2 2 2 2 2" xfId="17591" xr:uid="{00000000-0005-0000-0000-0000B7440000}"/>
    <cellStyle name="Comma 12 2 2 2 2 2 2 2 2 2" xfId="17592" xr:uid="{00000000-0005-0000-0000-0000B8440000}"/>
    <cellStyle name="Comma 12 2 2 2 2 2 2 2 2 3" xfId="17593" xr:uid="{00000000-0005-0000-0000-0000B9440000}"/>
    <cellStyle name="Comma 12 2 2 2 2 2 2 2 3" xfId="17594" xr:uid="{00000000-0005-0000-0000-0000BA440000}"/>
    <cellStyle name="Comma 12 2 2 2 2 2 2 2 4" xfId="17595" xr:uid="{00000000-0005-0000-0000-0000BB440000}"/>
    <cellStyle name="Comma 12 2 2 2 2 2 2 3" xfId="17596" xr:uid="{00000000-0005-0000-0000-0000BC440000}"/>
    <cellStyle name="Comma 12 2 2 2 2 2 2 3 2" xfId="17597" xr:uid="{00000000-0005-0000-0000-0000BD440000}"/>
    <cellStyle name="Comma 12 2 2 2 2 2 2 3 3" xfId="17598" xr:uid="{00000000-0005-0000-0000-0000BE440000}"/>
    <cellStyle name="Comma 12 2 2 2 2 2 2 4" xfId="17599" xr:uid="{00000000-0005-0000-0000-0000BF440000}"/>
    <cellStyle name="Comma 12 2 2 2 2 2 2 5" xfId="17600" xr:uid="{00000000-0005-0000-0000-0000C0440000}"/>
    <cellStyle name="Comma 12 2 2 2 2 2 3" xfId="17601" xr:uid="{00000000-0005-0000-0000-0000C1440000}"/>
    <cellStyle name="Comma 12 2 2 2 2 2 3 2" xfId="17602" xr:uid="{00000000-0005-0000-0000-0000C2440000}"/>
    <cellStyle name="Comma 12 2 2 2 2 2 3 2 2" xfId="17603" xr:uid="{00000000-0005-0000-0000-0000C3440000}"/>
    <cellStyle name="Comma 12 2 2 2 2 2 3 2 3" xfId="17604" xr:uid="{00000000-0005-0000-0000-0000C4440000}"/>
    <cellStyle name="Comma 12 2 2 2 2 2 3 3" xfId="17605" xr:uid="{00000000-0005-0000-0000-0000C5440000}"/>
    <cellStyle name="Comma 12 2 2 2 2 2 3 4" xfId="17606" xr:uid="{00000000-0005-0000-0000-0000C6440000}"/>
    <cellStyle name="Comma 12 2 2 2 2 2 4" xfId="17607" xr:uid="{00000000-0005-0000-0000-0000C7440000}"/>
    <cellStyle name="Comma 12 2 2 2 2 2 4 2" xfId="17608" xr:uid="{00000000-0005-0000-0000-0000C8440000}"/>
    <cellStyle name="Comma 12 2 2 2 2 2 4 3" xfId="17609" xr:uid="{00000000-0005-0000-0000-0000C9440000}"/>
    <cellStyle name="Comma 12 2 2 2 2 2 5" xfId="17610" xr:uid="{00000000-0005-0000-0000-0000CA440000}"/>
    <cellStyle name="Comma 12 2 2 2 2 2 6" xfId="17611" xr:uid="{00000000-0005-0000-0000-0000CB440000}"/>
    <cellStyle name="Comma 12 2 2 2 2 3" xfId="17612" xr:uid="{00000000-0005-0000-0000-0000CC440000}"/>
    <cellStyle name="Comma 12 2 2 2 2 3 2" xfId="17613" xr:uid="{00000000-0005-0000-0000-0000CD440000}"/>
    <cellStyle name="Comma 12 2 2 2 2 3 2 2" xfId="17614" xr:uid="{00000000-0005-0000-0000-0000CE440000}"/>
    <cellStyle name="Comma 12 2 2 2 2 3 2 2 2" xfId="17615" xr:uid="{00000000-0005-0000-0000-0000CF440000}"/>
    <cellStyle name="Comma 12 2 2 2 2 3 2 2 3" xfId="17616" xr:uid="{00000000-0005-0000-0000-0000D0440000}"/>
    <cellStyle name="Comma 12 2 2 2 2 3 2 3" xfId="17617" xr:uid="{00000000-0005-0000-0000-0000D1440000}"/>
    <cellStyle name="Comma 12 2 2 2 2 3 2 4" xfId="17618" xr:uid="{00000000-0005-0000-0000-0000D2440000}"/>
    <cellStyle name="Comma 12 2 2 2 2 3 3" xfId="17619" xr:uid="{00000000-0005-0000-0000-0000D3440000}"/>
    <cellStyle name="Comma 12 2 2 2 2 3 3 2" xfId="17620" xr:uid="{00000000-0005-0000-0000-0000D4440000}"/>
    <cellStyle name="Comma 12 2 2 2 2 3 3 3" xfId="17621" xr:uid="{00000000-0005-0000-0000-0000D5440000}"/>
    <cellStyle name="Comma 12 2 2 2 2 3 4" xfId="17622" xr:uid="{00000000-0005-0000-0000-0000D6440000}"/>
    <cellStyle name="Comma 12 2 2 2 2 3 5" xfId="17623" xr:uid="{00000000-0005-0000-0000-0000D7440000}"/>
    <cellStyle name="Comma 12 2 2 2 2 4" xfId="17624" xr:uid="{00000000-0005-0000-0000-0000D8440000}"/>
    <cellStyle name="Comma 12 2 2 2 2 4 2" xfId="17625" xr:uid="{00000000-0005-0000-0000-0000D9440000}"/>
    <cellStyle name="Comma 12 2 2 2 2 4 2 2" xfId="17626" xr:uid="{00000000-0005-0000-0000-0000DA440000}"/>
    <cellStyle name="Comma 12 2 2 2 2 4 2 3" xfId="17627" xr:uid="{00000000-0005-0000-0000-0000DB440000}"/>
    <cellStyle name="Comma 12 2 2 2 2 4 3" xfId="17628" xr:uid="{00000000-0005-0000-0000-0000DC440000}"/>
    <cellStyle name="Comma 12 2 2 2 2 4 4" xfId="17629" xr:uid="{00000000-0005-0000-0000-0000DD440000}"/>
    <cellStyle name="Comma 12 2 2 2 2 5" xfId="17630" xr:uid="{00000000-0005-0000-0000-0000DE440000}"/>
    <cellStyle name="Comma 12 2 2 2 2 5 2" xfId="17631" xr:uid="{00000000-0005-0000-0000-0000DF440000}"/>
    <cellStyle name="Comma 12 2 2 2 2 5 3" xfId="17632" xr:uid="{00000000-0005-0000-0000-0000E0440000}"/>
    <cellStyle name="Comma 12 2 2 2 2 6" xfId="17633" xr:uid="{00000000-0005-0000-0000-0000E1440000}"/>
    <cellStyle name="Comma 12 2 2 2 2 7" xfId="17634" xr:uid="{00000000-0005-0000-0000-0000E2440000}"/>
    <cellStyle name="Comma 12 2 2 2 3" xfId="17635" xr:uid="{00000000-0005-0000-0000-0000E3440000}"/>
    <cellStyle name="Comma 12 2 2 2 3 2" xfId="17636" xr:uid="{00000000-0005-0000-0000-0000E4440000}"/>
    <cellStyle name="Comma 12 2 2 2 3 2 2" xfId="17637" xr:uid="{00000000-0005-0000-0000-0000E5440000}"/>
    <cellStyle name="Comma 12 2 2 2 3 2 2 2" xfId="17638" xr:uid="{00000000-0005-0000-0000-0000E6440000}"/>
    <cellStyle name="Comma 12 2 2 2 3 2 2 2 2" xfId="17639" xr:uid="{00000000-0005-0000-0000-0000E7440000}"/>
    <cellStyle name="Comma 12 2 2 2 3 2 2 2 3" xfId="17640" xr:uid="{00000000-0005-0000-0000-0000E8440000}"/>
    <cellStyle name="Comma 12 2 2 2 3 2 2 3" xfId="17641" xr:uid="{00000000-0005-0000-0000-0000E9440000}"/>
    <cellStyle name="Comma 12 2 2 2 3 2 2 4" xfId="17642" xr:uid="{00000000-0005-0000-0000-0000EA440000}"/>
    <cellStyle name="Comma 12 2 2 2 3 2 3" xfId="17643" xr:uid="{00000000-0005-0000-0000-0000EB440000}"/>
    <cellStyle name="Comma 12 2 2 2 3 2 3 2" xfId="17644" xr:uid="{00000000-0005-0000-0000-0000EC440000}"/>
    <cellStyle name="Comma 12 2 2 2 3 2 3 3" xfId="17645" xr:uid="{00000000-0005-0000-0000-0000ED440000}"/>
    <cellStyle name="Comma 12 2 2 2 3 2 4" xfId="17646" xr:uid="{00000000-0005-0000-0000-0000EE440000}"/>
    <cellStyle name="Comma 12 2 2 2 3 2 5" xfId="17647" xr:uid="{00000000-0005-0000-0000-0000EF440000}"/>
    <cellStyle name="Comma 12 2 2 2 3 3" xfId="17648" xr:uid="{00000000-0005-0000-0000-0000F0440000}"/>
    <cellStyle name="Comma 12 2 2 2 3 3 2" xfId="17649" xr:uid="{00000000-0005-0000-0000-0000F1440000}"/>
    <cellStyle name="Comma 12 2 2 2 3 3 2 2" xfId="17650" xr:uid="{00000000-0005-0000-0000-0000F2440000}"/>
    <cellStyle name="Comma 12 2 2 2 3 3 2 3" xfId="17651" xr:uid="{00000000-0005-0000-0000-0000F3440000}"/>
    <cellStyle name="Comma 12 2 2 2 3 3 3" xfId="17652" xr:uid="{00000000-0005-0000-0000-0000F4440000}"/>
    <cellStyle name="Comma 12 2 2 2 3 3 4" xfId="17653" xr:uid="{00000000-0005-0000-0000-0000F5440000}"/>
    <cellStyle name="Comma 12 2 2 2 3 4" xfId="17654" xr:uid="{00000000-0005-0000-0000-0000F6440000}"/>
    <cellStyle name="Comma 12 2 2 2 3 4 2" xfId="17655" xr:uid="{00000000-0005-0000-0000-0000F7440000}"/>
    <cellStyle name="Comma 12 2 2 2 3 4 3" xfId="17656" xr:uid="{00000000-0005-0000-0000-0000F8440000}"/>
    <cellStyle name="Comma 12 2 2 2 3 5" xfId="17657" xr:uid="{00000000-0005-0000-0000-0000F9440000}"/>
    <cellStyle name="Comma 12 2 2 2 3 6" xfId="17658" xr:uid="{00000000-0005-0000-0000-0000FA440000}"/>
    <cellStyle name="Comma 12 2 2 2 4" xfId="17659" xr:uid="{00000000-0005-0000-0000-0000FB440000}"/>
    <cellStyle name="Comma 12 2 2 2 4 2" xfId="17660" xr:uid="{00000000-0005-0000-0000-0000FC440000}"/>
    <cellStyle name="Comma 12 2 2 2 4 2 2" xfId="17661" xr:uid="{00000000-0005-0000-0000-0000FD440000}"/>
    <cellStyle name="Comma 12 2 2 2 4 2 2 2" xfId="17662" xr:uid="{00000000-0005-0000-0000-0000FE440000}"/>
    <cellStyle name="Comma 12 2 2 2 4 2 2 3" xfId="17663" xr:uid="{00000000-0005-0000-0000-0000FF440000}"/>
    <cellStyle name="Comma 12 2 2 2 4 2 3" xfId="17664" xr:uid="{00000000-0005-0000-0000-000000450000}"/>
    <cellStyle name="Comma 12 2 2 2 4 2 4" xfId="17665" xr:uid="{00000000-0005-0000-0000-000001450000}"/>
    <cellStyle name="Comma 12 2 2 2 4 3" xfId="17666" xr:uid="{00000000-0005-0000-0000-000002450000}"/>
    <cellStyle name="Comma 12 2 2 2 4 3 2" xfId="17667" xr:uid="{00000000-0005-0000-0000-000003450000}"/>
    <cellStyle name="Comma 12 2 2 2 4 3 3" xfId="17668" xr:uid="{00000000-0005-0000-0000-000004450000}"/>
    <cellStyle name="Comma 12 2 2 2 4 4" xfId="17669" xr:uid="{00000000-0005-0000-0000-000005450000}"/>
    <cellStyle name="Comma 12 2 2 2 4 5" xfId="17670" xr:uid="{00000000-0005-0000-0000-000006450000}"/>
    <cellStyle name="Comma 12 2 2 2 5" xfId="17671" xr:uid="{00000000-0005-0000-0000-000007450000}"/>
    <cellStyle name="Comma 12 2 2 2 5 2" xfId="17672" xr:uid="{00000000-0005-0000-0000-000008450000}"/>
    <cellStyle name="Comma 12 2 2 2 5 2 2" xfId="17673" xr:uid="{00000000-0005-0000-0000-000009450000}"/>
    <cellStyle name="Comma 12 2 2 2 5 2 3" xfId="17674" xr:uid="{00000000-0005-0000-0000-00000A450000}"/>
    <cellStyle name="Comma 12 2 2 2 5 3" xfId="17675" xr:uid="{00000000-0005-0000-0000-00000B450000}"/>
    <cellStyle name="Comma 12 2 2 2 5 4" xfId="17676" xr:uid="{00000000-0005-0000-0000-00000C450000}"/>
    <cellStyle name="Comma 12 2 2 2 6" xfId="17677" xr:uid="{00000000-0005-0000-0000-00000D450000}"/>
    <cellStyle name="Comma 12 2 2 2 6 2" xfId="17678" xr:uid="{00000000-0005-0000-0000-00000E450000}"/>
    <cellStyle name="Comma 12 2 2 2 6 3" xfId="17679" xr:uid="{00000000-0005-0000-0000-00000F450000}"/>
    <cellStyle name="Comma 12 2 2 2 7" xfId="17680" xr:uid="{00000000-0005-0000-0000-000010450000}"/>
    <cellStyle name="Comma 12 2 2 2 8" xfId="17681" xr:uid="{00000000-0005-0000-0000-000011450000}"/>
    <cellStyle name="Comma 12 2 2 3" xfId="17682" xr:uid="{00000000-0005-0000-0000-000012450000}"/>
    <cellStyle name="Comma 12 2 2 3 2" xfId="17683" xr:uid="{00000000-0005-0000-0000-000013450000}"/>
    <cellStyle name="Comma 12 2 2 3 2 2" xfId="17684" xr:uid="{00000000-0005-0000-0000-000014450000}"/>
    <cellStyle name="Comma 12 2 2 3 2 2 2" xfId="17685" xr:uid="{00000000-0005-0000-0000-000015450000}"/>
    <cellStyle name="Comma 12 2 2 3 2 2 2 2" xfId="17686" xr:uid="{00000000-0005-0000-0000-000016450000}"/>
    <cellStyle name="Comma 12 2 2 3 2 2 2 2 2" xfId="17687" xr:uid="{00000000-0005-0000-0000-000017450000}"/>
    <cellStyle name="Comma 12 2 2 3 2 2 2 2 3" xfId="17688" xr:uid="{00000000-0005-0000-0000-000018450000}"/>
    <cellStyle name="Comma 12 2 2 3 2 2 2 3" xfId="17689" xr:uid="{00000000-0005-0000-0000-000019450000}"/>
    <cellStyle name="Comma 12 2 2 3 2 2 2 4" xfId="17690" xr:uid="{00000000-0005-0000-0000-00001A450000}"/>
    <cellStyle name="Comma 12 2 2 3 2 2 3" xfId="17691" xr:uid="{00000000-0005-0000-0000-00001B450000}"/>
    <cellStyle name="Comma 12 2 2 3 2 2 3 2" xfId="17692" xr:uid="{00000000-0005-0000-0000-00001C450000}"/>
    <cellStyle name="Comma 12 2 2 3 2 2 3 3" xfId="17693" xr:uid="{00000000-0005-0000-0000-00001D450000}"/>
    <cellStyle name="Comma 12 2 2 3 2 2 4" xfId="17694" xr:uid="{00000000-0005-0000-0000-00001E450000}"/>
    <cellStyle name="Comma 12 2 2 3 2 2 5" xfId="17695" xr:uid="{00000000-0005-0000-0000-00001F450000}"/>
    <cellStyle name="Comma 12 2 2 3 2 3" xfId="17696" xr:uid="{00000000-0005-0000-0000-000020450000}"/>
    <cellStyle name="Comma 12 2 2 3 2 3 2" xfId="17697" xr:uid="{00000000-0005-0000-0000-000021450000}"/>
    <cellStyle name="Comma 12 2 2 3 2 3 2 2" xfId="17698" xr:uid="{00000000-0005-0000-0000-000022450000}"/>
    <cellStyle name="Comma 12 2 2 3 2 3 2 3" xfId="17699" xr:uid="{00000000-0005-0000-0000-000023450000}"/>
    <cellStyle name="Comma 12 2 2 3 2 3 3" xfId="17700" xr:uid="{00000000-0005-0000-0000-000024450000}"/>
    <cellStyle name="Comma 12 2 2 3 2 3 4" xfId="17701" xr:uid="{00000000-0005-0000-0000-000025450000}"/>
    <cellStyle name="Comma 12 2 2 3 2 4" xfId="17702" xr:uid="{00000000-0005-0000-0000-000026450000}"/>
    <cellStyle name="Comma 12 2 2 3 2 4 2" xfId="17703" xr:uid="{00000000-0005-0000-0000-000027450000}"/>
    <cellStyle name="Comma 12 2 2 3 2 4 3" xfId="17704" xr:uid="{00000000-0005-0000-0000-000028450000}"/>
    <cellStyle name="Comma 12 2 2 3 2 5" xfId="17705" xr:uid="{00000000-0005-0000-0000-000029450000}"/>
    <cellStyle name="Comma 12 2 2 3 2 6" xfId="17706" xr:uid="{00000000-0005-0000-0000-00002A450000}"/>
    <cellStyle name="Comma 12 2 2 3 3" xfId="17707" xr:uid="{00000000-0005-0000-0000-00002B450000}"/>
    <cellStyle name="Comma 12 2 2 3 3 2" xfId="17708" xr:uid="{00000000-0005-0000-0000-00002C450000}"/>
    <cellStyle name="Comma 12 2 2 3 3 2 2" xfId="17709" xr:uid="{00000000-0005-0000-0000-00002D450000}"/>
    <cellStyle name="Comma 12 2 2 3 3 2 2 2" xfId="17710" xr:uid="{00000000-0005-0000-0000-00002E450000}"/>
    <cellStyle name="Comma 12 2 2 3 3 2 2 3" xfId="17711" xr:uid="{00000000-0005-0000-0000-00002F450000}"/>
    <cellStyle name="Comma 12 2 2 3 3 2 3" xfId="17712" xr:uid="{00000000-0005-0000-0000-000030450000}"/>
    <cellStyle name="Comma 12 2 2 3 3 2 4" xfId="17713" xr:uid="{00000000-0005-0000-0000-000031450000}"/>
    <cellStyle name="Comma 12 2 2 3 3 3" xfId="17714" xr:uid="{00000000-0005-0000-0000-000032450000}"/>
    <cellStyle name="Comma 12 2 2 3 3 3 2" xfId="17715" xr:uid="{00000000-0005-0000-0000-000033450000}"/>
    <cellStyle name="Comma 12 2 2 3 3 3 3" xfId="17716" xr:uid="{00000000-0005-0000-0000-000034450000}"/>
    <cellStyle name="Comma 12 2 2 3 3 4" xfId="17717" xr:uid="{00000000-0005-0000-0000-000035450000}"/>
    <cellStyle name="Comma 12 2 2 3 3 5" xfId="17718" xr:uid="{00000000-0005-0000-0000-000036450000}"/>
    <cellStyle name="Comma 12 2 2 3 4" xfId="17719" xr:uid="{00000000-0005-0000-0000-000037450000}"/>
    <cellStyle name="Comma 12 2 2 3 4 2" xfId="17720" xr:uid="{00000000-0005-0000-0000-000038450000}"/>
    <cellStyle name="Comma 12 2 2 3 4 2 2" xfId="17721" xr:uid="{00000000-0005-0000-0000-000039450000}"/>
    <cellStyle name="Comma 12 2 2 3 4 2 3" xfId="17722" xr:uid="{00000000-0005-0000-0000-00003A450000}"/>
    <cellStyle name="Comma 12 2 2 3 4 3" xfId="17723" xr:uid="{00000000-0005-0000-0000-00003B450000}"/>
    <cellStyle name="Comma 12 2 2 3 4 4" xfId="17724" xr:uid="{00000000-0005-0000-0000-00003C450000}"/>
    <cellStyle name="Comma 12 2 2 3 5" xfId="17725" xr:uid="{00000000-0005-0000-0000-00003D450000}"/>
    <cellStyle name="Comma 12 2 2 3 5 2" xfId="17726" xr:uid="{00000000-0005-0000-0000-00003E450000}"/>
    <cellStyle name="Comma 12 2 2 3 5 3" xfId="17727" xr:uid="{00000000-0005-0000-0000-00003F450000}"/>
    <cellStyle name="Comma 12 2 2 3 6" xfId="17728" xr:uid="{00000000-0005-0000-0000-000040450000}"/>
    <cellStyle name="Comma 12 2 2 3 7" xfId="17729" xr:uid="{00000000-0005-0000-0000-000041450000}"/>
    <cellStyle name="Comma 12 2 2 4" xfId="17730" xr:uid="{00000000-0005-0000-0000-000042450000}"/>
    <cellStyle name="Comma 12 2 2 4 2" xfId="17731" xr:uid="{00000000-0005-0000-0000-000043450000}"/>
    <cellStyle name="Comma 12 2 2 4 2 2" xfId="17732" xr:uid="{00000000-0005-0000-0000-000044450000}"/>
    <cellStyle name="Comma 12 2 2 4 2 2 2" xfId="17733" xr:uid="{00000000-0005-0000-0000-000045450000}"/>
    <cellStyle name="Comma 12 2 2 4 2 2 2 2" xfId="17734" xr:uid="{00000000-0005-0000-0000-000046450000}"/>
    <cellStyle name="Comma 12 2 2 4 2 2 2 3" xfId="17735" xr:uid="{00000000-0005-0000-0000-000047450000}"/>
    <cellStyle name="Comma 12 2 2 4 2 2 3" xfId="17736" xr:uid="{00000000-0005-0000-0000-000048450000}"/>
    <cellStyle name="Comma 12 2 2 4 2 2 4" xfId="17737" xr:uid="{00000000-0005-0000-0000-000049450000}"/>
    <cellStyle name="Comma 12 2 2 4 2 3" xfId="17738" xr:uid="{00000000-0005-0000-0000-00004A450000}"/>
    <cellStyle name="Comma 12 2 2 4 2 3 2" xfId="17739" xr:uid="{00000000-0005-0000-0000-00004B450000}"/>
    <cellStyle name="Comma 12 2 2 4 2 3 3" xfId="17740" xr:uid="{00000000-0005-0000-0000-00004C450000}"/>
    <cellStyle name="Comma 12 2 2 4 2 4" xfId="17741" xr:uid="{00000000-0005-0000-0000-00004D450000}"/>
    <cellStyle name="Comma 12 2 2 4 2 5" xfId="17742" xr:uid="{00000000-0005-0000-0000-00004E450000}"/>
    <cellStyle name="Comma 12 2 2 4 3" xfId="17743" xr:uid="{00000000-0005-0000-0000-00004F450000}"/>
    <cellStyle name="Comma 12 2 2 4 3 2" xfId="17744" xr:uid="{00000000-0005-0000-0000-000050450000}"/>
    <cellStyle name="Comma 12 2 2 4 3 2 2" xfId="17745" xr:uid="{00000000-0005-0000-0000-000051450000}"/>
    <cellStyle name="Comma 12 2 2 4 3 2 3" xfId="17746" xr:uid="{00000000-0005-0000-0000-000052450000}"/>
    <cellStyle name="Comma 12 2 2 4 3 3" xfId="17747" xr:uid="{00000000-0005-0000-0000-000053450000}"/>
    <cellStyle name="Comma 12 2 2 4 3 4" xfId="17748" xr:uid="{00000000-0005-0000-0000-000054450000}"/>
    <cellStyle name="Comma 12 2 2 4 4" xfId="17749" xr:uid="{00000000-0005-0000-0000-000055450000}"/>
    <cellStyle name="Comma 12 2 2 4 4 2" xfId="17750" xr:uid="{00000000-0005-0000-0000-000056450000}"/>
    <cellStyle name="Comma 12 2 2 4 4 3" xfId="17751" xr:uid="{00000000-0005-0000-0000-000057450000}"/>
    <cellStyle name="Comma 12 2 2 4 5" xfId="17752" xr:uid="{00000000-0005-0000-0000-000058450000}"/>
    <cellStyle name="Comma 12 2 2 4 6" xfId="17753" xr:uid="{00000000-0005-0000-0000-000059450000}"/>
    <cellStyle name="Comma 12 2 2 5" xfId="17754" xr:uid="{00000000-0005-0000-0000-00005A450000}"/>
    <cellStyle name="Comma 12 2 2 5 2" xfId="17755" xr:uid="{00000000-0005-0000-0000-00005B450000}"/>
    <cellStyle name="Comma 12 2 2 5 2 2" xfId="17756" xr:uid="{00000000-0005-0000-0000-00005C450000}"/>
    <cellStyle name="Comma 12 2 2 5 2 2 2" xfId="17757" xr:uid="{00000000-0005-0000-0000-00005D450000}"/>
    <cellStyle name="Comma 12 2 2 5 2 2 3" xfId="17758" xr:uid="{00000000-0005-0000-0000-00005E450000}"/>
    <cellStyle name="Comma 12 2 2 5 2 3" xfId="17759" xr:uid="{00000000-0005-0000-0000-00005F450000}"/>
    <cellStyle name="Comma 12 2 2 5 2 4" xfId="17760" xr:uid="{00000000-0005-0000-0000-000060450000}"/>
    <cellStyle name="Comma 12 2 2 5 3" xfId="17761" xr:uid="{00000000-0005-0000-0000-000061450000}"/>
    <cellStyle name="Comma 12 2 2 5 3 2" xfId="17762" xr:uid="{00000000-0005-0000-0000-000062450000}"/>
    <cellStyle name="Comma 12 2 2 5 3 3" xfId="17763" xr:uid="{00000000-0005-0000-0000-000063450000}"/>
    <cellStyle name="Comma 12 2 2 5 4" xfId="17764" xr:uid="{00000000-0005-0000-0000-000064450000}"/>
    <cellStyle name="Comma 12 2 2 5 5" xfId="17765" xr:uid="{00000000-0005-0000-0000-000065450000}"/>
    <cellStyle name="Comma 12 2 2 6" xfId="17766" xr:uid="{00000000-0005-0000-0000-000066450000}"/>
    <cellStyle name="Comma 12 2 2 6 2" xfId="17767" xr:uid="{00000000-0005-0000-0000-000067450000}"/>
    <cellStyle name="Comma 12 2 2 6 2 2" xfId="17768" xr:uid="{00000000-0005-0000-0000-000068450000}"/>
    <cellStyle name="Comma 12 2 2 6 2 3" xfId="17769" xr:uid="{00000000-0005-0000-0000-000069450000}"/>
    <cellStyle name="Comma 12 2 2 6 3" xfId="17770" xr:uid="{00000000-0005-0000-0000-00006A450000}"/>
    <cellStyle name="Comma 12 2 2 6 4" xfId="17771" xr:uid="{00000000-0005-0000-0000-00006B450000}"/>
    <cellStyle name="Comma 12 2 2 7" xfId="17772" xr:uid="{00000000-0005-0000-0000-00006C450000}"/>
    <cellStyle name="Comma 12 2 2 7 2" xfId="17773" xr:uid="{00000000-0005-0000-0000-00006D450000}"/>
    <cellStyle name="Comma 12 2 2 7 3" xfId="17774" xr:uid="{00000000-0005-0000-0000-00006E450000}"/>
    <cellStyle name="Comma 12 2 2 8" xfId="17775" xr:uid="{00000000-0005-0000-0000-00006F450000}"/>
    <cellStyle name="Comma 12 2 2 9" xfId="17776" xr:uid="{00000000-0005-0000-0000-000070450000}"/>
    <cellStyle name="Comma 12 2 3" xfId="17777" xr:uid="{00000000-0005-0000-0000-000071450000}"/>
    <cellStyle name="Comma 12 2 3 2" xfId="17778" xr:uid="{00000000-0005-0000-0000-000072450000}"/>
    <cellStyle name="Comma 12 2 3 2 2" xfId="17779" xr:uid="{00000000-0005-0000-0000-000073450000}"/>
    <cellStyle name="Comma 12 2 3 2 2 2" xfId="17780" xr:uid="{00000000-0005-0000-0000-000074450000}"/>
    <cellStyle name="Comma 12 2 3 2 2 2 2" xfId="17781" xr:uid="{00000000-0005-0000-0000-000075450000}"/>
    <cellStyle name="Comma 12 2 3 2 2 2 2 2" xfId="17782" xr:uid="{00000000-0005-0000-0000-000076450000}"/>
    <cellStyle name="Comma 12 2 3 2 2 2 2 2 2" xfId="17783" xr:uid="{00000000-0005-0000-0000-000077450000}"/>
    <cellStyle name="Comma 12 2 3 2 2 2 2 2 3" xfId="17784" xr:uid="{00000000-0005-0000-0000-000078450000}"/>
    <cellStyle name="Comma 12 2 3 2 2 2 2 3" xfId="17785" xr:uid="{00000000-0005-0000-0000-000079450000}"/>
    <cellStyle name="Comma 12 2 3 2 2 2 2 4" xfId="17786" xr:uid="{00000000-0005-0000-0000-00007A450000}"/>
    <cellStyle name="Comma 12 2 3 2 2 2 3" xfId="17787" xr:uid="{00000000-0005-0000-0000-00007B450000}"/>
    <cellStyle name="Comma 12 2 3 2 2 2 3 2" xfId="17788" xr:uid="{00000000-0005-0000-0000-00007C450000}"/>
    <cellStyle name="Comma 12 2 3 2 2 2 3 3" xfId="17789" xr:uid="{00000000-0005-0000-0000-00007D450000}"/>
    <cellStyle name="Comma 12 2 3 2 2 2 4" xfId="17790" xr:uid="{00000000-0005-0000-0000-00007E450000}"/>
    <cellStyle name="Comma 12 2 3 2 2 2 5" xfId="17791" xr:uid="{00000000-0005-0000-0000-00007F450000}"/>
    <cellStyle name="Comma 12 2 3 2 2 3" xfId="17792" xr:uid="{00000000-0005-0000-0000-000080450000}"/>
    <cellStyle name="Comma 12 2 3 2 2 3 2" xfId="17793" xr:uid="{00000000-0005-0000-0000-000081450000}"/>
    <cellStyle name="Comma 12 2 3 2 2 3 2 2" xfId="17794" xr:uid="{00000000-0005-0000-0000-000082450000}"/>
    <cellStyle name="Comma 12 2 3 2 2 3 2 3" xfId="17795" xr:uid="{00000000-0005-0000-0000-000083450000}"/>
    <cellStyle name="Comma 12 2 3 2 2 3 3" xfId="17796" xr:uid="{00000000-0005-0000-0000-000084450000}"/>
    <cellStyle name="Comma 12 2 3 2 2 3 4" xfId="17797" xr:uid="{00000000-0005-0000-0000-000085450000}"/>
    <cellStyle name="Comma 12 2 3 2 2 4" xfId="17798" xr:uid="{00000000-0005-0000-0000-000086450000}"/>
    <cellStyle name="Comma 12 2 3 2 2 4 2" xfId="17799" xr:uid="{00000000-0005-0000-0000-000087450000}"/>
    <cellStyle name="Comma 12 2 3 2 2 4 3" xfId="17800" xr:uid="{00000000-0005-0000-0000-000088450000}"/>
    <cellStyle name="Comma 12 2 3 2 2 5" xfId="17801" xr:uid="{00000000-0005-0000-0000-000089450000}"/>
    <cellStyle name="Comma 12 2 3 2 2 6" xfId="17802" xr:uid="{00000000-0005-0000-0000-00008A450000}"/>
    <cellStyle name="Comma 12 2 3 2 3" xfId="17803" xr:uid="{00000000-0005-0000-0000-00008B450000}"/>
    <cellStyle name="Comma 12 2 3 2 3 2" xfId="17804" xr:uid="{00000000-0005-0000-0000-00008C450000}"/>
    <cellStyle name="Comma 12 2 3 2 3 2 2" xfId="17805" xr:uid="{00000000-0005-0000-0000-00008D450000}"/>
    <cellStyle name="Comma 12 2 3 2 3 2 2 2" xfId="17806" xr:uid="{00000000-0005-0000-0000-00008E450000}"/>
    <cellStyle name="Comma 12 2 3 2 3 2 2 3" xfId="17807" xr:uid="{00000000-0005-0000-0000-00008F450000}"/>
    <cellStyle name="Comma 12 2 3 2 3 2 3" xfId="17808" xr:uid="{00000000-0005-0000-0000-000090450000}"/>
    <cellStyle name="Comma 12 2 3 2 3 2 4" xfId="17809" xr:uid="{00000000-0005-0000-0000-000091450000}"/>
    <cellStyle name="Comma 12 2 3 2 3 3" xfId="17810" xr:uid="{00000000-0005-0000-0000-000092450000}"/>
    <cellStyle name="Comma 12 2 3 2 3 3 2" xfId="17811" xr:uid="{00000000-0005-0000-0000-000093450000}"/>
    <cellStyle name="Comma 12 2 3 2 3 3 3" xfId="17812" xr:uid="{00000000-0005-0000-0000-000094450000}"/>
    <cellStyle name="Comma 12 2 3 2 3 4" xfId="17813" xr:uid="{00000000-0005-0000-0000-000095450000}"/>
    <cellStyle name="Comma 12 2 3 2 3 5" xfId="17814" xr:uid="{00000000-0005-0000-0000-000096450000}"/>
    <cellStyle name="Comma 12 2 3 2 4" xfId="17815" xr:uid="{00000000-0005-0000-0000-000097450000}"/>
    <cellStyle name="Comma 12 2 3 2 4 2" xfId="17816" xr:uid="{00000000-0005-0000-0000-000098450000}"/>
    <cellStyle name="Comma 12 2 3 2 4 2 2" xfId="17817" xr:uid="{00000000-0005-0000-0000-000099450000}"/>
    <cellStyle name="Comma 12 2 3 2 4 2 3" xfId="17818" xr:uid="{00000000-0005-0000-0000-00009A450000}"/>
    <cellStyle name="Comma 12 2 3 2 4 3" xfId="17819" xr:uid="{00000000-0005-0000-0000-00009B450000}"/>
    <cellStyle name="Comma 12 2 3 2 4 4" xfId="17820" xr:uid="{00000000-0005-0000-0000-00009C450000}"/>
    <cellStyle name="Comma 12 2 3 2 5" xfId="17821" xr:uid="{00000000-0005-0000-0000-00009D450000}"/>
    <cellStyle name="Comma 12 2 3 2 5 2" xfId="17822" xr:uid="{00000000-0005-0000-0000-00009E450000}"/>
    <cellStyle name="Comma 12 2 3 2 5 3" xfId="17823" xr:uid="{00000000-0005-0000-0000-00009F450000}"/>
    <cellStyle name="Comma 12 2 3 2 6" xfId="17824" xr:uid="{00000000-0005-0000-0000-0000A0450000}"/>
    <cellStyle name="Comma 12 2 3 2 7" xfId="17825" xr:uid="{00000000-0005-0000-0000-0000A1450000}"/>
    <cellStyle name="Comma 12 2 3 3" xfId="17826" xr:uid="{00000000-0005-0000-0000-0000A2450000}"/>
    <cellStyle name="Comma 12 2 3 3 2" xfId="17827" xr:uid="{00000000-0005-0000-0000-0000A3450000}"/>
    <cellStyle name="Comma 12 2 3 3 2 2" xfId="17828" xr:uid="{00000000-0005-0000-0000-0000A4450000}"/>
    <cellStyle name="Comma 12 2 3 3 2 2 2" xfId="17829" xr:uid="{00000000-0005-0000-0000-0000A5450000}"/>
    <cellStyle name="Comma 12 2 3 3 2 2 2 2" xfId="17830" xr:uid="{00000000-0005-0000-0000-0000A6450000}"/>
    <cellStyle name="Comma 12 2 3 3 2 2 2 3" xfId="17831" xr:uid="{00000000-0005-0000-0000-0000A7450000}"/>
    <cellStyle name="Comma 12 2 3 3 2 2 3" xfId="17832" xr:uid="{00000000-0005-0000-0000-0000A8450000}"/>
    <cellStyle name="Comma 12 2 3 3 2 2 4" xfId="17833" xr:uid="{00000000-0005-0000-0000-0000A9450000}"/>
    <cellStyle name="Comma 12 2 3 3 2 3" xfId="17834" xr:uid="{00000000-0005-0000-0000-0000AA450000}"/>
    <cellStyle name="Comma 12 2 3 3 2 3 2" xfId="17835" xr:uid="{00000000-0005-0000-0000-0000AB450000}"/>
    <cellStyle name="Comma 12 2 3 3 2 3 3" xfId="17836" xr:uid="{00000000-0005-0000-0000-0000AC450000}"/>
    <cellStyle name="Comma 12 2 3 3 2 4" xfId="17837" xr:uid="{00000000-0005-0000-0000-0000AD450000}"/>
    <cellStyle name="Comma 12 2 3 3 2 5" xfId="17838" xr:uid="{00000000-0005-0000-0000-0000AE450000}"/>
    <cellStyle name="Comma 12 2 3 3 3" xfId="17839" xr:uid="{00000000-0005-0000-0000-0000AF450000}"/>
    <cellStyle name="Comma 12 2 3 3 3 2" xfId="17840" xr:uid="{00000000-0005-0000-0000-0000B0450000}"/>
    <cellStyle name="Comma 12 2 3 3 3 2 2" xfId="17841" xr:uid="{00000000-0005-0000-0000-0000B1450000}"/>
    <cellStyle name="Comma 12 2 3 3 3 2 3" xfId="17842" xr:uid="{00000000-0005-0000-0000-0000B2450000}"/>
    <cellStyle name="Comma 12 2 3 3 3 3" xfId="17843" xr:uid="{00000000-0005-0000-0000-0000B3450000}"/>
    <cellStyle name="Comma 12 2 3 3 3 4" xfId="17844" xr:uid="{00000000-0005-0000-0000-0000B4450000}"/>
    <cellStyle name="Comma 12 2 3 3 4" xfId="17845" xr:uid="{00000000-0005-0000-0000-0000B5450000}"/>
    <cellStyle name="Comma 12 2 3 3 4 2" xfId="17846" xr:uid="{00000000-0005-0000-0000-0000B6450000}"/>
    <cellStyle name="Comma 12 2 3 3 4 3" xfId="17847" xr:uid="{00000000-0005-0000-0000-0000B7450000}"/>
    <cellStyle name="Comma 12 2 3 3 5" xfId="17848" xr:uid="{00000000-0005-0000-0000-0000B8450000}"/>
    <cellStyle name="Comma 12 2 3 3 6" xfId="17849" xr:uid="{00000000-0005-0000-0000-0000B9450000}"/>
    <cellStyle name="Comma 12 2 3 4" xfId="17850" xr:uid="{00000000-0005-0000-0000-0000BA450000}"/>
    <cellStyle name="Comma 12 2 3 4 2" xfId="17851" xr:uid="{00000000-0005-0000-0000-0000BB450000}"/>
    <cellStyle name="Comma 12 2 3 4 2 2" xfId="17852" xr:uid="{00000000-0005-0000-0000-0000BC450000}"/>
    <cellStyle name="Comma 12 2 3 4 2 2 2" xfId="17853" xr:uid="{00000000-0005-0000-0000-0000BD450000}"/>
    <cellStyle name="Comma 12 2 3 4 2 2 3" xfId="17854" xr:uid="{00000000-0005-0000-0000-0000BE450000}"/>
    <cellStyle name="Comma 12 2 3 4 2 3" xfId="17855" xr:uid="{00000000-0005-0000-0000-0000BF450000}"/>
    <cellStyle name="Comma 12 2 3 4 2 4" xfId="17856" xr:uid="{00000000-0005-0000-0000-0000C0450000}"/>
    <cellStyle name="Comma 12 2 3 4 3" xfId="17857" xr:uid="{00000000-0005-0000-0000-0000C1450000}"/>
    <cellStyle name="Comma 12 2 3 4 3 2" xfId="17858" xr:uid="{00000000-0005-0000-0000-0000C2450000}"/>
    <cellStyle name="Comma 12 2 3 4 3 3" xfId="17859" xr:uid="{00000000-0005-0000-0000-0000C3450000}"/>
    <cellStyle name="Comma 12 2 3 4 4" xfId="17860" xr:uid="{00000000-0005-0000-0000-0000C4450000}"/>
    <cellStyle name="Comma 12 2 3 4 5" xfId="17861" xr:uid="{00000000-0005-0000-0000-0000C5450000}"/>
    <cellStyle name="Comma 12 2 3 5" xfId="17862" xr:uid="{00000000-0005-0000-0000-0000C6450000}"/>
    <cellStyle name="Comma 12 2 3 5 2" xfId="17863" xr:uid="{00000000-0005-0000-0000-0000C7450000}"/>
    <cellStyle name="Comma 12 2 3 5 2 2" xfId="17864" xr:uid="{00000000-0005-0000-0000-0000C8450000}"/>
    <cellStyle name="Comma 12 2 3 5 2 3" xfId="17865" xr:uid="{00000000-0005-0000-0000-0000C9450000}"/>
    <cellStyle name="Comma 12 2 3 5 3" xfId="17866" xr:uid="{00000000-0005-0000-0000-0000CA450000}"/>
    <cellStyle name="Comma 12 2 3 5 4" xfId="17867" xr:uid="{00000000-0005-0000-0000-0000CB450000}"/>
    <cellStyle name="Comma 12 2 3 6" xfId="17868" xr:uid="{00000000-0005-0000-0000-0000CC450000}"/>
    <cellStyle name="Comma 12 2 3 6 2" xfId="17869" xr:uid="{00000000-0005-0000-0000-0000CD450000}"/>
    <cellStyle name="Comma 12 2 3 6 3" xfId="17870" xr:uid="{00000000-0005-0000-0000-0000CE450000}"/>
    <cellStyle name="Comma 12 2 3 7" xfId="17871" xr:uid="{00000000-0005-0000-0000-0000CF450000}"/>
    <cellStyle name="Comma 12 2 3 8" xfId="17872" xr:uid="{00000000-0005-0000-0000-0000D0450000}"/>
    <cellStyle name="Comma 12 2 4" xfId="17873" xr:uid="{00000000-0005-0000-0000-0000D1450000}"/>
    <cellStyle name="Comma 12 2 4 2" xfId="17874" xr:uid="{00000000-0005-0000-0000-0000D2450000}"/>
    <cellStyle name="Comma 12 2 4 2 2" xfId="17875" xr:uid="{00000000-0005-0000-0000-0000D3450000}"/>
    <cellStyle name="Comma 12 2 4 2 2 2" xfId="17876" xr:uid="{00000000-0005-0000-0000-0000D4450000}"/>
    <cellStyle name="Comma 12 2 4 2 2 2 2" xfId="17877" xr:uid="{00000000-0005-0000-0000-0000D5450000}"/>
    <cellStyle name="Comma 12 2 4 2 2 2 2 2" xfId="17878" xr:uid="{00000000-0005-0000-0000-0000D6450000}"/>
    <cellStyle name="Comma 12 2 4 2 2 2 2 3" xfId="17879" xr:uid="{00000000-0005-0000-0000-0000D7450000}"/>
    <cellStyle name="Comma 12 2 4 2 2 2 3" xfId="17880" xr:uid="{00000000-0005-0000-0000-0000D8450000}"/>
    <cellStyle name="Comma 12 2 4 2 2 2 4" xfId="17881" xr:uid="{00000000-0005-0000-0000-0000D9450000}"/>
    <cellStyle name="Comma 12 2 4 2 2 3" xfId="17882" xr:uid="{00000000-0005-0000-0000-0000DA450000}"/>
    <cellStyle name="Comma 12 2 4 2 2 3 2" xfId="17883" xr:uid="{00000000-0005-0000-0000-0000DB450000}"/>
    <cellStyle name="Comma 12 2 4 2 2 3 3" xfId="17884" xr:uid="{00000000-0005-0000-0000-0000DC450000}"/>
    <cellStyle name="Comma 12 2 4 2 2 4" xfId="17885" xr:uid="{00000000-0005-0000-0000-0000DD450000}"/>
    <cellStyle name="Comma 12 2 4 2 2 5" xfId="17886" xr:uid="{00000000-0005-0000-0000-0000DE450000}"/>
    <cellStyle name="Comma 12 2 4 2 3" xfId="17887" xr:uid="{00000000-0005-0000-0000-0000DF450000}"/>
    <cellStyle name="Comma 12 2 4 2 3 2" xfId="17888" xr:uid="{00000000-0005-0000-0000-0000E0450000}"/>
    <cellStyle name="Comma 12 2 4 2 3 2 2" xfId="17889" xr:uid="{00000000-0005-0000-0000-0000E1450000}"/>
    <cellStyle name="Comma 12 2 4 2 3 2 3" xfId="17890" xr:uid="{00000000-0005-0000-0000-0000E2450000}"/>
    <cellStyle name="Comma 12 2 4 2 3 3" xfId="17891" xr:uid="{00000000-0005-0000-0000-0000E3450000}"/>
    <cellStyle name="Comma 12 2 4 2 3 4" xfId="17892" xr:uid="{00000000-0005-0000-0000-0000E4450000}"/>
    <cellStyle name="Comma 12 2 4 2 4" xfId="17893" xr:uid="{00000000-0005-0000-0000-0000E5450000}"/>
    <cellStyle name="Comma 12 2 4 2 4 2" xfId="17894" xr:uid="{00000000-0005-0000-0000-0000E6450000}"/>
    <cellStyle name="Comma 12 2 4 2 4 3" xfId="17895" xr:uid="{00000000-0005-0000-0000-0000E7450000}"/>
    <cellStyle name="Comma 12 2 4 2 5" xfId="17896" xr:uid="{00000000-0005-0000-0000-0000E8450000}"/>
    <cellStyle name="Comma 12 2 4 2 6" xfId="17897" xr:uid="{00000000-0005-0000-0000-0000E9450000}"/>
    <cellStyle name="Comma 12 2 4 3" xfId="17898" xr:uid="{00000000-0005-0000-0000-0000EA450000}"/>
    <cellStyle name="Comma 12 2 4 3 2" xfId="17899" xr:uid="{00000000-0005-0000-0000-0000EB450000}"/>
    <cellStyle name="Comma 12 2 4 3 2 2" xfId="17900" xr:uid="{00000000-0005-0000-0000-0000EC450000}"/>
    <cellStyle name="Comma 12 2 4 3 2 2 2" xfId="17901" xr:uid="{00000000-0005-0000-0000-0000ED450000}"/>
    <cellStyle name="Comma 12 2 4 3 2 2 3" xfId="17902" xr:uid="{00000000-0005-0000-0000-0000EE450000}"/>
    <cellStyle name="Comma 12 2 4 3 2 3" xfId="17903" xr:uid="{00000000-0005-0000-0000-0000EF450000}"/>
    <cellStyle name="Comma 12 2 4 3 2 4" xfId="17904" xr:uid="{00000000-0005-0000-0000-0000F0450000}"/>
    <cellStyle name="Comma 12 2 4 3 3" xfId="17905" xr:uid="{00000000-0005-0000-0000-0000F1450000}"/>
    <cellStyle name="Comma 12 2 4 3 3 2" xfId="17906" xr:uid="{00000000-0005-0000-0000-0000F2450000}"/>
    <cellStyle name="Comma 12 2 4 3 3 3" xfId="17907" xr:uid="{00000000-0005-0000-0000-0000F3450000}"/>
    <cellStyle name="Comma 12 2 4 3 4" xfId="17908" xr:uid="{00000000-0005-0000-0000-0000F4450000}"/>
    <cellStyle name="Comma 12 2 4 3 5" xfId="17909" xr:uid="{00000000-0005-0000-0000-0000F5450000}"/>
    <cellStyle name="Comma 12 2 4 4" xfId="17910" xr:uid="{00000000-0005-0000-0000-0000F6450000}"/>
    <cellStyle name="Comma 12 2 4 4 2" xfId="17911" xr:uid="{00000000-0005-0000-0000-0000F7450000}"/>
    <cellStyle name="Comma 12 2 4 4 2 2" xfId="17912" xr:uid="{00000000-0005-0000-0000-0000F8450000}"/>
    <cellStyle name="Comma 12 2 4 4 2 3" xfId="17913" xr:uid="{00000000-0005-0000-0000-0000F9450000}"/>
    <cellStyle name="Comma 12 2 4 4 3" xfId="17914" xr:uid="{00000000-0005-0000-0000-0000FA450000}"/>
    <cellStyle name="Comma 12 2 4 4 4" xfId="17915" xr:uid="{00000000-0005-0000-0000-0000FB450000}"/>
    <cellStyle name="Comma 12 2 4 5" xfId="17916" xr:uid="{00000000-0005-0000-0000-0000FC450000}"/>
    <cellStyle name="Comma 12 2 4 5 2" xfId="17917" xr:uid="{00000000-0005-0000-0000-0000FD450000}"/>
    <cellStyle name="Comma 12 2 4 5 3" xfId="17918" xr:uid="{00000000-0005-0000-0000-0000FE450000}"/>
    <cellStyle name="Comma 12 2 4 6" xfId="17919" xr:uid="{00000000-0005-0000-0000-0000FF450000}"/>
    <cellStyle name="Comma 12 2 4 7" xfId="17920" xr:uid="{00000000-0005-0000-0000-000000460000}"/>
    <cellStyle name="Comma 12 2 5" xfId="17921" xr:uid="{00000000-0005-0000-0000-000001460000}"/>
    <cellStyle name="Comma 12 2 5 2" xfId="17922" xr:uid="{00000000-0005-0000-0000-000002460000}"/>
    <cellStyle name="Comma 12 2 5 2 2" xfId="17923" xr:uid="{00000000-0005-0000-0000-000003460000}"/>
    <cellStyle name="Comma 12 2 5 2 2 2" xfId="17924" xr:uid="{00000000-0005-0000-0000-000004460000}"/>
    <cellStyle name="Comma 12 2 5 2 2 2 2" xfId="17925" xr:uid="{00000000-0005-0000-0000-000005460000}"/>
    <cellStyle name="Comma 12 2 5 2 2 2 3" xfId="17926" xr:uid="{00000000-0005-0000-0000-000006460000}"/>
    <cellStyle name="Comma 12 2 5 2 2 3" xfId="17927" xr:uid="{00000000-0005-0000-0000-000007460000}"/>
    <cellStyle name="Comma 12 2 5 2 2 4" xfId="17928" xr:uid="{00000000-0005-0000-0000-000008460000}"/>
    <cellStyle name="Comma 12 2 5 2 3" xfId="17929" xr:uid="{00000000-0005-0000-0000-000009460000}"/>
    <cellStyle name="Comma 12 2 5 2 3 2" xfId="17930" xr:uid="{00000000-0005-0000-0000-00000A460000}"/>
    <cellStyle name="Comma 12 2 5 2 3 3" xfId="17931" xr:uid="{00000000-0005-0000-0000-00000B460000}"/>
    <cellStyle name="Comma 12 2 5 2 4" xfId="17932" xr:uid="{00000000-0005-0000-0000-00000C460000}"/>
    <cellStyle name="Comma 12 2 5 2 5" xfId="17933" xr:uid="{00000000-0005-0000-0000-00000D460000}"/>
    <cellStyle name="Comma 12 2 5 3" xfId="17934" xr:uid="{00000000-0005-0000-0000-00000E460000}"/>
    <cellStyle name="Comma 12 2 5 3 2" xfId="17935" xr:uid="{00000000-0005-0000-0000-00000F460000}"/>
    <cellStyle name="Comma 12 2 5 3 2 2" xfId="17936" xr:uid="{00000000-0005-0000-0000-000010460000}"/>
    <cellStyle name="Comma 12 2 5 3 2 3" xfId="17937" xr:uid="{00000000-0005-0000-0000-000011460000}"/>
    <cellStyle name="Comma 12 2 5 3 3" xfId="17938" xr:uid="{00000000-0005-0000-0000-000012460000}"/>
    <cellStyle name="Comma 12 2 5 3 4" xfId="17939" xr:uid="{00000000-0005-0000-0000-000013460000}"/>
    <cellStyle name="Comma 12 2 5 4" xfId="17940" xr:uid="{00000000-0005-0000-0000-000014460000}"/>
    <cellStyle name="Comma 12 2 5 4 2" xfId="17941" xr:uid="{00000000-0005-0000-0000-000015460000}"/>
    <cellStyle name="Comma 12 2 5 4 3" xfId="17942" xr:uid="{00000000-0005-0000-0000-000016460000}"/>
    <cellStyle name="Comma 12 2 5 5" xfId="17943" xr:uid="{00000000-0005-0000-0000-000017460000}"/>
    <cellStyle name="Comma 12 2 5 6" xfId="17944" xr:uid="{00000000-0005-0000-0000-000018460000}"/>
    <cellStyle name="Comma 12 2 6" xfId="17945" xr:uid="{00000000-0005-0000-0000-000019460000}"/>
    <cellStyle name="Comma 12 2 6 2" xfId="17946" xr:uid="{00000000-0005-0000-0000-00001A460000}"/>
    <cellStyle name="Comma 12 2 6 2 2" xfId="17947" xr:uid="{00000000-0005-0000-0000-00001B460000}"/>
    <cellStyle name="Comma 12 2 6 2 2 2" xfId="17948" xr:uid="{00000000-0005-0000-0000-00001C460000}"/>
    <cellStyle name="Comma 12 2 6 2 2 3" xfId="17949" xr:uid="{00000000-0005-0000-0000-00001D460000}"/>
    <cellStyle name="Comma 12 2 6 2 3" xfId="17950" xr:uid="{00000000-0005-0000-0000-00001E460000}"/>
    <cellStyle name="Comma 12 2 6 2 4" xfId="17951" xr:uid="{00000000-0005-0000-0000-00001F460000}"/>
    <cellStyle name="Comma 12 2 6 3" xfId="17952" xr:uid="{00000000-0005-0000-0000-000020460000}"/>
    <cellStyle name="Comma 12 2 6 3 2" xfId="17953" xr:uid="{00000000-0005-0000-0000-000021460000}"/>
    <cellStyle name="Comma 12 2 6 3 3" xfId="17954" xr:uid="{00000000-0005-0000-0000-000022460000}"/>
    <cellStyle name="Comma 12 2 6 4" xfId="17955" xr:uid="{00000000-0005-0000-0000-000023460000}"/>
    <cellStyle name="Comma 12 2 6 5" xfId="17956" xr:uid="{00000000-0005-0000-0000-000024460000}"/>
    <cellStyle name="Comma 12 2 7" xfId="17957" xr:uid="{00000000-0005-0000-0000-000025460000}"/>
    <cellStyle name="Comma 12 2 7 2" xfId="17958" xr:uid="{00000000-0005-0000-0000-000026460000}"/>
    <cellStyle name="Comma 12 2 7 2 2" xfId="17959" xr:uid="{00000000-0005-0000-0000-000027460000}"/>
    <cellStyle name="Comma 12 2 7 2 3" xfId="17960" xr:uid="{00000000-0005-0000-0000-000028460000}"/>
    <cellStyle name="Comma 12 2 7 3" xfId="17961" xr:uid="{00000000-0005-0000-0000-000029460000}"/>
    <cellStyle name="Comma 12 2 7 4" xfId="17962" xr:uid="{00000000-0005-0000-0000-00002A460000}"/>
    <cellStyle name="Comma 12 2 8" xfId="17963" xr:uid="{00000000-0005-0000-0000-00002B460000}"/>
    <cellStyle name="Comma 12 2 8 2" xfId="17964" xr:uid="{00000000-0005-0000-0000-00002C460000}"/>
    <cellStyle name="Comma 12 2 8 3" xfId="17965" xr:uid="{00000000-0005-0000-0000-00002D460000}"/>
    <cellStyle name="Comma 12 2 9" xfId="17966" xr:uid="{00000000-0005-0000-0000-00002E460000}"/>
    <cellStyle name="Comma 12 3" xfId="17967" xr:uid="{00000000-0005-0000-0000-00002F460000}"/>
    <cellStyle name="Comma 12 3 2" xfId="17968" xr:uid="{00000000-0005-0000-0000-000030460000}"/>
    <cellStyle name="Comma 12 3 2 2" xfId="17969" xr:uid="{00000000-0005-0000-0000-000031460000}"/>
    <cellStyle name="Comma 12 3 2 2 2" xfId="17970" xr:uid="{00000000-0005-0000-0000-000032460000}"/>
    <cellStyle name="Comma 12 3 2 2 2 2" xfId="17971" xr:uid="{00000000-0005-0000-0000-000033460000}"/>
    <cellStyle name="Comma 12 3 2 2 2 2 2" xfId="17972" xr:uid="{00000000-0005-0000-0000-000034460000}"/>
    <cellStyle name="Comma 12 3 2 2 2 2 2 2" xfId="17973" xr:uid="{00000000-0005-0000-0000-000035460000}"/>
    <cellStyle name="Comma 12 3 2 2 2 2 2 2 2" xfId="17974" xr:uid="{00000000-0005-0000-0000-000036460000}"/>
    <cellStyle name="Comma 12 3 2 2 2 2 2 2 3" xfId="17975" xr:uid="{00000000-0005-0000-0000-000037460000}"/>
    <cellStyle name="Comma 12 3 2 2 2 2 2 3" xfId="17976" xr:uid="{00000000-0005-0000-0000-000038460000}"/>
    <cellStyle name="Comma 12 3 2 2 2 2 2 4" xfId="17977" xr:uid="{00000000-0005-0000-0000-000039460000}"/>
    <cellStyle name="Comma 12 3 2 2 2 2 3" xfId="17978" xr:uid="{00000000-0005-0000-0000-00003A460000}"/>
    <cellStyle name="Comma 12 3 2 2 2 2 3 2" xfId="17979" xr:uid="{00000000-0005-0000-0000-00003B460000}"/>
    <cellStyle name="Comma 12 3 2 2 2 2 3 3" xfId="17980" xr:uid="{00000000-0005-0000-0000-00003C460000}"/>
    <cellStyle name="Comma 12 3 2 2 2 2 4" xfId="17981" xr:uid="{00000000-0005-0000-0000-00003D460000}"/>
    <cellStyle name="Comma 12 3 2 2 2 2 5" xfId="17982" xr:uid="{00000000-0005-0000-0000-00003E460000}"/>
    <cellStyle name="Comma 12 3 2 2 2 3" xfId="17983" xr:uid="{00000000-0005-0000-0000-00003F460000}"/>
    <cellStyle name="Comma 12 3 2 2 2 3 2" xfId="17984" xr:uid="{00000000-0005-0000-0000-000040460000}"/>
    <cellStyle name="Comma 12 3 2 2 2 3 2 2" xfId="17985" xr:uid="{00000000-0005-0000-0000-000041460000}"/>
    <cellStyle name="Comma 12 3 2 2 2 3 2 3" xfId="17986" xr:uid="{00000000-0005-0000-0000-000042460000}"/>
    <cellStyle name="Comma 12 3 2 2 2 3 3" xfId="17987" xr:uid="{00000000-0005-0000-0000-000043460000}"/>
    <cellStyle name="Comma 12 3 2 2 2 3 4" xfId="17988" xr:uid="{00000000-0005-0000-0000-000044460000}"/>
    <cellStyle name="Comma 12 3 2 2 2 4" xfId="17989" xr:uid="{00000000-0005-0000-0000-000045460000}"/>
    <cellStyle name="Comma 12 3 2 2 2 4 2" xfId="17990" xr:uid="{00000000-0005-0000-0000-000046460000}"/>
    <cellStyle name="Comma 12 3 2 2 2 4 3" xfId="17991" xr:uid="{00000000-0005-0000-0000-000047460000}"/>
    <cellStyle name="Comma 12 3 2 2 2 5" xfId="17992" xr:uid="{00000000-0005-0000-0000-000048460000}"/>
    <cellStyle name="Comma 12 3 2 2 2 6" xfId="17993" xr:uid="{00000000-0005-0000-0000-000049460000}"/>
    <cellStyle name="Comma 12 3 2 2 3" xfId="17994" xr:uid="{00000000-0005-0000-0000-00004A460000}"/>
    <cellStyle name="Comma 12 3 2 2 3 2" xfId="17995" xr:uid="{00000000-0005-0000-0000-00004B460000}"/>
    <cellStyle name="Comma 12 3 2 2 3 2 2" xfId="17996" xr:uid="{00000000-0005-0000-0000-00004C460000}"/>
    <cellStyle name="Comma 12 3 2 2 3 2 2 2" xfId="17997" xr:uid="{00000000-0005-0000-0000-00004D460000}"/>
    <cellStyle name="Comma 12 3 2 2 3 2 2 3" xfId="17998" xr:uid="{00000000-0005-0000-0000-00004E460000}"/>
    <cellStyle name="Comma 12 3 2 2 3 2 3" xfId="17999" xr:uid="{00000000-0005-0000-0000-00004F460000}"/>
    <cellStyle name="Comma 12 3 2 2 3 2 4" xfId="18000" xr:uid="{00000000-0005-0000-0000-000050460000}"/>
    <cellStyle name="Comma 12 3 2 2 3 3" xfId="18001" xr:uid="{00000000-0005-0000-0000-000051460000}"/>
    <cellStyle name="Comma 12 3 2 2 3 3 2" xfId="18002" xr:uid="{00000000-0005-0000-0000-000052460000}"/>
    <cellStyle name="Comma 12 3 2 2 3 3 3" xfId="18003" xr:uid="{00000000-0005-0000-0000-000053460000}"/>
    <cellStyle name="Comma 12 3 2 2 3 4" xfId="18004" xr:uid="{00000000-0005-0000-0000-000054460000}"/>
    <cellStyle name="Comma 12 3 2 2 3 5" xfId="18005" xr:uid="{00000000-0005-0000-0000-000055460000}"/>
    <cellStyle name="Comma 12 3 2 2 4" xfId="18006" xr:uid="{00000000-0005-0000-0000-000056460000}"/>
    <cellStyle name="Comma 12 3 2 2 4 2" xfId="18007" xr:uid="{00000000-0005-0000-0000-000057460000}"/>
    <cellStyle name="Comma 12 3 2 2 4 2 2" xfId="18008" xr:uid="{00000000-0005-0000-0000-000058460000}"/>
    <cellStyle name="Comma 12 3 2 2 4 2 3" xfId="18009" xr:uid="{00000000-0005-0000-0000-000059460000}"/>
    <cellStyle name="Comma 12 3 2 2 4 3" xfId="18010" xr:uid="{00000000-0005-0000-0000-00005A460000}"/>
    <cellStyle name="Comma 12 3 2 2 4 4" xfId="18011" xr:uid="{00000000-0005-0000-0000-00005B460000}"/>
    <cellStyle name="Comma 12 3 2 2 5" xfId="18012" xr:uid="{00000000-0005-0000-0000-00005C460000}"/>
    <cellStyle name="Comma 12 3 2 2 5 2" xfId="18013" xr:uid="{00000000-0005-0000-0000-00005D460000}"/>
    <cellStyle name="Comma 12 3 2 2 5 3" xfId="18014" xr:uid="{00000000-0005-0000-0000-00005E460000}"/>
    <cellStyle name="Comma 12 3 2 2 6" xfId="18015" xr:uid="{00000000-0005-0000-0000-00005F460000}"/>
    <cellStyle name="Comma 12 3 2 2 7" xfId="18016" xr:uid="{00000000-0005-0000-0000-000060460000}"/>
    <cellStyle name="Comma 12 3 2 3" xfId="18017" xr:uid="{00000000-0005-0000-0000-000061460000}"/>
    <cellStyle name="Comma 12 3 2 3 2" xfId="18018" xr:uid="{00000000-0005-0000-0000-000062460000}"/>
    <cellStyle name="Comma 12 3 2 3 2 2" xfId="18019" xr:uid="{00000000-0005-0000-0000-000063460000}"/>
    <cellStyle name="Comma 12 3 2 3 2 2 2" xfId="18020" xr:uid="{00000000-0005-0000-0000-000064460000}"/>
    <cellStyle name="Comma 12 3 2 3 2 2 2 2" xfId="18021" xr:uid="{00000000-0005-0000-0000-000065460000}"/>
    <cellStyle name="Comma 12 3 2 3 2 2 2 3" xfId="18022" xr:uid="{00000000-0005-0000-0000-000066460000}"/>
    <cellStyle name="Comma 12 3 2 3 2 2 3" xfId="18023" xr:uid="{00000000-0005-0000-0000-000067460000}"/>
    <cellStyle name="Comma 12 3 2 3 2 2 4" xfId="18024" xr:uid="{00000000-0005-0000-0000-000068460000}"/>
    <cellStyle name="Comma 12 3 2 3 2 3" xfId="18025" xr:uid="{00000000-0005-0000-0000-000069460000}"/>
    <cellStyle name="Comma 12 3 2 3 2 3 2" xfId="18026" xr:uid="{00000000-0005-0000-0000-00006A460000}"/>
    <cellStyle name="Comma 12 3 2 3 2 3 3" xfId="18027" xr:uid="{00000000-0005-0000-0000-00006B460000}"/>
    <cellStyle name="Comma 12 3 2 3 2 4" xfId="18028" xr:uid="{00000000-0005-0000-0000-00006C460000}"/>
    <cellStyle name="Comma 12 3 2 3 2 5" xfId="18029" xr:uid="{00000000-0005-0000-0000-00006D460000}"/>
    <cellStyle name="Comma 12 3 2 3 3" xfId="18030" xr:uid="{00000000-0005-0000-0000-00006E460000}"/>
    <cellStyle name="Comma 12 3 2 3 3 2" xfId="18031" xr:uid="{00000000-0005-0000-0000-00006F460000}"/>
    <cellStyle name="Comma 12 3 2 3 3 2 2" xfId="18032" xr:uid="{00000000-0005-0000-0000-000070460000}"/>
    <cellStyle name="Comma 12 3 2 3 3 2 3" xfId="18033" xr:uid="{00000000-0005-0000-0000-000071460000}"/>
    <cellStyle name="Comma 12 3 2 3 3 3" xfId="18034" xr:uid="{00000000-0005-0000-0000-000072460000}"/>
    <cellStyle name="Comma 12 3 2 3 3 4" xfId="18035" xr:uid="{00000000-0005-0000-0000-000073460000}"/>
    <cellStyle name="Comma 12 3 2 3 4" xfId="18036" xr:uid="{00000000-0005-0000-0000-000074460000}"/>
    <cellStyle name="Comma 12 3 2 3 4 2" xfId="18037" xr:uid="{00000000-0005-0000-0000-000075460000}"/>
    <cellStyle name="Comma 12 3 2 3 4 3" xfId="18038" xr:uid="{00000000-0005-0000-0000-000076460000}"/>
    <cellStyle name="Comma 12 3 2 3 5" xfId="18039" xr:uid="{00000000-0005-0000-0000-000077460000}"/>
    <cellStyle name="Comma 12 3 2 3 6" xfId="18040" xr:uid="{00000000-0005-0000-0000-000078460000}"/>
    <cellStyle name="Comma 12 3 2 4" xfId="18041" xr:uid="{00000000-0005-0000-0000-000079460000}"/>
    <cellStyle name="Comma 12 3 2 4 2" xfId="18042" xr:uid="{00000000-0005-0000-0000-00007A460000}"/>
    <cellStyle name="Comma 12 3 2 4 2 2" xfId="18043" xr:uid="{00000000-0005-0000-0000-00007B460000}"/>
    <cellStyle name="Comma 12 3 2 4 2 2 2" xfId="18044" xr:uid="{00000000-0005-0000-0000-00007C460000}"/>
    <cellStyle name="Comma 12 3 2 4 2 2 3" xfId="18045" xr:uid="{00000000-0005-0000-0000-00007D460000}"/>
    <cellStyle name="Comma 12 3 2 4 2 3" xfId="18046" xr:uid="{00000000-0005-0000-0000-00007E460000}"/>
    <cellStyle name="Comma 12 3 2 4 2 4" xfId="18047" xr:uid="{00000000-0005-0000-0000-00007F460000}"/>
    <cellStyle name="Comma 12 3 2 4 3" xfId="18048" xr:uid="{00000000-0005-0000-0000-000080460000}"/>
    <cellStyle name="Comma 12 3 2 4 3 2" xfId="18049" xr:uid="{00000000-0005-0000-0000-000081460000}"/>
    <cellStyle name="Comma 12 3 2 4 3 3" xfId="18050" xr:uid="{00000000-0005-0000-0000-000082460000}"/>
    <cellStyle name="Comma 12 3 2 4 4" xfId="18051" xr:uid="{00000000-0005-0000-0000-000083460000}"/>
    <cellStyle name="Comma 12 3 2 4 5" xfId="18052" xr:uid="{00000000-0005-0000-0000-000084460000}"/>
    <cellStyle name="Comma 12 3 2 5" xfId="18053" xr:uid="{00000000-0005-0000-0000-000085460000}"/>
    <cellStyle name="Comma 12 3 2 5 2" xfId="18054" xr:uid="{00000000-0005-0000-0000-000086460000}"/>
    <cellStyle name="Comma 12 3 2 5 2 2" xfId="18055" xr:uid="{00000000-0005-0000-0000-000087460000}"/>
    <cellStyle name="Comma 12 3 2 5 2 3" xfId="18056" xr:uid="{00000000-0005-0000-0000-000088460000}"/>
    <cellStyle name="Comma 12 3 2 5 3" xfId="18057" xr:uid="{00000000-0005-0000-0000-000089460000}"/>
    <cellStyle name="Comma 12 3 2 5 4" xfId="18058" xr:uid="{00000000-0005-0000-0000-00008A460000}"/>
    <cellStyle name="Comma 12 3 2 6" xfId="18059" xr:uid="{00000000-0005-0000-0000-00008B460000}"/>
    <cellStyle name="Comma 12 3 2 6 2" xfId="18060" xr:uid="{00000000-0005-0000-0000-00008C460000}"/>
    <cellStyle name="Comma 12 3 2 6 3" xfId="18061" xr:uid="{00000000-0005-0000-0000-00008D460000}"/>
    <cellStyle name="Comma 12 3 2 7" xfId="18062" xr:uid="{00000000-0005-0000-0000-00008E460000}"/>
    <cellStyle name="Comma 12 3 2 8" xfId="18063" xr:uid="{00000000-0005-0000-0000-00008F460000}"/>
    <cellStyle name="Comma 12 3 3" xfId="18064" xr:uid="{00000000-0005-0000-0000-000090460000}"/>
    <cellStyle name="Comma 12 3 3 2" xfId="18065" xr:uid="{00000000-0005-0000-0000-000091460000}"/>
    <cellStyle name="Comma 12 3 3 2 2" xfId="18066" xr:uid="{00000000-0005-0000-0000-000092460000}"/>
    <cellStyle name="Comma 12 3 3 2 2 2" xfId="18067" xr:uid="{00000000-0005-0000-0000-000093460000}"/>
    <cellStyle name="Comma 12 3 3 2 2 2 2" xfId="18068" xr:uid="{00000000-0005-0000-0000-000094460000}"/>
    <cellStyle name="Comma 12 3 3 2 2 2 2 2" xfId="18069" xr:uid="{00000000-0005-0000-0000-000095460000}"/>
    <cellStyle name="Comma 12 3 3 2 2 2 2 3" xfId="18070" xr:uid="{00000000-0005-0000-0000-000096460000}"/>
    <cellStyle name="Comma 12 3 3 2 2 2 3" xfId="18071" xr:uid="{00000000-0005-0000-0000-000097460000}"/>
    <cellStyle name="Comma 12 3 3 2 2 2 4" xfId="18072" xr:uid="{00000000-0005-0000-0000-000098460000}"/>
    <cellStyle name="Comma 12 3 3 2 2 3" xfId="18073" xr:uid="{00000000-0005-0000-0000-000099460000}"/>
    <cellStyle name="Comma 12 3 3 2 2 3 2" xfId="18074" xr:uid="{00000000-0005-0000-0000-00009A460000}"/>
    <cellStyle name="Comma 12 3 3 2 2 3 3" xfId="18075" xr:uid="{00000000-0005-0000-0000-00009B460000}"/>
    <cellStyle name="Comma 12 3 3 2 2 4" xfId="18076" xr:uid="{00000000-0005-0000-0000-00009C460000}"/>
    <cellStyle name="Comma 12 3 3 2 2 5" xfId="18077" xr:uid="{00000000-0005-0000-0000-00009D460000}"/>
    <cellStyle name="Comma 12 3 3 2 3" xfId="18078" xr:uid="{00000000-0005-0000-0000-00009E460000}"/>
    <cellStyle name="Comma 12 3 3 2 3 2" xfId="18079" xr:uid="{00000000-0005-0000-0000-00009F460000}"/>
    <cellStyle name="Comma 12 3 3 2 3 2 2" xfId="18080" xr:uid="{00000000-0005-0000-0000-0000A0460000}"/>
    <cellStyle name="Comma 12 3 3 2 3 2 3" xfId="18081" xr:uid="{00000000-0005-0000-0000-0000A1460000}"/>
    <cellStyle name="Comma 12 3 3 2 3 3" xfId="18082" xr:uid="{00000000-0005-0000-0000-0000A2460000}"/>
    <cellStyle name="Comma 12 3 3 2 3 4" xfId="18083" xr:uid="{00000000-0005-0000-0000-0000A3460000}"/>
    <cellStyle name="Comma 12 3 3 2 4" xfId="18084" xr:uid="{00000000-0005-0000-0000-0000A4460000}"/>
    <cellStyle name="Comma 12 3 3 2 4 2" xfId="18085" xr:uid="{00000000-0005-0000-0000-0000A5460000}"/>
    <cellStyle name="Comma 12 3 3 2 4 3" xfId="18086" xr:uid="{00000000-0005-0000-0000-0000A6460000}"/>
    <cellStyle name="Comma 12 3 3 2 5" xfId="18087" xr:uid="{00000000-0005-0000-0000-0000A7460000}"/>
    <cellStyle name="Comma 12 3 3 2 6" xfId="18088" xr:uid="{00000000-0005-0000-0000-0000A8460000}"/>
    <cellStyle name="Comma 12 3 3 3" xfId="18089" xr:uid="{00000000-0005-0000-0000-0000A9460000}"/>
    <cellStyle name="Comma 12 3 3 3 2" xfId="18090" xr:uid="{00000000-0005-0000-0000-0000AA460000}"/>
    <cellStyle name="Comma 12 3 3 3 2 2" xfId="18091" xr:uid="{00000000-0005-0000-0000-0000AB460000}"/>
    <cellStyle name="Comma 12 3 3 3 2 2 2" xfId="18092" xr:uid="{00000000-0005-0000-0000-0000AC460000}"/>
    <cellStyle name="Comma 12 3 3 3 2 2 3" xfId="18093" xr:uid="{00000000-0005-0000-0000-0000AD460000}"/>
    <cellStyle name="Comma 12 3 3 3 2 3" xfId="18094" xr:uid="{00000000-0005-0000-0000-0000AE460000}"/>
    <cellStyle name="Comma 12 3 3 3 2 4" xfId="18095" xr:uid="{00000000-0005-0000-0000-0000AF460000}"/>
    <cellStyle name="Comma 12 3 3 3 3" xfId="18096" xr:uid="{00000000-0005-0000-0000-0000B0460000}"/>
    <cellStyle name="Comma 12 3 3 3 3 2" xfId="18097" xr:uid="{00000000-0005-0000-0000-0000B1460000}"/>
    <cellStyle name="Comma 12 3 3 3 3 3" xfId="18098" xr:uid="{00000000-0005-0000-0000-0000B2460000}"/>
    <cellStyle name="Comma 12 3 3 3 4" xfId="18099" xr:uid="{00000000-0005-0000-0000-0000B3460000}"/>
    <cellStyle name="Comma 12 3 3 3 5" xfId="18100" xr:uid="{00000000-0005-0000-0000-0000B4460000}"/>
    <cellStyle name="Comma 12 3 3 4" xfId="18101" xr:uid="{00000000-0005-0000-0000-0000B5460000}"/>
    <cellStyle name="Comma 12 3 3 4 2" xfId="18102" xr:uid="{00000000-0005-0000-0000-0000B6460000}"/>
    <cellStyle name="Comma 12 3 3 4 2 2" xfId="18103" xr:uid="{00000000-0005-0000-0000-0000B7460000}"/>
    <cellStyle name="Comma 12 3 3 4 2 3" xfId="18104" xr:uid="{00000000-0005-0000-0000-0000B8460000}"/>
    <cellStyle name="Comma 12 3 3 4 3" xfId="18105" xr:uid="{00000000-0005-0000-0000-0000B9460000}"/>
    <cellStyle name="Comma 12 3 3 4 4" xfId="18106" xr:uid="{00000000-0005-0000-0000-0000BA460000}"/>
    <cellStyle name="Comma 12 3 3 5" xfId="18107" xr:uid="{00000000-0005-0000-0000-0000BB460000}"/>
    <cellStyle name="Comma 12 3 3 5 2" xfId="18108" xr:uid="{00000000-0005-0000-0000-0000BC460000}"/>
    <cellStyle name="Comma 12 3 3 5 3" xfId="18109" xr:uid="{00000000-0005-0000-0000-0000BD460000}"/>
    <cellStyle name="Comma 12 3 3 6" xfId="18110" xr:uid="{00000000-0005-0000-0000-0000BE460000}"/>
    <cellStyle name="Comma 12 3 3 7" xfId="18111" xr:uid="{00000000-0005-0000-0000-0000BF460000}"/>
    <cellStyle name="Comma 12 3 4" xfId="18112" xr:uid="{00000000-0005-0000-0000-0000C0460000}"/>
    <cellStyle name="Comma 12 3 4 2" xfId="18113" xr:uid="{00000000-0005-0000-0000-0000C1460000}"/>
    <cellStyle name="Comma 12 3 4 2 2" xfId="18114" xr:uid="{00000000-0005-0000-0000-0000C2460000}"/>
    <cellStyle name="Comma 12 3 4 2 2 2" xfId="18115" xr:uid="{00000000-0005-0000-0000-0000C3460000}"/>
    <cellStyle name="Comma 12 3 4 2 2 2 2" xfId="18116" xr:uid="{00000000-0005-0000-0000-0000C4460000}"/>
    <cellStyle name="Comma 12 3 4 2 2 2 3" xfId="18117" xr:uid="{00000000-0005-0000-0000-0000C5460000}"/>
    <cellStyle name="Comma 12 3 4 2 2 3" xfId="18118" xr:uid="{00000000-0005-0000-0000-0000C6460000}"/>
    <cellStyle name="Comma 12 3 4 2 2 4" xfId="18119" xr:uid="{00000000-0005-0000-0000-0000C7460000}"/>
    <cellStyle name="Comma 12 3 4 2 3" xfId="18120" xr:uid="{00000000-0005-0000-0000-0000C8460000}"/>
    <cellStyle name="Comma 12 3 4 2 3 2" xfId="18121" xr:uid="{00000000-0005-0000-0000-0000C9460000}"/>
    <cellStyle name="Comma 12 3 4 2 3 3" xfId="18122" xr:uid="{00000000-0005-0000-0000-0000CA460000}"/>
    <cellStyle name="Comma 12 3 4 2 4" xfId="18123" xr:uid="{00000000-0005-0000-0000-0000CB460000}"/>
    <cellStyle name="Comma 12 3 4 2 5" xfId="18124" xr:uid="{00000000-0005-0000-0000-0000CC460000}"/>
    <cellStyle name="Comma 12 3 4 3" xfId="18125" xr:uid="{00000000-0005-0000-0000-0000CD460000}"/>
    <cellStyle name="Comma 12 3 4 3 2" xfId="18126" xr:uid="{00000000-0005-0000-0000-0000CE460000}"/>
    <cellStyle name="Comma 12 3 4 3 2 2" xfId="18127" xr:uid="{00000000-0005-0000-0000-0000CF460000}"/>
    <cellStyle name="Comma 12 3 4 3 2 3" xfId="18128" xr:uid="{00000000-0005-0000-0000-0000D0460000}"/>
    <cellStyle name="Comma 12 3 4 3 3" xfId="18129" xr:uid="{00000000-0005-0000-0000-0000D1460000}"/>
    <cellStyle name="Comma 12 3 4 3 4" xfId="18130" xr:uid="{00000000-0005-0000-0000-0000D2460000}"/>
    <cellStyle name="Comma 12 3 4 4" xfId="18131" xr:uid="{00000000-0005-0000-0000-0000D3460000}"/>
    <cellStyle name="Comma 12 3 4 4 2" xfId="18132" xr:uid="{00000000-0005-0000-0000-0000D4460000}"/>
    <cellStyle name="Comma 12 3 4 4 3" xfId="18133" xr:uid="{00000000-0005-0000-0000-0000D5460000}"/>
    <cellStyle name="Comma 12 3 4 5" xfId="18134" xr:uid="{00000000-0005-0000-0000-0000D6460000}"/>
    <cellStyle name="Comma 12 3 4 6" xfId="18135" xr:uid="{00000000-0005-0000-0000-0000D7460000}"/>
    <cellStyle name="Comma 12 3 5" xfId="18136" xr:uid="{00000000-0005-0000-0000-0000D8460000}"/>
    <cellStyle name="Comma 12 3 5 2" xfId="18137" xr:uid="{00000000-0005-0000-0000-0000D9460000}"/>
    <cellStyle name="Comma 12 3 5 2 2" xfId="18138" xr:uid="{00000000-0005-0000-0000-0000DA460000}"/>
    <cellStyle name="Comma 12 3 5 2 2 2" xfId="18139" xr:uid="{00000000-0005-0000-0000-0000DB460000}"/>
    <cellStyle name="Comma 12 3 5 2 2 3" xfId="18140" xr:uid="{00000000-0005-0000-0000-0000DC460000}"/>
    <cellStyle name="Comma 12 3 5 2 3" xfId="18141" xr:uid="{00000000-0005-0000-0000-0000DD460000}"/>
    <cellStyle name="Comma 12 3 5 2 4" xfId="18142" xr:uid="{00000000-0005-0000-0000-0000DE460000}"/>
    <cellStyle name="Comma 12 3 5 3" xfId="18143" xr:uid="{00000000-0005-0000-0000-0000DF460000}"/>
    <cellStyle name="Comma 12 3 5 3 2" xfId="18144" xr:uid="{00000000-0005-0000-0000-0000E0460000}"/>
    <cellStyle name="Comma 12 3 5 3 3" xfId="18145" xr:uid="{00000000-0005-0000-0000-0000E1460000}"/>
    <cellStyle name="Comma 12 3 5 4" xfId="18146" xr:uid="{00000000-0005-0000-0000-0000E2460000}"/>
    <cellStyle name="Comma 12 3 5 5" xfId="18147" xr:uid="{00000000-0005-0000-0000-0000E3460000}"/>
    <cellStyle name="Comma 12 3 6" xfId="18148" xr:uid="{00000000-0005-0000-0000-0000E4460000}"/>
    <cellStyle name="Comma 12 3 6 2" xfId="18149" xr:uid="{00000000-0005-0000-0000-0000E5460000}"/>
    <cellStyle name="Comma 12 3 6 2 2" xfId="18150" xr:uid="{00000000-0005-0000-0000-0000E6460000}"/>
    <cellStyle name="Comma 12 3 6 2 3" xfId="18151" xr:uid="{00000000-0005-0000-0000-0000E7460000}"/>
    <cellStyle name="Comma 12 3 6 3" xfId="18152" xr:uid="{00000000-0005-0000-0000-0000E8460000}"/>
    <cellStyle name="Comma 12 3 6 4" xfId="18153" xr:uid="{00000000-0005-0000-0000-0000E9460000}"/>
    <cellStyle name="Comma 12 3 7" xfId="18154" xr:uid="{00000000-0005-0000-0000-0000EA460000}"/>
    <cellStyle name="Comma 12 3 7 2" xfId="18155" xr:uid="{00000000-0005-0000-0000-0000EB460000}"/>
    <cellStyle name="Comma 12 3 7 3" xfId="18156" xr:uid="{00000000-0005-0000-0000-0000EC460000}"/>
    <cellStyle name="Comma 12 3 8" xfId="18157" xr:uid="{00000000-0005-0000-0000-0000ED460000}"/>
    <cellStyle name="Comma 12 3 9" xfId="18158" xr:uid="{00000000-0005-0000-0000-0000EE460000}"/>
    <cellStyle name="Comma 12 4" xfId="18159" xr:uid="{00000000-0005-0000-0000-0000EF460000}"/>
    <cellStyle name="Comma 12 4 2" xfId="18160" xr:uid="{00000000-0005-0000-0000-0000F0460000}"/>
    <cellStyle name="Comma 12 4 2 2" xfId="18161" xr:uid="{00000000-0005-0000-0000-0000F1460000}"/>
    <cellStyle name="Comma 12 4 2 2 2" xfId="18162" xr:uid="{00000000-0005-0000-0000-0000F2460000}"/>
    <cellStyle name="Comma 12 4 2 2 2 2" xfId="18163" xr:uid="{00000000-0005-0000-0000-0000F3460000}"/>
    <cellStyle name="Comma 12 4 2 2 2 2 2" xfId="18164" xr:uid="{00000000-0005-0000-0000-0000F4460000}"/>
    <cellStyle name="Comma 12 4 2 2 2 2 2 2" xfId="18165" xr:uid="{00000000-0005-0000-0000-0000F5460000}"/>
    <cellStyle name="Comma 12 4 2 2 2 2 2 3" xfId="18166" xr:uid="{00000000-0005-0000-0000-0000F6460000}"/>
    <cellStyle name="Comma 12 4 2 2 2 2 3" xfId="18167" xr:uid="{00000000-0005-0000-0000-0000F7460000}"/>
    <cellStyle name="Comma 12 4 2 2 2 2 4" xfId="18168" xr:uid="{00000000-0005-0000-0000-0000F8460000}"/>
    <cellStyle name="Comma 12 4 2 2 2 3" xfId="18169" xr:uid="{00000000-0005-0000-0000-0000F9460000}"/>
    <cellStyle name="Comma 12 4 2 2 2 3 2" xfId="18170" xr:uid="{00000000-0005-0000-0000-0000FA460000}"/>
    <cellStyle name="Comma 12 4 2 2 2 3 3" xfId="18171" xr:uid="{00000000-0005-0000-0000-0000FB460000}"/>
    <cellStyle name="Comma 12 4 2 2 2 4" xfId="18172" xr:uid="{00000000-0005-0000-0000-0000FC460000}"/>
    <cellStyle name="Comma 12 4 2 2 2 5" xfId="18173" xr:uid="{00000000-0005-0000-0000-0000FD460000}"/>
    <cellStyle name="Comma 12 4 2 2 3" xfId="18174" xr:uid="{00000000-0005-0000-0000-0000FE460000}"/>
    <cellStyle name="Comma 12 4 2 2 3 2" xfId="18175" xr:uid="{00000000-0005-0000-0000-0000FF460000}"/>
    <cellStyle name="Comma 12 4 2 2 3 2 2" xfId="18176" xr:uid="{00000000-0005-0000-0000-000000470000}"/>
    <cellStyle name="Comma 12 4 2 2 3 2 3" xfId="18177" xr:uid="{00000000-0005-0000-0000-000001470000}"/>
    <cellStyle name="Comma 12 4 2 2 3 3" xfId="18178" xr:uid="{00000000-0005-0000-0000-000002470000}"/>
    <cellStyle name="Comma 12 4 2 2 3 4" xfId="18179" xr:uid="{00000000-0005-0000-0000-000003470000}"/>
    <cellStyle name="Comma 12 4 2 2 4" xfId="18180" xr:uid="{00000000-0005-0000-0000-000004470000}"/>
    <cellStyle name="Comma 12 4 2 2 4 2" xfId="18181" xr:uid="{00000000-0005-0000-0000-000005470000}"/>
    <cellStyle name="Comma 12 4 2 2 4 3" xfId="18182" xr:uid="{00000000-0005-0000-0000-000006470000}"/>
    <cellStyle name="Comma 12 4 2 2 5" xfId="18183" xr:uid="{00000000-0005-0000-0000-000007470000}"/>
    <cellStyle name="Comma 12 4 2 2 6" xfId="18184" xr:uid="{00000000-0005-0000-0000-000008470000}"/>
    <cellStyle name="Comma 12 4 2 3" xfId="18185" xr:uid="{00000000-0005-0000-0000-000009470000}"/>
    <cellStyle name="Comma 12 4 2 3 2" xfId="18186" xr:uid="{00000000-0005-0000-0000-00000A470000}"/>
    <cellStyle name="Comma 12 4 2 3 2 2" xfId="18187" xr:uid="{00000000-0005-0000-0000-00000B470000}"/>
    <cellStyle name="Comma 12 4 2 3 2 2 2" xfId="18188" xr:uid="{00000000-0005-0000-0000-00000C470000}"/>
    <cellStyle name="Comma 12 4 2 3 2 2 3" xfId="18189" xr:uid="{00000000-0005-0000-0000-00000D470000}"/>
    <cellStyle name="Comma 12 4 2 3 2 3" xfId="18190" xr:uid="{00000000-0005-0000-0000-00000E470000}"/>
    <cellStyle name="Comma 12 4 2 3 2 4" xfId="18191" xr:uid="{00000000-0005-0000-0000-00000F470000}"/>
    <cellStyle name="Comma 12 4 2 3 3" xfId="18192" xr:uid="{00000000-0005-0000-0000-000010470000}"/>
    <cellStyle name="Comma 12 4 2 3 3 2" xfId="18193" xr:uid="{00000000-0005-0000-0000-000011470000}"/>
    <cellStyle name="Comma 12 4 2 3 3 3" xfId="18194" xr:uid="{00000000-0005-0000-0000-000012470000}"/>
    <cellStyle name="Comma 12 4 2 3 4" xfId="18195" xr:uid="{00000000-0005-0000-0000-000013470000}"/>
    <cellStyle name="Comma 12 4 2 3 5" xfId="18196" xr:uid="{00000000-0005-0000-0000-000014470000}"/>
    <cellStyle name="Comma 12 4 2 4" xfId="18197" xr:uid="{00000000-0005-0000-0000-000015470000}"/>
    <cellStyle name="Comma 12 4 2 4 2" xfId="18198" xr:uid="{00000000-0005-0000-0000-000016470000}"/>
    <cellStyle name="Comma 12 4 2 4 2 2" xfId="18199" xr:uid="{00000000-0005-0000-0000-000017470000}"/>
    <cellStyle name="Comma 12 4 2 4 2 3" xfId="18200" xr:uid="{00000000-0005-0000-0000-000018470000}"/>
    <cellStyle name="Comma 12 4 2 4 3" xfId="18201" xr:uid="{00000000-0005-0000-0000-000019470000}"/>
    <cellStyle name="Comma 12 4 2 4 4" xfId="18202" xr:uid="{00000000-0005-0000-0000-00001A470000}"/>
    <cellStyle name="Comma 12 4 2 5" xfId="18203" xr:uid="{00000000-0005-0000-0000-00001B470000}"/>
    <cellStyle name="Comma 12 4 2 5 2" xfId="18204" xr:uid="{00000000-0005-0000-0000-00001C470000}"/>
    <cellStyle name="Comma 12 4 2 5 3" xfId="18205" xr:uid="{00000000-0005-0000-0000-00001D470000}"/>
    <cellStyle name="Comma 12 4 2 6" xfId="18206" xr:uid="{00000000-0005-0000-0000-00001E470000}"/>
    <cellStyle name="Comma 12 4 2 7" xfId="18207" xr:uid="{00000000-0005-0000-0000-00001F470000}"/>
    <cellStyle name="Comma 12 4 3" xfId="18208" xr:uid="{00000000-0005-0000-0000-000020470000}"/>
    <cellStyle name="Comma 12 4 3 2" xfId="18209" xr:uid="{00000000-0005-0000-0000-000021470000}"/>
    <cellStyle name="Comma 12 4 3 2 2" xfId="18210" xr:uid="{00000000-0005-0000-0000-000022470000}"/>
    <cellStyle name="Comma 12 4 3 2 2 2" xfId="18211" xr:uid="{00000000-0005-0000-0000-000023470000}"/>
    <cellStyle name="Comma 12 4 3 2 2 2 2" xfId="18212" xr:uid="{00000000-0005-0000-0000-000024470000}"/>
    <cellStyle name="Comma 12 4 3 2 2 2 3" xfId="18213" xr:uid="{00000000-0005-0000-0000-000025470000}"/>
    <cellStyle name="Comma 12 4 3 2 2 3" xfId="18214" xr:uid="{00000000-0005-0000-0000-000026470000}"/>
    <cellStyle name="Comma 12 4 3 2 2 4" xfId="18215" xr:uid="{00000000-0005-0000-0000-000027470000}"/>
    <cellStyle name="Comma 12 4 3 2 3" xfId="18216" xr:uid="{00000000-0005-0000-0000-000028470000}"/>
    <cellStyle name="Comma 12 4 3 2 3 2" xfId="18217" xr:uid="{00000000-0005-0000-0000-000029470000}"/>
    <cellStyle name="Comma 12 4 3 2 3 3" xfId="18218" xr:uid="{00000000-0005-0000-0000-00002A470000}"/>
    <cellStyle name="Comma 12 4 3 2 4" xfId="18219" xr:uid="{00000000-0005-0000-0000-00002B470000}"/>
    <cellStyle name="Comma 12 4 3 2 5" xfId="18220" xr:uid="{00000000-0005-0000-0000-00002C470000}"/>
    <cellStyle name="Comma 12 4 3 3" xfId="18221" xr:uid="{00000000-0005-0000-0000-00002D470000}"/>
    <cellStyle name="Comma 12 4 3 3 2" xfId="18222" xr:uid="{00000000-0005-0000-0000-00002E470000}"/>
    <cellStyle name="Comma 12 4 3 3 2 2" xfId="18223" xr:uid="{00000000-0005-0000-0000-00002F470000}"/>
    <cellStyle name="Comma 12 4 3 3 2 3" xfId="18224" xr:uid="{00000000-0005-0000-0000-000030470000}"/>
    <cellStyle name="Comma 12 4 3 3 3" xfId="18225" xr:uid="{00000000-0005-0000-0000-000031470000}"/>
    <cellStyle name="Comma 12 4 3 3 4" xfId="18226" xr:uid="{00000000-0005-0000-0000-000032470000}"/>
    <cellStyle name="Comma 12 4 3 4" xfId="18227" xr:uid="{00000000-0005-0000-0000-000033470000}"/>
    <cellStyle name="Comma 12 4 3 4 2" xfId="18228" xr:uid="{00000000-0005-0000-0000-000034470000}"/>
    <cellStyle name="Comma 12 4 3 4 3" xfId="18229" xr:uid="{00000000-0005-0000-0000-000035470000}"/>
    <cellStyle name="Comma 12 4 3 5" xfId="18230" xr:uid="{00000000-0005-0000-0000-000036470000}"/>
    <cellStyle name="Comma 12 4 3 6" xfId="18231" xr:uid="{00000000-0005-0000-0000-000037470000}"/>
    <cellStyle name="Comma 12 4 4" xfId="18232" xr:uid="{00000000-0005-0000-0000-000038470000}"/>
    <cellStyle name="Comma 12 4 4 2" xfId="18233" xr:uid="{00000000-0005-0000-0000-000039470000}"/>
    <cellStyle name="Comma 12 4 4 2 2" xfId="18234" xr:uid="{00000000-0005-0000-0000-00003A470000}"/>
    <cellStyle name="Comma 12 4 4 2 2 2" xfId="18235" xr:uid="{00000000-0005-0000-0000-00003B470000}"/>
    <cellStyle name="Comma 12 4 4 2 2 3" xfId="18236" xr:uid="{00000000-0005-0000-0000-00003C470000}"/>
    <cellStyle name="Comma 12 4 4 2 3" xfId="18237" xr:uid="{00000000-0005-0000-0000-00003D470000}"/>
    <cellStyle name="Comma 12 4 4 2 4" xfId="18238" xr:uid="{00000000-0005-0000-0000-00003E470000}"/>
    <cellStyle name="Comma 12 4 4 3" xfId="18239" xr:uid="{00000000-0005-0000-0000-00003F470000}"/>
    <cellStyle name="Comma 12 4 4 3 2" xfId="18240" xr:uid="{00000000-0005-0000-0000-000040470000}"/>
    <cellStyle name="Comma 12 4 4 3 3" xfId="18241" xr:uid="{00000000-0005-0000-0000-000041470000}"/>
    <cellStyle name="Comma 12 4 4 4" xfId="18242" xr:uid="{00000000-0005-0000-0000-000042470000}"/>
    <cellStyle name="Comma 12 4 4 5" xfId="18243" xr:uid="{00000000-0005-0000-0000-000043470000}"/>
    <cellStyle name="Comma 12 4 5" xfId="18244" xr:uid="{00000000-0005-0000-0000-000044470000}"/>
    <cellStyle name="Comma 12 4 5 2" xfId="18245" xr:uid="{00000000-0005-0000-0000-000045470000}"/>
    <cellStyle name="Comma 12 4 5 2 2" xfId="18246" xr:uid="{00000000-0005-0000-0000-000046470000}"/>
    <cellStyle name="Comma 12 4 5 2 3" xfId="18247" xr:uid="{00000000-0005-0000-0000-000047470000}"/>
    <cellStyle name="Comma 12 4 5 3" xfId="18248" xr:uid="{00000000-0005-0000-0000-000048470000}"/>
    <cellStyle name="Comma 12 4 5 4" xfId="18249" xr:uid="{00000000-0005-0000-0000-000049470000}"/>
    <cellStyle name="Comma 12 4 6" xfId="18250" xr:uid="{00000000-0005-0000-0000-00004A470000}"/>
    <cellStyle name="Comma 12 4 6 2" xfId="18251" xr:uid="{00000000-0005-0000-0000-00004B470000}"/>
    <cellStyle name="Comma 12 4 6 3" xfId="18252" xr:uid="{00000000-0005-0000-0000-00004C470000}"/>
    <cellStyle name="Comma 12 4 7" xfId="18253" xr:uid="{00000000-0005-0000-0000-00004D470000}"/>
    <cellStyle name="Comma 12 4 8" xfId="18254" xr:uid="{00000000-0005-0000-0000-00004E470000}"/>
    <cellStyle name="Comma 12 5" xfId="18255" xr:uid="{00000000-0005-0000-0000-00004F470000}"/>
    <cellStyle name="Comma 12 5 2" xfId="18256" xr:uid="{00000000-0005-0000-0000-000050470000}"/>
    <cellStyle name="Comma 12 5 2 2" xfId="18257" xr:uid="{00000000-0005-0000-0000-000051470000}"/>
    <cellStyle name="Comma 12 5 2 2 2" xfId="18258" xr:uid="{00000000-0005-0000-0000-000052470000}"/>
    <cellStyle name="Comma 12 5 2 2 2 2" xfId="18259" xr:uid="{00000000-0005-0000-0000-000053470000}"/>
    <cellStyle name="Comma 12 5 2 2 2 2 2" xfId="18260" xr:uid="{00000000-0005-0000-0000-000054470000}"/>
    <cellStyle name="Comma 12 5 2 2 2 2 3" xfId="18261" xr:uid="{00000000-0005-0000-0000-000055470000}"/>
    <cellStyle name="Comma 12 5 2 2 2 3" xfId="18262" xr:uid="{00000000-0005-0000-0000-000056470000}"/>
    <cellStyle name="Comma 12 5 2 2 2 4" xfId="18263" xr:uid="{00000000-0005-0000-0000-000057470000}"/>
    <cellStyle name="Comma 12 5 2 2 3" xfId="18264" xr:uid="{00000000-0005-0000-0000-000058470000}"/>
    <cellStyle name="Comma 12 5 2 2 3 2" xfId="18265" xr:uid="{00000000-0005-0000-0000-000059470000}"/>
    <cellStyle name="Comma 12 5 2 2 3 3" xfId="18266" xr:uid="{00000000-0005-0000-0000-00005A470000}"/>
    <cellStyle name="Comma 12 5 2 2 4" xfId="18267" xr:uid="{00000000-0005-0000-0000-00005B470000}"/>
    <cellStyle name="Comma 12 5 2 2 5" xfId="18268" xr:uid="{00000000-0005-0000-0000-00005C470000}"/>
    <cellStyle name="Comma 12 5 2 3" xfId="18269" xr:uid="{00000000-0005-0000-0000-00005D470000}"/>
    <cellStyle name="Comma 12 5 2 3 2" xfId="18270" xr:uid="{00000000-0005-0000-0000-00005E470000}"/>
    <cellStyle name="Comma 12 5 2 3 2 2" xfId="18271" xr:uid="{00000000-0005-0000-0000-00005F470000}"/>
    <cellStyle name="Comma 12 5 2 3 2 3" xfId="18272" xr:uid="{00000000-0005-0000-0000-000060470000}"/>
    <cellStyle name="Comma 12 5 2 3 3" xfId="18273" xr:uid="{00000000-0005-0000-0000-000061470000}"/>
    <cellStyle name="Comma 12 5 2 3 4" xfId="18274" xr:uid="{00000000-0005-0000-0000-000062470000}"/>
    <cellStyle name="Comma 12 5 2 4" xfId="18275" xr:uid="{00000000-0005-0000-0000-000063470000}"/>
    <cellStyle name="Comma 12 5 2 4 2" xfId="18276" xr:uid="{00000000-0005-0000-0000-000064470000}"/>
    <cellStyle name="Comma 12 5 2 4 3" xfId="18277" xr:uid="{00000000-0005-0000-0000-000065470000}"/>
    <cellStyle name="Comma 12 5 2 5" xfId="18278" xr:uid="{00000000-0005-0000-0000-000066470000}"/>
    <cellStyle name="Comma 12 5 2 6" xfId="18279" xr:uid="{00000000-0005-0000-0000-000067470000}"/>
    <cellStyle name="Comma 12 5 3" xfId="18280" xr:uid="{00000000-0005-0000-0000-000068470000}"/>
    <cellStyle name="Comma 12 5 3 2" xfId="18281" xr:uid="{00000000-0005-0000-0000-000069470000}"/>
    <cellStyle name="Comma 12 5 3 2 2" xfId="18282" xr:uid="{00000000-0005-0000-0000-00006A470000}"/>
    <cellStyle name="Comma 12 5 3 2 2 2" xfId="18283" xr:uid="{00000000-0005-0000-0000-00006B470000}"/>
    <cellStyle name="Comma 12 5 3 2 2 3" xfId="18284" xr:uid="{00000000-0005-0000-0000-00006C470000}"/>
    <cellStyle name="Comma 12 5 3 2 3" xfId="18285" xr:uid="{00000000-0005-0000-0000-00006D470000}"/>
    <cellStyle name="Comma 12 5 3 2 4" xfId="18286" xr:uid="{00000000-0005-0000-0000-00006E470000}"/>
    <cellStyle name="Comma 12 5 3 3" xfId="18287" xr:uid="{00000000-0005-0000-0000-00006F470000}"/>
    <cellStyle name="Comma 12 5 3 3 2" xfId="18288" xr:uid="{00000000-0005-0000-0000-000070470000}"/>
    <cellStyle name="Comma 12 5 3 3 3" xfId="18289" xr:uid="{00000000-0005-0000-0000-000071470000}"/>
    <cellStyle name="Comma 12 5 3 4" xfId="18290" xr:uid="{00000000-0005-0000-0000-000072470000}"/>
    <cellStyle name="Comma 12 5 3 5" xfId="18291" xr:uid="{00000000-0005-0000-0000-000073470000}"/>
    <cellStyle name="Comma 12 5 4" xfId="18292" xr:uid="{00000000-0005-0000-0000-000074470000}"/>
    <cellStyle name="Comma 12 5 4 2" xfId="18293" xr:uid="{00000000-0005-0000-0000-000075470000}"/>
    <cellStyle name="Comma 12 5 4 2 2" xfId="18294" xr:uid="{00000000-0005-0000-0000-000076470000}"/>
    <cellStyle name="Comma 12 5 4 2 3" xfId="18295" xr:uid="{00000000-0005-0000-0000-000077470000}"/>
    <cellStyle name="Comma 12 5 4 3" xfId="18296" xr:uid="{00000000-0005-0000-0000-000078470000}"/>
    <cellStyle name="Comma 12 5 4 4" xfId="18297" xr:uid="{00000000-0005-0000-0000-000079470000}"/>
    <cellStyle name="Comma 12 5 5" xfId="18298" xr:uid="{00000000-0005-0000-0000-00007A470000}"/>
    <cellStyle name="Comma 12 5 5 2" xfId="18299" xr:uid="{00000000-0005-0000-0000-00007B470000}"/>
    <cellStyle name="Comma 12 5 5 3" xfId="18300" xr:uid="{00000000-0005-0000-0000-00007C470000}"/>
    <cellStyle name="Comma 12 5 6" xfId="18301" xr:uid="{00000000-0005-0000-0000-00007D470000}"/>
    <cellStyle name="Comma 12 5 7" xfId="18302" xr:uid="{00000000-0005-0000-0000-00007E470000}"/>
    <cellStyle name="Comma 12 6" xfId="18303" xr:uid="{00000000-0005-0000-0000-00007F470000}"/>
    <cellStyle name="Comma 12 6 2" xfId="18304" xr:uid="{00000000-0005-0000-0000-000080470000}"/>
    <cellStyle name="Comma 12 6 2 2" xfId="18305" xr:uid="{00000000-0005-0000-0000-000081470000}"/>
    <cellStyle name="Comma 12 6 2 2 2" xfId="18306" xr:uid="{00000000-0005-0000-0000-000082470000}"/>
    <cellStyle name="Comma 12 6 2 2 2 2" xfId="18307" xr:uid="{00000000-0005-0000-0000-000083470000}"/>
    <cellStyle name="Comma 12 6 2 2 2 3" xfId="18308" xr:uid="{00000000-0005-0000-0000-000084470000}"/>
    <cellStyle name="Comma 12 6 2 2 3" xfId="18309" xr:uid="{00000000-0005-0000-0000-000085470000}"/>
    <cellStyle name="Comma 12 6 2 2 4" xfId="18310" xr:uid="{00000000-0005-0000-0000-000086470000}"/>
    <cellStyle name="Comma 12 6 2 3" xfId="18311" xr:uid="{00000000-0005-0000-0000-000087470000}"/>
    <cellStyle name="Comma 12 6 2 3 2" xfId="18312" xr:uid="{00000000-0005-0000-0000-000088470000}"/>
    <cellStyle name="Comma 12 6 2 3 3" xfId="18313" xr:uid="{00000000-0005-0000-0000-000089470000}"/>
    <cellStyle name="Comma 12 6 2 4" xfId="18314" xr:uid="{00000000-0005-0000-0000-00008A470000}"/>
    <cellStyle name="Comma 12 6 2 5" xfId="18315" xr:uid="{00000000-0005-0000-0000-00008B470000}"/>
    <cellStyle name="Comma 12 6 3" xfId="18316" xr:uid="{00000000-0005-0000-0000-00008C470000}"/>
    <cellStyle name="Comma 12 6 3 2" xfId="18317" xr:uid="{00000000-0005-0000-0000-00008D470000}"/>
    <cellStyle name="Comma 12 6 3 2 2" xfId="18318" xr:uid="{00000000-0005-0000-0000-00008E470000}"/>
    <cellStyle name="Comma 12 6 3 2 3" xfId="18319" xr:uid="{00000000-0005-0000-0000-00008F470000}"/>
    <cellStyle name="Comma 12 6 3 3" xfId="18320" xr:uid="{00000000-0005-0000-0000-000090470000}"/>
    <cellStyle name="Comma 12 6 3 4" xfId="18321" xr:uid="{00000000-0005-0000-0000-000091470000}"/>
    <cellStyle name="Comma 12 6 4" xfId="18322" xr:uid="{00000000-0005-0000-0000-000092470000}"/>
    <cellStyle name="Comma 12 6 4 2" xfId="18323" xr:uid="{00000000-0005-0000-0000-000093470000}"/>
    <cellStyle name="Comma 12 6 4 3" xfId="18324" xr:uid="{00000000-0005-0000-0000-000094470000}"/>
    <cellStyle name="Comma 12 6 5" xfId="18325" xr:uid="{00000000-0005-0000-0000-000095470000}"/>
    <cellStyle name="Comma 12 6 6" xfId="18326" xr:uid="{00000000-0005-0000-0000-000096470000}"/>
    <cellStyle name="Comma 12 7" xfId="18327" xr:uid="{00000000-0005-0000-0000-000097470000}"/>
    <cellStyle name="Comma 12 7 2" xfId="18328" xr:uid="{00000000-0005-0000-0000-000098470000}"/>
    <cellStyle name="Comma 12 7 2 2" xfId="18329" xr:uid="{00000000-0005-0000-0000-000099470000}"/>
    <cellStyle name="Comma 12 7 2 2 2" xfId="18330" xr:uid="{00000000-0005-0000-0000-00009A470000}"/>
    <cellStyle name="Comma 12 7 2 2 3" xfId="18331" xr:uid="{00000000-0005-0000-0000-00009B470000}"/>
    <cellStyle name="Comma 12 7 2 3" xfId="18332" xr:uid="{00000000-0005-0000-0000-00009C470000}"/>
    <cellStyle name="Comma 12 7 2 4" xfId="18333" xr:uid="{00000000-0005-0000-0000-00009D470000}"/>
    <cellStyle name="Comma 12 7 3" xfId="18334" xr:uid="{00000000-0005-0000-0000-00009E470000}"/>
    <cellStyle name="Comma 12 7 3 2" xfId="18335" xr:uid="{00000000-0005-0000-0000-00009F470000}"/>
    <cellStyle name="Comma 12 7 3 3" xfId="18336" xr:uid="{00000000-0005-0000-0000-0000A0470000}"/>
    <cellStyle name="Comma 12 7 4" xfId="18337" xr:uid="{00000000-0005-0000-0000-0000A1470000}"/>
    <cellStyle name="Comma 12 7 5" xfId="18338" xr:uid="{00000000-0005-0000-0000-0000A2470000}"/>
    <cellStyle name="Comma 12 8" xfId="18339" xr:uid="{00000000-0005-0000-0000-0000A3470000}"/>
    <cellStyle name="Comma 12 8 2" xfId="18340" xr:uid="{00000000-0005-0000-0000-0000A4470000}"/>
    <cellStyle name="Comma 12 8 2 2" xfId="18341" xr:uid="{00000000-0005-0000-0000-0000A5470000}"/>
    <cellStyle name="Comma 12 8 2 2 2" xfId="18342" xr:uid="{00000000-0005-0000-0000-0000A6470000}"/>
    <cellStyle name="Comma 12 8 2 2 3" xfId="18343" xr:uid="{00000000-0005-0000-0000-0000A7470000}"/>
    <cellStyle name="Comma 12 8 2 3" xfId="18344" xr:uid="{00000000-0005-0000-0000-0000A8470000}"/>
    <cellStyle name="Comma 12 8 2 4" xfId="18345" xr:uid="{00000000-0005-0000-0000-0000A9470000}"/>
    <cellStyle name="Comma 12 8 3" xfId="18346" xr:uid="{00000000-0005-0000-0000-0000AA470000}"/>
    <cellStyle name="Comma 12 8 3 2" xfId="18347" xr:uid="{00000000-0005-0000-0000-0000AB470000}"/>
    <cellStyle name="Comma 12 8 3 3" xfId="18348" xr:uid="{00000000-0005-0000-0000-0000AC470000}"/>
    <cellStyle name="Comma 12 8 4" xfId="18349" xr:uid="{00000000-0005-0000-0000-0000AD470000}"/>
    <cellStyle name="Comma 12 8 5" xfId="18350" xr:uid="{00000000-0005-0000-0000-0000AE470000}"/>
    <cellStyle name="Comma 12 9" xfId="18351" xr:uid="{00000000-0005-0000-0000-0000AF470000}"/>
    <cellStyle name="Comma 12 9 2" xfId="18352" xr:uid="{00000000-0005-0000-0000-0000B0470000}"/>
    <cellStyle name="Comma 12 9 2 2" xfId="18353" xr:uid="{00000000-0005-0000-0000-0000B1470000}"/>
    <cellStyle name="Comma 12 9 2 3" xfId="18354" xr:uid="{00000000-0005-0000-0000-0000B2470000}"/>
    <cellStyle name="Comma 12 9 3" xfId="18355" xr:uid="{00000000-0005-0000-0000-0000B3470000}"/>
    <cellStyle name="Comma 12 9 4" xfId="18356" xr:uid="{00000000-0005-0000-0000-0000B4470000}"/>
    <cellStyle name="Comma 120" xfId="18357" xr:uid="{00000000-0005-0000-0000-0000B5470000}"/>
    <cellStyle name="Comma 121" xfId="18358" xr:uid="{00000000-0005-0000-0000-0000B6470000}"/>
    <cellStyle name="Comma 122" xfId="18359" xr:uid="{00000000-0005-0000-0000-0000B7470000}"/>
    <cellStyle name="Comma 123" xfId="18360" xr:uid="{00000000-0005-0000-0000-0000B8470000}"/>
    <cellStyle name="Comma 124" xfId="18361" xr:uid="{00000000-0005-0000-0000-0000B9470000}"/>
    <cellStyle name="Comma 125" xfId="18362" xr:uid="{00000000-0005-0000-0000-0000BA470000}"/>
    <cellStyle name="Comma 126" xfId="18363" xr:uid="{00000000-0005-0000-0000-0000BB470000}"/>
    <cellStyle name="Comma 127" xfId="18364" xr:uid="{00000000-0005-0000-0000-0000BC470000}"/>
    <cellStyle name="Comma 128" xfId="18365" xr:uid="{00000000-0005-0000-0000-0000BD470000}"/>
    <cellStyle name="Comma 129" xfId="18366" xr:uid="{00000000-0005-0000-0000-0000BE470000}"/>
    <cellStyle name="Comma 13" xfId="18367" xr:uid="{00000000-0005-0000-0000-0000BF470000}"/>
    <cellStyle name="Comma 13 10" xfId="18368" xr:uid="{00000000-0005-0000-0000-0000C0470000}"/>
    <cellStyle name="Comma 13 11" xfId="18369" xr:uid="{00000000-0005-0000-0000-0000C1470000}"/>
    <cellStyle name="Comma 13 2" xfId="18370" xr:uid="{00000000-0005-0000-0000-0000C2470000}"/>
    <cellStyle name="Comma 13 2 10" xfId="18371" xr:uid="{00000000-0005-0000-0000-0000C3470000}"/>
    <cellStyle name="Comma 13 2 2" xfId="18372" xr:uid="{00000000-0005-0000-0000-0000C4470000}"/>
    <cellStyle name="Comma 13 2 2 2" xfId="18373" xr:uid="{00000000-0005-0000-0000-0000C5470000}"/>
    <cellStyle name="Comma 13 2 2 2 2" xfId="18374" xr:uid="{00000000-0005-0000-0000-0000C6470000}"/>
    <cellStyle name="Comma 13 2 2 2 2 2" xfId="18375" xr:uid="{00000000-0005-0000-0000-0000C7470000}"/>
    <cellStyle name="Comma 13 2 2 2 2 2 2" xfId="18376" xr:uid="{00000000-0005-0000-0000-0000C8470000}"/>
    <cellStyle name="Comma 13 2 2 2 2 2 2 2" xfId="18377" xr:uid="{00000000-0005-0000-0000-0000C9470000}"/>
    <cellStyle name="Comma 13 2 2 2 2 2 2 2 2" xfId="18378" xr:uid="{00000000-0005-0000-0000-0000CA470000}"/>
    <cellStyle name="Comma 13 2 2 2 2 2 2 2 2 2" xfId="18379" xr:uid="{00000000-0005-0000-0000-0000CB470000}"/>
    <cellStyle name="Comma 13 2 2 2 2 2 2 2 2 3" xfId="18380" xr:uid="{00000000-0005-0000-0000-0000CC470000}"/>
    <cellStyle name="Comma 13 2 2 2 2 2 2 2 3" xfId="18381" xr:uid="{00000000-0005-0000-0000-0000CD470000}"/>
    <cellStyle name="Comma 13 2 2 2 2 2 2 2 4" xfId="18382" xr:uid="{00000000-0005-0000-0000-0000CE470000}"/>
    <cellStyle name="Comma 13 2 2 2 2 2 2 3" xfId="18383" xr:uid="{00000000-0005-0000-0000-0000CF470000}"/>
    <cellStyle name="Comma 13 2 2 2 2 2 2 3 2" xfId="18384" xr:uid="{00000000-0005-0000-0000-0000D0470000}"/>
    <cellStyle name="Comma 13 2 2 2 2 2 2 3 3" xfId="18385" xr:uid="{00000000-0005-0000-0000-0000D1470000}"/>
    <cellStyle name="Comma 13 2 2 2 2 2 2 4" xfId="18386" xr:uid="{00000000-0005-0000-0000-0000D2470000}"/>
    <cellStyle name="Comma 13 2 2 2 2 2 2 5" xfId="18387" xr:uid="{00000000-0005-0000-0000-0000D3470000}"/>
    <cellStyle name="Comma 13 2 2 2 2 2 3" xfId="18388" xr:uid="{00000000-0005-0000-0000-0000D4470000}"/>
    <cellStyle name="Comma 13 2 2 2 2 2 3 2" xfId="18389" xr:uid="{00000000-0005-0000-0000-0000D5470000}"/>
    <cellStyle name="Comma 13 2 2 2 2 2 3 2 2" xfId="18390" xr:uid="{00000000-0005-0000-0000-0000D6470000}"/>
    <cellStyle name="Comma 13 2 2 2 2 2 3 2 3" xfId="18391" xr:uid="{00000000-0005-0000-0000-0000D7470000}"/>
    <cellStyle name="Comma 13 2 2 2 2 2 3 3" xfId="18392" xr:uid="{00000000-0005-0000-0000-0000D8470000}"/>
    <cellStyle name="Comma 13 2 2 2 2 2 3 4" xfId="18393" xr:uid="{00000000-0005-0000-0000-0000D9470000}"/>
    <cellStyle name="Comma 13 2 2 2 2 2 4" xfId="18394" xr:uid="{00000000-0005-0000-0000-0000DA470000}"/>
    <cellStyle name="Comma 13 2 2 2 2 2 4 2" xfId="18395" xr:uid="{00000000-0005-0000-0000-0000DB470000}"/>
    <cellStyle name="Comma 13 2 2 2 2 2 4 3" xfId="18396" xr:uid="{00000000-0005-0000-0000-0000DC470000}"/>
    <cellStyle name="Comma 13 2 2 2 2 2 5" xfId="18397" xr:uid="{00000000-0005-0000-0000-0000DD470000}"/>
    <cellStyle name="Comma 13 2 2 2 2 2 6" xfId="18398" xr:uid="{00000000-0005-0000-0000-0000DE470000}"/>
    <cellStyle name="Comma 13 2 2 2 2 3" xfId="18399" xr:uid="{00000000-0005-0000-0000-0000DF470000}"/>
    <cellStyle name="Comma 13 2 2 2 2 3 2" xfId="18400" xr:uid="{00000000-0005-0000-0000-0000E0470000}"/>
    <cellStyle name="Comma 13 2 2 2 2 3 2 2" xfId="18401" xr:uid="{00000000-0005-0000-0000-0000E1470000}"/>
    <cellStyle name="Comma 13 2 2 2 2 3 2 2 2" xfId="18402" xr:uid="{00000000-0005-0000-0000-0000E2470000}"/>
    <cellStyle name="Comma 13 2 2 2 2 3 2 2 3" xfId="18403" xr:uid="{00000000-0005-0000-0000-0000E3470000}"/>
    <cellStyle name="Comma 13 2 2 2 2 3 2 3" xfId="18404" xr:uid="{00000000-0005-0000-0000-0000E4470000}"/>
    <cellStyle name="Comma 13 2 2 2 2 3 2 4" xfId="18405" xr:uid="{00000000-0005-0000-0000-0000E5470000}"/>
    <cellStyle name="Comma 13 2 2 2 2 3 3" xfId="18406" xr:uid="{00000000-0005-0000-0000-0000E6470000}"/>
    <cellStyle name="Comma 13 2 2 2 2 3 3 2" xfId="18407" xr:uid="{00000000-0005-0000-0000-0000E7470000}"/>
    <cellStyle name="Comma 13 2 2 2 2 3 3 3" xfId="18408" xr:uid="{00000000-0005-0000-0000-0000E8470000}"/>
    <cellStyle name="Comma 13 2 2 2 2 3 4" xfId="18409" xr:uid="{00000000-0005-0000-0000-0000E9470000}"/>
    <cellStyle name="Comma 13 2 2 2 2 3 5" xfId="18410" xr:uid="{00000000-0005-0000-0000-0000EA470000}"/>
    <cellStyle name="Comma 13 2 2 2 2 4" xfId="18411" xr:uid="{00000000-0005-0000-0000-0000EB470000}"/>
    <cellStyle name="Comma 13 2 2 2 2 4 2" xfId="18412" xr:uid="{00000000-0005-0000-0000-0000EC470000}"/>
    <cellStyle name="Comma 13 2 2 2 2 4 2 2" xfId="18413" xr:uid="{00000000-0005-0000-0000-0000ED470000}"/>
    <cellStyle name="Comma 13 2 2 2 2 4 2 3" xfId="18414" xr:uid="{00000000-0005-0000-0000-0000EE470000}"/>
    <cellStyle name="Comma 13 2 2 2 2 4 3" xfId="18415" xr:uid="{00000000-0005-0000-0000-0000EF470000}"/>
    <cellStyle name="Comma 13 2 2 2 2 4 4" xfId="18416" xr:uid="{00000000-0005-0000-0000-0000F0470000}"/>
    <cellStyle name="Comma 13 2 2 2 2 5" xfId="18417" xr:uid="{00000000-0005-0000-0000-0000F1470000}"/>
    <cellStyle name="Comma 13 2 2 2 2 5 2" xfId="18418" xr:uid="{00000000-0005-0000-0000-0000F2470000}"/>
    <cellStyle name="Comma 13 2 2 2 2 5 3" xfId="18419" xr:uid="{00000000-0005-0000-0000-0000F3470000}"/>
    <cellStyle name="Comma 13 2 2 2 2 6" xfId="18420" xr:uid="{00000000-0005-0000-0000-0000F4470000}"/>
    <cellStyle name="Comma 13 2 2 2 2 7" xfId="18421" xr:uid="{00000000-0005-0000-0000-0000F5470000}"/>
    <cellStyle name="Comma 13 2 2 2 3" xfId="18422" xr:uid="{00000000-0005-0000-0000-0000F6470000}"/>
    <cellStyle name="Comma 13 2 2 2 3 2" xfId="18423" xr:uid="{00000000-0005-0000-0000-0000F7470000}"/>
    <cellStyle name="Comma 13 2 2 2 3 2 2" xfId="18424" xr:uid="{00000000-0005-0000-0000-0000F8470000}"/>
    <cellStyle name="Comma 13 2 2 2 3 2 2 2" xfId="18425" xr:uid="{00000000-0005-0000-0000-0000F9470000}"/>
    <cellStyle name="Comma 13 2 2 2 3 2 2 2 2" xfId="18426" xr:uid="{00000000-0005-0000-0000-0000FA470000}"/>
    <cellStyle name="Comma 13 2 2 2 3 2 2 2 3" xfId="18427" xr:uid="{00000000-0005-0000-0000-0000FB470000}"/>
    <cellStyle name="Comma 13 2 2 2 3 2 2 3" xfId="18428" xr:uid="{00000000-0005-0000-0000-0000FC470000}"/>
    <cellStyle name="Comma 13 2 2 2 3 2 2 4" xfId="18429" xr:uid="{00000000-0005-0000-0000-0000FD470000}"/>
    <cellStyle name="Comma 13 2 2 2 3 2 3" xfId="18430" xr:uid="{00000000-0005-0000-0000-0000FE470000}"/>
    <cellStyle name="Comma 13 2 2 2 3 2 3 2" xfId="18431" xr:uid="{00000000-0005-0000-0000-0000FF470000}"/>
    <cellStyle name="Comma 13 2 2 2 3 2 3 3" xfId="18432" xr:uid="{00000000-0005-0000-0000-000000480000}"/>
    <cellStyle name="Comma 13 2 2 2 3 2 4" xfId="18433" xr:uid="{00000000-0005-0000-0000-000001480000}"/>
    <cellStyle name="Comma 13 2 2 2 3 2 5" xfId="18434" xr:uid="{00000000-0005-0000-0000-000002480000}"/>
    <cellStyle name="Comma 13 2 2 2 3 3" xfId="18435" xr:uid="{00000000-0005-0000-0000-000003480000}"/>
    <cellStyle name="Comma 13 2 2 2 3 3 2" xfId="18436" xr:uid="{00000000-0005-0000-0000-000004480000}"/>
    <cellStyle name="Comma 13 2 2 2 3 3 2 2" xfId="18437" xr:uid="{00000000-0005-0000-0000-000005480000}"/>
    <cellStyle name="Comma 13 2 2 2 3 3 2 3" xfId="18438" xr:uid="{00000000-0005-0000-0000-000006480000}"/>
    <cellStyle name="Comma 13 2 2 2 3 3 3" xfId="18439" xr:uid="{00000000-0005-0000-0000-000007480000}"/>
    <cellStyle name="Comma 13 2 2 2 3 3 4" xfId="18440" xr:uid="{00000000-0005-0000-0000-000008480000}"/>
    <cellStyle name="Comma 13 2 2 2 3 4" xfId="18441" xr:uid="{00000000-0005-0000-0000-000009480000}"/>
    <cellStyle name="Comma 13 2 2 2 3 4 2" xfId="18442" xr:uid="{00000000-0005-0000-0000-00000A480000}"/>
    <cellStyle name="Comma 13 2 2 2 3 4 3" xfId="18443" xr:uid="{00000000-0005-0000-0000-00000B480000}"/>
    <cellStyle name="Comma 13 2 2 2 3 5" xfId="18444" xr:uid="{00000000-0005-0000-0000-00000C480000}"/>
    <cellStyle name="Comma 13 2 2 2 3 6" xfId="18445" xr:uid="{00000000-0005-0000-0000-00000D480000}"/>
    <cellStyle name="Comma 13 2 2 2 4" xfId="18446" xr:uid="{00000000-0005-0000-0000-00000E480000}"/>
    <cellStyle name="Comma 13 2 2 2 4 2" xfId="18447" xr:uid="{00000000-0005-0000-0000-00000F480000}"/>
    <cellStyle name="Comma 13 2 2 2 4 2 2" xfId="18448" xr:uid="{00000000-0005-0000-0000-000010480000}"/>
    <cellStyle name="Comma 13 2 2 2 4 2 2 2" xfId="18449" xr:uid="{00000000-0005-0000-0000-000011480000}"/>
    <cellStyle name="Comma 13 2 2 2 4 2 2 3" xfId="18450" xr:uid="{00000000-0005-0000-0000-000012480000}"/>
    <cellStyle name="Comma 13 2 2 2 4 2 3" xfId="18451" xr:uid="{00000000-0005-0000-0000-000013480000}"/>
    <cellStyle name="Comma 13 2 2 2 4 2 4" xfId="18452" xr:uid="{00000000-0005-0000-0000-000014480000}"/>
    <cellStyle name="Comma 13 2 2 2 4 3" xfId="18453" xr:uid="{00000000-0005-0000-0000-000015480000}"/>
    <cellStyle name="Comma 13 2 2 2 4 3 2" xfId="18454" xr:uid="{00000000-0005-0000-0000-000016480000}"/>
    <cellStyle name="Comma 13 2 2 2 4 3 3" xfId="18455" xr:uid="{00000000-0005-0000-0000-000017480000}"/>
    <cellStyle name="Comma 13 2 2 2 4 4" xfId="18456" xr:uid="{00000000-0005-0000-0000-000018480000}"/>
    <cellStyle name="Comma 13 2 2 2 4 5" xfId="18457" xr:uid="{00000000-0005-0000-0000-000019480000}"/>
    <cellStyle name="Comma 13 2 2 2 5" xfId="18458" xr:uid="{00000000-0005-0000-0000-00001A480000}"/>
    <cellStyle name="Comma 13 2 2 2 5 2" xfId="18459" xr:uid="{00000000-0005-0000-0000-00001B480000}"/>
    <cellStyle name="Comma 13 2 2 2 5 2 2" xfId="18460" xr:uid="{00000000-0005-0000-0000-00001C480000}"/>
    <cellStyle name="Comma 13 2 2 2 5 2 3" xfId="18461" xr:uid="{00000000-0005-0000-0000-00001D480000}"/>
    <cellStyle name="Comma 13 2 2 2 5 3" xfId="18462" xr:uid="{00000000-0005-0000-0000-00001E480000}"/>
    <cellStyle name="Comma 13 2 2 2 5 4" xfId="18463" xr:uid="{00000000-0005-0000-0000-00001F480000}"/>
    <cellStyle name="Comma 13 2 2 2 6" xfId="18464" xr:uid="{00000000-0005-0000-0000-000020480000}"/>
    <cellStyle name="Comma 13 2 2 2 6 2" xfId="18465" xr:uid="{00000000-0005-0000-0000-000021480000}"/>
    <cellStyle name="Comma 13 2 2 2 6 3" xfId="18466" xr:uid="{00000000-0005-0000-0000-000022480000}"/>
    <cellStyle name="Comma 13 2 2 2 7" xfId="18467" xr:uid="{00000000-0005-0000-0000-000023480000}"/>
    <cellStyle name="Comma 13 2 2 2 8" xfId="18468" xr:uid="{00000000-0005-0000-0000-000024480000}"/>
    <cellStyle name="Comma 13 2 2 3" xfId="18469" xr:uid="{00000000-0005-0000-0000-000025480000}"/>
    <cellStyle name="Comma 13 2 2 3 2" xfId="18470" xr:uid="{00000000-0005-0000-0000-000026480000}"/>
    <cellStyle name="Comma 13 2 2 3 2 2" xfId="18471" xr:uid="{00000000-0005-0000-0000-000027480000}"/>
    <cellStyle name="Comma 13 2 2 3 2 2 2" xfId="18472" xr:uid="{00000000-0005-0000-0000-000028480000}"/>
    <cellStyle name="Comma 13 2 2 3 2 2 2 2" xfId="18473" xr:uid="{00000000-0005-0000-0000-000029480000}"/>
    <cellStyle name="Comma 13 2 2 3 2 2 2 2 2" xfId="18474" xr:uid="{00000000-0005-0000-0000-00002A480000}"/>
    <cellStyle name="Comma 13 2 2 3 2 2 2 2 3" xfId="18475" xr:uid="{00000000-0005-0000-0000-00002B480000}"/>
    <cellStyle name="Comma 13 2 2 3 2 2 2 3" xfId="18476" xr:uid="{00000000-0005-0000-0000-00002C480000}"/>
    <cellStyle name="Comma 13 2 2 3 2 2 2 4" xfId="18477" xr:uid="{00000000-0005-0000-0000-00002D480000}"/>
    <cellStyle name="Comma 13 2 2 3 2 2 3" xfId="18478" xr:uid="{00000000-0005-0000-0000-00002E480000}"/>
    <cellStyle name="Comma 13 2 2 3 2 2 3 2" xfId="18479" xr:uid="{00000000-0005-0000-0000-00002F480000}"/>
    <cellStyle name="Comma 13 2 2 3 2 2 3 3" xfId="18480" xr:uid="{00000000-0005-0000-0000-000030480000}"/>
    <cellStyle name="Comma 13 2 2 3 2 2 4" xfId="18481" xr:uid="{00000000-0005-0000-0000-000031480000}"/>
    <cellStyle name="Comma 13 2 2 3 2 2 5" xfId="18482" xr:uid="{00000000-0005-0000-0000-000032480000}"/>
    <cellStyle name="Comma 13 2 2 3 2 3" xfId="18483" xr:uid="{00000000-0005-0000-0000-000033480000}"/>
    <cellStyle name="Comma 13 2 2 3 2 3 2" xfId="18484" xr:uid="{00000000-0005-0000-0000-000034480000}"/>
    <cellStyle name="Comma 13 2 2 3 2 3 2 2" xfId="18485" xr:uid="{00000000-0005-0000-0000-000035480000}"/>
    <cellStyle name="Comma 13 2 2 3 2 3 2 3" xfId="18486" xr:uid="{00000000-0005-0000-0000-000036480000}"/>
    <cellStyle name="Comma 13 2 2 3 2 3 3" xfId="18487" xr:uid="{00000000-0005-0000-0000-000037480000}"/>
    <cellStyle name="Comma 13 2 2 3 2 3 4" xfId="18488" xr:uid="{00000000-0005-0000-0000-000038480000}"/>
    <cellStyle name="Comma 13 2 2 3 2 4" xfId="18489" xr:uid="{00000000-0005-0000-0000-000039480000}"/>
    <cellStyle name="Comma 13 2 2 3 2 4 2" xfId="18490" xr:uid="{00000000-0005-0000-0000-00003A480000}"/>
    <cellStyle name="Comma 13 2 2 3 2 4 3" xfId="18491" xr:uid="{00000000-0005-0000-0000-00003B480000}"/>
    <cellStyle name="Comma 13 2 2 3 2 5" xfId="18492" xr:uid="{00000000-0005-0000-0000-00003C480000}"/>
    <cellStyle name="Comma 13 2 2 3 2 6" xfId="18493" xr:uid="{00000000-0005-0000-0000-00003D480000}"/>
    <cellStyle name="Comma 13 2 2 3 3" xfId="18494" xr:uid="{00000000-0005-0000-0000-00003E480000}"/>
    <cellStyle name="Comma 13 2 2 3 3 2" xfId="18495" xr:uid="{00000000-0005-0000-0000-00003F480000}"/>
    <cellStyle name="Comma 13 2 2 3 3 2 2" xfId="18496" xr:uid="{00000000-0005-0000-0000-000040480000}"/>
    <cellStyle name="Comma 13 2 2 3 3 2 2 2" xfId="18497" xr:uid="{00000000-0005-0000-0000-000041480000}"/>
    <cellStyle name="Comma 13 2 2 3 3 2 2 3" xfId="18498" xr:uid="{00000000-0005-0000-0000-000042480000}"/>
    <cellStyle name="Comma 13 2 2 3 3 2 3" xfId="18499" xr:uid="{00000000-0005-0000-0000-000043480000}"/>
    <cellStyle name="Comma 13 2 2 3 3 2 4" xfId="18500" xr:uid="{00000000-0005-0000-0000-000044480000}"/>
    <cellStyle name="Comma 13 2 2 3 3 3" xfId="18501" xr:uid="{00000000-0005-0000-0000-000045480000}"/>
    <cellStyle name="Comma 13 2 2 3 3 3 2" xfId="18502" xr:uid="{00000000-0005-0000-0000-000046480000}"/>
    <cellStyle name="Comma 13 2 2 3 3 3 3" xfId="18503" xr:uid="{00000000-0005-0000-0000-000047480000}"/>
    <cellStyle name="Comma 13 2 2 3 3 4" xfId="18504" xr:uid="{00000000-0005-0000-0000-000048480000}"/>
    <cellStyle name="Comma 13 2 2 3 3 5" xfId="18505" xr:uid="{00000000-0005-0000-0000-000049480000}"/>
    <cellStyle name="Comma 13 2 2 3 4" xfId="18506" xr:uid="{00000000-0005-0000-0000-00004A480000}"/>
    <cellStyle name="Comma 13 2 2 3 4 2" xfId="18507" xr:uid="{00000000-0005-0000-0000-00004B480000}"/>
    <cellStyle name="Comma 13 2 2 3 4 2 2" xfId="18508" xr:uid="{00000000-0005-0000-0000-00004C480000}"/>
    <cellStyle name="Comma 13 2 2 3 4 2 3" xfId="18509" xr:uid="{00000000-0005-0000-0000-00004D480000}"/>
    <cellStyle name="Comma 13 2 2 3 4 3" xfId="18510" xr:uid="{00000000-0005-0000-0000-00004E480000}"/>
    <cellStyle name="Comma 13 2 2 3 4 4" xfId="18511" xr:uid="{00000000-0005-0000-0000-00004F480000}"/>
    <cellStyle name="Comma 13 2 2 3 5" xfId="18512" xr:uid="{00000000-0005-0000-0000-000050480000}"/>
    <cellStyle name="Comma 13 2 2 3 5 2" xfId="18513" xr:uid="{00000000-0005-0000-0000-000051480000}"/>
    <cellStyle name="Comma 13 2 2 3 5 3" xfId="18514" xr:uid="{00000000-0005-0000-0000-000052480000}"/>
    <cellStyle name="Comma 13 2 2 3 6" xfId="18515" xr:uid="{00000000-0005-0000-0000-000053480000}"/>
    <cellStyle name="Comma 13 2 2 3 7" xfId="18516" xr:uid="{00000000-0005-0000-0000-000054480000}"/>
    <cellStyle name="Comma 13 2 2 4" xfId="18517" xr:uid="{00000000-0005-0000-0000-000055480000}"/>
    <cellStyle name="Comma 13 2 2 4 2" xfId="18518" xr:uid="{00000000-0005-0000-0000-000056480000}"/>
    <cellStyle name="Comma 13 2 2 4 2 2" xfId="18519" xr:uid="{00000000-0005-0000-0000-000057480000}"/>
    <cellStyle name="Comma 13 2 2 4 2 2 2" xfId="18520" xr:uid="{00000000-0005-0000-0000-000058480000}"/>
    <cellStyle name="Comma 13 2 2 4 2 2 2 2" xfId="18521" xr:uid="{00000000-0005-0000-0000-000059480000}"/>
    <cellStyle name="Comma 13 2 2 4 2 2 2 3" xfId="18522" xr:uid="{00000000-0005-0000-0000-00005A480000}"/>
    <cellStyle name="Comma 13 2 2 4 2 2 3" xfId="18523" xr:uid="{00000000-0005-0000-0000-00005B480000}"/>
    <cellStyle name="Comma 13 2 2 4 2 2 4" xfId="18524" xr:uid="{00000000-0005-0000-0000-00005C480000}"/>
    <cellStyle name="Comma 13 2 2 4 2 3" xfId="18525" xr:uid="{00000000-0005-0000-0000-00005D480000}"/>
    <cellStyle name="Comma 13 2 2 4 2 3 2" xfId="18526" xr:uid="{00000000-0005-0000-0000-00005E480000}"/>
    <cellStyle name="Comma 13 2 2 4 2 3 3" xfId="18527" xr:uid="{00000000-0005-0000-0000-00005F480000}"/>
    <cellStyle name="Comma 13 2 2 4 2 4" xfId="18528" xr:uid="{00000000-0005-0000-0000-000060480000}"/>
    <cellStyle name="Comma 13 2 2 4 2 5" xfId="18529" xr:uid="{00000000-0005-0000-0000-000061480000}"/>
    <cellStyle name="Comma 13 2 2 4 3" xfId="18530" xr:uid="{00000000-0005-0000-0000-000062480000}"/>
    <cellStyle name="Comma 13 2 2 4 3 2" xfId="18531" xr:uid="{00000000-0005-0000-0000-000063480000}"/>
    <cellStyle name="Comma 13 2 2 4 3 2 2" xfId="18532" xr:uid="{00000000-0005-0000-0000-000064480000}"/>
    <cellStyle name="Comma 13 2 2 4 3 2 3" xfId="18533" xr:uid="{00000000-0005-0000-0000-000065480000}"/>
    <cellStyle name="Comma 13 2 2 4 3 3" xfId="18534" xr:uid="{00000000-0005-0000-0000-000066480000}"/>
    <cellStyle name="Comma 13 2 2 4 3 4" xfId="18535" xr:uid="{00000000-0005-0000-0000-000067480000}"/>
    <cellStyle name="Comma 13 2 2 4 4" xfId="18536" xr:uid="{00000000-0005-0000-0000-000068480000}"/>
    <cellStyle name="Comma 13 2 2 4 4 2" xfId="18537" xr:uid="{00000000-0005-0000-0000-000069480000}"/>
    <cellStyle name="Comma 13 2 2 4 4 3" xfId="18538" xr:uid="{00000000-0005-0000-0000-00006A480000}"/>
    <cellStyle name="Comma 13 2 2 4 5" xfId="18539" xr:uid="{00000000-0005-0000-0000-00006B480000}"/>
    <cellStyle name="Comma 13 2 2 4 6" xfId="18540" xr:uid="{00000000-0005-0000-0000-00006C480000}"/>
    <cellStyle name="Comma 13 2 2 5" xfId="18541" xr:uid="{00000000-0005-0000-0000-00006D480000}"/>
    <cellStyle name="Comma 13 2 2 5 2" xfId="18542" xr:uid="{00000000-0005-0000-0000-00006E480000}"/>
    <cellStyle name="Comma 13 2 2 5 2 2" xfId="18543" xr:uid="{00000000-0005-0000-0000-00006F480000}"/>
    <cellStyle name="Comma 13 2 2 5 2 2 2" xfId="18544" xr:uid="{00000000-0005-0000-0000-000070480000}"/>
    <cellStyle name="Comma 13 2 2 5 2 2 3" xfId="18545" xr:uid="{00000000-0005-0000-0000-000071480000}"/>
    <cellStyle name="Comma 13 2 2 5 2 3" xfId="18546" xr:uid="{00000000-0005-0000-0000-000072480000}"/>
    <cellStyle name="Comma 13 2 2 5 2 4" xfId="18547" xr:uid="{00000000-0005-0000-0000-000073480000}"/>
    <cellStyle name="Comma 13 2 2 5 3" xfId="18548" xr:uid="{00000000-0005-0000-0000-000074480000}"/>
    <cellStyle name="Comma 13 2 2 5 3 2" xfId="18549" xr:uid="{00000000-0005-0000-0000-000075480000}"/>
    <cellStyle name="Comma 13 2 2 5 3 3" xfId="18550" xr:uid="{00000000-0005-0000-0000-000076480000}"/>
    <cellStyle name="Comma 13 2 2 5 4" xfId="18551" xr:uid="{00000000-0005-0000-0000-000077480000}"/>
    <cellStyle name="Comma 13 2 2 5 5" xfId="18552" xr:uid="{00000000-0005-0000-0000-000078480000}"/>
    <cellStyle name="Comma 13 2 2 6" xfId="18553" xr:uid="{00000000-0005-0000-0000-000079480000}"/>
    <cellStyle name="Comma 13 2 2 6 2" xfId="18554" xr:uid="{00000000-0005-0000-0000-00007A480000}"/>
    <cellStyle name="Comma 13 2 2 6 2 2" xfId="18555" xr:uid="{00000000-0005-0000-0000-00007B480000}"/>
    <cellStyle name="Comma 13 2 2 6 2 3" xfId="18556" xr:uid="{00000000-0005-0000-0000-00007C480000}"/>
    <cellStyle name="Comma 13 2 2 6 3" xfId="18557" xr:uid="{00000000-0005-0000-0000-00007D480000}"/>
    <cellStyle name="Comma 13 2 2 6 4" xfId="18558" xr:uid="{00000000-0005-0000-0000-00007E480000}"/>
    <cellStyle name="Comma 13 2 2 7" xfId="18559" xr:uid="{00000000-0005-0000-0000-00007F480000}"/>
    <cellStyle name="Comma 13 2 2 7 2" xfId="18560" xr:uid="{00000000-0005-0000-0000-000080480000}"/>
    <cellStyle name="Comma 13 2 2 7 3" xfId="18561" xr:uid="{00000000-0005-0000-0000-000081480000}"/>
    <cellStyle name="Comma 13 2 2 8" xfId="18562" xr:uid="{00000000-0005-0000-0000-000082480000}"/>
    <cellStyle name="Comma 13 2 2 9" xfId="18563" xr:uid="{00000000-0005-0000-0000-000083480000}"/>
    <cellStyle name="Comma 13 2 3" xfId="18564" xr:uid="{00000000-0005-0000-0000-000084480000}"/>
    <cellStyle name="Comma 13 2 3 2" xfId="18565" xr:uid="{00000000-0005-0000-0000-000085480000}"/>
    <cellStyle name="Comma 13 2 3 2 2" xfId="18566" xr:uid="{00000000-0005-0000-0000-000086480000}"/>
    <cellStyle name="Comma 13 2 3 2 2 2" xfId="18567" xr:uid="{00000000-0005-0000-0000-000087480000}"/>
    <cellStyle name="Comma 13 2 3 2 2 2 2" xfId="18568" xr:uid="{00000000-0005-0000-0000-000088480000}"/>
    <cellStyle name="Comma 13 2 3 2 2 2 2 2" xfId="18569" xr:uid="{00000000-0005-0000-0000-000089480000}"/>
    <cellStyle name="Comma 13 2 3 2 2 2 2 2 2" xfId="18570" xr:uid="{00000000-0005-0000-0000-00008A480000}"/>
    <cellStyle name="Comma 13 2 3 2 2 2 2 2 3" xfId="18571" xr:uid="{00000000-0005-0000-0000-00008B480000}"/>
    <cellStyle name="Comma 13 2 3 2 2 2 2 3" xfId="18572" xr:uid="{00000000-0005-0000-0000-00008C480000}"/>
    <cellStyle name="Comma 13 2 3 2 2 2 2 4" xfId="18573" xr:uid="{00000000-0005-0000-0000-00008D480000}"/>
    <cellStyle name="Comma 13 2 3 2 2 2 3" xfId="18574" xr:uid="{00000000-0005-0000-0000-00008E480000}"/>
    <cellStyle name="Comma 13 2 3 2 2 2 3 2" xfId="18575" xr:uid="{00000000-0005-0000-0000-00008F480000}"/>
    <cellStyle name="Comma 13 2 3 2 2 2 3 3" xfId="18576" xr:uid="{00000000-0005-0000-0000-000090480000}"/>
    <cellStyle name="Comma 13 2 3 2 2 2 4" xfId="18577" xr:uid="{00000000-0005-0000-0000-000091480000}"/>
    <cellStyle name="Comma 13 2 3 2 2 2 5" xfId="18578" xr:uid="{00000000-0005-0000-0000-000092480000}"/>
    <cellStyle name="Comma 13 2 3 2 2 3" xfId="18579" xr:uid="{00000000-0005-0000-0000-000093480000}"/>
    <cellStyle name="Comma 13 2 3 2 2 3 2" xfId="18580" xr:uid="{00000000-0005-0000-0000-000094480000}"/>
    <cellStyle name="Comma 13 2 3 2 2 3 2 2" xfId="18581" xr:uid="{00000000-0005-0000-0000-000095480000}"/>
    <cellStyle name="Comma 13 2 3 2 2 3 2 3" xfId="18582" xr:uid="{00000000-0005-0000-0000-000096480000}"/>
    <cellStyle name="Comma 13 2 3 2 2 3 3" xfId="18583" xr:uid="{00000000-0005-0000-0000-000097480000}"/>
    <cellStyle name="Comma 13 2 3 2 2 3 4" xfId="18584" xr:uid="{00000000-0005-0000-0000-000098480000}"/>
    <cellStyle name="Comma 13 2 3 2 2 4" xfId="18585" xr:uid="{00000000-0005-0000-0000-000099480000}"/>
    <cellStyle name="Comma 13 2 3 2 2 4 2" xfId="18586" xr:uid="{00000000-0005-0000-0000-00009A480000}"/>
    <cellStyle name="Comma 13 2 3 2 2 4 3" xfId="18587" xr:uid="{00000000-0005-0000-0000-00009B480000}"/>
    <cellStyle name="Comma 13 2 3 2 2 5" xfId="18588" xr:uid="{00000000-0005-0000-0000-00009C480000}"/>
    <cellStyle name="Comma 13 2 3 2 2 6" xfId="18589" xr:uid="{00000000-0005-0000-0000-00009D480000}"/>
    <cellStyle name="Comma 13 2 3 2 3" xfId="18590" xr:uid="{00000000-0005-0000-0000-00009E480000}"/>
    <cellStyle name="Comma 13 2 3 2 3 2" xfId="18591" xr:uid="{00000000-0005-0000-0000-00009F480000}"/>
    <cellStyle name="Comma 13 2 3 2 3 2 2" xfId="18592" xr:uid="{00000000-0005-0000-0000-0000A0480000}"/>
    <cellStyle name="Comma 13 2 3 2 3 2 2 2" xfId="18593" xr:uid="{00000000-0005-0000-0000-0000A1480000}"/>
    <cellStyle name="Comma 13 2 3 2 3 2 2 3" xfId="18594" xr:uid="{00000000-0005-0000-0000-0000A2480000}"/>
    <cellStyle name="Comma 13 2 3 2 3 2 3" xfId="18595" xr:uid="{00000000-0005-0000-0000-0000A3480000}"/>
    <cellStyle name="Comma 13 2 3 2 3 2 4" xfId="18596" xr:uid="{00000000-0005-0000-0000-0000A4480000}"/>
    <cellStyle name="Comma 13 2 3 2 3 3" xfId="18597" xr:uid="{00000000-0005-0000-0000-0000A5480000}"/>
    <cellStyle name="Comma 13 2 3 2 3 3 2" xfId="18598" xr:uid="{00000000-0005-0000-0000-0000A6480000}"/>
    <cellStyle name="Comma 13 2 3 2 3 3 3" xfId="18599" xr:uid="{00000000-0005-0000-0000-0000A7480000}"/>
    <cellStyle name="Comma 13 2 3 2 3 4" xfId="18600" xr:uid="{00000000-0005-0000-0000-0000A8480000}"/>
    <cellStyle name="Comma 13 2 3 2 3 5" xfId="18601" xr:uid="{00000000-0005-0000-0000-0000A9480000}"/>
    <cellStyle name="Comma 13 2 3 2 4" xfId="18602" xr:uid="{00000000-0005-0000-0000-0000AA480000}"/>
    <cellStyle name="Comma 13 2 3 2 4 2" xfId="18603" xr:uid="{00000000-0005-0000-0000-0000AB480000}"/>
    <cellStyle name="Comma 13 2 3 2 4 2 2" xfId="18604" xr:uid="{00000000-0005-0000-0000-0000AC480000}"/>
    <cellStyle name="Comma 13 2 3 2 4 2 3" xfId="18605" xr:uid="{00000000-0005-0000-0000-0000AD480000}"/>
    <cellStyle name="Comma 13 2 3 2 4 3" xfId="18606" xr:uid="{00000000-0005-0000-0000-0000AE480000}"/>
    <cellStyle name="Comma 13 2 3 2 4 4" xfId="18607" xr:uid="{00000000-0005-0000-0000-0000AF480000}"/>
    <cellStyle name="Comma 13 2 3 2 5" xfId="18608" xr:uid="{00000000-0005-0000-0000-0000B0480000}"/>
    <cellStyle name="Comma 13 2 3 2 5 2" xfId="18609" xr:uid="{00000000-0005-0000-0000-0000B1480000}"/>
    <cellStyle name="Comma 13 2 3 2 5 3" xfId="18610" xr:uid="{00000000-0005-0000-0000-0000B2480000}"/>
    <cellStyle name="Comma 13 2 3 2 6" xfId="18611" xr:uid="{00000000-0005-0000-0000-0000B3480000}"/>
    <cellStyle name="Comma 13 2 3 2 7" xfId="18612" xr:uid="{00000000-0005-0000-0000-0000B4480000}"/>
    <cellStyle name="Comma 13 2 3 3" xfId="18613" xr:uid="{00000000-0005-0000-0000-0000B5480000}"/>
    <cellStyle name="Comma 13 2 3 3 2" xfId="18614" xr:uid="{00000000-0005-0000-0000-0000B6480000}"/>
    <cellStyle name="Comma 13 2 3 3 2 2" xfId="18615" xr:uid="{00000000-0005-0000-0000-0000B7480000}"/>
    <cellStyle name="Comma 13 2 3 3 2 2 2" xfId="18616" xr:uid="{00000000-0005-0000-0000-0000B8480000}"/>
    <cellStyle name="Comma 13 2 3 3 2 2 2 2" xfId="18617" xr:uid="{00000000-0005-0000-0000-0000B9480000}"/>
    <cellStyle name="Comma 13 2 3 3 2 2 2 3" xfId="18618" xr:uid="{00000000-0005-0000-0000-0000BA480000}"/>
    <cellStyle name="Comma 13 2 3 3 2 2 3" xfId="18619" xr:uid="{00000000-0005-0000-0000-0000BB480000}"/>
    <cellStyle name="Comma 13 2 3 3 2 2 4" xfId="18620" xr:uid="{00000000-0005-0000-0000-0000BC480000}"/>
    <cellStyle name="Comma 13 2 3 3 2 3" xfId="18621" xr:uid="{00000000-0005-0000-0000-0000BD480000}"/>
    <cellStyle name="Comma 13 2 3 3 2 3 2" xfId="18622" xr:uid="{00000000-0005-0000-0000-0000BE480000}"/>
    <cellStyle name="Comma 13 2 3 3 2 3 3" xfId="18623" xr:uid="{00000000-0005-0000-0000-0000BF480000}"/>
    <cellStyle name="Comma 13 2 3 3 2 4" xfId="18624" xr:uid="{00000000-0005-0000-0000-0000C0480000}"/>
    <cellStyle name="Comma 13 2 3 3 2 5" xfId="18625" xr:uid="{00000000-0005-0000-0000-0000C1480000}"/>
    <cellStyle name="Comma 13 2 3 3 3" xfId="18626" xr:uid="{00000000-0005-0000-0000-0000C2480000}"/>
    <cellStyle name="Comma 13 2 3 3 3 2" xfId="18627" xr:uid="{00000000-0005-0000-0000-0000C3480000}"/>
    <cellStyle name="Comma 13 2 3 3 3 2 2" xfId="18628" xr:uid="{00000000-0005-0000-0000-0000C4480000}"/>
    <cellStyle name="Comma 13 2 3 3 3 2 3" xfId="18629" xr:uid="{00000000-0005-0000-0000-0000C5480000}"/>
    <cellStyle name="Comma 13 2 3 3 3 3" xfId="18630" xr:uid="{00000000-0005-0000-0000-0000C6480000}"/>
    <cellStyle name="Comma 13 2 3 3 3 4" xfId="18631" xr:uid="{00000000-0005-0000-0000-0000C7480000}"/>
    <cellStyle name="Comma 13 2 3 3 4" xfId="18632" xr:uid="{00000000-0005-0000-0000-0000C8480000}"/>
    <cellStyle name="Comma 13 2 3 3 4 2" xfId="18633" xr:uid="{00000000-0005-0000-0000-0000C9480000}"/>
    <cellStyle name="Comma 13 2 3 3 4 3" xfId="18634" xr:uid="{00000000-0005-0000-0000-0000CA480000}"/>
    <cellStyle name="Comma 13 2 3 3 5" xfId="18635" xr:uid="{00000000-0005-0000-0000-0000CB480000}"/>
    <cellStyle name="Comma 13 2 3 3 6" xfId="18636" xr:uid="{00000000-0005-0000-0000-0000CC480000}"/>
    <cellStyle name="Comma 13 2 3 4" xfId="18637" xr:uid="{00000000-0005-0000-0000-0000CD480000}"/>
    <cellStyle name="Comma 13 2 3 4 2" xfId="18638" xr:uid="{00000000-0005-0000-0000-0000CE480000}"/>
    <cellStyle name="Comma 13 2 3 4 2 2" xfId="18639" xr:uid="{00000000-0005-0000-0000-0000CF480000}"/>
    <cellStyle name="Comma 13 2 3 4 2 2 2" xfId="18640" xr:uid="{00000000-0005-0000-0000-0000D0480000}"/>
    <cellStyle name="Comma 13 2 3 4 2 2 3" xfId="18641" xr:uid="{00000000-0005-0000-0000-0000D1480000}"/>
    <cellStyle name="Comma 13 2 3 4 2 3" xfId="18642" xr:uid="{00000000-0005-0000-0000-0000D2480000}"/>
    <cellStyle name="Comma 13 2 3 4 2 4" xfId="18643" xr:uid="{00000000-0005-0000-0000-0000D3480000}"/>
    <cellStyle name="Comma 13 2 3 4 3" xfId="18644" xr:uid="{00000000-0005-0000-0000-0000D4480000}"/>
    <cellStyle name="Comma 13 2 3 4 3 2" xfId="18645" xr:uid="{00000000-0005-0000-0000-0000D5480000}"/>
    <cellStyle name="Comma 13 2 3 4 3 3" xfId="18646" xr:uid="{00000000-0005-0000-0000-0000D6480000}"/>
    <cellStyle name="Comma 13 2 3 4 4" xfId="18647" xr:uid="{00000000-0005-0000-0000-0000D7480000}"/>
    <cellStyle name="Comma 13 2 3 4 5" xfId="18648" xr:uid="{00000000-0005-0000-0000-0000D8480000}"/>
    <cellStyle name="Comma 13 2 3 5" xfId="18649" xr:uid="{00000000-0005-0000-0000-0000D9480000}"/>
    <cellStyle name="Comma 13 2 3 5 2" xfId="18650" xr:uid="{00000000-0005-0000-0000-0000DA480000}"/>
    <cellStyle name="Comma 13 2 3 5 2 2" xfId="18651" xr:uid="{00000000-0005-0000-0000-0000DB480000}"/>
    <cellStyle name="Comma 13 2 3 5 2 3" xfId="18652" xr:uid="{00000000-0005-0000-0000-0000DC480000}"/>
    <cellStyle name="Comma 13 2 3 5 3" xfId="18653" xr:uid="{00000000-0005-0000-0000-0000DD480000}"/>
    <cellStyle name="Comma 13 2 3 5 4" xfId="18654" xr:uid="{00000000-0005-0000-0000-0000DE480000}"/>
    <cellStyle name="Comma 13 2 3 6" xfId="18655" xr:uid="{00000000-0005-0000-0000-0000DF480000}"/>
    <cellStyle name="Comma 13 2 3 6 2" xfId="18656" xr:uid="{00000000-0005-0000-0000-0000E0480000}"/>
    <cellStyle name="Comma 13 2 3 6 3" xfId="18657" xr:uid="{00000000-0005-0000-0000-0000E1480000}"/>
    <cellStyle name="Comma 13 2 3 7" xfId="18658" xr:uid="{00000000-0005-0000-0000-0000E2480000}"/>
    <cellStyle name="Comma 13 2 3 8" xfId="18659" xr:uid="{00000000-0005-0000-0000-0000E3480000}"/>
    <cellStyle name="Comma 13 2 4" xfId="18660" xr:uid="{00000000-0005-0000-0000-0000E4480000}"/>
    <cellStyle name="Comma 13 2 4 2" xfId="18661" xr:uid="{00000000-0005-0000-0000-0000E5480000}"/>
    <cellStyle name="Comma 13 2 4 2 2" xfId="18662" xr:uid="{00000000-0005-0000-0000-0000E6480000}"/>
    <cellStyle name="Comma 13 2 4 2 2 2" xfId="18663" xr:uid="{00000000-0005-0000-0000-0000E7480000}"/>
    <cellStyle name="Comma 13 2 4 2 2 2 2" xfId="18664" xr:uid="{00000000-0005-0000-0000-0000E8480000}"/>
    <cellStyle name="Comma 13 2 4 2 2 2 2 2" xfId="18665" xr:uid="{00000000-0005-0000-0000-0000E9480000}"/>
    <cellStyle name="Comma 13 2 4 2 2 2 2 3" xfId="18666" xr:uid="{00000000-0005-0000-0000-0000EA480000}"/>
    <cellStyle name="Comma 13 2 4 2 2 2 3" xfId="18667" xr:uid="{00000000-0005-0000-0000-0000EB480000}"/>
    <cellStyle name="Comma 13 2 4 2 2 2 4" xfId="18668" xr:uid="{00000000-0005-0000-0000-0000EC480000}"/>
    <cellStyle name="Comma 13 2 4 2 2 3" xfId="18669" xr:uid="{00000000-0005-0000-0000-0000ED480000}"/>
    <cellStyle name="Comma 13 2 4 2 2 3 2" xfId="18670" xr:uid="{00000000-0005-0000-0000-0000EE480000}"/>
    <cellStyle name="Comma 13 2 4 2 2 3 3" xfId="18671" xr:uid="{00000000-0005-0000-0000-0000EF480000}"/>
    <cellStyle name="Comma 13 2 4 2 2 4" xfId="18672" xr:uid="{00000000-0005-0000-0000-0000F0480000}"/>
    <cellStyle name="Comma 13 2 4 2 2 5" xfId="18673" xr:uid="{00000000-0005-0000-0000-0000F1480000}"/>
    <cellStyle name="Comma 13 2 4 2 3" xfId="18674" xr:uid="{00000000-0005-0000-0000-0000F2480000}"/>
    <cellStyle name="Comma 13 2 4 2 3 2" xfId="18675" xr:uid="{00000000-0005-0000-0000-0000F3480000}"/>
    <cellStyle name="Comma 13 2 4 2 3 2 2" xfId="18676" xr:uid="{00000000-0005-0000-0000-0000F4480000}"/>
    <cellStyle name="Comma 13 2 4 2 3 2 3" xfId="18677" xr:uid="{00000000-0005-0000-0000-0000F5480000}"/>
    <cellStyle name="Comma 13 2 4 2 3 3" xfId="18678" xr:uid="{00000000-0005-0000-0000-0000F6480000}"/>
    <cellStyle name="Comma 13 2 4 2 3 4" xfId="18679" xr:uid="{00000000-0005-0000-0000-0000F7480000}"/>
    <cellStyle name="Comma 13 2 4 2 4" xfId="18680" xr:uid="{00000000-0005-0000-0000-0000F8480000}"/>
    <cellStyle name="Comma 13 2 4 2 4 2" xfId="18681" xr:uid="{00000000-0005-0000-0000-0000F9480000}"/>
    <cellStyle name="Comma 13 2 4 2 4 3" xfId="18682" xr:uid="{00000000-0005-0000-0000-0000FA480000}"/>
    <cellStyle name="Comma 13 2 4 2 5" xfId="18683" xr:uid="{00000000-0005-0000-0000-0000FB480000}"/>
    <cellStyle name="Comma 13 2 4 2 6" xfId="18684" xr:uid="{00000000-0005-0000-0000-0000FC480000}"/>
    <cellStyle name="Comma 13 2 4 3" xfId="18685" xr:uid="{00000000-0005-0000-0000-0000FD480000}"/>
    <cellStyle name="Comma 13 2 4 3 2" xfId="18686" xr:uid="{00000000-0005-0000-0000-0000FE480000}"/>
    <cellStyle name="Comma 13 2 4 3 2 2" xfId="18687" xr:uid="{00000000-0005-0000-0000-0000FF480000}"/>
    <cellStyle name="Comma 13 2 4 3 2 2 2" xfId="18688" xr:uid="{00000000-0005-0000-0000-000000490000}"/>
    <cellStyle name="Comma 13 2 4 3 2 2 3" xfId="18689" xr:uid="{00000000-0005-0000-0000-000001490000}"/>
    <cellStyle name="Comma 13 2 4 3 2 3" xfId="18690" xr:uid="{00000000-0005-0000-0000-000002490000}"/>
    <cellStyle name="Comma 13 2 4 3 2 4" xfId="18691" xr:uid="{00000000-0005-0000-0000-000003490000}"/>
    <cellStyle name="Comma 13 2 4 3 3" xfId="18692" xr:uid="{00000000-0005-0000-0000-000004490000}"/>
    <cellStyle name="Comma 13 2 4 3 3 2" xfId="18693" xr:uid="{00000000-0005-0000-0000-000005490000}"/>
    <cellStyle name="Comma 13 2 4 3 3 3" xfId="18694" xr:uid="{00000000-0005-0000-0000-000006490000}"/>
    <cellStyle name="Comma 13 2 4 3 4" xfId="18695" xr:uid="{00000000-0005-0000-0000-000007490000}"/>
    <cellStyle name="Comma 13 2 4 3 5" xfId="18696" xr:uid="{00000000-0005-0000-0000-000008490000}"/>
    <cellStyle name="Comma 13 2 4 4" xfId="18697" xr:uid="{00000000-0005-0000-0000-000009490000}"/>
    <cellStyle name="Comma 13 2 4 4 2" xfId="18698" xr:uid="{00000000-0005-0000-0000-00000A490000}"/>
    <cellStyle name="Comma 13 2 4 4 2 2" xfId="18699" xr:uid="{00000000-0005-0000-0000-00000B490000}"/>
    <cellStyle name="Comma 13 2 4 4 2 3" xfId="18700" xr:uid="{00000000-0005-0000-0000-00000C490000}"/>
    <cellStyle name="Comma 13 2 4 4 3" xfId="18701" xr:uid="{00000000-0005-0000-0000-00000D490000}"/>
    <cellStyle name="Comma 13 2 4 4 4" xfId="18702" xr:uid="{00000000-0005-0000-0000-00000E490000}"/>
    <cellStyle name="Comma 13 2 4 5" xfId="18703" xr:uid="{00000000-0005-0000-0000-00000F490000}"/>
    <cellStyle name="Comma 13 2 4 5 2" xfId="18704" xr:uid="{00000000-0005-0000-0000-000010490000}"/>
    <cellStyle name="Comma 13 2 4 5 3" xfId="18705" xr:uid="{00000000-0005-0000-0000-000011490000}"/>
    <cellStyle name="Comma 13 2 4 6" xfId="18706" xr:uid="{00000000-0005-0000-0000-000012490000}"/>
    <cellStyle name="Comma 13 2 4 7" xfId="18707" xr:uid="{00000000-0005-0000-0000-000013490000}"/>
    <cellStyle name="Comma 13 2 5" xfId="18708" xr:uid="{00000000-0005-0000-0000-000014490000}"/>
    <cellStyle name="Comma 13 2 5 2" xfId="18709" xr:uid="{00000000-0005-0000-0000-000015490000}"/>
    <cellStyle name="Comma 13 2 5 2 2" xfId="18710" xr:uid="{00000000-0005-0000-0000-000016490000}"/>
    <cellStyle name="Comma 13 2 5 2 2 2" xfId="18711" xr:uid="{00000000-0005-0000-0000-000017490000}"/>
    <cellStyle name="Comma 13 2 5 2 2 2 2" xfId="18712" xr:uid="{00000000-0005-0000-0000-000018490000}"/>
    <cellStyle name="Comma 13 2 5 2 2 2 3" xfId="18713" xr:uid="{00000000-0005-0000-0000-000019490000}"/>
    <cellStyle name="Comma 13 2 5 2 2 3" xfId="18714" xr:uid="{00000000-0005-0000-0000-00001A490000}"/>
    <cellStyle name="Comma 13 2 5 2 2 4" xfId="18715" xr:uid="{00000000-0005-0000-0000-00001B490000}"/>
    <cellStyle name="Comma 13 2 5 2 3" xfId="18716" xr:uid="{00000000-0005-0000-0000-00001C490000}"/>
    <cellStyle name="Comma 13 2 5 2 3 2" xfId="18717" xr:uid="{00000000-0005-0000-0000-00001D490000}"/>
    <cellStyle name="Comma 13 2 5 2 3 3" xfId="18718" xr:uid="{00000000-0005-0000-0000-00001E490000}"/>
    <cellStyle name="Comma 13 2 5 2 4" xfId="18719" xr:uid="{00000000-0005-0000-0000-00001F490000}"/>
    <cellStyle name="Comma 13 2 5 2 5" xfId="18720" xr:uid="{00000000-0005-0000-0000-000020490000}"/>
    <cellStyle name="Comma 13 2 5 3" xfId="18721" xr:uid="{00000000-0005-0000-0000-000021490000}"/>
    <cellStyle name="Comma 13 2 5 3 2" xfId="18722" xr:uid="{00000000-0005-0000-0000-000022490000}"/>
    <cellStyle name="Comma 13 2 5 3 2 2" xfId="18723" xr:uid="{00000000-0005-0000-0000-000023490000}"/>
    <cellStyle name="Comma 13 2 5 3 2 3" xfId="18724" xr:uid="{00000000-0005-0000-0000-000024490000}"/>
    <cellStyle name="Comma 13 2 5 3 3" xfId="18725" xr:uid="{00000000-0005-0000-0000-000025490000}"/>
    <cellStyle name="Comma 13 2 5 3 4" xfId="18726" xr:uid="{00000000-0005-0000-0000-000026490000}"/>
    <cellStyle name="Comma 13 2 5 4" xfId="18727" xr:uid="{00000000-0005-0000-0000-000027490000}"/>
    <cellStyle name="Comma 13 2 5 4 2" xfId="18728" xr:uid="{00000000-0005-0000-0000-000028490000}"/>
    <cellStyle name="Comma 13 2 5 4 3" xfId="18729" xr:uid="{00000000-0005-0000-0000-000029490000}"/>
    <cellStyle name="Comma 13 2 5 5" xfId="18730" xr:uid="{00000000-0005-0000-0000-00002A490000}"/>
    <cellStyle name="Comma 13 2 5 6" xfId="18731" xr:uid="{00000000-0005-0000-0000-00002B490000}"/>
    <cellStyle name="Comma 13 2 6" xfId="18732" xr:uid="{00000000-0005-0000-0000-00002C490000}"/>
    <cellStyle name="Comma 13 2 6 2" xfId="18733" xr:uid="{00000000-0005-0000-0000-00002D490000}"/>
    <cellStyle name="Comma 13 2 6 2 2" xfId="18734" xr:uid="{00000000-0005-0000-0000-00002E490000}"/>
    <cellStyle name="Comma 13 2 6 2 2 2" xfId="18735" xr:uid="{00000000-0005-0000-0000-00002F490000}"/>
    <cellStyle name="Comma 13 2 6 2 2 3" xfId="18736" xr:uid="{00000000-0005-0000-0000-000030490000}"/>
    <cellStyle name="Comma 13 2 6 2 3" xfId="18737" xr:uid="{00000000-0005-0000-0000-000031490000}"/>
    <cellStyle name="Comma 13 2 6 2 4" xfId="18738" xr:uid="{00000000-0005-0000-0000-000032490000}"/>
    <cellStyle name="Comma 13 2 6 3" xfId="18739" xr:uid="{00000000-0005-0000-0000-000033490000}"/>
    <cellStyle name="Comma 13 2 6 3 2" xfId="18740" xr:uid="{00000000-0005-0000-0000-000034490000}"/>
    <cellStyle name="Comma 13 2 6 3 3" xfId="18741" xr:uid="{00000000-0005-0000-0000-000035490000}"/>
    <cellStyle name="Comma 13 2 6 4" xfId="18742" xr:uid="{00000000-0005-0000-0000-000036490000}"/>
    <cellStyle name="Comma 13 2 6 5" xfId="18743" xr:uid="{00000000-0005-0000-0000-000037490000}"/>
    <cellStyle name="Comma 13 2 7" xfId="18744" xr:uid="{00000000-0005-0000-0000-000038490000}"/>
    <cellStyle name="Comma 13 2 7 2" xfId="18745" xr:uid="{00000000-0005-0000-0000-000039490000}"/>
    <cellStyle name="Comma 13 2 7 2 2" xfId="18746" xr:uid="{00000000-0005-0000-0000-00003A490000}"/>
    <cellStyle name="Comma 13 2 7 2 3" xfId="18747" xr:uid="{00000000-0005-0000-0000-00003B490000}"/>
    <cellStyle name="Comma 13 2 7 3" xfId="18748" xr:uid="{00000000-0005-0000-0000-00003C490000}"/>
    <cellStyle name="Comma 13 2 7 4" xfId="18749" xr:uid="{00000000-0005-0000-0000-00003D490000}"/>
    <cellStyle name="Comma 13 2 8" xfId="18750" xr:uid="{00000000-0005-0000-0000-00003E490000}"/>
    <cellStyle name="Comma 13 2 8 2" xfId="18751" xr:uid="{00000000-0005-0000-0000-00003F490000}"/>
    <cellStyle name="Comma 13 2 8 3" xfId="18752" xr:uid="{00000000-0005-0000-0000-000040490000}"/>
    <cellStyle name="Comma 13 2 9" xfId="18753" xr:uid="{00000000-0005-0000-0000-000041490000}"/>
    <cellStyle name="Comma 13 3" xfId="18754" xr:uid="{00000000-0005-0000-0000-000042490000}"/>
    <cellStyle name="Comma 13 3 2" xfId="18755" xr:uid="{00000000-0005-0000-0000-000043490000}"/>
    <cellStyle name="Comma 13 3 2 2" xfId="18756" xr:uid="{00000000-0005-0000-0000-000044490000}"/>
    <cellStyle name="Comma 13 3 2 2 2" xfId="18757" xr:uid="{00000000-0005-0000-0000-000045490000}"/>
    <cellStyle name="Comma 13 3 2 2 2 2" xfId="18758" xr:uid="{00000000-0005-0000-0000-000046490000}"/>
    <cellStyle name="Comma 13 3 2 2 2 2 2" xfId="18759" xr:uid="{00000000-0005-0000-0000-000047490000}"/>
    <cellStyle name="Comma 13 3 2 2 2 2 2 2" xfId="18760" xr:uid="{00000000-0005-0000-0000-000048490000}"/>
    <cellStyle name="Comma 13 3 2 2 2 2 2 2 2" xfId="18761" xr:uid="{00000000-0005-0000-0000-000049490000}"/>
    <cellStyle name="Comma 13 3 2 2 2 2 2 2 3" xfId="18762" xr:uid="{00000000-0005-0000-0000-00004A490000}"/>
    <cellStyle name="Comma 13 3 2 2 2 2 2 3" xfId="18763" xr:uid="{00000000-0005-0000-0000-00004B490000}"/>
    <cellStyle name="Comma 13 3 2 2 2 2 2 4" xfId="18764" xr:uid="{00000000-0005-0000-0000-00004C490000}"/>
    <cellStyle name="Comma 13 3 2 2 2 2 3" xfId="18765" xr:uid="{00000000-0005-0000-0000-00004D490000}"/>
    <cellStyle name="Comma 13 3 2 2 2 2 3 2" xfId="18766" xr:uid="{00000000-0005-0000-0000-00004E490000}"/>
    <cellStyle name="Comma 13 3 2 2 2 2 3 3" xfId="18767" xr:uid="{00000000-0005-0000-0000-00004F490000}"/>
    <cellStyle name="Comma 13 3 2 2 2 2 4" xfId="18768" xr:uid="{00000000-0005-0000-0000-000050490000}"/>
    <cellStyle name="Comma 13 3 2 2 2 2 5" xfId="18769" xr:uid="{00000000-0005-0000-0000-000051490000}"/>
    <cellStyle name="Comma 13 3 2 2 2 3" xfId="18770" xr:uid="{00000000-0005-0000-0000-000052490000}"/>
    <cellStyle name="Comma 13 3 2 2 2 3 2" xfId="18771" xr:uid="{00000000-0005-0000-0000-000053490000}"/>
    <cellStyle name="Comma 13 3 2 2 2 3 2 2" xfId="18772" xr:uid="{00000000-0005-0000-0000-000054490000}"/>
    <cellStyle name="Comma 13 3 2 2 2 3 2 3" xfId="18773" xr:uid="{00000000-0005-0000-0000-000055490000}"/>
    <cellStyle name="Comma 13 3 2 2 2 3 3" xfId="18774" xr:uid="{00000000-0005-0000-0000-000056490000}"/>
    <cellStyle name="Comma 13 3 2 2 2 3 4" xfId="18775" xr:uid="{00000000-0005-0000-0000-000057490000}"/>
    <cellStyle name="Comma 13 3 2 2 2 4" xfId="18776" xr:uid="{00000000-0005-0000-0000-000058490000}"/>
    <cellStyle name="Comma 13 3 2 2 2 4 2" xfId="18777" xr:uid="{00000000-0005-0000-0000-000059490000}"/>
    <cellStyle name="Comma 13 3 2 2 2 4 3" xfId="18778" xr:uid="{00000000-0005-0000-0000-00005A490000}"/>
    <cellStyle name="Comma 13 3 2 2 2 5" xfId="18779" xr:uid="{00000000-0005-0000-0000-00005B490000}"/>
    <cellStyle name="Comma 13 3 2 2 2 6" xfId="18780" xr:uid="{00000000-0005-0000-0000-00005C490000}"/>
    <cellStyle name="Comma 13 3 2 2 3" xfId="18781" xr:uid="{00000000-0005-0000-0000-00005D490000}"/>
    <cellStyle name="Comma 13 3 2 2 3 2" xfId="18782" xr:uid="{00000000-0005-0000-0000-00005E490000}"/>
    <cellStyle name="Comma 13 3 2 2 3 2 2" xfId="18783" xr:uid="{00000000-0005-0000-0000-00005F490000}"/>
    <cellStyle name="Comma 13 3 2 2 3 2 2 2" xfId="18784" xr:uid="{00000000-0005-0000-0000-000060490000}"/>
    <cellStyle name="Comma 13 3 2 2 3 2 2 3" xfId="18785" xr:uid="{00000000-0005-0000-0000-000061490000}"/>
    <cellStyle name="Comma 13 3 2 2 3 2 3" xfId="18786" xr:uid="{00000000-0005-0000-0000-000062490000}"/>
    <cellStyle name="Comma 13 3 2 2 3 2 4" xfId="18787" xr:uid="{00000000-0005-0000-0000-000063490000}"/>
    <cellStyle name="Comma 13 3 2 2 3 3" xfId="18788" xr:uid="{00000000-0005-0000-0000-000064490000}"/>
    <cellStyle name="Comma 13 3 2 2 3 3 2" xfId="18789" xr:uid="{00000000-0005-0000-0000-000065490000}"/>
    <cellStyle name="Comma 13 3 2 2 3 3 3" xfId="18790" xr:uid="{00000000-0005-0000-0000-000066490000}"/>
    <cellStyle name="Comma 13 3 2 2 3 4" xfId="18791" xr:uid="{00000000-0005-0000-0000-000067490000}"/>
    <cellStyle name="Comma 13 3 2 2 3 5" xfId="18792" xr:uid="{00000000-0005-0000-0000-000068490000}"/>
    <cellStyle name="Comma 13 3 2 2 4" xfId="18793" xr:uid="{00000000-0005-0000-0000-000069490000}"/>
    <cellStyle name="Comma 13 3 2 2 4 2" xfId="18794" xr:uid="{00000000-0005-0000-0000-00006A490000}"/>
    <cellStyle name="Comma 13 3 2 2 4 2 2" xfId="18795" xr:uid="{00000000-0005-0000-0000-00006B490000}"/>
    <cellStyle name="Comma 13 3 2 2 4 2 3" xfId="18796" xr:uid="{00000000-0005-0000-0000-00006C490000}"/>
    <cellStyle name="Comma 13 3 2 2 4 3" xfId="18797" xr:uid="{00000000-0005-0000-0000-00006D490000}"/>
    <cellStyle name="Comma 13 3 2 2 4 4" xfId="18798" xr:uid="{00000000-0005-0000-0000-00006E490000}"/>
    <cellStyle name="Comma 13 3 2 2 5" xfId="18799" xr:uid="{00000000-0005-0000-0000-00006F490000}"/>
    <cellStyle name="Comma 13 3 2 2 5 2" xfId="18800" xr:uid="{00000000-0005-0000-0000-000070490000}"/>
    <cellStyle name="Comma 13 3 2 2 5 3" xfId="18801" xr:uid="{00000000-0005-0000-0000-000071490000}"/>
    <cellStyle name="Comma 13 3 2 2 6" xfId="18802" xr:uid="{00000000-0005-0000-0000-000072490000}"/>
    <cellStyle name="Comma 13 3 2 2 7" xfId="18803" xr:uid="{00000000-0005-0000-0000-000073490000}"/>
    <cellStyle name="Comma 13 3 2 3" xfId="18804" xr:uid="{00000000-0005-0000-0000-000074490000}"/>
    <cellStyle name="Comma 13 3 2 3 2" xfId="18805" xr:uid="{00000000-0005-0000-0000-000075490000}"/>
    <cellStyle name="Comma 13 3 2 3 2 2" xfId="18806" xr:uid="{00000000-0005-0000-0000-000076490000}"/>
    <cellStyle name="Comma 13 3 2 3 2 2 2" xfId="18807" xr:uid="{00000000-0005-0000-0000-000077490000}"/>
    <cellStyle name="Comma 13 3 2 3 2 2 2 2" xfId="18808" xr:uid="{00000000-0005-0000-0000-000078490000}"/>
    <cellStyle name="Comma 13 3 2 3 2 2 2 3" xfId="18809" xr:uid="{00000000-0005-0000-0000-000079490000}"/>
    <cellStyle name="Comma 13 3 2 3 2 2 3" xfId="18810" xr:uid="{00000000-0005-0000-0000-00007A490000}"/>
    <cellStyle name="Comma 13 3 2 3 2 2 4" xfId="18811" xr:uid="{00000000-0005-0000-0000-00007B490000}"/>
    <cellStyle name="Comma 13 3 2 3 2 3" xfId="18812" xr:uid="{00000000-0005-0000-0000-00007C490000}"/>
    <cellStyle name="Comma 13 3 2 3 2 3 2" xfId="18813" xr:uid="{00000000-0005-0000-0000-00007D490000}"/>
    <cellStyle name="Comma 13 3 2 3 2 3 3" xfId="18814" xr:uid="{00000000-0005-0000-0000-00007E490000}"/>
    <cellStyle name="Comma 13 3 2 3 2 4" xfId="18815" xr:uid="{00000000-0005-0000-0000-00007F490000}"/>
    <cellStyle name="Comma 13 3 2 3 2 5" xfId="18816" xr:uid="{00000000-0005-0000-0000-000080490000}"/>
    <cellStyle name="Comma 13 3 2 3 3" xfId="18817" xr:uid="{00000000-0005-0000-0000-000081490000}"/>
    <cellStyle name="Comma 13 3 2 3 3 2" xfId="18818" xr:uid="{00000000-0005-0000-0000-000082490000}"/>
    <cellStyle name="Comma 13 3 2 3 3 2 2" xfId="18819" xr:uid="{00000000-0005-0000-0000-000083490000}"/>
    <cellStyle name="Comma 13 3 2 3 3 2 3" xfId="18820" xr:uid="{00000000-0005-0000-0000-000084490000}"/>
    <cellStyle name="Comma 13 3 2 3 3 3" xfId="18821" xr:uid="{00000000-0005-0000-0000-000085490000}"/>
    <cellStyle name="Comma 13 3 2 3 3 4" xfId="18822" xr:uid="{00000000-0005-0000-0000-000086490000}"/>
    <cellStyle name="Comma 13 3 2 3 4" xfId="18823" xr:uid="{00000000-0005-0000-0000-000087490000}"/>
    <cellStyle name="Comma 13 3 2 3 4 2" xfId="18824" xr:uid="{00000000-0005-0000-0000-000088490000}"/>
    <cellStyle name="Comma 13 3 2 3 4 3" xfId="18825" xr:uid="{00000000-0005-0000-0000-000089490000}"/>
    <cellStyle name="Comma 13 3 2 3 5" xfId="18826" xr:uid="{00000000-0005-0000-0000-00008A490000}"/>
    <cellStyle name="Comma 13 3 2 3 6" xfId="18827" xr:uid="{00000000-0005-0000-0000-00008B490000}"/>
    <cellStyle name="Comma 13 3 2 4" xfId="18828" xr:uid="{00000000-0005-0000-0000-00008C490000}"/>
    <cellStyle name="Comma 13 3 2 4 2" xfId="18829" xr:uid="{00000000-0005-0000-0000-00008D490000}"/>
    <cellStyle name="Comma 13 3 2 4 2 2" xfId="18830" xr:uid="{00000000-0005-0000-0000-00008E490000}"/>
    <cellStyle name="Comma 13 3 2 4 2 2 2" xfId="18831" xr:uid="{00000000-0005-0000-0000-00008F490000}"/>
    <cellStyle name="Comma 13 3 2 4 2 2 3" xfId="18832" xr:uid="{00000000-0005-0000-0000-000090490000}"/>
    <cellStyle name="Comma 13 3 2 4 2 3" xfId="18833" xr:uid="{00000000-0005-0000-0000-000091490000}"/>
    <cellStyle name="Comma 13 3 2 4 2 4" xfId="18834" xr:uid="{00000000-0005-0000-0000-000092490000}"/>
    <cellStyle name="Comma 13 3 2 4 3" xfId="18835" xr:uid="{00000000-0005-0000-0000-000093490000}"/>
    <cellStyle name="Comma 13 3 2 4 3 2" xfId="18836" xr:uid="{00000000-0005-0000-0000-000094490000}"/>
    <cellStyle name="Comma 13 3 2 4 3 3" xfId="18837" xr:uid="{00000000-0005-0000-0000-000095490000}"/>
    <cellStyle name="Comma 13 3 2 4 4" xfId="18838" xr:uid="{00000000-0005-0000-0000-000096490000}"/>
    <cellStyle name="Comma 13 3 2 4 5" xfId="18839" xr:uid="{00000000-0005-0000-0000-000097490000}"/>
    <cellStyle name="Comma 13 3 2 5" xfId="18840" xr:uid="{00000000-0005-0000-0000-000098490000}"/>
    <cellStyle name="Comma 13 3 2 5 2" xfId="18841" xr:uid="{00000000-0005-0000-0000-000099490000}"/>
    <cellStyle name="Comma 13 3 2 5 2 2" xfId="18842" xr:uid="{00000000-0005-0000-0000-00009A490000}"/>
    <cellStyle name="Comma 13 3 2 5 2 3" xfId="18843" xr:uid="{00000000-0005-0000-0000-00009B490000}"/>
    <cellStyle name="Comma 13 3 2 5 3" xfId="18844" xr:uid="{00000000-0005-0000-0000-00009C490000}"/>
    <cellStyle name="Comma 13 3 2 5 4" xfId="18845" xr:uid="{00000000-0005-0000-0000-00009D490000}"/>
    <cellStyle name="Comma 13 3 2 6" xfId="18846" xr:uid="{00000000-0005-0000-0000-00009E490000}"/>
    <cellStyle name="Comma 13 3 2 6 2" xfId="18847" xr:uid="{00000000-0005-0000-0000-00009F490000}"/>
    <cellStyle name="Comma 13 3 2 6 3" xfId="18848" xr:uid="{00000000-0005-0000-0000-0000A0490000}"/>
    <cellStyle name="Comma 13 3 2 7" xfId="18849" xr:uid="{00000000-0005-0000-0000-0000A1490000}"/>
    <cellStyle name="Comma 13 3 2 8" xfId="18850" xr:uid="{00000000-0005-0000-0000-0000A2490000}"/>
    <cellStyle name="Comma 13 3 3" xfId="18851" xr:uid="{00000000-0005-0000-0000-0000A3490000}"/>
    <cellStyle name="Comma 13 3 3 2" xfId="18852" xr:uid="{00000000-0005-0000-0000-0000A4490000}"/>
    <cellStyle name="Comma 13 3 3 2 2" xfId="18853" xr:uid="{00000000-0005-0000-0000-0000A5490000}"/>
    <cellStyle name="Comma 13 3 3 2 2 2" xfId="18854" xr:uid="{00000000-0005-0000-0000-0000A6490000}"/>
    <cellStyle name="Comma 13 3 3 2 2 2 2" xfId="18855" xr:uid="{00000000-0005-0000-0000-0000A7490000}"/>
    <cellStyle name="Comma 13 3 3 2 2 2 2 2" xfId="18856" xr:uid="{00000000-0005-0000-0000-0000A8490000}"/>
    <cellStyle name="Comma 13 3 3 2 2 2 2 3" xfId="18857" xr:uid="{00000000-0005-0000-0000-0000A9490000}"/>
    <cellStyle name="Comma 13 3 3 2 2 2 3" xfId="18858" xr:uid="{00000000-0005-0000-0000-0000AA490000}"/>
    <cellStyle name="Comma 13 3 3 2 2 2 4" xfId="18859" xr:uid="{00000000-0005-0000-0000-0000AB490000}"/>
    <cellStyle name="Comma 13 3 3 2 2 3" xfId="18860" xr:uid="{00000000-0005-0000-0000-0000AC490000}"/>
    <cellStyle name="Comma 13 3 3 2 2 3 2" xfId="18861" xr:uid="{00000000-0005-0000-0000-0000AD490000}"/>
    <cellStyle name="Comma 13 3 3 2 2 3 3" xfId="18862" xr:uid="{00000000-0005-0000-0000-0000AE490000}"/>
    <cellStyle name="Comma 13 3 3 2 2 4" xfId="18863" xr:uid="{00000000-0005-0000-0000-0000AF490000}"/>
    <cellStyle name="Comma 13 3 3 2 2 5" xfId="18864" xr:uid="{00000000-0005-0000-0000-0000B0490000}"/>
    <cellStyle name="Comma 13 3 3 2 3" xfId="18865" xr:uid="{00000000-0005-0000-0000-0000B1490000}"/>
    <cellStyle name="Comma 13 3 3 2 3 2" xfId="18866" xr:uid="{00000000-0005-0000-0000-0000B2490000}"/>
    <cellStyle name="Comma 13 3 3 2 3 2 2" xfId="18867" xr:uid="{00000000-0005-0000-0000-0000B3490000}"/>
    <cellStyle name="Comma 13 3 3 2 3 2 3" xfId="18868" xr:uid="{00000000-0005-0000-0000-0000B4490000}"/>
    <cellStyle name="Comma 13 3 3 2 3 3" xfId="18869" xr:uid="{00000000-0005-0000-0000-0000B5490000}"/>
    <cellStyle name="Comma 13 3 3 2 3 4" xfId="18870" xr:uid="{00000000-0005-0000-0000-0000B6490000}"/>
    <cellStyle name="Comma 13 3 3 2 4" xfId="18871" xr:uid="{00000000-0005-0000-0000-0000B7490000}"/>
    <cellStyle name="Comma 13 3 3 2 4 2" xfId="18872" xr:uid="{00000000-0005-0000-0000-0000B8490000}"/>
    <cellStyle name="Comma 13 3 3 2 4 3" xfId="18873" xr:uid="{00000000-0005-0000-0000-0000B9490000}"/>
    <cellStyle name="Comma 13 3 3 2 5" xfId="18874" xr:uid="{00000000-0005-0000-0000-0000BA490000}"/>
    <cellStyle name="Comma 13 3 3 2 6" xfId="18875" xr:uid="{00000000-0005-0000-0000-0000BB490000}"/>
    <cellStyle name="Comma 13 3 3 3" xfId="18876" xr:uid="{00000000-0005-0000-0000-0000BC490000}"/>
    <cellStyle name="Comma 13 3 3 3 2" xfId="18877" xr:uid="{00000000-0005-0000-0000-0000BD490000}"/>
    <cellStyle name="Comma 13 3 3 3 2 2" xfId="18878" xr:uid="{00000000-0005-0000-0000-0000BE490000}"/>
    <cellStyle name="Comma 13 3 3 3 2 2 2" xfId="18879" xr:uid="{00000000-0005-0000-0000-0000BF490000}"/>
    <cellStyle name="Comma 13 3 3 3 2 2 3" xfId="18880" xr:uid="{00000000-0005-0000-0000-0000C0490000}"/>
    <cellStyle name="Comma 13 3 3 3 2 3" xfId="18881" xr:uid="{00000000-0005-0000-0000-0000C1490000}"/>
    <cellStyle name="Comma 13 3 3 3 2 4" xfId="18882" xr:uid="{00000000-0005-0000-0000-0000C2490000}"/>
    <cellStyle name="Comma 13 3 3 3 3" xfId="18883" xr:uid="{00000000-0005-0000-0000-0000C3490000}"/>
    <cellStyle name="Comma 13 3 3 3 3 2" xfId="18884" xr:uid="{00000000-0005-0000-0000-0000C4490000}"/>
    <cellStyle name="Comma 13 3 3 3 3 3" xfId="18885" xr:uid="{00000000-0005-0000-0000-0000C5490000}"/>
    <cellStyle name="Comma 13 3 3 3 4" xfId="18886" xr:uid="{00000000-0005-0000-0000-0000C6490000}"/>
    <cellStyle name="Comma 13 3 3 3 5" xfId="18887" xr:uid="{00000000-0005-0000-0000-0000C7490000}"/>
    <cellStyle name="Comma 13 3 3 4" xfId="18888" xr:uid="{00000000-0005-0000-0000-0000C8490000}"/>
    <cellStyle name="Comma 13 3 3 4 2" xfId="18889" xr:uid="{00000000-0005-0000-0000-0000C9490000}"/>
    <cellStyle name="Comma 13 3 3 4 2 2" xfId="18890" xr:uid="{00000000-0005-0000-0000-0000CA490000}"/>
    <cellStyle name="Comma 13 3 3 4 2 3" xfId="18891" xr:uid="{00000000-0005-0000-0000-0000CB490000}"/>
    <cellStyle name="Comma 13 3 3 4 3" xfId="18892" xr:uid="{00000000-0005-0000-0000-0000CC490000}"/>
    <cellStyle name="Comma 13 3 3 4 4" xfId="18893" xr:uid="{00000000-0005-0000-0000-0000CD490000}"/>
    <cellStyle name="Comma 13 3 3 5" xfId="18894" xr:uid="{00000000-0005-0000-0000-0000CE490000}"/>
    <cellStyle name="Comma 13 3 3 5 2" xfId="18895" xr:uid="{00000000-0005-0000-0000-0000CF490000}"/>
    <cellStyle name="Comma 13 3 3 5 3" xfId="18896" xr:uid="{00000000-0005-0000-0000-0000D0490000}"/>
    <cellStyle name="Comma 13 3 3 6" xfId="18897" xr:uid="{00000000-0005-0000-0000-0000D1490000}"/>
    <cellStyle name="Comma 13 3 3 7" xfId="18898" xr:uid="{00000000-0005-0000-0000-0000D2490000}"/>
    <cellStyle name="Comma 13 3 4" xfId="18899" xr:uid="{00000000-0005-0000-0000-0000D3490000}"/>
    <cellStyle name="Comma 13 3 4 2" xfId="18900" xr:uid="{00000000-0005-0000-0000-0000D4490000}"/>
    <cellStyle name="Comma 13 3 4 2 2" xfId="18901" xr:uid="{00000000-0005-0000-0000-0000D5490000}"/>
    <cellStyle name="Comma 13 3 4 2 2 2" xfId="18902" xr:uid="{00000000-0005-0000-0000-0000D6490000}"/>
    <cellStyle name="Comma 13 3 4 2 2 2 2" xfId="18903" xr:uid="{00000000-0005-0000-0000-0000D7490000}"/>
    <cellStyle name="Comma 13 3 4 2 2 2 3" xfId="18904" xr:uid="{00000000-0005-0000-0000-0000D8490000}"/>
    <cellStyle name="Comma 13 3 4 2 2 3" xfId="18905" xr:uid="{00000000-0005-0000-0000-0000D9490000}"/>
    <cellStyle name="Comma 13 3 4 2 2 4" xfId="18906" xr:uid="{00000000-0005-0000-0000-0000DA490000}"/>
    <cellStyle name="Comma 13 3 4 2 3" xfId="18907" xr:uid="{00000000-0005-0000-0000-0000DB490000}"/>
    <cellStyle name="Comma 13 3 4 2 3 2" xfId="18908" xr:uid="{00000000-0005-0000-0000-0000DC490000}"/>
    <cellStyle name="Comma 13 3 4 2 3 3" xfId="18909" xr:uid="{00000000-0005-0000-0000-0000DD490000}"/>
    <cellStyle name="Comma 13 3 4 2 4" xfId="18910" xr:uid="{00000000-0005-0000-0000-0000DE490000}"/>
    <cellStyle name="Comma 13 3 4 2 5" xfId="18911" xr:uid="{00000000-0005-0000-0000-0000DF490000}"/>
    <cellStyle name="Comma 13 3 4 3" xfId="18912" xr:uid="{00000000-0005-0000-0000-0000E0490000}"/>
    <cellStyle name="Comma 13 3 4 3 2" xfId="18913" xr:uid="{00000000-0005-0000-0000-0000E1490000}"/>
    <cellStyle name="Comma 13 3 4 3 2 2" xfId="18914" xr:uid="{00000000-0005-0000-0000-0000E2490000}"/>
    <cellStyle name="Comma 13 3 4 3 2 3" xfId="18915" xr:uid="{00000000-0005-0000-0000-0000E3490000}"/>
    <cellStyle name="Comma 13 3 4 3 3" xfId="18916" xr:uid="{00000000-0005-0000-0000-0000E4490000}"/>
    <cellStyle name="Comma 13 3 4 3 4" xfId="18917" xr:uid="{00000000-0005-0000-0000-0000E5490000}"/>
    <cellStyle name="Comma 13 3 4 4" xfId="18918" xr:uid="{00000000-0005-0000-0000-0000E6490000}"/>
    <cellStyle name="Comma 13 3 4 4 2" xfId="18919" xr:uid="{00000000-0005-0000-0000-0000E7490000}"/>
    <cellStyle name="Comma 13 3 4 4 3" xfId="18920" xr:uid="{00000000-0005-0000-0000-0000E8490000}"/>
    <cellStyle name="Comma 13 3 4 5" xfId="18921" xr:uid="{00000000-0005-0000-0000-0000E9490000}"/>
    <cellStyle name="Comma 13 3 4 6" xfId="18922" xr:uid="{00000000-0005-0000-0000-0000EA490000}"/>
    <cellStyle name="Comma 13 3 5" xfId="18923" xr:uid="{00000000-0005-0000-0000-0000EB490000}"/>
    <cellStyle name="Comma 13 3 5 2" xfId="18924" xr:uid="{00000000-0005-0000-0000-0000EC490000}"/>
    <cellStyle name="Comma 13 3 5 2 2" xfId="18925" xr:uid="{00000000-0005-0000-0000-0000ED490000}"/>
    <cellStyle name="Comma 13 3 5 2 2 2" xfId="18926" xr:uid="{00000000-0005-0000-0000-0000EE490000}"/>
    <cellStyle name="Comma 13 3 5 2 2 3" xfId="18927" xr:uid="{00000000-0005-0000-0000-0000EF490000}"/>
    <cellStyle name="Comma 13 3 5 2 3" xfId="18928" xr:uid="{00000000-0005-0000-0000-0000F0490000}"/>
    <cellStyle name="Comma 13 3 5 2 4" xfId="18929" xr:uid="{00000000-0005-0000-0000-0000F1490000}"/>
    <cellStyle name="Comma 13 3 5 3" xfId="18930" xr:uid="{00000000-0005-0000-0000-0000F2490000}"/>
    <cellStyle name="Comma 13 3 5 3 2" xfId="18931" xr:uid="{00000000-0005-0000-0000-0000F3490000}"/>
    <cellStyle name="Comma 13 3 5 3 3" xfId="18932" xr:uid="{00000000-0005-0000-0000-0000F4490000}"/>
    <cellStyle name="Comma 13 3 5 4" xfId="18933" xr:uid="{00000000-0005-0000-0000-0000F5490000}"/>
    <cellStyle name="Comma 13 3 5 5" xfId="18934" xr:uid="{00000000-0005-0000-0000-0000F6490000}"/>
    <cellStyle name="Comma 13 3 6" xfId="18935" xr:uid="{00000000-0005-0000-0000-0000F7490000}"/>
    <cellStyle name="Comma 13 3 6 2" xfId="18936" xr:uid="{00000000-0005-0000-0000-0000F8490000}"/>
    <cellStyle name="Comma 13 3 6 2 2" xfId="18937" xr:uid="{00000000-0005-0000-0000-0000F9490000}"/>
    <cellStyle name="Comma 13 3 6 2 3" xfId="18938" xr:uid="{00000000-0005-0000-0000-0000FA490000}"/>
    <cellStyle name="Comma 13 3 6 3" xfId="18939" xr:uid="{00000000-0005-0000-0000-0000FB490000}"/>
    <cellStyle name="Comma 13 3 6 4" xfId="18940" xr:uid="{00000000-0005-0000-0000-0000FC490000}"/>
    <cellStyle name="Comma 13 3 7" xfId="18941" xr:uid="{00000000-0005-0000-0000-0000FD490000}"/>
    <cellStyle name="Comma 13 3 7 2" xfId="18942" xr:uid="{00000000-0005-0000-0000-0000FE490000}"/>
    <cellStyle name="Comma 13 3 7 3" xfId="18943" xr:uid="{00000000-0005-0000-0000-0000FF490000}"/>
    <cellStyle name="Comma 13 3 8" xfId="18944" xr:uid="{00000000-0005-0000-0000-0000004A0000}"/>
    <cellStyle name="Comma 13 3 9" xfId="18945" xr:uid="{00000000-0005-0000-0000-0000014A0000}"/>
    <cellStyle name="Comma 13 4" xfId="18946" xr:uid="{00000000-0005-0000-0000-0000024A0000}"/>
    <cellStyle name="Comma 13 4 2" xfId="18947" xr:uid="{00000000-0005-0000-0000-0000034A0000}"/>
    <cellStyle name="Comma 13 4 2 2" xfId="18948" xr:uid="{00000000-0005-0000-0000-0000044A0000}"/>
    <cellStyle name="Comma 13 4 2 2 2" xfId="18949" xr:uid="{00000000-0005-0000-0000-0000054A0000}"/>
    <cellStyle name="Comma 13 4 2 2 2 2" xfId="18950" xr:uid="{00000000-0005-0000-0000-0000064A0000}"/>
    <cellStyle name="Comma 13 4 2 2 2 2 2" xfId="18951" xr:uid="{00000000-0005-0000-0000-0000074A0000}"/>
    <cellStyle name="Comma 13 4 2 2 2 2 2 2" xfId="18952" xr:uid="{00000000-0005-0000-0000-0000084A0000}"/>
    <cellStyle name="Comma 13 4 2 2 2 2 2 3" xfId="18953" xr:uid="{00000000-0005-0000-0000-0000094A0000}"/>
    <cellStyle name="Comma 13 4 2 2 2 2 3" xfId="18954" xr:uid="{00000000-0005-0000-0000-00000A4A0000}"/>
    <cellStyle name="Comma 13 4 2 2 2 2 4" xfId="18955" xr:uid="{00000000-0005-0000-0000-00000B4A0000}"/>
    <cellStyle name="Comma 13 4 2 2 2 3" xfId="18956" xr:uid="{00000000-0005-0000-0000-00000C4A0000}"/>
    <cellStyle name="Comma 13 4 2 2 2 3 2" xfId="18957" xr:uid="{00000000-0005-0000-0000-00000D4A0000}"/>
    <cellStyle name="Comma 13 4 2 2 2 3 3" xfId="18958" xr:uid="{00000000-0005-0000-0000-00000E4A0000}"/>
    <cellStyle name="Comma 13 4 2 2 2 4" xfId="18959" xr:uid="{00000000-0005-0000-0000-00000F4A0000}"/>
    <cellStyle name="Comma 13 4 2 2 2 5" xfId="18960" xr:uid="{00000000-0005-0000-0000-0000104A0000}"/>
    <cellStyle name="Comma 13 4 2 2 3" xfId="18961" xr:uid="{00000000-0005-0000-0000-0000114A0000}"/>
    <cellStyle name="Comma 13 4 2 2 3 2" xfId="18962" xr:uid="{00000000-0005-0000-0000-0000124A0000}"/>
    <cellStyle name="Comma 13 4 2 2 3 2 2" xfId="18963" xr:uid="{00000000-0005-0000-0000-0000134A0000}"/>
    <cellStyle name="Comma 13 4 2 2 3 2 3" xfId="18964" xr:uid="{00000000-0005-0000-0000-0000144A0000}"/>
    <cellStyle name="Comma 13 4 2 2 3 3" xfId="18965" xr:uid="{00000000-0005-0000-0000-0000154A0000}"/>
    <cellStyle name="Comma 13 4 2 2 3 4" xfId="18966" xr:uid="{00000000-0005-0000-0000-0000164A0000}"/>
    <cellStyle name="Comma 13 4 2 2 4" xfId="18967" xr:uid="{00000000-0005-0000-0000-0000174A0000}"/>
    <cellStyle name="Comma 13 4 2 2 4 2" xfId="18968" xr:uid="{00000000-0005-0000-0000-0000184A0000}"/>
    <cellStyle name="Comma 13 4 2 2 4 3" xfId="18969" xr:uid="{00000000-0005-0000-0000-0000194A0000}"/>
    <cellStyle name="Comma 13 4 2 2 5" xfId="18970" xr:uid="{00000000-0005-0000-0000-00001A4A0000}"/>
    <cellStyle name="Comma 13 4 2 2 6" xfId="18971" xr:uid="{00000000-0005-0000-0000-00001B4A0000}"/>
    <cellStyle name="Comma 13 4 2 3" xfId="18972" xr:uid="{00000000-0005-0000-0000-00001C4A0000}"/>
    <cellStyle name="Comma 13 4 2 3 2" xfId="18973" xr:uid="{00000000-0005-0000-0000-00001D4A0000}"/>
    <cellStyle name="Comma 13 4 2 3 2 2" xfId="18974" xr:uid="{00000000-0005-0000-0000-00001E4A0000}"/>
    <cellStyle name="Comma 13 4 2 3 2 2 2" xfId="18975" xr:uid="{00000000-0005-0000-0000-00001F4A0000}"/>
    <cellStyle name="Comma 13 4 2 3 2 2 3" xfId="18976" xr:uid="{00000000-0005-0000-0000-0000204A0000}"/>
    <cellStyle name="Comma 13 4 2 3 2 3" xfId="18977" xr:uid="{00000000-0005-0000-0000-0000214A0000}"/>
    <cellStyle name="Comma 13 4 2 3 2 4" xfId="18978" xr:uid="{00000000-0005-0000-0000-0000224A0000}"/>
    <cellStyle name="Comma 13 4 2 3 3" xfId="18979" xr:uid="{00000000-0005-0000-0000-0000234A0000}"/>
    <cellStyle name="Comma 13 4 2 3 3 2" xfId="18980" xr:uid="{00000000-0005-0000-0000-0000244A0000}"/>
    <cellStyle name="Comma 13 4 2 3 3 3" xfId="18981" xr:uid="{00000000-0005-0000-0000-0000254A0000}"/>
    <cellStyle name="Comma 13 4 2 3 4" xfId="18982" xr:uid="{00000000-0005-0000-0000-0000264A0000}"/>
    <cellStyle name="Comma 13 4 2 3 5" xfId="18983" xr:uid="{00000000-0005-0000-0000-0000274A0000}"/>
    <cellStyle name="Comma 13 4 2 4" xfId="18984" xr:uid="{00000000-0005-0000-0000-0000284A0000}"/>
    <cellStyle name="Comma 13 4 2 4 2" xfId="18985" xr:uid="{00000000-0005-0000-0000-0000294A0000}"/>
    <cellStyle name="Comma 13 4 2 4 2 2" xfId="18986" xr:uid="{00000000-0005-0000-0000-00002A4A0000}"/>
    <cellStyle name="Comma 13 4 2 4 2 3" xfId="18987" xr:uid="{00000000-0005-0000-0000-00002B4A0000}"/>
    <cellStyle name="Comma 13 4 2 4 3" xfId="18988" xr:uid="{00000000-0005-0000-0000-00002C4A0000}"/>
    <cellStyle name="Comma 13 4 2 4 4" xfId="18989" xr:uid="{00000000-0005-0000-0000-00002D4A0000}"/>
    <cellStyle name="Comma 13 4 2 5" xfId="18990" xr:uid="{00000000-0005-0000-0000-00002E4A0000}"/>
    <cellStyle name="Comma 13 4 2 5 2" xfId="18991" xr:uid="{00000000-0005-0000-0000-00002F4A0000}"/>
    <cellStyle name="Comma 13 4 2 5 3" xfId="18992" xr:uid="{00000000-0005-0000-0000-0000304A0000}"/>
    <cellStyle name="Comma 13 4 2 6" xfId="18993" xr:uid="{00000000-0005-0000-0000-0000314A0000}"/>
    <cellStyle name="Comma 13 4 2 7" xfId="18994" xr:uid="{00000000-0005-0000-0000-0000324A0000}"/>
    <cellStyle name="Comma 13 4 3" xfId="18995" xr:uid="{00000000-0005-0000-0000-0000334A0000}"/>
    <cellStyle name="Comma 13 4 3 2" xfId="18996" xr:uid="{00000000-0005-0000-0000-0000344A0000}"/>
    <cellStyle name="Comma 13 4 3 2 2" xfId="18997" xr:uid="{00000000-0005-0000-0000-0000354A0000}"/>
    <cellStyle name="Comma 13 4 3 2 2 2" xfId="18998" xr:uid="{00000000-0005-0000-0000-0000364A0000}"/>
    <cellStyle name="Comma 13 4 3 2 2 2 2" xfId="18999" xr:uid="{00000000-0005-0000-0000-0000374A0000}"/>
    <cellStyle name="Comma 13 4 3 2 2 2 3" xfId="19000" xr:uid="{00000000-0005-0000-0000-0000384A0000}"/>
    <cellStyle name="Comma 13 4 3 2 2 3" xfId="19001" xr:uid="{00000000-0005-0000-0000-0000394A0000}"/>
    <cellStyle name="Comma 13 4 3 2 2 4" xfId="19002" xr:uid="{00000000-0005-0000-0000-00003A4A0000}"/>
    <cellStyle name="Comma 13 4 3 2 3" xfId="19003" xr:uid="{00000000-0005-0000-0000-00003B4A0000}"/>
    <cellStyle name="Comma 13 4 3 2 3 2" xfId="19004" xr:uid="{00000000-0005-0000-0000-00003C4A0000}"/>
    <cellStyle name="Comma 13 4 3 2 3 3" xfId="19005" xr:uid="{00000000-0005-0000-0000-00003D4A0000}"/>
    <cellStyle name="Comma 13 4 3 2 4" xfId="19006" xr:uid="{00000000-0005-0000-0000-00003E4A0000}"/>
    <cellStyle name="Comma 13 4 3 2 5" xfId="19007" xr:uid="{00000000-0005-0000-0000-00003F4A0000}"/>
    <cellStyle name="Comma 13 4 3 3" xfId="19008" xr:uid="{00000000-0005-0000-0000-0000404A0000}"/>
    <cellStyle name="Comma 13 4 3 3 2" xfId="19009" xr:uid="{00000000-0005-0000-0000-0000414A0000}"/>
    <cellStyle name="Comma 13 4 3 3 2 2" xfId="19010" xr:uid="{00000000-0005-0000-0000-0000424A0000}"/>
    <cellStyle name="Comma 13 4 3 3 2 3" xfId="19011" xr:uid="{00000000-0005-0000-0000-0000434A0000}"/>
    <cellStyle name="Comma 13 4 3 3 3" xfId="19012" xr:uid="{00000000-0005-0000-0000-0000444A0000}"/>
    <cellStyle name="Comma 13 4 3 3 4" xfId="19013" xr:uid="{00000000-0005-0000-0000-0000454A0000}"/>
    <cellStyle name="Comma 13 4 3 4" xfId="19014" xr:uid="{00000000-0005-0000-0000-0000464A0000}"/>
    <cellStyle name="Comma 13 4 3 4 2" xfId="19015" xr:uid="{00000000-0005-0000-0000-0000474A0000}"/>
    <cellStyle name="Comma 13 4 3 4 3" xfId="19016" xr:uid="{00000000-0005-0000-0000-0000484A0000}"/>
    <cellStyle name="Comma 13 4 3 5" xfId="19017" xr:uid="{00000000-0005-0000-0000-0000494A0000}"/>
    <cellStyle name="Comma 13 4 3 6" xfId="19018" xr:uid="{00000000-0005-0000-0000-00004A4A0000}"/>
    <cellStyle name="Comma 13 4 4" xfId="19019" xr:uid="{00000000-0005-0000-0000-00004B4A0000}"/>
    <cellStyle name="Comma 13 4 4 2" xfId="19020" xr:uid="{00000000-0005-0000-0000-00004C4A0000}"/>
    <cellStyle name="Comma 13 4 4 2 2" xfId="19021" xr:uid="{00000000-0005-0000-0000-00004D4A0000}"/>
    <cellStyle name="Comma 13 4 4 2 2 2" xfId="19022" xr:uid="{00000000-0005-0000-0000-00004E4A0000}"/>
    <cellStyle name="Comma 13 4 4 2 2 3" xfId="19023" xr:uid="{00000000-0005-0000-0000-00004F4A0000}"/>
    <cellStyle name="Comma 13 4 4 2 3" xfId="19024" xr:uid="{00000000-0005-0000-0000-0000504A0000}"/>
    <cellStyle name="Comma 13 4 4 2 4" xfId="19025" xr:uid="{00000000-0005-0000-0000-0000514A0000}"/>
    <cellStyle name="Comma 13 4 4 3" xfId="19026" xr:uid="{00000000-0005-0000-0000-0000524A0000}"/>
    <cellStyle name="Comma 13 4 4 3 2" xfId="19027" xr:uid="{00000000-0005-0000-0000-0000534A0000}"/>
    <cellStyle name="Comma 13 4 4 3 3" xfId="19028" xr:uid="{00000000-0005-0000-0000-0000544A0000}"/>
    <cellStyle name="Comma 13 4 4 4" xfId="19029" xr:uid="{00000000-0005-0000-0000-0000554A0000}"/>
    <cellStyle name="Comma 13 4 4 5" xfId="19030" xr:uid="{00000000-0005-0000-0000-0000564A0000}"/>
    <cellStyle name="Comma 13 4 5" xfId="19031" xr:uid="{00000000-0005-0000-0000-0000574A0000}"/>
    <cellStyle name="Comma 13 4 5 2" xfId="19032" xr:uid="{00000000-0005-0000-0000-0000584A0000}"/>
    <cellStyle name="Comma 13 4 5 2 2" xfId="19033" xr:uid="{00000000-0005-0000-0000-0000594A0000}"/>
    <cellStyle name="Comma 13 4 5 2 3" xfId="19034" xr:uid="{00000000-0005-0000-0000-00005A4A0000}"/>
    <cellStyle name="Comma 13 4 5 3" xfId="19035" xr:uid="{00000000-0005-0000-0000-00005B4A0000}"/>
    <cellStyle name="Comma 13 4 5 4" xfId="19036" xr:uid="{00000000-0005-0000-0000-00005C4A0000}"/>
    <cellStyle name="Comma 13 4 6" xfId="19037" xr:uid="{00000000-0005-0000-0000-00005D4A0000}"/>
    <cellStyle name="Comma 13 4 6 2" xfId="19038" xr:uid="{00000000-0005-0000-0000-00005E4A0000}"/>
    <cellStyle name="Comma 13 4 6 3" xfId="19039" xr:uid="{00000000-0005-0000-0000-00005F4A0000}"/>
    <cellStyle name="Comma 13 4 7" xfId="19040" xr:uid="{00000000-0005-0000-0000-0000604A0000}"/>
    <cellStyle name="Comma 13 4 8" xfId="19041" xr:uid="{00000000-0005-0000-0000-0000614A0000}"/>
    <cellStyle name="Comma 13 5" xfId="19042" xr:uid="{00000000-0005-0000-0000-0000624A0000}"/>
    <cellStyle name="Comma 13 5 2" xfId="19043" xr:uid="{00000000-0005-0000-0000-0000634A0000}"/>
    <cellStyle name="Comma 13 5 2 2" xfId="19044" xr:uid="{00000000-0005-0000-0000-0000644A0000}"/>
    <cellStyle name="Comma 13 5 2 2 2" xfId="19045" xr:uid="{00000000-0005-0000-0000-0000654A0000}"/>
    <cellStyle name="Comma 13 5 2 2 2 2" xfId="19046" xr:uid="{00000000-0005-0000-0000-0000664A0000}"/>
    <cellStyle name="Comma 13 5 2 2 2 2 2" xfId="19047" xr:uid="{00000000-0005-0000-0000-0000674A0000}"/>
    <cellStyle name="Comma 13 5 2 2 2 2 3" xfId="19048" xr:uid="{00000000-0005-0000-0000-0000684A0000}"/>
    <cellStyle name="Comma 13 5 2 2 2 3" xfId="19049" xr:uid="{00000000-0005-0000-0000-0000694A0000}"/>
    <cellStyle name="Comma 13 5 2 2 2 4" xfId="19050" xr:uid="{00000000-0005-0000-0000-00006A4A0000}"/>
    <cellStyle name="Comma 13 5 2 2 3" xfId="19051" xr:uid="{00000000-0005-0000-0000-00006B4A0000}"/>
    <cellStyle name="Comma 13 5 2 2 3 2" xfId="19052" xr:uid="{00000000-0005-0000-0000-00006C4A0000}"/>
    <cellStyle name="Comma 13 5 2 2 3 3" xfId="19053" xr:uid="{00000000-0005-0000-0000-00006D4A0000}"/>
    <cellStyle name="Comma 13 5 2 2 4" xfId="19054" xr:uid="{00000000-0005-0000-0000-00006E4A0000}"/>
    <cellStyle name="Comma 13 5 2 2 5" xfId="19055" xr:uid="{00000000-0005-0000-0000-00006F4A0000}"/>
    <cellStyle name="Comma 13 5 2 3" xfId="19056" xr:uid="{00000000-0005-0000-0000-0000704A0000}"/>
    <cellStyle name="Comma 13 5 2 3 2" xfId="19057" xr:uid="{00000000-0005-0000-0000-0000714A0000}"/>
    <cellStyle name="Comma 13 5 2 3 2 2" xfId="19058" xr:uid="{00000000-0005-0000-0000-0000724A0000}"/>
    <cellStyle name="Comma 13 5 2 3 2 3" xfId="19059" xr:uid="{00000000-0005-0000-0000-0000734A0000}"/>
    <cellStyle name="Comma 13 5 2 3 3" xfId="19060" xr:uid="{00000000-0005-0000-0000-0000744A0000}"/>
    <cellStyle name="Comma 13 5 2 3 4" xfId="19061" xr:uid="{00000000-0005-0000-0000-0000754A0000}"/>
    <cellStyle name="Comma 13 5 2 4" xfId="19062" xr:uid="{00000000-0005-0000-0000-0000764A0000}"/>
    <cellStyle name="Comma 13 5 2 4 2" xfId="19063" xr:uid="{00000000-0005-0000-0000-0000774A0000}"/>
    <cellStyle name="Comma 13 5 2 4 3" xfId="19064" xr:uid="{00000000-0005-0000-0000-0000784A0000}"/>
    <cellStyle name="Comma 13 5 2 5" xfId="19065" xr:uid="{00000000-0005-0000-0000-0000794A0000}"/>
    <cellStyle name="Comma 13 5 2 6" xfId="19066" xr:uid="{00000000-0005-0000-0000-00007A4A0000}"/>
    <cellStyle name="Comma 13 5 3" xfId="19067" xr:uid="{00000000-0005-0000-0000-00007B4A0000}"/>
    <cellStyle name="Comma 13 5 3 2" xfId="19068" xr:uid="{00000000-0005-0000-0000-00007C4A0000}"/>
    <cellStyle name="Comma 13 5 3 2 2" xfId="19069" xr:uid="{00000000-0005-0000-0000-00007D4A0000}"/>
    <cellStyle name="Comma 13 5 3 2 2 2" xfId="19070" xr:uid="{00000000-0005-0000-0000-00007E4A0000}"/>
    <cellStyle name="Comma 13 5 3 2 2 3" xfId="19071" xr:uid="{00000000-0005-0000-0000-00007F4A0000}"/>
    <cellStyle name="Comma 13 5 3 2 3" xfId="19072" xr:uid="{00000000-0005-0000-0000-0000804A0000}"/>
    <cellStyle name="Comma 13 5 3 2 4" xfId="19073" xr:uid="{00000000-0005-0000-0000-0000814A0000}"/>
    <cellStyle name="Comma 13 5 3 3" xfId="19074" xr:uid="{00000000-0005-0000-0000-0000824A0000}"/>
    <cellStyle name="Comma 13 5 3 3 2" xfId="19075" xr:uid="{00000000-0005-0000-0000-0000834A0000}"/>
    <cellStyle name="Comma 13 5 3 3 3" xfId="19076" xr:uid="{00000000-0005-0000-0000-0000844A0000}"/>
    <cellStyle name="Comma 13 5 3 4" xfId="19077" xr:uid="{00000000-0005-0000-0000-0000854A0000}"/>
    <cellStyle name="Comma 13 5 3 5" xfId="19078" xr:uid="{00000000-0005-0000-0000-0000864A0000}"/>
    <cellStyle name="Comma 13 5 4" xfId="19079" xr:uid="{00000000-0005-0000-0000-0000874A0000}"/>
    <cellStyle name="Comma 13 5 4 2" xfId="19080" xr:uid="{00000000-0005-0000-0000-0000884A0000}"/>
    <cellStyle name="Comma 13 5 4 2 2" xfId="19081" xr:uid="{00000000-0005-0000-0000-0000894A0000}"/>
    <cellStyle name="Comma 13 5 4 2 3" xfId="19082" xr:uid="{00000000-0005-0000-0000-00008A4A0000}"/>
    <cellStyle name="Comma 13 5 4 3" xfId="19083" xr:uid="{00000000-0005-0000-0000-00008B4A0000}"/>
    <cellStyle name="Comma 13 5 4 4" xfId="19084" xr:uid="{00000000-0005-0000-0000-00008C4A0000}"/>
    <cellStyle name="Comma 13 5 5" xfId="19085" xr:uid="{00000000-0005-0000-0000-00008D4A0000}"/>
    <cellStyle name="Comma 13 5 5 2" xfId="19086" xr:uid="{00000000-0005-0000-0000-00008E4A0000}"/>
    <cellStyle name="Comma 13 5 5 3" xfId="19087" xr:uid="{00000000-0005-0000-0000-00008F4A0000}"/>
    <cellStyle name="Comma 13 5 6" xfId="19088" xr:uid="{00000000-0005-0000-0000-0000904A0000}"/>
    <cellStyle name="Comma 13 5 7" xfId="19089" xr:uid="{00000000-0005-0000-0000-0000914A0000}"/>
    <cellStyle name="Comma 13 6" xfId="19090" xr:uid="{00000000-0005-0000-0000-0000924A0000}"/>
    <cellStyle name="Comma 13 6 2" xfId="19091" xr:uid="{00000000-0005-0000-0000-0000934A0000}"/>
    <cellStyle name="Comma 13 6 2 2" xfId="19092" xr:uid="{00000000-0005-0000-0000-0000944A0000}"/>
    <cellStyle name="Comma 13 6 2 2 2" xfId="19093" xr:uid="{00000000-0005-0000-0000-0000954A0000}"/>
    <cellStyle name="Comma 13 6 2 2 2 2" xfId="19094" xr:uid="{00000000-0005-0000-0000-0000964A0000}"/>
    <cellStyle name="Comma 13 6 2 2 2 3" xfId="19095" xr:uid="{00000000-0005-0000-0000-0000974A0000}"/>
    <cellStyle name="Comma 13 6 2 2 3" xfId="19096" xr:uid="{00000000-0005-0000-0000-0000984A0000}"/>
    <cellStyle name="Comma 13 6 2 2 4" xfId="19097" xr:uid="{00000000-0005-0000-0000-0000994A0000}"/>
    <cellStyle name="Comma 13 6 2 3" xfId="19098" xr:uid="{00000000-0005-0000-0000-00009A4A0000}"/>
    <cellStyle name="Comma 13 6 2 3 2" xfId="19099" xr:uid="{00000000-0005-0000-0000-00009B4A0000}"/>
    <cellStyle name="Comma 13 6 2 3 3" xfId="19100" xr:uid="{00000000-0005-0000-0000-00009C4A0000}"/>
    <cellStyle name="Comma 13 6 2 4" xfId="19101" xr:uid="{00000000-0005-0000-0000-00009D4A0000}"/>
    <cellStyle name="Comma 13 6 2 5" xfId="19102" xr:uid="{00000000-0005-0000-0000-00009E4A0000}"/>
    <cellStyle name="Comma 13 6 3" xfId="19103" xr:uid="{00000000-0005-0000-0000-00009F4A0000}"/>
    <cellStyle name="Comma 13 6 3 2" xfId="19104" xr:uid="{00000000-0005-0000-0000-0000A04A0000}"/>
    <cellStyle name="Comma 13 6 3 2 2" xfId="19105" xr:uid="{00000000-0005-0000-0000-0000A14A0000}"/>
    <cellStyle name="Comma 13 6 3 2 3" xfId="19106" xr:uid="{00000000-0005-0000-0000-0000A24A0000}"/>
    <cellStyle name="Comma 13 6 3 3" xfId="19107" xr:uid="{00000000-0005-0000-0000-0000A34A0000}"/>
    <cellStyle name="Comma 13 6 3 4" xfId="19108" xr:uid="{00000000-0005-0000-0000-0000A44A0000}"/>
    <cellStyle name="Comma 13 6 4" xfId="19109" xr:uid="{00000000-0005-0000-0000-0000A54A0000}"/>
    <cellStyle name="Comma 13 6 4 2" xfId="19110" xr:uid="{00000000-0005-0000-0000-0000A64A0000}"/>
    <cellStyle name="Comma 13 6 4 3" xfId="19111" xr:uid="{00000000-0005-0000-0000-0000A74A0000}"/>
    <cellStyle name="Comma 13 6 5" xfId="19112" xr:uid="{00000000-0005-0000-0000-0000A84A0000}"/>
    <cellStyle name="Comma 13 6 6" xfId="19113" xr:uid="{00000000-0005-0000-0000-0000A94A0000}"/>
    <cellStyle name="Comma 13 7" xfId="19114" xr:uid="{00000000-0005-0000-0000-0000AA4A0000}"/>
    <cellStyle name="Comma 13 7 2" xfId="19115" xr:uid="{00000000-0005-0000-0000-0000AB4A0000}"/>
    <cellStyle name="Comma 13 7 2 2" xfId="19116" xr:uid="{00000000-0005-0000-0000-0000AC4A0000}"/>
    <cellStyle name="Comma 13 7 2 2 2" xfId="19117" xr:uid="{00000000-0005-0000-0000-0000AD4A0000}"/>
    <cellStyle name="Comma 13 7 2 2 3" xfId="19118" xr:uid="{00000000-0005-0000-0000-0000AE4A0000}"/>
    <cellStyle name="Comma 13 7 2 3" xfId="19119" xr:uid="{00000000-0005-0000-0000-0000AF4A0000}"/>
    <cellStyle name="Comma 13 7 2 4" xfId="19120" xr:uid="{00000000-0005-0000-0000-0000B04A0000}"/>
    <cellStyle name="Comma 13 7 3" xfId="19121" xr:uid="{00000000-0005-0000-0000-0000B14A0000}"/>
    <cellStyle name="Comma 13 7 3 2" xfId="19122" xr:uid="{00000000-0005-0000-0000-0000B24A0000}"/>
    <cellStyle name="Comma 13 7 3 3" xfId="19123" xr:uid="{00000000-0005-0000-0000-0000B34A0000}"/>
    <cellStyle name="Comma 13 7 4" xfId="19124" xr:uid="{00000000-0005-0000-0000-0000B44A0000}"/>
    <cellStyle name="Comma 13 7 5" xfId="19125" xr:uid="{00000000-0005-0000-0000-0000B54A0000}"/>
    <cellStyle name="Comma 13 8" xfId="19126" xr:uid="{00000000-0005-0000-0000-0000B64A0000}"/>
    <cellStyle name="Comma 13 8 2" xfId="19127" xr:uid="{00000000-0005-0000-0000-0000B74A0000}"/>
    <cellStyle name="Comma 13 8 2 2" xfId="19128" xr:uid="{00000000-0005-0000-0000-0000B84A0000}"/>
    <cellStyle name="Comma 13 8 2 3" xfId="19129" xr:uid="{00000000-0005-0000-0000-0000B94A0000}"/>
    <cellStyle name="Comma 13 8 3" xfId="19130" xr:uid="{00000000-0005-0000-0000-0000BA4A0000}"/>
    <cellStyle name="Comma 13 8 4" xfId="19131" xr:uid="{00000000-0005-0000-0000-0000BB4A0000}"/>
    <cellStyle name="Comma 13 9" xfId="19132" xr:uid="{00000000-0005-0000-0000-0000BC4A0000}"/>
    <cellStyle name="Comma 13 9 2" xfId="19133" xr:uid="{00000000-0005-0000-0000-0000BD4A0000}"/>
    <cellStyle name="Comma 13 9 3" xfId="19134" xr:uid="{00000000-0005-0000-0000-0000BE4A0000}"/>
    <cellStyle name="Comma 130" xfId="19135" xr:uid="{00000000-0005-0000-0000-0000BF4A0000}"/>
    <cellStyle name="Comma 131" xfId="19136" xr:uid="{00000000-0005-0000-0000-0000C04A0000}"/>
    <cellStyle name="Comma 132" xfId="19137" xr:uid="{00000000-0005-0000-0000-0000C14A0000}"/>
    <cellStyle name="Comma 133" xfId="19138" xr:uid="{00000000-0005-0000-0000-0000C24A0000}"/>
    <cellStyle name="Comma 134" xfId="19139" xr:uid="{00000000-0005-0000-0000-0000C34A0000}"/>
    <cellStyle name="Comma 135" xfId="19140" xr:uid="{00000000-0005-0000-0000-0000C44A0000}"/>
    <cellStyle name="Comma 136" xfId="19141" xr:uid="{00000000-0005-0000-0000-0000C54A0000}"/>
    <cellStyle name="Comma 137" xfId="19142" xr:uid="{00000000-0005-0000-0000-0000C64A0000}"/>
    <cellStyle name="Comma 138" xfId="19143" xr:uid="{00000000-0005-0000-0000-0000C74A0000}"/>
    <cellStyle name="Comma 139" xfId="19144" xr:uid="{00000000-0005-0000-0000-0000C84A0000}"/>
    <cellStyle name="Comma 14" xfId="19145" xr:uid="{00000000-0005-0000-0000-0000C94A0000}"/>
    <cellStyle name="Comma 14 10" xfId="19146" xr:uid="{00000000-0005-0000-0000-0000CA4A0000}"/>
    <cellStyle name="Comma 14 11" xfId="19147" xr:uid="{00000000-0005-0000-0000-0000CB4A0000}"/>
    <cellStyle name="Comma 14 2" xfId="19148" xr:uid="{00000000-0005-0000-0000-0000CC4A0000}"/>
    <cellStyle name="Comma 14 2 10" xfId="19149" xr:uid="{00000000-0005-0000-0000-0000CD4A0000}"/>
    <cellStyle name="Comma 14 2 2" xfId="19150" xr:uid="{00000000-0005-0000-0000-0000CE4A0000}"/>
    <cellStyle name="Comma 14 2 2 2" xfId="19151" xr:uid="{00000000-0005-0000-0000-0000CF4A0000}"/>
    <cellStyle name="Comma 14 2 2 2 2" xfId="19152" xr:uid="{00000000-0005-0000-0000-0000D04A0000}"/>
    <cellStyle name="Comma 14 2 2 2 2 2" xfId="19153" xr:uid="{00000000-0005-0000-0000-0000D14A0000}"/>
    <cellStyle name="Comma 14 2 2 2 2 2 2" xfId="19154" xr:uid="{00000000-0005-0000-0000-0000D24A0000}"/>
    <cellStyle name="Comma 14 2 2 2 2 2 2 2" xfId="19155" xr:uid="{00000000-0005-0000-0000-0000D34A0000}"/>
    <cellStyle name="Comma 14 2 2 2 2 2 2 2 2" xfId="19156" xr:uid="{00000000-0005-0000-0000-0000D44A0000}"/>
    <cellStyle name="Comma 14 2 2 2 2 2 2 2 2 2" xfId="19157" xr:uid="{00000000-0005-0000-0000-0000D54A0000}"/>
    <cellStyle name="Comma 14 2 2 2 2 2 2 2 2 3" xfId="19158" xr:uid="{00000000-0005-0000-0000-0000D64A0000}"/>
    <cellStyle name="Comma 14 2 2 2 2 2 2 2 3" xfId="19159" xr:uid="{00000000-0005-0000-0000-0000D74A0000}"/>
    <cellStyle name="Comma 14 2 2 2 2 2 2 2 4" xfId="19160" xr:uid="{00000000-0005-0000-0000-0000D84A0000}"/>
    <cellStyle name="Comma 14 2 2 2 2 2 2 3" xfId="19161" xr:uid="{00000000-0005-0000-0000-0000D94A0000}"/>
    <cellStyle name="Comma 14 2 2 2 2 2 2 3 2" xfId="19162" xr:uid="{00000000-0005-0000-0000-0000DA4A0000}"/>
    <cellStyle name="Comma 14 2 2 2 2 2 2 3 3" xfId="19163" xr:uid="{00000000-0005-0000-0000-0000DB4A0000}"/>
    <cellStyle name="Comma 14 2 2 2 2 2 2 4" xfId="19164" xr:uid="{00000000-0005-0000-0000-0000DC4A0000}"/>
    <cellStyle name="Comma 14 2 2 2 2 2 2 5" xfId="19165" xr:uid="{00000000-0005-0000-0000-0000DD4A0000}"/>
    <cellStyle name="Comma 14 2 2 2 2 2 3" xfId="19166" xr:uid="{00000000-0005-0000-0000-0000DE4A0000}"/>
    <cellStyle name="Comma 14 2 2 2 2 2 3 2" xfId="19167" xr:uid="{00000000-0005-0000-0000-0000DF4A0000}"/>
    <cellStyle name="Comma 14 2 2 2 2 2 3 2 2" xfId="19168" xr:uid="{00000000-0005-0000-0000-0000E04A0000}"/>
    <cellStyle name="Comma 14 2 2 2 2 2 3 2 3" xfId="19169" xr:uid="{00000000-0005-0000-0000-0000E14A0000}"/>
    <cellStyle name="Comma 14 2 2 2 2 2 3 3" xfId="19170" xr:uid="{00000000-0005-0000-0000-0000E24A0000}"/>
    <cellStyle name="Comma 14 2 2 2 2 2 3 4" xfId="19171" xr:uid="{00000000-0005-0000-0000-0000E34A0000}"/>
    <cellStyle name="Comma 14 2 2 2 2 2 4" xfId="19172" xr:uid="{00000000-0005-0000-0000-0000E44A0000}"/>
    <cellStyle name="Comma 14 2 2 2 2 2 4 2" xfId="19173" xr:uid="{00000000-0005-0000-0000-0000E54A0000}"/>
    <cellStyle name="Comma 14 2 2 2 2 2 4 3" xfId="19174" xr:uid="{00000000-0005-0000-0000-0000E64A0000}"/>
    <cellStyle name="Comma 14 2 2 2 2 2 5" xfId="19175" xr:uid="{00000000-0005-0000-0000-0000E74A0000}"/>
    <cellStyle name="Comma 14 2 2 2 2 2 6" xfId="19176" xr:uid="{00000000-0005-0000-0000-0000E84A0000}"/>
    <cellStyle name="Comma 14 2 2 2 2 3" xfId="19177" xr:uid="{00000000-0005-0000-0000-0000E94A0000}"/>
    <cellStyle name="Comma 14 2 2 2 2 3 2" xfId="19178" xr:uid="{00000000-0005-0000-0000-0000EA4A0000}"/>
    <cellStyle name="Comma 14 2 2 2 2 3 2 2" xfId="19179" xr:uid="{00000000-0005-0000-0000-0000EB4A0000}"/>
    <cellStyle name="Comma 14 2 2 2 2 3 2 2 2" xfId="19180" xr:uid="{00000000-0005-0000-0000-0000EC4A0000}"/>
    <cellStyle name="Comma 14 2 2 2 2 3 2 2 3" xfId="19181" xr:uid="{00000000-0005-0000-0000-0000ED4A0000}"/>
    <cellStyle name="Comma 14 2 2 2 2 3 2 3" xfId="19182" xr:uid="{00000000-0005-0000-0000-0000EE4A0000}"/>
    <cellStyle name="Comma 14 2 2 2 2 3 2 4" xfId="19183" xr:uid="{00000000-0005-0000-0000-0000EF4A0000}"/>
    <cellStyle name="Comma 14 2 2 2 2 3 3" xfId="19184" xr:uid="{00000000-0005-0000-0000-0000F04A0000}"/>
    <cellStyle name="Comma 14 2 2 2 2 3 3 2" xfId="19185" xr:uid="{00000000-0005-0000-0000-0000F14A0000}"/>
    <cellStyle name="Comma 14 2 2 2 2 3 3 3" xfId="19186" xr:uid="{00000000-0005-0000-0000-0000F24A0000}"/>
    <cellStyle name="Comma 14 2 2 2 2 3 4" xfId="19187" xr:uid="{00000000-0005-0000-0000-0000F34A0000}"/>
    <cellStyle name="Comma 14 2 2 2 2 3 5" xfId="19188" xr:uid="{00000000-0005-0000-0000-0000F44A0000}"/>
    <cellStyle name="Comma 14 2 2 2 2 4" xfId="19189" xr:uid="{00000000-0005-0000-0000-0000F54A0000}"/>
    <cellStyle name="Comma 14 2 2 2 2 4 2" xfId="19190" xr:uid="{00000000-0005-0000-0000-0000F64A0000}"/>
    <cellStyle name="Comma 14 2 2 2 2 4 2 2" xfId="19191" xr:uid="{00000000-0005-0000-0000-0000F74A0000}"/>
    <cellStyle name="Comma 14 2 2 2 2 4 2 3" xfId="19192" xr:uid="{00000000-0005-0000-0000-0000F84A0000}"/>
    <cellStyle name="Comma 14 2 2 2 2 4 3" xfId="19193" xr:uid="{00000000-0005-0000-0000-0000F94A0000}"/>
    <cellStyle name="Comma 14 2 2 2 2 4 4" xfId="19194" xr:uid="{00000000-0005-0000-0000-0000FA4A0000}"/>
    <cellStyle name="Comma 14 2 2 2 2 5" xfId="19195" xr:uid="{00000000-0005-0000-0000-0000FB4A0000}"/>
    <cellStyle name="Comma 14 2 2 2 2 5 2" xfId="19196" xr:uid="{00000000-0005-0000-0000-0000FC4A0000}"/>
    <cellStyle name="Comma 14 2 2 2 2 5 3" xfId="19197" xr:uid="{00000000-0005-0000-0000-0000FD4A0000}"/>
    <cellStyle name="Comma 14 2 2 2 2 6" xfId="19198" xr:uid="{00000000-0005-0000-0000-0000FE4A0000}"/>
    <cellStyle name="Comma 14 2 2 2 2 7" xfId="19199" xr:uid="{00000000-0005-0000-0000-0000FF4A0000}"/>
    <cellStyle name="Comma 14 2 2 2 3" xfId="19200" xr:uid="{00000000-0005-0000-0000-0000004B0000}"/>
    <cellStyle name="Comma 14 2 2 2 3 2" xfId="19201" xr:uid="{00000000-0005-0000-0000-0000014B0000}"/>
    <cellStyle name="Comma 14 2 2 2 3 2 2" xfId="19202" xr:uid="{00000000-0005-0000-0000-0000024B0000}"/>
    <cellStyle name="Comma 14 2 2 2 3 2 2 2" xfId="19203" xr:uid="{00000000-0005-0000-0000-0000034B0000}"/>
    <cellStyle name="Comma 14 2 2 2 3 2 2 2 2" xfId="19204" xr:uid="{00000000-0005-0000-0000-0000044B0000}"/>
    <cellStyle name="Comma 14 2 2 2 3 2 2 2 3" xfId="19205" xr:uid="{00000000-0005-0000-0000-0000054B0000}"/>
    <cellStyle name="Comma 14 2 2 2 3 2 2 3" xfId="19206" xr:uid="{00000000-0005-0000-0000-0000064B0000}"/>
    <cellStyle name="Comma 14 2 2 2 3 2 2 4" xfId="19207" xr:uid="{00000000-0005-0000-0000-0000074B0000}"/>
    <cellStyle name="Comma 14 2 2 2 3 2 3" xfId="19208" xr:uid="{00000000-0005-0000-0000-0000084B0000}"/>
    <cellStyle name="Comma 14 2 2 2 3 2 3 2" xfId="19209" xr:uid="{00000000-0005-0000-0000-0000094B0000}"/>
    <cellStyle name="Comma 14 2 2 2 3 2 3 3" xfId="19210" xr:uid="{00000000-0005-0000-0000-00000A4B0000}"/>
    <cellStyle name="Comma 14 2 2 2 3 2 4" xfId="19211" xr:uid="{00000000-0005-0000-0000-00000B4B0000}"/>
    <cellStyle name="Comma 14 2 2 2 3 2 5" xfId="19212" xr:uid="{00000000-0005-0000-0000-00000C4B0000}"/>
    <cellStyle name="Comma 14 2 2 2 3 3" xfId="19213" xr:uid="{00000000-0005-0000-0000-00000D4B0000}"/>
    <cellStyle name="Comma 14 2 2 2 3 3 2" xfId="19214" xr:uid="{00000000-0005-0000-0000-00000E4B0000}"/>
    <cellStyle name="Comma 14 2 2 2 3 3 2 2" xfId="19215" xr:uid="{00000000-0005-0000-0000-00000F4B0000}"/>
    <cellStyle name="Comma 14 2 2 2 3 3 2 3" xfId="19216" xr:uid="{00000000-0005-0000-0000-0000104B0000}"/>
    <cellStyle name="Comma 14 2 2 2 3 3 3" xfId="19217" xr:uid="{00000000-0005-0000-0000-0000114B0000}"/>
    <cellStyle name="Comma 14 2 2 2 3 3 4" xfId="19218" xr:uid="{00000000-0005-0000-0000-0000124B0000}"/>
    <cellStyle name="Comma 14 2 2 2 3 4" xfId="19219" xr:uid="{00000000-0005-0000-0000-0000134B0000}"/>
    <cellStyle name="Comma 14 2 2 2 3 4 2" xfId="19220" xr:uid="{00000000-0005-0000-0000-0000144B0000}"/>
    <cellStyle name="Comma 14 2 2 2 3 4 3" xfId="19221" xr:uid="{00000000-0005-0000-0000-0000154B0000}"/>
    <cellStyle name="Comma 14 2 2 2 3 5" xfId="19222" xr:uid="{00000000-0005-0000-0000-0000164B0000}"/>
    <cellStyle name="Comma 14 2 2 2 3 6" xfId="19223" xr:uid="{00000000-0005-0000-0000-0000174B0000}"/>
    <cellStyle name="Comma 14 2 2 2 4" xfId="19224" xr:uid="{00000000-0005-0000-0000-0000184B0000}"/>
    <cellStyle name="Comma 14 2 2 2 4 2" xfId="19225" xr:uid="{00000000-0005-0000-0000-0000194B0000}"/>
    <cellStyle name="Comma 14 2 2 2 4 2 2" xfId="19226" xr:uid="{00000000-0005-0000-0000-00001A4B0000}"/>
    <cellStyle name="Comma 14 2 2 2 4 2 2 2" xfId="19227" xr:uid="{00000000-0005-0000-0000-00001B4B0000}"/>
    <cellStyle name="Comma 14 2 2 2 4 2 2 3" xfId="19228" xr:uid="{00000000-0005-0000-0000-00001C4B0000}"/>
    <cellStyle name="Comma 14 2 2 2 4 2 3" xfId="19229" xr:uid="{00000000-0005-0000-0000-00001D4B0000}"/>
    <cellStyle name="Comma 14 2 2 2 4 2 4" xfId="19230" xr:uid="{00000000-0005-0000-0000-00001E4B0000}"/>
    <cellStyle name="Comma 14 2 2 2 4 3" xfId="19231" xr:uid="{00000000-0005-0000-0000-00001F4B0000}"/>
    <cellStyle name="Comma 14 2 2 2 4 3 2" xfId="19232" xr:uid="{00000000-0005-0000-0000-0000204B0000}"/>
    <cellStyle name="Comma 14 2 2 2 4 3 3" xfId="19233" xr:uid="{00000000-0005-0000-0000-0000214B0000}"/>
    <cellStyle name="Comma 14 2 2 2 4 4" xfId="19234" xr:uid="{00000000-0005-0000-0000-0000224B0000}"/>
    <cellStyle name="Comma 14 2 2 2 4 5" xfId="19235" xr:uid="{00000000-0005-0000-0000-0000234B0000}"/>
    <cellStyle name="Comma 14 2 2 2 5" xfId="19236" xr:uid="{00000000-0005-0000-0000-0000244B0000}"/>
    <cellStyle name="Comma 14 2 2 2 5 2" xfId="19237" xr:uid="{00000000-0005-0000-0000-0000254B0000}"/>
    <cellStyle name="Comma 14 2 2 2 5 2 2" xfId="19238" xr:uid="{00000000-0005-0000-0000-0000264B0000}"/>
    <cellStyle name="Comma 14 2 2 2 5 2 3" xfId="19239" xr:uid="{00000000-0005-0000-0000-0000274B0000}"/>
    <cellStyle name="Comma 14 2 2 2 5 3" xfId="19240" xr:uid="{00000000-0005-0000-0000-0000284B0000}"/>
    <cellStyle name="Comma 14 2 2 2 5 4" xfId="19241" xr:uid="{00000000-0005-0000-0000-0000294B0000}"/>
    <cellStyle name="Comma 14 2 2 2 6" xfId="19242" xr:uid="{00000000-0005-0000-0000-00002A4B0000}"/>
    <cellStyle name="Comma 14 2 2 2 6 2" xfId="19243" xr:uid="{00000000-0005-0000-0000-00002B4B0000}"/>
    <cellStyle name="Comma 14 2 2 2 6 3" xfId="19244" xr:uid="{00000000-0005-0000-0000-00002C4B0000}"/>
    <cellStyle name="Comma 14 2 2 2 7" xfId="19245" xr:uid="{00000000-0005-0000-0000-00002D4B0000}"/>
    <cellStyle name="Comma 14 2 2 2 8" xfId="19246" xr:uid="{00000000-0005-0000-0000-00002E4B0000}"/>
    <cellStyle name="Comma 14 2 2 3" xfId="19247" xr:uid="{00000000-0005-0000-0000-00002F4B0000}"/>
    <cellStyle name="Comma 14 2 2 3 2" xfId="19248" xr:uid="{00000000-0005-0000-0000-0000304B0000}"/>
    <cellStyle name="Comma 14 2 2 3 2 2" xfId="19249" xr:uid="{00000000-0005-0000-0000-0000314B0000}"/>
    <cellStyle name="Comma 14 2 2 3 2 2 2" xfId="19250" xr:uid="{00000000-0005-0000-0000-0000324B0000}"/>
    <cellStyle name="Comma 14 2 2 3 2 2 2 2" xfId="19251" xr:uid="{00000000-0005-0000-0000-0000334B0000}"/>
    <cellStyle name="Comma 14 2 2 3 2 2 2 2 2" xfId="19252" xr:uid="{00000000-0005-0000-0000-0000344B0000}"/>
    <cellStyle name="Comma 14 2 2 3 2 2 2 2 3" xfId="19253" xr:uid="{00000000-0005-0000-0000-0000354B0000}"/>
    <cellStyle name="Comma 14 2 2 3 2 2 2 3" xfId="19254" xr:uid="{00000000-0005-0000-0000-0000364B0000}"/>
    <cellStyle name="Comma 14 2 2 3 2 2 2 4" xfId="19255" xr:uid="{00000000-0005-0000-0000-0000374B0000}"/>
    <cellStyle name="Comma 14 2 2 3 2 2 3" xfId="19256" xr:uid="{00000000-0005-0000-0000-0000384B0000}"/>
    <cellStyle name="Comma 14 2 2 3 2 2 3 2" xfId="19257" xr:uid="{00000000-0005-0000-0000-0000394B0000}"/>
    <cellStyle name="Comma 14 2 2 3 2 2 3 3" xfId="19258" xr:uid="{00000000-0005-0000-0000-00003A4B0000}"/>
    <cellStyle name="Comma 14 2 2 3 2 2 4" xfId="19259" xr:uid="{00000000-0005-0000-0000-00003B4B0000}"/>
    <cellStyle name="Comma 14 2 2 3 2 2 5" xfId="19260" xr:uid="{00000000-0005-0000-0000-00003C4B0000}"/>
    <cellStyle name="Comma 14 2 2 3 2 3" xfId="19261" xr:uid="{00000000-0005-0000-0000-00003D4B0000}"/>
    <cellStyle name="Comma 14 2 2 3 2 3 2" xfId="19262" xr:uid="{00000000-0005-0000-0000-00003E4B0000}"/>
    <cellStyle name="Comma 14 2 2 3 2 3 2 2" xfId="19263" xr:uid="{00000000-0005-0000-0000-00003F4B0000}"/>
    <cellStyle name="Comma 14 2 2 3 2 3 2 3" xfId="19264" xr:uid="{00000000-0005-0000-0000-0000404B0000}"/>
    <cellStyle name="Comma 14 2 2 3 2 3 3" xfId="19265" xr:uid="{00000000-0005-0000-0000-0000414B0000}"/>
    <cellStyle name="Comma 14 2 2 3 2 3 4" xfId="19266" xr:uid="{00000000-0005-0000-0000-0000424B0000}"/>
    <cellStyle name="Comma 14 2 2 3 2 4" xfId="19267" xr:uid="{00000000-0005-0000-0000-0000434B0000}"/>
    <cellStyle name="Comma 14 2 2 3 2 4 2" xfId="19268" xr:uid="{00000000-0005-0000-0000-0000444B0000}"/>
    <cellStyle name="Comma 14 2 2 3 2 4 3" xfId="19269" xr:uid="{00000000-0005-0000-0000-0000454B0000}"/>
    <cellStyle name="Comma 14 2 2 3 2 5" xfId="19270" xr:uid="{00000000-0005-0000-0000-0000464B0000}"/>
    <cellStyle name="Comma 14 2 2 3 2 6" xfId="19271" xr:uid="{00000000-0005-0000-0000-0000474B0000}"/>
    <cellStyle name="Comma 14 2 2 3 3" xfId="19272" xr:uid="{00000000-0005-0000-0000-0000484B0000}"/>
    <cellStyle name="Comma 14 2 2 3 3 2" xfId="19273" xr:uid="{00000000-0005-0000-0000-0000494B0000}"/>
    <cellStyle name="Comma 14 2 2 3 3 2 2" xfId="19274" xr:uid="{00000000-0005-0000-0000-00004A4B0000}"/>
    <cellStyle name="Comma 14 2 2 3 3 2 2 2" xfId="19275" xr:uid="{00000000-0005-0000-0000-00004B4B0000}"/>
    <cellStyle name="Comma 14 2 2 3 3 2 2 3" xfId="19276" xr:uid="{00000000-0005-0000-0000-00004C4B0000}"/>
    <cellStyle name="Comma 14 2 2 3 3 2 3" xfId="19277" xr:uid="{00000000-0005-0000-0000-00004D4B0000}"/>
    <cellStyle name="Comma 14 2 2 3 3 2 4" xfId="19278" xr:uid="{00000000-0005-0000-0000-00004E4B0000}"/>
    <cellStyle name="Comma 14 2 2 3 3 3" xfId="19279" xr:uid="{00000000-0005-0000-0000-00004F4B0000}"/>
    <cellStyle name="Comma 14 2 2 3 3 3 2" xfId="19280" xr:uid="{00000000-0005-0000-0000-0000504B0000}"/>
    <cellStyle name="Comma 14 2 2 3 3 3 3" xfId="19281" xr:uid="{00000000-0005-0000-0000-0000514B0000}"/>
    <cellStyle name="Comma 14 2 2 3 3 4" xfId="19282" xr:uid="{00000000-0005-0000-0000-0000524B0000}"/>
    <cellStyle name="Comma 14 2 2 3 3 5" xfId="19283" xr:uid="{00000000-0005-0000-0000-0000534B0000}"/>
    <cellStyle name="Comma 14 2 2 3 4" xfId="19284" xr:uid="{00000000-0005-0000-0000-0000544B0000}"/>
    <cellStyle name="Comma 14 2 2 3 4 2" xfId="19285" xr:uid="{00000000-0005-0000-0000-0000554B0000}"/>
    <cellStyle name="Comma 14 2 2 3 4 2 2" xfId="19286" xr:uid="{00000000-0005-0000-0000-0000564B0000}"/>
    <cellStyle name="Comma 14 2 2 3 4 2 3" xfId="19287" xr:uid="{00000000-0005-0000-0000-0000574B0000}"/>
    <cellStyle name="Comma 14 2 2 3 4 3" xfId="19288" xr:uid="{00000000-0005-0000-0000-0000584B0000}"/>
    <cellStyle name="Comma 14 2 2 3 4 4" xfId="19289" xr:uid="{00000000-0005-0000-0000-0000594B0000}"/>
    <cellStyle name="Comma 14 2 2 3 5" xfId="19290" xr:uid="{00000000-0005-0000-0000-00005A4B0000}"/>
    <cellStyle name="Comma 14 2 2 3 5 2" xfId="19291" xr:uid="{00000000-0005-0000-0000-00005B4B0000}"/>
    <cellStyle name="Comma 14 2 2 3 5 3" xfId="19292" xr:uid="{00000000-0005-0000-0000-00005C4B0000}"/>
    <cellStyle name="Comma 14 2 2 3 6" xfId="19293" xr:uid="{00000000-0005-0000-0000-00005D4B0000}"/>
    <cellStyle name="Comma 14 2 2 3 7" xfId="19294" xr:uid="{00000000-0005-0000-0000-00005E4B0000}"/>
    <cellStyle name="Comma 14 2 2 4" xfId="19295" xr:uid="{00000000-0005-0000-0000-00005F4B0000}"/>
    <cellStyle name="Comma 14 2 2 4 2" xfId="19296" xr:uid="{00000000-0005-0000-0000-0000604B0000}"/>
    <cellStyle name="Comma 14 2 2 4 2 2" xfId="19297" xr:uid="{00000000-0005-0000-0000-0000614B0000}"/>
    <cellStyle name="Comma 14 2 2 4 2 2 2" xfId="19298" xr:uid="{00000000-0005-0000-0000-0000624B0000}"/>
    <cellStyle name="Comma 14 2 2 4 2 2 2 2" xfId="19299" xr:uid="{00000000-0005-0000-0000-0000634B0000}"/>
    <cellStyle name="Comma 14 2 2 4 2 2 2 3" xfId="19300" xr:uid="{00000000-0005-0000-0000-0000644B0000}"/>
    <cellStyle name="Comma 14 2 2 4 2 2 3" xfId="19301" xr:uid="{00000000-0005-0000-0000-0000654B0000}"/>
    <cellStyle name="Comma 14 2 2 4 2 2 4" xfId="19302" xr:uid="{00000000-0005-0000-0000-0000664B0000}"/>
    <cellStyle name="Comma 14 2 2 4 2 3" xfId="19303" xr:uid="{00000000-0005-0000-0000-0000674B0000}"/>
    <cellStyle name="Comma 14 2 2 4 2 3 2" xfId="19304" xr:uid="{00000000-0005-0000-0000-0000684B0000}"/>
    <cellStyle name="Comma 14 2 2 4 2 3 3" xfId="19305" xr:uid="{00000000-0005-0000-0000-0000694B0000}"/>
    <cellStyle name="Comma 14 2 2 4 2 4" xfId="19306" xr:uid="{00000000-0005-0000-0000-00006A4B0000}"/>
    <cellStyle name="Comma 14 2 2 4 2 5" xfId="19307" xr:uid="{00000000-0005-0000-0000-00006B4B0000}"/>
    <cellStyle name="Comma 14 2 2 4 3" xfId="19308" xr:uid="{00000000-0005-0000-0000-00006C4B0000}"/>
    <cellStyle name="Comma 14 2 2 4 3 2" xfId="19309" xr:uid="{00000000-0005-0000-0000-00006D4B0000}"/>
    <cellStyle name="Comma 14 2 2 4 3 2 2" xfId="19310" xr:uid="{00000000-0005-0000-0000-00006E4B0000}"/>
    <cellStyle name="Comma 14 2 2 4 3 2 3" xfId="19311" xr:uid="{00000000-0005-0000-0000-00006F4B0000}"/>
    <cellStyle name="Comma 14 2 2 4 3 3" xfId="19312" xr:uid="{00000000-0005-0000-0000-0000704B0000}"/>
    <cellStyle name="Comma 14 2 2 4 3 4" xfId="19313" xr:uid="{00000000-0005-0000-0000-0000714B0000}"/>
    <cellStyle name="Comma 14 2 2 4 4" xfId="19314" xr:uid="{00000000-0005-0000-0000-0000724B0000}"/>
    <cellStyle name="Comma 14 2 2 4 4 2" xfId="19315" xr:uid="{00000000-0005-0000-0000-0000734B0000}"/>
    <cellStyle name="Comma 14 2 2 4 4 3" xfId="19316" xr:uid="{00000000-0005-0000-0000-0000744B0000}"/>
    <cellStyle name="Comma 14 2 2 4 5" xfId="19317" xr:uid="{00000000-0005-0000-0000-0000754B0000}"/>
    <cellStyle name="Comma 14 2 2 4 6" xfId="19318" xr:uid="{00000000-0005-0000-0000-0000764B0000}"/>
    <cellStyle name="Comma 14 2 2 5" xfId="19319" xr:uid="{00000000-0005-0000-0000-0000774B0000}"/>
    <cellStyle name="Comma 14 2 2 5 2" xfId="19320" xr:uid="{00000000-0005-0000-0000-0000784B0000}"/>
    <cellStyle name="Comma 14 2 2 5 2 2" xfId="19321" xr:uid="{00000000-0005-0000-0000-0000794B0000}"/>
    <cellStyle name="Comma 14 2 2 5 2 2 2" xfId="19322" xr:uid="{00000000-0005-0000-0000-00007A4B0000}"/>
    <cellStyle name="Comma 14 2 2 5 2 2 3" xfId="19323" xr:uid="{00000000-0005-0000-0000-00007B4B0000}"/>
    <cellStyle name="Comma 14 2 2 5 2 3" xfId="19324" xr:uid="{00000000-0005-0000-0000-00007C4B0000}"/>
    <cellStyle name="Comma 14 2 2 5 2 4" xfId="19325" xr:uid="{00000000-0005-0000-0000-00007D4B0000}"/>
    <cellStyle name="Comma 14 2 2 5 3" xfId="19326" xr:uid="{00000000-0005-0000-0000-00007E4B0000}"/>
    <cellStyle name="Comma 14 2 2 5 3 2" xfId="19327" xr:uid="{00000000-0005-0000-0000-00007F4B0000}"/>
    <cellStyle name="Comma 14 2 2 5 3 3" xfId="19328" xr:uid="{00000000-0005-0000-0000-0000804B0000}"/>
    <cellStyle name="Comma 14 2 2 5 4" xfId="19329" xr:uid="{00000000-0005-0000-0000-0000814B0000}"/>
    <cellStyle name="Comma 14 2 2 5 5" xfId="19330" xr:uid="{00000000-0005-0000-0000-0000824B0000}"/>
    <cellStyle name="Comma 14 2 2 6" xfId="19331" xr:uid="{00000000-0005-0000-0000-0000834B0000}"/>
    <cellStyle name="Comma 14 2 2 6 2" xfId="19332" xr:uid="{00000000-0005-0000-0000-0000844B0000}"/>
    <cellStyle name="Comma 14 2 2 6 2 2" xfId="19333" xr:uid="{00000000-0005-0000-0000-0000854B0000}"/>
    <cellStyle name="Comma 14 2 2 6 2 3" xfId="19334" xr:uid="{00000000-0005-0000-0000-0000864B0000}"/>
    <cellStyle name="Comma 14 2 2 6 3" xfId="19335" xr:uid="{00000000-0005-0000-0000-0000874B0000}"/>
    <cellStyle name="Comma 14 2 2 6 4" xfId="19336" xr:uid="{00000000-0005-0000-0000-0000884B0000}"/>
    <cellStyle name="Comma 14 2 2 7" xfId="19337" xr:uid="{00000000-0005-0000-0000-0000894B0000}"/>
    <cellStyle name="Comma 14 2 2 7 2" xfId="19338" xr:uid="{00000000-0005-0000-0000-00008A4B0000}"/>
    <cellStyle name="Comma 14 2 2 7 3" xfId="19339" xr:uid="{00000000-0005-0000-0000-00008B4B0000}"/>
    <cellStyle name="Comma 14 2 2 8" xfId="19340" xr:uid="{00000000-0005-0000-0000-00008C4B0000}"/>
    <cellStyle name="Comma 14 2 2 9" xfId="19341" xr:uid="{00000000-0005-0000-0000-00008D4B0000}"/>
    <cellStyle name="Comma 14 2 3" xfId="19342" xr:uid="{00000000-0005-0000-0000-00008E4B0000}"/>
    <cellStyle name="Comma 14 2 3 2" xfId="19343" xr:uid="{00000000-0005-0000-0000-00008F4B0000}"/>
    <cellStyle name="Comma 14 2 3 2 2" xfId="19344" xr:uid="{00000000-0005-0000-0000-0000904B0000}"/>
    <cellStyle name="Comma 14 2 3 2 2 2" xfId="19345" xr:uid="{00000000-0005-0000-0000-0000914B0000}"/>
    <cellStyle name="Comma 14 2 3 2 2 2 2" xfId="19346" xr:uid="{00000000-0005-0000-0000-0000924B0000}"/>
    <cellStyle name="Comma 14 2 3 2 2 2 2 2" xfId="19347" xr:uid="{00000000-0005-0000-0000-0000934B0000}"/>
    <cellStyle name="Comma 14 2 3 2 2 2 2 2 2" xfId="19348" xr:uid="{00000000-0005-0000-0000-0000944B0000}"/>
    <cellStyle name="Comma 14 2 3 2 2 2 2 2 3" xfId="19349" xr:uid="{00000000-0005-0000-0000-0000954B0000}"/>
    <cellStyle name="Comma 14 2 3 2 2 2 2 3" xfId="19350" xr:uid="{00000000-0005-0000-0000-0000964B0000}"/>
    <cellStyle name="Comma 14 2 3 2 2 2 2 4" xfId="19351" xr:uid="{00000000-0005-0000-0000-0000974B0000}"/>
    <cellStyle name="Comma 14 2 3 2 2 2 3" xfId="19352" xr:uid="{00000000-0005-0000-0000-0000984B0000}"/>
    <cellStyle name="Comma 14 2 3 2 2 2 3 2" xfId="19353" xr:uid="{00000000-0005-0000-0000-0000994B0000}"/>
    <cellStyle name="Comma 14 2 3 2 2 2 3 3" xfId="19354" xr:uid="{00000000-0005-0000-0000-00009A4B0000}"/>
    <cellStyle name="Comma 14 2 3 2 2 2 4" xfId="19355" xr:uid="{00000000-0005-0000-0000-00009B4B0000}"/>
    <cellStyle name="Comma 14 2 3 2 2 2 5" xfId="19356" xr:uid="{00000000-0005-0000-0000-00009C4B0000}"/>
    <cellStyle name="Comma 14 2 3 2 2 3" xfId="19357" xr:uid="{00000000-0005-0000-0000-00009D4B0000}"/>
    <cellStyle name="Comma 14 2 3 2 2 3 2" xfId="19358" xr:uid="{00000000-0005-0000-0000-00009E4B0000}"/>
    <cellStyle name="Comma 14 2 3 2 2 3 2 2" xfId="19359" xr:uid="{00000000-0005-0000-0000-00009F4B0000}"/>
    <cellStyle name="Comma 14 2 3 2 2 3 2 3" xfId="19360" xr:uid="{00000000-0005-0000-0000-0000A04B0000}"/>
    <cellStyle name="Comma 14 2 3 2 2 3 3" xfId="19361" xr:uid="{00000000-0005-0000-0000-0000A14B0000}"/>
    <cellStyle name="Comma 14 2 3 2 2 3 4" xfId="19362" xr:uid="{00000000-0005-0000-0000-0000A24B0000}"/>
    <cellStyle name="Comma 14 2 3 2 2 4" xfId="19363" xr:uid="{00000000-0005-0000-0000-0000A34B0000}"/>
    <cellStyle name="Comma 14 2 3 2 2 4 2" xfId="19364" xr:uid="{00000000-0005-0000-0000-0000A44B0000}"/>
    <cellStyle name="Comma 14 2 3 2 2 4 3" xfId="19365" xr:uid="{00000000-0005-0000-0000-0000A54B0000}"/>
    <cellStyle name="Comma 14 2 3 2 2 5" xfId="19366" xr:uid="{00000000-0005-0000-0000-0000A64B0000}"/>
    <cellStyle name="Comma 14 2 3 2 2 6" xfId="19367" xr:uid="{00000000-0005-0000-0000-0000A74B0000}"/>
    <cellStyle name="Comma 14 2 3 2 3" xfId="19368" xr:uid="{00000000-0005-0000-0000-0000A84B0000}"/>
    <cellStyle name="Comma 14 2 3 2 3 2" xfId="19369" xr:uid="{00000000-0005-0000-0000-0000A94B0000}"/>
    <cellStyle name="Comma 14 2 3 2 3 2 2" xfId="19370" xr:uid="{00000000-0005-0000-0000-0000AA4B0000}"/>
    <cellStyle name="Comma 14 2 3 2 3 2 2 2" xfId="19371" xr:uid="{00000000-0005-0000-0000-0000AB4B0000}"/>
    <cellStyle name="Comma 14 2 3 2 3 2 2 3" xfId="19372" xr:uid="{00000000-0005-0000-0000-0000AC4B0000}"/>
    <cellStyle name="Comma 14 2 3 2 3 2 3" xfId="19373" xr:uid="{00000000-0005-0000-0000-0000AD4B0000}"/>
    <cellStyle name="Comma 14 2 3 2 3 2 4" xfId="19374" xr:uid="{00000000-0005-0000-0000-0000AE4B0000}"/>
    <cellStyle name="Comma 14 2 3 2 3 3" xfId="19375" xr:uid="{00000000-0005-0000-0000-0000AF4B0000}"/>
    <cellStyle name="Comma 14 2 3 2 3 3 2" xfId="19376" xr:uid="{00000000-0005-0000-0000-0000B04B0000}"/>
    <cellStyle name="Comma 14 2 3 2 3 3 3" xfId="19377" xr:uid="{00000000-0005-0000-0000-0000B14B0000}"/>
    <cellStyle name="Comma 14 2 3 2 3 4" xfId="19378" xr:uid="{00000000-0005-0000-0000-0000B24B0000}"/>
    <cellStyle name="Comma 14 2 3 2 3 5" xfId="19379" xr:uid="{00000000-0005-0000-0000-0000B34B0000}"/>
    <cellStyle name="Comma 14 2 3 2 4" xfId="19380" xr:uid="{00000000-0005-0000-0000-0000B44B0000}"/>
    <cellStyle name="Comma 14 2 3 2 4 2" xfId="19381" xr:uid="{00000000-0005-0000-0000-0000B54B0000}"/>
    <cellStyle name="Comma 14 2 3 2 4 2 2" xfId="19382" xr:uid="{00000000-0005-0000-0000-0000B64B0000}"/>
    <cellStyle name="Comma 14 2 3 2 4 2 3" xfId="19383" xr:uid="{00000000-0005-0000-0000-0000B74B0000}"/>
    <cellStyle name="Comma 14 2 3 2 4 3" xfId="19384" xr:uid="{00000000-0005-0000-0000-0000B84B0000}"/>
    <cellStyle name="Comma 14 2 3 2 4 4" xfId="19385" xr:uid="{00000000-0005-0000-0000-0000B94B0000}"/>
    <cellStyle name="Comma 14 2 3 2 5" xfId="19386" xr:uid="{00000000-0005-0000-0000-0000BA4B0000}"/>
    <cellStyle name="Comma 14 2 3 2 5 2" xfId="19387" xr:uid="{00000000-0005-0000-0000-0000BB4B0000}"/>
    <cellStyle name="Comma 14 2 3 2 5 3" xfId="19388" xr:uid="{00000000-0005-0000-0000-0000BC4B0000}"/>
    <cellStyle name="Comma 14 2 3 2 6" xfId="19389" xr:uid="{00000000-0005-0000-0000-0000BD4B0000}"/>
    <cellStyle name="Comma 14 2 3 2 7" xfId="19390" xr:uid="{00000000-0005-0000-0000-0000BE4B0000}"/>
    <cellStyle name="Comma 14 2 3 3" xfId="19391" xr:uid="{00000000-0005-0000-0000-0000BF4B0000}"/>
    <cellStyle name="Comma 14 2 3 3 2" xfId="19392" xr:uid="{00000000-0005-0000-0000-0000C04B0000}"/>
    <cellStyle name="Comma 14 2 3 3 2 2" xfId="19393" xr:uid="{00000000-0005-0000-0000-0000C14B0000}"/>
    <cellStyle name="Comma 14 2 3 3 2 2 2" xfId="19394" xr:uid="{00000000-0005-0000-0000-0000C24B0000}"/>
    <cellStyle name="Comma 14 2 3 3 2 2 2 2" xfId="19395" xr:uid="{00000000-0005-0000-0000-0000C34B0000}"/>
    <cellStyle name="Comma 14 2 3 3 2 2 2 3" xfId="19396" xr:uid="{00000000-0005-0000-0000-0000C44B0000}"/>
    <cellStyle name="Comma 14 2 3 3 2 2 3" xfId="19397" xr:uid="{00000000-0005-0000-0000-0000C54B0000}"/>
    <cellStyle name="Comma 14 2 3 3 2 2 4" xfId="19398" xr:uid="{00000000-0005-0000-0000-0000C64B0000}"/>
    <cellStyle name="Comma 14 2 3 3 2 3" xfId="19399" xr:uid="{00000000-0005-0000-0000-0000C74B0000}"/>
    <cellStyle name="Comma 14 2 3 3 2 3 2" xfId="19400" xr:uid="{00000000-0005-0000-0000-0000C84B0000}"/>
    <cellStyle name="Comma 14 2 3 3 2 3 3" xfId="19401" xr:uid="{00000000-0005-0000-0000-0000C94B0000}"/>
    <cellStyle name="Comma 14 2 3 3 2 4" xfId="19402" xr:uid="{00000000-0005-0000-0000-0000CA4B0000}"/>
    <cellStyle name="Comma 14 2 3 3 2 5" xfId="19403" xr:uid="{00000000-0005-0000-0000-0000CB4B0000}"/>
    <cellStyle name="Comma 14 2 3 3 3" xfId="19404" xr:uid="{00000000-0005-0000-0000-0000CC4B0000}"/>
    <cellStyle name="Comma 14 2 3 3 3 2" xfId="19405" xr:uid="{00000000-0005-0000-0000-0000CD4B0000}"/>
    <cellStyle name="Comma 14 2 3 3 3 2 2" xfId="19406" xr:uid="{00000000-0005-0000-0000-0000CE4B0000}"/>
    <cellStyle name="Comma 14 2 3 3 3 2 3" xfId="19407" xr:uid="{00000000-0005-0000-0000-0000CF4B0000}"/>
    <cellStyle name="Comma 14 2 3 3 3 3" xfId="19408" xr:uid="{00000000-0005-0000-0000-0000D04B0000}"/>
    <cellStyle name="Comma 14 2 3 3 3 4" xfId="19409" xr:uid="{00000000-0005-0000-0000-0000D14B0000}"/>
    <cellStyle name="Comma 14 2 3 3 4" xfId="19410" xr:uid="{00000000-0005-0000-0000-0000D24B0000}"/>
    <cellStyle name="Comma 14 2 3 3 4 2" xfId="19411" xr:uid="{00000000-0005-0000-0000-0000D34B0000}"/>
    <cellStyle name="Comma 14 2 3 3 4 3" xfId="19412" xr:uid="{00000000-0005-0000-0000-0000D44B0000}"/>
    <cellStyle name="Comma 14 2 3 3 5" xfId="19413" xr:uid="{00000000-0005-0000-0000-0000D54B0000}"/>
    <cellStyle name="Comma 14 2 3 3 6" xfId="19414" xr:uid="{00000000-0005-0000-0000-0000D64B0000}"/>
    <cellStyle name="Comma 14 2 3 4" xfId="19415" xr:uid="{00000000-0005-0000-0000-0000D74B0000}"/>
    <cellStyle name="Comma 14 2 3 4 2" xfId="19416" xr:uid="{00000000-0005-0000-0000-0000D84B0000}"/>
    <cellStyle name="Comma 14 2 3 4 2 2" xfId="19417" xr:uid="{00000000-0005-0000-0000-0000D94B0000}"/>
    <cellStyle name="Comma 14 2 3 4 2 2 2" xfId="19418" xr:uid="{00000000-0005-0000-0000-0000DA4B0000}"/>
    <cellStyle name="Comma 14 2 3 4 2 2 3" xfId="19419" xr:uid="{00000000-0005-0000-0000-0000DB4B0000}"/>
    <cellStyle name="Comma 14 2 3 4 2 3" xfId="19420" xr:uid="{00000000-0005-0000-0000-0000DC4B0000}"/>
    <cellStyle name="Comma 14 2 3 4 2 4" xfId="19421" xr:uid="{00000000-0005-0000-0000-0000DD4B0000}"/>
    <cellStyle name="Comma 14 2 3 4 3" xfId="19422" xr:uid="{00000000-0005-0000-0000-0000DE4B0000}"/>
    <cellStyle name="Comma 14 2 3 4 3 2" xfId="19423" xr:uid="{00000000-0005-0000-0000-0000DF4B0000}"/>
    <cellStyle name="Comma 14 2 3 4 3 3" xfId="19424" xr:uid="{00000000-0005-0000-0000-0000E04B0000}"/>
    <cellStyle name="Comma 14 2 3 4 4" xfId="19425" xr:uid="{00000000-0005-0000-0000-0000E14B0000}"/>
    <cellStyle name="Comma 14 2 3 4 5" xfId="19426" xr:uid="{00000000-0005-0000-0000-0000E24B0000}"/>
    <cellStyle name="Comma 14 2 3 5" xfId="19427" xr:uid="{00000000-0005-0000-0000-0000E34B0000}"/>
    <cellStyle name="Comma 14 2 3 5 2" xfId="19428" xr:uid="{00000000-0005-0000-0000-0000E44B0000}"/>
    <cellStyle name="Comma 14 2 3 5 2 2" xfId="19429" xr:uid="{00000000-0005-0000-0000-0000E54B0000}"/>
    <cellStyle name="Comma 14 2 3 5 2 3" xfId="19430" xr:uid="{00000000-0005-0000-0000-0000E64B0000}"/>
    <cellStyle name="Comma 14 2 3 5 3" xfId="19431" xr:uid="{00000000-0005-0000-0000-0000E74B0000}"/>
    <cellStyle name="Comma 14 2 3 5 4" xfId="19432" xr:uid="{00000000-0005-0000-0000-0000E84B0000}"/>
    <cellStyle name="Comma 14 2 3 6" xfId="19433" xr:uid="{00000000-0005-0000-0000-0000E94B0000}"/>
    <cellStyle name="Comma 14 2 3 6 2" xfId="19434" xr:uid="{00000000-0005-0000-0000-0000EA4B0000}"/>
    <cellStyle name="Comma 14 2 3 6 3" xfId="19435" xr:uid="{00000000-0005-0000-0000-0000EB4B0000}"/>
    <cellStyle name="Comma 14 2 3 7" xfId="19436" xr:uid="{00000000-0005-0000-0000-0000EC4B0000}"/>
    <cellStyle name="Comma 14 2 3 8" xfId="19437" xr:uid="{00000000-0005-0000-0000-0000ED4B0000}"/>
    <cellStyle name="Comma 14 2 4" xfId="19438" xr:uid="{00000000-0005-0000-0000-0000EE4B0000}"/>
    <cellStyle name="Comma 14 2 4 2" xfId="19439" xr:uid="{00000000-0005-0000-0000-0000EF4B0000}"/>
    <cellStyle name="Comma 14 2 4 2 2" xfId="19440" xr:uid="{00000000-0005-0000-0000-0000F04B0000}"/>
    <cellStyle name="Comma 14 2 4 2 2 2" xfId="19441" xr:uid="{00000000-0005-0000-0000-0000F14B0000}"/>
    <cellStyle name="Comma 14 2 4 2 2 2 2" xfId="19442" xr:uid="{00000000-0005-0000-0000-0000F24B0000}"/>
    <cellStyle name="Comma 14 2 4 2 2 2 2 2" xfId="19443" xr:uid="{00000000-0005-0000-0000-0000F34B0000}"/>
    <cellStyle name="Comma 14 2 4 2 2 2 2 3" xfId="19444" xr:uid="{00000000-0005-0000-0000-0000F44B0000}"/>
    <cellStyle name="Comma 14 2 4 2 2 2 3" xfId="19445" xr:uid="{00000000-0005-0000-0000-0000F54B0000}"/>
    <cellStyle name="Comma 14 2 4 2 2 2 4" xfId="19446" xr:uid="{00000000-0005-0000-0000-0000F64B0000}"/>
    <cellStyle name="Comma 14 2 4 2 2 3" xfId="19447" xr:uid="{00000000-0005-0000-0000-0000F74B0000}"/>
    <cellStyle name="Comma 14 2 4 2 2 3 2" xfId="19448" xr:uid="{00000000-0005-0000-0000-0000F84B0000}"/>
    <cellStyle name="Comma 14 2 4 2 2 3 3" xfId="19449" xr:uid="{00000000-0005-0000-0000-0000F94B0000}"/>
    <cellStyle name="Comma 14 2 4 2 2 4" xfId="19450" xr:uid="{00000000-0005-0000-0000-0000FA4B0000}"/>
    <cellStyle name="Comma 14 2 4 2 2 5" xfId="19451" xr:uid="{00000000-0005-0000-0000-0000FB4B0000}"/>
    <cellStyle name="Comma 14 2 4 2 3" xfId="19452" xr:uid="{00000000-0005-0000-0000-0000FC4B0000}"/>
    <cellStyle name="Comma 14 2 4 2 3 2" xfId="19453" xr:uid="{00000000-0005-0000-0000-0000FD4B0000}"/>
    <cellStyle name="Comma 14 2 4 2 3 2 2" xfId="19454" xr:uid="{00000000-0005-0000-0000-0000FE4B0000}"/>
    <cellStyle name="Comma 14 2 4 2 3 2 3" xfId="19455" xr:uid="{00000000-0005-0000-0000-0000FF4B0000}"/>
    <cellStyle name="Comma 14 2 4 2 3 3" xfId="19456" xr:uid="{00000000-0005-0000-0000-0000004C0000}"/>
    <cellStyle name="Comma 14 2 4 2 3 4" xfId="19457" xr:uid="{00000000-0005-0000-0000-0000014C0000}"/>
    <cellStyle name="Comma 14 2 4 2 4" xfId="19458" xr:uid="{00000000-0005-0000-0000-0000024C0000}"/>
    <cellStyle name="Comma 14 2 4 2 4 2" xfId="19459" xr:uid="{00000000-0005-0000-0000-0000034C0000}"/>
    <cellStyle name="Comma 14 2 4 2 4 3" xfId="19460" xr:uid="{00000000-0005-0000-0000-0000044C0000}"/>
    <cellStyle name="Comma 14 2 4 2 5" xfId="19461" xr:uid="{00000000-0005-0000-0000-0000054C0000}"/>
    <cellStyle name="Comma 14 2 4 2 6" xfId="19462" xr:uid="{00000000-0005-0000-0000-0000064C0000}"/>
    <cellStyle name="Comma 14 2 4 3" xfId="19463" xr:uid="{00000000-0005-0000-0000-0000074C0000}"/>
    <cellStyle name="Comma 14 2 4 3 2" xfId="19464" xr:uid="{00000000-0005-0000-0000-0000084C0000}"/>
    <cellStyle name="Comma 14 2 4 3 2 2" xfId="19465" xr:uid="{00000000-0005-0000-0000-0000094C0000}"/>
    <cellStyle name="Comma 14 2 4 3 2 2 2" xfId="19466" xr:uid="{00000000-0005-0000-0000-00000A4C0000}"/>
    <cellStyle name="Comma 14 2 4 3 2 2 3" xfId="19467" xr:uid="{00000000-0005-0000-0000-00000B4C0000}"/>
    <cellStyle name="Comma 14 2 4 3 2 3" xfId="19468" xr:uid="{00000000-0005-0000-0000-00000C4C0000}"/>
    <cellStyle name="Comma 14 2 4 3 2 4" xfId="19469" xr:uid="{00000000-0005-0000-0000-00000D4C0000}"/>
    <cellStyle name="Comma 14 2 4 3 3" xfId="19470" xr:uid="{00000000-0005-0000-0000-00000E4C0000}"/>
    <cellStyle name="Comma 14 2 4 3 3 2" xfId="19471" xr:uid="{00000000-0005-0000-0000-00000F4C0000}"/>
    <cellStyle name="Comma 14 2 4 3 3 3" xfId="19472" xr:uid="{00000000-0005-0000-0000-0000104C0000}"/>
    <cellStyle name="Comma 14 2 4 3 4" xfId="19473" xr:uid="{00000000-0005-0000-0000-0000114C0000}"/>
    <cellStyle name="Comma 14 2 4 3 5" xfId="19474" xr:uid="{00000000-0005-0000-0000-0000124C0000}"/>
    <cellStyle name="Comma 14 2 4 4" xfId="19475" xr:uid="{00000000-0005-0000-0000-0000134C0000}"/>
    <cellStyle name="Comma 14 2 4 4 2" xfId="19476" xr:uid="{00000000-0005-0000-0000-0000144C0000}"/>
    <cellStyle name="Comma 14 2 4 4 2 2" xfId="19477" xr:uid="{00000000-0005-0000-0000-0000154C0000}"/>
    <cellStyle name="Comma 14 2 4 4 2 3" xfId="19478" xr:uid="{00000000-0005-0000-0000-0000164C0000}"/>
    <cellStyle name="Comma 14 2 4 4 3" xfId="19479" xr:uid="{00000000-0005-0000-0000-0000174C0000}"/>
    <cellStyle name="Comma 14 2 4 4 4" xfId="19480" xr:uid="{00000000-0005-0000-0000-0000184C0000}"/>
    <cellStyle name="Comma 14 2 4 5" xfId="19481" xr:uid="{00000000-0005-0000-0000-0000194C0000}"/>
    <cellStyle name="Comma 14 2 4 5 2" xfId="19482" xr:uid="{00000000-0005-0000-0000-00001A4C0000}"/>
    <cellStyle name="Comma 14 2 4 5 3" xfId="19483" xr:uid="{00000000-0005-0000-0000-00001B4C0000}"/>
    <cellStyle name="Comma 14 2 4 6" xfId="19484" xr:uid="{00000000-0005-0000-0000-00001C4C0000}"/>
    <cellStyle name="Comma 14 2 4 7" xfId="19485" xr:uid="{00000000-0005-0000-0000-00001D4C0000}"/>
    <cellStyle name="Comma 14 2 5" xfId="19486" xr:uid="{00000000-0005-0000-0000-00001E4C0000}"/>
    <cellStyle name="Comma 14 2 5 2" xfId="19487" xr:uid="{00000000-0005-0000-0000-00001F4C0000}"/>
    <cellStyle name="Comma 14 2 5 2 2" xfId="19488" xr:uid="{00000000-0005-0000-0000-0000204C0000}"/>
    <cellStyle name="Comma 14 2 5 2 2 2" xfId="19489" xr:uid="{00000000-0005-0000-0000-0000214C0000}"/>
    <cellStyle name="Comma 14 2 5 2 2 2 2" xfId="19490" xr:uid="{00000000-0005-0000-0000-0000224C0000}"/>
    <cellStyle name="Comma 14 2 5 2 2 2 3" xfId="19491" xr:uid="{00000000-0005-0000-0000-0000234C0000}"/>
    <cellStyle name="Comma 14 2 5 2 2 3" xfId="19492" xr:uid="{00000000-0005-0000-0000-0000244C0000}"/>
    <cellStyle name="Comma 14 2 5 2 2 4" xfId="19493" xr:uid="{00000000-0005-0000-0000-0000254C0000}"/>
    <cellStyle name="Comma 14 2 5 2 3" xfId="19494" xr:uid="{00000000-0005-0000-0000-0000264C0000}"/>
    <cellStyle name="Comma 14 2 5 2 3 2" xfId="19495" xr:uid="{00000000-0005-0000-0000-0000274C0000}"/>
    <cellStyle name="Comma 14 2 5 2 3 3" xfId="19496" xr:uid="{00000000-0005-0000-0000-0000284C0000}"/>
    <cellStyle name="Comma 14 2 5 2 4" xfId="19497" xr:uid="{00000000-0005-0000-0000-0000294C0000}"/>
    <cellStyle name="Comma 14 2 5 2 5" xfId="19498" xr:uid="{00000000-0005-0000-0000-00002A4C0000}"/>
    <cellStyle name="Comma 14 2 5 3" xfId="19499" xr:uid="{00000000-0005-0000-0000-00002B4C0000}"/>
    <cellStyle name="Comma 14 2 5 3 2" xfId="19500" xr:uid="{00000000-0005-0000-0000-00002C4C0000}"/>
    <cellStyle name="Comma 14 2 5 3 2 2" xfId="19501" xr:uid="{00000000-0005-0000-0000-00002D4C0000}"/>
    <cellStyle name="Comma 14 2 5 3 2 3" xfId="19502" xr:uid="{00000000-0005-0000-0000-00002E4C0000}"/>
    <cellStyle name="Comma 14 2 5 3 3" xfId="19503" xr:uid="{00000000-0005-0000-0000-00002F4C0000}"/>
    <cellStyle name="Comma 14 2 5 3 4" xfId="19504" xr:uid="{00000000-0005-0000-0000-0000304C0000}"/>
    <cellStyle name="Comma 14 2 5 4" xfId="19505" xr:uid="{00000000-0005-0000-0000-0000314C0000}"/>
    <cellStyle name="Comma 14 2 5 4 2" xfId="19506" xr:uid="{00000000-0005-0000-0000-0000324C0000}"/>
    <cellStyle name="Comma 14 2 5 4 3" xfId="19507" xr:uid="{00000000-0005-0000-0000-0000334C0000}"/>
    <cellStyle name="Comma 14 2 5 5" xfId="19508" xr:uid="{00000000-0005-0000-0000-0000344C0000}"/>
    <cellStyle name="Comma 14 2 5 6" xfId="19509" xr:uid="{00000000-0005-0000-0000-0000354C0000}"/>
    <cellStyle name="Comma 14 2 6" xfId="19510" xr:uid="{00000000-0005-0000-0000-0000364C0000}"/>
    <cellStyle name="Comma 14 2 6 2" xfId="19511" xr:uid="{00000000-0005-0000-0000-0000374C0000}"/>
    <cellStyle name="Comma 14 2 6 2 2" xfId="19512" xr:uid="{00000000-0005-0000-0000-0000384C0000}"/>
    <cellStyle name="Comma 14 2 6 2 2 2" xfId="19513" xr:uid="{00000000-0005-0000-0000-0000394C0000}"/>
    <cellStyle name="Comma 14 2 6 2 2 3" xfId="19514" xr:uid="{00000000-0005-0000-0000-00003A4C0000}"/>
    <cellStyle name="Comma 14 2 6 2 3" xfId="19515" xr:uid="{00000000-0005-0000-0000-00003B4C0000}"/>
    <cellStyle name="Comma 14 2 6 2 4" xfId="19516" xr:uid="{00000000-0005-0000-0000-00003C4C0000}"/>
    <cellStyle name="Comma 14 2 6 3" xfId="19517" xr:uid="{00000000-0005-0000-0000-00003D4C0000}"/>
    <cellStyle name="Comma 14 2 6 3 2" xfId="19518" xr:uid="{00000000-0005-0000-0000-00003E4C0000}"/>
    <cellStyle name="Comma 14 2 6 3 3" xfId="19519" xr:uid="{00000000-0005-0000-0000-00003F4C0000}"/>
    <cellStyle name="Comma 14 2 6 4" xfId="19520" xr:uid="{00000000-0005-0000-0000-0000404C0000}"/>
    <cellStyle name="Comma 14 2 6 5" xfId="19521" xr:uid="{00000000-0005-0000-0000-0000414C0000}"/>
    <cellStyle name="Comma 14 2 7" xfId="19522" xr:uid="{00000000-0005-0000-0000-0000424C0000}"/>
    <cellStyle name="Comma 14 2 7 2" xfId="19523" xr:uid="{00000000-0005-0000-0000-0000434C0000}"/>
    <cellStyle name="Comma 14 2 7 2 2" xfId="19524" xr:uid="{00000000-0005-0000-0000-0000444C0000}"/>
    <cellStyle name="Comma 14 2 7 2 3" xfId="19525" xr:uid="{00000000-0005-0000-0000-0000454C0000}"/>
    <cellStyle name="Comma 14 2 7 3" xfId="19526" xr:uid="{00000000-0005-0000-0000-0000464C0000}"/>
    <cellStyle name="Comma 14 2 7 4" xfId="19527" xr:uid="{00000000-0005-0000-0000-0000474C0000}"/>
    <cellStyle name="Comma 14 2 8" xfId="19528" xr:uid="{00000000-0005-0000-0000-0000484C0000}"/>
    <cellStyle name="Comma 14 2 8 2" xfId="19529" xr:uid="{00000000-0005-0000-0000-0000494C0000}"/>
    <cellStyle name="Comma 14 2 8 3" xfId="19530" xr:uid="{00000000-0005-0000-0000-00004A4C0000}"/>
    <cellStyle name="Comma 14 2 9" xfId="19531" xr:uid="{00000000-0005-0000-0000-00004B4C0000}"/>
    <cellStyle name="Comma 14 3" xfId="19532" xr:uid="{00000000-0005-0000-0000-00004C4C0000}"/>
    <cellStyle name="Comma 14 3 2" xfId="19533" xr:uid="{00000000-0005-0000-0000-00004D4C0000}"/>
    <cellStyle name="Comma 14 3 2 2" xfId="19534" xr:uid="{00000000-0005-0000-0000-00004E4C0000}"/>
    <cellStyle name="Comma 14 3 2 2 2" xfId="19535" xr:uid="{00000000-0005-0000-0000-00004F4C0000}"/>
    <cellStyle name="Comma 14 3 2 2 2 2" xfId="19536" xr:uid="{00000000-0005-0000-0000-0000504C0000}"/>
    <cellStyle name="Comma 14 3 2 2 2 2 2" xfId="19537" xr:uid="{00000000-0005-0000-0000-0000514C0000}"/>
    <cellStyle name="Comma 14 3 2 2 2 2 2 2" xfId="19538" xr:uid="{00000000-0005-0000-0000-0000524C0000}"/>
    <cellStyle name="Comma 14 3 2 2 2 2 2 2 2" xfId="19539" xr:uid="{00000000-0005-0000-0000-0000534C0000}"/>
    <cellStyle name="Comma 14 3 2 2 2 2 2 2 3" xfId="19540" xr:uid="{00000000-0005-0000-0000-0000544C0000}"/>
    <cellStyle name="Comma 14 3 2 2 2 2 2 3" xfId="19541" xr:uid="{00000000-0005-0000-0000-0000554C0000}"/>
    <cellStyle name="Comma 14 3 2 2 2 2 2 4" xfId="19542" xr:uid="{00000000-0005-0000-0000-0000564C0000}"/>
    <cellStyle name="Comma 14 3 2 2 2 2 3" xfId="19543" xr:uid="{00000000-0005-0000-0000-0000574C0000}"/>
    <cellStyle name="Comma 14 3 2 2 2 2 3 2" xfId="19544" xr:uid="{00000000-0005-0000-0000-0000584C0000}"/>
    <cellStyle name="Comma 14 3 2 2 2 2 3 3" xfId="19545" xr:uid="{00000000-0005-0000-0000-0000594C0000}"/>
    <cellStyle name="Comma 14 3 2 2 2 2 4" xfId="19546" xr:uid="{00000000-0005-0000-0000-00005A4C0000}"/>
    <cellStyle name="Comma 14 3 2 2 2 2 5" xfId="19547" xr:uid="{00000000-0005-0000-0000-00005B4C0000}"/>
    <cellStyle name="Comma 14 3 2 2 2 3" xfId="19548" xr:uid="{00000000-0005-0000-0000-00005C4C0000}"/>
    <cellStyle name="Comma 14 3 2 2 2 3 2" xfId="19549" xr:uid="{00000000-0005-0000-0000-00005D4C0000}"/>
    <cellStyle name="Comma 14 3 2 2 2 3 2 2" xfId="19550" xr:uid="{00000000-0005-0000-0000-00005E4C0000}"/>
    <cellStyle name="Comma 14 3 2 2 2 3 2 3" xfId="19551" xr:uid="{00000000-0005-0000-0000-00005F4C0000}"/>
    <cellStyle name="Comma 14 3 2 2 2 3 3" xfId="19552" xr:uid="{00000000-0005-0000-0000-0000604C0000}"/>
    <cellStyle name="Comma 14 3 2 2 2 3 4" xfId="19553" xr:uid="{00000000-0005-0000-0000-0000614C0000}"/>
    <cellStyle name="Comma 14 3 2 2 2 4" xfId="19554" xr:uid="{00000000-0005-0000-0000-0000624C0000}"/>
    <cellStyle name="Comma 14 3 2 2 2 4 2" xfId="19555" xr:uid="{00000000-0005-0000-0000-0000634C0000}"/>
    <cellStyle name="Comma 14 3 2 2 2 4 3" xfId="19556" xr:uid="{00000000-0005-0000-0000-0000644C0000}"/>
    <cellStyle name="Comma 14 3 2 2 2 5" xfId="19557" xr:uid="{00000000-0005-0000-0000-0000654C0000}"/>
    <cellStyle name="Comma 14 3 2 2 2 6" xfId="19558" xr:uid="{00000000-0005-0000-0000-0000664C0000}"/>
    <cellStyle name="Comma 14 3 2 2 3" xfId="19559" xr:uid="{00000000-0005-0000-0000-0000674C0000}"/>
    <cellStyle name="Comma 14 3 2 2 3 2" xfId="19560" xr:uid="{00000000-0005-0000-0000-0000684C0000}"/>
    <cellStyle name="Comma 14 3 2 2 3 2 2" xfId="19561" xr:uid="{00000000-0005-0000-0000-0000694C0000}"/>
    <cellStyle name="Comma 14 3 2 2 3 2 2 2" xfId="19562" xr:uid="{00000000-0005-0000-0000-00006A4C0000}"/>
    <cellStyle name="Comma 14 3 2 2 3 2 2 3" xfId="19563" xr:uid="{00000000-0005-0000-0000-00006B4C0000}"/>
    <cellStyle name="Comma 14 3 2 2 3 2 3" xfId="19564" xr:uid="{00000000-0005-0000-0000-00006C4C0000}"/>
    <cellStyle name="Comma 14 3 2 2 3 2 4" xfId="19565" xr:uid="{00000000-0005-0000-0000-00006D4C0000}"/>
    <cellStyle name="Comma 14 3 2 2 3 3" xfId="19566" xr:uid="{00000000-0005-0000-0000-00006E4C0000}"/>
    <cellStyle name="Comma 14 3 2 2 3 3 2" xfId="19567" xr:uid="{00000000-0005-0000-0000-00006F4C0000}"/>
    <cellStyle name="Comma 14 3 2 2 3 3 3" xfId="19568" xr:uid="{00000000-0005-0000-0000-0000704C0000}"/>
    <cellStyle name="Comma 14 3 2 2 3 4" xfId="19569" xr:uid="{00000000-0005-0000-0000-0000714C0000}"/>
    <cellStyle name="Comma 14 3 2 2 3 5" xfId="19570" xr:uid="{00000000-0005-0000-0000-0000724C0000}"/>
    <cellStyle name="Comma 14 3 2 2 4" xfId="19571" xr:uid="{00000000-0005-0000-0000-0000734C0000}"/>
    <cellStyle name="Comma 14 3 2 2 4 2" xfId="19572" xr:uid="{00000000-0005-0000-0000-0000744C0000}"/>
    <cellStyle name="Comma 14 3 2 2 4 2 2" xfId="19573" xr:uid="{00000000-0005-0000-0000-0000754C0000}"/>
    <cellStyle name="Comma 14 3 2 2 4 2 3" xfId="19574" xr:uid="{00000000-0005-0000-0000-0000764C0000}"/>
    <cellStyle name="Comma 14 3 2 2 4 3" xfId="19575" xr:uid="{00000000-0005-0000-0000-0000774C0000}"/>
    <cellStyle name="Comma 14 3 2 2 4 4" xfId="19576" xr:uid="{00000000-0005-0000-0000-0000784C0000}"/>
    <cellStyle name="Comma 14 3 2 2 5" xfId="19577" xr:uid="{00000000-0005-0000-0000-0000794C0000}"/>
    <cellStyle name="Comma 14 3 2 2 5 2" xfId="19578" xr:uid="{00000000-0005-0000-0000-00007A4C0000}"/>
    <cellStyle name="Comma 14 3 2 2 5 3" xfId="19579" xr:uid="{00000000-0005-0000-0000-00007B4C0000}"/>
    <cellStyle name="Comma 14 3 2 2 6" xfId="19580" xr:uid="{00000000-0005-0000-0000-00007C4C0000}"/>
    <cellStyle name="Comma 14 3 2 2 7" xfId="19581" xr:uid="{00000000-0005-0000-0000-00007D4C0000}"/>
    <cellStyle name="Comma 14 3 2 3" xfId="19582" xr:uid="{00000000-0005-0000-0000-00007E4C0000}"/>
    <cellStyle name="Comma 14 3 2 3 2" xfId="19583" xr:uid="{00000000-0005-0000-0000-00007F4C0000}"/>
    <cellStyle name="Comma 14 3 2 3 2 2" xfId="19584" xr:uid="{00000000-0005-0000-0000-0000804C0000}"/>
    <cellStyle name="Comma 14 3 2 3 2 2 2" xfId="19585" xr:uid="{00000000-0005-0000-0000-0000814C0000}"/>
    <cellStyle name="Comma 14 3 2 3 2 2 2 2" xfId="19586" xr:uid="{00000000-0005-0000-0000-0000824C0000}"/>
    <cellStyle name="Comma 14 3 2 3 2 2 2 3" xfId="19587" xr:uid="{00000000-0005-0000-0000-0000834C0000}"/>
    <cellStyle name="Comma 14 3 2 3 2 2 3" xfId="19588" xr:uid="{00000000-0005-0000-0000-0000844C0000}"/>
    <cellStyle name="Comma 14 3 2 3 2 2 4" xfId="19589" xr:uid="{00000000-0005-0000-0000-0000854C0000}"/>
    <cellStyle name="Comma 14 3 2 3 2 3" xfId="19590" xr:uid="{00000000-0005-0000-0000-0000864C0000}"/>
    <cellStyle name="Comma 14 3 2 3 2 3 2" xfId="19591" xr:uid="{00000000-0005-0000-0000-0000874C0000}"/>
    <cellStyle name="Comma 14 3 2 3 2 3 3" xfId="19592" xr:uid="{00000000-0005-0000-0000-0000884C0000}"/>
    <cellStyle name="Comma 14 3 2 3 2 4" xfId="19593" xr:uid="{00000000-0005-0000-0000-0000894C0000}"/>
    <cellStyle name="Comma 14 3 2 3 2 5" xfId="19594" xr:uid="{00000000-0005-0000-0000-00008A4C0000}"/>
    <cellStyle name="Comma 14 3 2 3 3" xfId="19595" xr:uid="{00000000-0005-0000-0000-00008B4C0000}"/>
    <cellStyle name="Comma 14 3 2 3 3 2" xfId="19596" xr:uid="{00000000-0005-0000-0000-00008C4C0000}"/>
    <cellStyle name="Comma 14 3 2 3 3 2 2" xfId="19597" xr:uid="{00000000-0005-0000-0000-00008D4C0000}"/>
    <cellStyle name="Comma 14 3 2 3 3 2 3" xfId="19598" xr:uid="{00000000-0005-0000-0000-00008E4C0000}"/>
    <cellStyle name="Comma 14 3 2 3 3 3" xfId="19599" xr:uid="{00000000-0005-0000-0000-00008F4C0000}"/>
    <cellStyle name="Comma 14 3 2 3 3 4" xfId="19600" xr:uid="{00000000-0005-0000-0000-0000904C0000}"/>
    <cellStyle name="Comma 14 3 2 3 4" xfId="19601" xr:uid="{00000000-0005-0000-0000-0000914C0000}"/>
    <cellStyle name="Comma 14 3 2 3 4 2" xfId="19602" xr:uid="{00000000-0005-0000-0000-0000924C0000}"/>
    <cellStyle name="Comma 14 3 2 3 4 3" xfId="19603" xr:uid="{00000000-0005-0000-0000-0000934C0000}"/>
    <cellStyle name="Comma 14 3 2 3 5" xfId="19604" xr:uid="{00000000-0005-0000-0000-0000944C0000}"/>
    <cellStyle name="Comma 14 3 2 3 6" xfId="19605" xr:uid="{00000000-0005-0000-0000-0000954C0000}"/>
    <cellStyle name="Comma 14 3 2 4" xfId="19606" xr:uid="{00000000-0005-0000-0000-0000964C0000}"/>
    <cellStyle name="Comma 14 3 2 4 2" xfId="19607" xr:uid="{00000000-0005-0000-0000-0000974C0000}"/>
    <cellStyle name="Comma 14 3 2 4 2 2" xfId="19608" xr:uid="{00000000-0005-0000-0000-0000984C0000}"/>
    <cellStyle name="Comma 14 3 2 4 2 2 2" xfId="19609" xr:uid="{00000000-0005-0000-0000-0000994C0000}"/>
    <cellStyle name="Comma 14 3 2 4 2 2 3" xfId="19610" xr:uid="{00000000-0005-0000-0000-00009A4C0000}"/>
    <cellStyle name="Comma 14 3 2 4 2 3" xfId="19611" xr:uid="{00000000-0005-0000-0000-00009B4C0000}"/>
    <cellStyle name="Comma 14 3 2 4 2 4" xfId="19612" xr:uid="{00000000-0005-0000-0000-00009C4C0000}"/>
    <cellStyle name="Comma 14 3 2 4 3" xfId="19613" xr:uid="{00000000-0005-0000-0000-00009D4C0000}"/>
    <cellStyle name="Comma 14 3 2 4 3 2" xfId="19614" xr:uid="{00000000-0005-0000-0000-00009E4C0000}"/>
    <cellStyle name="Comma 14 3 2 4 3 3" xfId="19615" xr:uid="{00000000-0005-0000-0000-00009F4C0000}"/>
    <cellStyle name="Comma 14 3 2 4 4" xfId="19616" xr:uid="{00000000-0005-0000-0000-0000A04C0000}"/>
    <cellStyle name="Comma 14 3 2 4 5" xfId="19617" xr:uid="{00000000-0005-0000-0000-0000A14C0000}"/>
    <cellStyle name="Comma 14 3 2 5" xfId="19618" xr:uid="{00000000-0005-0000-0000-0000A24C0000}"/>
    <cellStyle name="Comma 14 3 2 5 2" xfId="19619" xr:uid="{00000000-0005-0000-0000-0000A34C0000}"/>
    <cellStyle name="Comma 14 3 2 5 2 2" xfId="19620" xr:uid="{00000000-0005-0000-0000-0000A44C0000}"/>
    <cellStyle name="Comma 14 3 2 5 2 3" xfId="19621" xr:uid="{00000000-0005-0000-0000-0000A54C0000}"/>
    <cellStyle name="Comma 14 3 2 5 3" xfId="19622" xr:uid="{00000000-0005-0000-0000-0000A64C0000}"/>
    <cellStyle name="Comma 14 3 2 5 4" xfId="19623" xr:uid="{00000000-0005-0000-0000-0000A74C0000}"/>
    <cellStyle name="Comma 14 3 2 6" xfId="19624" xr:uid="{00000000-0005-0000-0000-0000A84C0000}"/>
    <cellStyle name="Comma 14 3 2 6 2" xfId="19625" xr:uid="{00000000-0005-0000-0000-0000A94C0000}"/>
    <cellStyle name="Comma 14 3 2 6 3" xfId="19626" xr:uid="{00000000-0005-0000-0000-0000AA4C0000}"/>
    <cellStyle name="Comma 14 3 2 7" xfId="19627" xr:uid="{00000000-0005-0000-0000-0000AB4C0000}"/>
    <cellStyle name="Comma 14 3 2 8" xfId="19628" xr:uid="{00000000-0005-0000-0000-0000AC4C0000}"/>
    <cellStyle name="Comma 14 3 3" xfId="19629" xr:uid="{00000000-0005-0000-0000-0000AD4C0000}"/>
    <cellStyle name="Comma 14 3 3 2" xfId="19630" xr:uid="{00000000-0005-0000-0000-0000AE4C0000}"/>
    <cellStyle name="Comma 14 3 3 2 2" xfId="19631" xr:uid="{00000000-0005-0000-0000-0000AF4C0000}"/>
    <cellStyle name="Comma 14 3 3 2 2 2" xfId="19632" xr:uid="{00000000-0005-0000-0000-0000B04C0000}"/>
    <cellStyle name="Comma 14 3 3 2 2 2 2" xfId="19633" xr:uid="{00000000-0005-0000-0000-0000B14C0000}"/>
    <cellStyle name="Comma 14 3 3 2 2 2 2 2" xfId="19634" xr:uid="{00000000-0005-0000-0000-0000B24C0000}"/>
    <cellStyle name="Comma 14 3 3 2 2 2 2 3" xfId="19635" xr:uid="{00000000-0005-0000-0000-0000B34C0000}"/>
    <cellStyle name="Comma 14 3 3 2 2 2 3" xfId="19636" xr:uid="{00000000-0005-0000-0000-0000B44C0000}"/>
    <cellStyle name="Comma 14 3 3 2 2 2 4" xfId="19637" xr:uid="{00000000-0005-0000-0000-0000B54C0000}"/>
    <cellStyle name="Comma 14 3 3 2 2 3" xfId="19638" xr:uid="{00000000-0005-0000-0000-0000B64C0000}"/>
    <cellStyle name="Comma 14 3 3 2 2 3 2" xfId="19639" xr:uid="{00000000-0005-0000-0000-0000B74C0000}"/>
    <cellStyle name="Comma 14 3 3 2 2 3 3" xfId="19640" xr:uid="{00000000-0005-0000-0000-0000B84C0000}"/>
    <cellStyle name="Comma 14 3 3 2 2 4" xfId="19641" xr:uid="{00000000-0005-0000-0000-0000B94C0000}"/>
    <cellStyle name="Comma 14 3 3 2 2 5" xfId="19642" xr:uid="{00000000-0005-0000-0000-0000BA4C0000}"/>
    <cellStyle name="Comma 14 3 3 2 3" xfId="19643" xr:uid="{00000000-0005-0000-0000-0000BB4C0000}"/>
    <cellStyle name="Comma 14 3 3 2 3 2" xfId="19644" xr:uid="{00000000-0005-0000-0000-0000BC4C0000}"/>
    <cellStyle name="Comma 14 3 3 2 3 2 2" xfId="19645" xr:uid="{00000000-0005-0000-0000-0000BD4C0000}"/>
    <cellStyle name="Comma 14 3 3 2 3 2 3" xfId="19646" xr:uid="{00000000-0005-0000-0000-0000BE4C0000}"/>
    <cellStyle name="Comma 14 3 3 2 3 3" xfId="19647" xr:uid="{00000000-0005-0000-0000-0000BF4C0000}"/>
    <cellStyle name="Comma 14 3 3 2 3 4" xfId="19648" xr:uid="{00000000-0005-0000-0000-0000C04C0000}"/>
    <cellStyle name="Comma 14 3 3 2 4" xfId="19649" xr:uid="{00000000-0005-0000-0000-0000C14C0000}"/>
    <cellStyle name="Comma 14 3 3 2 4 2" xfId="19650" xr:uid="{00000000-0005-0000-0000-0000C24C0000}"/>
    <cellStyle name="Comma 14 3 3 2 4 3" xfId="19651" xr:uid="{00000000-0005-0000-0000-0000C34C0000}"/>
    <cellStyle name="Comma 14 3 3 2 5" xfId="19652" xr:uid="{00000000-0005-0000-0000-0000C44C0000}"/>
    <cellStyle name="Comma 14 3 3 2 6" xfId="19653" xr:uid="{00000000-0005-0000-0000-0000C54C0000}"/>
    <cellStyle name="Comma 14 3 3 3" xfId="19654" xr:uid="{00000000-0005-0000-0000-0000C64C0000}"/>
    <cellStyle name="Comma 14 3 3 3 2" xfId="19655" xr:uid="{00000000-0005-0000-0000-0000C74C0000}"/>
    <cellStyle name="Comma 14 3 3 3 2 2" xfId="19656" xr:uid="{00000000-0005-0000-0000-0000C84C0000}"/>
    <cellStyle name="Comma 14 3 3 3 2 2 2" xfId="19657" xr:uid="{00000000-0005-0000-0000-0000C94C0000}"/>
    <cellStyle name="Comma 14 3 3 3 2 2 3" xfId="19658" xr:uid="{00000000-0005-0000-0000-0000CA4C0000}"/>
    <cellStyle name="Comma 14 3 3 3 2 3" xfId="19659" xr:uid="{00000000-0005-0000-0000-0000CB4C0000}"/>
    <cellStyle name="Comma 14 3 3 3 2 4" xfId="19660" xr:uid="{00000000-0005-0000-0000-0000CC4C0000}"/>
    <cellStyle name="Comma 14 3 3 3 3" xfId="19661" xr:uid="{00000000-0005-0000-0000-0000CD4C0000}"/>
    <cellStyle name="Comma 14 3 3 3 3 2" xfId="19662" xr:uid="{00000000-0005-0000-0000-0000CE4C0000}"/>
    <cellStyle name="Comma 14 3 3 3 3 3" xfId="19663" xr:uid="{00000000-0005-0000-0000-0000CF4C0000}"/>
    <cellStyle name="Comma 14 3 3 3 4" xfId="19664" xr:uid="{00000000-0005-0000-0000-0000D04C0000}"/>
    <cellStyle name="Comma 14 3 3 3 5" xfId="19665" xr:uid="{00000000-0005-0000-0000-0000D14C0000}"/>
    <cellStyle name="Comma 14 3 3 4" xfId="19666" xr:uid="{00000000-0005-0000-0000-0000D24C0000}"/>
    <cellStyle name="Comma 14 3 3 4 2" xfId="19667" xr:uid="{00000000-0005-0000-0000-0000D34C0000}"/>
    <cellStyle name="Comma 14 3 3 4 2 2" xfId="19668" xr:uid="{00000000-0005-0000-0000-0000D44C0000}"/>
    <cellStyle name="Comma 14 3 3 4 2 3" xfId="19669" xr:uid="{00000000-0005-0000-0000-0000D54C0000}"/>
    <cellStyle name="Comma 14 3 3 4 3" xfId="19670" xr:uid="{00000000-0005-0000-0000-0000D64C0000}"/>
    <cellStyle name="Comma 14 3 3 4 4" xfId="19671" xr:uid="{00000000-0005-0000-0000-0000D74C0000}"/>
    <cellStyle name="Comma 14 3 3 5" xfId="19672" xr:uid="{00000000-0005-0000-0000-0000D84C0000}"/>
    <cellStyle name="Comma 14 3 3 5 2" xfId="19673" xr:uid="{00000000-0005-0000-0000-0000D94C0000}"/>
    <cellStyle name="Comma 14 3 3 5 3" xfId="19674" xr:uid="{00000000-0005-0000-0000-0000DA4C0000}"/>
    <cellStyle name="Comma 14 3 3 6" xfId="19675" xr:uid="{00000000-0005-0000-0000-0000DB4C0000}"/>
    <cellStyle name="Comma 14 3 3 7" xfId="19676" xr:uid="{00000000-0005-0000-0000-0000DC4C0000}"/>
    <cellStyle name="Comma 14 3 4" xfId="19677" xr:uid="{00000000-0005-0000-0000-0000DD4C0000}"/>
    <cellStyle name="Comma 14 3 4 2" xfId="19678" xr:uid="{00000000-0005-0000-0000-0000DE4C0000}"/>
    <cellStyle name="Comma 14 3 4 2 2" xfId="19679" xr:uid="{00000000-0005-0000-0000-0000DF4C0000}"/>
    <cellStyle name="Comma 14 3 4 2 2 2" xfId="19680" xr:uid="{00000000-0005-0000-0000-0000E04C0000}"/>
    <cellStyle name="Comma 14 3 4 2 2 2 2" xfId="19681" xr:uid="{00000000-0005-0000-0000-0000E14C0000}"/>
    <cellStyle name="Comma 14 3 4 2 2 2 3" xfId="19682" xr:uid="{00000000-0005-0000-0000-0000E24C0000}"/>
    <cellStyle name="Comma 14 3 4 2 2 3" xfId="19683" xr:uid="{00000000-0005-0000-0000-0000E34C0000}"/>
    <cellStyle name="Comma 14 3 4 2 2 4" xfId="19684" xr:uid="{00000000-0005-0000-0000-0000E44C0000}"/>
    <cellStyle name="Comma 14 3 4 2 3" xfId="19685" xr:uid="{00000000-0005-0000-0000-0000E54C0000}"/>
    <cellStyle name="Comma 14 3 4 2 3 2" xfId="19686" xr:uid="{00000000-0005-0000-0000-0000E64C0000}"/>
    <cellStyle name="Comma 14 3 4 2 3 3" xfId="19687" xr:uid="{00000000-0005-0000-0000-0000E74C0000}"/>
    <cellStyle name="Comma 14 3 4 2 4" xfId="19688" xr:uid="{00000000-0005-0000-0000-0000E84C0000}"/>
    <cellStyle name="Comma 14 3 4 2 5" xfId="19689" xr:uid="{00000000-0005-0000-0000-0000E94C0000}"/>
    <cellStyle name="Comma 14 3 4 3" xfId="19690" xr:uid="{00000000-0005-0000-0000-0000EA4C0000}"/>
    <cellStyle name="Comma 14 3 4 3 2" xfId="19691" xr:uid="{00000000-0005-0000-0000-0000EB4C0000}"/>
    <cellStyle name="Comma 14 3 4 3 2 2" xfId="19692" xr:uid="{00000000-0005-0000-0000-0000EC4C0000}"/>
    <cellStyle name="Comma 14 3 4 3 2 3" xfId="19693" xr:uid="{00000000-0005-0000-0000-0000ED4C0000}"/>
    <cellStyle name="Comma 14 3 4 3 3" xfId="19694" xr:uid="{00000000-0005-0000-0000-0000EE4C0000}"/>
    <cellStyle name="Comma 14 3 4 3 4" xfId="19695" xr:uid="{00000000-0005-0000-0000-0000EF4C0000}"/>
    <cellStyle name="Comma 14 3 4 4" xfId="19696" xr:uid="{00000000-0005-0000-0000-0000F04C0000}"/>
    <cellStyle name="Comma 14 3 4 4 2" xfId="19697" xr:uid="{00000000-0005-0000-0000-0000F14C0000}"/>
    <cellStyle name="Comma 14 3 4 4 3" xfId="19698" xr:uid="{00000000-0005-0000-0000-0000F24C0000}"/>
    <cellStyle name="Comma 14 3 4 5" xfId="19699" xr:uid="{00000000-0005-0000-0000-0000F34C0000}"/>
    <cellStyle name="Comma 14 3 4 6" xfId="19700" xr:uid="{00000000-0005-0000-0000-0000F44C0000}"/>
    <cellStyle name="Comma 14 3 5" xfId="19701" xr:uid="{00000000-0005-0000-0000-0000F54C0000}"/>
    <cellStyle name="Comma 14 3 5 2" xfId="19702" xr:uid="{00000000-0005-0000-0000-0000F64C0000}"/>
    <cellStyle name="Comma 14 3 5 2 2" xfId="19703" xr:uid="{00000000-0005-0000-0000-0000F74C0000}"/>
    <cellStyle name="Comma 14 3 5 2 2 2" xfId="19704" xr:uid="{00000000-0005-0000-0000-0000F84C0000}"/>
    <cellStyle name="Comma 14 3 5 2 2 3" xfId="19705" xr:uid="{00000000-0005-0000-0000-0000F94C0000}"/>
    <cellStyle name="Comma 14 3 5 2 3" xfId="19706" xr:uid="{00000000-0005-0000-0000-0000FA4C0000}"/>
    <cellStyle name="Comma 14 3 5 2 4" xfId="19707" xr:uid="{00000000-0005-0000-0000-0000FB4C0000}"/>
    <cellStyle name="Comma 14 3 5 3" xfId="19708" xr:uid="{00000000-0005-0000-0000-0000FC4C0000}"/>
    <cellStyle name="Comma 14 3 5 3 2" xfId="19709" xr:uid="{00000000-0005-0000-0000-0000FD4C0000}"/>
    <cellStyle name="Comma 14 3 5 3 3" xfId="19710" xr:uid="{00000000-0005-0000-0000-0000FE4C0000}"/>
    <cellStyle name="Comma 14 3 5 4" xfId="19711" xr:uid="{00000000-0005-0000-0000-0000FF4C0000}"/>
    <cellStyle name="Comma 14 3 5 5" xfId="19712" xr:uid="{00000000-0005-0000-0000-0000004D0000}"/>
    <cellStyle name="Comma 14 3 6" xfId="19713" xr:uid="{00000000-0005-0000-0000-0000014D0000}"/>
    <cellStyle name="Comma 14 3 6 2" xfId="19714" xr:uid="{00000000-0005-0000-0000-0000024D0000}"/>
    <cellStyle name="Comma 14 3 6 2 2" xfId="19715" xr:uid="{00000000-0005-0000-0000-0000034D0000}"/>
    <cellStyle name="Comma 14 3 6 2 3" xfId="19716" xr:uid="{00000000-0005-0000-0000-0000044D0000}"/>
    <cellStyle name="Comma 14 3 6 3" xfId="19717" xr:uid="{00000000-0005-0000-0000-0000054D0000}"/>
    <cellStyle name="Comma 14 3 6 4" xfId="19718" xr:uid="{00000000-0005-0000-0000-0000064D0000}"/>
    <cellStyle name="Comma 14 3 7" xfId="19719" xr:uid="{00000000-0005-0000-0000-0000074D0000}"/>
    <cellStyle name="Comma 14 3 7 2" xfId="19720" xr:uid="{00000000-0005-0000-0000-0000084D0000}"/>
    <cellStyle name="Comma 14 3 7 3" xfId="19721" xr:uid="{00000000-0005-0000-0000-0000094D0000}"/>
    <cellStyle name="Comma 14 3 8" xfId="19722" xr:uid="{00000000-0005-0000-0000-00000A4D0000}"/>
    <cellStyle name="Comma 14 3 9" xfId="19723" xr:uid="{00000000-0005-0000-0000-00000B4D0000}"/>
    <cellStyle name="Comma 14 4" xfId="19724" xr:uid="{00000000-0005-0000-0000-00000C4D0000}"/>
    <cellStyle name="Comma 14 4 2" xfId="19725" xr:uid="{00000000-0005-0000-0000-00000D4D0000}"/>
    <cellStyle name="Comma 14 4 2 2" xfId="19726" xr:uid="{00000000-0005-0000-0000-00000E4D0000}"/>
    <cellStyle name="Comma 14 4 2 2 2" xfId="19727" xr:uid="{00000000-0005-0000-0000-00000F4D0000}"/>
    <cellStyle name="Comma 14 4 2 2 2 2" xfId="19728" xr:uid="{00000000-0005-0000-0000-0000104D0000}"/>
    <cellStyle name="Comma 14 4 2 2 2 2 2" xfId="19729" xr:uid="{00000000-0005-0000-0000-0000114D0000}"/>
    <cellStyle name="Comma 14 4 2 2 2 2 2 2" xfId="19730" xr:uid="{00000000-0005-0000-0000-0000124D0000}"/>
    <cellStyle name="Comma 14 4 2 2 2 2 2 3" xfId="19731" xr:uid="{00000000-0005-0000-0000-0000134D0000}"/>
    <cellStyle name="Comma 14 4 2 2 2 2 3" xfId="19732" xr:uid="{00000000-0005-0000-0000-0000144D0000}"/>
    <cellStyle name="Comma 14 4 2 2 2 2 4" xfId="19733" xr:uid="{00000000-0005-0000-0000-0000154D0000}"/>
    <cellStyle name="Comma 14 4 2 2 2 3" xfId="19734" xr:uid="{00000000-0005-0000-0000-0000164D0000}"/>
    <cellStyle name="Comma 14 4 2 2 2 3 2" xfId="19735" xr:uid="{00000000-0005-0000-0000-0000174D0000}"/>
    <cellStyle name="Comma 14 4 2 2 2 3 3" xfId="19736" xr:uid="{00000000-0005-0000-0000-0000184D0000}"/>
    <cellStyle name="Comma 14 4 2 2 2 4" xfId="19737" xr:uid="{00000000-0005-0000-0000-0000194D0000}"/>
    <cellStyle name="Comma 14 4 2 2 2 5" xfId="19738" xr:uid="{00000000-0005-0000-0000-00001A4D0000}"/>
    <cellStyle name="Comma 14 4 2 2 3" xfId="19739" xr:uid="{00000000-0005-0000-0000-00001B4D0000}"/>
    <cellStyle name="Comma 14 4 2 2 3 2" xfId="19740" xr:uid="{00000000-0005-0000-0000-00001C4D0000}"/>
    <cellStyle name="Comma 14 4 2 2 3 2 2" xfId="19741" xr:uid="{00000000-0005-0000-0000-00001D4D0000}"/>
    <cellStyle name="Comma 14 4 2 2 3 2 3" xfId="19742" xr:uid="{00000000-0005-0000-0000-00001E4D0000}"/>
    <cellStyle name="Comma 14 4 2 2 3 3" xfId="19743" xr:uid="{00000000-0005-0000-0000-00001F4D0000}"/>
    <cellStyle name="Comma 14 4 2 2 3 4" xfId="19744" xr:uid="{00000000-0005-0000-0000-0000204D0000}"/>
    <cellStyle name="Comma 14 4 2 2 4" xfId="19745" xr:uid="{00000000-0005-0000-0000-0000214D0000}"/>
    <cellStyle name="Comma 14 4 2 2 4 2" xfId="19746" xr:uid="{00000000-0005-0000-0000-0000224D0000}"/>
    <cellStyle name="Comma 14 4 2 2 4 3" xfId="19747" xr:uid="{00000000-0005-0000-0000-0000234D0000}"/>
    <cellStyle name="Comma 14 4 2 2 5" xfId="19748" xr:uid="{00000000-0005-0000-0000-0000244D0000}"/>
    <cellStyle name="Comma 14 4 2 2 6" xfId="19749" xr:uid="{00000000-0005-0000-0000-0000254D0000}"/>
    <cellStyle name="Comma 14 4 2 3" xfId="19750" xr:uid="{00000000-0005-0000-0000-0000264D0000}"/>
    <cellStyle name="Comma 14 4 2 3 2" xfId="19751" xr:uid="{00000000-0005-0000-0000-0000274D0000}"/>
    <cellStyle name="Comma 14 4 2 3 2 2" xfId="19752" xr:uid="{00000000-0005-0000-0000-0000284D0000}"/>
    <cellStyle name="Comma 14 4 2 3 2 2 2" xfId="19753" xr:uid="{00000000-0005-0000-0000-0000294D0000}"/>
    <cellStyle name="Comma 14 4 2 3 2 2 3" xfId="19754" xr:uid="{00000000-0005-0000-0000-00002A4D0000}"/>
    <cellStyle name="Comma 14 4 2 3 2 3" xfId="19755" xr:uid="{00000000-0005-0000-0000-00002B4D0000}"/>
    <cellStyle name="Comma 14 4 2 3 2 4" xfId="19756" xr:uid="{00000000-0005-0000-0000-00002C4D0000}"/>
    <cellStyle name="Comma 14 4 2 3 3" xfId="19757" xr:uid="{00000000-0005-0000-0000-00002D4D0000}"/>
    <cellStyle name="Comma 14 4 2 3 3 2" xfId="19758" xr:uid="{00000000-0005-0000-0000-00002E4D0000}"/>
    <cellStyle name="Comma 14 4 2 3 3 3" xfId="19759" xr:uid="{00000000-0005-0000-0000-00002F4D0000}"/>
    <cellStyle name="Comma 14 4 2 3 4" xfId="19760" xr:uid="{00000000-0005-0000-0000-0000304D0000}"/>
    <cellStyle name="Comma 14 4 2 3 5" xfId="19761" xr:uid="{00000000-0005-0000-0000-0000314D0000}"/>
    <cellStyle name="Comma 14 4 2 4" xfId="19762" xr:uid="{00000000-0005-0000-0000-0000324D0000}"/>
    <cellStyle name="Comma 14 4 2 4 2" xfId="19763" xr:uid="{00000000-0005-0000-0000-0000334D0000}"/>
    <cellStyle name="Comma 14 4 2 4 2 2" xfId="19764" xr:uid="{00000000-0005-0000-0000-0000344D0000}"/>
    <cellStyle name="Comma 14 4 2 4 2 3" xfId="19765" xr:uid="{00000000-0005-0000-0000-0000354D0000}"/>
    <cellStyle name="Comma 14 4 2 4 3" xfId="19766" xr:uid="{00000000-0005-0000-0000-0000364D0000}"/>
    <cellStyle name="Comma 14 4 2 4 4" xfId="19767" xr:uid="{00000000-0005-0000-0000-0000374D0000}"/>
    <cellStyle name="Comma 14 4 2 5" xfId="19768" xr:uid="{00000000-0005-0000-0000-0000384D0000}"/>
    <cellStyle name="Comma 14 4 2 5 2" xfId="19769" xr:uid="{00000000-0005-0000-0000-0000394D0000}"/>
    <cellStyle name="Comma 14 4 2 5 3" xfId="19770" xr:uid="{00000000-0005-0000-0000-00003A4D0000}"/>
    <cellStyle name="Comma 14 4 2 6" xfId="19771" xr:uid="{00000000-0005-0000-0000-00003B4D0000}"/>
    <cellStyle name="Comma 14 4 2 7" xfId="19772" xr:uid="{00000000-0005-0000-0000-00003C4D0000}"/>
    <cellStyle name="Comma 14 4 3" xfId="19773" xr:uid="{00000000-0005-0000-0000-00003D4D0000}"/>
    <cellStyle name="Comma 14 4 3 2" xfId="19774" xr:uid="{00000000-0005-0000-0000-00003E4D0000}"/>
    <cellStyle name="Comma 14 4 3 2 2" xfId="19775" xr:uid="{00000000-0005-0000-0000-00003F4D0000}"/>
    <cellStyle name="Comma 14 4 3 2 2 2" xfId="19776" xr:uid="{00000000-0005-0000-0000-0000404D0000}"/>
    <cellStyle name="Comma 14 4 3 2 2 2 2" xfId="19777" xr:uid="{00000000-0005-0000-0000-0000414D0000}"/>
    <cellStyle name="Comma 14 4 3 2 2 2 3" xfId="19778" xr:uid="{00000000-0005-0000-0000-0000424D0000}"/>
    <cellStyle name="Comma 14 4 3 2 2 3" xfId="19779" xr:uid="{00000000-0005-0000-0000-0000434D0000}"/>
    <cellStyle name="Comma 14 4 3 2 2 4" xfId="19780" xr:uid="{00000000-0005-0000-0000-0000444D0000}"/>
    <cellStyle name="Comma 14 4 3 2 3" xfId="19781" xr:uid="{00000000-0005-0000-0000-0000454D0000}"/>
    <cellStyle name="Comma 14 4 3 2 3 2" xfId="19782" xr:uid="{00000000-0005-0000-0000-0000464D0000}"/>
    <cellStyle name="Comma 14 4 3 2 3 3" xfId="19783" xr:uid="{00000000-0005-0000-0000-0000474D0000}"/>
    <cellStyle name="Comma 14 4 3 2 4" xfId="19784" xr:uid="{00000000-0005-0000-0000-0000484D0000}"/>
    <cellStyle name="Comma 14 4 3 2 5" xfId="19785" xr:uid="{00000000-0005-0000-0000-0000494D0000}"/>
    <cellStyle name="Comma 14 4 3 3" xfId="19786" xr:uid="{00000000-0005-0000-0000-00004A4D0000}"/>
    <cellStyle name="Comma 14 4 3 3 2" xfId="19787" xr:uid="{00000000-0005-0000-0000-00004B4D0000}"/>
    <cellStyle name="Comma 14 4 3 3 2 2" xfId="19788" xr:uid="{00000000-0005-0000-0000-00004C4D0000}"/>
    <cellStyle name="Comma 14 4 3 3 2 3" xfId="19789" xr:uid="{00000000-0005-0000-0000-00004D4D0000}"/>
    <cellStyle name="Comma 14 4 3 3 3" xfId="19790" xr:uid="{00000000-0005-0000-0000-00004E4D0000}"/>
    <cellStyle name="Comma 14 4 3 3 4" xfId="19791" xr:uid="{00000000-0005-0000-0000-00004F4D0000}"/>
    <cellStyle name="Comma 14 4 3 4" xfId="19792" xr:uid="{00000000-0005-0000-0000-0000504D0000}"/>
    <cellStyle name="Comma 14 4 3 4 2" xfId="19793" xr:uid="{00000000-0005-0000-0000-0000514D0000}"/>
    <cellStyle name="Comma 14 4 3 4 3" xfId="19794" xr:uid="{00000000-0005-0000-0000-0000524D0000}"/>
    <cellStyle name="Comma 14 4 3 5" xfId="19795" xr:uid="{00000000-0005-0000-0000-0000534D0000}"/>
    <cellStyle name="Comma 14 4 3 6" xfId="19796" xr:uid="{00000000-0005-0000-0000-0000544D0000}"/>
    <cellStyle name="Comma 14 4 4" xfId="19797" xr:uid="{00000000-0005-0000-0000-0000554D0000}"/>
    <cellStyle name="Comma 14 4 4 2" xfId="19798" xr:uid="{00000000-0005-0000-0000-0000564D0000}"/>
    <cellStyle name="Comma 14 4 4 2 2" xfId="19799" xr:uid="{00000000-0005-0000-0000-0000574D0000}"/>
    <cellStyle name="Comma 14 4 4 2 2 2" xfId="19800" xr:uid="{00000000-0005-0000-0000-0000584D0000}"/>
    <cellStyle name="Comma 14 4 4 2 2 3" xfId="19801" xr:uid="{00000000-0005-0000-0000-0000594D0000}"/>
    <cellStyle name="Comma 14 4 4 2 3" xfId="19802" xr:uid="{00000000-0005-0000-0000-00005A4D0000}"/>
    <cellStyle name="Comma 14 4 4 2 4" xfId="19803" xr:uid="{00000000-0005-0000-0000-00005B4D0000}"/>
    <cellStyle name="Comma 14 4 4 3" xfId="19804" xr:uid="{00000000-0005-0000-0000-00005C4D0000}"/>
    <cellStyle name="Comma 14 4 4 3 2" xfId="19805" xr:uid="{00000000-0005-0000-0000-00005D4D0000}"/>
    <cellStyle name="Comma 14 4 4 3 3" xfId="19806" xr:uid="{00000000-0005-0000-0000-00005E4D0000}"/>
    <cellStyle name="Comma 14 4 4 4" xfId="19807" xr:uid="{00000000-0005-0000-0000-00005F4D0000}"/>
    <cellStyle name="Comma 14 4 4 5" xfId="19808" xr:uid="{00000000-0005-0000-0000-0000604D0000}"/>
    <cellStyle name="Comma 14 4 5" xfId="19809" xr:uid="{00000000-0005-0000-0000-0000614D0000}"/>
    <cellStyle name="Comma 14 4 5 2" xfId="19810" xr:uid="{00000000-0005-0000-0000-0000624D0000}"/>
    <cellStyle name="Comma 14 4 5 2 2" xfId="19811" xr:uid="{00000000-0005-0000-0000-0000634D0000}"/>
    <cellStyle name="Comma 14 4 5 2 3" xfId="19812" xr:uid="{00000000-0005-0000-0000-0000644D0000}"/>
    <cellStyle name="Comma 14 4 5 3" xfId="19813" xr:uid="{00000000-0005-0000-0000-0000654D0000}"/>
    <cellStyle name="Comma 14 4 5 4" xfId="19814" xr:uid="{00000000-0005-0000-0000-0000664D0000}"/>
    <cellStyle name="Comma 14 4 6" xfId="19815" xr:uid="{00000000-0005-0000-0000-0000674D0000}"/>
    <cellStyle name="Comma 14 4 6 2" xfId="19816" xr:uid="{00000000-0005-0000-0000-0000684D0000}"/>
    <cellStyle name="Comma 14 4 6 3" xfId="19817" xr:uid="{00000000-0005-0000-0000-0000694D0000}"/>
    <cellStyle name="Comma 14 4 7" xfId="19818" xr:uid="{00000000-0005-0000-0000-00006A4D0000}"/>
    <cellStyle name="Comma 14 4 8" xfId="19819" xr:uid="{00000000-0005-0000-0000-00006B4D0000}"/>
    <cellStyle name="Comma 14 5" xfId="19820" xr:uid="{00000000-0005-0000-0000-00006C4D0000}"/>
    <cellStyle name="Comma 14 5 2" xfId="19821" xr:uid="{00000000-0005-0000-0000-00006D4D0000}"/>
    <cellStyle name="Comma 14 5 2 2" xfId="19822" xr:uid="{00000000-0005-0000-0000-00006E4D0000}"/>
    <cellStyle name="Comma 14 5 2 2 2" xfId="19823" xr:uid="{00000000-0005-0000-0000-00006F4D0000}"/>
    <cellStyle name="Comma 14 5 2 2 2 2" xfId="19824" xr:uid="{00000000-0005-0000-0000-0000704D0000}"/>
    <cellStyle name="Comma 14 5 2 2 2 2 2" xfId="19825" xr:uid="{00000000-0005-0000-0000-0000714D0000}"/>
    <cellStyle name="Comma 14 5 2 2 2 2 3" xfId="19826" xr:uid="{00000000-0005-0000-0000-0000724D0000}"/>
    <cellStyle name="Comma 14 5 2 2 2 3" xfId="19827" xr:uid="{00000000-0005-0000-0000-0000734D0000}"/>
    <cellStyle name="Comma 14 5 2 2 2 4" xfId="19828" xr:uid="{00000000-0005-0000-0000-0000744D0000}"/>
    <cellStyle name="Comma 14 5 2 2 3" xfId="19829" xr:uid="{00000000-0005-0000-0000-0000754D0000}"/>
    <cellStyle name="Comma 14 5 2 2 3 2" xfId="19830" xr:uid="{00000000-0005-0000-0000-0000764D0000}"/>
    <cellStyle name="Comma 14 5 2 2 3 3" xfId="19831" xr:uid="{00000000-0005-0000-0000-0000774D0000}"/>
    <cellStyle name="Comma 14 5 2 2 4" xfId="19832" xr:uid="{00000000-0005-0000-0000-0000784D0000}"/>
    <cellStyle name="Comma 14 5 2 2 5" xfId="19833" xr:uid="{00000000-0005-0000-0000-0000794D0000}"/>
    <cellStyle name="Comma 14 5 2 3" xfId="19834" xr:uid="{00000000-0005-0000-0000-00007A4D0000}"/>
    <cellStyle name="Comma 14 5 2 3 2" xfId="19835" xr:uid="{00000000-0005-0000-0000-00007B4D0000}"/>
    <cellStyle name="Comma 14 5 2 3 2 2" xfId="19836" xr:uid="{00000000-0005-0000-0000-00007C4D0000}"/>
    <cellStyle name="Comma 14 5 2 3 2 3" xfId="19837" xr:uid="{00000000-0005-0000-0000-00007D4D0000}"/>
    <cellStyle name="Comma 14 5 2 3 3" xfId="19838" xr:uid="{00000000-0005-0000-0000-00007E4D0000}"/>
    <cellStyle name="Comma 14 5 2 3 4" xfId="19839" xr:uid="{00000000-0005-0000-0000-00007F4D0000}"/>
    <cellStyle name="Comma 14 5 2 4" xfId="19840" xr:uid="{00000000-0005-0000-0000-0000804D0000}"/>
    <cellStyle name="Comma 14 5 2 4 2" xfId="19841" xr:uid="{00000000-0005-0000-0000-0000814D0000}"/>
    <cellStyle name="Comma 14 5 2 4 3" xfId="19842" xr:uid="{00000000-0005-0000-0000-0000824D0000}"/>
    <cellStyle name="Comma 14 5 2 5" xfId="19843" xr:uid="{00000000-0005-0000-0000-0000834D0000}"/>
    <cellStyle name="Comma 14 5 2 6" xfId="19844" xr:uid="{00000000-0005-0000-0000-0000844D0000}"/>
    <cellStyle name="Comma 14 5 3" xfId="19845" xr:uid="{00000000-0005-0000-0000-0000854D0000}"/>
    <cellStyle name="Comma 14 5 3 2" xfId="19846" xr:uid="{00000000-0005-0000-0000-0000864D0000}"/>
    <cellStyle name="Comma 14 5 3 2 2" xfId="19847" xr:uid="{00000000-0005-0000-0000-0000874D0000}"/>
    <cellStyle name="Comma 14 5 3 2 2 2" xfId="19848" xr:uid="{00000000-0005-0000-0000-0000884D0000}"/>
    <cellStyle name="Comma 14 5 3 2 2 3" xfId="19849" xr:uid="{00000000-0005-0000-0000-0000894D0000}"/>
    <cellStyle name="Comma 14 5 3 2 3" xfId="19850" xr:uid="{00000000-0005-0000-0000-00008A4D0000}"/>
    <cellStyle name="Comma 14 5 3 2 4" xfId="19851" xr:uid="{00000000-0005-0000-0000-00008B4D0000}"/>
    <cellStyle name="Comma 14 5 3 3" xfId="19852" xr:uid="{00000000-0005-0000-0000-00008C4D0000}"/>
    <cellStyle name="Comma 14 5 3 3 2" xfId="19853" xr:uid="{00000000-0005-0000-0000-00008D4D0000}"/>
    <cellStyle name="Comma 14 5 3 3 3" xfId="19854" xr:uid="{00000000-0005-0000-0000-00008E4D0000}"/>
    <cellStyle name="Comma 14 5 3 4" xfId="19855" xr:uid="{00000000-0005-0000-0000-00008F4D0000}"/>
    <cellStyle name="Comma 14 5 3 5" xfId="19856" xr:uid="{00000000-0005-0000-0000-0000904D0000}"/>
    <cellStyle name="Comma 14 5 4" xfId="19857" xr:uid="{00000000-0005-0000-0000-0000914D0000}"/>
    <cellStyle name="Comma 14 5 4 2" xfId="19858" xr:uid="{00000000-0005-0000-0000-0000924D0000}"/>
    <cellStyle name="Comma 14 5 4 2 2" xfId="19859" xr:uid="{00000000-0005-0000-0000-0000934D0000}"/>
    <cellStyle name="Comma 14 5 4 2 3" xfId="19860" xr:uid="{00000000-0005-0000-0000-0000944D0000}"/>
    <cellStyle name="Comma 14 5 4 3" xfId="19861" xr:uid="{00000000-0005-0000-0000-0000954D0000}"/>
    <cellStyle name="Comma 14 5 4 4" xfId="19862" xr:uid="{00000000-0005-0000-0000-0000964D0000}"/>
    <cellStyle name="Comma 14 5 5" xfId="19863" xr:uid="{00000000-0005-0000-0000-0000974D0000}"/>
    <cellStyle name="Comma 14 5 5 2" xfId="19864" xr:uid="{00000000-0005-0000-0000-0000984D0000}"/>
    <cellStyle name="Comma 14 5 5 3" xfId="19865" xr:uid="{00000000-0005-0000-0000-0000994D0000}"/>
    <cellStyle name="Comma 14 5 6" xfId="19866" xr:uid="{00000000-0005-0000-0000-00009A4D0000}"/>
    <cellStyle name="Comma 14 5 7" xfId="19867" xr:uid="{00000000-0005-0000-0000-00009B4D0000}"/>
    <cellStyle name="Comma 14 6" xfId="19868" xr:uid="{00000000-0005-0000-0000-00009C4D0000}"/>
    <cellStyle name="Comma 14 6 2" xfId="19869" xr:uid="{00000000-0005-0000-0000-00009D4D0000}"/>
    <cellStyle name="Comma 14 6 2 2" xfId="19870" xr:uid="{00000000-0005-0000-0000-00009E4D0000}"/>
    <cellStyle name="Comma 14 6 2 2 2" xfId="19871" xr:uid="{00000000-0005-0000-0000-00009F4D0000}"/>
    <cellStyle name="Comma 14 6 2 2 2 2" xfId="19872" xr:uid="{00000000-0005-0000-0000-0000A04D0000}"/>
    <cellStyle name="Comma 14 6 2 2 2 3" xfId="19873" xr:uid="{00000000-0005-0000-0000-0000A14D0000}"/>
    <cellStyle name="Comma 14 6 2 2 3" xfId="19874" xr:uid="{00000000-0005-0000-0000-0000A24D0000}"/>
    <cellStyle name="Comma 14 6 2 2 4" xfId="19875" xr:uid="{00000000-0005-0000-0000-0000A34D0000}"/>
    <cellStyle name="Comma 14 6 2 3" xfId="19876" xr:uid="{00000000-0005-0000-0000-0000A44D0000}"/>
    <cellStyle name="Comma 14 6 2 3 2" xfId="19877" xr:uid="{00000000-0005-0000-0000-0000A54D0000}"/>
    <cellStyle name="Comma 14 6 2 3 3" xfId="19878" xr:uid="{00000000-0005-0000-0000-0000A64D0000}"/>
    <cellStyle name="Comma 14 6 2 4" xfId="19879" xr:uid="{00000000-0005-0000-0000-0000A74D0000}"/>
    <cellStyle name="Comma 14 6 2 5" xfId="19880" xr:uid="{00000000-0005-0000-0000-0000A84D0000}"/>
    <cellStyle name="Comma 14 6 3" xfId="19881" xr:uid="{00000000-0005-0000-0000-0000A94D0000}"/>
    <cellStyle name="Comma 14 6 3 2" xfId="19882" xr:uid="{00000000-0005-0000-0000-0000AA4D0000}"/>
    <cellStyle name="Comma 14 6 3 2 2" xfId="19883" xr:uid="{00000000-0005-0000-0000-0000AB4D0000}"/>
    <cellStyle name="Comma 14 6 3 2 3" xfId="19884" xr:uid="{00000000-0005-0000-0000-0000AC4D0000}"/>
    <cellStyle name="Comma 14 6 3 3" xfId="19885" xr:uid="{00000000-0005-0000-0000-0000AD4D0000}"/>
    <cellStyle name="Comma 14 6 3 4" xfId="19886" xr:uid="{00000000-0005-0000-0000-0000AE4D0000}"/>
    <cellStyle name="Comma 14 6 4" xfId="19887" xr:uid="{00000000-0005-0000-0000-0000AF4D0000}"/>
    <cellStyle name="Comma 14 6 4 2" xfId="19888" xr:uid="{00000000-0005-0000-0000-0000B04D0000}"/>
    <cellStyle name="Comma 14 6 4 3" xfId="19889" xr:uid="{00000000-0005-0000-0000-0000B14D0000}"/>
    <cellStyle name="Comma 14 6 5" xfId="19890" xr:uid="{00000000-0005-0000-0000-0000B24D0000}"/>
    <cellStyle name="Comma 14 6 6" xfId="19891" xr:uid="{00000000-0005-0000-0000-0000B34D0000}"/>
    <cellStyle name="Comma 14 7" xfId="19892" xr:uid="{00000000-0005-0000-0000-0000B44D0000}"/>
    <cellStyle name="Comma 14 7 2" xfId="19893" xr:uid="{00000000-0005-0000-0000-0000B54D0000}"/>
    <cellStyle name="Comma 14 7 2 2" xfId="19894" xr:uid="{00000000-0005-0000-0000-0000B64D0000}"/>
    <cellStyle name="Comma 14 7 2 2 2" xfId="19895" xr:uid="{00000000-0005-0000-0000-0000B74D0000}"/>
    <cellStyle name="Comma 14 7 2 2 3" xfId="19896" xr:uid="{00000000-0005-0000-0000-0000B84D0000}"/>
    <cellStyle name="Comma 14 7 2 3" xfId="19897" xr:uid="{00000000-0005-0000-0000-0000B94D0000}"/>
    <cellStyle name="Comma 14 7 2 4" xfId="19898" xr:uid="{00000000-0005-0000-0000-0000BA4D0000}"/>
    <cellStyle name="Comma 14 7 3" xfId="19899" xr:uid="{00000000-0005-0000-0000-0000BB4D0000}"/>
    <cellStyle name="Comma 14 7 3 2" xfId="19900" xr:uid="{00000000-0005-0000-0000-0000BC4D0000}"/>
    <cellStyle name="Comma 14 7 3 3" xfId="19901" xr:uid="{00000000-0005-0000-0000-0000BD4D0000}"/>
    <cellStyle name="Comma 14 7 4" xfId="19902" xr:uid="{00000000-0005-0000-0000-0000BE4D0000}"/>
    <cellStyle name="Comma 14 7 5" xfId="19903" xr:uid="{00000000-0005-0000-0000-0000BF4D0000}"/>
    <cellStyle name="Comma 14 8" xfId="19904" xr:uid="{00000000-0005-0000-0000-0000C04D0000}"/>
    <cellStyle name="Comma 14 8 2" xfId="19905" xr:uid="{00000000-0005-0000-0000-0000C14D0000}"/>
    <cellStyle name="Comma 14 8 2 2" xfId="19906" xr:uid="{00000000-0005-0000-0000-0000C24D0000}"/>
    <cellStyle name="Comma 14 8 2 3" xfId="19907" xr:uid="{00000000-0005-0000-0000-0000C34D0000}"/>
    <cellStyle name="Comma 14 8 3" xfId="19908" xr:uid="{00000000-0005-0000-0000-0000C44D0000}"/>
    <cellStyle name="Comma 14 8 4" xfId="19909" xr:uid="{00000000-0005-0000-0000-0000C54D0000}"/>
    <cellStyle name="Comma 14 9" xfId="19910" xr:uid="{00000000-0005-0000-0000-0000C64D0000}"/>
    <cellStyle name="Comma 14 9 2" xfId="19911" xr:uid="{00000000-0005-0000-0000-0000C74D0000}"/>
    <cellStyle name="Comma 14 9 3" xfId="19912" xr:uid="{00000000-0005-0000-0000-0000C84D0000}"/>
    <cellStyle name="Comma 140" xfId="19913" xr:uid="{00000000-0005-0000-0000-0000C94D0000}"/>
    <cellStyle name="Comma 141" xfId="19914" xr:uid="{00000000-0005-0000-0000-0000CA4D0000}"/>
    <cellStyle name="Comma 142" xfId="19915" xr:uid="{00000000-0005-0000-0000-0000CB4D0000}"/>
    <cellStyle name="Comma 143" xfId="19916" xr:uid="{00000000-0005-0000-0000-0000CC4D0000}"/>
    <cellStyle name="Comma 144" xfId="19917" xr:uid="{00000000-0005-0000-0000-0000CD4D0000}"/>
    <cellStyle name="Comma 145" xfId="19918" xr:uid="{00000000-0005-0000-0000-0000CE4D0000}"/>
    <cellStyle name="Comma 146" xfId="19919" xr:uid="{00000000-0005-0000-0000-0000CF4D0000}"/>
    <cellStyle name="Comma 147" xfId="19920" xr:uid="{00000000-0005-0000-0000-0000D04D0000}"/>
    <cellStyle name="Comma 148" xfId="19921" xr:uid="{00000000-0005-0000-0000-0000D14D0000}"/>
    <cellStyle name="Comma 149" xfId="19922" xr:uid="{00000000-0005-0000-0000-0000D24D0000}"/>
    <cellStyle name="Comma 15" xfId="19923" xr:uid="{00000000-0005-0000-0000-0000D34D0000}"/>
    <cellStyle name="Comma 15 10" xfId="19924" xr:uid="{00000000-0005-0000-0000-0000D44D0000}"/>
    <cellStyle name="Comma 15 11" xfId="19925" xr:uid="{00000000-0005-0000-0000-0000D54D0000}"/>
    <cellStyle name="Comma 15 2" xfId="19926" xr:uid="{00000000-0005-0000-0000-0000D64D0000}"/>
    <cellStyle name="Comma 15 2 10" xfId="19927" xr:uid="{00000000-0005-0000-0000-0000D74D0000}"/>
    <cellStyle name="Comma 15 2 2" xfId="19928" xr:uid="{00000000-0005-0000-0000-0000D84D0000}"/>
    <cellStyle name="Comma 15 2 2 2" xfId="19929" xr:uid="{00000000-0005-0000-0000-0000D94D0000}"/>
    <cellStyle name="Comma 15 2 2 2 2" xfId="19930" xr:uid="{00000000-0005-0000-0000-0000DA4D0000}"/>
    <cellStyle name="Comma 15 2 2 2 2 2" xfId="19931" xr:uid="{00000000-0005-0000-0000-0000DB4D0000}"/>
    <cellStyle name="Comma 15 2 2 2 2 2 2" xfId="19932" xr:uid="{00000000-0005-0000-0000-0000DC4D0000}"/>
    <cellStyle name="Comma 15 2 2 2 2 2 2 2" xfId="19933" xr:uid="{00000000-0005-0000-0000-0000DD4D0000}"/>
    <cellStyle name="Comma 15 2 2 2 2 2 2 2 2" xfId="19934" xr:uid="{00000000-0005-0000-0000-0000DE4D0000}"/>
    <cellStyle name="Comma 15 2 2 2 2 2 2 2 2 2" xfId="19935" xr:uid="{00000000-0005-0000-0000-0000DF4D0000}"/>
    <cellStyle name="Comma 15 2 2 2 2 2 2 2 2 3" xfId="19936" xr:uid="{00000000-0005-0000-0000-0000E04D0000}"/>
    <cellStyle name="Comma 15 2 2 2 2 2 2 2 3" xfId="19937" xr:uid="{00000000-0005-0000-0000-0000E14D0000}"/>
    <cellStyle name="Comma 15 2 2 2 2 2 2 2 4" xfId="19938" xr:uid="{00000000-0005-0000-0000-0000E24D0000}"/>
    <cellStyle name="Comma 15 2 2 2 2 2 2 3" xfId="19939" xr:uid="{00000000-0005-0000-0000-0000E34D0000}"/>
    <cellStyle name="Comma 15 2 2 2 2 2 2 3 2" xfId="19940" xr:uid="{00000000-0005-0000-0000-0000E44D0000}"/>
    <cellStyle name="Comma 15 2 2 2 2 2 2 3 3" xfId="19941" xr:uid="{00000000-0005-0000-0000-0000E54D0000}"/>
    <cellStyle name="Comma 15 2 2 2 2 2 2 4" xfId="19942" xr:uid="{00000000-0005-0000-0000-0000E64D0000}"/>
    <cellStyle name="Comma 15 2 2 2 2 2 2 5" xfId="19943" xr:uid="{00000000-0005-0000-0000-0000E74D0000}"/>
    <cellStyle name="Comma 15 2 2 2 2 2 3" xfId="19944" xr:uid="{00000000-0005-0000-0000-0000E84D0000}"/>
    <cellStyle name="Comma 15 2 2 2 2 2 3 2" xfId="19945" xr:uid="{00000000-0005-0000-0000-0000E94D0000}"/>
    <cellStyle name="Comma 15 2 2 2 2 2 3 2 2" xfId="19946" xr:uid="{00000000-0005-0000-0000-0000EA4D0000}"/>
    <cellStyle name="Comma 15 2 2 2 2 2 3 2 3" xfId="19947" xr:uid="{00000000-0005-0000-0000-0000EB4D0000}"/>
    <cellStyle name="Comma 15 2 2 2 2 2 3 3" xfId="19948" xr:uid="{00000000-0005-0000-0000-0000EC4D0000}"/>
    <cellStyle name="Comma 15 2 2 2 2 2 3 4" xfId="19949" xr:uid="{00000000-0005-0000-0000-0000ED4D0000}"/>
    <cellStyle name="Comma 15 2 2 2 2 2 4" xfId="19950" xr:uid="{00000000-0005-0000-0000-0000EE4D0000}"/>
    <cellStyle name="Comma 15 2 2 2 2 2 4 2" xfId="19951" xr:uid="{00000000-0005-0000-0000-0000EF4D0000}"/>
    <cellStyle name="Comma 15 2 2 2 2 2 4 3" xfId="19952" xr:uid="{00000000-0005-0000-0000-0000F04D0000}"/>
    <cellStyle name="Comma 15 2 2 2 2 2 5" xfId="19953" xr:uid="{00000000-0005-0000-0000-0000F14D0000}"/>
    <cellStyle name="Comma 15 2 2 2 2 2 6" xfId="19954" xr:uid="{00000000-0005-0000-0000-0000F24D0000}"/>
    <cellStyle name="Comma 15 2 2 2 2 3" xfId="19955" xr:uid="{00000000-0005-0000-0000-0000F34D0000}"/>
    <cellStyle name="Comma 15 2 2 2 2 3 2" xfId="19956" xr:uid="{00000000-0005-0000-0000-0000F44D0000}"/>
    <cellStyle name="Comma 15 2 2 2 2 3 2 2" xfId="19957" xr:uid="{00000000-0005-0000-0000-0000F54D0000}"/>
    <cellStyle name="Comma 15 2 2 2 2 3 2 2 2" xfId="19958" xr:uid="{00000000-0005-0000-0000-0000F64D0000}"/>
    <cellStyle name="Comma 15 2 2 2 2 3 2 2 3" xfId="19959" xr:uid="{00000000-0005-0000-0000-0000F74D0000}"/>
    <cellStyle name="Comma 15 2 2 2 2 3 2 3" xfId="19960" xr:uid="{00000000-0005-0000-0000-0000F84D0000}"/>
    <cellStyle name="Comma 15 2 2 2 2 3 2 4" xfId="19961" xr:uid="{00000000-0005-0000-0000-0000F94D0000}"/>
    <cellStyle name="Comma 15 2 2 2 2 3 3" xfId="19962" xr:uid="{00000000-0005-0000-0000-0000FA4D0000}"/>
    <cellStyle name="Comma 15 2 2 2 2 3 3 2" xfId="19963" xr:uid="{00000000-0005-0000-0000-0000FB4D0000}"/>
    <cellStyle name="Comma 15 2 2 2 2 3 3 3" xfId="19964" xr:uid="{00000000-0005-0000-0000-0000FC4D0000}"/>
    <cellStyle name="Comma 15 2 2 2 2 3 4" xfId="19965" xr:uid="{00000000-0005-0000-0000-0000FD4D0000}"/>
    <cellStyle name="Comma 15 2 2 2 2 3 5" xfId="19966" xr:uid="{00000000-0005-0000-0000-0000FE4D0000}"/>
    <cellStyle name="Comma 15 2 2 2 2 4" xfId="19967" xr:uid="{00000000-0005-0000-0000-0000FF4D0000}"/>
    <cellStyle name="Comma 15 2 2 2 2 4 2" xfId="19968" xr:uid="{00000000-0005-0000-0000-0000004E0000}"/>
    <cellStyle name="Comma 15 2 2 2 2 4 2 2" xfId="19969" xr:uid="{00000000-0005-0000-0000-0000014E0000}"/>
    <cellStyle name="Comma 15 2 2 2 2 4 2 3" xfId="19970" xr:uid="{00000000-0005-0000-0000-0000024E0000}"/>
    <cellStyle name="Comma 15 2 2 2 2 4 3" xfId="19971" xr:uid="{00000000-0005-0000-0000-0000034E0000}"/>
    <cellStyle name="Comma 15 2 2 2 2 4 4" xfId="19972" xr:uid="{00000000-0005-0000-0000-0000044E0000}"/>
    <cellStyle name="Comma 15 2 2 2 2 5" xfId="19973" xr:uid="{00000000-0005-0000-0000-0000054E0000}"/>
    <cellStyle name="Comma 15 2 2 2 2 5 2" xfId="19974" xr:uid="{00000000-0005-0000-0000-0000064E0000}"/>
    <cellStyle name="Comma 15 2 2 2 2 5 3" xfId="19975" xr:uid="{00000000-0005-0000-0000-0000074E0000}"/>
    <cellStyle name="Comma 15 2 2 2 2 6" xfId="19976" xr:uid="{00000000-0005-0000-0000-0000084E0000}"/>
    <cellStyle name="Comma 15 2 2 2 2 7" xfId="19977" xr:uid="{00000000-0005-0000-0000-0000094E0000}"/>
    <cellStyle name="Comma 15 2 2 2 3" xfId="19978" xr:uid="{00000000-0005-0000-0000-00000A4E0000}"/>
    <cellStyle name="Comma 15 2 2 2 3 2" xfId="19979" xr:uid="{00000000-0005-0000-0000-00000B4E0000}"/>
    <cellStyle name="Comma 15 2 2 2 3 2 2" xfId="19980" xr:uid="{00000000-0005-0000-0000-00000C4E0000}"/>
    <cellStyle name="Comma 15 2 2 2 3 2 2 2" xfId="19981" xr:uid="{00000000-0005-0000-0000-00000D4E0000}"/>
    <cellStyle name="Comma 15 2 2 2 3 2 2 2 2" xfId="19982" xr:uid="{00000000-0005-0000-0000-00000E4E0000}"/>
    <cellStyle name="Comma 15 2 2 2 3 2 2 2 3" xfId="19983" xr:uid="{00000000-0005-0000-0000-00000F4E0000}"/>
    <cellStyle name="Comma 15 2 2 2 3 2 2 3" xfId="19984" xr:uid="{00000000-0005-0000-0000-0000104E0000}"/>
    <cellStyle name="Comma 15 2 2 2 3 2 2 4" xfId="19985" xr:uid="{00000000-0005-0000-0000-0000114E0000}"/>
    <cellStyle name="Comma 15 2 2 2 3 2 3" xfId="19986" xr:uid="{00000000-0005-0000-0000-0000124E0000}"/>
    <cellStyle name="Comma 15 2 2 2 3 2 3 2" xfId="19987" xr:uid="{00000000-0005-0000-0000-0000134E0000}"/>
    <cellStyle name="Comma 15 2 2 2 3 2 3 3" xfId="19988" xr:uid="{00000000-0005-0000-0000-0000144E0000}"/>
    <cellStyle name="Comma 15 2 2 2 3 2 4" xfId="19989" xr:uid="{00000000-0005-0000-0000-0000154E0000}"/>
    <cellStyle name="Comma 15 2 2 2 3 2 5" xfId="19990" xr:uid="{00000000-0005-0000-0000-0000164E0000}"/>
    <cellStyle name="Comma 15 2 2 2 3 3" xfId="19991" xr:uid="{00000000-0005-0000-0000-0000174E0000}"/>
    <cellStyle name="Comma 15 2 2 2 3 3 2" xfId="19992" xr:uid="{00000000-0005-0000-0000-0000184E0000}"/>
    <cellStyle name="Comma 15 2 2 2 3 3 2 2" xfId="19993" xr:uid="{00000000-0005-0000-0000-0000194E0000}"/>
    <cellStyle name="Comma 15 2 2 2 3 3 2 3" xfId="19994" xr:uid="{00000000-0005-0000-0000-00001A4E0000}"/>
    <cellStyle name="Comma 15 2 2 2 3 3 3" xfId="19995" xr:uid="{00000000-0005-0000-0000-00001B4E0000}"/>
    <cellStyle name="Comma 15 2 2 2 3 3 4" xfId="19996" xr:uid="{00000000-0005-0000-0000-00001C4E0000}"/>
    <cellStyle name="Comma 15 2 2 2 3 4" xfId="19997" xr:uid="{00000000-0005-0000-0000-00001D4E0000}"/>
    <cellStyle name="Comma 15 2 2 2 3 4 2" xfId="19998" xr:uid="{00000000-0005-0000-0000-00001E4E0000}"/>
    <cellStyle name="Comma 15 2 2 2 3 4 3" xfId="19999" xr:uid="{00000000-0005-0000-0000-00001F4E0000}"/>
    <cellStyle name="Comma 15 2 2 2 3 5" xfId="20000" xr:uid="{00000000-0005-0000-0000-0000204E0000}"/>
    <cellStyle name="Comma 15 2 2 2 3 6" xfId="20001" xr:uid="{00000000-0005-0000-0000-0000214E0000}"/>
    <cellStyle name="Comma 15 2 2 2 4" xfId="20002" xr:uid="{00000000-0005-0000-0000-0000224E0000}"/>
    <cellStyle name="Comma 15 2 2 2 4 2" xfId="20003" xr:uid="{00000000-0005-0000-0000-0000234E0000}"/>
    <cellStyle name="Comma 15 2 2 2 4 2 2" xfId="20004" xr:uid="{00000000-0005-0000-0000-0000244E0000}"/>
    <cellStyle name="Comma 15 2 2 2 4 2 2 2" xfId="20005" xr:uid="{00000000-0005-0000-0000-0000254E0000}"/>
    <cellStyle name="Comma 15 2 2 2 4 2 2 3" xfId="20006" xr:uid="{00000000-0005-0000-0000-0000264E0000}"/>
    <cellStyle name="Comma 15 2 2 2 4 2 3" xfId="20007" xr:uid="{00000000-0005-0000-0000-0000274E0000}"/>
    <cellStyle name="Comma 15 2 2 2 4 2 4" xfId="20008" xr:uid="{00000000-0005-0000-0000-0000284E0000}"/>
    <cellStyle name="Comma 15 2 2 2 4 3" xfId="20009" xr:uid="{00000000-0005-0000-0000-0000294E0000}"/>
    <cellStyle name="Comma 15 2 2 2 4 3 2" xfId="20010" xr:uid="{00000000-0005-0000-0000-00002A4E0000}"/>
    <cellStyle name="Comma 15 2 2 2 4 3 3" xfId="20011" xr:uid="{00000000-0005-0000-0000-00002B4E0000}"/>
    <cellStyle name="Comma 15 2 2 2 4 4" xfId="20012" xr:uid="{00000000-0005-0000-0000-00002C4E0000}"/>
    <cellStyle name="Comma 15 2 2 2 4 5" xfId="20013" xr:uid="{00000000-0005-0000-0000-00002D4E0000}"/>
    <cellStyle name="Comma 15 2 2 2 5" xfId="20014" xr:uid="{00000000-0005-0000-0000-00002E4E0000}"/>
    <cellStyle name="Comma 15 2 2 2 5 2" xfId="20015" xr:uid="{00000000-0005-0000-0000-00002F4E0000}"/>
    <cellStyle name="Comma 15 2 2 2 5 2 2" xfId="20016" xr:uid="{00000000-0005-0000-0000-0000304E0000}"/>
    <cellStyle name="Comma 15 2 2 2 5 2 3" xfId="20017" xr:uid="{00000000-0005-0000-0000-0000314E0000}"/>
    <cellStyle name="Comma 15 2 2 2 5 3" xfId="20018" xr:uid="{00000000-0005-0000-0000-0000324E0000}"/>
    <cellStyle name="Comma 15 2 2 2 5 4" xfId="20019" xr:uid="{00000000-0005-0000-0000-0000334E0000}"/>
    <cellStyle name="Comma 15 2 2 2 6" xfId="20020" xr:uid="{00000000-0005-0000-0000-0000344E0000}"/>
    <cellStyle name="Comma 15 2 2 2 6 2" xfId="20021" xr:uid="{00000000-0005-0000-0000-0000354E0000}"/>
    <cellStyle name="Comma 15 2 2 2 6 3" xfId="20022" xr:uid="{00000000-0005-0000-0000-0000364E0000}"/>
    <cellStyle name="Comma 15 2 2 2 7" xfId="20023" xr:uid="{00000000-0005-0000-0000-0000374E0000}"/>
    <cellStyle name="Comma 15 2 2 2 8" xfId="20024" xr:uid="{00000000-0005-0000-0000-0000384E0000}"/>
    <cellStyle name="Comma 15 2 2 3" xfId="20025" xr:uid="{00000000-0005-0000-0000-0000394E0000}"/>
    <cellStyle name="Comma 15 2 2 3 2" xfId="20026" xr:uid="{00000000-0005-0000-0000-00003A4E0000}"/>
    <cellStyle name="Comma 15 2 2 3 2 2" xfId="20027" xr:uid="{00000000-0005-0000-0000-00003B4E0000}"/>
    <cellStyle name="Comma 15 2 2 3 2 2 2" xfId="20028" xr:uid="{00000000-0005-0000-0000-00003C4E0000}"/>
    <cellStyle name="Comma 15 2 2 3 2 2 2 2" xfId="20029" xr:uid="{00000000-0005-0000-0000-00003D4E0000}"/>
    <cellStyle name="Comma 15 2 2 3 2 2 2 2 2" xfId="20030" xr:uid="{00000000-0005-0000-0000-00003E4E0000}"/>
    <cellStyle name="Comma 15 2 2 3 2 2 2 2 3" xfId="20031" xr:uid="{00000000-0005-0000-0000-00003F4E0000}"/>
    <cellStyle name="Comma 15 2 2 3 2 2 2 3" xfId="20032" xr:uid="{00000000-0005-0000-0000-0000404E0000}"/>
    <cellStyle name="Comma 15 2 2 3 2 2 2 4" xfId="20033" xr:uid="{00000000-0005-0000-0000-0000414E0000}"/>
    <cellStyle name="Comma 15 2 2 3 2 2 3" xfId="20034" xr:uid="{00000000-0005-0000-0000-0000424E0000}"/>
    <cellStyle name="Comma 15 2 2 3 2 2 3 2" xfId="20035" xr:uid="{00000000-0005-0000-0000-0000434E0000}"/>
    <cellStyle name="Comma 15 2 2 3 2 2 3 3" xfId="20036" xr:uid="{00000000-0005-0000-0000-0000444E0000}"/>
    <cellStyle name="Comma 15 2 2 3 2 2 4" xfId="20037" xr:uid="{00000000-0005-0000-0000-0000454E0000}"/>
    <cellStyle name="Comma 15 2 2 3 2 2 5" xfId="20038" xr:uid="{00000000-0005-0000-0000-0000464E0000}"/>
    <cellStyle name="Comma 15 2 2 3 2 3" xfId="20039" xr:uid="{00000000-0005-0000-0000-0000474E0000}"/>
    <cellStyle name="Comma 15 2 2 3 2 3 2" xfId="20040" xr:uid="{00000000-0005-0000-0000-0000484E0000}"/>
    <cellStyle name="Comma 15 2 2 3 2 3 2 2" xfId="20041" xr:uid="{00000000-0005-0000-0000-0000494E0000}"/>
    <cellStyle name="Comma 15 2 2 3 2 3 2 3" xfId="20042" xr:uid="{00000000-0005-0000-0000-00004A4E0000}"/>
    <cellStyle name="Comma 15 2 2 3 2 3 3" xfId="20043" xr:uid="{00000000-0005-0000-0000-00004B4E0000}"/>
    <cellStyle name="Comma 15 2 2 3 2 3 4" xfId="20044" xr:uid="{00000000-0005-0000-0000-00004C4E0000}"/>
    <cellStyle name="Comma 15 2 2 3 2 4" xfId="20045" xr:uid="{00000000-0005-0000-0000-00004D4E0000}"/>
    <cellStyle name="Comma 15 2 2 3 2 4 2" xfId="20046" xr:uid="{00000000-0005-0000-0000-00004E4E0000}"/>
    <cellStyle name="Comma 15 2 2 3 2 4 3" xfId="20047" xr:uid="{00000000-0005-0000-0000-00004F4E0000}"/>
    <cellStyle name="Comma 15 2 2 3 2 5" xfId="20048" xr:uid="{00000000-0005-0000-0000-0000504E0000}"/>
    <cellStyle name="Comma 15 2 2 3 2 6" xfId="20049" xr:uid="{00000000-0005-0000-0000-0000514E0000}"/>
    <cellStyle name="Comma 15 2 2 3 3" xfId="20050" xr:uid="{00000000-0005-0000-0000-0000524E0000}"/>
    <cellStyle name="Comma 15 2 2 3 3 2" xfId="20051" xr:uid="{00000000-0005-0000-0000-0000534E0000}"/>
    <cellStyle name="Comma 15 2 2 3 3 2 2" xfId="20052" xr:uid="{00000000-0005-0000-0000-0000544E0000}"/>
    <cellStyle name="Comma 15 2 2 3 3 2 2 2" xfId="20053" xr:uid="{00000000-0005-0000-0000-0000554E0000}"/>
    <cellStyle name="Comma 15 2 2 3 3 2 2 3" xfId="20054" xr:uid="{00000000-0005-0000-0000-0000564E0000}"/>
    <cellStyle name="Comma 15 2 2 3 3 2 3" xfId="20055" xr:uid="{00000000-0005-0000-0000-0000574E0000}"/>
    <cellStyle name="Comma 15 2 2 3 3 2 4" xfId="20056" xr:uid="{00000000-0005-0000-0000-0000584E0000}"/>
    <cellStyle name="Comma 15 2 2 3 3 3" xfId="20057" xr:uid="{00000000-0005-0000-0000-0000594E0000}"/>
    <cellStyle name="Comma 15 2 2 3 3 3 2" xfId="20058" xr:uid="{00000000-0005-0000-0000-00005A4E0000}"/>
    <cellStyle name="Comma 15 2 2 3 3 3 3" xfId="20059" xr:uid="{00000000-0005-0000-0000-00005B4E0000}"/>
    <cellStyle name="Comma 15 2 2 3 3 4" xfId="20060" xr:uid="{00000000-0005-0000-0000-00005C4E0000}"/>
    <cellStyle name="Comma 15 2 2 3 3 5" xfId="20061" xr:uid="{00000000-0005-0000-0000-00005D4E0000}"/>
    <cellStyle name="Comma 15 2 2 3 4" xfId="20062" xr:uid="{00000000-0005-0000-0000-00005E4E0000}"/>
    <cellStyle name="Comma 15 2 2 3 4 2" xfId="20063" xr:uid="{00000000-0005-0000-0000-00005F4E0000}"/>
    <cellStyle name="Comma 15 2 2 3 4 2 2" xfId="20064" xr:uid="{00000000-0005-0000-0000-0000604E0000}"/>
    <cellStyle name="Comma 15 2 2 3 4 2 3" xfId="20065" xr:uid="{00000000-0005-0000-0000-0000614E0000}"/>
    <cellStyle name="Comma 15 2 2 3 4 3" xfId="20066" xr:uid="{00000000-0005-0000-0000-0000624E0000}"/>
    <cellStyle name="Comma 15 2 2 3 4 4" xfId="20067" xr:uid="{00000000-0005-0000-0000-0000634E0000}"/>
    <cellStyle name="Comma 15 2 2 3 5" xfId="20068" xr:uid="{00000000-0005-0000-0000-0000644E0000}"/>
    <cellStyle name="Comma 15 2 2 3 5 2" xfId="20069" xr:uid="{00000000-0005-0000-0000-0000654E0000}"/>
    <cellStyle name="Comma 15 2 2 3 5 3" xfId="20070" xr:uid="{00000000-0005-0000-0000-0000664E0000}"/>
    <cellStyle name="Comma 15 2 2 3 6" xfId="20071" xr:uid="{00000000-0005-0000-0000-0000674E0000}"/>
    <cellStyle name="Comma 15 2 2 3 7" xfId="20072" xr:uid="{00000000-0005-0000-0000-0000684E0000}"/>
    <cellStyle name="Comma 15 2 2 4" xfId="20073" xr:uid="{00000000-0005-0000-0000-0000694E0000}"/>
    <cellStyle name="Comma 15 2 2 4 2" xfId="20074" xr:uid="{00000000-0005-0000-0000-00006A4E0000}"/>
    <cellStyle name="Comma 15 2 2 4 2 2" xfId="20075" xr:uid="{00000000-0005-0000-0000-00006B4E0000}"/>
    <cellStyle name="Comma 15 2 2 4 2 2 2" xfId="20076" xr:uid="{00000000-0005-0000-0000-00006C4E0000}"/>
    <cellStyle name="Comma 15 2 2 4 2 2 2 2" xfId="20077" xr:uid="{00000000-0005-0000-0000-00006D4E0000}"/>
    <cellStyle name="Comma 15 2 2 4 2 2 2 3" xfId="20078" xr:uid="{00000000-0005-0000-0000-00006E4E0000}"/>
    <cellStyle name="Comma 15 2 2 4 2 2 3" xfId="20079" xr:uid="{00000000-0005-0000-0000-00006F4E0000}"/>
    <cellStyle name="Comma 15 2 2 4 2 2 4" xfId="20080" xr:uid="{00000000-0005-0000-0000-0000704E0000}"/>
    <cellStyle name="Comma 15 2 2 4 2 3" xfId="20081" xr:uid="{00000000-0005-0000-0000-0000714E0000}"/>
    <cellStyle name="Comma 15 2 2 4 2 3 2" xfId="20082" xr:uid="{00000000-0005-0000-0000-0000724E0000}"/>
    <cellStyle name="Comma 15 2 2 4 2 3 3" xfId="20083" xr:uid="{00000000-0005-0000-0000-0000734E0000}"/>
    <cellStyle name="Comma 15 2 2 4 2 4" xfId="20084" xr:uid="{00000000-0005-0000-0000-0000744E0000}"/>
    <cellStyle name="Comma 15 2 2 4 2 5" xfId="20085" xr:uid="{00000000-0005-0000-0000-0000754E0000}"/>
    <cellStyle name="Comma 15 2 2 4 3" xfId="20086" xr:uid="{00000000-0005-0000-0000-0000764E0000}"/>
    <cellStyle name="Comma 15 2 2 4 3 2" xfId="20087" xr:uid="{00000000-0005-0000-0000-0000774E0000}"/>
    <cellStyle name="Comma 15 2 2 4 3 2 2" xfId="20088" xr:uid="{00000000-0005-0000-0000-0000784E0000}"/>
    <cellStyle name="Comma 15 2 2 4 3 2 3" xfId="20089" xr:uid="{00000000-0005-0000-0000-0000794E0000}"/>
    <cellStyle name="Comma 15 2 2 4 3 3" xfId="20090" xr:uid="{00000000-0005-0000-0000-00007A4E0000}"/>
    <cellStyle name="Comma 15 2 2 4 3 4" xfId="20091" xr:uid="{00000000-0005-0000-0000-00007B4E0000}"/>
    <cellStyle name="Comma 15 2 2 4 4" xfId="20092" xr:uid="{00000000-0005-0000-0000-00007C4E0000}"/>
    <cellStyle name="Comma 15 2 2 4 4 2" xfId="20093" xr:uid="{00000000-0005-0000-0000-00007D4E0000}"/>
    <cellStyle name="Comma 15 2 2 4 4 3" xfId="20094" xr:uid="{00000000-0005-0000-0000-00007E4E0000}"/>
    <cellStyle name="Comma 15 2 2 4 5" xfId="20095" xr:uid="{00000000-0005-0000-0000-00007F4E0000}"/>
    <cellStyle name="Comma 15 2 2 4 6" xfId="20096" xr:uid="{00000000-0005-0000-0000-0000804E0000}"/>
    <cellStyle name="Comma 15 2 2 5" xfId="20097" xr:uid="{00000000-0005-0000-0000-0000814E0000}"/>
    <cellStyle name="Comma 15 2 2 5 2" xfId="20098" xr:uid="{00000000-0005-0000-0000-0000824E0000}"/>
    <cellStyle name="Comma 15 2 2 5 2 2" xfId="20099" xr:uid="{00000000-0005-0000-0000-0000834E0000}"/>
    <cellStyle name="Comma 15 2 2 5 2 2 2" xfId="20100" xr:uid="{00000000-0005-0000-0000-0000844E0000}"/>
    <cellStyle name="Comma 15 2 2 5 2 2 3" xfId="20101" xr:uid="{00000000-0005-0000-0000-0000854E0000}"/>
    <cellStyle name="Comma 15 2 2 5 2 3" xfId="20102" xr:uid="{00000000-0005-0000-0000-0000864E0000}"/>
    <cellStyle name="Comma 15 2 2 5 2 4" xfId="20103" xr:uid="{00000000-0005-0000-0000-0000874E0000}"/>
    <cellStyle name="Comma 15 2 2 5 3" xfId="20104" xr:uid="{00000000-0005-0000-0000-0000884E0000}"/>
    <cellStyle name="Comma 15 2 2 5 3 2" xfId="20105" xr:uid="{00000000-0005-0000-0000-0000894E0000}"/>
    <cellStyle name="Comma 15 2 2 5 3 3" xfId="20106" xr:uid="{00000000-0005-0000-0000-00008A4E0000}"/>
    <cellStyle name="Comma 15 2 2 5 4" xfId="20107" xr:uid="{00000000-0005-0000-0000-00008B4E0000}"/>
    <cellStyle name="Comma 15 2 2 5 5" xfId="20108" xr:uid="{00000000-0005-0000-0000-00008C4E0000}"/>
    <cellStyle name="Comma 15 2 2 6" xfId="20109" xr:uid="{00000000-0005-0000-0000-00008D4E0000}"/>
    <cellStyle name="Comma 15 2 2 6 2" xfId="20110" xr:uid="{00000000-0005-0000-0000-00008E4E0000}"/>
    <cellStyle name="Comma 15 2 2 6 2 2" xfId="20111" xr:uid="{00000000-0005-0000-0000-00008F4E0000}"/>
    <cellStyle name="Comma 15 2 2 6 2 3" xfId="20112" xr:uid="{00000000-0005-0000-0000-0000904E0000}"/>
    <cellStyle name="Comma 15 2 2 6 3" xfId="20113" xr:uid="{00000000-0005-0000-0000-0000914E0000}"/>
    <cellStyle name="Comma 15 2 2 6 4" xfId="20114" xr:uid="{00000000-0005-0000-0000-0000924E0000}"/>
    <cellStyle name="Comma 15 2 2 7" xfId="20115" xr:uid="{00000000-0005-0000-0000-0000934E0000}"/>
    <cellStyle name="Comma 15 2 2 7 2" xfId="20116" xr:uid="{00000000-0005-0000-0000-0000944E0000}"/>
    <cellStyle name="Comma 15 2 2 7 3" xfId="20117" xr:uid="{00000000-0005-0000-0000-0000954E0000}"/>
    <cellStyle name="Comma 15 2 2 8" xfId="20118" xr:uid="{00000000-0005-0000-0000-0000964E0000}"/>
    <cellStyle name="Comma 15 2 2 9" xfId="20119" xr:uid="{00000000-0005-0000-0000-0000974E0000}"/>
    <cellStyle name="Comma 15 2 3" xfId="20120" xr:uid="{00000000-0005-0000-0000-0000984E0000}"/>
    <cellStyle name="Comma 15 2 3 2" xfId="20121" xr:uid="{00000000-0005-0000-0000-0000994E0000}"/>
    <cellStyle name="Comma 15 2 3 2 2" xfId="20122" xr:uid="{00000000-0005-0000-0000-00009A4E0000}"/>
    <cellStyle name="Comma 15 2 3 2 2 2" xfId="20123" xr:uid="{00000000-0005-0000-0000-00009B4E0000}"/>
    <cellStyle name="Comma 15 2 3 2 2 2 2" xfId="20124" xr:uid="{00000000-0005-0000-0000-00009C4E0000}"/>
    <cellStyle name="Comma 15 2 3 2 2 2 2 2" xfId="20125" xr:uid="{00000000-0005-0000-0000-00009D4E0000}"/>
    <cellStyle name="Comma 15 2 3 2 2 2 2 2 2" xfId="20126" xr:uid="{00000000-0005-0000-0000-00009E4E0000}"/>
    <cellStyle name="Comma 15 2 3 2 2 2 2 2 3" xfId="20127" xr:uid="{00000000-0005-0000-0000-00009F4E0000}"/>
    <cellStyle name="Comma 15 2 3 2 2 2 2 3" xfId="20128" xr:uid="{00000000-0005-0000-0000-0000A04E0000}"/>
    <cellStyle name="Comma 15 2 3 2 2 2 2 4" xfId="20129" xr:uid="{00000000-0005-0000-0000-0000A14E0000}"/>
    <cellStyle name="Comma 15 2 3 2 2 2 3" xfId="20130" xr:uid="{00000000-0005-0000-0000-0000A24E0000}"/>
    <cellStyle name="Comma 15 2 3 2 2 2 3 2" xfId="20131" xr:uid="{00000000-0005-0000-0000-0000A34E0000}"/>
    <cellStyle name="Comma 15 2 3 2 2 2 3 3" xfId="20132" xr:uid="{00000000-0005-0000-0000-0000A44E0000}"/>
    <cellStyle name="Comma 15 2 3 2 2 2 4" xfId="20133" xr:uid="{00000000-0005-0000-0000-0000A54E0000}"/>
    <cellStyle name="Comma 15 2 3 2 2 2 5" xfId="20134" xr:uid="{00000000-0005-0000-0000-0000A64E0000}"/>
    <cellStyle name="Comma 15 2 3 2 2 3" xfId="20135" xr:uid="{00000000-0005-0000-0000-0000A74E0000}"/>
    <cellStyle name="Comma 15 2 3 2 2 3 2" xfId="20136" xr:uid="{00000000-0005-0000-0000-0000A84E0000}"/>
    <cellStyle name="Comma 15 2 3 2 2 3 2 2" xfId="20137" xr:uid="{00000000-0005-0000-0000-0000A94E0000}"/>
    <cellStyle name="Comma 15 2 3 2 2 3 2 3" xfId="20138" xr:uid="{00000000-0005-0000-0000-0000AA4E0000}"/>
    <cellStyle name="Comma 15 2 3 2 2 3 3" xfId="20139" xr:uid="{00000000-0005-0000-0000-0000AB4E0000}"/>
    <cellStyle name="Comma 15 2 3 2 2 3 4" xfId="20140" xr:uid="{00000000-0005-0000-0000-0000AC4E0000}"/>
    <cellStyle name="Comma 15 2 3 2 2 4" xfId="20141" xr:uid="{00000000-0005-0000-0000-0000AD4E0000}"/>
    <cellStyle name="Comma 15 2 3 2 2 4 2" xfId="20142" xr:uid="{00000000-0005-0000-0000-0000AE4E0000}"/>
    <cellStyle name="Comma 15 2 3 2 2 4 3" xfId="20143" xr:uid="{00000000-0005-0000-0000-0000AF4E0000}"/>
    <cellStyle name="Comma 15 2 3 2 2 5" xfId="20144" xr:uid="{00000000-0005-0000-0000-0000B04E0000}"/>
    <cellStyle name="Comma 15 2 3 2 2 6" xfId="20145" xr:uid="{00000000-0005-0000-0000-0000B14E0000}"/>
    <cellStyle name="Comma 15 2 3 2 3" xfId="20146" xr:uid="{00000000-0005-0000-0000-0000B24E0000}"/>
    <cellStyle name="Comma 15 2 3 2 3 2" xfId="20147" xr:uid="{00000000-0005-0000-0000-0000B34E0000}"/>
    <cellStyle name="Comma 15 2 3 2 3 2 2" xfId="20148" xr:uid="{00000000-0005-0000-0000-0000B44E0000}"/>
    <cellStyle name="Comma 15 2 3 2 3 2 2 2" xfId="20149" xr:uid="{00000000-0005-0000-0000-0000B54E0000}"/>
    <cellStyle name="Comma 15 2 3 2 3 2 2 3" xfId="20150" xr:uid="{00000000-0005-0000-0000-0000B64E0000}"/>
    <cellStyle name="Comma 15 2 3 2 3 2 3" xfId="20151" xr:uid="{00000000-0005-0000-0000-0000B74E0000}"/>
    <cellStyle name="Comma 15 2 3 2 3 2 4" xfId="20152" xr:uid="{00000000-0005-0000-0000-0000B84E0000}"/>
    <cellStyle name="Comma 15 2 3 2 3 3" xfId="20153" xr:uid="{00000000-0005-0000-0000-0000B94E0000}"/>
    <cellStyle name="Comma 15 2 3 2 3 3 2" xfId="20154" xr:uid="{00000000-0005-0000-0000-0000BA4E0000}"/>
    <cellStyle name="Comma 15 2 3 2 3 3 3" xfId="20155" xr:uid="{00000000-0005-0000-0000-0000BB4E0000}"/>
    <cellStyle name="Comma 15 2 3 2 3 4" xfId="20156" xr:uid="{00000000-0005-0000-0000-0000BC4E0000}"/>
    <cellStyle name="Comma 15 2 3 2 3 5" xfId="20157" xr:uid="{00000000-0005-0000-0000-0000BD4E0000}"/>
    <cellStyle name="Comma 15 2 3 2 4" xfId="20158" xr:uid="{00000000-0005-0000-0000-0000BE4E0000}"/>
    <cellStyle name="Comma 15 2 3 2 4 2" xfId="20159" xr:uid="{00000000-0005-0000-0000-0000BF4E0000}"/>
    <cellStyle name="Comma 15 2 3 2 4 2 2" xfId="20160" xr:uid="{00000000-0005-0000-0000-0000C04E0000}"/>
    <cellStyle name="Comma 15 2 3 2 4 2 3" xfId="20161" xr:uid="{00000000-0005-0000-0000-0000C14E0000}"/>
    <cellStyle name="Comma 15 2 3 2 4 3" xfId="20162" xr:uid="{00000000-0005-0000-0000-0000C24E0000}"/>
    <cellStyle name="Comma 15 2 3 2 4 4" xfId="20163" xr:uid="{00000000-0005-0000-0000-0000C34E0000}"/>
    <cellStyle name="Comma 15 2 3 2 5" xfId="20164" xr:uid="{00000000-0005-0000-0000-0000C44E0000}"/>
    <cellStyle name="Comma 15 2 3 2 5 2" xfId="20165" xr:uid="{00000000-0005-0000-0000-0000C54E0000}"/>
    <cellStyle name="Comma 15 2 3 2 5 3" xfId="20166" xr:uid="{00000000-0005-0000-0000-0000C64E0000}"/>
    <cellStyle name="Comma 15 2 3 2 6" xfId="20167" xr:uid="{00000000-0005-0000-0000-0000C74E0000}"/>
    <cellStyle name="Comma 15 2 3 2 7" xfId="20168" xr:uid="{00000000-0005-0000-0000-0000C84E0000}"/>
    <cellStyle name="Comma 15 2 3 3" xfId="20169" xr:uid="{00000000-0005-0000-0000-0000C94E0000}"/>
    <cellStyle name="Comma 15 2 3 3 2" xfId="20170" xr:uid="{00000000-0005-0000-0000-0000CA4E0000}"/>
    <cellStyle name="Comma 15 2 3 3 2 2" xfId="20171" xr:uid="{00000000-0005-0000-0000-0000CB4E0000}"/>
    <cellStyle name="Comma 15 2 3 3 2 2 2" xfId="20172" xr:uid="{00000000-0005-0000-0000-0000CC4E0000}"/>
    <cellStyle name="Comma 15 2 3 3 2 2 2 2" xfId="20173" xr:uid="{00000000-0005-0000-0000-0000CD4E0000}"/>
    <cellStyle name="Comma 15 2 3 3 2 2 2 3" xfId="20174" xr:uid="{00000000-0005-0000-0000-0000CE4E0000}"/>
    <cellStyle name="Comma 15 2 3 3 2 2 3" xfId="20175" xr:uid="{00000000-0005-0000-0000-0000CF4E0000}"/>
    <cellStyle name="Comma 15 2 3 3 2 2 4" xfId="20176" xr:uid="{00000000-0005-0000-0000-0000D04E0000}"/>
    <cellStyle name="Comma 15 2 3 3 2 3" xfId="20177" xr:uid="{00000000-0005-0000-0000-0000D14E0000}"/>
    <cellStyle name="Comma 15 2 3 3 2 3 2" xfId="20178" xr:uid="{00000000-0005-0000-0000-0000D24E0000}"/>
    <cellStyle name="Comma 15 2 3 3 2 3 3" xfId="20179" xr:uid="{00000000-0005-0000-0000-0000D34E0000}"/>
    <cellStyle name="Comma 15 2 3 3 2 4" xfId="20180" xr:uid="{00000000-0005-0000-0000-0000D44E0000}"/>
    <cellStyle name="Comma 15 2 3 3 2 5" xfId="20181" xr:uid="{00000000-0005-0000-0000-0000D54E0000}"/>
    <cellStyle name="Comma 15 2 3 3 3" xfId="20182" xr:uid="{00000000-0005-0000-0000-0000D64E0000}"/>
    <cellStyle name="Comma 15 2 3 3 3 2" xfId="20183" xr:uid="{00000000-0005-0000-0000-0000D74E0000}"/>
    <cellStyle name="Comma 15 2 3 3 3 2 2" xfId="20184" xr:uid="{00000000-0005-0000-0000-0000D84E0000}"/>
    <cellStyle name="Comma 15 2 3 3 3 2 3" xfId="20185" xr:uid="{00000000-0005-0000-0000-0000D94E0000}"/>
    <cellStyle name="Comma 15 2 3 3 3 3" xfId="20186" xr:uid="{00000000-0005-0000-0000-0000DA4E0000}"/>
    <cellStyle name="Comma 15 2 3 3 3 4" xfId="20187" xr:uid="{00000000-0005-0000-0000-0000DB4E0000}"/>
    <cellStyle name="Comma 15 2 3 3 4" xfId="20188" xr:uid="{00000000-0005-0000-0000-0000DC4E0000}"/>
    <cellStyle name="Comma 15 2 3 3 4 2" xfId="20189" xr:uid="{00000000-0005-0000-0000-0000DD4E0000}"/>
    <cellStyle name="Comma 15 2 3 3 4 3" xfId="20190" xr:uid="{00000000-0005-0000-0000-0000DE4E0000}"/>
    <cellStyle name="Comma 15 2 3 3 5" xfId="20191" xr:uid="{00000000-0005-0000-0000-0000DF4E0000}"/>
    <cellStyle name="Comma 15 2 3 3 6" xfId="20192" xr:uid="{00000000-0005-0000-0000-0000E04E0000}"/>
    <cellStyle name="Comma 15 2 3 4" xfId="20193" xr:uid="{00000000-0005-0000-0000-0000E14E0000}"/>
    <cellStyle name="Comma 15 2 3 4 2" xfId="20194" xr:uid="{00000000-0005-0000-0000-0000E24E0000}"/>
    <cellStyle name="Comma 15 2 3 4 2 2" xfId="20195" xr:uid="{00000000-0005-0000-0000-0000E34E0000}"/>
    <cellStyle name="Comma 15 2 3 4 2 2 2" xfId="20196" xr:uid="{00000000-0005-0000-0000-0000E44E0000}"/>
    <cellStyle name="Comma 15 2 3 4 2 2 3" xfId="20197" xr:uid="{00000000-0005-0000-0000-0000E54E0000}"/>
    <cellStyle name="Comma 15 2 3 4 2 3" xfId="20198" xr:uid="{00000000-0005-0000-0000-0000E64E0000}"/>
    <cellStyle name="Comma 15 2 3 4 2 4" xfId="20199" xr:uid="{00000000-0005-0000-0000-0000E74E0000}"/>
    <cellStyle name="Comma 15 2 3 4 3" xfId="20200" xr:uid="{00000000-0005-0000-0000-0000E84E0000}"/>
    <cellStyle name="Comma 15 2 3 4 3 2" xfId="20201" xr:uid="{00000000-0005-0000-0000-0000E94E0000}"/>
    <cellStyle name="Comma 15 2 3 4 3 3" xfId="20202" xr:uid="{00000000-0005-0000-0000-0000EA4E0000}"/>
    <cellStyle name="Comma 15 2 3 4 4" xfId="20203" xr:uid="{00000000-0005-0000-0000-0000EB4E0000}"/>
    <cellStyle name="Comma 15 2 3 4 5" xfId="20204" xr:uid="{00000000-0005-0000-0000-0000EC4E0000}"/>
    <cellStyle name="Comma 15 2 3 5" xfId="20205" xr:uid="{00000000-0005-0000-0000-0000ED4E0000}"/>
    <cellStyle name="Comma 15 2 3 5 2" xfId="20206" xr:uid="{00000000-0005-0000-0000-0000EE4E0000}"/>
    <cellStyle name="Comma 15 2 3 5 2 2" xfId="20207" xr:uid="{00000000-0005-0000-0000-0000EF4E0000}"/>
    <cellStyle name="Comma 15 2 3 5 2 3" xfId="20208" xr:uid="{00000000-0005-0000-0000-0000F04E0000}"/>
    <cellStyle name="Comma 15 2 3 5 3" xfId="20209" xr:uid="{00000000-0005-0000-0000-0000F14E0000}"/>
    <cellStyle name="Comma 15 2 3 5 4" xfId="20210" xr:uid="{00000000-0005-0000-0000-0000F24E0000}"/>
    <cellStyle name="Comma 15 2 3 6" xfId="20211" xr:uid="{00000000-0005-0000-0000-0000F34E0000}"/>
    <cellStyle name="Comma 15 2 3 6 2" xfId="20212" xr:uid="{00000000-0005-0000-0000-0000F44E0000}"/>
    <cellStyle name="Comma 15 2 3 6 3" xfId="20213" xr:uid="{00000000-0005-0000-0000-0000F54E0000}"/>
    <cellStyle name="Comma 15 2 3 7" xfId="20214" xr:uid="{00000000-0005-0000-0000-0000F64E0000}"/>
    <cellStyle name="Comma 15 2 3 8" xfId="20215" xr:uid="{00000000-0005-0000-0000-0000F74E0000}"/>
    <cellStyle name="Comma 15 2 4" xfId="20216" xr:uid="{00000000-0005-0000-0000-0000F84E0000}"/>
    <cellStyle name="Comma 15 2 4 2" xfId="20217" xr:uid="{00000000-0005-0000-0000-0000F94E0000}"/>
    <cellStyle name="Comma 15 2 4 2 2" xfId="20218" xr:uid="{00000000-0005-0000-0000-0000FA4E0000}"/>
    <cellStyle name="Comma 15 2 4 2 2 2" xfId="20219" xr:uid="{00000000-0005-0000-0000-0000FB4E0000}"/>
    <cellStyle name="Comma 15 2 4 2 2 2 2" xfId="20220" xr:uid="{00000000-0005-0000-0000-0000FC4E0000}"/>
    <cellStyle name="Comma 15 2 4 2 2 2 2 2" xfId="20221" xr:uid="{00000000-0005-0000-0000-0000FD4E0000}"/>
    <cellStyle name="Comma 15 2 4 2 2 2 2 3" xfId="20222" xr:uid="{00000000-0005-0000-0000-0000FE4E0000}"/>
    <cellStyle name="Comma 15 2 4 2 2 2 3" xfId="20223" xr:uid="{00000000-0005-0000-0000-0000FF4E0000}"/>
    <cellStyle name="Comma 15 2 4 2 2 2 4" xfId="20224" xr:uid="{00000000-0005-0000-0000-0000004F0000}"/>
    <cellStyle name="Comma 15 2 4 2 2 3" xfId="20225" xr:uid="{00000000-0005-0000-0000-0000014F0000}"/>
    <cellStyle name="Comma 15 2 4 2 2 3 2" xfId="20226" xr:uid="{00000000-0005-0000-0000-0000024F0000}"/>
    <cellStyle name="Comma 15 2 4 2 2 3 3" xfId="20227" xr:uid="{00000000-0005-0000-0000-0000034F0000}"/>
    <cellStyle name="Comma 15 2 4 2 2 4" xfId="20228" xr:uid="{00000000-0005-0000-0000-0000044F0000}"/>
    <cellStyle name="Comma 15 2 4 2 2 5" xfId="20229" xr:uid="{00000000-0005-0000-0000-0000054F0000}"/>
    <cellStyle name="Comma 15 2 4 2 3" xfId="20230" xr:uid="{00000000-0005-0000-0000-0000064F0000}"/>
    <cellStyle name="Comma 15 2 4 2 3 2" xfId="20231" xr:uid="{00000000-0005-0000-0000-0000074F0000}"/>
    <cellStyle name="Comma 15 2 4 2 3 2 2" xfId="20232" xr:uid="{00000000-0005-0000-0000-0000084F0000}"/>
    <cellStyle name="Comma 15 2 4 2 3 2 3" xfId="20233" xr:uid="{00000000-0005-0000-0000-0000094F0000}"/>
    <cellStyle name="Comma 15 2 4 2 3 3" xfId="20234" xr:uid="{00000000-0005-0000-0000-00000A4F0000}"/>
    <cellStyle name="Comma 15 2 4 2 3 4" xfId="20235" xr:uid="{00000000-0005-0000-0000-00000B4F0000}"/>
    <cellStyle name="Comma 15 2 4 2 4" xfId="20236" xr:uid="{00000000-0005-0000-0000-00000C4F0000}"/>
    <cellStyle name="Comma 15 2 4 2 4 2" xfId="20237" xr:uid="{00000000-0005-0000-0000-00000D4F0000}"/>
    <cellStyle name="Comma 15 2 4 2 4 3" xfId="20238" xr:uid="{00000000-0005-0000-0000-00000E4F0000}"/>
    <cellStyle name="Comma 15 2 4 2 5" xfId="20239" xr:uid="{00000000-0005-0000-0000-00000F4F0000}"/>
    <cellStyle name="Comma 15 2 4 2 6" xfId="20240" xr:uid="{00000000-0005-0000-0000-0000104F0000}"/>
    <cellStyle name="Comma 15 2 4 3" xfId="20241" xr:uid="{00000000-0005-0000-0000-0000114F0000}"/>
    <cellStyle name="Comma 15 2 4 3 2" xfId="20242" xr:uid="{00000000-0005-0000-0000-0000124F0000}"/>
    <cellStyle name="Comma 15 2 4 3 2 2" xfId="20243" xr:uid="{00000000-0005-0000-0000-0000134F0000}"/>
    <cellStyle name="Comma 15 2 4 3 2 2 2" xfId="20244" xr:uid="{00000000-0005-0000-0000-0000144F0000}"/>
    <cellStyle name="Comma 15 2 4 3 2 2 3" xfId="20245" xr:uid="{00000000-0005-0000-0000-0000154F0000}"/>
    <cellStyle name="Comma 15 2 4 3 2 3" xfId="20246" xr:uid="{00000000-0005-0000-0000-0000164F0000}"/>
    <cellStyle name="Comma 15 2 4 3 2 4" xfId="20247" xr:uid="{00000000-0005-0000-0000-0000174F0000}"/>
    <cellStyle name="Comma 15 2 4 3 3" xfId="20248" xr:uid="{00000000-0005-0000-0000-0000184F0000}"/>
    <cellStyle name="Comma 15 2 4 3 3 2" xfId="20249" xr:uid="{00000000-0005-0000-0000-0000194F0000}"/>
    <cellStyle name="Comma 15 2 4 3 3 3" xfId="20250" xr:uid="{00000000-0005-0000-0000-00001A4F0000}"/>
    <cellStyle name="Comma 15 2 4 3 4" xfId="20251" xr:uid="{00000000-0005-0000-0000-00001B4F0000}"/>
    <cellStyle name="Comma 15 2 4 3 5" xfId="20252" xr:uid="{00000000-0005-0000-0000-00001C4F0000}"/>
    <cellStyle name="Comma 15 2 4 4" xfId="20253" xr:uid="{00000000-0005-0000-0000-00001D4F0000}"/>
    <cellStyle name="Comma 15 2 4 4 2" xfId="20254" xr:uid="{00000000-0005-0000-0000-00001E4F0000}"/>
    <cellStyle name="Comma 15 2 4 4 2 2" xfId="20255" xr:uid="{00000000-0005-0000-0000-00001F4F0000}"/>
    <cellStyle name="Comma 15 2 4 4 2 3" xfId="20256" xr:uid="{00000000-0005-0000-0000-0000204F0000}"/>
    <cellStyle name="Comma 15 2 4 4 3" xfId="20257" xr:uid="{00000000-0005-0000-0000-0000214F0000}"/>
    <cellStyle name="Comma 15 2 4 4 4" xfId="20258" xr:uid="{00000000-0005-0000-0000-0000224F0000}"/>
    <cellStyle name="Comma 15 2 4 5" xfId="20259" xr:uid="{00000000-0005-0000-0000-0000234F0000}"/>
    <cellStyle name="Comma 15 2 4 5 2" xfId="20260" xr:uid="{00000000-0005-0000-0000-0000244F0000}"/>
    <cellStyle name="Comma 15 2 4 5 3" xfId="20261" xr:uid="{00000000-0005-0000-0000-0000254F0000}"/>
    <cellStyle name="Comma 15 2 4 6" xfId="20262" xr:uid="{00000000-0005-0000-0000-0000264F0000}"/>
    <cellStyle name="Comma 15 2 4 7" xfId="20263" xr:uid="{00000000-0005-0000-0000-0000274F0000}"/>
    <cellStyle name="Comma 15 2 5" xfId="20264" xr:uid="{00000000-0005-0000-0000-0000284F0000}"/>
    <cellStyle name="Comma 15 2 5 2" xfId="20265" xr:uid="{00000000-0005-0000-0000-0000294F0000}"/>
    <cellStyle name="Comma 15 2 5 2 2" xfId="20266" xr:uid="{00000000-0005-0000-0000-00002A4F0000}"/>
    <cellStyle name="Comma 15 2 5 2 2 2" xfId="20267" xr:uid="{00000000-0005-0000-0000-00002B4F0000}"/>
    <cellStyle name="Comma 15 2 5 2 2 2 2" xfId="20268" xr:uid="{00000000-0005-0000-0000-00002C4F0000}"/>
    <cellStyle name="Comma 15 2 5 2 2 2 3" xfId="20269" xr:uid="{00000000-0005-0000-0000-00002D4F0000}"/>
    <cellStyle name="Comma 15 2 5 2 2 3" xfId="20270" xr:uid="{00000000-0005-0000-0000-00002E4F0000}"/>
    <cellStyle name="Comma 15 2 5 2 2 4" xfId="20271" xr:uid="{00000000-0005-0000-0000-00002F4F0000}"/>
    <cellStyle name="Comma 15 2 5 2 3" xfId="20272" xr:uid="{00000000-0005-0000-0000-0000304F0000}"/>
    <cellStyle name="Comma 15 2 5 2 3 2" xfId="20273" xr:uid="{00000000-0005-0000-0000-0000314F0000}"/>
    <cellStyle name="Comma 15 2 5 2 3 3" xfId="20274" xr:uid="{00000000-0005-0000-0000-0000324F0000}"/>
    <cellStyle name="Comma 15 2 5 2 4" xfId="20275" xr:uid="{00000000-0005-0000-0000-0000334F0000}"/>
    <cellStyle name="Comma 15 2 5 2 5" xfId="20276" xr:uid="{00000000-0005-0000-0000-0000344F0000}"/>
    <cellStyle name="Comma 15 2 5 3" xfId="20277" xr:uid="{00000000-0005-0000-0000-0000354F0000}"/>
    <cellStyle name="Comma 15 2 5 3 2" xfId="20278" xr:uid="{00000000-0005-0000-0000-0000364F0000}"/>
    <cellStyle name="Comma 15 2 5 3 2 2" xfId="20279" xr:uid="{00000000-0005-0000-0000-0000374F0000}"/>
    <cellStyle name="Comma 15 2 5 3 2 3" xfId="20280" xr:uid="{00000000-0005-0000-0000-0000384F0000}"/>
    <cellStyle name="Comma 15 2 5 3 3" xfId="20281" xr:uid="{00000000-0005-0000-0000-0000394F0000}"/>
    <cellStyle name="Comma 15 2 5 3 4" xfId="20282" xr:uid="{00000000-0005-0000-0000-00003A4F0000}"/>
    <cellStyle name="Comma 15 2 5 4" xfId="20283" xr:uid="{00000000-0005-0000-0000-00003B4F0000}"/>
    <cellStyle name="Comma 15 2 5 4 2" xfId="20284" xr:uid="{00000000-0005-0000-0000-00003C4F0000}"/>
    <cellStyle name="Comma 15 2 5 4 3" xfId="20285" xr:uid="{00000000-0005-0000-0000-00003D4F0000}"/>
    <cellStyle name="Comma 15 2 5 5" xfId="20286" xr:uid="{00000000-0005-0000-0000-00003E4F0000}"/>
    <cellStyle name="Comma 15 2 5 6" xfId="20287" xr:uid="{00000000-0005-0000-0000-00003F4F0000}"/>
    <cellStyle name="Comma 15 2 6" xfId="20288" xr:uid="{00000000-0005-0000-0000-0000404F0000}"/>
    <cellStyle name="Comma 15 2 6 2" xfId="20289" xr:uid="{00000000-0005-0000-0000-0000414F0000}"/>
    <cellStyle name="Comma 15 2 6 2 2" xfId="20290" xr:uid="{00000000-0005-0000-0000-0000424F0000}"/>
    <cellStyle name="Comma 15 2 6 2 2 2" xfId="20291" xr:uid="{00000000-0005-0000-0000-0000434F0000}"/>
    <cellStyle name="Comma 15 2 6 2 2 3" xfId="20292" xr:uid="{00000000-0005-0000-0000-0000444F0000}"/>
    <cellStyle name="Comma 15 2 6 2 3" xfId="20293" xr:uid="{00000000-0005-0000-0000-0000454F0000}"/>
    <cellStyle name="Comma 15 2 6 2 4" xfId="20294" xr:uid="{00000000-0005-0000-0000-0000464F0000}"/>
    <cellStyle name="Comma 15 2 6 3" xfId="20295" xr:uid="{00000000-0005-0000-0000-0000474F0000}"/>
    <cellStyle name="Comma 15 2 6 3 2" xfId="20296" xr:uid="{00000000-0005-0000-0000-0000484F0000}"/>
    <cellStyle name="Comma 15 2 6 3 3" xfId="20297" xr:uid="{00000000-0005-0000-0000-0000494F0000}"/>
    <cellStyle name="Comma 15 2 6 4" xfId="20298" xr:uid="{00000000-0005-0000-0000-00004A4F0000}"/>
    <cellStyle name="Comma 15 2 6 5" xfId="20299" xr:uid="{00000000-0005-0000-0000-00004B4F0000}"/>
    <cellStyle name="Comma 15 2 7" xfId="20300" xr:uid="{00000000-0005-0000-0000-00004C4F0000}"/>
    <cellStyle name="Comma 15 2 7 2" xfId="20301" xr:uid="{00000000-0005-0000-0000-00004D4F0000}"/>
    <cellStyle name="Comma 15 2 7 2 2" xfId="20302" xr:uid="{00000000-0005-0000-0000-00004E4F0000}"/>
    <cellStyle name="Comma 15 2 7 2 3" xfId="20303" xr:uid="{00000000-0005-0000-0000-00004F4F0000}"/>
    <cellStyle name="Comma 15 2 7 3" xfId="20304" xr:uid="{00000000-0005-0000-0000-0000504F0000}"/>
    <cellStyle name="Comma 15 2 7 4" xfId="20305" xr:uid="{00000000-0005-0000-0000-0000514F0000}"/>
    <cellStyle name="Comma 15 2 8" xfId="20306" xr:uid="{00000000-0005-0000-0000-0000524F0000}"/>
    <cellStyle name="Comma 15 2 8 2" xfId="20307" xr:uid="{00000000-0005-0000-0000-0000534F0000}"/>
    <cellStyle name="Comma 15 2 8 3" xfId="20308" xr:uid="{00000000-0005-0000-0000-0000544F0000}"/>
    <cellStyle name="Comma 15 2 9" xfId="20309" xr:uid="{00000000-0005-0000-0000-0000554F0000}"/>
    <cellStyle name="Comma 15 3" xfId="20310" xr:uid="{00000000-0005-0000-0000-0000564F0000}"/>
    <cellStyle name="Comma 15 3 2" xfId="20311" xr:uid="{00000000-0005-0000-0000-0000574F0000}"/>
    <cellStyle name="Comma 15 3 2 2" xfId="20312" xr:uid="{00000000-0005-0000-0000-0000584F0000}"/>
    <cellStyle name="Comma 15 3 2 2 2" xfId="20313" xr:uid="{00000000-0005-0000-0000-0000594F0000}"/>
    <cellStyle name="Comma 15 3 2 2 2 2" xfId="20314" xr:uid="{00000000-0005-0000-0000-00005A4F0000}"/>
    <cellStyle name="Comma 15 3 2 2 2 2 2" xfId="20315" xr:uid="{00000000-0005-0000-0000-00005B4F0000}"/>
    <cellStyle name="Comma 15 3 2 2 2 2 2 2" xfId="20316" xr:uid="{00000000-0005-0000-0000-00005C4F0000}"/>
    <cellStyle name="Comma 15 3 2 2 2 2 2 2 2" xfId="20317" xr:uid="{00000000-0005-0000-0000-00005D4F0000}"/>
    <cellStyle name="Comma 15 3 2 2 2 2 2 2 3" xfId="20318" xr:uid="{00000000-0005-0000-0000-00005E4F0000}"/>
    <cellStyle name="Comma 15 3 2 2 2 2 2 3" xfId="20319" xr:uid="{00000000-0005-0000-0000-00005F4F0000}"/>
    <cellStyle name="Comma 15 3 2 2 2 2 2 4" xfId="20320" xr:uid="{00000000-0005-0000-0000-0000604F0000}"/>
    <cellStyle name="Comma 15 3 2 2 2 2 3" xfId="20321" xr:uid="{00000000-0005-0000-0000-0000614F0000}"/>
    <cellStyle name="Comma 15 3 2 2 2 2 3 2" xfId="20322" xr:uid="{00000000-0005-0000-0000-0000624F0000}"/>
    <cellStyle name="Comma 15 3 2 2 2 2 3 3" xfId="20323" xr:uid="{00000000-0005-0000-0000-0000634F0000}"/>
    <cellStyle name="Comma 15 3 2 2 2 2 4" xfId="20324" xr:uid="{00000000-0005-0000-0000-0000644F0000}"/>
    <cellStyle name="Comma 15 3 2 2 2 2 5" xfId="20325" xr:uid="{00000000-0005-0000-0000-0000654F0000}"/>
    <cellStyle name="Comma 15 3 2 2 2 3" xfId="20326" xr:uid="{00000000-0005-0000-0000-0000664F0000}"/>
    <cellStyle name="Comma 15 3 2 2 2 3 2" xfId="20327" xr:uid="{00000000-0005-0000-0000-0000674F0000}"/>
    <cellStyle name="Comma 15 3 2 2 2 3 2 2" xfId="20328" xr:uid="{00000000-0005-0000-0000-0000684F0000}"/>
    <cellStyle name="Comma 15 3 2 2 2 3 2 3" xfId="20329" xr:uid="{00000000-0005-0000-0000-0000694F0000}"/>
    <cellStyle name="Comma 15 3 2 2 2 3 3" xfId="20330" xr:uid="{00000000-0005-0000-0000-00006A4F0000}"/>
    <cellStyle name="Comma 15 3 2 2 2 3 4" xfId="20331" xr:uid="{00000000-0005-0000-0000-00006B4F0000}"/>
    <cellStyle name="Comma 15 3 2 2 2 4" xfId="20332" xr:uid="{00000000-0005-0000-0000-00006C4F0000}"/>
    <cellStyle name="Comma 15 3 2 2 2 4 2" xfId="20333" xr:uid="{00000000-0005-0000-0000-00006D4F0000}"/>
    <cellStyle name="Comma 15 3 2 2 2 4 3" xfId="20334" xr:uid="{00000000-0005-0000-0000-00006E4F0000}"/>
    <cellStyle name="Comma 15 3 2 2 2 5" xfId="20335" xr:uid="{00000000-0005-0000-0000-00006F4F0000}"/>
    <cellStyle name="Comma 15 3 2 2 2 6" xfId="20336" xr:uid="{00000000-0005-0000-0000-0000704F0000}"/>
    <cellStyle name="Comma 15 3 2 2 3" xfId="20337" xr:uid="{00000000-0005-0000-0000-0000714F0000}"/>
    <cellStyle name="Comma 15 3 2 2 3 2" xfId="20338" xr:uid="{00000000-0005-0000-0000-0000724F0000}"/>
    <cellStyle name="Comma 15 3 2 2 3 2 2" xfId="20339" xr:uid="{00000000-0005-0000-0000-0000734F0000}"/>
    <cellStyle name="Comma 15 3 2 2 3 2 2 2" xfId="20340" xr:uid="{00000000-0005-0000-0000-0000744F0000}"/>
    <cellStyle name="Comma 15 3 2 2 3 2 2 3" xfId="20341" xr:uid="{00000000-0005-0000-0000-0000754F0000}"/>
    <cellStyle name="Comma 15 3 2 2 3 2 3" xfId="20342" xr:uid="{00000000-0005-0000-0000-0000764F0000}"/>
    <cellStyle name="Comma 15 3 2 2 3 2 4" xfId="20343" xr:uid="{00000000-0005-0000-0000-0000774F0000}"/>
    <cellStyle name="Comma 15 3 2 2 3 3" xfId="20344" xr:uid="{00000000-0005-0000-0000-0000784F0000}"/>
    <cellStyle name="Comma 15 3 2 2 3 3 2" xfId="20345" xr:uid="{00000000-0005-0000-0000-0000794F0000}"/>
    <cellStyle name="Comma 15 3 2 2 3 3 3" xfId="20346" xr:uid="{00000000-0005-0000-0000-00007A4F0000}"/>
    <cellStyle name="Comma 15 3 2 2 3 4" xfId="20347" xr:uid="{00000000-0005-0000-0000-00007B4F0000}"/>
    <cellStyle name="Comma 15 3 2 2 3 5" xfId="20348" xr:uid="{00000000-0005-0000-0000-00007C4F0000}"/>
    <cellStyle name="Comma 15 3 2 2 4" xfId="20349" xr:uid="{00000000-0005-0000-0000-00007D4F0000}"/>
    <cellStyle name="Comma 15 3 2 2 4 2" xfId="20350" xr:uid="{00000000-0005-0000-0000-00007E4F0000}"/>
    <cellStyle name="Comma 15 3 2 2 4 2 2" xfId="20351" xr:uid="{00000000-0005-0000-0000-00007F4F0000}"/>
    <cellStyle name="Comma 15 3 2 2 4 2 3" xfId="20352" xr:uid="{00000000-0005-0000-0000-0000804F0000}"/>
    <cellStyle name="Comma 15 3 2 2 4 3" xfId="20353" xr:uid="{00000000-0005-0000-0000-0000814F0000}"/>
    <cellStyle name="Comma 15 3 2 2 4 4" xfId="20354" xr:uid="{00000000-0005-0000-0000-0000824F0000}"/>
    <cellStyle name="Comma 15 3 2 2 5" xfId="20355" xr:uid="{00000000-0005-0000-0000-0000834F0000}"/>
    <cellStyle name="Comma 15 3 2 2 5 2" xfId="20356" xr:uid="{00000000-0005-0000-0000-0000844F0000}"/>
    <cellStyle name="Comma 15 3 2 2 5 3" xfId="20357" xr:uid="{00000000-0005-0000-0000-0000854F0000}"/>
    <cellStyle name="Comma 15 3 2 2 6" xfId="20358" xr:uid="{00000000-0005-0000-0000-0000864F0000}"/>
    <cellStyle name="Comma 15 3 2 2 7" xfId="20359" xr:uid="{00000000-0005-0000-0000-0000874F0000}"/>
    <cellStyle name="Comma 15 3 2 3" xfId="20360" xr:uid="{00000000-0005-0000-0000-0000884F0000}"/>
    <cellStyle name="Comma 15 3 2 3 2" xfId="20361" xr:uid="{00000000-0005-0000-0000-0000894F0000}"/>
    <cellStyle name="Comma 15 3 2 3 2 2" xfId="20362" xr:uid="{00000000-0005-0000-0000-00008A4F0000}"/>
    <cellStyle name="Comma 15 3 2 3 2 2 2" xfId="20363" xr:uid="{00000000-0005-0000-0000-00008B4F0000}"/>
    <cellStyle name="Comma 15 3 2 3 2 2 2 2" xfId="20364" xr:uid="{00000000-0005-0000-0000-00008C4F0000}"/>
    <cellStyle name="Comma 15 3 2 3 2 2 2 3" xfId="20365" xr:uid="{00000000-0005-0000-0000-00008D4F0000}"/>
    <cellStyle name="Comma 15 3 2 3 2 2 3" xfId="20366" xr:uid="{00000000-0005-0000-0000-00008E4F0000}"/>
    <cellStyle name="Comma 15 3 2 3 2 2 4" xfId="20367" xr:uid="{00000000-0005-0000-0000-00008F4F0000}"/>
    <cellStyle name="Comma 15 3 2 3 2 3" xfId="20368" xr:uid="{00000000-0005-0000-0000-0000904F0000}"/>
    <cellStyle name="Comma 15 3 2 3 2 3 2" xfId="20369" xr:uid="{00000000-0005-0000-0000-0000914F0000}"/>
    <cellStyle name="Comma 15 3 2 3 2 3 3" xfId="20370" xr:uid="{00000000-0005-0000-0000-0000924F0000}"/>
    <cellStyle name="Comma 15 3 2 3 2 4" xfId="20371" xr:uid="{00000000-0005-0000-0000-0000934F0000}"/>
    <cellStyle name="Comma 15 3 2 3 2 5" xfId="20372" xr:uid="{00000000-0005-0000-0000-0000944F0000}"/>
    <cellStyle name="Comma 15 3 2 3 3" xfId="20373" xr:uid="{00000000-0005-0000-0000-0000954F0000}"/>
    <cellStyle name="Comma 15 3 2 3 3 2" xfId="20374" xr:uid="{00000000-0005-0000-0000-0000964F0000}"/>
    <cellStyle name="Comma 15 3 2 3 3 2 2" xfId="20375" xr:uid="{00000000-0005-0000-0000-0000974F0000}"/>
    <cellStyle name="Comma 15 3 2 3 3 2 3" xfId="20376" xr:uid="{00000000-0005-0000-0000-0000984F0000}"/>
    <cellStyle name="Comma 15 3 2 3 3 3" xfId="20377" xr:uid="{00000000-0005-0000-0000-0000994F0000}"/>
    <cellStyle name="Comma 15 3 2 3 3 4" xfId="20378" xr:uid="{00000000-0005-0000-0000-00009A4F0000}"/>
    <cellStyle name="Comma 15 3 2 3 4" xfId="20379" xr:uid="{00000000-0005-0000-0000-00009B4F0000}"/>
    <cellStyle name="Comma 15 3 2 3 4 2" xfId="20380" xr:uid="{00000000-0005-0000-0000-00009C4F0000}"/>
    <cellStyle name="Comma 15 3 2 3 4 3" xfId="20381" xr:uid="{00000000-0005-0000-0000-00009D4F0000}"/>
    <cellStyle name="Comma 15 3 2 3 5" xfId="20382" xr:uid="{00000000-0005-0000-0000-00009E4F0000}"/>
    <cellStyle name="Comma 15 3 2 3 6" xfId="20383" xr:uid="{00000000-0005-0000-0000-00009F4F0000}"/>
    <cellStyle name="Comma 15 3 2 4" xfId="20384" xr:uid="{00000000-0005-0000-0000-0000A04F0000}"/>
    <cellStyle name="Comma 15 3 2 4 2" xfId="20385" xr:uid="{00000000-0005-0000-0000-0000A14F0000}"/>
    <cellStyle name="Comma 15 3 2 4 2 2" xfId="20386" xr:uid="{00000000-0005-0000-0000-0000A24F0000}"/>
    <cellStyle name="Comma 15 3 2 4 2 2 2" xfId="20387" xr:uid="{00000000-0005-0000-0000-0000A34F0000}"/>
    <cellStyle name="Comma 15 3 2 4 2 2 3" xfId="20388" xr:uid="{00000000-0005-0000-0000-0000A44F0000}"/>
    <cellStyle name="Comma 15 3 2 4 2 3" xfId="20389" xr:uid="{00000000-0005-0000-0000-0000A54F0000}"/>
    <cellStyle name="Comma 15 3 2 4 2 4" xfId="20390" xr:uid="{00000000-0005-0000-0000-0000A64F0000}"/>
    <cellStyle name="Comma 15 3 2 4 3" xfId="20391" xr:uid="{00000000-0005-0000-0000-0000A74F0000}"/>
    <cellStyle name="Comma 15 3 2 4 3 2" xfId="20392" xr:uid="{00000000-0005-0000-0000-0000A84F0000}"/>
    <cellStyle name="Comma 15 3 2 4 3 3" xfId="20393" xr:uid="{00000000-0005-0000-0000-0000A94F0000}"/>
    <cellStyle name="Comma 15 3 2 4 4" xfId="20394" xr:uid="{00000000-0005-0000-0000-0000AA4F0000}"/>
    <cellStyle name="Comma 15 3 2 4 5" xfId="20395" xr:uid="{00000000-0005-0000-0000-0000AB4F0000}"/>
    <cellStyle name="Comma 15 3 2 5" xfId="20396" xr:uid="{00000000-0005-0000-0000-0000AC4F0000}"/>
    <cellStyle name="Comma 15 3 2 5 2" xfId="20397" xr:uid="{00000000-0005-0000-0000-0000AD4F0000}"/>
    <cellStyle name="Comma 15 3 2 5 2 2" xfId="20398" xr:uid="{00000000-0005-0000-0000-0000AE4F0000}"/>
    <cellStyle name="Comma 15 3 2 5 2 3" xfId="20399" xr:uid="{00000000-0005-0000-0000-0000AF4F0000}"/>
    <cellStyle name="Comma 15 3 2 5 3" xfId="20400" xr:uid="{00000000-0005-0000-0000-0000B04F0000}"/>
    <cellStyle name="Comma 15 3 2 5 4" xfId="20401" xr:uid="{00000000-0005-0000-0000-0000B14F0000}"/>
    <cellStyle name="Comma 15 3 2 6" xfId="20402" xr:uid="{00000000-0005-0000-0000-0000B24F0000}"/>
    <cellStyle name="Comma 15 3 2 6 2" xfId="20403" xr:uid="{00000000-0005-0000-0000-0000B34F0000}"/>
    <cellStyle name="Comma 15 3 2 6 3" xfId="20404" xr:uid="{00000000-0005-0000-0000-0000B44F0000}"/>
    <cellStyle name="Comma 15 3 2 7" xfId="20405" xr:uid="{00000000-0005-0000-0000-0000B54F0000}"/>
    <cellStyle name="Comma 15 3 2 8" xfId="20406" xr:uid="{00000000-0005-0000-0000-0000B64F0000}"/>
    <cellStyle name="Comma 15 3 3" xfId="20407" xr:uid="{00000000-0005-0000-0000-0000B74F0000}"/>
    <cellStyle name="Comma 15 3 3 2" xfId="20408" xr:uid="{00000000-0005-0000-0000-0000B84F0000}"/>
    <cellStyle name="Comma 15 3 3 2 2" xfId="20409" xr:uid="{00000000-0005-0000-0000-0000B94F0000}"/>
    <cellStyle name="Comma 15 3 3 2 2 2" xfId="20410" xr:uid="{00000000-0005-0000-0000-0000BA4F0000}"/>
    <cellStyle name="Comma 15 3 3 2 2 2 2" xfId="20411" xr:uid="{00000000-0005-0000-0000-0000BB4F0000}"/>
    <cellStyle name="Comma 15 3 3 2 2 2 2 2" xfId="20412" xr:uid="{00000000-0005-0000-0000-0000BC4F0000}"/>
    <cellStyle name="Comma 15 3 3 2 2 2 2 3" xfId="20413" xr:uid="{00000000-0005-0000-0000-0000BD4F0000}"/>
    <cellStyle name="Comma 15 3 3 2 2 2 3" xfId="20414" xr:uid="{00000000-0005-0000-0000-0000BE4F0000}"/>
    <cellStyle name="Comma 15 3 3 2 2 2 4" xfId="20415" xr:uid="{00000000-0005-0000-0000-0000BF4F0000}"/>
    <cellStyle name="Comma 15 3 3 2 2 3" xfId="20416" xr:uid="{00000000-0005-0000-0000-0000C04F0000}"/>
    <cellStyle name="Comma 15 3 3 2 2 3 2" xfId="20417" xr:uid="{00000000-0005-0000-0000-0000C14F0000}"/>
    <cellStyle name="Comma 15 3 3 2 2 3 3" xfId="20418" xr:uid="{00000000-0005-0000-0000-0000C24F0000}"/>
    <cellStyle name="Comma 15 3 3 2 2 4" xfId="20419" xr:uid="{00000000-0005-0000-0000-0000C34F0000}"/>
    <cellStyle name="Comma 15 3 3 2 2 5" xfId="20420" xr:uid="{00000000-0005-0000-0000-0000C44F0000}"/>
    <cellStyle name="Comma 15 3 3 2 3" xfId="20421" xr:uid="{00000000-0005-0000-0000-0000C54F0000}"/>
    <cellStyle name="Comma 15 3 3 2 3 2" xfId="20422" xr:uid="{00000000-0005-0000-0000-0000C64F0000}"/>
    <cellStyle name="Comma 15 3 3 2 3 2 2" xfId="20423" xr:uid="{00000000-0005-0000-0000-0000C74F0000}"/>
    <cellStyle name="Comma 15 3 3 2 3 2 3" xfId="20424" xr:uid="{00000000-0005-0000-0000-0000C84F0000}"/>
    <cellStyle name="Comma 15 3 3 2 3 3" xfId="20425" xr:uid="{00000000-0005-0000-0000-0000C94F0000}"/>
    <cellStyle name="Comma 15 3 3 2 3 4" xfId="20426" xr:uid="{00000000-0005-0000-0000-0000CA4F0000}"/>
    <cellStyle name="Comma 15 3 3 2 4" xfId="20427" xr:uid="{00000000-0005-0000-0000-0000CB4F0000}"/>
    <cellStyle name="Comma 15 3 3 2 4 2" xfId="20428" xr:uid="{00000000-0005-0000-0000-0000CC4F0000}"/>
    <cellStyle name="Comma 15 3 3 2 4 3" xfId="20429" xr:uid="{00000000-0005-0000-0000-0000CD4F0000}"/>
    <cellStyle name="Comma 15 3 3 2 5" xfId="20430" xr:uid="{00000000-0005-0000-0000-0000CE4F0000}"/>
    <cellStyle name="Comma 15 3 3 2 6" xfId="20431" xr:uid="{00000000-0005-0000-0000-0000CF4F0000}"/>
    <cellStyle name="Comma 15 3 3 3" xfId="20432" xr:uid="{00000000-0005-0000-0000-0000D04F0000}"/>
    <cellStyle name="Comma 15 3 3 3 2" xfId="20433" xr:uid="{00000000-0005-0000-0000-0000D14F0000}"/>
    <cellStyle name="Comma 15 3 3 3 2 2" xfId="20434" xr:uid="{00000000-0005-0000-0000-0000D24F0000}"/>
    <cellStyle name="Comma 15 3 3 3 2 2 2" xfId="20435" xr:uid="{00000000-0005-0000-0000-0000D34F0000}"/>
    <cellStyle name="Comma 15 3 3 3 2 2 3" xfId="20436" xr:uid="{00000000-0005-0000-0000-0000D44F0000}"/>
    <cellStyle name="Comma 15 3 3 3 2 3" xfId="20437" xr:uid="{00000000-0005-0000-0000-0000D54F0000}"/>
    <cellStyle name="Comma 15 3 3 3 2 4" xfId="20438" xr:uid="{00000000-0005-0000-0000-0000D64F0000}"/>
    <cellStyle name="Comma 15 3 3 3 3" xfId="20439" xr:uid="{00000000-0005-0000-0000-0000D74F0000}"/>
    <cellStyle name="Comma 15 3 3 3 3 2" xfId="20440" xr:uid="{00000000-0005-0000-0000-0000D84F0000}"/>
    <cellStyle name="Comma 15 3 3 3 3 3" xfId="20441" xr:uid="{00000000-0005-0000-0000-0000D94F0000}"/>
    <cellStyle name="Comma 15 3 3 3 4" xfId="20442" xr:uid="{00000000-0005-0000-0000-0000DA4F0000}"/>
    <cellStyle name="Comma 15 3 3 3 5" xfId="20443" xr:uid="{00000000-0005-0000-0000-0000DB4F0000}"/>
    <cellStyle name="Comma 15 3 3 4" xfId="20444" xr:uid="{00000000-0005-0000-0000-0000DC4F0000}"/>
    <cellStyle name="Comma 15 3 3 4 2" xfId="20445" xr:uid="{00000000-0005-0000-0000-0000DD4F0000}"/>
    <cellStyle name="Comma 15 3 3 4 2 2" xfId="20446" xr:uid="{00000000-0005-0000-0000-0000DE4F0000}"/>
    <cellStyle name="Comma 15 3 3 4 2 3" xfId="20447" xr:uid="{00000000-0005-0000-0000-0000DF4F0000}"/>
    <cellStyle name="Comma 15 3 3 4 3" xfId="20448" xr:uid="{00000000-0005-0000-0000-0000E04F0000}"/>
    <cellStyle name="Comma 15 3 3 4 4" xfId="20449" xr:uid="{00000000-0005-0000-0000-0000E14F0000}"/>
    <cellStyle name="Comma 15 3 3 5" xfId="20450" xr:uid="{00000000-0005-0000-0000-0000E24F0000}"/>
    <cellStyle name="Comma 15 3 3 5 2" xfId="20451" xr:uid="{00000000-0005-0000-0000-0000E34F0000}"/>
    <cellStyle name="Comma 15 3 3 5 3" xfId="20452" xr:uid="{00000000-0005-0000-0000-0000E44F0000}"/>
    <cellStyle name="Comma 15 3 3 6" xfId="20453" xr:uid="{00000000-0005-0000-0000-0000E54F0000}"/>
    <cellStyle name="Comma 15 3 3 7" xfId="20454" xr:uid="{00000000-0005-0000-0000-0000E64F0000}"/>
    <cellStyle name="Comma 15 3 4" xfId="20455" xr:uid="{00000000-0005-0000-0000-0000E74F0000}"/>
    <cellStyle name="Comma 15 3 4 2" xfId="20456" xr:uid="{00000000-0005-0000-0000-0000E84F0000}"/>
    <cellStyle name="Comma 15 3 4 2 2" xfId="20457" xr:uid="{00000000-0005-0000-0000-0000E94F0000}"/>
    <cellStyle name="Comma 15 3 4 2 2 2" xfId="20458" xr:uid="{00000000-0005-0000-0000-0000EA4F0000}"/>
    <cellStyle name="Comma 15 3 4 2 2 2 2" xfId="20459" xr:uid="{00000000-0005-0000-0000-0000EB4F0000}"/>
    <cellStyle name="Comma 15 3 4 2 2 2 3" xfId="20460" xr:uid="{00000000-0005-0000-0000-0000EC4F0000}"/>
    <cellStyle name="Comma 15 3 4 2 2 3" xfId="20461" xr:uid="{00000000-0005-0000-0000-0000ED4F0000}"/>
    <cellStyle name="Comma 15 3 4 2 2 4" xfId="20462" xr:uid="{00000000-0005-0000-0000-0000EE4F0000}"/>
    <cellStyle name="Comma 15 3 4 2 3" xfId="20463" xr:uid="{00000000-0005-0000-0000-0000EF4F0000}"/>
    <cellStyle name="Comma 15 3 4 2 3 2" xfId="20464" xr:uid="{00000000-0005-0000-0000-0000F04F0000}"/>
    <cellStyle name="Comma 15 3 4 2 3 3" xfId="20465" xr:uid="{00000000-0005-0000-0000-0000F14F0000}"/>
    <cellStyle name="Comma 15 3 4 2 4" xfId="20466" xr:uid="{00000000-0005-0000-0000-0000F24F0000}"/>
    <cellStyle name="Comma 15 3 4 2 5" xfId="20467" xr:uid="{00000000-0005-0000-0000-0000F34F0000}"/>
    <cellStyle name="Comma 15 3 4 3" xfId="20468" xr:uid="{00000000-0005-0000-0000-0000F44F0000}"/>
    <cellStyle name="Comma 15 3 4 3 2" xfId="20469" xr:uid="{00000000-0005-0000-0000-0000F54F0000}"/>
    <cellStyle name="Comma 15 3 4 3 2 2" xfId="20470" xr:uid="{00000000-0005-0000-0000-0000F64F0000}"/>
    <cellStyle name="Comma 15 3 4 3 2 3" xfId="20471" xr:uid="{00000000-0005-0000-0000-0000F74F0000}"/>
    <cellStyle name="Comma 15 3 4 3 3" xfId="20472" xr:uid="{00000000-0005-0000-0000-0000F84F0000}"/>
    <cellStyle name="Comma 15 3 4 3 4" xfId="20473" xr:uid="{00000000-0005-0000-0000-0000F94F0000}"/>
    <cellStyle name="Comma 15 3 4 4" xfId="20474" xr:uid="{00000000-0005-0000-0000-0000FA4F0000}"/>
    <cellStyle name="Comma 15 3 4 4 2" xfId="20475" xr:uid="{00000000-0005-0000-0000-0000FB4F0000}"/>
    <cellStyle name="Comma 15 3 4 4 3" xfId="20476" xr:uid="{00000000-0005-0000-0000-0000FC4F0000}"/>
    <cellStyle name="Comma 15 3 4 5" xfId="20477" xr:uid="{00000000-0005-0000-0000-0000FD4F0000}"/>
    <cellStyle name="Comma 15 3 4 6" xfId="20478" xr:uid="{00000000-0005-0000-0000-0000FE4F0000}"/>
    <cellStyle name="Comma 15 3 5" xfId="20479" xr:uid="{00000000-0005-0000-0000-0000FF4F0000}"/>
    <cellStyle name="Comma 15 3 5 2" xfId="20480" xr:uid="{00000000-0005-0000-0000-000000500000}"/>
    <cellStyle name="Comma 15 3 5 2 2" xfId="20481" xr:uid="{00000000-0005-0000-0000-000001500000}"/>
    <cellStyle name="Comma 15 3 5 2 2 2" xfId="20482" xr:uid="{00000000-0005-0000-0000-000002500000}"/>
    <cellStyle name="Comma 15 3 5 2 2 3" xfId="20483" xr:uid="{00000000-0005-0000-0000-000003500000}"/>
    <cellStyle name="Comma 15 3 5 2 3" xfId="20484" xr:uid="{00000000-0005-0000-0000-000004500000}"/>
    <cellStyle name="Comma 15 3 5 2 4" xfId="20485" xr:uid="{00000000-0005-0000-0000-000005500000}"/>
    <cellStyle name="Comma 15 3 5 3" xfId="20486" xr:uid="{00000000-0005-0000-0000-000006500000}"/>
    <cellStyle name="Comma 15 3 5 3 2" xfId="20487" xr:uid="{00000000-0005-0000-0000-000007500000}"/>
    <cellStyle name="Comma 15 3 5 3 3" xfId="20488" xr:uid="{00000000-0005-0000-0000-000008500000}"/>
    <cellStyle name="Comma 15 3 5 4" xfId="20489" xr:uid="{00000000-0005-0000-0000-000009500000}"/>
    <cellStyle name="Comma 15 3 5 5" xfId="20490" xr:uid="{00000000-0005-0000-0000-00000A500000}"/>
    <cellStyle name="Comma 15 3 6" xfId="20491" xr:uid="{00000000-0005-0000-0000-00000B500000}"/>
    <cellStyle name="Comma 15 3 6 2" xfId="20492" xr:uid="{00000000-0005-0000-0000-00000C500000}"/>
    <cellStyle name="Comma 15 3 6 2 2" xfId="20493" xr:uid="{00000000-0005-0000-0000-00000D500000}"/>
    <cellStyle name="Comma 15 3 6 2 3" xfId="20494" xr:uid="{00000000-0005-0000-0000-00000E500000}"/>
    <cellStyle name="Comma 15 3 6 3" xfId="20495" xr:uid="{00000000-0005-0000-0000-00000F500000}"/>
    <cellStyle name="Comma 15 3 6 4" xfId="20496" xr:uid="{00000000-0005-0000-0000-000010500000}"/>
    <cellStyle name="Comma 15 3 7" xfId="20497" xr:uid="{00000000-0005-0000-0000-000011500000}"/>
    <cellStyle name="Comma 15 3 7 2" xfId="20498" xr:uid="{00000000-0005-0000-0000-000012500000}"/>
    <cellStyle name="Comma 15 3 7 3" xfId="20499" xr:uid="{00000000-0005-0000-0000-000013500000}"/>
    <cellStyle name="Comma 15 3 8" xfId="20500" xr:uid="{00000000-0005-0000-0000-000014500000}"/>
    <cellStyle name="Comma 15 3 9" xfId="20501" xr:uid="{00000000-0005-0000-0000-000015500000}"/>
    <cellStyle name="Comma 15 4" xfId="20502" xr:uid="{00000000-0005-0000-0000-000016500000}"/>
    <cellStyle name="Comma 15 4 2" xfId="20503" xr:uid="{00000000-0005-0000-0000-000017500000}"/>
    <cellStyle name="Comma 15 4 2 2" xfId="20504" xr:uid="{00000000-0005-0000-0000-000018500000}"/>
    <cellStyle name="Comma 15 4 2 2 2" xfId="20505" xr:uid="{00000000-0005-0000-0000-000019500000}"/>
    <cellStyle name="Comma 15 4 2 2 2 2" xfId="20506" xr:uid="{00000000-0005-0000-0000-00001A500000}"/>
    <cellStyle name="Comma 15 4 2 2 2 2 2" xfId="20507" xr:uid="{00000000-0005-0000-0000-00001B500000}"/>
    <cellStyle name="Comma 15 4 2 2 2 2 2 2" xfId="20508" xr:uid="{00000000-0005-0000-0000-00001C500000}"/>
    <cellStyle name="Comma 15 4 2 2 2 2 2 3" xfId="20509" xr:uid="{00000000-0005-0000-0000-00001D500000}"/>
    <cellStyle name="Comma 15 4 2 2 2 2 3" xfId="20510" xr:uid="{00000000-0005-0000-0000-00001E500000}"/>
    <cellStyle name="Comma 15 4 2 2 2 2 4" xfId="20511" xr:uid="{00000000-0005-0000-0000-00001F500000}"/>
    <cellStyle name="Comma 15 4 2 2 2 3" xfId="20512" xr:uid="{00000000-0005-0000-0000-000020500000}"/>
    <cellStyle name="Comma 15 4 2 2 2 3 2" xfId="20513" xr:uid="{00000000-0005-0000-0000-000021500000}"/>
    <cellStyle name="Comma 15 4 2 2 2 3 3" xfId="20514" xr:uid="{00000000-0005-0000-0000-000022500000}"/>
    <cellStyle name="Comma 15 4 2 2 2 4" xfId="20515" xr:uid="{00000000-0005-0000-0000-000023500000}"/>
    <cellStyle name="Comma 15 4 2 2 2 5" xfId="20516" xr:uid="{00000000-0005-0000-0000-000024500000}"/>
    <cellStyle name="Comma 15 4 2 2 3" xfId="20517" xr:uid="{00000000-0005-0000-0000-000025500000}"/>
    <cellStyle name="Comma 15 4 2 2 3 2" xfId="20518" xr:uid="{00000000-0005-0000-0000-000026500000}"/>
    <cellStyle name="Comma 15 4 2 2 3 2 2" xfId="20519" xr:uid="{00000000-0005-0000-0000-000027500000}"/>
    <cellStyle name="Comma 15 4 2 2 3 2 3" xfId="20520" xr:uid="{00000000-0005-0000-0000-000028500000}"/>
    <cellStyle name="Comma 15 4 2 2 3 3" xfId="20521" xr:uid="{00000000-0005-0000-0000-000029500000}"/>
    <cellStyle name="Comma 15 4 2 2 3 4" xfId="20522" xr:uid="{00000000-0005-0000-0000-00002A500000}"/>
    <cellStyle name="Comma 15 4 2 2 4" xfId="20523" xr:uid="{00000000-0005-0000-0000-00002B500000}"/>
    <cellStyle name="Comma 15 4 2 2 4 2" xfId="20524" xr:uid="{00000000-0005-0000-0000-00002C500000}"/>
    <cellStyle name="Comma 15 4 2 2 4 3" xfId="20525" xr:uid="{00000000-0005-0000-0000-00002D500000}"/>
    <cellStyle name="Comma 15 4 2 2 5" xfId="20526" xr:uid="{00000000-0005-0000-0000-00002E500000}"/>
    <cellStyle name="Comma 15 4 2 2 6" xfId="20527" xr:uid="{00000000-0005-0000-0000-00002F500000}"/>
    <cellStyle name="Comma 15 4 2 3" xfId="20528" xr:uid="{00000000-0005-0000-0000-000030500000}"/>
    <cellStyle name="Comma 15 4 2 3 2" xfId="20529" xr:uid="{00000000-0005-0000-0000-000031500000}"/>
    <cellStyle name="Comma 15 4 2 3 2 2" xfId="20530" xr:uid="{00000000-0005-0000-0000-000032500000}"/>
    <cellStyle name="Comma 15 4 2 3 2 2 2" xfId="20531" xr:uid="{00000000-0005-0000-0000-000033500000}"/>
    <cellStyle name="Comma 15 4 2 3 2 2 3" xfId="20532" xr:uid="{00000000-0005-0000-0000-000034500000}"/>
    <cellStyle name="Comma 15 4 2 3 2 3" xfId="20533" xr:uid="{00000000-0005-0000-0000-000035500000}"/>
    <cellStyle name="Comma 15 4 2 3 2 4" xfId="20534" xr:uid="{00000000-0005-0000-0000-000036500000}"/>
    <cellStyle name="Comma 15 4 2 3 3" xfId="20535" xr:uid="{00000000-0005-0000-0000-000037500000}"/>
    <cellStyle name="Comma 15 4 2 3 3 2" xfId="20536" xr:uid="{00000000-0005-0000-0000-000038500000}"/>
    <cellStyle name="Comma 15 4 2 3 3 3" xfId="20537" xr:uid="{00000000-0005-0000-0000-000039500000}"/>
    <cellStyle name="Comma 15 4 2 3 4" xfId="20538" xr:uid="{00000000-0005-0000-0000-00003A500000}"/>
    <cellStyle name="Comma 15 4 2 3 5" xfId="20539" xr:uid="{00000000-0005-0000-0000-00003B500000}"/>
    <cellStyle name="Comma 15 4 2 4" xfId="20540" xr:uid="{00000000-0005-0000-0000-00003C500000}"/>
    <cellStyle name="Comma 15 4 2 4 2" xfId="20541" xr:uid="{00000000-0005-0000-0000-00003D500000}"/>
    <cellStyle name="Comma 15 4 2 4 2 2" xfId="20542" xr:uid="{00000000-0005-0000-0000-00003E500000}"/>
    <cellStyle name="Comma 15 4 2 4 2 3" xfId="20543" xr:uid="{00000000-0005-0000-0000-00003F500000}"/>
    <cellStyle name="Comma 15 4 2 4 3" xfId="20544" xr:uid="{00000000-0005-0000-0000-000040500000}"/>
    <cellStyle name="Comma 15 4 2 4 4" xfId="20545" xr:uid="{00000000-0005-0000-0000-000041500000}"/>
    <cellStyle name="Comma 15 4 2 5" xfId="20546" xr:uid="{00000000-0005-0000-0000-000042500000}"/>
    <cellStyle name="Comma 15 4 2 5 2" xfId="20547" xr:uid="{00000000-0005-0000-0000-000043500000}"/>
    <cellStyle name="Comma 15 4 2 5 3" xfId="20548" xr:uid="{00000000-0005-0000-0000-000044500000}"/>
    <cellStyle name="Comma 15 4 2 6" xfId="20549" xr:uid="{00000000-0005-0000-0000-000045500000}"/>
    <cellStyle name="Comma 15 4 2 7" xfId="20550" xr:uid="{00000000-0005-0000-0000-000046500000}"/>
    <cellStyle name="Comma 15 4 3" xfId="20551" xr:uid="{00000000-0005-0000-0000-000047500000}"/>
    <cellStyle name="Comma 15 4 3 2" xfId="20552" xr:uid="{00000000-0005-0000-0000-000048500000}"/>
    <cellStyle name="Comma 15 4 3 2 2" xfId="20553" xr:uid="{00000000-0005-0000-0000-000049500000}"/>
    <cellStyle name="Comma 15 4 3 2 2 2" xfId="20554" xr:uid="{00000000-0005-0000-0000-00004A500000}"/>
    <cellStyle name="Comma 15 4 3 2 2 2 2" xfId="20555" xr:uid="{00000000-0005-0000-0000-00004B500000}"/>
    <cellStyle name="Comma 15 4 3 2 2 2 3" xfId="20556" xr:uid="{00000000-0005-0000-0000-00004C500000}"/>
    <cellStyle name="Comma 15 4 3 2 2 3" xfId="20557" xr:uid="{00000000-0005-0000-0000-00004D500000}"/>
    <cellStyle name="Comma 15 4 3 2 2 4" xfId="20558" xr:uid="{00000000-0005-0000-0000-00004E500000}"/>
    <cellStyle name="Comma 15 4 3 2 3" xfId="20559" xr:uid="{00000000-0005-0000-0000-00004F500000}"/>
    <cellStyle name="Comma 15 4 3 2 3 2" xfId="20560" xr:uid="{00000000-0005-0000-0000-000050500000}"/>
    <cellStyle name="Comma 15 4 3 2 3 3" xfId="20561" xr:uid="{00000000-0005-0000-0000-000051500000}"/>
    <cellStyle name="Comma 15 4 3 2 4" xfId="20562" xr:uid="{00000000-0005-0000-0000-000052500000}"/>
    <cellStyle name="Comma 15 4 3 2 5" xfId="20563" xr:uid="{00000000-0005-0000-0000-000053500000}"/>
    <cellStyle name="Comma 15 4 3 3" xfId="20564" xr:uid="{00000000-0005-0000-0000-000054500000}"/>
    <cellStyle name="Comma 15 4 3 3 2" xfId="20565" xr:uid="{00000000-0005-0000-0000-000055500000}"/>
    <cellStyle name="Comma 15 4 3 3 2 2" xfId="20566" xr:uid="{00000000-0005-0000-0000-000056500000}"/>
    <cellStyle name="Comma 15 4 3 3 2 3" xfId="20567" xr:uid="{00000000-0005-0000-0000-000057500000}"/>
    <cellStyle name="Comma 15 4 3 3 3" xfId="20568" xr:uid="{00000000-0005-0000-0000-000058500000}"/>
    <cellStyle name="Comma 15 4 3 3 4" xfId="20569" xr:uid="{00000000-0005-0000-0000-000059500000}"/>
    <cellStyle name="Comma 15 4 3 4" xfId="20570" xr:uid="{00000000-0005-0000-0000-00005A500000}"/>
    <cellStyle name="Comma 15 4 3 4 2" xfId="20571" xr:uid="{00000000-0005-0000-0000-00005B500000}"/>
    <cellStyle name="Comma 15 4 3 4 3" xfId="20572" xr:uid="{00000000-0005-0000-0000-00005C500000}"/>
    <cellStyle name="Comma 15 4 3 5" xfId="20573" xr:uid="{00000000-0005-0000-0000-00005D500000}"/>
    <cellStyle name="Comma 15 4 3 6" xfId="20574" xr:uid="{00000000-0005-0000-0000-00005E500000}"/>
    <cellStyle name="Comma 15 4 4" xfId="20575" xr:uid="{00000000-0005-0000-0000-00005F500000}"/>
    <cellStyle name="Comma 15 4 4 2" xfId="20576" xr:uid="{00000000-0005-0000-0000-000060500000}"/>
    <cellStyle name="Comma 15 4 4 2 2" xfId="20577" xr:uid="{00000000-0005-0000-0000-000061500000}"/>
    <cellStyle name="Comma 15 4 4 2 2 2" xfId="20578" xr:uid="{00000000-0005-0000-0000-000062500000}"/>
    <cellStyle name="Comma 15 4 4 2 2 3" xfId="20579" xr:uid="{00000000-0005-0000-0000-000063500000}"/>
    <cellStyle name="Comma 15 4 4 2 3" xfId="20580" xr:uid="{00000000-0005-0000-0000-000064500000}"/>
    <cellStyle name="Comma 15 4 4 2 4" xfId="20581" xr:uid="{00000000-0005-0000-0000-000065500000}"/>
    <cellStyle name="Comma 15 4 4 3" xfId="20582" xr:uid="{00000000-0005-0000-0000-000066500000}"/>
    <cellStyle name="Comma 15 4 4 3 2" xfId="20583" xr:uid="{00000000-0005-0000-0000-000067500000}"/>
    <cellStyle name="Comma 15 4 4 3 3" xfId="20584" xr:uid="{00000000-0005-0000-0000-000068500000}"/>
    <cellStyle name="Comma 15 4 4 4" xfId="20585" xr:uid="{00000000-0005-0000-0000-000069500000}"/>
    <cellStyle name="Comma 15 4 4 5" xfId="20586" xr:uid="{00000000-0005-0000-0000-00006A500000}"/>
    <cellStyle name="Comma 15 4 5" xfId="20587" xr:uid="{00000000-0005-0000-0000-00006B500000}"/>
    <cellStyle name="Comma 15 4 5 2" xfId="20588" xr:uid="{00000000-0005-0000-0000-00006C500000}"/>
    <cellStyle name="Comma 15 4 5 2 2" xfId="20589" xr:uid="{00000000-0005-0000-0000-00006D500000}"/>
    <cellStyle name="Comma 15 4 5 2 3" xfId="20590" xr:uid="{00000000-0005-0000-0000-00006E500000}"/>
    <cellStyle name="Comma 15 4 5 3" xfId="20591" xr:uid="{00000000-0005-0000-0000-00006F500000}"/>
    <cellStyle name="Comma 15 4 5 4" xfId="20592" xr:uid="{00000000-0005-0000-0000-000070500000}"/>
    <cellStyle name="Comma 15 4 6" xfId="20593" xr:uid="{00000000-0005-0000-0000-000071500000}"/>
    <cellStyle name="Comma 15 4 6 2" xfId="20594" xr:uid="{00000000-0005-0000-0000-000072500000}"/>
    <cellStyle name="Comma 15 4 6 3" xfId="20595" xr:uid="{00000000-0005-0000-0000-000073500000}"/>
    <cellStyle name="Comma 15 4 7" xfId="20596" xr:uid="{00000000-0005-0000-0000-000074500000}"/>
    <cellStyle name="Comma 15 4 8" xfId="20597" xr:uid="{00000000-0005-0000-0000-000075500000}"/>
    <cellStyle name="Comma 15 5" xfId="20598" xr:uid="{00000000-0005-0000-0000-000076500000}"/>
    <cellStyle name="Comma 15 5 2" xfId="20599" xr:uid="{00000000-0005-0000-0000-000077500000}"/>
    <cellStyle name="Comma 15 5 2 2" xfId="20600" xr:uid="{00000000-0005-0000-0000-000078500000}"/>
    <cellStyle name="Comma 15 5 2 2 2" xfId="20601" xr:uid="{00000000-0005-0000-0000-000079500000}"/>
    <cellStyle name="Comma 15 5 2 2 2 2" xfId="20602" xr:uid="{00000000-0005-0000-0000-00007A500000}"/>
    <cellStyle name="Comma 15 5 2 2 2 2 2" xfId="20603" xr:uid="{00000000-0005-0000-0000-00007B500000}"/>
    <cellStyle name="Comma 15 5 2 2 2 2 3" xfId="20604" xr:uid="{00000000-0005-0000-0000-00007C500000}"/>
    <cellStyle name="Comma 15 5 2 2 2 3" xfId="20605" xr:uid="{00000000-0005-0000-0000-00007D500000}"/>
    <cellStyle name="Comma 15 5 2 2 2 4" xfId="20606" xr:uid="{00000000-0005-0000-0000-00007E500000}"/>
    <cellStyle name="Comma 15 5 2 2 3" xfId="20607" xr:uid="{00000000-0005-0000-0000-00007F500000}"/>
    <cellStyle name="Comma 15 5 2 2 3 2" xfId="20608" xr:uid="{00000000-0005-0000-0000-000080500000}"/>
    <cellStyle name="Comma 15 5 2 2 3 3" xfId="20609" xr:uid="{00000000-0005-0000-0000-000081500000}"/>
    <cellStyle name="Comma 15 5 2 2 4" xfId="20610" xr:uid="{00000000-0005-0000-0000-000082500000}"/>
    <cellStyle name="Comma 15 5 2 2 5" xfId="20611" xr:uid="{00000000-0005-0000-0000-000083500000}"/>
    <cellStyle name="Comma 15 5 2 3" xfId="20612" xr:uid="{00000000-0005-0000-0000-000084500000}"/>
    <cellStyle name="Comma 15 5 2 3 2" xfId="20613" xr:uid="{00000000-0005-0000-0000-000085500000}"/>
    <cellStyle name="Comma 15 5 2 3 2 2" xfId="20614" xr:uid="{00000000-0005-0000-0000-000086500000}"/>
    <cellStyle name="Comma 15 5 2 3 2 3" xfId="20615" xr:uid="{00000000-0005-0000-0000-000087500000}"/>
    <cellStyle name="Comma 15 5 2 3 3" xfId="20616" xr:uid="{00000000-0005-0000-0000-000088500000}"/>
    <cellStyle name="Comma 15 5 2 3 4" xfId="20617" xr:uid="{00000000-0005-0000-0000-000089500000}"/>
    <cellStyle name="Comma 15 5 2 4" xfId="20618" xr:uid="{00000000-0005-0000-0000-00008A500000}"/>
    <cellStyle name="Comma 15 5 2 4 2" xfId="20619" xr:uid="{00000000-0005-0000-0000-00008B500000}"/>
    <cellStyle name="Comma 15 5 2 4 3" xfId="20620" xr:uid="{00000000-0005-0000-0000-00008C500000}"/>
    <cellStyle name="Comma 15 5 2 5" xfId="20621" xr:uid="{00000000-0005-0000-0000-00008D500000}"/>
    <cellStyle name="Comma 15 5 2 6" xfId="20622" xr:uid="{00000000-0005-0000-0000-00008E500000}"/>
    <cellStyle name="Comma 15 5 3" xfId="20623" xr:uid="{00000000-0005-0000-0000-00008F500000}"/>
    <cellStyle name="Comma 15 5 3 2" xfId="20624" xr:uid="{00000000-0005-0000-0000-000090500000}"/>
    <cellStyle name="Comma 15 5 3 2 2" xfId="20625" xr:uid="{00000000-0005-0000-0000-000091500000}"/>
    <cellStyle name="Comma 15 5 3 2 2 2" xfId="20626" xr:uid="{00000000-0005-0000-0000-000092500000}"/>
    <cellStyle name="Comma 15 5 3 2 2 3" xfId="20627" xr:uid="{00000000-0005-0000-0000-000093500000}"/>
    <cellStyle name="Comma 15 5 3 2 3" xfId="20628" xr:uid="{00000000-0005-0000-0000-000094500000}"/>
    <cellStyle name="Comma 15 5 3 2 4" xfId="20629" xr:uid="{00000000-0005-0000-0000-000095500000}"/>
    <cellStyle name="Comma 15 5 3 3" xfId="20630" xr:uid="{00000000-0005-0000-0000-000096500000}"/>
    <cellStyle name="Comma 15 5 3 3 2" xfId="20631" xr:uid="{00000000-0005-0000-0000-000097500000}"/>
    <cellStyle name="Comma 15 5 3 3 3" xfId="20632" xr:uid="{00000000-0005-0000-0000-000098500000}"/>
    <cellStyle name="Comma 15 5 3 4" xfId="20633" xr:uid="{00000000-0005-0000-0000-000099500000}"/>
    <cellStyle name="Comma 15 5 3 5" xfId="20634" xr:uid="{00000000-0005-0000-0000-00009A500000}"/>
    <cellStyle name="Comma 15 5 4" xfId="20635" xr:uid="{00000000-0005-0000-0000-00009B500000}"/>
    <cellStyle name="Comma 15 5 4 2" xfId="20636" xr:uid="{00000000-0005-0000-0000-00009C500000}"/>
    <cellStyle name="Comma 15 5 4 2 2" xfId="20637" xr:uid="{00000000-0005-0000-0000-00009D500000}"/>
    <cellStyle name="Comma 15 5 4 2 3" xfId="20638" xr:uid="{00000000-0005-0000-0000-00009E500000}"/>
    <cellStyle name="Comma 15 5 4 3" xfId="20639" xr:uid="{00000000-0005-0000-0000-00009F500000}"/>
    <cellStyle name="Comma 15 5 4 4" xfId="20640" xr:uid="{00000000-0005-0000-0000-0000A0500000}"/>
    <cellStyle name="Comma 15 5 5" xfId="20641" xr:uid="{00000000-0005-0000-0000-0000A1500000}"/>
    <cellStyle name="Comma 15 5 5 2" xfId="20642" xr:uid="{00000000-0005-0000-0000-0000A2500000}"/>
    <cellStyle name="Comma 15 5 5 3" xfId="20643" xr:uid="{00000000-0005-0000-0000-0000A3500000}"/>
    <cellStyle name="Comma 15 5 6" xfId="20644" xr:uid="{00000000-0005-0000-0000-0000A4500000}"/>
    <cellStyle name="Comma 15 5 7" xfId="20645" xr:uid="{00000000-0005-0000-0000-0000A5500000}"/>
    <cellStyle name="Comma 15 6" xfId="20646" xr:uid="{00000000-0005-0000-0000-0000A6500000}"/>
    <cellStyle name="Comma 15 6 2" xfId="20647" xr:uid="{00000000-0005-0000-0000-0000A7500000}"/>
    <cellStyle name="Comma 15 6 2 2" xfId="20648" xr:uid="{00000000-0005-0000-0000-0000A8500000}"/>
    <cellStyle name="Comma 15 6 2 2 2" xfId="20649" xr:uid="{00000000-0005-0000-0000-0000A9500000}"/>
    <cellStyle name="Comma 15 6 2 2 2 2" xfId="20650" xr:uid="{00000000-0005-0000-0000-0000AA500000}"/>
    <cellStyle name="Comma 15 6 2 2 2 3" xfId="20651" xr:uid="{00000000-0005-0000-0000-0000AB500000}"/>
    <cellStyle name="Comma 15 6 2 2 3" xfId="20652" xr:uid="{00000000-0005-0000-0000-0000AC500000}"/>
    <cellStyle name="Comma 15 6 2 2 4" xfId="20653" xr:uid="{00000000-0005-0000-0000-0000AD500000}"/>
    <cellStyle name="Comma 15 6 2 3" xfId="20654" xr:uid="{00000000-0005-0000-0000-0000AE500000}"/>
    <cellStyle name="Comma 15 6 2 3 2" xfId="20655" xr:uid="{00000000-0005-0000-0000-0000AF500000}"/>
    <cellStyle name="Comma 15 6 2 3 3" xfId="20656" xr:uid="{00000000-0005-0000-0000-0000B0500000}"/>
    <cellStyle name="Comma 15 6 2 4" xfId="20657" xr:uid="{00000000-0005-0000-0000-0000B1500000}"/>
    <cellStyle name="Comma 15 6 2 5" xfId="20658" xr:uid="{00000000-0005-0000-0000-0000B2500000}"/>
    <cellStyle name="Comma 15 6 3" xfId="20659" xr:uid="{00000000-0005-0000-0000-0000B3500000}"/>
    <cellStyle name="Comma 15 6 3 2" xfId="20660" xr:uid="{00000000-0005-0000-0000-0000B4500000}"/>
    <cellStyle name="Comma 15 6 3 2 2" xfId="20661" xr:uid="{00000000-0005-0000-0000-0000B5500000}"/>
    <cellStyle name="Comma 15 6 3 2 3" xfId="20662" xr:uid="{00000000-0005-0000-0000-0000B6500000}"/>
    <cellStyle name="Comma 15 6 3 3" xfId="20663" xr:uid="{00000000-0005-0000-0000-0000B7500000}"/>
    <cellStyle name="Comma 15 6 3 4" xfId="20664" xr:uid="{00000000-0005-0000-0000-0000B8500000}"/>
    <cellStyle name="Comma 15 6 4" xfId="20665" xr:uid="{00000000-0005-0000-0000-0000B9500000}"/>
    <cellStyle name="Comma 15 6 4 2" xfId="20666" xr:uid="{00000000-0005-0000-0000-0000BA500000}"/>
    <cellStyle name="Comma 15 6 4 3" xfId="20667" xr:uid="{00000000-0005-0000-0000-0000BB500000}"/>
    <cellStyle name="Comma 15 6 5" xfId="20668" xr:uid="{00000000-0005-0000-0000-0000BC500000}"/>
    <cellStyle name="Comma 15 6 6" xfId="20669" xr:uid="{00000000-0005-0000-0000-0000BD500000}"/>
    <cellStyle name="Comma 15 7" xfId="20670" xr:uid="{00000000-0005-0000-0000-0000BE500000}"/>
    <cellStyle name="Comma 15 7 2" xfId="20671" xr:uid="{00000000-0005-0000-0000-0000BF500000}"/>
    <cellStyle name="Comma 15 7 2 2" xfId="20672" xr:uid="{00000000-0005-0000-0000-0000C0500000}"/>
    <cellStyle name="Comma 15 7 2 2 2" xfId="20673" xr:uid="{00000000-0005-0000-0000-0000C1500000}"/>
    <cellStyle name="Comma 15 7 2 2 3" xfId="20674" xr:uid="{00000000-0005-0000-0000-0000C2500000}"/>
    <cellStyle name="Comma 15 7 2 3" xfId="20675" xr:uid="{00000000-0005-0000-0000-0000C3500000}"/>
    <cellStyle name="Comma 15 7 2 4" xfId="20676" xr:uid="{00000000-0005-0000-0000-0000C4500000}"/>
    <cellStyle name="Comma 15 7 3" xfId="20677" xr:uid="{00000000-0005-0000-0000-0000C5500000}"/>
    <cellStyle name="Comma 15 7 3 2" xfId="20678" xr:uid="{00000000-0005-0000-0000-0000C6500000}"/>
    <cellStyle name="Comma 15 7 3 3" xfId="20679" xr:uid="{00000000-0005-0000-0000-0000C7500000}"/>
    <cellStyle name="Comma 15 7 4" xfId="20680" xr:uid="{00000000-0005-0000-0000-0000C8500000}"/>
    <cellStyle name="Comma 15 7 5" xfId="20681" xr:uid="{00000000-0005-0000-0000-0000C9500000}"/>
    <cellStyle name="Comma 15 8" xfId="20682" xr:uid="{00000000-0005-0000-0000-0000CA500000}"/>
    <cellStyle name="Comma 15 8 2" xfId="20683" xr:uid="{00000000-0005-0000-0000-0000CB500000}"/>
    <cellStyle name="Comma 15 8 2 2" xfId="20684" xr:uid="{00000000-0005-0000-0000-0000CC500000}"/>
    <cellStyle name="Comma 15 8 2 3" xfId="20685" xr:uid="{00000000-0005-0000-0000-0000CD500000}"/>
    <cellStyle name="Comma 15 8 3" xfId="20686" xr:uid="{00000000-0005-0000-0000-0000CE500000}"/>
    <cellStyle name="Comma 15 8 4" xfId="20687" xr:uid="{00000000-0005-0000-0000-0000CF500000}"/>
    <cellStyle name="Comma 15 9" xfId="20688" xr:uid="{00000000-0005-0000-0000-0000D0500000}"/>
    <cellStyle name="Comma 15 9 2" xfId="20689" xr:uid="{00000000-0005-0000-0000-0000D1500000}"/>
    <cellStyle name="Comma 15 9 3" xfId="20690" xr:uid="{00000000-0005-0000-0000-0000D2500000}"/>
    <cellStyle name="Comma 150" xfId="20691" xr:uid="{00000000-0005-0000-0000-0000D3500000}"/>
    <cellStyle name="Comma 151" xfId="20692" xr:uid="{00000000-0005-0000-0000-0000D4500000}"/>
    <cellStyle name="Comma 152" xfId="20693" xr:uid="{00000000-0005-0000-0000-0000D5500000}"/>
    <cellStyle name="Comma 152 2" xfId="20694" xr:uid="{00000000-0005-0000-0000-0000D6500000}"/>
    <cellStyle name="Comma 152 3" xfId="20695" xr:uid="{00000000-0005-0000-0000-0000D7500000}"/>
    <cellStyle name="Comma 153" xfId="20696" xr:uid="{00000000-0005-0000-0000-0000D8500000}"/>
    <cellStyle name="Comma 154" xfId="20697" xr:uid="{00000000-0005-0000-0000-0000D9500000}"/>
    <cellStyle name="Comma 155" xfId="20698" xr:uid="{00000000-0005-0000-0000-0000DA500000}"/>
    <cellStyle name="Comma 156" xfId="20699" xr:uid="{00000000-0005-0000-0000-0000DB500000}"/>
    <cellStyle name="Comma 157" xfId="20700" xr:uid="{00000000-0005-0000-0000-0000DC500000}"/>
    <cellStyle name="Comma 158" xfId="20701" xr:uid="{00000000-0005-0000-0000-0000DD500000}"/>
    <cellStyle name="Comma 159" xfId="20702" xr:uid="{00000000-0005-0000-0000-0000DE500000}"/>
    <cellStyle name="Comma 16" xfId="20703" xr:uid="{00000000-0005-0000-0000-0000DF500000}"/>
    <cellStyle name="Comma 16 2" xfId="20704" xr:uid="{00000000-0005-0000-0000-0000E0500000}"/>
    <cellStyle name="Comma 16 2 2" xfId="20705" xr:uid="{00000000-0005-0000-0000-0000E1500000}"/>
    <cellStyle name="Comma 16 2 3" xfId="20706" xr:uid="{00000000-0005-0000-0000-0000E2500000}"/>
    <cellStyle name="Comma 16 3" xfId="20707" xr:uid="{00000000-0005-0000-0000-0000E3500000}"/>
    <cellStyle name="Comma 16 4" xfId="20708" xr:uid="{00000000-0005-0000-0000-0000E4500000}"/>
    <cellStyle name="Comma 160" xfId="20709" xr:uid="{00000000-0005-0000-0000-0000E5500000}"/>
    <cellStyle name="Comma 161" xfId="20710" xr:uid="{00000000-0005-0000-0000-0000E6500000}"/>
    <cellStyle name="Comma 162" xfId="20711" xr:uid="{00000000-0005-0000-0000-0000E7500000}"/>
    <cellStyle name="Comma 163" xfId="20712" xr:uid="{00000000-0005-0000-0000-0000E8500000}"/>
    <cellStyle name="Comma 164" xfId="20713" xr:uid="{00000000-0005-0000-0000-0000E9500000}"/>
    <cellStyle name="Comma 165" xfId="20714" xr:uid="{00000000-0005-0000-0000-0000EA500000}"/>
    <cellStyle name="Comma 166" xfId="20715" xr:uid="{00000000-0005-0000-0000-0000EB500000}"/>
    <cellStyle name="Comma 167" xfId="20716" xr:uid="{00000000-0005-0000-0000-0000EC500000}"/>
    <cellStyle name="Comma 168" xfId="20717" xr:uid="{00000000-0005-0000-0000-0000ED500000}"/>
    <cellStyle name="Comma 169" xfId="20718" xr:uid="{00000000-0005-0000-0000-0000EE500000}"/>
    <cellStyle name="Comma 17" xfId="20719" xr:uid="{00000000-0005-0000-0000-0000EF500000}"/>
    <cellStyle name="Comma 170" xfId="20720" xr:uid="{00000000-0005-0000-0000-0000F0500000}"/>
    <cellStyle name="Comma 171" xfId="20721" xr:uid="{00000000-0005-0000-0000-0000F1500000}"/>
    <cellStyle name="Comma 172" xfId="20722" xr:uid="{00000000-0005-0000-0000-0000F2500000}"/>
    <cellStyle name="Comma 173" xfId="20723" xr:uid="{00000000-0005-0000-0000-0000F3500000}"/>
    <cellStyle name="Comma 174" xfId="20724" xr:uid="{00000000-0005-0000-0000-0000F4500000}"/>
    <cellStyle name="Comma 175" xfId="20725" xr:uid="{00000000-0005-0000-0000-0000F5500000}"/>
    <cellStyle name="Comma 176" xfId="20726" xr:uid="{00000000-0005-0000-0000-0000F6500000}"/>
    <cellStyle name="Comma 177" xfId="20727" xr:uid="{00000000-0005-0000-0000-0000F7500000}"/>
    <cellStyle name="Comma 178" xfId="20728" xr:uid="{00000000-0005-0000-0000-0000F8500000}"/>
    <cellStyle name="Comma 179" xfId="20729" xr:uid="{00000000-0005-0000-0000-0000F9500000}"/>
    <cellStyle name="Comma 18" xfId="20730" xr:uid="{00000000-0005-0000-0000-0000FA500000}"/>
    <cellStyle name="Comma 180" xfId="20731" xr:uid="{00000000-0005-0000-0000-0000FB500000}"/>
    <cellStyle name="Comma 181" xfId="20732" xr:uid="{00000000-0005-0000-0000-0000FC500000}"/>
    <cellStyle name="Comma 182" xfId="20733" xr:uid="{00000000-0005-0000-0000-0000FD500000}"/>
    <cellStyle name="Comma 183" xfId="20734" xr:uid="{00000000-0005-0000-0000-0000FE500000}"/>
    <cellStyle name="Comma 184" xfId="20735" xr:uid="{00000000-0005-0000-0000-0000FF500000}"/>
    <cellStyle name="Comma 185" xfId="20736" xr:uid="{00000000-0005-0000-0000-000000510000}"/>
    <cellStyle name="Comma 186" xfId="20737" xr:uid="{00000000-0005-0000-0000-000001510000}"/>
    <cellStyle name="Comma 187" xfId="20738" xr:uid="{00000000-0005-0000-0000-000002510000}"/>
    <cellStyle name="Comma 188" xfId="20739" xr:uid="{00000000-0005-0000-0000-000003510000}"/>
    <cellStyle name="Comma 189" xfId="20740" xr:uid="{00000000-0005-0000-0000-000004510000}"/>
    <cellStyle name="Comma 19" xfId="20741" xr:uid="{00000000-0005-0000-0000-000005510000}"/>
    <cellStyle name="Comma 190" xfId="20742" xr:uid="{00000000-0005-0000-0000-000006510000}"/>
    <cellStyle name="Comma 191" xfId="20743" xr:uid="{00000000-0005-0000-0000-000007510000}"/>
    <cellStyle name="Comma 192" xfId="20744" xr:uid="{00000000-0005-0000-0000-000008510000}"/>
    <cellStyle name="Comma 193" xfId="20745" xr:uid="{00000000-0005-0000-0000-000009510000}"/>
    <cellStyle name="Comma 194" xfId="20746" xr:uid="{00000000-0005-0000-0000-00000A510000}"/>
    <cellStyle name="Comma 195" xfId="20747" xr:uid="{00000000-0005-0000-0000-00000B510000}"/>
    <cellStyle name="Comma 196" xfId="20748" xr:uid="{00000000-0005-0000-0000-00000C510000}"/>
    <cellStyle name="Comma 197" xfId="20749" xr:uid="{00000000-0005-0000-0000-00000D510000}"/>
    <cellStyle name="Comma 198" xfId="20750" xr:uid="{00000000-0005-0000-0000-00000E510000}"/>
    <cellStyle name="Comma 199" xfId="20751" xr:uid="{00000000-0005-0000-0000-00000F510000}"/>
    <cellStyle name="Comma 2" xfId="4" xr:uid="{00000000-0005-0000-0000-000004000000}"/>
    <cellStyle name="Comma 2 10" xfId="7" xr:uid="{00000000-0005-0000-0000-000007000000}"/>
    <cellStyle name="Comma 2 10 2" xfId="19" xr:uid="{00000000-0005-0000-0000-000013000000}"/>
    <cellStyle name="Comma 2 10 2 2" xfId="20752" xr:uid="{00000000-0005-0000-0000-000010510000}"/>
    <cellStyle name="Comma 2 10 3" xfId="20753" xr:uid="{00000000-0005-0000-0000-000011510000}"/>
    <cellStyle name="Comma 2 10 4" xfId="20754" xr:uid="{00000000-0005-0000-0000-000012510000}"/>
    <cellStyle name="Comma 2 11" xfId="20755" xr:uid="{00000000-0005-0000-0000-000013510000}"/>
    <cellStyle name="Comma 2 11 2" xfId="20756" xr:uid="{00000000-0005-0000-0000-000014510000}"/>
    <cellStyle name="Comma 2 11 2 2" xfId="20757" xr:uid="{00000000-0005-0000-0000-000015510000}"/>
    <cellStyle name="Comma 2 11 3" xfId="20758" xr:uid="{00000000-0005-0000-0000-000016510000}"/>
    <cellStyle name="Comma 2 12" xfId="20759" xr:uid="{00000000-0005-0000-0000-000017510000}"/>
    <cellStyle name="Comma 2 12 2" xfId="20760" xr:uid="{00000000-0005-0000-0000-000018510000}"/>
    <cellStyle name="Comma 2 12 2 2" xfId="20761" xr:uid="{00000000-0005-0000-0000-000019510000}"/>
    <cellStyle name="Comma 2 12 3" xfId="20762" xr:uid="{00000000-0005-0000-0000-00001A510000}"/>
    <cellStyle name="Comma 2 13" xfId="20763" xr:uid="{00000000-0005-0000-0000-00001B510000}"/>
    <cellStyle name="Comma 2 13 2" xfId="20764" xr:uid="{00000000-0005-0000-0000-00001C510000}"/>
    <cellStyle name="Comma 2 13 2 2" xfId="20765" xr:uid="{00000000-0005-0000-0000-00001D510000}"/>
    <cellStyle name="Comma 2 13 3" xfId="20766" xr:uid="{00000000-0005-0000-0000-00001E510000}"/>
    <cellStyle name="Comma 2 14" xfId="20767" xr:uid="{00000000-0005-0000-0000-00001F510000}"/>
    <cellStyle name="Comma 2 14 2" xfId="20768" xr:uid="{00000000-0005-0000-0000-000020510000}"/>
    <cellStyle name="Comma 2 14 2 2" xfId="20769" xr:uid="{00000000-0005-0000-0000-000021510000}"/>
    <cellStyle name="Comma 2 14 3" xfId="20770" xr:uid="{00000000-0005-0000-0000-000022510000}"/>
    <cellStyle name="Comma 2 15" xfId="20771" xr:uid="{00000000-0005-0000-0000-000023510000}"/>
    <cellStyle name="Comma 2 15 2" xfId="20772" xr:uid="{00000000-0005-0000-0000-000024510000}"/>
    <cellStyle name="Comma 2 15 2 2" xfId="20773" xr:uid="{00000000-0005-0000-0000-000025510000}"/>
    <cellStyle name="Comma 2 15 3" xfId="20774" xr:uid="{00000000-0005-0000-0000-000026510000}"/>
    <cellStyle name="Comma 2 16" xfId="20775" xr:uid="{00000000-0005-0000-0000-000027510000}"/>
    <cellStyle name="Comma 2 16 2" xfId="20776" xr:uid="{00000000-0005-0000-0000-000028510000}"/>
    <cellStyle name="Comma 2 16 2 2" xfId="20777" xr:uid="{00000000-0005-0000-0000-000029510000}"/>
    <cellStyle name="Comma 2 16 3" xfId="20778" xr:uid="{00000000-0005-0000-0000-00002A510000}"/>
    <cellStyle name="Comma 2 17" xfId="20779" xr:uid="{00000000-0005-0000-0000-00002B510000}"/>
    <cellStyle name="Comma 2 17 2" xfId="20780" xr:uid="{00000000-0005-0000-0000-00002C510000}"/>
    <cellStyle name="Comma 2 17 2 2" xfId="20781" xr:uid="{00000000-0005-0000-0000-00002D510000}"/>
    <cellStyle name="Comma 2 17 3" xfId="20782" xr:uid="{00000000-0005-0000-0000-00002E510000}"/>
    <cellStyle name="Comma 2 18" xfId="20783" xr:uid="{00000000-0005-0000-0000-00002F510000}"/>
    <cellStyle name="Comma 2 18 2" xfId="20784" xr:uid="{00000000-0005-0000-0000-000030510000}"/>
    <cellStyle name="Comma 2 18 2 2" xfId="20785" xr:uid="{00000000-0005-0000-0000-000031510000}"/>
    <cellStyle name="Comma 2 18 3" xfId="20786" xr:uid="{00000000-0005-0000-0000-000032510000}"/>
    <cellStyle name="Comma 2 19" xfId="20787" xr:uid="{00000000-0005-0000-0000-000033510000}"/>
    <cellStyle name="Comma 2 19 2" xfId="20788" xr:uid="{00000000-0005-0000-0000-000034510000}"/>
    <cellStyle name="Comma 2 19 2 2" xfId="20789" xr:uid="{00000000-0005-0000-0000-000035510000}"/>
    <cellStyle name="Comma 2 19 3" xfId="20790" xr:uid="{00000000-0005-0000-0000-000036510000}"/>
    <cellStyle name="Comma 2 2" xfId="20791" xr:uid="{00000000-0005-0000-0000-000037510000}"/>
    <cellStyle name="Comma 2 2 2" xfId="20792" xr:uid="{00000000-0005-0000-0000-000038510000}"/>
    <cellStyle name="Comma 2 2 2 2" xfId="20793" xr:uid="{00000000-0005-0000-0000-000039510000}"/>
    <cellStyle name="Comma 2 2 3" xfId="20794" xr:uid="{00000000-0005-0000-0000-00003A510000}"/>
    <cellStyle name="Comma 2 20" xfId="20795" xr:uid="{00000000-0005-0000-0000-00003B510000}"/>
    <cellStyle name="Comma 2 20 2" xfId="20796" xr:uid="{00000000-0005-0000-0000-00003C510000}"/>
    <cellStyle name="Comma 2 20 2 2" xfId="20797" xr:uid="{00000000-0005-0000-0000-00003D510000}"/>
    <cellStyle name="Comma 2 20 3" xfId="20798" xr:uid="{00000000-0005-0000-0000-00003E510000}"/>
    <cellStyle name="Comma 2 21" xfId="20799" xr:uid="{00000000-0005-0000-0000-00003F510000}"/>
    <cellStyle name="Comma 2 21 2" xfId="20800" xr:uid="{00000000-0005-0000-0000-000040510000}"/>
    <cellStyle name="Comma 2 22" xfId="20801" xr:uid="{00000000-0005-0000-0000-000041510000}"/>
    <cellStyle name="Comma 2 22 2" xfId="20802" xr:uid="{00000000-0005-0000-0000-000042510000}"/>
    <cellStyle name="Comma 2 23" xfId="20803" xr:uid="{00000000-0005-0000-0000-000043510000}"/>
    <cellStyle name="Comma 2 23 2" xfId="20804" xr:uid="{00000000-0005-0000-0000-000044510000}"/>
    <cellStyle name="Comma 2 24" xfId="20805" xr:uid="{00000000-0005-0000-0000-000045510000}"/>
    <cellStyle name="Comma 2 24 2" xfId="20806" xr:uid="{00000000-0005-0000-0000-000046510000}"/>
    <cellStyle name="Comma 2 25" xfId="20807" xr:uid="{00000000-0005-0000-0000-000047510000}"/>
    <cellStyle name="Comma 2 26" xfId="20808" xr:uid="{00000000-0005-0000-0000-000048510000}"/>
    <cellStyle name="Comma 2 27" xfId="20809" xr:uid="{00000000-0005-0000-0000-000049510000}"/>
    <cellStyle name="Comma 2 3" xfId="20810" xr:uid="{00000000-0005-0000-0000-00004A510000}"/>
    <cellStyle name="Comma 2 3 2" xfId="20811" xr:uid="{00000000-0005-0000-0000-00004B510000}"/>
    <cellStyle name="Comma 2 3 2 2" xfId="20812" xr:uid="{00000000-0005-0000-0000-00004C510000}"/>
    <cellStyle name="Comma 2 3 3" xfId="20813" xr:uid="{00000000-0005-0000-0000-00004D510000}"/>
    <cellStyle name="Comma 2 4" xfId="20814" xr:uid="{00000000-0005-0000-0000-00004E510000}"/>
    <cellStyle name="Comma 2 4 2" xfId="20815" xr:uid="{00000000-0005-0000-0000-00004F510000}"/>
    <cellStyle name="Comma 2 4 2 2" xfId="20816" xr:uid="{00000000-0005-0000-0000-000050510000}"/>
    <cellStyle name="Comma 2 4 3" xfId="20817" xr:uid="{00000000-0005-0000-0000-000051510000}"/>
    <cellStyle name="Comma 2 5" xfId="20818" xr:uid="{00000000-0005-0000-0000-000052510000}"/>
    <cellStyle name="Comma 2 5 2" xfId="20819" xr:uid="{00000000-0005-0000-0000-000053510000}"/>
    <cellStyle name="Comma 2 5 2 2" xfId="20820" xr:uid="{00000000-0005-0000-0000-000054510000}"/>
    <cellStyle name="Comma 2 5 3" xfId="20821" xr:uid="{00000000-0005-0000-0000-000055510000}"/>
    <cellStyle name="Comma 2 6" xfId="20822" xr:uid="{00000000-0005-0000-0000-000056510000}"/>
    <cellStyle name="Comma 2 6 2" xfId="20823" xr:uid="{00000000-0005-0000-0000-000057510000}"/>
    <cellStyle name="Comma 2 6 2 2" xfId="20824" xr:uid="{00000000-0005-0000-0000-000058510000}"/>
    <cellStyle name="Comma 2 6 3" xfId="20825" xr:uid="{00000000-0005-0000-0000-000059510000}"/>
    <cellStyle name="Comma 2 7" xfId="20826" xr:uid="{00000000-0005-0000-0000-00005A510000}"/>
    <cellStyle name="Comma 2 7 2" xfId="20827" xr:uid="{00000000-0005-0000-0000-00005B510000}"/>
    <cellStyle name="Comma 2 7 2 2" xfId="20828" xr:uid="{00000000-0005-0000-0000-00005C510000}"/>
    <cellStyle name="Comma 2 7 3" xfId="20829" xr:uid="{00000000-0005-0000-0000-00005D510000}"/>
    <cellStyle name="Comma 2 8" xfId="20830" xr:uid="{00000000-0005-0000-0000-00005E510000}"/>
    <cellStyle name="Comma 2 8 2" xfId="20831" xr:uid="{00000000-0005-0000-0000-00005F510000}"/>
    <cellStyle name="Comma 2 8 2 2" xfId="20832" xr:uid="{00000000-0005-0000-0000-000060510000}"/>
    <cellStyle name="Comma 2 8 3" xfId="20833" xr:uid="{00000000-0005-0000-0000-000061510000}"/>
    <cellStyle name="Comma 2 9" xfId="20834" xr:uid="{00000000-0005-0000-0000-000062510000}"/>
    <cellStyle name="Comma 2 9 2" xfId="20835" xr:uid="{00000000-0005-0000-0000-000063510000}"/>
    <cellStyle name="Comma 2 9 2 2" xfId="20836" xr:uid="{00000000-0005-0000-0000-000064510000}"/>
    <cellStyle name="Comma 2 9 3" xfId="20837" xr:uid="{00000000-0005-0000-0000-000065510000}"/>
    <cellStyle name="Comma 20" xfId="20838" xr:uid="{00000000-0005-0000-0000-000066510000}"/>
    <cellStyle name="Comma 20 2" xfId="20839" xr:uid="{00000000-0005-0000-0000-000067510000}"/>
    <cellStyle name="Comma 20 2 2" xfId="20840" xr:uid="{00000000-0005-0000-0000-000068510000}"/>
    <cellStyle name="Comma 20 2 2 2" xfId="20841" xr:uid="{00000000-0005-0000-0000-000069510000}"/>
    <cellStyle name="Comma 20 2 2 2 2" xfId="20842" xr:uid="{00000000-0005-0000-0000-00006A510000}"/>
    <cellStyle name="Comma 20 2 2 2 3" xfId="20843" xr:uid="{00000000-0005-0000-0000-00006B510000}"/>
    <cellStyle name="Comma 20 2 2 3" xfId="20844" xr:uid="{00000000-0005-0000-0000-00006C510000}"/>
    <cellStyle name="Comma 20 2 2 4" xfId="20845" xr:uid="{00000000-0005-0000-0000-00006D510000}"/>
    <cellStyle name="Comma 20 2 3" xfId="20846" xr:uid="{00000000-0005-0000-0000-00006E510000}"/>
    <cellStyle name="Comma 20 2 3 2" xfId="20847" xr:uid="{00000000-0005-0000-0000-00006F510000}"/>
    <cellStyle name="Comma 20 2 3 3" xfId="20848" xr:uid="{00000000-0005-0000-0000-000070510000}"/>
    <cellStyle name="Comma 20 2 4" xfId="20849" xr:uid="{00000000-0005-0000-0000-000071510000}"/>
    <cellStyle name="Comma 20 2 5" xfId="20850" xr:uid="{00000000-0005-0000-0000-000072510000}"/>
    <cellStyle name="Comma 20 3" xfId="20851" xr:uid="{00000000-0005-0000-0000-000073510000}"/>
    <cellStyle name="Comma 20 3 2" xfId="20852" xr:uid="{00000000-0005-0000-0000-000074510000}"/>
    <cellStyle name="Comma 20 3 2 2" xfId="20853" xr:uid="{00000000-0005-0000-0000-000075510000}"/>
    <cellStyle name="Comma 20 3 2 3" xfId="20854" xr:uid="{00000000-0005-0000-0000-000076510000}"/>
    <cellStyle name="Comma 20 3 3" xfId="20855" xr:uid="{00000000-0005-0000-0000-000077510000}"/>
    <cellStyle name="Comma 20 3 4" xfId="20856" xr:uid="{00000000-0005-0000-0000-000078510000}"/>
    <cellStyle name="Comma 20 4" xfId="20857" xr:uid="{00000000-0005-0000-0000-000079510000}"/>
    <cellStyle name="Comma 20 4 2" xfId="20858" xr:uid="{00000000-0005-0000-0000-00007A510000}"/>
    <cellStyle name="Comma 20 4 3" xfId="20859" xr:uid="{00000000-0005-0000-0000-00007B510000}"/>
    <cellStyle name="Comma 20 5" xfId="20860" xr:uid="{00000000-0005-0000-0000-00007C510000}"/>
    <cellStyle name="Comma 20 6" xfId="20861" xr:uid="{00000000-0005-0000-0000-00007D510000}"/>
    <cellStyle name="Comma 200" xfId="20862" xr:uid="{00000000-0005-0000-0000-00007E510000}"/>
    <cellStyle name="Comma 201" xfId="20863" xr:uid="{00000000-0005-0000-0000-00007F510000}"/>
    <cellStyle name="Comma 202" xfId="20864" xr:uid="{00000000-0005-0000-0000-000080510000}"/>
    <cellStyle name="Comma 203" xfId="20865" xr:uid="{00000000-0005-0000-0000-000081510000}"/>
    <cellStyle name="Comma 204" xfId="20866" xr:uid="{00000000-0005-0000-0000-000082510000}"/>
    <cellStyle name="Comma 205" xfId="20867" xr:uid="{00000000-0005-0000-0000-000083510000}"/>
    <cellStyle name="Comma 206" xfId="20868" xr:uid="{00000000-0005-0000-0000-000084510000}"/>
    <cellStyle name="Comma 207" xfId="20869" xr:uid="{00000000-0005-0000-0000-000085510000}"/>
    <cellStyle name="Comma 208" xfId="20870" xr:uid="{00000000-0005-0000-0000-000086510000}"/>
    <cellStyle name="Comma 209" xfId="20871" xr:uid="{00000000-0005-0000-0000-000087510000}"/>
    <cellStyle name="Comma 21" xfId="20872" xr:uid="{00000000-0005-0000-0000-000088510000}"/>
    <cellStyle name="Comma 210" xfId="20873" xr:uid="{00000000-0005-0000-0000-000089510000}"/>
    <cellStyle name="Comma 211" xfId="20874" xr:uid="{00000000-0005-0000-0000-00008A510000}"/>
    <cellStyle name="Comma 212" xfId="20875" xr:uid="{00000000-0005-0000-0000-00008B510000}"/>
    <cellStyle name="Comma 213" xfId="20876" xr:uid="{00000000-0005-0000-0000-00008C510000}"/>
    <cellStyle name="Comma 214" xfId="20877" xr:uid="{00000000-0005-0000-0000-00008D510000}"/>
    <cellStyle name="Comma 215" xfId="20878" xr:uid="{00000000-0005-0000-0000-00008E510000}"/>
    <cellStyle name="Comma 216" xfId="20879" xr:uid="{00000000-0005-0000-0000-00008F510000}"/>
    <cellStyle name="Comma 217" xfId="20880" xr:uid="{00000000-0005-0000-0000-000090510000}"/>
    <cellStyle name="Comma 218" xfId="20881" xr:uid="{00000000-0005-0000-0000-000091510000}"/>
    <cellStyle name="Comma 219" xfId="20882" xr:uid="{00000000-0005-0000-0000-000092510000}"/>
    <cellStyle name="Comma 22" xfId="20883" xr:uid="{00000000-0005-0000-0000-000093510000}"/>
    <cellStyle name="Comma 220" xfId="20884" xr:uid="{00000000-0005-0000-0000-000094510000}"/>
    <cellStyle name="Comma 221" xfId="20885" xr:uid="{00000000-0005-0000-0000-000095510000}"/>
    <cellStyle name="Comma 222" xfId="20886" xr:uid="{00000000-0005-0000-0000-000096510000}"/>
    <cellStyle name="Comma 223" xfId="20887" xr:uid="{00000000-0005-0000-0000-000097510000}"/>
    <cellStyle name="Comma 224" xfId="20888" xr:uid="{00000000-0005-0000-0000-000098510000}"/>
    <cellStyle name="Comma 225" xfId="20889" xr:uid="{00000000-0005-0000-0000-000099510000}"/>
    <cellStyle name="Comma 23" xfId="20890" xr:uid="{00000000-0005-0000-0000-00009A510000}"/>
    <cellStyle name="Comma 231" xfId="34798" xr:uid="{00000000-0005-0000-0000-0000EE870000}"/>
    <cellStyle name="Comma 24" xfId="20891" xr:uid="{00000000-0005-0000-0000-00009B510000}"/>
    <cellStyle name="Comma 24 2" xfId="20892" xr:uid="{00000000-0005-0000-0000-00009C510000}"/>
    <cellStyle name="Comma 24 3" xfId="20893" xr:uid="{00000000-0005-0000-0000-00009D510000}"/>
    <cellStyle name="Comma 25" xfId="20894" xr:uid="{00000000-0005-0000-0000-00009E510000}"/>
    <cellStyle name="Comma 26" xfId="20895" xr:uid="{00000000-0005-0000-0000-00009F510000}"/>
    <cellStyle name="Comma 27" xfId="20896" xr:uid="{00000000-0005-0000-0000-0000A0510000}"/>
    <cellStyle name="Comma 28" xfId="20897" xr:uid="{00000000-0005-0000-0000-0000A1510000}"/>
    <cellStyle name="Comma 29" xfId="20898" xr:uid="{00000000-0005-0000-0000-0000A2510000}"/>
    <cellStyle name="Comma 3" xfId="8" xr:uid="{00000000-0005-0000-0000-000008000000}"/>
    <cellStyle name="Comma 3 2" xfId="20899" xr:uid="{00000000-0005-0000-0000-0000A3510000}"/>
    <cellStyle name="Comma 3 2 2" xfId="20900" xr:uid="{00000000-0005-0000-0000-0000A4510000}"/>
    <cellStyle name="Comma 3 3" xfId="20901" xr:uid="{00000000-0005-0000-0000-0000A5510000}"/>
    <cellStyle name="Comma 3 4" xfId="20902" xr:uid="{00000000-0005-0000-0000-0000A6510000}"/>
    <cellStyle name="Comma 30" xfId="20903" xr:uid="{00000000-0005-0000-0000-0000A7510000}"/>
    <cellStyle name="Comma 31" xfId="20904" xr:uid="{00000000-0005-0000-0000-0000A8510000}"/>
    <cellStyle name="Comma 32" xfId="20905" xr:uid="{00000000-0005-0000-0000-0000A9510000}"/>
    <cellStyle name="Comma 33" xfId="20906" xr:uid="{00000000-0005-0000-0000-0000AA510000}"/>
    <cellStyle name="Comma 34" xfId="20907" xr:uid="{00000000-0005-0000-0000-0000AB510000}"/>
    <cellStyle name="Comma 35" xfId="20908" xr:uid="{00000000-0005-0000-0000-0000AC510000}"/>
    <cellStyle name="Comma 36" xfId="20909" xr:uid="{00000000-0005-0000-0000-0000AD510000}"/>
    <cellStyle name="Comma 37" xfId="20910" xr:uid="{00000000-0005-0000-0000-0000AE510000}"/>
    <cellStyle name="Comma 38" xfId="20911" xr:uid="{00000000-0005-0000-0000-0000AF510000}"/>
    <cellStyle name="Comma 39" xfId="20912" xr:uid="{00000000-0005-0000-0000-0000B0510000}"/>
    <cellStyle name="Comma 4" xfId="20913" xr:uid="{00000000-0005-0000-0000-0000B1510000}"/>
    <cellStyle name="Comma 4 10" xfId="20914" xr:uid="{00000000-0005-0000-0000-0000B2510000}"/>
    <cellStyle name="Comma 4 2" xfId="20915" xr:uid="{00000000-0005-0000-0000-0000B3510000}"/>
    <cellStyle name="Comma 4 2 2" xfId="20916" xr:uid="{00000000-0005-0000-0000-0000B4510000}"/>
    <cellStyle name="Comma 4 2 2 2" xfId="20917" xr:uid="{00000000-0005-0000-0000-0000B5510000}"/>
    <cellStyle name="Comma 4 2 3" xfId="20918" xr:uid="{00000000-0005-0000-0000-0000B6510000}"/>
    <cellStyle name="Comma 4 3" xfId="20919" xr:uid="{00000000-0005-0000-0000-0000B7510000}"/>
    <cellStyle name="Comma 4 3 2" xfId="20920" xr:uid="{00000000-0005-0000-0000-0000B8510000}"/>
    <cellStyle name="Comma 4 3 2 2" xfId="20921" xr:uid="{00000000-0005-0000-0000-0000B9510000}"/>
    <cellStyle name="Comma 4 3 3" xfId="20922" xr:uid="{00000000-0005-0000-0000-0000BA510000}"/>
    <cellStyle name="Comma 4 4" xfId="20923" xr:uid="{00000000-0005-0000-0000-0000BB510000}"/>
    <cellStyle name="Comma 4 4 2" xfId="20924" xr:uid="{00000000-0005-0000-0000-0000BC510000}"/>
    <cellStyle name="Comma 4 4 2 2" xfId="20925" xr:uid="{00000000-0005-0000-0000-0000BD510000}"/>
    <cellStyle name="Comma 4 4 3" xfId="20926" xr:uid="{00000000-0005-0000-0000-0000BE510000}"/>
    <cellStyle name="Comma 4 5" xfId="20927" xr:uid="{00000000-0005-0000-0000-0000BF510000}"/>
    <cellStyle name="Comma 4 5 2" xfId="20928" xr:uid="{00000000-0005-0000-0000-0000C0510000}"/>
    <cellStyle name="Comma 4 6" xfId="20929" xr:uid="{00000000-0005-0000-0000-0000C1510000}"/>
    <cellStyle name="Comma 4 6 2" xfId="20930" xr:uid="{00000000-0005-0000-0000-0000C2510000}"/>
    <cellStyle name="Comma 4 7" xfId="20931" xr:uid="{00000000-0005-0000-0000-0000C3510000}"/>
    <cellStyle name="Comma 4 7 2" xfId="20932" xr:uid="{00000000-0005-0000-0000-0000C4510000}"/>
    <cellStyle name="Comma 4 8" xfId="20933" xr:uid="{00000000-0005-0000-0000-0000C5510000}"/>
    <cellStyle name="Comma 4 8 2" xfId="20934" xr:uid="{00000000-0005-0000-0000-0000C6510000}"/>
    <cellStyle name="Comma 4 9" xfId="20935" xr:uid="{00000000-0005-0000-0000-0000C7510000}"/>
    <cellStyle name="Comma 4 9 2" xfId="20936" xr:uid="{00000000-0005-0000-0000-0000C8510000}"/>
    <cellStyle name="Comma 40" xfId="20937" xr:uid="{00000000-0005-0000-0000-0000C9510000}"/>
    <cellStyle name="Comma 41" xfId="20938" xr:uid="{00000000-0005-0000-0000-0000CA510000}"/>
    <cellStyle name="Comma 42" xfId="20939" xr:uid="{00000000-0005-0000-0000-0000CB510000}"/>
    <cellStyle name="Comma 43" xfId="20940" xr:uid="{00000000-0005-0000-0000-0000CC510000}"/>
    <cellStyle name="Comma 44" xfId="20941" xr:uid="{00000000-0005-0000-0000-0000CD510000}"/>
    <cellStyle name="Comma 45" xfId="20942" xr:uid="{00000000-0005-0000-0000-0000CE510000}"/>
    <cellStyle name="Comma 46" xfId="20943" xr:uid="{00000000-0005-0000-0000-0000CF510000}"/>
    <cellStyle name="Comma 47" xfId="20944" xr:uid="{00000000-0005-0000-0000-0000D0510000}"/>
    <cellStyle name="Comma 48" xfId="20945" xr:uid="{00000000-0005-0000-0000-0000D1510000}"/>
    <cellStyle name="Comma 49" xfId="20946" xr:uid="{00000000-0005-0000-0000-0000D2510000}"/>
    <cellStyle name="Comma 5" xfId="20947" xr:uid="{00000000-0005-0000-0000-0000D3510000}"/>
    <cellStyle name="Comma 5 2" xfId="20948" xr:uid="{00000000-0005-0000-0000-0000D4510000}"/>
    <cellStyle name="Comma 5 2 2" xfId="20949" xr:uid="{00000000-0005-0000-0000-0000D5510000}"/>
    <cellStyle name="Comma 5 2 2 2" xfId="20950" xr:uid="{00000000-0005-0000-0000-0000D6510000}"/>
    <cellStyle name="Comma 5 2 3" xfId="20951" xr:uid="{00000000-0005-0000-0000-0000D7510000}"/>
    <cellStyle name="Comma 5 3" xfId="20952" xr:uid="{00000000-0005-0000-0000-0000D8510000}"/>
    <cellStyle name="Comma 5 4" xfId="20953" xr:uid="{00000000-0005-0000-0000-0000D9510000}"/>
    <cellStyle name="Comma 50" xfId="20954" xr:uid="{00000000-0005-0000-0000-0000DA510000}"/>
    <cellStyle name="Comma 51" xfId="20955" xr:uid="{00000000-0005-0000-0000-0000DB510000}"/>
    <cellStyle name="Comma 52" xfId="20956" xr:uid="{00000000-0005-0000-0000-0000DC510000}"/>
    <cellStyle name="Comma 52 2" xfId="20957" xr:uid="{00000000-0005-0000-0000-0000DD510000}"/>
    <cellStyle name="Comma 52 3" xfId="20958" xr:uid="{00000000-0005-0000-0000-0000DE510000}"/>
    <cellStyle name="Comma 53" xfId="20959" xr:uid="{00000000-0005-0000-0000-0000DF510000}"/>
    <cellStyle name="Comma 54" xfId="20960" xr:uid="{00000000-0005-0000-0000-0000E0510000}"/>
    <cellStyle name="Comma 55" xfId="20961" xr:uid="{00000000-0005-0000-0000-0000E1510000}"/>
    <cellStyle name="Comma 56" xfId="20962" xr:uid="{00000000-0005-0000-0000-0000E2510000}"/>
    <cellStyle name="Comma 57" xfId="20963" xr:uid="{00000000-0005-0000-0000-0000E3510000}"/>
    <cellStyle name="Comma 58" xfId="20964" xr:uid="{00000000-0005-0000-0000-0000E4510000}"/>
    <cellStyle name="Comma 59" xfId="20965" xr:uid="{00000000-0005-0000-0000-0000E5510000}"/>
    <cellStyle name="Comma 6" xfId="20966" xr:uid="{00000000-0005-0000-0000-0000E6510000}"/>
    <cellStyle name="Comma 6 2" xfId="20967" xr:uid="{00000000-0005-0000-0000-0000E7510000}"/>
    <cellStyle name="Comma 6 2 2" xfId="20968" xr:uid="{00000000-0005-0000-0000-0000E8510000}"/>
    <cellStyle name="Comma 6 2 2 2" xfId="20969" xr:uid="{00000000-0005-0000-0000-0000E9510000}"/>
    <cellStyle name="Comma 6 2 3" xfId="20970" xr:uid="{00000000-0005-0000-0000-0000EA510000}"/>
    <cellStyle name="Comma 6 3" xfId="20971" xr:uid="{00000000-0005-0000-0000-0000EB510000}"/>
    <cellStyle name="Comma 6 4" xfId="20972" xr:uid="{00000000-0005-0000-0000-0000EC510000}"/>
    <cellStyle name="Comma 60" xfId="20973" xr:uid="{00000000-0005-0000-0000-0000ED510000}"/>
    <cellStyle name="Comma 61" xfId="20974" xr:uid="{00000000-0005-0000-0000-0000EE510000}"/>
    <cellStyle name="Comma 62" xfId="20975" xr:uid="{00000000-0005-0000-0000-0000EF510000}"/>
    <cellStyle name="Comma 63" xfId="20976" xr:uid="{00000000-0005-0000-0000-0000F0510000}"/>
    <cellStyle name="Comma 64" xfId="20977" xr:uid="{00000000-0005-0000-0000-0000F1510000}"/>
    <cellStyle name="Comma 65" xfId="20978" xr:uid="{00000000-0005-0000-0000-0000F2510000}"/>
    <cellStyle name="Comma 66" xfId="20979" xr:uid="{00000000-0005-0000-0000-0000F3510000}"/>
    <cellStyle name="Comma 67" xfId="20980" xr:uid="{00000000-0005-0000-0000-0000F4510000}"/>
    <cellStyle name="Comma 68" xfId="20981" xr:uid="{00000000-0005-0000-0000-0000F5510000}"/>
    <cellStyle name="Comma 69" xfId="20982" xr:uid="{00000000-0005-0000-0000-0000F6510000}"/>
    <cellStyle name="Comma 7" xfId="20983" xr:uid="{00000000-0005-0000-0000-0000F7510000}"/>
    <cellStyle name="Comma 7 2" xfId="20984" xr:uid="{00000000-0005-0000-0000-0000F8510000}"/>
    <cellStyle name="Comma 7 3" xfId="20985" xr:uid="{00000000-0005-0000-0000-0000F9510000}"/>
    <cellStyle name="Comma 70" xfId="20986" xr:uid="{00000000-0005-0000-0000-0000FA510000}"/>
    <cellStyle name="Comma 71" xfId="20987" xr:uid="{00000000-0005-0000-0000-0000FB510000}"/>
    <cellStyle name="Comma 72" xfId="20988" xr:uid="{00000000-0005-0000-0000-0000FC510000}"/>
    <cellStyle name="Comma 73" xfId="20989" xr:uid="{00000000-0005-0000-0000-0000FD510000}"/>
    <cellStyle name="Comma 74" xfId="20990" xr:uid="{00000000-0005-0000-0000-0000FE510000}"/>
    <cellStyle name="Comma 75" xfId="20991" xr:uid="{00000000-0005-0000-0000-0000FF510000}"/>
    <cellStyle name="Comma 76" xfId="20992" xr:uid="{00000000-0005-0000-0000-000000520000}"/>
    <cellStyle name="Comma 77" xfId="20993" xr:uid="{00000000-0005-0000-0000-000001520000}"/>
    <cellStyle name="Comma 78" xfId="20994" xr:uid="{00000000-0005-0000-0000-000002520000}"/>
    <cellStyle name="Comma 79" xfId="20995" xr:uid="{00000000-0005-0000-0000-000003520000}"/>
    <cellStyle name="Comma 8" xfId="20996" xr:uid="{00000000-0005-0000-0000-000004520000}"/>
    <cellStyle name="Comma 8 2" xfId="20997" xr:uid="{00000000-0005-0000-0000-000005520000}"/>
    <cellStyle name="Comma 8 3" xfId="20998" xr:uid="{00000000-0005-0000-0000-000006520000}"/>
    <cellStyle name="Comma 80" xfId="20999" xr:uid="{00000000-0005-0000-0000-000007520000}"/>
    <cellStyle name="Comma 81" xfId="21000" xr:uid="{00000000-0005-0000-0000-000008520000}"/>
    <cellStyle name="Comma 82" xfId="21001" xr:uid="{00000000-0005-0000-0000-000009520000}"/>
    <cellStyle name="Comma 83" xfId="21002" xr:uid="{00000000-0005-0000-0000-00000A520000}"/>
    <cellStyle name="Comma 84" xfId="21003" xr:uid="{00000000-0005-0000-0000-00000B520000}"/>
    <cellStyle name="Comma 85" xfId="21004" xr:uid="{00000000-0005-0000-0000-00000C520000}"/>
    <cellStyle name="Comma 86" xfId="21005" xr:uid="{00000000-0005-0000-0000-00000D520000}"/>
    <cellStyle name="Comma 87" xfId="21006" xr:uid="{00000000-0005-0000-0000-00000E520000}"/>
    <cellStyle name="Comma 88" xfId="21007" xr:uid="{00000000-0005-0000-0000-00000F520000}"/>
    <cellStyle name="Comma 89" xfId="21008" xr:uid="{00000000-0005-0000-0000-000010520000}"/>
    <cellStyle name="Comma 9" xfId="21009" xr:uid="{00000000-0005-0000-0000-000011520000}"/>
    <cellStyle name="Comma 9 2" xfId="21010" xr:uid="{00000000-0005-0000-0000-000012520000}"/>
    <cellStyle name="Comma 9 2 2" xfId="21011" xr:uid="{00000000-0005-0000-0000-000013520000}"/>
    <cellStyle name="Comma 9 2 2 2" xfId="21012" xr:uid="{00000000-0005-0000-0000-000014520000}"/>
    <cellStyle name="Comma 9 2 3" xfId="21013" xr:uid="{00000000-0005-0000-0000-000015520000}"/>
    <cellStyle name="Comma 9 2 4" xfId="21014" xr:uid="{00000000-0005-0000-0000-000016520000}"/>
    <cellStyle name="Comma 9 3" xfId="21015" xr:uid="{00000000-0005-0000-0000-000017520000}"/>
    <cellStyle name="Comma 9 3 2" xfId="21016" xr:uid="{00000000-0005-0000-0000-000018520000}"/>
    <cellStyle name="Comma 9 3 2 2" xfId="21017" xr:uid="{00000000-0005-0000-0000-000019520000}"/>
    <cellStyle name="Comma 9 3 3" xfId="21018" xr:uid="{00000000-0005-0000-0000-00001A520000}"/>
    <cellStyle name="Comma 9 4" xfId="21019" xr:uid="{00000000-0005-0000-0000-00001B520000}"/>
    <cellStyle name="Comma 9 4 2" xfId="21020" xr:uid="{00000000-0005-0000-0000-00001C520000}"/>
    <cellStyle name="Comma 9 5" xfId="21021" xr:uid="{00000000-0005-0000-0000-00001D520000}"/>
    <cellStyle name="Comma 9 6" xfId="21022" xr:uid="{00000000-0005-0000-0000-00001E520000}"/>
    <cellStyle name="Comma 90" xfId="21023" xr:uid="{00000000-0005-0000-0000-00001F520000}"/>
    <cellStyle name="Comma 91" xfId="21024" xr:uid="{00000000-0005-0000-0000-000020520000}"/>
    <cellStyle name="Comma 92" xfId="21025" xr:uid="{00000000-0005-0000-0000-000021520000}"/>
    <cellStyle name="Comma 93" xfId="21026" xr:uid="{00000000-0005-0000-0000-000022520000}"/>
    <cellStyle name="Comma 94" xfId="21027" xr:uid="{00000000-0005-0000-0000-000023520000}"/>
    <cellStyle name="Comma 95" xfId="21028" xr:uid="{00000000-0005-0000-0000-000024520000}"/>
    <cellStyle name="Comma 96" xfId="21029" xr:uid="{00000000-0005-0000-0000-000025520000}"/>
    <cellStyle name="Comma 96 2" xfId="21030" xr:uid="{00000000-0005-0000-0000-000026520000}"/>
    <cellStyle name="Comma 96 3" xfId="21031" xr:uid="{00000000-0005-0000-0000-000027520000}"/>
    <cellStyle name="Comma 97" xfId="21032" xr:uid="{00000000-0005-0000-0000-000028520000}"/>
    <cellStyle name="Comma 98" xfId="21033" xr:uid="{00000000-0005-0000-0000-000029520000}"/>
    <cellStyle name="Comma 99" xfId="21034" xr:uid="{00000000-0005-0000-0000-00002A520000}"/>
    <cellStyle name="Comma [0]_pldt_1_ðldt_MERALCOßSGV" xfId="21035" xr:uid="{00000000-0005-0000-0000-00002B520000}"/>
    <cellStyle name="Comma0" xfId="21036" xr:uid="{00000000-0005-0000-0000-00002C520000}"/>
    <cellStyle name="Comma0 - Style1" xfId="21037" xr:uid="{00000000-0005-0000-0000-00002D520000}"/>
    <cellStyle name="Comma0 2" xfId="21038" xr:uid="{00000000-0005-0000-0000-00002E520000}"/>
    <cellStyle name="Copied" xfId="21039" xr:uid="{00000000-0005-0000-0000-00002F520000}"/>
    <cellStyle name="Curren - Style2" xfId="21040" xr:uid="{00000000-0005-0000-0000-000030520000}"/>
    <cellStyle name="Currency [00]" xfId="21041" xr:uid="{00000000-0005-0000-0000-000031520000}"/>
    <cellStyle name="custom" xfId="21042" xr:uid="{00000000-0005-0000-0000-000032520000}"/>
    <cellStyle name="Date" xfId="21043" xr:uid="{00000000-0005-0000-0000-000033520000}"/>
    <cellStyle name="Date Short" xfId="21044" xr:uid="{00000000-0005-0000-0000-000034520000}"/>
    <cellStyle name="Dezimal [0]_NEGS" xfId="21045" xr:uid="{00000000-0005-0000-0000-000035520000}"/>
    <cellStyle name="Dezimal_ Magirus " xfId="21046" xr:uid="{00000000-0005-0000-0000-000036520000}"/>
    <cellStyle name="Enter Currency (0)" xfId="21047" xr:uid="{00000000-0005-0000-0000-000037520000}"/>
    <cellStyle name="Enter Currency (2)" xfId="21048" xr:uid="{00000000-0005-0000-0000-000038520000}"/>
    <cellStyle name="Enter Units (0)" xfId="21049" xr:uid="{00000000-0005-0000-0000-000039520000}"/>
    <cellStyle name="Enter Units (1)" xfId="21050" xr:uid="{00000000-0005-0000-0000-00003A520000}"/>
    <cellStyle name="Enter Units (2)" xfId="21051" xr:uid="{00000000-0005-0000-0000-00003B520000}"/>
    <cellStyle name="Entered" xfId="21052" xr:uid="{00000000-0005-0000-0000-00003C520000}"/>
    <cellStyle name="Euro" xfId="21053" xr:uid="{00000000-0005-0000-0000-00003D520000}"/>
    <cellStyle name="Euro 2" xfId="21054" xr:uid="{00000000-0005-0000-0000-00003E520000}"/>
    <cellStyle name="Euro 2 2" xfId="21055" xr:uid="{00000000-0005-0000-0000-00003F520000}"/>
    <cellStyle name="Euro 3" xfId="21056" xr:uid="{00000000-0005-0000-0000-000040520000}"/>
    <cellStyle name="Euro 3 2" xfId="21057" xr:uid="{00000000-0005-0000-0000-000041520000}"/>
    <cellStyle name="Euro 4" xfId="21058" xr:uid="{00000000-0005-0000-0000-000042520000}"/>
    <cellStyle name="Euro 4 2" xfId="21059" xr:uid="{00000000-0005-0000-0000-000043520000}"/>
    <cellStyle name="Euro 5" xfId="21060" xr:uid="{00000000-0005-0000-0000-000044520000}"/>
    <cellStyle name="Euro 5 2" xfId="21061" xr:uid="{00000000-0005-0000-0000-000045520000}"/>
    <cellStyle name="Euro 6" xfId="21062" xr:uid="{00000000-0005-0000-0000-000046520000}"/>
    <cellStyle name="Explanatory Text 2" xfId="21063" xr:uid="{00000000-0005-0000-0000-000047520000}"/>
    <cellStyle name="Explanatory Text 2 2" xfId="21064" xr:uid="{00000000-0005-0000-0000-000048520000}"/>
    <cellStyle name="Explanatory Text 3" xfId="21065" xr:uid="{00000000-0005-0000-0000-000049520000}"/>
    <cellStyle name="Explanatory Text 3 2" xfId="21066" xr:uid="{00000000-0005-0000-0000-00004A520000}"/>
    <cellStyle name="Explanatory Text 4" xfId="21067" xr:uid="{00000000-0005-0000-0000-00004B520000}"/>
    <cellStyle name="Explanatory Text 4 2" xfId="21068" xr:uid="{00000000-0005-0000-0000-00004C520000}"/>
    <cellStyle name="Explanatory Text 5" xfId="21069" xr:uid="{00000000-0005-0000-0000-00004D520000}"/>
    <cellStyle name="Explanatory Text 5 2" xfId="21070" xr:uid="{00000000-0005-0000-0000-00004E520000}"/>
    <cellStyle name="Explanatory Text 6" xfId="21071" xr:uid="{00000000-0005-0000-0000-00004F520000}"/>
    <cellStyle name="Explanatory Text 6 2" xfId="21072" xr:uid="{00000000-0005-0000-0000-000050520000}"/>
    <cellStyle name="EY0dp" xfId="21073" xr:uid="{00000000-0005-0000-0000-000051520000}"/>
    <cellStyle name="Good 2" xfId="21074" xr:uid="{00000000-0005-0000-0000-000052520000}"/>
    <cellStyle name="Good 2 2" xfId="21075" xr:uid="{00000000-0005-0000-0000-000053520000}"/>
    <cellStyle name="Good 3" xfId="21076" xr:uid="{00000000-0005-0000-0000-000054520000}"/>
    <cellStyle name="Good 3 2" xfId="21077" xr:uid="{00000000-0005-0000-0000-000055520000}"/>
    <cellStyle name="Good 4" xfId="21078" xr:uid="{00000000-0005-0000-0000-000056520000}"/>
    <cellStyle name="Good 4 2" xfId="21079" xr:uid="{00000000-0005-0000-0000-000057520000}"/>
    <cellStyle name="Good 5" xfId="21080" xr:uid="{00000000-0005-0000-0000-000058520000}"/>
    <cellStyle name="Good 5 2" xfId="21081" xr:uid="{00000000-0005-0000-0000-000059520000}"/>
    <cellStyle name="Good 6" xfId="21082" xr:uid="{00000000-0005-0000-0000-00005A520000}"/>
    <cellStyle name="Good 6 2" xfId="21083" xr:uid="{00000000-0005-0000-0000-00005B520000}"/>
    <cellStyle name="Grey" xfId="21084" xr:uid="{00000000-0005-0000-0000-00005C520000}"/>
    <cellStyle name="Header1" xfId="21085" xr:uid="{00000000-0005-0000-0000-00005D520000}"/>
    <cellStyle name="Header2" xfId="21086" xr:uid="{00000000-0005-0000-0000-00005E520000}"/>
    <cellStyle name="Heading" xfId="21087" xr:uid="{00000000-0005-0000-0000-00005F520000}"/>
    <cellStyle name="Heading 1 2" xfId="21088" xr:uid="{00000000-0005-0000-0000-000060520000}"/>
    <cellStyle name="Heading 1 2 2" xfId="21089" xr:uid="{00000000-0005-0000-0000-000061520000}"/>
    <cellStyle name="Heading 1 3" xfId="21090" xr:uid="{00000000-0005-0000-0000-000062520000}"/>
    <cellStyle name="Heading 1 3 2" xfId="21091" xr:uid="{00000000-0005-0000-0000-000063520000}"/>
    <cellStyle name="Heading 1 4" xfId="21092" xr:uid="{00000000-0005-0000-0000-000064520000}"/>
    <cellStyle name="Heading 1 4 2" xfId="21093" xr:uid="{00000000-0005-0000-0000-000065520000}"/>
    <cellStyle name="Heading 1 5" xfId="21094" xr:uid="{00000000-0005-0000-0000-000066520000}"/>
    <cellStyle name="Heading 1 5 2" xfId="21095" xr:uid="{00000000-0005-0000-0000-000067520000}"/>
    <cellStyle name="Heading 1 6" xfId="21096" xr:uid="{00000000-0005-0000-0000-000068520000}"/>
    <cellStyle name="Heading 1 6 2" xfId="21097" xr:uid="{00000000-0005-0000-0000-000069520000}"/>
    <cellStyle name="Heading 2 2" xfId="21098" xr:uid="{00000000-0005-0000-0000-00006A520000}"/>
    <cellStyle name="Heading 2 2 2" xfId="21099" xr:uid="{00000000-0005-0000-0000-00006B520000}"/>
    <cellStyle name="Heading 2 3" xfId="21100" xr:uid="{00000000-0005-0000-0000-00006C520000}"/>
    <cellStyle name="Heading 2 3 2" xfId="21101" xr:uid="{00000000-0005-0000-0000-00006D520000}"/>
    <cellStyle name="Heading 2 4" xfId="21102" xr:uid="{00000000-0005-0000-0000-00006E520000}"/>
    <cellStyle name="Heading 2 4 2" xfId="21103" xr:uid="{00000000-0005-0000-0000-00006F520000}"/>
    <cellStyle name="Heading 2 5" xfId="21104" xr:uid="{00000000-0005-0000-0000-000070520000}"/>
    <cellStyle name="Heading 2 5 2" xfId="21105" xr:uid="{00000000-0005-0000-0000-000071520000}"/>
    <cellStyle name="Heading 2 6" xfId="21106" xr:uid="{00000000-0005-0000-0000-000072520000}"/>
    <cellStyle name="Heading 2 6 2" xfId="21107" xr:uid="{00000000-0005-0000-0000-000073520000}"/>
    <cellStyle name="Heading 3 2" xfId="21108" xr:uid="{00000000-0005-0000-0000-000074520000}"/>
    <cellStyle name="Heading 3 2 2" xfId="21109" xr:uid="{00000000-0005-0000-0000-000075520000}"/>
    <cellStyle name="Heading 3 3" xfId="21110" xr:uid="{00000000-0005-0000-0000-000076520000}"/>
    <cellStyle name="Heading 3 3 2" xfId="21111" xr:uid="{00000000-0005-0000-0000-000077520000}"/>
    <cellStyle name="Heading 3 4" xfId="21112" xr:uid="{00000000-0005-0000-0000-000078520000}"/>
    <cellStyle name="Heading 3 4 2" xfId="21113" xr:uid="{00000000-0005-0000-0000-000079520000}"/>
    <cellStyle name="Heading 3 5" xfId="21114" xr:uid="{00000000-0005-0000-0000-00007A520000}"/>
    <cellStyle name="Heading 3 5 2" xfId="21115" xr:uid="{00000000-0005-0000-0000-00007B520000}"/>
    <cellStyle name="Heading 3 6" xfId="21116" xr:uid="{00000000-0005-0000-0000-00007C520000}"/>
    <cellStyle name="Heading 3 6 2" xfId="21117" xr:uid="{00000000-0005-0000-0000-00007D520000}"/>
    <cellStyle name="Heading 4 2" xfId="21118" xr:uid="{00000000-0005-0000-0000-00007E520000}"/>
    <cellStyle name="Heading 4 2 2" xfId="21119" xr:uid="{00000000-0005-0000-0000-00007F520000}"/>
    <cellStyle name="Heading 4 3" xfId="21120" xr:uid="{00000000-0005-0000-0000-000080520000}"/>
    <cellStyle name="Heading 4 3 2" xfId="21121" xr:uid="{00000000-0005-0000-0000-000081520000}"/>
    <cellStyle name="Heading 4 4" xfId="21122" xr:uid="{00000000-0005-0000-0000-000082520000}"/>
    <cellStyle name="Heading 4 4 2" xfId="21123" xr:uid="{00000000-0005-0000-0000-000083520000}"/>
    <cellStyle name="Heading 4 5" xfId="21124" xr:uid="{00000000-0005-0000-0000-000084520000}"/>
    <cellStyle name="Heading 4 5 2" xfId="21125" xr:uid="{00000000-0005-0000-0000-000085520000}"/>
    <cellStyle name="Heading 4 6" xfId="21126" xr:uid="{00000000-0005-0000-0000-000086520000}"/>
    <cellStyle name="Heading 4 6 2" xfId="21127" xr:uid="{00000000-0005-0000-0000-000087520000}"/>
    <cellStyle name="Heading 5" xfId="21128" xr:uid="{00000000-0005-0000-0000-000088520000}"/>
    <cellStyle name="Hyperlink 2" xfId="21129" xr:uid="{00000000-0005-0000-0000-000089520000}"/>
    <cellStyle name="Hyperlink 2 2" xfId="21130" xr:uid="{00000000-0005-0000-0000-00008A520000}"/>
    <cellStyle name="Hyperlink 3" xfId="21131" xr:uid="{00000000-0005-0000-0000-00008B520000}"/>
    <cellStyle name="Hyperlink 4" xfId="21132" xr:uid="{00000000-0005-0000-0000-00008C520000}"/>
    <cellStyle name="Indent" xfId="21133" xr:uid="{00000000-0005-0000-0000-00008D520000}"/>
    <cellStyle name="Input [yellow]" xfId="21134" xr:uid="{00000000-0005-0000-0000-00008E520000}"/>
    <cellStyle name="Input 2" xfId="21135" xr:uid="{00000000-0005-0000-0000-00008F520000}"/>
    <cellStyle name="Input 2 2" xfId="21136" xr:uid="{00000000-0005-0000-0000-000090520000}"/>
    <cellStyle name="Input 3" xfId="21137" xr:uid="{00000000-0005-0000-0000-000091520000}"/>
    <cellStyle name="Input 3 2" xfId="21138" xr:uid="{00000000-0005-0000-0000-000092520000}"/>
    <cellStyle name="Input 4" xfId="21139" xr:uid="{00000000-0005-0000-0000-000093520000}"/>
    <cellStyle name="Input 4 2" xfId="21140" xr:uid="{00000000-0005-0000-0000-000094520000}"/>
    <cellStyle name="Input 5" xfId="21141" xr:uid="{00000000-0005-0000-0000-000095520000}"/>
    <cellStyle name="Input 5 2" xfId="21142" xr:uid="{00000000-0005-0000-0000-000096520000}"/>
    <cellStyle name="Input 6" xfId="21143" xr:uid="{00000000-0005-0000-0000-000097520000}"/>
    <cellStyle name="Input 6 2" xfId="21144" xr:uid="{00000000-0005-0000-0000-000098520000}"/>
    <cellStyle name="Link Currency (0)" xfId="21145" xr:uid="{00000000-0005-0000-0000-000099520000}"/>
    <cellStyle name="Link Currency (2)" xfId="21146" xr:uid="{00000000-0005-0000-0000-00009A520000}"/>
    <cellStyle name="Link Units (0)" xfId="21147" xr:uid="{00000000-0005-0000-0000-00009B520000}"/>
    <cellStyle name="Link Units (1)" xfId="21148" xr:uid="{00000000-0005-0000-0000-00009C520000}"/>
    <cellStyle name="Link Units (2)" xfId="21149" xr:uid="{00000000-0005-0000-0000-00009D520000}"/>
    <cellStyle name="Linked Cell 2" xfId="21150" xr:uid="{00000000-0005-0000-0000-00009E520000}"/>
    <cellStyle name="Linked Cell 2 2" xfId="21151" xr:uid="{00000000-0005-0000-0000-00009F520000}"/>
    <cellStyle name="Linked Cell 3" xfId="21152" xr:uid="{00000000-0005-0000-0000-0000A0520000}"/>
    <cellStyle name="Linked Cell 3 2" xfId="21153" xr:uid="{00000000-0005-0000-0000-0000A1520000}"/>
    <cellStyle name="Linked Cell 4" xfId="21154" xr:uid="{00000000-0005-0000-0000-0000A2520000}"/>
    <cellStyle name="Linked Cell 4 2" xfId="21155" xr:uid="{00000000-0005-0000-0000-0000A3520000}"/>
    <cellStyle name="Linked Cell 5" xfId="21156" xr:uid="{00000000-0005-0000-0000-0000A4520000}"/>
    <cellStyle name="Linked Cell 5 2" xfId="21157" xr:uid="{00000000-0005-0000-0000-0000A5520000}"/>
    <cellStyle name="Linked Cell 6" xfId="21158" xr:uid="{00000000-0005-0000-0000-0000A6520000}"/>
    <cellStyle name="Linked Cell 6 2" xfId="21159" xr:uid="{00000000-0005-0000-0000-0000A7520000}"/>
    <cellStyle name="Milliers [0]_!!!GO" xfId="21160" xr:uid="{00000000-0005-0000-0000-0000A8520000}"/>
    <cellStyle name="Milliers_!!!GO" xfId="21161" xr:uid="{00000000-0005-0000-0000-0000A9520000}"/>
    <cellStyle name="Monétaire [0]_!!!GO" xfId="21162" xr:uid="{00000000-0005-0000-0000-0000AA520000}"/>
    <cellStyle name="Monétaire_!!!GO" xfId="21163" xr:uid="{00000000-0005-0000-0000-0000AB520000}"/>
    <cellStyle name="Neutral 2" xfId="21164" xr:uid="{00000000-0005-0000-0000-0000AC520000}"/>
    <cellStyle name="Neutral 2 2" xfId="21165" xr:uid="{00000000-0005-0000-0000-0000AD520000}"/>
    <cellStyle name="Neutral 3" xfId="21166" xr:uid="{00000000-0005-0000-0000-0000AE520000}"/>
    <cellStyle name="Neutral 3 2" xfId="21167" xr:uid="{00000000-0005-0000-0000-0000AF520000}"/>
    <cellStyle name="Neutral 4" xfId="21168" xr:uid="{00000000-0005-0000-0000-0000B0520000}"/>
    <cellStyle name="Neutral 4 2" xfId="21169" xr:uid="{00000000-0005-0000-0000-0000B1520000}"/>
    <cellStyle name="Neutral 5" xfId="21170" xr:uid="{00000000-0005-0000-0000-0000B2520000}"/>
    <cellStyle name="Neutral 5 2" xfId="21171" xr:uid="{00000000-0005-0000-0000-0000B3520000}"/>
    <cellStyle name="Neutral 6" xfId="21172" xr:uid="{00000000-0005-0000-0000-0000B4520000}"/>
    <cellStyle name="Neutral 6 2" xfId="21173" xr:uid="{00000000-0005-0000-0000-0000B5520000}"/>
    <cellStyle name="Nor}al" xfId="21174" xr:uid="{00000000-0005-0000-0000-0000B6520000}"/>
    <cellStyle name="Nor}al 2" xfId="21175" xr:uid="{00000000-0005-0000-0000-0000B7520000}"/>
    <cellStyle name="Nor}al 3" xfId="21176" xr:uid="{00000000-0005-0000-0000-0000B8520000}"/>
    <cellStyle name="Normal" xfId="0" builtinId="0"/>
    <cellStyle name="Normal - Style1" xfId="21177" xr:uid="{00000000-0005-0000-0000-0000B9520000}"/>
    <cellStyle name="Normal - Style1 2" xfId="21178" xr:uid="{00000000-0005-0000-0000-0000BA520000}"/>
    <cellStyle name="Normal - Style1 2 2" xfId="21179" xr:uid="{00000000-0005-0000-0000-0000BB520000}"/>
    <cellStyle name="Normal - Style1 2 2 2" xfId="21180" xr:uid="{00000000-0005-0000-0000-0000BC520000}"/>
    <cellStyle name="Normal - Style1 2 2 2 2" xfId="21181" xr:uid="{00000000-0005-0000-0000-0000BD520000}"/>
    <cellStyle name="Normal - Style1 2 2 2 3" xfId="21182" xr:uid="{00000000-0005-0000-0000-0000BE520000}"/>
    <cellStyle name="Normal - Style1 2 2 3" xfId="21183" xr:uid="{00000000-0005-0000-0000-0000BF520000}"/>
    <cellStyle name="Normal - Style1 2 2 4" xfId="21184" xr:uid="{00000000-0005-0000-0000-0000C0520000}"/>
    <cellStyle name="Normal - Style1 2 3" xfId="21185" xr:uid="{00000000-0005-0000-0000-0000C1520000}"/>
    <cellStyle name="Normal - Style1 2 3 2" xfId="21186" xr:uid="{00000000-0005-0000-0000-0000C2520000}"/>
    <cellStyle name="Normal - Style1 2 3 3" xfId="21187" xr:uid="{00000000-0005-0000-0000-0000C3520000}"/>
    <cellStyle name="Normal - Style1 2 4" xfId="21188" xr:uid="{00000000-0005-0000-0000-0000C4520000}"/>
    <cellStyle name="Normal - Style1 2 5" xfId="21189" xr:uid="{00000000-0005-0000-0000-0000C5520000}"/>
    <cellStyle name="Normal 10" xfId="5" xr:uid="{00000000-0005-0000-0000-000005000000}"/>
    <cellStyle name="Normal 10 10" xfId="21190" xr:uid="{00000000-0005-0000-0000-0000C6520000}"/>
    <cellStyle name="Normal 10 10 2" xfId="21191" xr:uid="{00000000-0005-0000-0000-0000C7520000}"/>
    <cellStyle name="Normal 10 10 3" xfId="21192" xr:uid="{00000000-0005-0000-0000-0000C8520000}"/>
    <cellStyle name="Normal 10 11" xfId="21193" xr:uid="{00000000-0005-0000-0000-0000C9520000}"/>
    <cellStyle name="Normal 10 12" xfId="21194" xr:uid="{00000000-0005-0000-0000-0000CA520000}"/>
    <cellStyle name="Normal 10 2" xfId="6" xr:uid="{00000000-0005-0000-0000-000006000000}"/>
    <cellStyle name="Normal 10 2 2" xfId="20" xr:uid="{00000000-0005-0000-0000-000014000000}"/>
    <cellStyle name="Normal 10 2 2 2" xfId="21195" xr:uid="{00000000-0005-0000-0000-0000CB520000}"/>
    <cellStyle name="Normal 10 2 2 2 2" xfId="21196" xr:uid="{00000000-0005-0000-0000-0000CC520000}"/>
    <cellStyle name="Normal 10 2 2 2 2 2" xfId="21197" xr:uid="{00000000-0005-0000-0000-0000CD520000}"/>
    <cellStyle name="Normal 10 2 2 2 2 2 2" xfId="21198" xr:uid="{00000000-0005-0000-0000-0000CE520000}"/>
    <cellStyle name="Normal 10 2 2 2 2 2 3" xfId="21199" xr:uid="{00000000-0005-0000-0000-0000CF520000}"/>
    <cellStyle name="Normal 10 2 2 2 2 3" xfId="21200" xr:uid="{00000000-0005-0000-0000-0000D0520000}"/>
    <cellStyle name="Normal 10 2 2 2 2 4" xfId="21201" xr:uid="{00000000-0005-0000-0000-0000D1520000}"/>
    <cellStyle name="Normal 10 2 2 2 3" xfId="21202" xr:uid="{00000000-0005-0000-0000-0000D2520000}"/>
    <cellStyle name="Normal 10 2 2 2 3 2" xfId="21203" xr:uid="{00000000-0005-0000-0000-0000D3520000}"/>
    <cellStyle name="Normal 10 2 2 2 3 3" xfId="21204" xr:uid="{00000000-0005-0000-0000-0000D4520000}"/>
    <cellStyle name="Normal 10 2 2 2 4" xfId="21205" xr:uid="{00000000-0005-0000-0000-0000D5520000}"/>
    <cellStyle name="Normal 10 2 2 2 5" xfId="21206" xr:uid="{00000000-0005-0000-0000-0000D6520000}"/>
    <cellStyle name="Normal 10 2 2 3" xfId="21207" xr:uid="{00000000-0005-0000-0000-0000D7520000}"/>
    <cellStyle name="Normal 10 2 3" xfId="21208" xr:uid="{00000000-0005-0000-0000-0000D8520000}"/>
    <cellStyle name="Normal 10 2 3 2" xfId="21209" xr:uid="{00000000-0005-0000-0000-0000D9520000}"/>
    <cellStyle name="Normal 10 2 3 2 2" xfId="21210" xr:uid="{00000000-0005-0000-0000-0000DA520000}"/>
    <cellStyle name="Normal 10 2 3 2 2 2" xfId="21211" xr:uid="{00000000-0005-0000-0000-0000DB520000}"/>
    <cellStyle name="Normal 10 2 3 2 2 3" xfId="21212" xr:uid="{00000000-0005-0000-0000-0000DC520000}"/>
    <cellStyle name="Normal 10 2 3 2 3" xfId="21213" xr:uid="{00000000-0005-0000-0000-0000DD520000}"/>
    <cellStyle name="Normal 10 2 3 2 4" xfId="21214" xr:uid="{00000000-0005-0000-0000-0000DE520000}"/>
    <cellStyle name="Normal 10 2 3 3" xfId="21215" xr:uid="{00000000-0005-0000-0000-0000DF520000}"/>
    <cellStyle name="Normal 10 2 3 3 2" xfId="21216" xr:uid="{00000000-0005-0000-0000-0000E0520000}"/>
    <cellStyle name="Normal 10 2 3 3 3" xfId="21217" xr:uid="{00000000-0005-0000-0000-0000E1520000}"/>
    <cellStyle name="Normal 10 2 3 4" xfId="21218" xr:uid="{00000000-0005-0000-0000-0000E2520000}"/>
    <cellStyle name="Normal 10 2 3 5" xfId="21219" xr:uid="{00000000-0005-0000-0000-0000E3520000}"/>
    <cellStyle name="Normal 10 2 4" xfId="21220" xr:uid="{00000000-0005-0000-0000-0000E4520000}"/>
    <cellStyle name="Normal 10 2 5" xfId="21221" xr:uid="{00000000-0005-0000-0000-0000E5520000}"/>
    <cellStyle name="Normal 10 3" xfId="21222" xr:uid="{00000000-0005-0000-0000-0000E6520000}"/>
    <cellStyle name="Normal 10 3 2" xfId="21223" xr:uid="{00000000-0005-0000-0000-0000E7520000}"/>
    <cellStyle name="Normal 10 3 2 2" xfId="21224" xr:uid="{00000000-0005-0000-0000-0000E8520000}"/>
    <cellStyle name="Normal 10 3 2 2 2" xfId="21225" xr:uid="{00000000-0005-0000-0000-0000E9520000}"/>
    <cellStyle name="Normal 10 3 2 2 2 2" xfId="21226" xr:uid="{00000000-0005-0000-0000-0000EA520000}"/>
    <cellStyle name="Normal 10 3 2 2 2 2 2" xfId="21227" xr:uid="{00000000-0005-0000-0000-0000EB520000}"/>
    <cellStyle name="Normal 10 3 2 2 2 2 3" xfId="21228" xr:uid="{00000000-0005-0000-0000-0000EC520000}"/>
    <cellStyle name="Normal 10 3 2 2 2 3" xfId="21229" xr:uid="{00000000-0005-0000-0000-0000ED520000}"/>
    <cellStyle name="Normal 10 3 2 2 2 4" xfId="21230" xr:uid="{00000000-0005-0000-0000-0000EE520000}"/>
    <cellStyle name="Normal 10 3 2 2 3" xfId="21231" xr:uid="{00000000-0005-0000-0000-0000EF520000}"/>
    <cellStyle name="Normal 10 3 2 2 3 2" xfId="21232" xr:uid="{00000000-0005-0000-0000-0000F0520000}"/>
    <cellStyle name="Normal 10 3 2 2 3 3" xfId="21233" xr:uid="{00000000-0005-0000-0000-0000F1520000}"/>
    <cellStyle name="Normal 10 3 2 2 4" xfId="21234" xr:uid="{00000000-0005-0000-0000-0000F2520000}"/>
    <cellStyle name="Normal 10 3 2 2 5" xfId="21235" xr:uid="{00000000-0005-0000-0000-0000F3520000}"/>
    <cellStyle name="Normal 10 3 3" xfId="21236" xr:uid="{00000000-0005-0000-0000-0000F4520000}"/>
    <cellStyle name="Normal 10 3 3 2" xfId="21237" xr:uid="{00000000-0005-0000-0000-0000F5520000}"/>
    <cellStyle name="Normal 10 3 3 2 2" xfId="21238" xr:uid="{00000000-0005-0000-0000-0000F6520000}"/>
    <cellStyle name="Normal 10 3 3 2 2 2" xfId="21239" xr:uid="{00000000-0005-0000-0000-0000F7520000}"/>
    <cellStyle name="Normal 10 3 3 2 2 3" xfId="21240" xr:uid="{00000000-0005-0000-0000-0000F8520000}"/>
    <cellStyle name="Normal 10 3 3 2 3" xfId="21241" xr:uid="{00000000-0005-0000-0000-0000F9520000}"/>
    <cellStyle name="Normal 10 3 3 2 4" xfId="21242" xr:uid="{00000000-0005-0000-0000-0000FA520000}"/>
    <cellStyle name="Normal 10 3 3 3" xfId="21243" xr:uid="{00000000-0005-0000-0000-0000FB520000}"/>
    <cellStyle name="Normal 10 3 3 3 2" xfId="21244" xr:uid="{00000000-0005-0000-0000-0000FC520000}"/>
    <cellStyle name="Normal 10 3 3 3 3" xfId="21245" xr:uid="{00000000-0005-0000-0000-0000FD520000}"/>
    <cellStyle name="Normal 10 3 3 4" xfId="21246" xr:uid="{00000000-0005-0000-0000-0000FE520000}"/>
    <cellStyle name="Normal 10 3 3 5" xfId="21247" xr:uid="{00000000-0005-0000-0000-0000FF520000}"/>
    <cellStyle name="Normal 10 4" xfId="21248" xr:uid="{00000000-0005-0000-0000-000000530000}"/>
    <cellStyle name="Normal 10 4 2" xfId="21249" xr:uid="{00000000-0005-0000-0000-000001530000}"/>
    <cellStyle name="Normal 10 4 2 2" xfId="21250" xr:uid="{00000000-0005-0000-0000-000002530000}"/>
    <cellStyle name="Normal 10 4 2 2 2" xfId="21251" xr:uid="{00000000-0005-0000-0000-000003530000}"/>
    <cellStyle name="Normal 10 4 2 2 2 2" xfId="21252" xr:uid="{00000000-0005-0000-0000-000004530000}"/>
    <cellStyle name="Normal 10 4 2 2 2 2 2" xfId="21253" xr:uid="{00000000-0005-0000-0000-000005530000}"/>
    <cellStyle name="Normal 10 4 2 2 2 2 3" xfId="21254" xr:uid="{00000000-0005-0000-0000-000006530000}"/>
    <cellStyle name="Normal 10 4 2 2 2 3" xfId="21255" xr:uid="{00000000-0005-0000-0000-000007530000}"/>
    <cellStyle name="Normal 10 4 2 2 2 4" xfId="21256" xr:uid="{00000000-0005-0000-0000-000008530000}"/>
    <cellStyle name="Normal 10 4 2 2 3" xfId="21257" xr:uid="{00000000-0005-0000-0000-000009530000}"/>
    <cellStyle name="Normal 10 4 2 2 3 2" xfId="21258" xr:uid="{00000000-0005-0000-0000-00000A530000}"/>
    <cellStyle name="Normal 10 4 2 2 3 3" xfId="21259" xr:uid="{00000000-0005-0000-0000-00000B530000}"/>
    <cellStyle name="Normal 10 4 2 2 4" xfId="21260" xr:uid="{00000000-0005-0000-0000-00000C530000}"/>
    <cellStyle name="Normal 10 4 2 2 5" xfId="21261" xr:uid="{00000000-0005-0000-0000-00000D530000}"/>
    <cellStyle name="Normal 10 4 3" xfId="21262" xr:uid="{00000000-0005-0000-0000-00000E530000}"/>
    <cellStyle name="Normal 10 4 3 2" xfId="21263" xr:uid="{00000000-0005-0000-0000-00000F530000}"/>
    <cellStyle name="Normal 10 4 3 2 2" xfId="21264" xr:uid="{00000000-0005-0000-0000-000010530000}"/>
    <cellStyle name="Normal 10 4 3 2 2 2" xfId="21265" xr:uid="{00000000-0005-0000-0000-000011530000}"/>
    <cellStyle name="Normal 10 4 3 2 2 3" xfId="21266" xr:uid="{00000000-0005-0000-0000-000012530000}"/>
    <cellStyle name="Normal 10 4 3 2 3" xfId="21267" xr:uid="{00000000-0005-0000-0000-000013530000}"/>
    <cellStyle name="Normal 10 4 3 2 4" xfId="21268" xr:uid="{00000000-0005-0000-0000-000014530000}"/>
    <cellStyle name="Normal 10 4 3 3" xfId="21269" xr:uid="{00000000-0005-0000-0000-000015530000}"/>
    <cellStyle name="Normal 10 4 3 3 2" xfId="21270" xr:uid="{00000000-0005-0000-0000-000016530000}"/>
    <cellStyle name="Normal 10 4 3 3 3" xfId="21271" xr:uid="{00000000-0005-0000-0000-000017530000}"/>
    <cellStyle name="Normal 10 4 3 4" xfId="21272" xr:uid="{00000000-0005-0000-0000-000018530000}"/>
    <cellStyle name="Normal 10 4 3 5" xfId="21273" xr:uid="{00000000-0005-0000-0000-000019530000}"/>
    <cellStyle name="Normal 10 5" xfId="21274" xr:uid="{00000000-0005-0000-0000-00001A530000}"/>
    <cellStyle name="Normal 10 5 2" xfId="21275" xr:uid="{00000000-0005-0000-0000-00001B530000}"/>
    <cellStyle name="Normal 10 5 2 2" xfId="21276" xr:uid="{00000000-0005-0000-0000-00001C530000}"/>
    <cellStyle name="Normal 10 5 2 2 2" xfId="21277" xr:uid="{00000000-0005-0000-0000-00001D530000}"/>
    <cellStyle name="Normal 10 5 2 2 2 2" xfId="21278" xr:uid="{00000000-0005-0000-0000-00001E530000}"/>
    <cellStyle name="Normal 10 5 2 2 2 3" xfId="21279" xr:uid="{00000000-0005-0000-0000-00001F530000}"/>
    <cellStyle name="Normal 10 5 2 2 3" xfId="21280" xr:uid="{00000000-0005-0000-0000-000020530000}"/>
    <cellStyle name="Normal 10 5 2 2 4" xfId="21281" xr:uid="{00000000-0005-0000-0000-000021530000}"/>
    <cellStyle name="Normal 10 5 2 3" xfId="21282" xr:uid="{00000000-0005-0000-0000-000022530000}"/>
    <cellStyle name="Normal 10 5 2 3 2" xfId="21283" xr:uid="{00000000-0005-0000-0000-000023530000}"/>
    <cellStyle name="Normal 10 5 2 3 3" xfId="21284" xr:uid="{00000000-0005-0000-0000-000024530000}"/>
    <cellStyle name="Normal 10 5 2 4" xfId="21285" xr:uid="{00000000-0005-0000-0000-000025530000}"/>
    <cellStyle name="Normal 10 5 2 5" xfId="21286" xr:uid="{00000000-0005-0000-0000-000026530000}"/>
    <cellStyle name="Normal 10 6" xfId="21287" xr:uid="{00000000-0005-0000-0000-000027530000}"/>
    <cellStyle name="Normal 10 6 2" xfId="21288" xr:uid="{00000000-0005-0000-0000-000028530000}"/>
    <cellStyle name="Normal 10 6 2 2" xfId="21289" xr:uid="{00000000-0005-0000-0000-000029530000}"/>
    <cellStyle name="Normal 10 6 2 2 2" xfId="21290" xr:uid="{00000000-0005-0000-0000-00002A530000}"/>
    <cellStyle name="Normal 10 6 2 2 2 2" xfId="21291" xr:uid="{00000000-0005-0000-0000-00002B530000}"/>
    <cellStyle name="Normal 10 6 2 2 2 3" xfId="21292" xr:uid="{00000000-0005-0000-0000-00002C530000}"/>
    <cellStyle name="Normal 10 6 2 2 3" xfId="21293" xr:uid="{00000000-0005-0000-0000-00002D530000}"/>
    <cellStyle name="Normal 10 6 2 2 4" xfId="21294" xr:uid="{00000000-0005-0000-0000-00002E530000}"/>
    <cellStyle name="Normal 10 6 2 3" xfId="21295" xr:uid="{00000000-0005-0000-0000-00002F530000}"/>
    <cellStyle name="Normal 10 6 2 3 2" xfId="21296" xr:uid="{00000000-0005-0000-0000-000030530000}"/>
    <cellStyle name="Normal 10 6 2 3 3" xfId="21297" xr:uid="{00000000-0005-0000-0000-000031530000}"/>
    <cellStyle name="Normal 10 6 2 4" xfId="21298" xr:uid="{00000000-0005-0000-0000-000032530000}"/>
    <cellStyle name="Normal 10 6 2 5" xfId="21299" xr:uid="{00000000-0005-0000-0000-000033530000}"/>
    <cellStyle name="Normal 10 7" xfId="21300" xr:uid="{00000000-0005-0000-0000-000034530000}"/>
    <cellStyle name="Normal 10 7 2" xfId="21301" xr:uid="{00000000-0005-0000-0000-000035530000}"/>
    <cellStyle name="Normal 10 7 2 2" xfId="21302" xr:uid="{00000000-0005-0000-0000-000036530000}"/>
    <cellStyle name="Normal 10 7 2 2 2" xfId="21303" xr:uid="{00000000-0005-0000-0000-000037530000}"/>
    <cellStyle name="Normal 10 7 2 2 2 2" xfId="21304" xr:uid="{00000000-0005-0000-0000-000038530000}"/>
    <cellStyle name="Normal 10 7 2 2 2 3" xfId="21305" xr:uid="{00000000-0005-0000-0000-000039530000}"/>
    <cellStyle name="Normal 10 7 2 2 3" xfId="21306" xr:uid="{00000000-0005-0000-0000-00003A530000}"/>
    <cellStyle name="Normal 10 7 2 2 4" xfId="21307" xr:uid="{00000000-0005-0000-0000-00003B530000}"/>
    <cellStyle name="Normal 10 7 2 3" xfId="21308" xr:uid="{00000000-0005-0000-0000-00003C530000}"/>
    <cellStyle name="Normal 10 7 2 3 2" xfId="21309" xr:uid="{00000000-0005-0000-0000-00003D530000}"/>
    <cellStyle name="Normal 10 7 2 3 3" xfId="21310" xr:uid="{00000000-0005-0000-0000-00003E530000}"/>
    <cellStyle name="Normal 10 7 2 4" xfId="21311" xr:uid="{00000000-0005-0000-0000-00003F530000}"/>
    <cellStyle name="Normal 10 7 2 5" xfId="21312" xr:uid="{00000000-0005-0000-0000-000040530000}"/>
    <cellStyle name="Normal 10 8" xfId="21313" xr:uid="{00000000-0005-0000-0000-000041530000}"/>
    <cellStyle name="Normal 10 8 2" xfId="21314" xr:uid="{00000000-0005-0000-0000-000042530000}"/>
    <cellStyle name="Normal 10 8 2 2" xfId="21315" xr:uid="{00000000-0005-0000-0000-000043530000}"/>
    <cellStyle name="Normal 10 8 2 2 2" xfId="21316" xr:uid="{00000000-0005-0000-0000-000044530000}"/>
    <cellStyle name="Normal 10 8 2 2 2 2" xfId="21317" xr:uid="{00000000-0005-0000-0000-000045530000}"/>
    <cellStyle name="Normal 10 8 2 2 2 3" xfId="21318" xr:uid="{00000000-0005-0000-0000-000046530000}"/>
    <cellStyle name="Normal 10 8 2 2 3" xfId="21319" xr:uid="{00000000-0005-0000-0000-000047530000}"/>
    <cellStyle name="Normal 10 8 2 2 4" xfId="21320" xr:uid="{00000000-0005-0000-0000-000048530000}"/>
    <cellStyle name="Normal 10 8 2 3" xfId="21321" xr:uid="{00000000-0005-0000-0000-000049530000}"/>
    <cellStyle name="Normal 10 8 2 3 2" xfId="21322" xr:uid="{00000000-0005-0000-0000-00004A530000}"/>
    <cellStyle name="Normal 10 8 2 3 3" xfId="21323" xr:uid="{00000000-0005-0000-0000-00004B530000}"/>
    <cellStyle name="Normal 10 8 2 4" xfId="21324" xr:uid="{00000000-0005-0000-0000-00004C530000}"/>
    <cellStyle name="Normal 10 8 2 5" xfId="21325" xr:uid="{00000000-0005-0000-0000-00004D530000}"/>
    <cellStyle name="Normal 10 9" xfId="21326" xr:uid="{00000000-0005-0000-0000-00004E530000}"/>
    <cellStyle name="Normal 10 9 2" xfId="21327" xr:uid="{00000000-0005-0000-0000-00004F530000}"/>
    <cellStyle name="Normal 10 9 2 2" xfId="21328" xr:uid="{00000000-0005-0000-0000-000050530000}"/>
    <cellStyle name="Normal 10 9 2 2 2" xfId="21329" xr:uid="{00000000-0005-0000-0000-000051530000}"/>
    <cellStyle name="Normal 10 9 2 2 3" xfId="21330" xr:uid="{00000000-0005-0000-0000-000052530000}"/>
    <cellStyle name="Normal 10 9 2 3" xfId="21331" xr:uid="{00000000-0005-0000-0000-000053530000}"/>
    <cellStyle name="Normal 10 9 2 4" xfId="21332" xr:uid="{00000000-0005-0000-0000-000054530000}"/>
    <cellStyle name="Normal 10 9 3" xfId="21333" xr:uid="{00000000-0005-0000-0000-000055530000}"/>
    <cellStyle name="Normal 10 9 3 2" xfId="21334" xr:uid="{00000000-0005-0000-0000-000056530000}"/>
    <cellStyle name="Normal 10 9 3 3" xfId="21335" xr:uid="{00000000-0005-0000-0000-000057530000}"/>
    <cellStyle name="Normal 10 9 4" xfId="21336" xr:uid="{00000000-0005-0000-0000-000058530000}"/>
    <cellStyle name="Normal 10 9 5" xfId="21337" xr:uid="{00000000-0005-0000-0000-000059530000}"/>
    <cellStyle name="Normal 100" xfId="21338" xr:uid="{00000000-0005-0000-0000-00005A530000}"/>
    <cellStyle name="Normal 104" xfId="21339" xr:uid="{00000000-0005-0000-0000-00005B530000}"/>
    <cellStyle name="Normal 106" xfId="21340" xr:uid="{00000000-0005-0000-0000-00005C530000}"/>
    <cellStyle name="Normal 107" xfId="21341" xr:uid="{00000000-0005-0000-0000-00005D530000}"/>
    <cellStyle name="Normal 108" xfId="21342" xr:uid="{00000000-0005-0000-0000-00005E530000}"/>
    <cellStyle name="Normal 11" xfId="3" xr:uid="{00000000-0005-0000-0000-000003000000}"/>
    <cellStyle name="Normal 11 2" xfId="11" xr:uid="{00000000-0005-0000-0000-00000B000000}"/>
    <cellStyle name="Normal 11 2 2" xfId="21343" xr:uid="{00000000-0005-0000-0000-00005F530000}"/>
    <cellStyle name="Normal 11 2 2 2" xfId="21344" xr:uid="{00000000-0005-0000-0000-000060530000}"/>
    <cellStyle name="Normal 11 2 2 2 2" xfId="21345" xr:uid="{00000000-0005-0000-0000-000061530000}"/>
    <cellStyle name="Normal 11 2 2 2 3" xfId="21346" xr:uid="{00000000-0005-0000-0000-000062530000}"/>
    <cellStyle name="Normal 11 2 2 3" xfId="21347" xr:uid="{00000000-0005-0000-0000-000063530000}"/>
    <cellStyle name="Normal 11 2 2 4" xfId="21348" xr:uid="{00000000-0005-0000-0000-000064530000}"/>
    <cellStyle name="Normal 11 2 3" xfId="21349" xr:uid="{00000000-0005-0000-0000-000065530000}"/>
    <cellStyle name="Normal 11 2 3 2" xfId="21350" xr:uid="{00000000-0005-0000-0000-000066530000}"/>
    <cellStyle name="Normal 11 2 3 3" xfId="21351" xr:uid="{00000000-0005-0000-0000-000067530000}"/>
    <cellStyle name="Normal 11 2 4" xfId="21352" xr:uid="{00000000-0005-0000-0000-000068530000}"/>
    <cellStyle name="Normal 11 2 5" xfId="21353" xr:uid="{00000000-0005-0000-0000-000069530000}"/>
    <cellStyle name="Normal 11 3" xfId="21354" xr:uid="{00000000-0005-0000-0000-00006A530000}"/>
    <cellStyle name="Normal 11 3 2" xfId="21355" xr:uid="{00000000-0005-0000-0000-00006B530000}"/>
    <cellStyle name="Normal 11 4" xfId="21356" xr:uid="{00000000-0005-0000-0000-00006C530000}"/>
    <cellStyle name="Normal 11 4 2" xfId="21357" xr:uid="{00000000-0005-0000-0000-00006D530000}"/>
    <cellStyle name="Normal 11 4 2 2" xfId="21358" xr:uid="{00000000-0005-0000-0000-00006E530000}"/>
    <cellStyle name="Normal 11 4 2 3" xfId="21359" xr:uid="{00000000-0005-0000-0000-00006F530000}"/>
    <cellStyle name="Normal 11 4 3" xfId="21360" xr:uid="{00000000-0005-0000-0000-000070530000}"/>
    <cellStyle name="Normal 11 4 3 2" xfId="21361" xr:uid="{00000000-0005-0000-0000-000071530000}"/>
    <cellStyle name="Normal 11 4 3 3" xfId="21362" xr:uid="{00000000-0005-0000-0000-000072530000}"/>
    <cellStyle name="Normal 11 4 4" xfId="21363" xr:uid="{00000000-0005-0000-0000-000073530000}"/>
    <cellStyle name="Normal 11 4 5" xfId="21364" xr:uid="{00000000-0005-0000-0000-000074530000}"/>
    <cellStyle name="Normal 11 5" xfId="21365" xr:uid="{00000000-0005-0000-0000-000075530000}"/>
    <cellStyle name="Normal 11_Note" xfId="12" xr:uid="{00000000-0005-0000-0000-00000C000000}"/>
    <cellStyle name="Normal 119" xfId="34799" xr:uid="{00000000-0005-0000-0000-0000EF870000}"/>
    <cellStyle name="Normal 12" xfId="21366" xr:uid="{00000000-0005-0000-0000-000076530000}"/>
    <cellStyle name="Normal 12 10" xfId="21367" xr:uid="{00000000-0005-0000-0000-000077530000}"/>
    <cellStyle name="Normal 12 10 2" xfId="21368" xr:uid="{00000000-0005-0000-0000-000078530000}"/>
    <cellStyle name="Normal 12 10 2 2" xfId="21369" xr:uid="{00000000-0005-0000-0000-000079530000}"/>
    <cellStyle name="Normal 12 10 2 3" xfId="21370" xr:uid="{00000000-0005-0000-0000-00007A530000}"/>
    <cellStyle name="Normal 12 10 3" xfId="21371" xr:uid="{00000000-0005-0000-0000-00007B530000}"/>
    <cellStyle name="Normal 12 10 4" xfId="21372" xr:uid="{00000000-0005-0000-0000-00007C530000}"/>
    <cellStyle name="Normal 12 11" xfId="21373" xr:uid="{00000000-0005-0000-0000-00007D530000}"/>
    <cellStyle name="Normal 12 11 2" xfId="21374" xr:uid="{00000000-0005-0000-0000-00007E530000}"/>
    <cellStyle name="Normal 12 11 3" xfId="21375" xr:uid="{00000000-0005-0000-0000-00007F530000}"/>
    <cellStyle name="Normal 12 12" xfId="21376" xr:uid="{00000000-0005-0000-0000-000080530000}"/>
    <cellStyle name="Normal 12 13" xfId="21377" xr:uid="{00000000-0005-0000-0000-000081530000}"/>
    <cellStyle name="Normal 12 2" xfId="21378" xr:uid="{00000000-0005-0000-0000-000082530000}"/>
    <cellStyle name="Normal 12 2 10" xfId="21379" xr:uid="{00000000-0005-0000-0000-000083530000}"/>
    <cellStyle name="Normal 12 2 2" xfId="21380" xr:uid="{00000000-0005-0000-0000-000084530000}"/>
    <cellStyle name="Normal 12 2 2 2" xfId="21381" xr:uid="{00000000-0005-0000-0000-000085530000}"/>
    <cellStyle name="Normal 12 2 2 2 2" xfId="21382" xr:uid="{00000000-0005-0000-0000-000086530000}"/>
    <cellStyle name="Normal 12 2 2 2 2 2" xfId="21383" xr:uid="{00000000-0005-0000-0000-000087530000}"/>
    <cellStyle name="Normal 12 2 2 2 2 2 2" xfId="21384" xr:uid="{00000000-0005-0000-0000-000088530000}"/>
    <cellStyle name="Normal 12 2 2 2 2 2 2 2" xfId="21385" xr:uid="{00000000-0005-0000-0000-000089530000}"/>
    <cellStyle name="Normal 12 2 2 2 2 2 2 2 2" xfId="21386" xr:uid="{00000000-0005-0000-0000-00008A530000}"/>
    <cellStyle name="Normal 12 2 2 2 2 2 2 2 2 2" xfId="21387" xr:uid="{00000000-0005-0000-0000-00008B530000}"/>
    <cellStyle name="Normal 12 2 2 2 2 2 2 2 2 3" xfId="21388" xr:uid="{00000000-0005-0000-0000-00008C530000}"/>
    <cellStyle name="Normal 12 2 2 2 2 2 2 2 3" xfId="21389" xr:uid="{00000000-0005-0000-0000-00008D530000}"/>
    <cellStyle name="Normal 12 2 2 2 2 2 2 2 4" xfId="21390" xr:uid="{00000000-0005-0000-0000-00008E530000}"/>
    <cellStyle name="Normal 12 2 2 2 2 2 2 3" xfId="21391" xr:uid="{00000000-0005-0000-0000-00008F530000}"/>
    <cellStyle name="Normal 12 2 2 2 2 2 2 3 2" xfId="21392" xr:uid="{00000000-0005-0000-0000-000090530000}"/>
    <cellStyle name="Normal 12 2 2 2 2 2 2 3 3" xfId="21393" xr:uid="{00000000-0005-0000-0000-000091530000}"/>
    <cellStyle name="Normal 12 2 2 2 2 2 2 4" xfId="21394" xr:uid="{00000000-0005-0000-0000-000092530000}"/>
    <cellStyle name="Normal 12 2 2 2 2 2 2 5" xfId="21395" xr:uid="{00000000-0005-0000-0000-000093530000}"/>
    <cellStyle name="Normal 12 2 2 2 2 2 3" xfId="21396" xr:uid="{00000000-0005-0000-0000-000094530000}"/>
    <cellStyle name="Normal 12 2 2 2 2 2 3 2" xfId="21397" xr:uid="{00000000-0005-0000-0000-000095530000}"/>
    <cellStyle name="Normal 12 2 2 2 2 2 3 2 2" xfId="21398" xr:uid="{00000000-0005-0000-0000-000096530000}"/>
    <cellStyle name="Normal 12 2 2 2 2 2 3 2 3" xfId="21399" xr:uid="{00000000-0005-0000-0000-000097530000}"/>
    <cellStyle name="Normal 12 2 2 2 2 2 3 3" xfId="21400" xr:uid="{00000000-0005-0000-0000-000098530000}"/>
    <cellStyle name="Normal 12 2 2 2 2 2 3 4" xfId="21401" xr:uid="{00000000-0005-0000-0000-000099530000}"/>
    <cellStyle name="Normal 12 2 2 2 2 2 4" xfId="21402" xr:uid="{00000000-0005-0000-0000-00009A530000}"/>
    <cellStyle name="Normal 12 2 2 2 2 2 4 2" xfId="21403" xr:uid="{00000000-0005-0000-0000-00009B530000}"/>
    <cellStyle name="Normal 12 2 2 2 2 2 4 3" xfId="21404" xr:uid="{00000000-0005-0000-0000-00009C530000}"/>
    <cellStyle name="Normal 12 2 2 2 2 2 5" xfId="21405" xr:uid="{00000000-0005-0000-0000-00009D530000}"/>
    <cellStyle name="Normal 12 2 2 2 2 2 6" xfId="21406" xr:uid="{00000000-0005-0000-0000-00009E530000}"/>
    <cellStyle name="Normal 12 2 2 2 2 3" xfId="21407" xr:uid="{00000000-0005-0000-0000-00009F530000}"/>
    <cellStyle name="Normal 12 2 2 2 2 3 2" xfId="21408" xr:uid="{00000000-0005-0000-0000-0000A0530000}"/>
    <cellStyle name="Normal 12 2 2 2 2 3 2 2" xfId="21409" xr:uid="{00000000-0005-0000-0000-0000A1530000}"/>
    <cellStyle name="Normal 12 2 2 2 2 3 2 2 2" xfId="21410" xr:uid="{00000000-0005-0000-0000-0000A2530000}"/>
    <cellStyle name="Normal 12 2 2 2 2 3 2 2 3" xfId="21411" xr:uid="{00000000-0005-0000-0000-0000A3530000}"/>
    <cellStyle name="Normal 12 2 2 2 2 3 2 3" xfId="21412" xr:uid="{00000000-0005-0000-0000-0000A4530000}"/>
    <cellStyle name="Normal 12 2 2 2 2 3 2 4" xfId="21413" xr:uid="{00000000-0005-0000-0000-0000A5530000}"/>
    <cellStyle name="Normal 12 2 2 2 2 3 3" xfId="21414" xr:uid="{00000000-0005-0000-0000-0000A6530000}"/>
    <cellStyle name="Normal 12 2 2 2 2 3 3 2" xfId="21415" xr:uid="{00000000-0005-0000-0000-0000A7530000}"/>
    <cellStyle name="Normal 12 2 2 2 2 3 3 3" xfId="21416" xr:uid="{00000000-0005-0000-0000-0000A8530000}"/>
    <cellStyle name="Normal 12 2 2 2 2 3 4" xfId="21417" xr:uid="{00000000-0005-0000-0000-0000A9530000}"/>
    <cellStyle name="Normal 12 2 2 2 2 3 5" xfId="21418" xr:uid="{00000000-0005-0000-0000-0000AA530000}"/>
    <cellStyle name="Normal 12 2 2 2 2 4" xfId="21419" xr:uid="{00000000-0005-0000-0000-0000AB530000}"/>
    <cellStyle name="Normal 12 2 2 2 2 4 2" xfId="21420" xr:uid="{00000000-0005-0000-0000-0000AC530000}"/>
    <cellStyle name="Normal 12 2 2 2 2 4 2 2" xfId="21421" xr:uid="{00000000-0005-0000-0000-0000AD530000}"/>
    <cellStyle name="Normal 12 2 2 2 2 4 2 3" xfId="21422" xr:uid="{00000000-0005-0000-0000-0000AE530000}"/>
    <cellStyle name="Normal 12 2 2 2 2 4 3" xfId="21423" xr:uid="{00000000-0005-0000-0000-0000AF530000}"/>
    <cellStyle name="Normal 12 2 2 2 2 4 4" xfId="21424" xr:uid="{00000000-0005-0000-0000-0000B0530000}"/>
    <cellStyle name="Normal 12 2 2 2 2 5" xfId="21425" xr:uid="{00000000-0005-0000-0000-0000B1530000}"/>
    <cellStyle name="Normal 12 2 2 2 2 5 2" xfId="21426" xr:uid="{00000000-0005-0000-0000-0000B2530000}"/>
    <cellStyle name="Normal 12 2 2 2 2 5 3" xfId="21427" xr:uid="{00000000-0005-0000-0000-0000B3530000}"/>
    <cellStyle name="Normal 12 2 2 2 2 6" xfId="21428" xr:uid="{00000000-0005-0000-0000-0000B4530000}"/>
    <cellStyle name="Normal 12 2 2 2 2 7" xfId="21429" xr:uid="{00000000-0005-0000-0000-0000B5530000}"/>
    <cellStyle name="Normal 12 2 2 2 3" xfId="21430" xr:uid="{00000000-0005-0000-0000-0000B6530000}"/>
    <cellStyle name="Normal 12 2 2 2 3 2" xfId="21431" xr:uid="{00000000-0005-0000-0000-0000B7530000}"/>
    <cellStyle name="Normal 12 2 2 2 3 2 2" xfId="21432" xr:uid="{00000000-0005-0000-0000-0000B8530000}"/>
    <cellStyle name="Normal 12 2 2 2 3 2 2 2" xfId="21433" xr:uid="{00000000-0005-0000-0000-0000B9530000}"/>
    <cellStyle name="Normal 12 2 2 2 3 2 2 2 2" xfId="21434" xr:uid="{00000000-0005-0000-0000-0000BA530000}"/>
    <cellStyle name="Normal 12 2 2 2 3 2 2 2 3" xfId="21435" xr:uid="{00000000-0005-0000-0000-0000BB530000}"/>
    <cellStyle name="Normal 12 2 2 2 3 2 2 3" xfId="21436" xr:uid="{00000000-0005-0000-0000-0000BC530000}"/>
    <cellStyle name="Normal 12 2 2 2 3 2 2 4" xfId="21437" xr:uid="{00000000-0005-0000-0000-0000BD530000}"/>
    <cellStyle name="Normal 12 2 2 2 3 2 3" xfId="21438" xr:uid="{00000000-0005-0000-0000-0000BE530000}"/>
    <cellStyle name="Normal 12 2 2 2 3 2 3 2" xfId="21439" xr:uid="{00000000-0005-0000-0000-0000BF530000}"/>
    <cellStyle name="Normal 12 2 2 2 3 2 3 3" xfId="21440" xr:uid="{00000000-0005-0000-0000-0000C0530000}"/>
    <cellStyle name="Normal 12 2 2 2 3 2 4" xfId="21441" xr:uid="{00000000-0005-0000-0000-0000C1530000}"/>
    <cellStyle name="Normal 12 2 2 2 3 2 5" xfId="21442" xr:uid="{00000000-0005-0000-0000-0000C2530000}"/>
    <cellStyle name="Normal 12 2 2 2 3 3" xfId="21443" xr:uid="{00000000-0005-0000-0000-0000C3530000}"/>
    <cellStyle name="Normal 12 2 2 2 3 3 2" xfId="21444" xr:uid="{00000000-0005-0000-0000-0000C4530000}"/>
    <cellStyle name="Normal 12 2 2 2 3 3 2 2" xfId="21445" xr:uid="{00000000-0005-0000-0000-0000C5530000}"/>
    <cellStyle name="Normal 12 2 2 2 3 3 2 3" xfId="21446" xr:uid="{00000000-0005-0000-0000-0000C6530000}"/>
    <cellStyle name="Normal 12 2 2 2 3 3 3" xfId="21447" xr:uid="{00000000-0005-0000-0000-0000C7530000}"/>
    <cellStyle name="Normal 12 2 2 2 3 3 4" xfId="21448" xr:uid="{00000000-0005-0000-0000-0000C8530000}"/>
    <cellStyle name="Normal 12 2 2 2 3 4" xfId="21449" xr:uid="{00000000-0005-0000-0000-0000C9530000}"/>
    <cellStyle name="Normal 12 2 2 2 3 4 2" xfId="21450" xr:uid="{00000000-0005-0000-0000-0000CA530000}"/>
    <cellStyle name="Normal 12 2 2 2 3 4 3" xfId="21451" xr:uid="{00000000-0005-0000-0000-0000CB530000}"/>
    <cellStyle name="Normal 12 2 2 2 3 5" xfId="21452" xr:uid="{00000000-0005-0000-0000-0000CC530000}"/>
    <cellStyle name="Normal 12 2 2 2 3 6" xfId="21453" xr:uid="{00000000-0005-0000-0000-0000CD530000}"/>
    <cellStyle name="Normal 12 2 2 2 4" xfId="21454" xr:uid="{00000000-0005-0000-0000-0000CE530000}"/>
    <cellStyle name="Normal 12 2 2 2 4 2" xfId="21455" xr:uid="{00000000-0005-0000-0000-0000CF530000}"/>
    <cellStyle name="Normal 12 2 2 2 4 2 2" xfId="21456" xr:uid="{00000000-0005-0000-0000-0000D0530000}"/>
    <cellStyle name="Normal 12 2 2 2 4 2 2 2" xfId="21457" xr:uid="{00000000-0005-0000-0000-0000D1530000}"/>
    <cellStyle name="Normal 12 2 2 2 4 2 2 3" xfId="21458" xr:uid="{00000000-0005-0000-0000-0000D2530000}"/>
    <cellStyle name="Normal 12 2 2 2 4 2 3" xfId="21459" xr:uid="{00000000-0005-0000-0000-0000D3530000}"/>
    <cellStyle name="Normal 12 2 2 2 4 2 4" xfId="21460" xr:uid="{00000000-0005-0000-0000-0000D4530000}"/>
    <cellStyle name="Normal 12 2 2 2 4 3" xfId="21461" xr:uid="{00000000-0005-0000-0000-0000D5530000}"/>
    <cellStyle name="Normal 12 2 2 2 4 3 2" xfId="21462" xr:uid="{00000000-0005-0000-0000-0000D6530000}"/>
    <cellStyle name="Normal 12 2 2 2 4 3 3" xfId="21463" xr:uid="{00000000-0005-0000-0000-0000D7530000}"/>
    <cellStyle name="Normal 12 2 2 2 4 4" xfId="21464" xr:uid="{00000000-0005-0000-0000-0000D8530000}"/>
    <cellStyle name="Normal 12 2 2 2 4 5" xfId="21465" xr:uid="{00000000-0005-0000-0000-0000D9530000}"/>
    <cellStyle name="Normal 12 2 2 2 5" xfId="21466" xr:uid="{00000000-0005-0000-0000-0000DA530000}"/>
    <cellStyle name="Normal 12 2 2 2 5 2" xfId="21467" xr:uid="{00000000-0005-0000-0000-0000DB530000}"/>
    <cellStyle name="Normal 12 2 2 2 5 2 2" xfId="21468" xr:uid="{00000000-0005-0000-0000-0000DC530000}"/>
    <cellStyle name="Normal 12 2 2 2 5 2 3" xfId="21469" xr:uid="{00000000-0005-0000-0000-0000DD530000}"/>
    <cellStyle name="Normal 12 2 2 2 5 3" xfId="21470" xr:uid="{00000000-0005-0000-0000-0000DE530000}"/>
    <cellStyle name="Normal 12 2 2 2 5 4" xfId="21471" xr:uid="{00000000-0005-0000-0000-0000DF530000}"/>
    <cellStyle name="Normal 12 2 2 2 6" xfId="21472" xr:uid="{00000000-0005-0000-0000-0000E0530000}"/>
    <cellStyle name="Normal 12 2 2 2 6 2" xfId="21473" xr:uid="{00000000-0005-0000-0000-0000E1530000}"/>
    <cellStyle name="Normal 12 2 2 2 6 3" xfId="21474" xr:uid="{00000000-0005-0000-0000-0000E2530000}"/>
    <cellStyle name="Normal 12 2 2 2 7" xfId="21475" xr:uid="{00000000-0005-0000-0000-0000E3530000}"/>
    <cellStyle name="Normal 12 2 2 2 8" xfId="21476" xr:uid="{00000000-0005-0000-0000-0000E4530000}"/>
    <cellStyle name="Normal 12 2 2 3" xfId="21477" xr:uid="{00000000-0005-0000-0000-0000E5530000}"/>
    <cellStyle name="Normal 12 2 2 3 2" xfId="21478" xr:uid="{00000000-0005-0000-0000-0000E6530000}"/>
    <cellStyle name="Normal 12 2 2 3 2 2" xfId="21479" xr:uid="{00000000-0005-0000-0000-0000E7530000}"/>
    <cellStyle name="Normal 12 2 2 3 2 2 2" xfId="21480" xr:uid="{00000000-0005-0000-0000-0000E8530000}"/>
    <cellStyle name="Normal 12 2 2 3 2 2 2 2" xfId="21481" xr:uid="{00000000-0005-0000-0000-0000E9530000}"/>
    <cellStyle name="Normal 12 2 2 3 2 2 2 2 2" xfId="21482" xr:uid="{00000000-0005-0000-0000-0000EA530000}"/>
    <cellStyle name="Normal 12 2 2 3 2 2 2 2 3" xfId="21483" xr:uid="{00000000-0005-0000-0000-0000EB530000}"/>
    <cellStyle name="Normal 12 2 2 3 2 2 2 3" xfId="21484" xr:uid="{00000000-0005-0000-0000-0000EC530000}"/>
    <cellStyle name="Normal 12 2 2 3 2 2 2 4" xfId="21485" xr:uid="{00000000-0005-0000-0000-0000ED530000}"/>
    <cellStyle name="Normal 12 2 2 3 2 2 3" xfId="21486" xr:uid="{00000000-0005-0000-0000-0000EE530000}"/>
    <cellStyle name="Normal 12 2 2 3 2 2 3 2" xfId="21487" xr:uid="{00000000-0005-0000-0000-0000EF530000}"/>
    <cellStyle name="Normal 12 2 2 3 2 2 3 3" xfId="21488" xr:uid="{00000000-0005-0000-0000-0000F0530000}"/>
    <cellStyle name="Normal 12 2 2 3 2 2 4" xfId="21489" xr:uid="{00000000-0005-0000-0000-0000F1530000}"/>
    <cellStyle name="Normal 12 2 2 3 2 2 5" xfId="21490" xr:uid="{00000000-0005-0000-0000-0000F2530000}"/>
    <cellStyle name="Normal 12 2 2 3 2 3" xfId="21491" xr:uid="{00000000-0005-0000-0000-0000F3530000}"/>
    <cellStyle name="Normal 12 2 2 3 2 3 2" xfId="21492" xr:uid="{00000000-0005-0000-0000-0000F4530000}"/>
    <cellStyle name="Normal 12 2 2 3 2 3 2 2" xfId="21493" xr:uid="{00000000-0005-0000-0000-0000F5530000}"/>
    <cellStyle name="Normal 12 2 2 3 2 3 2 3" xfId="21494" xr:uid="{00000000-0005-0000-0000-0000F6530000}"/>
    <cellStyle name="Normal 12 2 2 3 2 3 3" xfId="21495" xr:uid="{00000000-0005-0000-0000-0000F7530000}"/>
    <cellStyle name="Normal 12 2 2 3 2 3 4" xfId="21496" xr:uid="{00000000-0005-0000-0000-0000F8530000}"/>
    <cellStyle name="Normal 12 2 2 3 2 4" xfId="21497" xr:uid="{00000000-0005-0000-0000-0000F9530000}"/>
    <cellStyle name="Normal 12 2 2 3 2 4 2" xfId="21498" xr:uid="{00000000-0005-0000-0000-0000FA530000}"/>
    <cellStyle name="Normal 12 2 2 3 2 4 3" xfId="21499" xr:uid="{00000000-0005-0000-0000-0000FB530000}"/>
    <cellStyle name="Normal 12 2 2 3 2 5" xfId="21500" xr:uid="{00000000-0005-0000-0000-0000FC530000}"/>
    <cellStyle name="Normal 12 2 2 3 2 6" xfId="21501" xr:uid="{00000000-0005-0000-0000-0000FD530000}"/>
    <cellStyle name="Normal 12 2 2 3 3" xfId="21502" xr:uid="{00000000-0005-0000-0000-0000FE530000}"/>
    <cellStyle name="Normal 12 2 2 3 3 2" xfId="21503" xr:uid="{00000000-0005-0000-0000-0000FF530000}"/>
    <cellStyle name="Normal 12 2 2 3 3 2 2" xfId="21504" xr:uid="{00000000-0005-0000-0000-000000540000}"/>
    <cellStyle name="Normal 12 2 2 3 3 2 2 2" xfId="21505" xr:uid="{00000000-0005-0000-0000-000001540000}"/>
    <cellStyle name="Normal 12 2 2 3 3 2 2 3" xfId="21506" xr:uid="{00000000-0005-0000-0000-000002540000}"/>
    <cellStyle name="Normal 12 2 2 3 3 2 3" xfId="21507" xr:uid="{00000000-0005-0000-0000-000003540000}"/>
    <cellStyle name="Normal 12 2 2 3 3 2 4" xfId="21508" xr:uid="{00000000-0005-0000-0000-000004540000}"/>
    <cellStyle name="Normal 12 2 2 3 3 3" xfId="21509" xr:uid="{00000000-0005-0000-0000-000005540000}"/>
    <cellStyle name="Normal 12 2 2 3 3 3 2" xfId="21510" xr:uid="{00000000-0005-0000-0000-000006540000}"/>
    <cellStyle name="Normal 12 2 2 3 3 3 3" xfId="21511" xr:uid="{00000000-0005-0000-0000-000007540000}"/>
    <cellStyle name="Normal 12 2 2 3 3 4" xfId="21512" xr:uid="{00000000-0005-0000-0000-000008540000}"/>
    <cellStyle name="Normal 12 2 2 3 3 5" xfId="21513" xr:uid="{00000000-0005-0000-0000-000009540000}"/>
    <cellStyle name="Normal 12 2 2 3 4" xfId="21514" xr:uid="{00000000-0005-0000-0000-00000A540000}"/>
    <cellStyle name="Normal 12 2 2 3 4 2" xfId="21515" xr:uid="{00000000-0005-0000-0000-00000B540000}"/>
    <cellStyle name="Normal 12 2 2 3 4 2 2" xfId="21516" xr:uid="{00000000-0005-0000-0000-00000C540000}"/>
    <cellStyle name="Normal 12 2 2 3 4 2 3" xfId="21517" xr:uid="{00000000-0005-0000-0000-00000D540000}"/>
    <cellStyle name="Normal 12 2 2 3 4 3" xfId="21518" xr:uid="{00000000-0005-0000-0000-00000E540000}"/>
    <cellStyle name="Normal 12 2 2 3 4 4" xfId="21519" xr:uid="{00000000-0005-0000-0000-00000F540000}"/>
    <cellStyle name="Normal 12 2 2 3 5" xfId="21520" xr:uid="{00000000-0005-0000-0000-000010540000}"/>
    <cellStyle name="Normal 12 2 2 3 5 2" xfId="21521" xr:uid="{00000000-0005-0000-0000-000011540000}"/>
    <cellStyle name="Normal 12 2 2 3 5 3" xfId="21522" xr:uid="{00000000-0005-0000-0000-000012540000}"/>
    <cellStyle name="Normal 12 2 2 3 6" xfId="21523" xr:uid="{00000000-0005-0000-0000-000013540000}"/>
    <cellStyle name="Normal 12 2 2 3 7" xfId="21524" xr:uid="{00000000-0005-0000-0000-000014540000}"/>
    <cellStyle name="Normal 12 2 2 4" xfId="21525" xr:uid="{00000000-0005-0000-0000-000015540000}"/>
    <cellStyle name="Normal 12 2 2 4 2" xfId="21526" xr:uid="{00000000-0005-0000-0000-000016540000}"/>
    <cellStyle name="Normal 12 2 2 4 2 2" xfId="21527" xr:uid="{00000000-0005-0000-0000-000017540000}"/>
    <cellStyle name="Normal 12 2 2 4 2 2 2" xfId="21528" xr:uid="{00000000-0005-0000-0000-000018540000}"/>
    <cellStyle name="Normal 12 2 2 4 2 2 2 2" xfId="21529" xr:uid="{00000000-0005-0000-0000-000019540000}"/>
    <cellStyle name="Normal 12 2 2 4 2 2 2 3" xfId="21530" xr:uid="{00000000-0005-0000-0000-00001A540000}"/>
    <cellStyle name="Normal 12 2 2 4 2 2 3" xfId="21531" xr:uid="{00000000-0005-0000-0000-00001B540000}"/>
    <cellStyle name="Normal 12 2 2 4 2 2 4" xfId="21532" xr:uid="{00000000-0005-0000-0000-00001C540000}"/>
    <cellStyle name="Normal 12 2 2 4 2 3" xfId="21533" xr:uid="{00000000-0005-0000-0000-00001D540000}"/>
    <cellStyle name="Normal 12 2 2 4 2 3 2" xfId="21534" xr:uid="{00000000-0005-0000-0000-00001E540000}"/>
    <cellStyle name="Normal 12 2 2 4 2 3 3" xfId="21535" xr:uid="{00000000-0005-0000-0000-00001F540000}"/>
    <cellStyle name="Normal 12 2 2 4 2 4" xfId="21536" xr:uid="{00000000-0005-0000-0000-000020540000}"/>
    <cellStyle name="Normal 12 2 2 4 2 5" xfId="21537" xr:uid="{00000000-0005-0000-0000-000021540000}"/>
    <cellStyle name="Normal 12 2 2 4 3" xfId="21538" xr:uid="{00000000-0005-0000-0000-000022540000}"/>
    <cellStyle name="Normal 12 2 2 4 3 2" xfId="21539" xr:uid="{00000000-0005-0000-0000-000023540000}"/>
    <cellStyle name="Normal 12 2 2 4 3 2 2" xfId="21540" xr:uid="{00000000-0005-0000-0000-000024540000}"/>
    <cellStyle name="Normal 12 2 2 4 3 2 3" xfId="21541" xr:uid="{00000000-0005-0000-0000-000025540000}"/>
    <cellStyle name="Normal 12 2 2 4 3 3" xfId="21542" xr:uid="{00000000-0005-0000-0000-000026540000}"/>
    <cellStyle name="Normal 12 2 2 4 3 4" xfId="21543" xr:uid="{00000000-0005-0000-0000-000027540000}"/>
    <cellStyle name="Normal 12 2 2 4 4" xfId="21544" xr:uid="{00000000-0005-0000-0000-000028540000}"/>
    <cellStyle name="Normal 12 2 2 4 4 2" xfId="21545" xr:uid="{00000000-0005-0000-0000-000029540000}"/>
    <cellStyle name="Normal 12 2 2 4 4 3" xfId="21546" xr:uid="{00000000-0005-0000-0000-00002A540000}"/>
    <cellStyle name="Normal 12 2 2 4 5" xfId="21547" xr:uid="{00000000-0005-0000-0000-00002B540000}"/>
    <cellStyle name="Normal 12 2 2 4 6" xfId="21548" xr:uid="{00000000-0005-0000-0000-00002C540000}"/>
    <cellStyle name="Normal 12 2 2 5" xfId="21549" xr:uid="{00000000-0005-0000-0000-00002D540000}"/>
    <cellStyle name="Normal 12 2 2 5 2" xfId="21550" xr:uid="{00000000-0005-0000-0000-00002E540000}"/>
    <cellStyle name="Normal 12 2 2 5 2 2" xfId="21551" xr:uid="{00000000-0005-0000-0000-00002F540000}"/>
    <cellStyle name="Normal 12 2 2 5 2 2 2" xfId="21552" xr:uid="{00000000-0005-0000-0000-000030540000}"/>
    <cellStyle name="Normal 12 2 2 5 2 2 3" xfId="21553" xr:uid="{00000000-0005-0000-0000-000031540000}"/>
    <cellStyle name="Normal 12 2 2 5 2 3" xfId="21554" xr:uid="{00000000-0005-0000-0000-000032540000}"/>
    <cellStyle name="Normal 12 2 2 5 2 4" xfId="21555" xr:uid="{00000000-0005-0000-0000-000033540000}"/>
    <cellStyle name="Normal 12 2 2 5 3" xfId="21556" xr:uid="{00000000-0005-0000-0000-000034540000}"/>
    <cellStyle name="Normal 12 2 2 5 3 2" xfId="21557" xr:uid="{00000000-0005-0000-0000-000035540000}"/>
    <cellStyle name="Normal 12 2 2 5 3 3" xfId="21558" xr:uid="{00000000-0005-0000-0000-000036540000}"/>
    <cellStyle name="Normal 12 2 2 5 4" xfId="21559" xr:uid="{00000000-0005-0000-0000-000037540000}"/>
    <cellStyle name="Normal 12 2 2 5 5" xfId="21560" xr:uid="{00000000-0005-0000-0000-000038540000}"/>
    <cellStyle name="Normal 12 2 2 6" xfId="21561" xr:uid="{00000000-0005-0000-0000-000039540000}"/>
    <cellStyle name="Normal 12 2 2 6 2" xfId="21562" xr:uid="{00000000-0005-0000-0000-00003A540000}"/>
    <cellStyle name="Normal 12 2 2 6 2 2" xfId="21563" xr:uid="{00000000-0005-0000-0000-00003B540000}"/>
    <cellStyle name="Normal 12 2 2 6 2 3" xfId="21564" xr:uid="{00000000-0005-0000-0000-00003C540000}"/>
    <cellStyle name="Normal 12 2 2 6 3" xfId="21565" xr:uid="{00000000-0005-0000-0000-00003D540000}"/>
    <cellStyle name="Normal 12 2 2 6 4" xfId="21566" xr:uid="{00000000-0005-0000-0000-00003E540000}"/>
    <cellStyle name="Normal 12 2 2 7" xfId="21567" xr:uid="{00000000-0005-0000-0000-00003F540000}"/>
    <cellStyle name="Normal 12 2 2 7 2" xfId="21568" xr:uid="{00000000-0005-0000-0000-000040540000}"/>
    <cellStyle name="Normal 12 2 2 7 3" xfId="21569" xr:uid="{00000000-0005-0000-0000-000041540000}"/>
    <cellStyle name="Normal 12 2 2 8" xfId="21570" xr:uid="{00000000-0005-0000-0000-000042540000}"/>
    <cellStyle name="Normal 12 2 2 9" xfId="21571" xr:uid="{00000000-0005-0000-0000-000043540000}"/>
    <cellStyle name="Normal 12 2 3" xfId="21572" xr:uid="{00000000-0005-0000-0000-000044540000}"/>
    <cellStyle name="Normal 12 2 3 2" xfId="21573" xr:uid="{00000000-0005-0000-0000-000045540000}"/>
    <cellStyle name="Normal 12 2 3 2 2" xfId="21574" xr:uid="{00000000-0005-0000-0000-000046540000}"/>
    <cellStyle name="Normal 12 2 3 2 2 2" xfId="21575" xr:uid="{00000000-0005-0000-0000-000047540000}"/>
    <cellStyle name="Normal 12 2 3 2 2 2 2" xfId="21576" xr:uid="{00000000-0005-0000-0000-000048540000}"/>
    <cellStyle name="Normal 12 2 3 2 2 2 2 2" xfId="21577" xr:uid="{00000000-0005-0000-0000-000049540000}"/>
    <cellStyle name="Normal 12 2 3 2 2 2 2 2 2" xfId="21578" xr:uid="{00000000-0005-0000-0000-00004A540000}"/>
    <cellStyle name="Normal 12 2 3 2 2 2 2 2 3" xfId="21579" xr:uid="{00000000-0005-0000-0000-00004B540000}"/>
    <cellStyle name="Normal 12 2 3 2 2 2 2 3" xfId="21580" xr:uid="{00000000-0005-0000-0000-00004C540000}"/>
    <cellStyle name="Normal 12 2 3 2 2 2 2 4" xfId="21581" xr:uid="{00000000-0005-0000-0000-00004D540000}"/>
    <cellStyle name="Normal 12 2 3 2 2 2 3" xfId="21582" xr:uid="{00000000-0005-0000-0000-00004E540000}"/>
    <cellStyle name="Normal 12 2 3 2 2 2 3 2" xfId="21583" xr:uid="{00000000-0005-0000-0000-00004F540000}"/>
    <cellStyle name="Normal 12 2 3 2 2 2 3 3" xfId="21584" xr:uid="{00000000-0005-0000-0000-000050540000}"/>
    <cellStyle name="Normal 12 2 3 2 2 2 4" xfId="21585" xr:uid="{00000000-0005-0000-0000-000051540000}"/>
    <cellStyle name="Normal 12 2 3 2 2 2 5" xfId="21586" xr:uid="{00000000-0005-0000-0000-000052540000}"/>
    <cellStyle name="Normal 12 2 3 2 2 3" xfId="21587" xr:uid="{00000000-0005-0000-0000-000053540000}"/>
    <cellStyle name="Normal 12 2 3 2 2 3 2" xfId="21588" xr:uid="{00000000-0005-0000-0000-000054540000}"/>
    <cellStyle name="Normal 12 2 3 2 2 3 2 2" xfId="21589" xr:uid="{00000000-0005-0000-0000-000055540000}"/>
    <cellStyle name="Normal 12 2 3 2 2 3 2 3" xfId="21590" xr:uid="{00000000-0005-0000-0000-000056540000}"/>
    <cellStyle name="Normal 12 2 3 2 2 3 3" xfId="21591" xr:uid="{00000000-0005-0000-0000-000057540000}"/>
    <cellStyle name="Normal 12 2 3 2 2 3 4" xfId="21592" xr:uid="{00000000-0005-0000-0000-000058540000}"/>
    <cellStyle name="Normal 12 2 3 2 2 4" xfId="21593" xr:uid="{00000000-0005-0000-0000-000059540000}"/>
    <cellStyle name="Normal 12 2 3 2 2 4 2" xfId="21594" xr:uid="{00000000-0005-0000-0000-00005A540000}"/>
    <cellStyle name="Normal 12 2 3 2 2 4 3" xfId="21595" xr:uid="{00000000-0005-0000-0000-00005B540000}"/>
    <cellStyle name="Normal 12 2 3 2 2 5" xfId="21596" xr:uid="{00000000-0005-0000-0000-00005C540000}"/>
    <cellStyle name="Normal 12 2 3 2 2 6" xfId="21597" xr:uid="{00000000-0005-0000-0000-00005D540000}"/>
    <cellStyle name="Normal 12 2 3 2 3" xfId="21598" xr:uid="{00000000-0005-0000-0000-00005E540000}"/>
    <cellStyle name="Normal 12 2 3 2 3 2" xfId="21599" xr:uid="{00000000-0005-0000-0000-00005F540000}"/>
    <cellStyle name="Normal 12 2 3 2 3 2 2" xfId="21600" xr:uid="{00000000-0005-0000-0000-000060540000}"/>
    <cellStyle name="Normal 12 2 3 2 3 2 2 2" xfId="21601" xr:uid="{00000000-0005-0000-0000-000061540000}"/>
    <cellStyle name="Normal 12 2 3 2 3 2 2 3" xfId="21602" xr:uid="{00000000-0005-0000-0000-000062540000}"/>
    <cellStyle name="Normal 12 2 3 2 3 2 3" xfId="21603" xr:uid="{00000000-0005-0000-0000-000063540000}"/>
    <cellStyle name="Normal 12 2 3 2 3 2 4" xfId="21604" xr:uid="{00000000-0005-0000-0000-000064540000}"/>
    <cellStyle name="Normal 12 2 3 2 3 3" xfId="21605" xr:uid="{00000000-0005-0000-0000-000065540000}"/>
    <cellStyle name="Normal 12 2 3 2 3 3 2" xfId="21606" xr:uid="{00000000-0005-0000-0000-000066540000}"/>
    <cellStyle name="Normal 12 2 3 2 3 3 3" xfId="21607" xr:uid="{00000000-0005-0000-0000-000067540000}"/>
    <cellStyle name="Normal 12 2 3 2 3 4" xfId="21608" xr:uid="{00000000-0005-0000-0000-000068540000}"/>
    <cellStyle name="Normal 12 2 3 2 3 5" xfId="21609" xr:uid="{00000000-0005-0000-0000-000069540000}"/>
    <cellStyle name="Normal 12 2 3 2 4" xfId="21610" xr:uid="{00000000-0005-0000-0000-00006A540000}"/>
    <cellStyle name="Normal 12 2 3 2 4 2" xfId="21611" xr:uid="{00000000-0005-0000-0000-00006B540000}"/>
    <cellStyle name="Normal 12 2 3 2 4 2 2" xfId="21612" xr:uid="{00000000-0005-0000-0000-00006C540000}"/>
    <cellStyle name="Normal 12 2 3 2 4 2 3" xfId="21613" xr:uid="{00000000-0005-0000-0000-00006D540000}"/>
    <cellStyle name="Normal 12 2 3 2 4 3" xfId="21614" xr:uid="{00000000-0005-0000-0000-00006E540000}"/>
    <cellStyle name="Normal 12 2 3 2 4 4" xfId="21615" xr:uid="{00000000-0005-0000-0000-00006F540000}"/>
    <cellStyle name="Normal 12 2 3 2 5" xfId="21616" xr:uid="{00000000-0005-0000-0000-000070540000}"/>
    <cellStyle name="Normal 12 2 3 2 5 2" xfId="21617" xr:uid="{00000000-0005-0000-0000-000071540000}"/>
    <cellStyle name="Normal 12 2 3 2 5 3" xfId="21618" xr:uid="{00000000-0005-0000-0000-000072540000}"/>
    <cellStyle name="Normal 12 2 3 2 6" xfId="21619" xr:uid="{00000000-0005-0000-0000-000073540000}"/>
    <cellStyle name="Normal 12 2 3 2 7" xfId="21620" xr:uid="{00000000-0005-0000-0000-000074540000}"/>
    <cellStyle name="Normal 12 2 3 3" xfId="21621" xr:uid="{00000000-0005-0000-0000-000075540000}"/>
    <cellStyle name="Normal 12 2 3 3 2" xfId="21622" xr:uid="{00000000-0005-0000-0000-000076540000}"/>
    <cellStyle name="Normal 12 2 3 3 2 2" xfId="21623" xr:uid="{00000000-0005-0000-0000-000077540000}"/>
    <cellStyle name="Normal 12 2 3 3 2 2 2" xfId="21624" xr:uid="{00000000-0005-0000-0000-000078540000}"/>
    <cellStyle name="Normal 12 2 3 3 2 2 2 2" xfId="21625" xr:uid="{00000000-0005-0000-0000-000079540000}"/>
    <cellStyle name="Normal 12 2 3 3 2 2 2 3" xfId="21626" xr:uid="{00000000-0005-0000-0000-00007A540000}"/>
    <cellStyle name="Normal 12 2 3 3 2 2 3" xfId="21627" xr:uid="{00000000-0005-0000-0000-00007B540000}"/>
    <cellStyle name="Normal 12 2 3 3 2 2 4" xfId="21628" xr:uid="{00000000-0005-0000-0000-00007C540000}"/>
    <cellStyle name="Normal 12 2 3 3 2 3" xfId="21629" xr:uid="{00000000-0005-0000-0000-00007D540000}"/>
    <cellStyle name="Normal 12 2 3 3 2 3 2" xfId="21630" xr:uid="{00000000-0005-0000-0000-00007E540000}"/>
    <cellStyle name="Normal 12 2 3 3 2 3 3" xfId="21631" xr:uid="{00000000-0005-0000-0000-00007F540000}"/>
    <cellStyle name="Normal 12 2 3 3 2 4" xfId="21632" xr:uid="{00000000-0005-0000-0000-000080540000}"/>
    <cellStyle name="Normal 12 2 3 3 2 5" xfId="21633" xr:uid="{00000000-0005-0000-0000-000081540000}"/>
    <cellStyle name="Normal 12 2 3 3 3" xfId="21634" xr:uid="{00000000-0005-0000-0000-000082540000}"/>
    <cellStyle name="Normal 12 2 3 3 3 2" xfId="21635" xr:uid="{00000000-0005-0000-0000-000083540000}"/>
    <cellStyle name="Normal 12 2 3 3 3 2 2" xfId="21636" xr:uid="{00000000-0005-0000-0000-000084540000}"/>
    <cellStyle name="Normal 12 2 3 3 3 2 3" xfId="21637" xr:uid="{00000000-0005-0000-0000-000085540000}"/>
    <cellStyle name="Normal 12 2 3 3 3 3" xfId="21638" xr:uid="{00000000-0005-0000-0000-000086540000}"/>
    <cellStyle name="Normal 12 2 3 3 3 4" xfId="21639" xr:uid="{00000000-0005-0000-0000-000087540000}"/>
    <cellStyle name="Normal 12 2 3 3 4" xfId="21640" xr:uid="{00000000-0005-0000-0000-000088540000}"/>
    <cellStyle name="Normal 12 2 3 3 4 2" xfId="21641" xr:uid="{00000000-0005-0000-0000-000089540000}"/>
    <cellStyle name="Normal 12 2 3 3 4 3" xfId="21642" xr:uid="{00000000-0005-0000-0000-00008A540000}"/>
    <cellStyle name="Normal 12 2 3 3 5" xfId="21643" xr:uid="{00000000-0005-0000-0000-00008B540000}"/>
    <cellStyle name="Normal 12 2 3 3 6" xfId="21644" xr:uid="{00000000-0005-0000-0000-00008C540000}"/>
    <cellStyle name="Normal 12 2 3 4" xfId="21645" xr:uid="{00000000-0005-0000-0000-00008D540000}"/>
    <cellStyle name="Normal 12 2 3 4 2" xfId="21646" xr:uid="{00000000-0005-0000-0000-00008E540000}"/>
    <cellStyle name="Normal 12 2 3 4 2 2" xfId="21647" xr:uid="{00000000-0005-0000-0000-00008F540000}"/>
    <cellStyle name="Normal 12 2 3 4 2 2 2" xfId="21648" xr:uid="{00000000-0005-0000-0000-000090540000}"/>
    <cellStyle name="Normal 12 2 3 4 2 2 3" xfId="21649" xr:uid="{00000000-0005-0000-0000-000091540000}"/>
    <cellStyle name="Normal 12 2 3 4 2 3" xfId="21650" xr:uid="{00000000-0005-0000-0000-000092540000}"/>
    <cellStyle name="Normal 12 2 3 4 2 4" xfId="21651" xr:uid="{00000000-0005-0000-0000-000093540000}"/>
    <cellStyle name="Normal 12 2 3 4 3" xfId="21652" xr:uid="{00000000-0005-0000-0000-000094540000}"/>
    <cellStyle name="Normal 12 2 3 4 3 2" xfId="21653" xr:uid="{00000000-0005-0000-0000-000095540000}"/>
    <cellStyle name="Normal 12 2 3 4 3 3" xfId="21654" xr:uid="{00000000-0005-0000-0000-000096540000}"/>
    <cellStyle name="Normal 12 2 3 4 4" xfId="21655" xr:uid="{00000000-0005-0000-0000-000097540000}"/>
    <cellStyle name="Normal 12 2 3 4 5" xfId="21656" xr:uid="{00000000-0005-0000-0000-000098540000}"/>
    <cellStyle name="Normal 12 2 3 5" xfId="21657" xr:uid="{00000000-0005-0000-0000-000099540000}"/>
    <cellStyle name="Normal 12 2 3 5 2" xfId="21658" xr:uid="{00000000-0005-0000-0000-00009A540000}"/>
    <cellStyle name="Normal 12 2 3 5 2 2" xfId="21659" xr:uid="{00000000-0005-0000-0000-00009B540000}"/>
    <cellStyle name="Normal 12 2 3 5 2 3" xfId="21660" xr:uid="{00000000-0005-0000-0000-00009C540000}"/>
    <cellStyle name="Normal 12 2 3 5 3" xfId="21661" xr:uid="{00000000-0005-0000-0000-00009D540000}"/>
    <cellStyle name="Normal 12 2 3 5 4" xfId="21662" xr:uid="{00000000-0005-0000-0000-00009E540000}"/>
    <cellStyle name="Normal 12 2 3 6" xfId="21663" xr:uid="{00000000-0005-0000-0000-00009F540000}"/>
    <cellStyle name="Normal 12 2 3 6 2" xfId="21664" xr:uid="{00000000-0005-0000-0000-0000A0540000}"/>
    <cellStyle name="Normal 12 2 3 6 3" xfId="21665" xr:uid="{00000000-0005-0000-0000-0000A1540000}"/>
    <cellStyle name="Normal 12 2 3 7" xfId="21666" xr:uid="{00000000-0005-0000-0000-0000A2540000}"/>
    <cellStyle name="Normal 12 2 3 8" xfId="21667" xr:uid="{00000000-0005-0000-0000-0000A3540000}"/>
    <cellStyle name="Normal 12 2 4" xfId="21668" xr:uid="{00000000-0005-0000-0000-0000A4540000}"/>
    <cellStyle name="Normal 12 2 4 2" xfId="21669" xr:uid="{00000000-0005-0000-0000-0000A5540000}"/>
    <cellStyle name="Normal 12 2 4 2 2" xfId="21670" xr:uid="{00000000-0005-0000-0000-0000A6540000}"/>
    <cellStyle name="Normal 12 2 4 2 2 2" xfId="21671" xr:uid="{00000000-0005-0000-0000-0000A7540000}"/>
    <cellStyle name="Normal 12 2 4 2 2 2 2" xfId="21672" xr:uid="{00000000-0005-0000-0000-0000A8540000}"/>
    <cellStyle name="Normal 12 2 4 2 2 2 2 2" xfId="21673" xr:uid="{00000000-0005-0000-0000-0000A9540000}"/>
    <cellStyle name="Normal 12 2 4 2 2 2 2 3" xfId="21674" xr:uid="{00000000-0005-0000-0000-0000AA540000}"/>
    <cellStyle name="Normal 12 2 4 2 2 2 3" xfId="21675" xr:uid="{00000000-0005-0000-0000-0000AB540000}"/>
    <cellStyle name="Normal 12 2 4 2 2 2 4" xfId="21676" xr:uid="{00000000-0005-0000-0000-0000AC540000}"/>
    <cellStyle name="Normal 12 2 4 2 2 3" xfId="21677" xr:uid="{00000000-0005-0000-0000-0000AD540000}"/>
    <cellStyle name="Normal 12 2 4 2 2 3 2" xfId="21678" xr:uid="{00000000-0005-0000-0000-0000AE540000}"/>
    <cellStyle name="Normal 12 2 4 2 2 3 3" xfId="21679" xr:uid="{00000000-0005-0000-0000-0000AF540000}"/>
    <cellStyle name="Normal 12 2 4 2 2 4" xfId="21680" xr:uid="{00000000-0005-0000-0000-0000B0540000}"/>
    <cellStyle name="Normal 12 2 4 2 2 5" xfId="21681" xr:uid="{00000000-0005-0000-0000-0000B1540000}"/>
    <cellStyle name="Normal 12 2 4 2 3" xfId="21682" xr:uid="{00000000-0005-0000-0000-0000B2540000}"/>
    <cellStyle name="Normal 12 2 4 2 3 2" xfId="21683" xr:uid="{00000000-0005-0000-0000-0000B3540000}"/>
    <cellStyle name="Normal 12 2 4 2 3 2 2" xfId="21684" xr:uid="{00000000-0005-0000-0000-0000B4540000}"/>
    <cellStyle name="Normal 12 2 4 2 3 2 3" xfId="21685" xr:uid="{00000000-0005-0000-0000-0000B5540000}"/>
    <cellStyle name="Normal 12 2 4 2 3 3" xfId="21686" xr:uid="{00000000-0005-0000-0000-0000B6540000}"/>
    <cellStyle name="Normal 12 2 4 2 3 4" xfId="21687" xr:uid="{00000000-0005-0000-0000-0000B7540000}"/>
    <cellStyle name="Normal 12 2 4 2 4" xfId="21688" xr:uid="{00000000-0005-0000-0000-0000B8540000}"/>
    <cellStyle name="Normal 12 2 4 2 4 2" xfId="21689" xr:uid="{00000000-0005-0000-0000-0000B9540000}"/>
    <cellStyle name="Normal 12 2 4 2 4 3" xfId="21690" xr:uid="{00000000-0005-0000-0000-0000BA540000}"/>
    <cellStyle name="Normal 12 2 4 2 5" xfId="21691" xr:uid="{00000000-0005-0000-0000-0000BB540000}"/>
    <cellStyle name="Normal 12 2 4 2 6" xfId="21692" xr:uid="{00000000-0005-0000-0000-0000BC540000}"/>
    <cellStyle name="Normal 12 2 4 3" xfId="21693" xr:uid="{00000000-0005-0000-0000-0000BD540000}"/>
    <cellStyle name="Normal 12 2 4 3 2" xfId="21694" xr:uid="{00000000-0005-0000-0000-0000BE540000}"/>
    <cellStyle name="Normal 12 2 4 3 2 2" xfId="21695" xr:uid="{00000000-0005-0000-0000-0000BF540000}"/>
    <cellStyle name="Normal 12 2 4 3 2 2 2" xfId="21696" xr:uid="{00000000-0005-0000-0000-0000C0540000}"/>
    <cellStyle name="Normal 12 2 4 3 2 2 3" xfId="21697" xr:uid="{00000000-0005-0000-0000-0000C1540000}"/>
    <cellStyle name="Normal 12 2 4 3 2 3" xfId="21698" xr:uid="{00000000-0005-0000-0000-0000C2540000}"/>
    <cellStyle name="Normal 12 2 4 3 2 4" xfId="21699" xr:uid="{00000000-0005-0000-0000-0000C3540000}"/>
    <cellStyle name="Normal 12 2 4 3 3" xfId="21700" xr:uid="{00000000-0005-0000-0000-0000C4540000}"/>
    <cellStyle name="Normal 12 2 4 3 3 2" xfId="21701" xr:uid="{00000000-0005-0000-0000-0000C5540000}"/>
    <cellStyle name="Normal 12 2 4 3 3 3" xfId="21702" xr:uid="{00000000-0005-0000-0000-0000C6540000}"/>
    <cellStyle name="Normal 12 2 4 3 4" xfId="21703" xr:uid="{00000000-0005-0000-0000-0000C7540000}"/>
    <cellStyle name="Normal 12 2 4 3 5" xfId="21704" xr:uid="{00000000-0005-0000-0000-0000C8540000}"/>
    <cellStyle name="Normal 12 2 4 4" xfId="21705" xr:uid="{00000000-0005-0000-0000-0000C9540000}"/>
    <cellStyle name="Normal 12 2 4 4 2" xfId="21706" xr:uid="{00000000-0005-0000-0000-0000CA540000}"/>
    <cellStyle name="Normal 12 2 4 4 2 2" xfId="21707" xr:uid="{00000000-0005-0000-0000-0000CB540000}"/>
    <cellStyle name="Normal 12 2 4 4 2 3" xfId="21708" xr:uid="{00000000-0005-0000-0000-0000CC540000}"/>
    <cellStyle name="Normal 12 2 4 4 3" xfId="21709" xr:uid="{00000000-0005-0000-0000-0000CD540000}"/>
    <cellStyle name="Normal 12 2 4 4 4" xfId="21710" xr:uid="{00000000-0005-0000-0000-0000CE540000}"/>
    <cellStyle name="Normal 12 2 4 5" xfId="21711" xr:uid="{00000000-0005-0000-0000-0000CF540000}"/>
    <cellStyle name="Normal 12 2 4 5 2" xfId="21712" xr:uid="{00000000-0005-0000-0000-0000D0540000}"/>
    <cellStyle name="Normal 12 2 4 5 3" xfId="21713" xr:uid="{00000000-0005-0000-0000-0000D1540000}"/>
    <cellStyle name="Normal 12 2 4 6" xfId="21714" xr:uid="{00000000-0005-0000-0000-0000D2540000}"/>
    <cellStyle name="Normal 12 2 4 7" xfId="21715" xr:uid="{00000000-0005-0000-0000-0000D3540000}"/>
    <cellStyle name="Normal 12 2 5" xfId="21716" xr:uid="{00000000-0005-0000-0000-0000D4540000}"/>
    <cellStyle name="Normal 12 2 5 2" xfId="21717" xr:uid="{00000000-0005-0000-0000-0000D5540000}"/>
    <cellStyle name="Normal 12 2 5 2 2" xfId="21718" xr:uid="{00000000-0005-0000-0000-0000D6540000}"/>
    <cellStyle name="Normal 12 2 5 2 2 2" xfId="21719" xr:uid="{00000000-0005-0000-0000-0000D7540000}"/>
    <cellStyle name="Normal 12 2 5 2 2 2 2" xfId="21720" xr:uid="{00000000-0005-0000-0000-0000D8540000}"/>
    <cellStyle name="Normal 12 2 5 2 2 2 3" xfId="21721" xr:uid="{00000000-0005-0000-0000-0000D9540000}"/>
    <cellStyle name="Normal 12 2 5 2 2 3" xfId="21722" xr:uid="{00000000-0005-0000-0000-0000DA540000}"/>
    <cellStyle name="Normal 12 2 5 2 2 4" xfId="21723" xr:uid="{00000000-0005-0000-0000-0000DB540000}"/>
    <cellStyle name="Normal 12 2 5 2 3" xfId="21724" xr:uid="{00000000-0005-0000-0000-0000DC540000}"/>
    <cellStyle name="Normal 12 2 5 2 3 2" xfId="21725" xr:uid="{00000000-0005-0000-0000-0000DD540000}"/>
    <cellStyle name="Normal 12 2 5 2 3 3" xfId="21726" xr:uid="{00000000-0005-0000-0000-0000DE540000}"/>
    <cellStyle name="Normal 12 2 5 2 4" xfId="21727" xr:uid="{00000000-0005-0000-0000-0000DF540000}"/>
    <cellStyle name="Normal 12 2 5 2 5" xfId="21728" xr:uid="{00000000-0005-0000-0000-0000E0540000}"/>
    <cellStyle name="Normal 12 2 5 3" xfId="21729" xr:uid="{00000000-0005-0000-0000-0000E1540000}"/>
    <cellStyle name="Normal 12 2 5 3 2" xfId="21730" xr:uid="{00000000-0005-0000-0000-0000E2540000}"/>
    <cellStyle name="Normal 12 2 5 3 2 2" xfId="21731" xr:uid="{00000000-0005-0000-0000-0000E3540000}"/>
    <cellStyle name="Normal 12 2 5 3 2 3" xfId="21732" xr:uid="{00000000-0005-0000-0000-0000E4540000}"/>
    <cellStyle name="Normal 12 2 5 3 3" xfId="21733" xr:uid="{00000000-0005-0000-0000-0000E5540000}"/>
    <cellStyle name="Normal 12 2 5 3 4" xfId="21734" xr:uid="{00000000-0005-0000-0000-0000E6540000}"/>
    <cellStyle name="Normal 12 2 5 4" xfId="21735" xr:uid="{00000000-0005-0000-0000-0000E7540000}"/>
    <cellStyle name="Normal 12 2 5 4 2" xfId="21736" xr:uid="{00000000-0005-0000-0000-0000E8540000}"/>
    <cellStyle name="Normal 12 2 5 4 3" xfId="21737" xr:uid="{00000000-0005-0000-0000-0000E9540000}"/>
    <cellStyle name="Normal 12 2 5 5" xfId="21738" xr:uid="{00000000-0005-0000-0000-0000EA540000}"/>
    <cellStyle name="Normal 12 2 5 6" xfId="21739" xr:uid="{00000000-0005-0000-0000-0000EB540000}"/>
    <cellStyle name="Normal 12 2 6" xfId="21740" xr:uid="{00000000-0005-0000-0000-0000EC540000}"/>
    <cellStyle name="Normal 12 2 6 2" xfId="21741" xr:uid="{00000000-0005-0000-0000-0000ED540000}"/>
    <cellStyle name="Normal 12 2 6 2 2" xfId="21742" xr:uid="{00000000-0005-0000-0000-0000EE540000}"/>
    <cellStyle name="Normal 12 2 6 2 2 2" xfId="21743" xr:uid="{00000000-0005-0000-0000-0000EF540000}"/>
    <cellStyle name="Normal 12 2 6 2 2 3" xfId="21744" xr:uid="{00000000-0005-0000-0000-0000F0540000}"/>
    <cellStyle name="Normal 12 2 6 2 3" xfId="21745" xr:uid="{00000000-0005-0000-0000-0000F1540000}"/>
    <cellStyle name="Normal 12 2 6 2 4" xfId="21746" xr:uid="{00000000-0005-0000-0000-0000F2540000}"/>
    <cellStyle name="Normal 12 2 6 3" xfId="21747" xr:uid="{00000000-0005-0000-0000-0000F3540000}"/>
    <cellStyle name="Normal 12 2 6 3 2" xfId="21748" xr:uid="{00000000-0005-0000-0000-0000F4540000}"/>
    <cellStyle name="Normal 12 2 6 3 3" xfId="21749" xr:uid="{00000000-0005-0000-0000-0000F5540000}"/>
    <cellStyle name="Normal 12 2 6 4" xfId="21750" xr:uid="{00000000-0005-0000-0000-0000F6540000}"/>
    <cellStyle name="Normal 12 2 6 5" xfId="21751" xr:uid="{00000000-0005-0000-0000-0000F7540000}"/>
    <cellStyle name="Normal 12 2 7" xfId="21752" xr:uid="{00000000-0005-0000-0000-0000F8540000}"/>
    <cellStyle name="Normal 12 2 7 2" xfId="21753" xr:uid="{00000000-0005-0000-0000-0000F9540000}"/>
    <cellStyle name="Normal 12 2 7 2 2" xfId="21754" xr:uid="{00000000-0005-0000-0000-0000FA540000}"/>
    <cellStyle name="Normal 12 2 7 2 3" xfId="21755" xr:uid="{00000000-0005-0000-0000-0000FB540000}"/>
    <cellStyle name="Normal 12 2 7 3" xfId="21756" xr:uid="{00000000-0005-0000-0000-0000FC540000}"/>
    <cellStyle name="Normal 12 2 7 4" xfId="21757" xr:uid="{00000000-0005-0000-0000-0000FD540000}"/>
    <cellStyle name="Normal 12 2 8" xfId="21758" xr:uid="{00000000-0005-0000-0000-0000FE540000}"/>
    <cellStyle name="Normal 12 2 8 2" xfId="21759" xr:uid="{00000000-0005-0000-0000-0000FF540000}"/>
    <cellStyle name="Normal 12 2 8 3" xfId="21760" xr:uid="{00000000-0005-0000-0000-000000550000}"/>
    <cellStyle name="Normal 12 2 9" xfId="21761" xr:uid="{00000000-0005-0000-0000-000001550000}"/>
    <cellStyle name="Normal 12 3" xfId="21762" xr:uid="{00000000-0005-0000-0000-000002550000}"/>
    <cellStyle name="Normal 12 3 2" xfId="21763" xr:uid="{00000000-0005-0000-0000-000003550000}"/>
    <cellStyle name="Normal 12 3 2 2" xfId="21764" xr:uid="{00000000-0005-0000-0000-000004550000}"/>
    <cellStyle name="Normal 12 3 2 2 2" xfId="21765" xr:uid="{00000000-0005-0000-0000-000005550000}"/>
    <cellStyle name="Normal 12 3 2 2 2 2" xfId="21766" xr:uid="{00000000-0005-0000-0000-000006550000}"/>
    <cellStyle name="Normal 12 3 2 2 2 2 2" xfId="21767" xr:uid="{00000000-0005-0000-0000-000007550000}"/>
    <cellStyle name="Normal 12 3 2 2 2 2 2 2" xfId="21768" xr:uid="{00000000-0005-0000-0000-000008550000}"/>
    <cellStyle name="Normal 12 3 2 2 2 2 2 2 2" xfId="21769" xr:uid="{00000000-0005-0000-0000-000009550000}"/>
    <cellStyle name="Normal 12 3 2 2 2 2 2 2 3" xfId="21770" xr:uid="{00000000-0005-0000-0000-00000A550000}"/>
    <cellStyle name="Normal 12 3 2 2 2 2 2 3" xfId="21771" xr:uid="{00000000-0005-0000-0000-00000B550000}"/>
    <cellStyle name="Normal 12 3 2 2 2 2 2 4" xfId="21772" xr:uid="{00000000-0005-0000-0000-00000C550000}"/>
    <cellStyle name="Normal 12 3 2 2 2 2 3" xfId="21773" xr:uid="{00000000-0005-0000-0000-00000D550000}"/>
    <cellStyle name="Normal 12 3 2 2 2 2 3 2" xfId="21774" xr:uid="{00000000-0005-0000-0000-00000E550000}"/>
    <cellStyle name="Normal 12 3 2 2 2 2 3 3" xfId="21775" xr:uid="{00000000-0005-0000-0000-00000F550000}"/>
    <cellStyle name="Normal 12 3 2 2 2 2 4" xfId="21776" xr:uid="{00000000-0005-0000-0000-000010550000}"/>
    <cellStyle name="Normal 12 3 2 2 2 2 5" xfId="21777" xr:uid="{00000000-0005-0000-0000-000011550000}"/>
    <cellStyle name="Normal 12 3 2 2 2 3" xfId="21778" xr:uid="{00000000-0005-0000-0000-000012550000}"/>
    <cellStyle name="Normal 12 3 2 2 2 3 2" xfId="21779" xr:uid="{00000000-0005-0000-0000-000013550000}"/>
    <cellStyle name="Normal 12 3 2 2 2 3 2 2" xfId="21780" xr:uid="{00000000-0005-0000-0000-000014550000}"/>
    <cellStyle name="Normal 12 3 2 2 2 3 2 3" xfId="21781" xr:uid="{00000000-0005-0000-0000-000015550000}"/>
    <cellStyle name="Normal 12 3 2 2 2 3 3" xfId="21782" xr:uid="{00000000-0005-0000-0000-000016550000}"/>
    <cellStyle name="Normal 12 3 2 2 2 3 4" xfId="21783" xr:uid="{00000000-0005-0000-0000-000017550000}"/>
    <cellStyle name="Normal 12 3 2 2 2 4" xfId="21784" xr:uid="{00000000-0005-0000-0000-000018550000}"/>
    <cellStyle name="Normal 12 3 2 2 2 4 2" xfId="21785" xr:uid="{00000000-0005-0000-0000-000019550000}"/>
    <cellStyle name="Normal 12 3 2 2 2 4 3" xfId="21786" xr:uid="{00000000-0005-0000-0000-00001A550000}"/>
    <cellStyle name="Normal 12 3 2 2 2 5" xfId="21787" xr:uid="{00000000-0005-0000-0000-00001B550000}"/>
    <cellStyle name="Normal 12 3 2 2 2 6" xfId="21788" xr:uid="{00000000-0005-0000-0000-00001C550000}"/>
    <cellStyle name="Normal 12 3 2 2 3" xfId="21789" xr:uid="{00000000-0005-0000-0000-00001D550000}"/>
    <cellStyle name="Normal 12 3 2 2 3 2" xfId="21790" xr:uid="{00000000-0005-0000-0000-00001E550000}"/>
    <cellStyle name="Normal 12 3 2 2 3 2 2" xfId="21791" xr:uid="{00000000-0005-0000-0000-00001F550000}"/>
    <cellStyle name="Normal 12 3 2 2 3 2 2 2" xfId="21792" xr:uid="{00000000-0005-0000-0000-000020550000}"/>
    <cellStyle name="Normal 12 3 2 2 3 2 2 3" xfId="21793" xr:uid="{00000000-0005-0000-0000-000021550000}"/>
    <cellStyle name="Normal 12 3 2 2 3 2 3" xfId="21794" xr:uid="{00000000-0005-0000-0000-000022550000}"/>
    <cellStyle name="Normal 12 3 2 2 3 2 4" xfId="21795" xr:uid="{00000000-0005-0000-0000-000023550000}"/>
    <cellStyle name="Normal 12 3 2 2 3 3" xfId="21796" xr:uid="{00000000-0005-0000-0000-000024550000}"/>
    <cellStyle name="Normal 12 3 2 2 3 3 2" xfId="21797" xr:uid="{00000000-0005-0000-0000-000025550000}"/>
    <cellStyle name="Normal 12 3 2 2 3 3 3" xfId="21798" xr:uid="{00000000-0005-0000-0000-000026550000}"/>
    <cellStyle name="Normal 12 3 2 2 3 4" xfId="21799" xr:uid="{00000000-0005-0000-0000-000027550000}"/>
    <cellStyle name="Normal 12 3 2 2 3 5" xfId="21800" xr:uid="{00000000-0005-0000-0000-000028550000}"/>
    <cellStyle name="Normal 12 3 2 2 4" xfId="21801" xr:uid="{00000000-0005-0000-0000-000029550000}"/>
    <cellStyle name="Normal 12 3 2 2 4 2" xfId="21802" xr:uid="{00000000-0005-0000-0000-00002A550000}"/>
    <cellStyle name="Normal 12 3 2 2 4 2 2" xfId="21803" xr:uid="{00000000-0005-0000-0000-00002B550000}"/>
    <cellStyle name="Normal 12 3 2 2 4 2 3" xfId="21804" xr:uid="{00000000-0005-0000-0000-00002C550000}"/>
    <cellStyle name="Normal 12 3 2 2 4 3" xfId="21805" xr:uid="{00000000-0005-0000-0000-00002D550000}"/>
    <cellStyle name="Normal 12 3 2 2 4 4" xfId="21806" xr:uid="{00000000-0005-0000-0000-00002E550000}"/>
    <cellStyle name="Normal 12 3 2 2 5" xfId="21807" xr:uid="{00000000-0005-0000-0000-00002F550000}"/>
    <cellStyle name="Normal 12 3 2 2 5 2" xfId="21808" xr:uid="{00000000-0005-0000-0000-000030550000}"/>
    <cellStyle name="Normal 12 3 2 2 5 3" xfId="21809" xr:uid="{00000000-0005-0000-0000-000031550000}"/>
    <cellStyle name="Normal 12 3 2 2 6" xfId="21810" xr:uid="{00000000-0005-0000-0000-000032550000}"/>
    <cellStyle name="Normal 12 3 2 2 7" xfId="21811" xr:uid="{00000000-0005-0000-0000-000033550000}"/>
    <cellStyle name="Normal 12 3 2 3" xfId="21812" xr:uid="{00000000-0005-0000-0000-000034550000}"/>
    <cellStyle name="Normal 12 3 2 3 2" xfId="21813" xr:uid="{00000000-0005-0000-0000-000035550000}"/>
    <cellStyle name="Normal 12 3 2 3 2 2" xfId="21814" xr:uid="{00000000-0005-0000-0000-000036550000}"/>
    <cellStyle name="Normal 12 3 2 3 2 2 2" xfId="21815" xr:uid="{00000000-0005-0000-0000-000037550000}"/>
    <cellStyle name="Normal 12 3 2 3 2 2 2 2" xfId="21816" xr:uid="{00000000-0005-0000-0000-000038550000}"/>
    <cellStyle name="Normal 12 3 2 3 2 2 2 3" xfId="21817" xr:uid="{00000000-0005-0000-0000-000039550000}"/>
    <cellStyle name="Normal 12 3 2 3 2 2 3" xfId="21818" xr:uid="{00000000-0005-0000-0000-00003A550000}"/>
    <cellStyle name="Normal 12 3 2 3 2 2 4" xfId="21819" xr:uid="{00000000-0005-0000-0000-00003B550000}"/>
    <cellStyle name="Normal 12 3 2 3 2 3" xfId="21820" xr:uid="{00000000-0005-0000-0000-00003C550000}"/>
    <cellStyle name="Normal 12 3 2 3 2 3 2" xfId="21821" xr:uid="{00000000-0005-0000-0000-00003D550000}"/>
    <cellStyle name="Normal 12 3 2 3 2 3 3" xfId="21822" xr:uid="{00000000-0005-0000-0000-00003E550000}"/>
    <cellStyle name="Normal 12 3 2 3 2 4" xfId="21823" xr:uid="{00000000-0005-0000-0000-00003F550000}"/>
    <cellStyle name="Normal 12 3 2 3 2 5" xfId="21824" xr:uid="{00000000-0005-0000-0000-000040550000}"/>
    <cellStyle name="Normal 12 3 2 3 3" xfId="21825" xr:uid="{00000000-0005-0000-0000-000041550000}"/>
    <cellStyle name="Normal 12 3 2 3 3 2" xfId="21826" xr:uid="{00000000-0005-0000-0000-000042550000}"/>
    <cellStyle name="Normal 12 3 2 3 3 2 2" xfId="21827" xr:uid="{00000000-0005-0000-0000-000043550000}"/>
    <cellStyle name="Normal 12 3 2 3 3 2 3" xfId="21828" xr:uid="{00000000-0005-0000-0000-000044550000}"/>
    <cellStyle name="Normal 12 3 2 3 3 3" xfId="21829" xr:uid="{00000000-0005-0000-0000-000045550000}"/>
    <cellStyle name="Normal 12 3 2 3 3 4" xfId="21830" xr:uid="{00000000-0005-0000-0000-000046550000}"/>
    <cellStyle name="Normal 12 3 2 3 4" xfId="21831" xr:uid="{00000000-0005-0000-0000-000047550000}"/>
    <cellStyle name="Normal 12 3 2 3 4 2" xfId="21832" xr:uid="{00000000-0005-0000-0000-000048550000}"/>
    <cellStyle name="Normal 12 3 2 3 4 3" xfId="21833" xr:uid="{00000000-0005-0000-0000-000049550000}"/>
    <cellStyle name="Normal 12 3 2 3 5" xfId="21834" xr:uid="{00000000-0005-0000-0000-00004A550000}"/>
    <cellStyle name="Normal 12 3 2 3 6" xfId="21835" xr:uid="{00000000-0005-0000-0000-00004B550000}"/>
    <cellStyle name="Normal 12 3 2 4" xfId="21836" xr:uid="{00000000-0005-0000-0000-00004C550000}"/>
    <cellStyle name="Normal 12 3 2 4 2" xfId="21837" xr:uid="{00000000-0005-0000-0000-00004D550000}"/>
    <cellStyle name="Normal 12 3 2 4 2 2" xfId="21838" xr:uid="{00000000-0005-0000-0000-00004E550000}"/>
    <cellStyle name="Normal 12 3 2 4 2 2 2" xfId="21839" xr:uid="{00000000-0005-0000-0000-00004F550000}"/>
    <cellStyle name="Normal 12 3 2 4 2 2 3" xfId="21840" xr:uid="{00000000-0005-0000-0000-000050550000}"/>
    <cellStyle name="Normal 12 3 2 4 2 3" xfId="21841" xr:uid="{00000000-0005-0000-0000-000051550000}"/>
    <cellStyle name="Normal 12 3 2 4 2 4" xfId="21842" xr:uid="{00000000-0005-0000-0000-000052550000}"/>
    <cellStyle name="Normal 12 3 2 4 3" xfId="21843" xr:uid="{00000000-0005-0000-0000-000053550000}"/>
    <cellStyle name="Normal 12 3 2 4 3 2" xfId="21844" xr:uid="{00000000-0005-0000-0000-000054550000}"/>
    <cellStyle name="Normal 12 3 2 4 3 3" xfId="21845" xr:uid="{00000000-0005-0000-0000-000055550000}"/>
    <cellStyle name="Normal 12 3 2 4 4" xfId="21846" xr:uid="{00000000-0005-0000-0000-000056550000}"/>
    <cellStyle name="Normal 12 3 2 4 5" xfId="21847" xr:uid="{00000000-0005-0000-0000-000057550000}"/>
    <cellStyle name="Normal 12 3 2 5" xfId="21848" xr:uid="{00000000-0005-0000-0000-000058550000}"/>
    <cellStyle name="Normal 12 3 2 5 2" xfId="21849" xr:uid="{00000000-0005-0000-0000-000059550000}"/>
    <cellStyle name="Normal 12 3 2 5 2 2" xfId="21850" xr:uid="{00000000-0005-0000-0000-00005A550000}"/>
    <cellStyle name="Normal 12 3 2 5 2 3" xfId="21851" xr:uid="{00000000-0005-0000-0000-00005B550000}"/>
    <cellStyle name="Normal 12 3 2 5 3" xfId="21852" xr:uid="{00000000-0005-0000-0000-00005C550000}"/>
    <cellStyle name="Normal 12 3 2 5 4" xfId="21853" xr:uid="{00000000-0005-0000-0000-00005D550000}"/>
    <cellStyle name="Normal 12 3 2 6" xfId="21854" xr:uid="{00000000-0005-0000-0000-00005E550000}"/>
    <cellStyle name="Normal 12 3 2 6 2" xfId="21855" xr:uid="{00000000-0005-0000-0000-00005F550000}"/>
    <cellStyle name="Normal 12 3 2 6 3" xfId="21856" xr:uid="{00000000-0005-0000-0000-000060550000}"/>
    <cellStyle name="Normal 12 3 2 7" xfId="21857" xr:uid="{00000000-0005-0000-0000-000061550000}"/>
    <cellStyle name="Normal 12 3 2 8" xfId="21858" xr:uid="{00000000-0005-0000-0000-000062550000}"/>
    <cellStyle name="Normal 12 3 3" xfId="21859" xr:uid="{00000000-0005-0000-0000-000063550000}"/>
    <cellStyle name="Normal 12 3 3 2" xfId="21860" xr:uid="{00000000-0005-0000-0000-000064550000}"/>
    <cellStyle name="Normal 12 3 3 2 2" xfId="21861" xr:uid="{00000000-0005-0000-0000-000065550000}"/>
    <cellStyle name="Normal 12 3 3 2 2 2" xfId="21862" xr:uid="{00000000-0005-0000-0000-000066550000}"/>
    <cellStyle name="Normal 12 3 3 2 2 2 2" xfId="21863" xr:uid="{00000000-0005-0000-0000-000067550000}"/>
    <cellStyle name="Normal 12 3 3 2 2 2 2 2" xfId="21864" xr:uid="{00000000-0005-0000-0000-000068550000}"/>
    <cellStyle name="Normal 12 3 3 2 2 2 2 3" xfId="21865" xr:uid="{00000000-0005-0000-0000-000069550000}"/>
    <cellStyle name="Normal 12 3 3 2 2 2 3" xfId="21866" xr:uid="{00000000-0005-0000-0000-00006A550000}"/>
    <cellStyle name="Normal 12 3 3 2 2 2 4" xfId="21867" xr:uid="{00000000-0005-0000-0000-00006B550000}"/>
    <cellStyle name="Normal 12 3 3 2 2 3" xfId="21868" xr:uid="{00000000-0005-0000-0000-00006C550000}"/>
    <cellStyle name="Normal 12 3 3 2 2 3 2" xfId="21869" xr:uid="{00000000-0005-0000-0000-00006D550000}"/>
    <cellStyle name="Normal 12 3 3 2 2 3 3" xfId="21870" xr:uid="{00000000-0005-0000-0000-00006E550000}"/>
    <cellStyle name="Normal 12 3 3 2 2 4" xfId="21871" xr:uid="{00000000-0005-0000-0000-00006F550000}"/>
    <cellStyle name="Normal 12 3 3 2 2 5" xfId="21872" xr:uid="{00000000-0005-0000-0000-000070550000}"/>
    <cellStyle name="Normal 12 3 3 2 3" xfId="21873" xr:uid="{00000000-0005-0000-0000-000071550000}"/>
    <cellStyle name="Normal 12 3 3 2 3 2" xfId="21874" xr:uid="{00000000-0005-0000-0000-000072550000}"/>
    <cellStyle name="Normal 12 3 3 2 3 2 2" xfId="21875" xr:uid="{00000000-0005-0000-0000-000073550000}"/>
    <cellStyle name="Normal 12 3 3 2 3 2 3" xfId="21876" xr:uid="{00000000-0005-0000-0000-000074550000}"/>
    <cellStyle name="Normal 12 3 3 2 3 3" xfId="21877" xr:uid="{00000000-0005-0000-0000-000075550000}"/>
    <cellStyle name="Normal 12 3 3 2 3 4" xfId="21878" xr:uid="{00000000-0005-0000-0000-000076550000}"/>
    <cellStyle name="Normal 12 3 3 2 4" xfId="21879" xr:uid="{00000000-0005-0000-0000-000077550000}"/>
    <cellStyle name="Normal 12 3 3 2 4 2" xfId="21880" xr:uid="{00000000-0005-0000-0000-000078550000}"/>
    <cellStyle name="Normal 12 3 3 2 4 3" xfId="21881" xr:uid="{00000000-0005-0000-0000-000079550000}"/>
    <cellStyle name="Normal 12 3 3 2 5" xfId="21882" xr:uid="{00000000-0005-0000-0000-00007A550000}"/>
    <cellStyle name="Normal 12 3 3 2 6" xfId="21883" xr:uid="{00000000-0005-0000-0000-00007B550000}"/>
    <cellStyle name="Normal 12 3 3 3" xfId="21884" xr:uid="{00000000-0005-0000-0000-00007C550000}"/>
    <cellStyle name="Normal 12 3 3 3 2" xfId="21885" xr:uid="{00000000-0005-0000-0000-00007D550000}"/>
    <cellStyle name="Normal 12 3 3 3 2 2" xfId="21886" xr:uid="{00000000-0005-0000-0000-00007E550000}"/>
    <cellStyle name="Normal 12 3 3 3 2 2 2" xfId="21887" xr:uid="{00000000-0005-0000-0000-00007F550000}"/>
    <cellStyle name="Normal 12 3 3 3 2 2 3" xfId="21888" xr:uid="{00000000-0005-0000-0000-000080550000}"/>
    <cellStyle name="Normal 12 3 3 3 2 3" xfId="21889" xr:uid="{00000000-0005-0000-0000-000081550000}"/>
    <cellStyle name="Normal 12 3 3 3 2 4" xfId="21890" xr:uid="{00000000-0005-0000-0000-000082550000}"/>
    <cellStyle name="Normal 12 3 3 3 3" xfId="21891" xr:uid="{00000000-0005-0000-0000-000083550000}"/>
    <cellStyle name="Normal 12 3 3 3 3 2" xfId="21892" xr:uid="{00000000-0005-0000-0000-000084550000}"/>
    <cellStyle name="Normal 12 3 3 3 3 3" xfId="21893" xr:uid="{00000000-0005-0000-0000-000085550000}"/>
    <cellStyle name="Normal 12 3 3 3 4" xfId="21894" xr:uid="{00000000-0005-0000-0000-000086550000}"/>
    <cellStyle name="Normal 12 3 3 3 5" xfId="21895" xr:uid="{00000000-0005-0000-0000-000087550000}"/>
    <cellStyle name="Normal 12 3 3 4" xfId="21896" xr:uid="{00000000-0005-0000-0000-000088550000}"/>
    <cellStyle name="Normal 12 3 3 4 2" xfId="21897" xr:uid="{00000000-0005-0000-0000-000089550000}"/>
    <cellStyle name="Normal 12 3 3 4 2 2" xfId="21898" xr:uid="{00000000-0005-0000-0000-00008A550000}"/>
    <cellStyle name="Normal 12 3 3 4 2 3" xfId="21899" xr:uid="{00000000-0005-0000-0000-00008B550000}"/>
    <cellStyle name="Normal 12 3 3 4 3" xfId="21900" xr:uid="{00000000-0005-0000-0000-00008C550000}"/>
    <cellStyle name="Normal 12 3 3 4 4" xfId="21901" xr:uid="{00000000-0005-0000-0000-00008D550000}"/>
    <cellStyle name="Normal 12 3 3 5" xfId="21902" xr:uid="{00000000-0005-0000-0000-00008E550000}"/>
    <cellStyle name="Normal 12 3 3 5 2" xfId="21903" xr:uid="{00000000-0005-0000-0000-00008F550000}"/>
    <cellStyle name="Normal 12 3 3 5 3" xfId="21904" xr:uid="{00000000-0005-0000-0000-000090550000}"/>
    <cellStyle name="Normal 12 3 3 6" xfId="21905" xr:uid="{00000000-0005-0000-0000-000091550000}"/>
    <cellStyle name="Normal 12 3 3 7" xfId="21906" xr:uid="{00000000-0005-0000-0000-000092550000}"/>
    <cellStyle name="Normal 12 3 4" xfId="21907" xr:uid="{00000000-0005-0000-0000-000093550000}"/>
    <cellStyle name="Normal 12 3 4 2" xfId="21908" xr:uid="{00000000-0005-0000-0000-000094550000}"/>
    <cellStyle name="Normal 12 3 4 2 2" xfId="21909" xr:uid="{00000000-0005-0000-0000-000095550000}"/>
    <cellStyle name="Normal 12 3 4 2 2 2" xfId="21910" xr:uid="{00000000-0005-0000-0000-000096550000}"/>
    <cellStyle name="Normal 12 3 4 2 2 2 2" xfId="21911" xr:uid="{00000000-0005-0000-0000-000097550000}"/>
    <cellStyle name="Normal 12 3 4 2 2 2 3" xfId="21912" xr:uid="{00000000-0005-0000-0000-000098550000}"/>
    <cellStyle name="Normal 12 3 4 2 2 3" xfId="21913" xr:uid="{00000000-0005-0000-0000-000099550000}"/>
    <cellStyle name="Normal 12 3 4 2 2 4" xfId="21914" xr:uid="{00000000-0005-0000-0000-00009A550000}"/>
    <cellStyle name="Normal 12 3 4 2 3" xfId="21915" xr:uid="{00000000-0005-0000-0000-00009B550000}"/>
    <cellStyle name="Normal 12 3 4 2 3 2" xfId="21916" xr:uid="{00000000-0005-0000-0000-00009C550000}"/>
    <cellStyle name="Normal 12 3 4 2 3 3" xfId="21917" xr:uid="{00000000-0005-0000-0000-00009D550000}"/>
    <cellStyle name="Normal 12 3 4 2 4" xfId="21918" xr:uid="{00000000-0005-0000-0000-00009E550000}"/>
    <cellStyle name="Normal 12 3 4 2 5" xfId="21919" xr:uid="{00000000-0005-0000-0000-00009F550000}"/>
    <cellStyle name="Normal 12 3 4 3" xfId="21920" xr:uid="{00000000-0005-0000-0000-0000A0550000}"/>
    <cellStyle name="Normal 12 3 4 3 2" xfId="21921" xr:uid="{00000000-0005-0000-0000-0000A1550000}"/>
    <cellStyle name="Normal 12 3 4 3 2 2" xfId="21922" xr:uid="{00000000-0005-0000-0000-0000A2550000}"/>
    <cellStyle name="Normal 12 3 4 3 2 3" xfId="21923" xr:uid="{00000000-0005-0000-0000-0000A3550000}"/>
    <cellStyle name="Normal 12 3 4 3 3" xfId="21924" xr:uid="{00000000-0005-0000-0000-0000A4550000}"/>
    <cellStyle name="Normal 12 3 4 3 4" xfId="21925" xr:uid="{00000000-0005-0000-0000-0000A5550000}"/>
    <cellStyle name="Normal 12 3 4 4" xfId="21926" xr:uid="{00000000-0005-0000-0000-0000A6550000}"/>
    <cellStyle name="Normal 12 3 4 4 2" xfId="21927" xr:uid="{00000000-0005-0000-0000-0000A7550000}"/>
    <cellStyle name="Normal 12 3 4 4 3" xfId="21928" xr:uid="{00000000-0005-0000-0000-0000A8550000}"/>
    <cellStyle name="Normal 12 3 4 5" xfId="21929" xr:uid="{00000000-0005-0000-0000-0000A9550000}"/>
    <cellStyle name="Normal 12 3 4 6" xfId="21930" xr:uid="{00000000-0005-0000-0000-0000AA550000}"/>
    <cellStyle name="Normal 12 3 5" xfId="21931" xr:uid="{00000000-0005-0000-0000-0000AB550000}"/>
    <cellStyle name="Normal 12 3 5 2" xfId="21932" xr:uid="{00000000-0005-0000-0000-0000AC550000}"/>
    <cellStyle name="Normal 12 3 5 2 2" xfId="21933" xr:uid="{00000000-0005-0000-0000-0000AD550000}"/>
    <cellStyle name="Normal 12 3 5 2 2 2" xfId="21934" xr:uid="{00000000-0005-0000-0000-0000AE550000}"/>
    <cellStyle name="Normal 12 3 5 2 2 3" xfId="21935" xr:uid="{00000000-0005-0000-0000-0000AF550000}"/>
    <cellStyle name="Normal 12 3 5 2 3" xfId="21936" xr:uid="{00000000-0005-0000-0000-0000B0550000}"/>
    <cellStyle name="Normal 12 3 5 2 4" xfId="21937" xr:uid="{00000000-0005-0000-0000-0000B1550000}"/>
    <cellStyle name="Normal 12 3 5 3" xfId="21938" xr:uid="{00000000-0005-0000-0000-0000B2550000}"/>
    <cellStyle name="Normal 12 3 5 3 2" xfId="21939" xr:uid="{00000000-0005-0000-0000-0000B3550000}"/>
    <cellStyle name="Normal 12 3 5 3 3" xfId="21940" xr:uid="{00000000-0005-0000-0000-0000B4550000}"/>
    <cellStyle name="Normal 12 3 5 4" xfId="21941" xr:uid="{00000000-0005-0000-0000-0000B5550000}"/>
    <cellStyle name="Normal 12 3 5 5" xfId="21942" xr:uid="{00000000-0005-0000-0000-0000B6550000}"/>
    <cellStyle name="Normal 12 3 6" xfId="21943" xr:uid="{00000000-0005-0000-0000-0000B7550000}"/>
    <cellStyle name="Normal 12 3 6 2" xfId="21944" xr:uid="{00000000-0005-0000-0000-0000B8550000}"/>
    <cellStyle name="Normal 12 3 6 2 2" xfId="21945" xr:uid="{00000000-0005-0000-0000-0000B9550000}"/>
    <cellStyle name="Normal 12 3 6 2 3" xfId="21946" xr:uid="{00000000-0005-0000-0000-0000BA550000}"/>
    <cellStyle name="Normal 12 3 6 3" xfId="21947" xr:uid="{00000000-0005-0000-0000-0000BB550000}"/>
    <cellStyle name="Normal 12 3 6 4" xfId="21948" xr:uid="{00000000-0005-0000-0000-0000BC550000}"/>
    <cellStyle name="Normal 12 3 7" xfId="21949" xr:uid="{00000000-0005-0000-0000-0000BD550000}"/>
    <cellStyle name="Normal 12 3 7 2" xfId="21950" xr:uid="{00000000-0005-0000-0000-0000BE550000}"/>
    <cellStyle name="Normal 12 3 7 3" xfId="21951" xr:uid="{00000000-0005-0000-0000-0000BF550000}"/>
    <cellStyle name="Normal 12 3 8" xfId="21952" xr:uid="{00000000-0005-0000-0000-0000C0550000}"/>
    <cellStyle name="Normal 12 3 9" xfId="21953" xr:uid="{00000000-0005-0000-0000-0000C1550000}"/>
    <cellStyle name="Normal 12 4" xfId="21954" xr:uid="{00000000-0005-0000-0000-0000C2550000}"/>
    <cellStyle name="Normal 12 4 2" xfId="21955" xr:uid="{00000000-0005-0000-0000-0000C3550000}"/>
    <cellStyle name="Normal 12 4 2 2" xfId="21956" xr:uid="{00000000-0005-0000-0000-0000C4550000}"/>
    <cellStyle name="Normal 12 4 2 2 2" xfId="21957" xr:uid="{00000000-0005-0000-0000-0000C5550000}"/>
    <cellStyle name="Normal 12 4 2 2 2 2" xfId="21958" xr:uid="{00000000-0005-0000-0000-0000C6550000}"/>
    <cellStyle name="Normal 12 4 2 2 2 2 2" xfId="21959" xr:uid="{00000000-0005-0000-0000-0000C7550000}"/>
    <cellStyle name="Normal 12 4 2 2 2 2 2 2" xfId="21960" xr:uid="{00000000-0005-0000-0000-0000C8550000}"/>
    <cellStyle name="Normal 12 4 2 2 2 2 2 3" xfId="21961" xr:uid="{00000000-0005-0000-0000-0000C9550000}"/>
    <cellStyle name="Normal 12 4 2 2 2 2 3" xfId="21962" xr:uid="{00000000-0005-0000-0000-0000CA550000}"/>
    <cellStyle name="Normal 12 4 2 2 2 2 4" xfId="21963" xr:uid="{00000000-0005-0000-0000-0000CB550000}"/>
    <cellStyle name="Normal 12 4 2 2 2 3" xfId="21964" xr:uid="{00000000-0005-0000-0000-0000CC550000}"/>
    <cellStyle name="Normal 12 4 2 2 2 3 2" xfId="21965" xr:uid="{00000000-0005-0000-0000-0000CD550000}"/>
    <cellStyle name="Normal 12 4 2 2 2 3 3" xfId="21966" xr:uid="{00000000-0005-0000-0000-0000CE550000}"/>
    <cellStyle name="Normal 12 4 2 2 2 4" xfId="21967" xr:uid="{00000000-0005-0000-0000-0000CF550000}"/>
    <cellStyle name="Normal 12 4 2 2 2 5" xfId="21968" xr:uid="{00000000-0005-0000-0000-0000D0550000}"/>
    <cellStyle name="Normal 12 4 2 2 3" xfId="21969" xr:uid="{00000000-0005-0000-0000-0000D1550000}"/>
    <cellStyle name="Normal 12 4 2 2 3 2" xfId="21970" xr:uid="{00000000-0005-0000-0000-0000D2550000}"/>
    <cellStyle name="Normal 12 4 2 2 3 2 2" xfId="21971" xr:uid="{00000000-0005-0000-0000-0000D3550000}"/>
    <cellStyle name="Normal 12 4 2 2 3 2 3" xfId="21972" xr:uid="{00000000-0005-0000-0000-0000D4550000}"/>
    <cellStyle name="Normal 12 4 2 2 3 3" xfId="21973" xr:uid="{00000000-0005-0000-0000-0000D5550000}"/>
    <cellStyle name="Normal 12 4 2 2 3 4" xfId="21974" xr:uid="{00000000-0005-0000-0000-0000D6550000}"/>
    <cellStyle name="Normal 12 4 2 2 4" xfId="21975" xr:uid="{00000000-0005-0000-0000-0000D7550000}"/>
    <cellStyle name="Normal 12 4 2 2 4 2" xfId="21976" xr:uid="{00000000-0005-0000-0000-0000D8550000}"/>
    <cellStyle name="Normal 12 4 2 2 4 3" xfId="21977" xr:uid="{00000000-0005-0000-0000-0000D9550000}"/>
    <cellStyle name="Normal 12 4 2 2 5" xfId="21978" xr:uid="{00000000-0005-0000-0000-0000DA550000}"/>
    <cellStyle name="Normal 12 4 2 2 6" xfId="21979" xr:uid="{00000000-0005-0000-0000-0000DB550000}"/>
    <cellStyle name="Normal 12 4 2 3" xfId="21980" xr:uid="{00000000-0005-0000-0000-0000DC550000}"/>
    <cellStyle name="Normal 12 4 2 3 2" xfId="21981" xr:uid="{00000000-0005-0000-0000-0000DD550000}"/>
    <cellStyle name="Normal 12 4 2 3 2 2" xfId="21982" xr:uid="{00000000-0005-0000-0000-0000DE550000}"/>
    <cellStyle name="Normal 12 4 2 3 2 2 2" xfId="21983" xr:uid="{00000000-0005-0000-0000-0000DF550000}"/>
    <cellStyle name="Normal 12 4 2 3 2 2 3" xfId="21984" xr:uid="{00000000-0005-0000-0000-0000E0550000}"/>
    <cellStyle name="Normal 12 4 2 3 2 3" xfId="21985" xr:uid="{00000000-0005-0000-0000-0000E1550000}"/>
    <cellStyle name="Normal 12 4 2 3 2 4" xfId="21986" xr:uid="{00000000-0005-0000-0000-0000E2550000}"/>
    <cellStyle name="Normal 12 4 2 3 3" xfId="21987" xr:uid="{00000000-0005-0000-0000-0000E3550000}"/>
    <cellStyle name="Normal 12 4 2 3 3 2" xfId="21988" xr:uid="{00000000-0005-0000-0000-0000E4550000}"/>
    <cellStyle name="Normal 12 4 2 3 3 3" xfId="21989" xr:uid="{00000000-0005-0000-0000-0000E5550000}"/>
    <cellStyle name="Normal 12 4 2 3 4" xfId="21990" xr:uid="{00000000-0005-0000-0000-0000E6550000}"/>
    <cellStyle name="Normal 12 4 2 3 5" xfId="21991" xr:uid="{00000000-0005-0000-0000-0000E7550000}"/>
    <cellStyle name="Normal 12 4 2 4" xfId="21992" xr:uid="{00000000-0005-0000-0000-0000E8550000}"/>
    <cellStyle name="Normal 12 4 2 4 2" xfId="21993" xr:uid="{00000000-0005-0000-0000-0000E9550000}"/>
    <cellStyle name="Normal 12 4 2 4 2 2" xfId="21994" xr:uid="{00000000-0005-0000-0000-0000EA550000}"/>
    <cellStyle name="Normal 12 4 2 4 2 3" xfId="21995" xr:uid="{00000000-0005-0000-0000-0000EB550000}"/>
    <cellStyle name="Normal 12 4 2 4 3" xfId="21996" xr:uid="{00000000-0005-0000-0000-0000EC550000}"/>
    <cellStyle name="Normal 12 4 2 4 4" xfId="21997" xr:uid="{00000000-0005-0000-0000-0000ED550000}"/>
    <cellStyle name="Normal 12 4 2 5" xfId="21998" xr:uid="{00000000-0005-0000-0000-0000EE550000}"/>
    <cellStyle name="Normal 12 4 2 5 2" xfId="21999" xr:uid="{00000000-0005-0000-0000-0000EF550000}"/>
    <cellStyle name="Normal 12 4 2 5 3" xfId="22000" xr:uid="{00000000-0005-0000-0000-0000F0550000}"/>
    <cellStyle name="Normal 12 4 2 6" xfId="22001" xr:uid="{00000000-0005-0000-0000-0000F1550000}"/>
    <cellStyle name="Normal 12 4 2 7" xfId="22002" xr:uid="{00000000-0005-0000-0000-0000F2550000}"/>
    <cellStyle name="Normal 12 4 3" xfId="22003" xr:uid="{00000000-0005-0000-0000-0000F3550000}"/>
    <cellStyle name="Normal 12 4 3 2" xfId="22004" xr:uid="{00000000-0005-0000-0000-0000F4550000}"/>
    <cellStyle name="Normal 12 4 3 2 2" xfId="22005" xr:uid="{00000000-0005-0000-0000-0000F5550000}"/>
    <cellStyle name="Normal 12 4 3 2 2 2" xfId="22006" xr:uid="{00000000-0005-0000-0000-0000F6550000}"/>
    <cellStyle name="Normal 12 4 3 2 2 2 2" xfId="22007" xr:uid="{00000000-0005-0000-0000-0000F7550000}"/>
    <cellStyle name="Normal 12 4 3 2 2 2 3" xfId="22008" xr:uid="{00000000-0005-0000-0000-0000F8550000}"/>
    <cellStyle name="Normal 12 4 3 2 2 3" xfId="22009" xr:uid="{00000000-0005-0000-0000-0000F9550000}"/>
    <cellStyle name="Normal 12 4 3 2 2 4" xfId="22010" xr:uid="{00000000-0005-0000-0000-0000FA550000}"/>
    <cellStyle name="Normal 12 4 3 2 3" xfId="22011" xr:uid="{00000000-0005-0000-0000-0000FB550000}"/>
    <cellStyle name="Normal 12 4 3 2 3 2" xfId="22012" xr:uid="{00000000-0005-0000-0000-0000FC550000}"/>
    <cellStyle name="Normal 12 4 3 2 3 3" xfId="22013" xr:uid="{00000000-0005-0000-0000-0000FD550000}"/>
    <cellStyle name="Normal 12 4 3 2 4" xfId="22014" xr:uid="{00000000-0005-0000-0000-0000FE550000}"/>
    <cellStyle name="Normal 12 4 3 2 5" xfId="22015" xr:uid="{00000000-0005-0000-0000-0000FF550000}"/>
    <cellStyle name="Normal 12 4 3 3" xfId="22016" xr:uid="{00000000-0005-0000-0000-000000560000}"/>
    <cellStyle name="Normal 12 4 3 3 2" xfId="22017" xr:uid="{00000000-0005-0000-0000-000001560000}"/>
    <cellStyle name="Normal 12 4 3 3 2 2" xfId="22018" xr:uid="{00000000-0005-0000-0000-000002560000}"/>
    <cellStyle name="Normal 12 4 3 3 2 3" xfId="22019" xr:uid="{00000000-0005-0000-0000-000003560000}"/>
    <cellStyle name="Normal 12 4 3 3 3" xfId="22020" xr:uid="{00000000-0005-0000-0000-000004560000}"/>
    <cellStyle name="Normal 12 4 3 3 4" xfId="22021" xr:uid="{00000000-0005-0000-0000-000005560000}"/>
    <cellStyle name="Normal 12 4 3 4" xfId="22022" xr:uid="{00000000-0005-0000-0000-000006560000}"/>
    <cellStyle name="Normal 12 4 3 4 2" xfId="22023" xr:uid="{00000000-0005-0000-0000-000007560000}"/>
    <cellStyle name="Normal 12 4 3 4 3" xfId="22024" xr:uid="{00000000-0005-0000-0000-000008560000}"/>
    <cellStyle name="Normal 12 4 3 5" xfId="22025" xr:uid="{00000000-0005-0000-0000-000009560000}"/>
    <cellStyle name="Normal 12 4 3 6" xfId="22026" xr:uid="{00000000-0005-0000-0000-00000A560000}"/>
    <cellStyle name="Normal 12 4 4" xfId="22027" xr:uid="{00000000-0005-0000-0000-00000B560000}"/>
    <cellStyle name="Normal 12 4 4 2" xfId="22028" xr:uid="{00000000-0005-0000-0000-00000C560000}"/>
    <cellStyle name="Normal 12 4 4 2 2" xfId="22029" xr:uid="{00000000-0005-0000-0000-00000D560000}"/>
    <cellStyle name="Normal 12 4 4 2 2 2" xfId="22030" xr:uid="{00000000-0005-0000-0000-00000E560000}"/>
    <cellStyle name="Normal 12 4 4 2 2 3" xfId="22031" xr:uid="{00000000-0005-0000-0000-00000F560000}"/>
    <cellStyle name="Normal 12 4 4 2 3" xfId="22032" xr:uid="{00000000-0005-0000-0000-000010560000}"/>
    <cellStyle name="Normal 12 4 4 2 4" xfId="22033" xr:uid="{00000000-0005-0000-0000-000011560000}"/>
    <cellStyle name="Normal 12 4 4 3" xfId="22034" xr:uid="{00000000-0005-0000-0000-000012560000}"/>
    <cellStyle name="Normal 12 4 4 3 2" xfId="22035" xr:uid="{00000000-0005-0000-0000-000013560000}"/>
    <cellStyle name="Normal 12 4 4 3 3" xfId="22036" xr:uid="{00000000-0005-0000-0000-000014560000}"/>
    <cellStyle name="Normal 12 4 4 4" xfId="22037" xr:uid="{00000000-0005-0000-0000-000015560000}"/>
    <cellStyle name="Normal 12 4 4 5" xfId="22038" xr:uid="{00000000-0005-0000-0000-000016560000}"/>
    <cellStyle name="Normal 12 4 5" xfId="22039" xr:uid="{00000000-0005-0000-0000-000017560000}"/>
    <cellStyle name="Normal 12 4 5 2" xfId="22040" xr:uid="{00000000-0005-0000-0000-000018560000}"/>
    <cellStyle name="Normal 12 4 5 2 2" xfId="22041" xr:uid="{00000000-0005-0000-0000-000019560000}"/>
    <cellStyle name="Normal 12 4 5 2 3" xfId="22042" xr:uid="{00000000-0005-0000-0000-00001A560000}"/>
    <cellStyle name="Normal 12 4 5 3" xfId="22043" xr:uid="{00000000-0005-0000-0000-00001B560000}"/>
    <cellStyle name="Normal 12 4 5 4" xfId="22044" xr:uid="{00000000-0005-0000-0000-00001C560000}"/>
    <cellStyle name="Normal 12 4 6" xfId="22045" xr:uid="{00000000-0005-0000-0000-00001D560000}"/>
    <cellStyle name="Normal 12 4 6 2" xfId="22046" xr:uid="{00000000-0005-0000-0000-00001E560000}"/>
    <cellStyle name="Normal 12 4 6 3" xfId="22047" xr:uid="{00000000-0005-0000-0000-00001F560000}"/>
    <cellStyle name="Normal 12 4 7" xfId="22048" xr:uid="{00000000-0005-0000-0000-000020560000}"/>
    <cellStyle name="Normal 12 4 8" xfId="22049" xr:uid="{00000000-0005-0000-0000-000021560000}"/>
    <cellStyle name="Normal 12 5" xfId="22050" xr:uid="{00000000-0005-0000-0000-000022560000}"/>
    <cellStyle name="Normal 12 5 2" xfId="22051" xr:uid="{00000000-0005-0000-0000-000023560000}"/>
    <cellStyle name="Normal 12 5 2 2" xfId="22052" xr:uid="{00000000-0005-0000-0000-000024560000}"/>
    <cellStyle name="Normal 12 5 2 2 2" xfId="22053" xr:uid="{00000000-0005-0000-0000-000025560000}"/>
    <cellStyle name="Normal 12 5 2 2 2 2" xfId="22054" xr:uid="{00000000-0005-0000-0000-000026560000}"/>
    <cellStyle name="Normal 12 5 2 2 2 2 2" xfId="22055" xr:uid="{00000000-0005-0000-0000-000027560000}"/>
    <cellStyle name="Normal 12 5 2 2 2 2 3" xfId="22056" xr:uid="{00000000-0005-0000-0000-000028560000}"/>
    <cellStyle name="Normal 12 5 2 2 2 3" xfId="22057" xr:uid="{00000000-0005-0000-0000-000029560000}"/>
    <cellStyle name="Normal 12 5 2 2 2 4" xfId="22058" xr:uid="{00000000-0005-0000-0000-00002A560000}"/>
    <cellStyle name="Normal 12 5 2 2 3" xfId="22059" xr:uid="{00000000-0005-0000-0000-00002B560000}"/>
    <cellStyle name="Normal 12 5 2 2 3 2" xfId="22060" xr:uid="{00000000-0005-0000-0000-00002C560000}"/>
    <cellStyle name="Normal 12 5 2 2 3 3" xfId="22061" xr:uid="{00000000-0005-0000-0000-00002D560000}"/>
    <cellStyle name="Normal 12 5 2 2 4" xfId="22062" xr:uid="{00000000-0005-0000-0000-00002E560000}"/>
    <cellStyle name="Normal 12 5 2 2 5" xfId="22063" xr:uid="{00000000-0005-0000-0000-00002F560000}"/>
    <cellStyle name="Normal 12 5 2 3" xfId="22064" xr:uid="{00000000-0005-0000-0000-000030560000}"/>
    <cellStyle name="Normal 12 5 2 3 2" xfId="22065" xr:uid="{00000000-0005-0000-0000-000031560000}"/>
    <cellStyle name="Normal 12 5 2 3 2 2" xfId="22066" xr:uid="{00000000-0005-0000-0000-000032560000}"/>
    <cellStyle name="Normal 12 5 2 3 2 3" xfId="22067" xr:uid="{00000000-0005-0000-0000-000033560000}"/>
    <cellStyle name="Normal 12 5 2 3 3" xfId="22068" xr:uid="{00000000-0005-0000-0000-000034560000}"/>
    <cellStyle name="Normal 12 5 2 3 4" xfId="22069" xr:uid="{00000000-0005-0000-0000-000035560000}"/>
    <cellStyle name="Normal 12 5 2 4" xfId="22070" xr:uid="{00000000-0005-0000-0000-000036560000}"/>
    <cellStyle name="Normal 12 5 2 4 2" xfId="22071" xr:uid="{00000000-0005-0000-0000-000037560000}"/>
    <cellStyle name="Normal 12 5 2 4 3" xfId="22072" xr:uid="{00000000-0005-0000-0000-000038560000}"/>
    <cellStyle name="Normal 12 5 2 5" xfId="22073" xr:uid="{00000000-0005-0000-0000-000039560000}"/>
    <cellStyle name="Normal 12 5 2 6" xfId="22074" xr:uid="{00000000-0005-0000-0000-00003A560000}"/>
    <cellStyle name="Normal 12 5 3" xfId="22075" xr:uid="{00000000-0005-0000-0000-00003B560000}"/>
    <cellStyle name="Normal 12 5 3 2" xfId="22076" xr:uid="{00000000-0005-0000-0000-00003C560000}"/>
    <cellStyle name="Normal 12 5 3 2 2" xfId="22077" xr:uid="{00000000-0005-0000-0000-00003D560000}"/>
    <cellStyle name="Normal 12 5 3 2 2 2" xfId="22078" xr:uid="{00000000-0005-0000-0000-00003E560000}"/>
    <cellStyle name="Normal 12 5 3 2 2 3" xfId="22079" xr:uid="{00000000-0005-0000-0000-00003F560000}"/>
    <cellStyle name="Normal 12 5 3 2 3" xfId="22080" xr:uid="{00000000-0005-0000-0000-000040560000}"/>
    <cellStyle name="Normal 12 5 3 2 4" xfId="22081" xr:uid="{00000000-0005-0000-0000-000041560000}"/>
    <cellStyle name="Normal 12 5 3 3" xfId="22082" xr:uid="{00000000-0005-0000-0000-000042560000}"/>
    <cellStyle name="Normal 12 5 3 3 2" xfId="22083" xr:uid="{00000000-0005-0000-0000-000043560000}"/>
    <cellStyle name="Normal 12 5 3 3 3" xfId="22084" xr:uid="{00000000-0005-0000-0000-000044560000}"/>
    <cellStyle name="Normal 12 5 3 4" xfId="22085" xr:uid="{00000000-0005-0000-0000-000045560000}"/>
    <cellStyle name="Normal 12 5 3 5" xfId="22086" xr:uid="{00000000-0005-0000-0000-000046560000}"/>
    <cellStyle name="Normal 12 5 4" xfId="22087" xr:uid="{00000000-0005-0000-0000-000047560000}"/>
    <cellStyle name="Normal 12 5 4 2" xfId="22088" xr:uid="{00000000-0005-0000-0000-000048560000}"/>
    <cellStyle name="Normal 12 5 4 2 2" xfId="22089" xr:uid="{00000000-0005-0000-0000-000049560000}"/>
    <cellStyle name="Normal 12 5 4 2 3" xfId="22090" xr:uid="{00000000-0005-0000-0000-00004A560000}"/>
    <cellStyle name="Normal 12 5 4 3" xfId="22091" xr:uid="{00000000-0005-0000-0000-00004B560000}"/>
    <cellStyle name="Normal 12 5 4 4" xfId="22092" xr:uid="{00000000-0005-0000-0000-00004C560000}"/>
    <cellStyle name="Normal 12 5 5" xfId="22093" xr:uid="{00000000-0005-0000-0000-00004D560000}"/>
    <cellStyle name="Normal 12 5 5 2" xfId="22094" xr:uid="{00000000-0005-0000-0000-00004E560000}"/>
    <cellStyle name="Normal 12 5 5 3" xfId="22095" xr:uid="{00000000-0005-0000-0000-00004F560000}"/>
    <cellStyle name="Normal 12 5 6" xfId="22096" xr:uid="{00000000-0005-0000-0000-000050560000}"/>
    <cellStyle name="Normal 12 5 7" xfId="22097" xr:uid="{00000000-0005-0000-0000-000051560000}"/>
    <cellStyle name="Normal 12 6" xfId="22098" xr:uid="{00000000-0005-0000-0000-000052560000}"/>
    <cellStyle name="Normal 12 6 2" xfId="22099" xr:uid="{00000000-0005-0000-0000-000053560000}"/>
    <cellStyle name="Normal 12 6 2 2" xfId="22100" xr:uid="{00000000-0005-0000-0000-000054560000}"/>
    <cellStyle name="Normal 12 6 2 2 2" xfId="22101" xr:uid="{00000000-0005-0000-0000-000055560000}"/>
    <cellStyle name="Normal 12 6 2 2 2 2" xfId="22102" xr:uid="{00000000-0005-0000-0000-000056560000}"/>
    <cellStyle name="Normal 12 6 2 2 2 3" xfId="22103" xr:uid="{00000000-0005-0000-0000-000057560000}"/>
    <cellStyle name="Normal 12 6 2 2 3" xfId="22104" xr:uid="{00000000-0005-0000-0000-000058560000}"/>
    <cellStyle name="Normal 12 6 2 2 4" xfId="22105" xr:uid="{00000000-0005-0000-0000-000059560000}"/>
    <cellStyle name="Normal 12 6 2 3" xfId="22106" xr:uid="{00000000-0005-0000-0000-00005A560000}"/>
    <cellStyle name="Normal 12 6 2 3 2" xfId="22107" xr:uid="{00000000-0005-0000-0000-00005B560000}"/>
    <cellStyle name="Normal 12 6 2 3 3" xfId="22108" xr:uid="{00000000-0005-0000-0000-00005C560000}"/>
    <cellStyle name="Normal 12 6 2 4" xfId="22109" xr:uid="{00000000-0005-0000-0000-00005D560000}"/>
    <cellStyle name="Normal 12 6 2 5" xfId="22110" xr:uid="{00000000-0005-0000-0000-00005E560000}"/>
    <cellStyle name="Normal 12 6 3" xfId="22111" xr:uid="{00000000-0005-0000-0000-00005F560000}"/>
    <cellStyle name="Normal 12 6 3 2" xfId="22112" xr:uid="{00000000-0005-0000-0000-000060560000}"/>
    <cellStyle name="Normal 12 6 3 2 2" xfId="22113" xr:uid="{00000000-0005-0000-0000-000061560000}"/>
    <cellStyle name="Normal 12 6 3 2 3" xfId="22114" xr:uid="{00000000-0005-0000-0000-000062560000}"/>
    <cellStyle name="Normal 12 6 3 3" xfId="22115" xr:uid="{00000000-0005-0000-0000-000063560000}"/>
    <cellStyle name="Normal 12 6 3 4" xfId="22116" xr:uid="{00000000-0005-0000-0000-000064560000}"/>
    <cellStyle name="Normal 12 6 4" xfId="22117" xr:uid="{00000000-0005-0000-0000-000065560000}"/>
    <cellStyle name="Normal 12 6 4 2" xfId="22118" xr:uid="{00000000-0005-0000-0000-000066560000}"/>
    <cellStyle name="Normal 12 6 4 3" xfId="22119" xr:uid="{00000000-0005-0000-0000-000067560000}"/>
    <cellStyle name="Normal 12 6 5" xfId="22120" xr:uid="{00000000-0005-0000-0000-000068560000}"/>
    <cellStyle name="Normal 12 6 6" xfId="22121" xr:uid="{00000000-0005-0000-0000-000069560000}"/>
    <cellStyle name="Normal 12 7" xfId="22122" xr:uid="{00000000-0005-0000-0000-00006A560000}"/>
    <cellStyle name="Normal 12 7 2" xfId="22123" xr:uid="{00000000-0005-0000-0000-00006B560000}"/>
    <cellStyle name="Normal 12 7 2 2" xfId="22124" xr:uid="{00000000-0005-0000-0000-00006C560000}"/>
    <cellStyle name="Normal 12 7 2 2 2" xfId="22125" xr:uid="{00000000-0005-0000-0000-00006D560000}"/>
    <cellStyle name="Normal 12 7 2 2 2 2" xfId="22126" xr:uid="{00000000-0005-0000-0000-00006E560000}"/>
    <cellStyle name="Normal 12 7 2 2 2 3" xfId="22127" xr:uid="{00000000-0005-0000-0000-00006F560000}"/>
    <cellStyle name="Normal 12 7 2 2 3" xfId="22128" xr:uid="{00000000-0005-0000-0000-000070560000}"/>
    <cellStyle name="Normal 12 7 2 2 4" xfId="22129" xr:uid="{00000000-0005-0000-0000-000071560000}"/>
    <cellStyle name="Normal 12 7 2 3" xfId="22130" xr:uid="{00000000-0005-0000-0000-000072560000}"/>
    <cellStyle name="Normal 12 7 2 3 2" xfId="22131" xr:uid="{00000000-0005-0000-0000-000073560000}"/>
    <cellStyle name="Normal 12 7 2 3 3" xfId="22132" xr:uid="{00000000-0005-0000-0000-000074560000}"/>
    <cellStyle name="Normal 12 7 2 4" xfId="22133" xr:uid="{00000000-0005-0000-0000-000075560000}"/>
    <cellStyle name="Normal 12 7 2 5" xfId="22134" xr:uid="{00000000-0005-0000-0000-000076560000}"/>
    <cellStyle name="Normal 12 7 3" xfId="22135" xr:uid="{00000000-0005-0000-0000-000077560000}"/>
    <cellStyle name="Normal 12 7 3 2" xfId="22136" xr:uid="{00000000-0005-0000-0000-000078560000}"/>
    <cellStyle name="Normal 12 7 3 2 2" xfId="22137" xr:uid="{00000000-0005-0000-0000-000079560000}"/>
    <cellStyle name="Normal 12 7 3 2 3" xfId="22138" xr:uid="{00000000-0005-0000-0000-00007A560000}"/>
    <cellStyle name="Normal 12 7 3 3" xfId="22139" xr:uid="{00000000-0005-0000-0000-00007B560000}"/>
    <cellStyle name="Normal 12 7 3 4" xfId="22140" xr:uid="{00000000-0005-0000-0000-00007C560000}"/>
    <cellStyle name="Normal 12 7 4" xfId="22141" xr:uid="{00000000-0005-0000-0000-00007D560000}"/>
    <cellStyle name="Normal 12 7 4 2" xfId="22142" xr:uid="{00000000-0005-0000-0000-00007E560000}"/>
    <cellStyle name="Normal 12 7 4 3" xfId="22143" xr:uid="{00000000-0005-0000-0000-00007F560000}"/>
    <cellStyle name="Normal 12 7 5" xfId="22144" xr:uid="{00000000-0005-0000-0000-000080560000}"/>
    <cellStyle name="Normal 12 7 6" xfId="22145" xr:uid="{00000000-0005-0000-0000-000081560000}"/>
    <cellStyle name="Normal 12 8" xfId="22146" xr:uid="{00000000-0005-0000-0000-000082560000}"/>
    <cellStyle name="Normal 12 8 2" xfId="22147" xr:uid="{00000000-0005-0000-0000-000083560000}"/>
    <cellStyle name="Normal 12 8 2 2" xfId="22148" xr:uid="{00000000-0005-0000-0000-000084560000}"/>
    <cellStyle name="Normal 12 8 2 2 2" xfId="22149" xr:uid="{00000000-0005-0000-0000-000085560000}"/>
    <cellStyle name="Normal 12 8 2 2 2 2" xfId="22150" xr:uid="{00000000-0005-0000-0000-000086560000}"/>
    <cellStyle name="Normal 12 8 2 2 2 3" xfId="22151" xr:uid="{00000000-0005-0000-0000-000087560000}"/>
    <cellStyle name="Normal 12 8 2 2 3" xfId="22152" xr:uid="{00000000-0005-0000-0000-000088560000}"/>
    <cellStyle name="Normal 12 8 2 2 4" xfId="22153" xr:uid="{00000000-0005-0000-0000-000089560000}"/>
    <cellStyle name="Normal 12 8 2 3" xfId="22154" xr:uid="{00000000-0005-0000-0000-00008A560000}"/>
    <cellStyle name="Normal 12 8 2 3 2" xfId="22155" xr:uid="{00000000-0005-0000-0000-00008B560000}"/>
    <cellStyle name="Normal 12 8 2 3 3" xfId="22156" xr:uid="{00000000-0005-0000-0000-00008C560000}"/>
    <cellStyle name="Normal 12 8 2 4" xfId="22157" xr:uid="{00000000-0005-0000-0000-00008D560000}"/>
    <cellStyle name="Normal 12 8 2 5" xfId="22158" xr:uid="{00000000-0005-0000-0000-00008E560000}"/>
    <cellStyle name="Normal 12 8 3" xfId="22159" xr:uid="{00000000-0005-0000-0000-00008F560000}"/>
    <cellStyle name="Normal 12 8 3 2" xfId="22160" xr:uid="{00000000-0005-0000-0000-000090560000}"/>
    <cellStyle name="Normal 12 8 3 2 2" xfId="22161" xr:uid="{00000000-0005-0000-0000-000091560000}"/>
    <cellStyle name="Normal 12 8 3 2 3" xfId="22162" xr:uid="{00000000-0005-0000-0000-000092560000}"/>
    <cellStyle name="Normal 12 8 3 3" xfId="22163" xr:uid="{00000000-0005-0000-0000-000093560000}"/>
    <cellStyle name="Normal 12 8 3 4" xfId="22164" xr:uid="{00000000-0005-0000-0000-000094560000}"/>
    <cellStyle name="Normal 12 8 4" xfId="22165" xr:uid="{00000000-0005-0000-0000-000095560000}"/>
    <cellStyle name="Normal 12 8 4 2" xfId="22166" xr:uid="{00000000-0005-0000-0000-000096560000}"/>
    <cellStyle name="Normal 12 8 4 3" xfId="22167" xr:uid="{00000000-0005-0000-0000-000097560000}"/>
    <cellStyle name="Normal 12 8 5" xfId="22168" xr:uid="{00000000-0005-0000-0000-000098560000}"/>
    <cellStyle name="Normal 12 8 6" xfId="22169" xr:uid="{00000000-0005-0000-0000-000099560000}"/>
    <cellStyle name="Normal 12 9" xfId="22170" xr:uid="{00000000-0005-0000-0000-00009A560000}"/>
    <cellStyle name="Normal 12 9 2" xfId="22171" xr:uid="{00000000-0005-0000-0000-00009B560000}"/>
    <cellStyle name="Normal 12 9 2 2" xfId="22172" xr:uid="{00000000-0005-0000-0000-00009C560000}"/>
    <cellStyle name="Normal 12 9 2 2 2" xfId="22173" xr:uid="{00000000-0005-0000-0000-00009D560000}"/>
    <cellStyle name="Normal 12 9 2 2 3" xfId="22174" xr:uid="{00000000-0005-0000-0000-00009E560000}"/>
    <cellStyle name="Normal 12 9 2 3" xfId="22175" xr:uid="{00000000-0005-0000-0000-00009F560000}"/>
    <cellStyle name="Normal 12 9 2 4" xfId="22176" xr:uid="{00000000-0005-0000-0000-0000A0560000}"/>
    <cellStyle name="Normal 12 9 3" xfId="22177" xr:uid="{00000000-0005-0000-0000-0000A1560000}"/>
    <cellStyle name="Normal 12 9 3 2" xfId="22178" xr:uid="{00000000-0005-0000-0000-0000A2560000}"/>
    <cellStyle name="Normal 12 9 3 3" xfId="22179" xr:uid="{00000000-0005-0000-0000-0000A3560000}"/>
    <cellStyle name="Normal 12 9 4" xfId="22180" xr:uid="{00000000-0005-0000-0000-0000A4560000}"/>
    <cellStyle name="Normal 12 9 5" xfId="22181" xr:uid="{00000000-0005-0000-0000-0000A5560000}"/>
    <cellStyle name="Normal 13" xfId="22182" xr:uid="{00000000-0005-0000-0000-0000A6560000}"/>
    <cellStyle name="Normal 13 10" xfId="22183" xr:uid="{00000000-0005-0000-0000-0000A7560000}"/>
    <cellStyle name="Normal 13 10 2" xfId="22184" xr:uid="{00000000-0005-0000-0000-0000A8560000}"/>
    <cellStyle name="Normal 13 10 2 2" xfId="22185" xr:uid="{00000000-0005-0000-0000-0000A9560000}"/>
    <cellStyle name="Normal 13 10 2 3" xfId="22186" xr:uid="{00000000-0005-0000-0000-0000AA560000}"/>
    <cellStyle name="Normal 13 10 3" xfId="22187" xr:uid="{00000000-0005-0000-0000-0000AB560000}"/>
    <cellStyle name="Normal 13 10 4" xfId="22188" xr:uid="{00000000-0005-0000-0000-0000AC560000}"/>
    <cellStyle name="Normal 13 11" xfId="22189" xr:uid="{00000000-0005-0000-0000-0000AD560000}"/>
    <cellStyle name="Normal 13 11 2" xfId="22190" xr:uid="{00000000-0005-0000-0000-0000AE560000}"/>
    <cellStyle name="Normal 13 11 3" xfId="22191" xr:uid="{00000000-0005-0000-0000-0000AF560000}"/>
    <cellStyle name="Normal 13 12" xfId="22192" xr:uid="{00000000-0005-0000-0000-0000B0560000}"/>
    <cellStyle name="Normal 13 13" xfId="22193" xr:uid="{00000000-0005-0000-0000-0000B1560000}"/>
    <cellStyle name="Normal 13 2" xfId="22194" xr:uid="{00000000-0005-0000-0000-0000B2560000}"/>
    <cellStyle name="Normal 13 2 10" xfId="22195" xr:uid="{00000000-0005-0000-0000-0000B3560000}"/>
    <cellStyle name="Normal 13 2 11" xfId="22196" xr:uid="{00000000-0005-0000-0000-0000B4560000}"/>
    <cellStyle name="Normal 13 2 2" xfId="22197" xr:uid="{00000000-0005-0000-0000-0000B5560000}"/>
    <cellStyle name="Normal 13 2 2 10" xfId="22198" xr:uid="{00000000-0005-0000-0000-0000B6560000}"/>
    <cellStyle name="Normal 13 2 2 2" xfId="22199" xr:uid="{00000000-0005-0000-0000-0000B7560000}"/>
    <cellStyle name="Normal 13 2 2 2 2" xfId="22200" xr:uid="{00000000-0005-0000-0000-0000B8560000}"/>
    <cellStyle name="Normal 13 2 2 2 2 2" xfId="22201" xr:uid="{00000000-0005-0000-0000-0000B9560000}"/>
    <cellStyle name="Normal 13 2 2 2 2 2 2" xfId="22202" xr:uid="{00000000-0005-0000-0000-0000BA560000}"/>
    <cellStyle name="Normal 13 2 2 2 2 2 2 2" xfId="22203" xr:uid="{00000000-0005-0000-0000-0000BB560000}"/>
    <cellStyle name="Normal 13 2 2 2 2 2 2 2 2" xfId="22204" xr:uid="{00000000-0005-0000-0000-0000BC560000}"/>
    <cellStyle name="Normal 13 2 2 2 2 2 2 2 2 2" xfId="22205" xr:uid="{00000000-0005-0000-0000-0000BD560000}"/>
    <cellStyle name="Normal 13 2 2 2 2 2 2 2 2 2 2" xfId="22206" xr:uid="{00000000-0005-0000-0000-0000BE560000}"/>
    <cellStyle name="Normal 13 2 2 2 2 2 2 2 2 2 3" xfId="22207" xr:uid="{00000000-0005-0000-0000-0000BF560000}"/>
    <cellStyle name="Normal 13 2 2 2 2 2 2 2 2 3" xfId="22208" xr:uid="{00000000-0005-0000-0000-0000C0560000}"/>
    <cellStyle name="Normal 13 2 2 2 2 2 2 2 2 4" xfId="22209" xr:uid="{00000000-0005-0000-0000-0000C1560000}"/>
    <cellStyle name="Normal 13 2 2 2 2 2 2 2 3" xfId="22210" xr:uid="{00000000-0005-0000-0000-0000C2560000}"/>
    <cellStyle name="Normal 13 2 2 2 2 2 2 2 3 2" xfId="22211" xr:uid="{00000000-0005-0000-0000-0000C3560000}"/>
    <cellStyle name="Normal 13 2 2 2 2 2 2 2 3 3" xfId="22212" xr:uid="{00000000-0005-0000-0000-0000C4560000}"/>
    <cellStyle name="Normal 13 2 2 2 2 2 2 2 4" xfId="22213" xr:uid="{00000000-0005-0000-0000-0000C5560000}"/>
    <cellStyle name="Normal 13 2 2 2 2 2 2 2 5" xfId="22214" xr:uid="{00000000-0005-0000-0000-0000C6560000}"/>
    <cellStyle name="Normal 13 2 2 2 2 2 2 3" xfId="22215" xr:uid="{00000000-0005-0000-0000-0000C7560000}"/>
    <cellStyle name="Normal 13 2 2 2 2 2 2 3 2" xfId="22216" xr:uid="{00000000-0005-0000-0000-0000C8560000}"/>
    <cellStyle name="Normal 13 2 2 2 2 2 2 3 2 2" xfId="22217" xr:uid="{00000000-0005-0000-0000-0000C9560000}"/>
    <cellStyle name="Normal 13 2 2 2 2 2 2 3 2 3" xfId="22218" xr:uid="{00000000-0005-0000-0000-0000CA560000}"/>
    <cellStyle name="Normal 13 2 2 2 2 2 2 3 3" xfId="22219" xr:uid="{00000000-0005-0000-0000-0000CB560000}"/>
    <cellStyle name="Normal 13 2 2 2 2 2 2 3 4" xfId="22220" xr:uid="{00000000-0005-0000-0000-0000CC560000}"/>
    <cellStyle name="Normal 13 2 2 2 2 2 2 4" xfId="22221" xr:uid="{00000000-0005-0000-0000-0000CD560000}"/>
    <cellStyle name="Normal 13 2 2 2 2 2 2 4 2" xfId="22222" xr:uid="{00000000-0005-0000-0000-0000CE560000}"/>
    <cellStyle name="Normal 13 2 2 2 2 2 2 4 3" xfId="22223" xr:uid="{00000000-0005-0000-0000-0000CF560000}"/>
    <cellStyle name="Normal 13 2 2 2 2 2 2 5" xfId="22224" xr:uid="{00000000-0005-0000-0000-0000D0560000}"/>
    <cellStyle name="Normal 13 2 2 2 2 2 2 6" xfId="22225" xr:uid="{00000000-0005-0000-0000-0000D1560000}"/>
    <cellStyle name="Normal 13 2 2 2 2 2 3" xfId="22226" xr:uid="{00000000-0005-0000-0000-0000D2560000}"/>
    <cellStyle name="Normal 13 2 2 2 2 2 3 2" xfId="22227" xr:uid="{00000000-0005-0000-0000-0000D3560000}"/>
    <cellStyle name="Normal 13 2 2 2 2 2 3 2 2" xfId="22228" xr:uid="{00000000-0005-0000-0000-0000D4560000}"/>
    <cellStyle name="Normal 13 2 2 2 2 2 3 2 2 2" xfId="22229" xr:uid="{00000000-0005-0000-0000-0000D5560000}"/>
    <cellStyle name="Normal 13 2 2 2 2 2 3 2 2 3" xfId="22230" xr:uid="{00000000-0005-0000-0000-0000D6560000}"/>
    <cellStyle name="Normal 13 2 2 2 2 2 3 2 3" xfId="22231" xr:uid="{00000000-0005-0000-0000-0000D7560000}"/>
    <cellStyle name="Normal 13 2 2 2 2 2 3 2 4" xfId="22232" xr:uid="{00000000-0005-0000-0000-0000D8560000}"/>
    <cellStyle name="Normal 13 2 2 2 2 2 3 3" xfId="22233" xr:uid="{00000000-0005-0000-0000-0000D9560000}"/>
    <cellStyle name="Normal 13 2 2 2 2 2 3 3 2" xfId="22234" xr:uid="{00000000-0005-0000-0000-0000DA560000}"/>
    <cellStyle name="Normal 13 2 2 2 2 2 3 3 3" xfId="22235" xr:uid="{00000000-0005-0000-0000-0000DB560000}"/>
    <cellStyle name="Normal 13 2 2 2 2 2 3 4" xfId="22236" xr:uid="{00000000-0005-0000-0000-0000DC560000}"/>
    <cellStyle name="Normal 13 2 2 2 2 2 3 5" xfId="22237" xr:uid="{00000000-0005-0000-0000-0000DD560000}"/>
    <cellStyle name="Normal 13 2 2 2 2 2 4" xfId="22238" xr:uid="{00000000-0005-0000-0000-0000DE560000}"/>
    <cellStyle name="Normal 13 2 2 2 2 2 4 2" xfId="22239" xr:uid="{00000000-0005-0000-0000-0000DF560000}"/>
    <cellStyle name="Normal 13 2 2 2 2 2 4 2 2" xfId="22240" xr:uid="{00000000-0005-0000-0000-0000E0560000}"/>
    <cellStyle name="Normal 13 2 2 2 2 2 4 2 3" xfId="22241" xr:uid="{00000000-0005-0000-0000-0000E1560000}"/>
    <cellStyle name="Normal 13 2 2 2 2 2 4 3" xfId="22242" xr:uid="{00000000-0005-0000-0000-0000E2560000}"/>
    <cellStyle name="Normal 13 2 2 2 2 2 4 4" xfId="22243" xr:uid="{00000000-0005-0000-0000-0000E3560000}"/>
    <cellStyle name="Normal 13 2 2 2 2 2 5" xfId="22244" xr:uid="{00000000-0005-0000-0000-0000E4560000}"/>
    <cellStyle name="Normal 13 2 2 2 2 2 5 2" xfId="22245" xr:uid="{00000000-0005-0000-0000-0000E5560000}"/>
    <cellStyle name="Normal 13 2 2 2 2 2 5 3" xfId="22246" xr:uid="{00000000-0005-0000-0000-0000E6560000}"/>
    <cellStyle name="Normal 13 2 2 2 2 2 6" xfId="22247" xr:uid="{00000000-0005-0000-0000-0000E7560000}"/>
    <cellStyle name="Normal 13 2 2 2 2 2 7" xfId="22248" xr:uid="{00000000-0005-0000-0000-0000E8560000}"/>
    <cellStyle name="Normal 13 2 2 2 2 3" xfId="22249" xr:uid="{00000000-0005-0000-0000-0000E9560000}"/>
    <cellStyle name="Normal 13 2 2 2 2 3 2" xfId="22250" xr:uid="{00000000-0005-0000-0000-0000EA560000}"/>
    <cellStyle name="Normal 13 2 2 2 2 3 2 2" xfId="22251" xr:uid="{00000000-0005-0000-0000-0000EB560000}"/>
    <cellStyle name="Normal 13 2 2 2 2 3 2 2 2" xfId="22252" xr:uid="{00000000-0005-0000-0000-0000EC560000}"/>
    <cellStyle name="Normal 13 2 2 2 2 3 2 2 2 2" xfId="22253" xr:uid="{00000000-0005-0000-0000-0000ED560000}"/>
    <cellStyle name="Normal 13 2 2 2 2 3 2 2 2 3" xfId="22254" xr:uid="{00000000-0005-0000-0000-0000EE560000}"/>
    <cellStyle name="Normal 13 2 2 2 2 3 2 2 3" xfId="22255" xr:uid="{00000000-0005-0000-0000-0000EF560000}"/>
    <cellStyle name="Normal 13 2 2 2 2 3 2 2 4" xfId="22256" xr:uid="{00000000-0005-0000-0000-0000F0560000}"/>
    <cellStyle name="Normal 13 2 2 2 2 3 2 3" xfId="22257" xr:uid="{00000000-0005-0000-0000-0000F1560000}"/>
    <cellStyle name="Normal 13 2 2 2 2 3 2 3 2" xfId="22258" xr:uid="{00000000-0005-0000-0000-0000F2560000}"/>
    <cellStyle name="Normal 13 2 2 2 2 3 2 3 3" xfId="22259" xr:uid="{00000000-0005-0000-0000-0000F3560000}"/>
    <cellStyle name="Normal 13 2 2 2 2 3 2 4" xfId="22260" xr:uid="{00000000-0005-0000-0000-0000F4560000}"/>
    <cellStyle name="Normal 13 2 2 2 2 3 2 5" xfId="22261" xr:uid="{00000000-0005-0000-0000-0000F5560000}"/>
    <cellStyle name="Normal 13 2 2 2 2 3 3" xfId="22262" xr:uid="{00000000-0005-0000-0000-0000F6560000}"/>
    <cellStyle name="Normal 13 2 2 2 2 3 3 2" xfId="22263" xr:uid="{00000000-0005-0000-0000-0000F7560000}"/>
    <cellStyle name="Normal 13 2 2 2 2 3 3 2 2" xfId="22264" xr:uid="{00000000-0005-0000-0000-0000F8560000}"/>
    <cellStyle name="Normal 13 2 2 2 2 3 3 2 3" xfId="22265" xr:uid="{00000000-0005-0000-0000-0000F9560000}"/>
    <cellStyle name="Normal 13 2 2 2 2 3 3 3" xfId="22266" xr:uid="{00000000-0005-0000-0000-0000FA560000}"/>
    <cellStyle name="Normal 13 2 2 2 2 3 3 4" xfId="22267" xr:uid="{00000000-0005-0000-0000-0000FB560000}"/>
    <cellStyle name="Normal 13 2 2 2 2 3 4" xfId="22268" xr:uid="{00000000-0005-0000-0000-0000FC560000}"/>
    <cellStyle name="Normal 13 2 2 2 2 3 4 2" xfId="22269" xr:uid="{00000000-0005-0000-0000-0000FD560000}"/>
    <cellStyle name="Normal 13 2 2 2 2 3 4 3" xfId="22270" xr:uid="{00000000-0005-0000-0000-0000FE560000}"/>
    <cellStyle name="Normal 13 2 2 2 2 3 5" xfId="22271" xr:uid="{00000000-0005-0000-0000-0000FF560000}"/>
    <cellStyle name="Normal 13 2 2 2 2 3 6" xfId="22272" xr:uid="{00000000-0005-0000-0000-000000570000}"/>
    <cellStyle name="Normal 13 2 2 2 2 4" xfId="22273" xr:uid="{00000000-0005-0000-0000-000001570000}"/>
    <cellStyle name="Normal 13 2 2 2 2 4 2" xfId="22274" xr:uid="{00000000-0005-0000-0000-000002570000}"/>
    <cellStyle name="Normal 13 2 2 2 2 4 2 2" xfId="22275" xr:uid="{00000000-0005-0000-0000-000003570000}"/>
    <cellStyle name="Normal 13 2 2 2 2 4 2 2 2" xfId="22276" xr:uid="{00000000-0005-0000-0000-000004570000}"/>
    <cellStyle name="Normal 13 2 2 2 2 4 2 2 3" xfId="22277" xr:uid="{00000000-0005-0000-0000-000005570000}"/>
    <cellStyle name="Normal 13 2 2 2 2 4 2 3" xfId="22278" xr:uid="{00000000-0005-0000-0000-000006570000}"/>
    <cellStyle name="Normal 13 2 2 2 2 4 2 4" xfId="22279" xr:uid="{00000000-0005-0000-0000-000007570000}"/>
    <cellStyle name="Normal 13 2 2 2 2 4 3" xfId="22280" xr:uid="{00000000-0005-0000-0000-000008570000}"/>
    <cellStyle name="Normal 13 2 2 2 2 4 3 2" xfId="22281" xr:uid="{00000000-0005-0000-0000-000009570000}"/>
    <cellStyle name="Normal 13 2 2 2 2 4 3 3" xfId="22282" xr:uid="{00000000-0005-0000-0000-00000A570000}"/>
    <cellStyle name="Normal 13 2 2 2 2 4 4" xfId="22283" xr:uid="{00000000-0005-0000-0000-00000B570000}"/>
    <cellStyle name="Normal 13 2 2 2 2 4 5" xfId="22284" xr:uid="{00000000-0005-0000-0000-00000C570000}"/>
    <cellStyle name="Normal 13 2 2 2 2 5" xfId="22285" xr:uid="{00000000-0005-0000-0000-00000D570000}"/>
    <cellStyle name="Normal 13 2 2 2 2 5 2" xfId="22286" xr:uid="{00000000-0005-0000-0000-00000E570000}"/>
    <cellStyle name="Normal 13 2 2 2 2 5 2 2" xfId="22287" xr:uid="{00000000-0005-0000-0000-00000F570000}"/>
    <cellStyle name="Normal 13 2 2 2 2 5 2 3" xfId="22288" xr:uid="{00000000-0005-0000-0000-000010570000}"/>
    <cellStyle name="Normal 13 2 2 2 2 5 3" xfId="22289" xr:uid="{00000000-0005-0000-0000-000011570000}"/>
    <cellStyle name="Normal 13 2 2 2 2 5 4" xfId="22290" xr:uid="{00000000-0005-0000-0000-000012570000}"/>
    <cellStyle name="Normal 13 2 2 2 2 6" xfId="22291" xr:uid="{00000000-0005-0000-0000-000013570000}"/>
    <cellStyle name="Normal 13 2 2 2 2 6 2" xfId="22292" xr:uid="{00000000-0005-0000-0000-000014570000}"/>
    <cellStyle name="Normal 13 2 2 2 2 6 3" xfId="22293" xr:uid="{00000000-0005-0000-0000-000015570000}"/>
    <cellStyle name="Normal 13 2 2 2 2 7" xfId="22294" xr:uid="{00000000-0005-0000-0000-000016570000}"/>
    <cellStyle name="Normal 13 2 2 2 2 8" xfId="22295" xr:uid="{00000000-0005-0000-0000-000017570000}"/>
    <cellStyle name="Normal 13 2 2 2 3" xfId="22296" xr:uid="{00000000-0005-0000-0000-000018570000}"/>
    <cellStyle name="Normal 13 2 2 2 3 2" xfId="22297" xr:uid="{00000000-0005-0000-0000-000019570000}"/>
    <cellStyle name="Normal 13 2 2 2 3 2 2" xfId="22298" xr:uid="{00000000-0005-0000-0000-00001A570000}"/>
    <cellStyle name="Normal 13 2 2 2 3 2 2 2" xfId="22299" xr:uid="{00000000-0005-0000-0000-00001B570000}"/>
    <cellStyle name="Normal 13 2 2 2 3 2 2 2 2" xfId="22300" xr:uid="{00000000-0005-0000-0000-00001C570000}"/>
    <cellStyle name="Normal 13 2 2 2 3 2 2 2 2 2" xfId="22301" xr:uid="{00000000-0005-0000-0000-00001D570000}"/>
    <cellStyle name="Normal 13 2 2 2 3 2 2 2 2 3" xfId="22302" xr:uid="{00000000-0005-0000-0000-00001E570000}"/>
    <cellStyle name="Normal 13 2 2 2 3 2 2 2 3" xfId="22303" xr:uid="{00000000-0005-0000-0000-00001F570000}"/>
    <cellStyle name="Normal 13 2 2 2 3 2 2 2 4" xfId="22304" xr:uid="{00000000-0005-0000-0000-000020570000}"/>
    <cellStyle name="Normal 13 2 2 2 3 2 2 3" xfId="22305" xr:uid="{00000000-0005-0000-0000-000021570000}"/>
    <cellStyle name="Normal 13 2 2 2 3 2 2 3 2" xfId="22306" xr:uid="{00000000-0005-0000-0000-000022570000}"/>
    <cellStyle name="Normal 13 2 2 2 3 2 2 3 3" xfId="22307" xr:uid="{00000000-0005-0000-0000-000023570000}"/>
    <cellStyle name="Normal 13 2 2 2 3 2 2 4" xfId="22308" xr:uid="{00000000-0005-0000-0000-000024570000}"/>
    <cellStyle name="Normal 13 2 2 2 3 2 2 5" xfId="22309" xr:uid="{00000000-0005-0000-0000-000025570000}"/>
    <cellStyle name="Normal 13 2 2 2 3 2 3" xfId="22310" xr:uid="{00000000-0005-0000-0000-000026570000}"/>
    <cellStyle name="Normal 13 2 2 2 3 2 3 2" xfId="22311" xr:uid="{00000000-0005-0000-0000-000027570000}"/>
    <cellStyle name="Normal 13 2 2 2 3 2 3 2 2" xfId="22312" xr:uid="{00000000-0005-0000-0000-000028570000}"/>
    <cellStyle name="Normal 13 2 2 2 3 2 3 2 3" xfId="22313" xr:uid="{00000000-0005-0000-0000-000029570000}"/>
    <cellStyle name="Normal 13 2 2 2 3 2 3 3" xfId="22314" xr:uid="{00000000-0005-0000-0000-00002A570000}"/>
    <cellStyle name="Normal 13 2 2 2 3 2 3 4" xfId="22315" xr:uid="{00000000-0005-0000-0000-00002B570000}"/>
    <cellStyle name="Normal 13 2 2 2 3 2 4" xfId="22316" xr:uid="{00000000-0005-0000-0000-00002C570000}"/>
    <cellStyle name="Normal 13 2 2 2 3 2 4 2" xfId="22317" xr:uid="{00000000-0005-0000-0000-00002D570000}"/>
    <cellStyle name="Normal 13 2 2 2 3 2 4 3" xfId="22318" xr:uid="{00000000-0005-0000-0000-00002E570000}"/>
    <cellStyle name="Normal 13 2 2 2 3 2 5" xfId="22319" xr:uid="{00000000-0005-0000-0000-00002F570000}"/>
    <cellStyle name="Normal 13 2 2 2 3 2 6" xfId="22320" xr:uid="{00000000-0005-0000-0000-000030570000}"/>
    <cellStyle name="Normal 13 2 2 2 3 3" xfId="22321" xr:uid="{00000000-0005-0000-0000-000031570000}"/>
    <cellStyle name="Normal 13 2 2 2 3 3 2" xfId="22322" xr:uid="{00000000-0005-0000-0000-000032570000}"/>
    <cellStyle name="Normal 13 2 2 2 3 3 2 2" xfId="22323" xr:uid="{00000000-0005-0000-0000-000033570000}"/>
    <cellStyle name="Normal 13 2 2 2 3 3 2 2 2" xfId="22324" xr:uid="{00000000-0005-0000-0000-000034570000}"/>
    <cellStyle name="Normal 13 2 2 2 3 3 2 2 3" xfId="22325" xr:uid="{00000000-0005-0000-0000-000035570000}"/>
    <cellStyle name="Normal 13 2 2 2 3 3 2 3" xfId="22326" xr:uid="{00000000-0005-0000-0000-000036570000}"/>
    <cellStyle name="Normal 13 2 2 2 3 3 2 4" xfId="22327" xr:uid="{00000000-0005-0000-0000-000037570000}"/>
    <cellStyle name="Normal 13 2 2 2 3 3 3" xfId="22328" xr:uid="{00000000-0005-0000-0000-000038570000}"/>
    <cellStyle name="Normal 13 2 2 2 3 3 3 2" xfId="22329" xr:uid="{00000000-0005-0000-0000-000039570000}"/>
    <cellStyle name="Normal 13 2 2 2 3 3 3 3" xfId="22330" xr:uid="{00000000-0005-0000-0000-00003A570000}"/>
    <cellStyle name="Normal 13 2 2 2 3 3 4" xfId="22331" xr:uid="{00000000-0005-0000-0000-00003B570000}"/>
    <cellStyle name="Normal 13 2 2 2 3 3 5" xfId="22332" xr:uid="{00000000-0005-0000-0000-00003C570000}"/>
    <cellStyle name="Normal 13 2 2 2 3 4" xfId="22333" xr:uid="{00000000-0005-0000-0000-00003D570000}"/>
    <cellStyle name="Normal 13 2 2 2 3 4 2" xfId="22334" xr:uid="{00000000-0005-0000-0000-00003E570000}"/>
    <cellStyle name="Normal 13 2 2 2 3 4 2 2" xfId="22335" xr:uid="{00000000-0005-0000-0000-00003F570000}"/>
    <cellStyle name="Normal 13 2 2 2 3 4 2 3" xfId="22336" xr:uid="{00000000-0005-0000-0000-000040570000}"/>
    <cellStyle name="Normal 13 2 2 2 3 4 3" xfId="22337" xr:uid="{00000000-0005-0000-0000-000041570000}"/>
    <cellStyle name="Normal 13 2 2 2 3 4 4" xfId="22338" xr:uid="{00000000-0005-0000-0000-000042570000}"/>
    <cellStyle name="Normal 13 2 2 2 3 5" xfId="22339" xr:uid="{00000000-0005-0000-0000-000043570000}"/>
    <cellStyle name="Normal 13 2 2 2 3 5 2" xfId="22340" xr:uid="{00000000-0005-0000-0000-000044570000}"/>
    <cellStyle name="Normal 13 2 2 2 3 5 3" xfId="22341" xr:uid="{00000000-0005-0000-0000-000045570000}"/>
    <cellStyle name="Normal 13 2 2 2 3 6" xfId="22342" xr:uid="{00000000-0005-0000-0000-000046570000}"/>
    <cellStyle name="Normal 13 2 2 2 3 7" xfId="22343" xr:uid="{00000000-0005-0000-0000-000047570000}"/>
    <cellStyle name="Normal 13 2 2 2 4" xfId="22344" xr:uid="{00000000-0005-0000-0000-000048570000}"/>
    <cellStyle name="Normal 13 2 2 2 4 2" xfId="22345" xr:uid="{00000000-0005-0000-0000-000049570000}"/>
    <cellStyle name="Normal 13 2 2 2 4 2 2" xfId="22346" xr:uid="{00000000-0005-0000-0000-00004A570000}"/>
    <cellStyle name="Normal 13 2 2 2 4 2 2 2" xfId="22347" xr:uid="{00000000-0005-0000-0000-00004B570000}"/>
    <cellStyle name="Normal 13 2 2 2 4 2 2 2 2" xfId="22348" xr:uid="{00000000-0005-0000-0000-00004C570000}"/>
    <cellStyle name="Normal 13 2 2 2 4 2 2 2 3" xfId="22349" xr:uid="{00000000-0005-0000-0000-00004D570000}"/>
    <cellStyle name="Normal 13 2 2 2 4 2 2 3" xfId="22350" xr:uid="{00000000-0005-0000-0000-00004E570000}"/>
    <cellStyle name="Normal 13 2 2 2 4 2 2 4" xfId="22351" xr:uid="{00000000-0005-0000-0000-00004F570000}"/>
    <cellStyle name="Normal 13 2 2 2 4 2 3" xfId="22352" xr:uid="{00000000-0005-0000-0000-000050570000}"/>
    <cellStyle name="Normal 13 2 2 2 4 2 3 2" xfId="22353" xr:uid="{00000000-0005-0000-0000-000051570000}"/>
    <cellStyle name="Normal 13 2 2 2 4 2 3 3" xfId="22354" xr:uid="{00000000-0005-0000-0000-000052570000}"/>
    <cellStyle name="Normal 13 2 2 2 4 2 4" xfId="22355" xr:uid="{00000000-0005-0000-0000-000053570000}"/>
    <cellStyle name="Normal 13 2 2 2 4 2 5" xfId="22356" xr:uid="{00000000-0005-0000-0000-000054570000}"/>
    <cellStyle name="Normal 13 2 2 2 4 3" xfId="22357" xr:uid="{00000000-0005-0000-0000-000055570000}"/>
    <cellStyle name="Normal 13 2 2 2 4 3 2" xfId="22358" xr:uid="{00000000-0005-0000-0000-000056570000}"/>
    <cellStyle name="Normal 13 2 2 2 4 3 2 2" xfId="22359" xr:uid="{00000000-0005-0000-0000-000057570000}"/>
    <cellStyle name="Normal 13 2 2 2 4 3 2 3" xfId="22360" xr:uid="{00000000-0005-0000-0000-000058570000}"/>
    <cellStyle name="Normal 13 2 2 2 4 3 3" xfId="22361" xr:uid="{00000000-0005-0000-0000-000059570000}"/>
    <cellStyle name="Normal 13 2 2 2 4 3 4" xfId="22362" xr:uid="{00000000-0005-0000-0000-00005A570000}"/>
    <cellStyle name="Normal 13 2 2 2 4 4" xfId="22363" xr:uid="{00000000-0005-0000-0000-00005B570000}"/>
    <cellStyle name="Normal 13 2 2 2 4 4 2" xfId="22364" xr:uid="{00000000-0005-0000-0000-00005C570000}"/>
    <cellStyle name="Normal 13 2 2 2 4 4 3" xfId="22365" xr:uid="{00000000-0005-0000-0000-00005D570000}"/>
    <cellStyle name="Normal 13 2 2 2 4 5" xfId="22366" xr:uid="{00000000-0005-0000-0000-00005E570000}"/>
    <cellStyle name="Normal 13 2 2 2 4 6" xfId="22367" xr:uid="{00000000-0005-0000-0000-00005F570000}"/>
    <cellStyle name="Normal 13 2 2 2 5" xfId="22368" xr:uid="{00000000-0005-0000-0000-000060570000}"/>
    <cellStyle name="Normal 13 2 2 2 5 2" xfId="22369" xr:uid="{00000000-0005-0000-0000-000061570000}"/>
    <cellStyle name="Normal 13 2 2 2 5 2 2" xfId="22370" xr:uid="{00000000-0005-0000-0000-000062570000}"/>
    <cellStyle name="Normal 13 2 2 2 5 2 2 2" xfId="22371" xr:uid="{00000000-0005-0000-0000-000063570000}"/>
    <cellStyle name="Normal 13 2 2 2 5 2 2 3" xfId="22372" xr:uid="{00000000-0005-0000-0000-000064570000}"/>
    <cellStyle name="Normal 13 2 2 2 5 2 3" xfId="22373" xr:uid="{00000000-0005-0000-0000-000065570000}"/>
    <cellStyle name="Normal 13 2 2 2 5 2 4" xfId="22374" xr:uid="{00000000-0005-0000-0000-000066570000}"/>
    <cellStyle name="Normal 13 2 2 2 5 3" xfId="22375" xr:uid="{00000000-0005-0000-0000-000067570000}"/>
    <cellStyle name="Normal 13 2 2 2 5 3 2" xfId="22376" xr:uid="{00000000-0005-0000-0000-000068570000}"/>
    <cellStyle name="Normal 13 2 2 2 5 3 3" xfId="22377" xr:uid="{00000000-0005-0000-0000-000069570000}"/>
    <cellStyle name="Normal 13 2 2 2 5 4" xfId="22378" xr:uid="{00000000-0005-0000-0000-00006A570000}"/>
    <cellStyle name="Normal 13 2 2 2 5 5" xfId="22379" xr:uid="{00000000-0005-0000-0000-00006B570000}"/>
    <cellStyle name="Normal 13 2 2 2 6" xfId="22380" xr:uid="{00000000-0005-0000-0000-00006C570000}"/>
    <cellStyle name="Normal 13 2 2 2 6 2" xfId="22381" xr:uid="{00000000-0005-0000-0000-00006D570000}"/>
    <cellStyle name="Normal 13 2 2 2 6 2 2" xfId="22382" xr:uid="{00000000-0005-0000-0000-00006E570000}"/>
    <cellStyle name="Normal 13 2 2 2 6 2 3" xfId="22383" xr:uid="{00000000-0005-0000-0000-00006F570000}"/>
    <cellStyle name="Normal 13 2 2 2 6 3" xfId="22384" xr:uid="{00000000-0005-0000-0000-000070570000}"/>
    <cellStyle name="Normal 13 2 2 2 6 4" xfId="22385" xr:uid="{00000000-0005-0000-0000-000071570000}"/>
    <cellStyle name="Normal 13 2 2 2 7" xfId="22386" xr:uid="{00000000-0005-0000-0000-000072570000}"/>
    <cellStyle name="Normal 13 2 2 2 7 2" xfId="22387" xr:uid="{00000000-0005-0000-0000-000073570000}"/>
    <cellStyle name="Normal 13 2 2 2 7 3" xfId="22388" xr:uid="{00000000-0005-0000-0000-000074570000}"/>
    <cellStyle name="Normal 13 2 2 2 8" xfId="22389" xr:uid="{00000000-0005-0000-0000-000075570000}"/>
    <cellStyle name="Normal 13 2 2 2 9" xfId="22390" xr:uid="{00000000-0005-0000-0000-000076570000}"/>
    <cellStyle name="Normal 13 2 2 3" xfId="22391" xr:uid="{00000000-0005-0000-0000-000077570000}"/>
    <cellStyle name="Normal 13 2 2 3 2" xfId="22392" xr:uid="{00000000-0005-0000-0000-000078570000}"/>
    <cellStyle name="Normal 13 2 2 3 2 2" xfId="22393" xr:uid="{00000000-0005-0000-0000-000079570000}"/>
    <cellStyle name="Normal 13 2 2 3 2 2 2" xfId="22394" xr:uid="{00000000-0005-0000-0000-00007A570000}"/>
    <cellStyle name="Normal 13 2 2 3 2 2 2 2" xfId="22395" xr:uid="{00000000-0005-0000-0000-00007B570000}"/>
    <cellStyle name="Normal 13 2 2 3 2 2 2 2 2" xfId="22396" xr:uid="{00000000-0005-0000-0000-00007C570000}"/>
    <cellStyle name="Normal 13 2 2 3 2 2 2 2 2 2" xfId="22397" xr:uid="{00000000-0005-0000-0000-00007D570000}"/>
    <cellStyle name="Normal 13 2 2 3 2 2 2 2 2 3" xfId="22398" xr:uid="{00000000-0005-0000-0000-00007E570000}"/>
    <cellStyle name="Normal 13 2 2 3 2 2 2 2 3" xfId="22399" xr:uid="{00000000-0005-0000-0000-00007F570000}"/>
    <cellStyle name="Normal 13 2 2 3 2 2 2 2 4" xfId="22400" xr:uid="{00000000-0005-0000-0000-000080570000}"/>
    <cellStyle name="Normal 13 2 2 3 2 2 2 3" xfId="22401" xr:uid="{00000000-0005-0000-0000-000081570000}"/>
    <cellStyle name="Normal 13 2 2 3 2 2 2 3 2" xfId="22402" xr:uid="{00000000-0005-0000-0000-000082570000}"/>
    <cellStyle name="Normal 13 2 2 3 2 2 2 3 3" xfId="22403" xr:uid="{00000000-0005-0000-0000-000083570000}"/>
    <cellStyle name="Normal 13 2 2 3 2 2 2 4" xfId="22404" xr:uid="{00000000-0005-0000-0000-000084570000}"/>
    <cellStyle name="Normal 13 2 2 3 2 2 2 5" xfId="22405" xr:uid="{00000000-0005-0000-0000-000085570000}"/>
    <cellStyle name="Normal 13 2 2 3 2 2 3" xfId="22406" xr:uid="{00000000-0005-0000-0000-000086570000}"/>
    <cellStyle name="Normal 13 2 2 3 2 2 3 2" xfId="22407" xr:uid="{00000000-0005-0000-0000-000087570000}"/>
    <cellStyle name="Normal 13 2 2 3 2 2 3 2 2" xfId="22408" xr:uid="{00000000-0005-0000-0000-000088570000}"/>
    <cellStyle name="Normal 13 2 2 3 2 2 3 2 3" xfId="22409" xr:uid="{00000000-0005-0000-0000-000089570000}"/>
    <cellStyle name="Normal 13 2 2 3 2 2 3 3" xfId="22410" xr:uid="{00000000-0005-0000-0000-00008A570000}"/>
    <cellStyle name="Normal 13 2 2 3 2 2 3 4" xfId="22411" xr:uid="{00000000-0005-0000-0000-00008B570000}"/>
    <cellStyle name="Normal 13 2 2 3 2 2 4" xfId="22412" xr:uid="{00000000-0005-0000-0000-00008C570000}"/>
    <cellStyle name="Normal 13 2 2 3 2 2 4 2" xfId="22413" xr:uid="{00000000-0005-0000-0000-00008D570000}"/>
    <cellStyle name="Normal 13 2 2 3 2 2 4 3" xfId="22414" xr:uid="{00000000-0005-0000-0000-00008E570000}"/>
    <cellStyle name="Normal 13 2 2 3 2 2 5" xfId="22415" xr:uid="{00000000-0005-0000-0000-00008F570000}"/>
    <cellStyle name="Normal 13 2 2 3 2 2 6" xfId="22416" xr:uid="{00000000-0005-0000-0000-000090570000}"/>
    <cellStyle name="Normal 13 2 2 3 2 3" xfId="22417" xr:uid="{00000000-0005-0000-0000-000091570000}"/>
    <cellStyle name="Normal 13 2 2 3 2 3 2" xfId="22418" xr:uid="{00000000-0005-0000-0000-000092570000}"/>
    <cellStyle name="Normal 13 2 2 3 2 3 2 2" xfId="22419" xr:uid="{00000000-0005-0000-0000-000093570000}"/>
    <cellStyle name="Normal 13 2 2 3 2 3 2 2 2" xfId="22420" xr:uid="{00000000-0005-0000-0000-000094570000}"/>
    <cellStyle name="Normal 13 2 2 3 2 3 2 2 3" xfId="22421" xr:uid="{00000000-0005-0000-0000-000095570000}"/>
    <cellStyle name="Normal 13 2 2 3 2 3 2 3" xfId="22422" xr:uid="{00000000-0005-0000-0000-000096570000}"/>
    <cellStyle name="Normal 13 2 2 3 2 3 2 4" xfId="22423" xr:uid="{00000000-0005-0000-0000-000097570000}"/>
    <cellStyle name="Normal 13 2 2 3 2 3 3" xfId="22424" xr:uid="{00000000-0005-0000-0000-000098570000}"/>
    <cellStyle name="Normal 13 2 2 3 2 3 3 2" xfId="22425" xr:uid="{00000000-0005-0000-0000-000099570000}"/>
    <cellStyle name="Normal 13 2 2 3 2 3 3 3" xfId="22426" xr:uid="{00000000-0005-0000-0000-00009A570000}"/>
    <cellStyle name="Normal 13 2 2 3 2 3 4" xfId="22427" xr:uid="{00000000-0005-0000-0000-00009B570000}"/>
    <cellStyle name="Normal 13 2 2 3 2 3 5" xfId="22428" xr:uid="{00000000-0005-0000-0000-00009C570000}"/>
    <cellStyle name="Normal 13 2 2 3 2 4" xfId="22429" xr:uid="{00000000-0005-0000-0000-00009D570000}"/>
    <cellStyle name="Normal 13 2 2 3 2 4 2" xfId="22430" xr:uid="{00000000-0005-0000-0000-00009E570000}"/>
    <cellStyle name="Normal 13 2 2 3 2 4 2 2" xfId="22431" xr:uid="{00000000-0005-0000-0000-00009F570000}"/>
    <cellStyle name="Normal 13 2 2 3 2 4 2 3" xfId="22432" xr:uid="{00000000-0005-0000-0000-0000A0570000}"/>
    <cellStyle name="Normal 13 2 2 3 2 4 3" xfId="22433" xr:uid="{00000000-0005-0000-0000-0000A1570000}"/>
    <cellStyle name="Normal 13 2 2 3 2 4 4" xfId="22434" xr:uid="{00000000-0005-0000-0000-0000A2570000}"/>
    <cellStyle name="Normal 13 2 2 3 2 5" xfId="22435" xr:uid="{00000000-0005-0000-0000-0000A3570000}"/>
    <cellStyle name="Normal 13 2 2 3 2 5 2" xfId="22436" xr:uid="{00000000-0005-0000-0000-0000A4570000}"/>
    <cellStyle name="Normal 13 2 2 3 2 5 3" xfId="22437" xr:uid="{00000000-0005-0000-0000-0000A5570000}"/>
    <cellStyle name="Normal 13 2 2 3 2 6" xfId="22438" xr:uid="{00000000-0005-0000-0000-0000A6570000}"/>
    <cellStyle name="Normal 13 2 2 3 2 7" xfId="22439" xr:uid="{00000000-0005-0000-0000-0000A7570000}"/>
    <cellStyle name="Normal 13 2 2 3 3" xfId="22440" xr:uid="{00000000-0005-0000-0000-0000A8570000}"/>
    <cellStyle name="Normal 13 2 2 3 3 2" xfId="22441" xr:uid="{00000000-0005-0000-0000-0000A9570000}"/>
    <cellStyle name="Normal 13 2 2 3 3 2 2" xfId="22442" xr:uid="{00000000-0005-0000-0000-0000AA570000}"/>
    <cellStyle name="Normal 13 2 2 3 3 2 2 2" xfId="22443" xr:uid="{00000000-0005-0000-0000-0000AB570000}"/>
    <cellStyle name="Normal 13 2 2 3 3 2 2 2 2" xfId="22444" xr:uid="{00000000-0005-0000-0000-0000AC570000}"/>
    <cellStyle name="Normal 13 2 2 3 3 2 2 2 3" xfId="22445" xr:uid="{00000000-0005-0000-0000-0000AD570000}"/>
    <cellStyle name="Normal 13 2 2 3 3 2 2 3" xfId="22446" xr:uid="{00000000-0005-0000-0000-0000AE570000}"/>
    <cellStyle name="Normal 13 2 2 3 3 2 2 4" xfId="22447" xr:uid="{00000000-0005-0000-0000-0000AF570000}"/>
    <cellStyle name="Normal 13 2 2 3 3 2 3" xfId="22448" xr:uid="{00000000-0005-0000-0000-0000B0570000}"/>
    <cellStyle name="Normal 13 2 2 3 3 2 3 2" xfId="22449" xr:uid="{00000000-0005-0000-0000-0000B1570000}"/>
    <cellStyle name="Normal 13 2 2 3 3 2 3 3" xfId="22450" xr:uid="{00000000-0005-0000-0000-0000B2570000}"/>
    <cellStyle name="Normal 13 2 2 3 3 2 4" xfId="22451" xr:uid="{00000000-0005-0000-0000-0000B3570000}"/>
    <cellStyle name="Normal 13 2 2 3 3 2 5" xfId="22452" xr:uid="{00000000-0005-0000-0000-0000B4570000}"/>
    <cellStyle name="Normal 13 2 2 3 3 3" xfId="22453" xr:uid="{00000000-0005-0000-0000-0000B5570000}"/>
    <cellStyle name="Normal 13 2 2 3 3 3 2" xfId="22454" xr:uid="{00000000-0005-0000-0000-0000B6570000}"/>
    <cellStyle name="Normal 13 2 2 3 3 3 2 2" xfId="22455" xr:uid="{00000000-0005-0000-0000-0000B7570000}"/>
    <cellStyle name="Normal 13 2 2 3 3 3 2 3" xfId="22456" xr:uid="{00000000-0005-0000-0000-0000B8570000}"/>
    <cellStyle name="Normal 13 2 2 3 3 3 3" xfId="22457" xr:uid="{00000000-0005-0000-0000-0000B9570000}"/>
    <cellStyle name="Normal 13 2 2 3 3 3 4" xfId="22458" xr:uid="{00000000-0005-0000-0000-0000BA570000}"/>
    <cellStyle name="Normal 13 2 2 3 3 4" xfId="22459" xr:uid="{00000000-0005-0000-0000-0000BB570000}"/>
    <cellStyle name="Normal 13 2 2 3 3 4 2" xfId="22460" xr:uid="{00000000-0005-0000-0000-0000BC570000}"/>
    <cellStyle name="Normal 13 2 2 3 3 4 3" xfId="22461" xr:uid="{00000000-0005-0000-0000-0000BD570000}"/>
    <cellStyle name="Normal 13 2 2 3 3 5" xfId="22462" xr:uid="{00000000-0005-0000-0000-0000BE570000}"/>
    <cellStyle name="Normal 13 2 2 3 3 6" xfId="22463" xr:uid="{00000000-0005-0000-0000-0000BF570000}"/>
    <cellStyle name="Normal 13 2 2 3 4" xfId="22464" xr:uid="{00000000-0005-0000-0000-0000C0570000}"/>
    <cellStyle name="Normal 13 2 2 3 4 2" xfId="22465" xr:uid="{00000000-0005-0000-0000-0000C1570000}"/>
    <cellStyle name="Normal 13 2 2 3 4 2 2" xfId="22466" xr:uid="{00000000-0005-0000-0000-0000C2570000}"/>
    <cellStyle name="Normal 13 2 2 3 4 2 2 2" xfId="22467" xr:uid="{00000000-0005-0000-0000-0000C3570000}"/>
    <cellStyle name="Normal 13 2 2 3 4 2 2 3" xfId="22468" xr:uid="{00000000-0005-0000-0000-0000C4570000}"/>
    <cellStyle name="Normal 13 2 2 3 4 2 3" xfId="22469" xr:uid="{00000000-0005-0000-0000-0000C5570000}"/>
    <cellStyle name="Normal 13 2 2 3 4 2 4" xfId="22470" xr:uid="{00000000-0005-0000-0000-0000C6570000}"/>
    <cellStyle name="Normal 13 2 2 3 4 3" xfId="22471" xr:uid="{00000000-0005-0000-0000-0000C7570000}"/>
    <cellStyle name="Normal 13 2 2 3 4 3 2" xfId="22472" xr:uid="{00000000-0005-0000-0000-0000C8570000}"/>
    <cellStyle name="Normal 13 2 2 3 4 3 3" xfId="22473" xr:uid="{00000000-0005-0000-0000-0000C9570000}"/>
    <cellStyle name="Normal 13 2 2 3 4 4" xfId="22474" xr:uid="{00000000-0005-0000-0000-0000CA570000}"/>
    <cellStyle name="Normal 13 2 2 3 4 5" xfId="22475" xr:uid="{00000000-0005-0000-0000-0000CB570000}"/>
    <cellStyle name="Normal 13 2 2 3 5" xfId="22476" xr:uid="{00000000-0005-0000-0000-0000CC570000}"/>
    <cellStyle name="Normal 13 2 2 3 5 2" xfId="22477" xr:uid="{00000000-0005-0000-0000-0000CD570000}"/>
    <cellStyle name="Normal 13 2 2 3 5 2 2" xfId="22478" xr:uid="{00000000-0005-0000-0000-0000CE570000}"/>
    <cellStyle name="Normal 13 2 2 3 5 2 3" xfId="22479" xr:uid="{00000000-0005-0000-0000-0000CF570000}"/>
    <cellStyle name="Normal 13 2 2 3 5 3" xfId="22480" xr:uid="{00000000-0005-0000-0000-0000D0570000}"/>
    <cellStyle name="Normal 13 2 2 3 5 4" xfId="22481" xr:uid="{00000000-0005-0000-0000-0000D1570000}"/>
    <cellStyle name="Normal 13 2 2 3 6" xfId="22482" xr:uid="{00000000-0005-0000-0000-0000D2570000}"/>
    <cellStyle name="Normal 13 2 2 3 6 2" xfId="22483" xr:uid="{00000000-0005-0000-0000-0000D3570000}"/>
    <cellStyle name="Normal 13 2 2 3 6 3" xfId="22484" xr:uid="{00000000-0005-0000-0000-0000D4570000}"/>
    <cellStyle name="Normal 13 2 2 3 7" xfId="22485" xr:uid="{00000000-0005-0000-0000-0000D5570000}"/>
    <cellStyle name="Normal 13 2 2 3 8" xfId="22486" xr:uid="{00000000-0005-0000-0000-0000D6570000}"/>
    <cellStyle name="Normal 13 2 2 4" xfId="22487" xr:uid="{00000000-0005-0000-0000-0000D7570000}"/>
    <cellStyle name="Normal 13 2 2 4 2" xfId="22488" xr:uid="{00000000-0005-0000-0000-0000D8570000}"/>
    <cellStyle name="Normal 13 2 2 4 2 2" xfId="22489" xr:uid="{00000000-0005-0000-0000-0000D9570000}"/>
    <cellStyle name="Normal 13 2 2 4 2 2 2" xfId="22490" xr:uid="{00000000-0005-0000-0000-0000DA570000}"/>
    <cellStyle name="Normal 13 2 2 4 2 2 2 2" xfId="22491" xr:uid="{00000000-0005-0000-0000-0000DB570000}"/>
    <cellStyle name="Normal 13 2 2 4 2 2 2 2 2" xfId="22492" xr:uid="{00000000-0005-0000-0000-0000DC570000}"/>
    <cellStyle name="Normal 13 2 2 4 2 2 2 2 3" xfId="22493" xr:uid="{00000000-0005-0000-0000-0000DD570000}"/>
    <cellStyle name="Normal 13 2 2 4 2 2 2 3" xfId="22494" xr:uid="{00000000-0005-0000-0000-0000DE570000}"/>
    <cellStyle name="Normal 13 2 2 4 2 2 2 4" xfId="22495" xr:uid="{00000000-0005-0000-0000-0000DF570000}"/>
    <cellStyle name="Normal 13 2 2 4 2 2 3" xfId="22496" xr:uid="{00000000-0005-0000-0000-0000E0570000}"/>
    <cellStyle name="Normal 13 2 2 4 2 2 3 2" xfId="22497" xr:uid="{00000000-0005-0000-0000-0000E1570000}"/>
    <cellStyle name="Normal 13 2 2 4 2 2 3 3" xfId="22498" xr:uid="{00000000-0005-0000-0000-0000E2570000}"/>
    <cellStyle name="Normal 13 2 2 4 2 2 4" xfId="22499" xr:uid="{00000000-0005-0000-0000-0000E3570000}"/>
    <cellStyle name="Normal 13 2 2 4 2 2 5" xfId="22500" xr:uid="{00000000-0005-0000-0000-0000E4570000}"/>
    <cellStyle name="Normal 13 2 2 4 2 3" xfId="22501" xr:uid="{00000000-0005-0000-0000-0000E5570000}"/>
    <cellStyle name="Normal 13 2 2 4 2 3 2" xfId="22502" xr:uid="{00000000-0005-0000-0000-0000E6570000}"/>
    <cellStyle name="Normal 13 2 2 4 2 3 2 2" xfId="22503" xr:uid="{00000000-0005-0000-0000-0000E7570000}"/>
    <cellStyle name="Normal 13 2 2 4 2 3 2 3" xfId="22504" xr:uid="{00000000-0005-0000-0000-0000E8570000}"/>
    <cellStyle name="Normal 13 2 2 4 2 3 3" xfId="22505" xr:uid="{00000000-0005-0000-0000-0000E9570000}"/>
    <cellStyle name="Normal 13 2 2 4 2 3 4" xfId="22506" xr:uid="{00000000-0005-0000-0000-0000EA570000}"/>
    <cellStyle name="Normal 13 2 2 4 2 4" xfId="22507" xr:uid="{00000000-0005-0000-0000-0000EB570000}"/>
    <cellStyle name="Normal 13 2 2 4 2 4 2" xfId="22508" xr:uid="{00000000-0005-0000-0000-0000EC570000}"/>
    <cellStyle name="Normal 13 2 2 4 2 4 3" xfId="22509" xr:uid="{00000000-0005-0000-0000-0000ED570000}"/>
    <cellStyle name="Normal 13 2 2 4 2 5" xfId="22510" xr:uid="{00000000-0005-0000-0000-0000EE570000}"/>
    <cellStyle name="Normal 13 2 2 4 2 6" xfId="22511" xr:uid="{00000000-0005-0000-0000-0000EF570000}"/>
    <cellStyle name="Normal 13 2 2 4 3" xfId="22512" xr:uid="{00000000-0005-0000-0000-0000F0570000}"/>
    <cellStyle name="Normal 13 2 2 4 3 2" xfId="22513" xr:uid="{00000000-0005-0000-0000-0000F1570000}"/>
    <cellStyle name="Normal 13 2 2 4 3 2 2" xfId="22514" xr:uid="{00000000-0005-0000-0000-0000F2570000}"/>
    <cellStyle name="Normal 13 2 2 4 3 2 2 2" xfId="22515" xr:uid="{00000000-0005-0000-0000-0000F3570000}"/>
    <cellStyle name="Normal 13 2 2 4 3 2 2 3" xfId="22516" xr:uid="{00000000-0005-0000-0000-0000F4570000}"/>
    <cellStyle name="Normal 13 2 2 4 3 2 3" xfId="22517" xr:uid="{00000000-0005-0000-0000-0000F5570000}"/>
    <cellStyle name="Normal 13 2 2 4 3 2 4" xfId="22518" xr:uid="{00000000-0005-0000-0000-0000F6570000}"/>
    <cellStyle name="Normal 13 2 2 4 3 3" xfId="22519" xr:uid="{00000000-0005-0000-0000-0000F7570000}"/>
    <cellStyle name="Normal 13 2 2 4 3 3 2" xfId="22520" xr:uid="{00000000-0005-0000-0000-0000F8570000}"/>
    <cellStyle name="Normal 13 2 2 4 3 3 3" xfId="22521" xr:uid="{00000000-0005-0000-0000-0000F9570000}"/>
    <cellStyle name="Normal 13 2 2 4 3 4" xfId="22522" xr:uid="{00000000-0005-0000-0000-0000FA570000}"/>
    <cellStyle name="Normal 13 2 2 4 3 5" xfId="22523" xr:uid="{00000000-0005-0000-0000-0000FB570000}"/>
    <cellStyle name="Normal 13 2 2 4 4" xfId="22524" xr:uid="{00000000-0005-0000-0000-0000FC570000}"/>
    <cellStyle name="Normal 13 2 2 4 4 2" xfId="22525" xr:uid="{00000000-0005-0000-0000-0000FD570000}"/>
    <cellStyle name="Normal 13 2 2 4 4 2 2" xfId="22526" xr:uid="{00000000-0005-0000-0000-0000FE570000}"/>
    <cellStyle name="Normal 13 2 2 4 4 2 3" xfId="22527" xr:uid="{00000000-0005-0000-0000-0000FF570000}"/>
    <cellStyle name="Normal 13 2 2 4 4 3" xfId="22528" xr:uid="{00000000-0005-0000-0000-000000580000}"/>
    <cellStyle name="Normal 13 2 2 4 4 4" xfId="22529" xr:uid="{00000000-0005-0000-0000-000001580000}"/>
    <cellStyle name="Normal 13 2 2 4 5" xfId="22530" xr:uid="{00000000-0005-0000-0000-000002580000}"/>
    <cellStyle name="Normal 13 2 2 4 5 2" xfId="22531" xr:uid="{00000000-0005-0000-0000-000003580000}"/>
    <cellStyle name="Normal 13 2 2 4 5 3" xfId="22532" xr:uid="{00000000-0005-0000-0000-000004580000}"/>
    <cellStyle name="Normal 13 2 2 4 6" xfId="22533" xr:uid="{00000000-0005-0000-0000-000005580000}"/>
    <cellStyle name="Normal 13 2 2 4 7" xfId="22534" xr:uid="{00000000-0005-0000-0000-000006580000}"/>
    <cellStyle name="Normal 13 2 2 5" xfId="22535" xr:uid="{00000000-0005-0000-0000-000007580000}"/>
    <cellStyle name="Normal 13 2 2 5 2" xfId="22536" xr:uid="{00000000-0005-0000-0000-000008580000}"/>
    <cellStyle name="Normal 13 2 2 5 2 2" xfId="22537" xr:uid="{00000000-0005-0000-0000-000009580000}"/>
    <cellStyle name="Normal 13 2 2 5 2 2 2" xfId="22538" xr:uid="{00000000-0005-0000-0000-00000A580000}"/>
    <cellStyle name="Normal 13 2 2 5 2 2 2 2" xfId="22539" xr:uid="{00000000-0005-0000-0000-00000B580000}"/>
    <cellStyle name="Normal 13 2 2 5 2 2 2 3" xfId="22540" xr:uid="{00000000-0005-0000-0000-00000C580000}"/>
    <cellStyle name="Normal 13 2 2 5 2 2 3" xfId="22541" xr:uid="{00000000-0005-0000-0000-00000D580000}"/>
    <cellStyle name="Normal 13 2 2 5 2 2 4" xfId="22542" xr:uid="{00000000-0005-0000-0000-00000E580000}"/>
    <cellStyle name="Normal 13 2 2 5 2 3" xfId="22543" xr:uid="{00000000-0005-0000-0000-00000F580000}"/>
    <cellStyle name="Normal 13 2 2 5 2 3 2" xfId="22544" xr:uid="{00000000-0005-0000-0000-000010580000}"/>
    <cellStyle name="Normal 13 2 2 5 2 3 3" xfId="22545" xr:uid="{00000000-0005-0000-0000-000011580000}"/>
    <cellStyle name="Normal 13 2 2 5 2 4" xfId="22546" xr:uid="{00000000-0005-0000-0000-000012580000}"/>
    <cellStyle name="Normal 13 2 2 5 2 5" xfId="22547" xr:uid="{00000000-0005-0000-0000-000013580000}"/>
    <cellStyle name="Normal 13 2 2 5 3" xfId="22548" xr:uid="{00000000-0005-0000-0000-000014580000}"/>
    <cellStyle name="Normal 13 2 2 5 3 2" xfId="22549" xr:uid="{00000000-0005-0000-0000-000015580000}"/>
    <cellStyle name="Normal 13 2 2 5 3 2 2" xfId="22550" xr:uid="{00000000-0005-0000-0000-000016580000}"/>
    <cellStyle name="Normal 13 2 2 5 3 2 3" xfId="22551" xr:uid="{00000000-0005-0000-0000-000017580000}"/>
    <cellStyle name="Normal 13 2 2 5 3 3" xfId="22552" xr:uid="{00000000-0005-0000-0000-000018580000}"/>
    <cellStyle name="Normal 13 2 2 5 3 4" xfId="22553" xr:uid="{00000000-0005-0000-0000-000019580000}"/>
    <cellStyle name="Normal 13 2 2 5 4" xfId="22554" xr:uid="{00000000-0005-0000-0000-00001A580000}"/>
    <cellStyle name="Normal 13 2 2 5 4 2" xfId="22555" xr:uid="{00000000-0005-0000-0000-00001B580000}"/>
    <cellStyle name="Normal 13 2 2 5 4 3" xfId="22556" xr:uid="{00000000-0005-0000-0000-00001C580000}"/>
    <cellStyle name="Normal 13 2 2 5 5" xfId="22557" xr:uid="{00000000-0005-0000-0000-00001D580000}"/>
    <cellStyle name="Normal 13 2 2 5 6" xfId="22558" xr:uid="{00000000-0005-0000-0000-00001E580000}"/>
    <cellStyle name="Normal 13 2 2 6" xfId="22559" xr:uid="{00000000-0005-0000-0000-00001F580000}"/>
    <cellStyle name="Normal 13 2 2 6 2" xfId="22560" xr:uid="{00000000-0005-0000-0000-000020580000}"/>
    <cellStyle name="Normal 13 2 2 6 2 2" xfId="22561" xr:uid="{00000000-0005-0000-0000-000021580000}"/>
    <cellStyle name="Normal 13 2 2 6 2 2 2" xfId="22562" xr:uid="{00000000-0005-0000-0000-000022580000}"/>
    <cellStyle name="Normal 13 2 2 6 2 2 3" xfId="22563" xr:uid="{00000000-0005-0000-0000-000023580000}"/>
    <cellStyle name="Normal 13 2 2 6 2 3" xfId="22564" xr:uid="{00000000-0005-0000-0000-000024580000}"/>
    <cellStyle name="Normal 13 2 2 6 2 4" xfId="22565" xr:uid="{00000000-0005-0000-0000-000025580000}"/>
    <cellStyle name="Normal 13 2 2 6 3" xfId="22566" xr:uid="{00000000-0005-0000-0000-000026580000}"/>
    <cellStyle name="Normal 13 2 2 6 3 2" xfId="22567" xr:uid="{00000000-0005-0000-0000-000027580000}"/>
    <cellStyle name="Normal 13 2 2 6 3 3" xfId="22568" xr:uid="{00000000-0005-0000-0000-000028580000}"/>
    <cellStyle name="Normal 13 2 2 6 4" xfId="22569" xr:uid="{00000000-0005-0000-0000-000029580000}"/>
    <cellStyle name="Normal 13 2 2 6 5" xfId="22570" xr:uid="{00000000-0005-0000-0000-00002A580000}"/>
    <cellStyle name="Normal 13 2 2 7" xfId="22571" xr:uid="{00000000-0005-0000-0000-00002B580000}"/>
    <cellStyle name="Normal 13 2 2 7 2" xfId="22572" xr:uid="{00000000-0005-0000-0000-00002C580000}"/>
    <cellStyle name="Normal 13 2 2 7 2 2" xfId="22573" xr:uid="{00000000-0005-0000-0000-00002D580000}"/>
    <cellStyle name="Normal 13 2 2 7 2 3" xfId="22574" xr:uid="{00000000-0005-0000-0000-00002E580000}"/>
    <cellStyle name="Normal 13 2 2 7 3" xfId="22575" xr:uid="{00000000-0005-0000-0000-00002F580000}"/>
    <cellStyle name="Normal 13 2 2 7 4" xfId="22576" xr:uid="{00000000-0005-0000-0000-000030580000}"/>
    <cellStyle name="Normal 13 2 2 8" xfId="22577" xr:uid="{00000000-0005-0000-0000-000031580000}"/>
    <cellStyle name="Normal 13 2 2 8 2" xfId="22578" xr:uid="{00000000-0005-0000-0000-000032580000}"/>
    <cellStyle name="Normal 13 2 2 8 3" xfId="22579" xr:uid="{00000000-0005-0000-0000-000033580000}"/>
    <cellStyle name="Normal 13 2 2 9" xfId="22580" xr:uid="{00000000-0005-0000-0000-000034580000}"/>
    <cellStyle name="Normal 13 2 3" xfId="22581" xr:uid="{00000000-0005-0000-0000-000035580000}"/>
    <cellStyle name="Normal 13 2 3 2" xfId="22582" xr:uid="{00000000-0005-0000-0000-000036580000}"/>
    <cellStyle name="Normal 13 2 3 2 2" xfId="22583" xr:uid="{00000000-0005-0000-0000-000037580000}"/>
    <cellStyle name="Normal 13 2 3 2 2 2" xfId="22584" xr:uid="{00000000-0005-0000-0000-000038580000}"/>
    <cellStyle name="Normal 13 2 3 2 2 2 2" xfId="22585" xr:uid="{00000000-0005-0000-0000-000039580000}"/>
    <cellStyle name="Normal 13 2 3 2 2 2 2 2" xfId="22586" xr:uid="{00000000-0005-0000-0000-00003A580000}"/>
    <cellStyle name="Normal 13 2 3 2 2 2 2 2 2" xfId="22587" xr:uid="{00000000-0005-0000-0000-00003B580000}"/>
    <cellStyle name="Normal 13 2 3 2 2 2 2 2 2 2" xfId="22588" xr:uid="{00000000-0005-0000-0000-00003C580000}"/>
    <cellStyle name="Normal 13 2 3 2 2 2 2 2 2 3" xfId="22589" xr:uid="{00000000-0005-0000-0000-00003D580000}"/>
    <cellStyle name="Normal 13 2 3 2 2 2 2 2 3" xfId="22590" xr:uid="{00000000-0005-0000-0000-00003E580000}"/>
    <cellStyle name="Normal 13 2 3 2 2 2 2 2 4" xfId="22591" xr:uid="{00000000-0005-0000-0000-00003F580000}"/>
    <cellStyle name="Normal 13 2 3 2 2 2 2 3" xfId="22592" xr:uid="{00000000-0005-0000-0000-000040580000}"/>
    <cellStyle name="Normal 13 2 3 2 2 2 2 3 2" xfId="22593" xr:uid="{00000000-0005-0000-0000-000041580000}"/>
    <cellStyle name="Normal 13 2 3 2 2 2 2 3 3" xfId="22594" xr:uid="{00000000-0005-0000-0000-000042580000}"/>
    <cellStyle name="Normal 13 2 3 2 2 2 2 4" xfId="22595" xr:uid="{00000000-0005-0000-0000-000043580000}"/>
    <cellStyle name="Normal 13 2 3 2 2 2 2 5" xfId="22596" xr:uid="{00000000-0005-0000-0000-000044580000}"/>
    <cellStyle name="Normal 13 2 3 2 2 2 3" xfId="22597" xr:uid="{00000000-0005-0000-0000-000045580000}"/>
    <cellStyle name="Normal 13 2 3 2 2 2 3 2" xfId="22598" xr:uid="{00000000-0005-0000-0000-000046580000}"/>
    <cellStyle name="Normal 13 2 3 2 2 2 3 2 2" xfId="22599" xr:uid="{00000000-0005-0000-0000-000047580000}"/>
    <cellStyle name="Normal 13 2 3 2 2 2 3 2 3" xfId="22600" xr:uid="{00000000-0005-0000-0000-000048580000}"/>
    <cellStyle name="Normal 13 2 3 2 2 2 3 3" xfId="22601" xr:uid="{00000000-0005-0000-0000-000049580000}"/>
    <cellStyle name="Normal 13 2 3 2 2 2 3 4" xfId="22602" xr:uid="{00000000-0005-0000-0000-00004A580000}"/>
    <cellStyle name="Normal 13 2 3 2 2 2 4" xfId="22603" xr:uid="{00000000-0005-0000-0000-00004B580000}"/>
    <cellStyle name="Normal 13 2 3 2 2 2 4 2" xfId="22604" xr:uid="{00000000-0005-0000-0000-00004C580000}"/>
    <cellStyle name="Normal 13 2 3 2 2 2 4 3" xfId="22605" xr:uid="{00000000-0005-0000-0000-00004D580000}"/>
    <cellStyle name="Normal 13 2 3 2 2 2 5" xfId="22606" xr:uid="{00000000-0005-0000-0000-00004E580000}"/>
    <cellStyle name="Normal 13 2 3 2 2 2 6" xfId="22607" xr:uid="{00000000-0005-0000-0000-00004F580000}"/>
    <cellStyle name="Normal 13 2 3 2 2 3" xfId="22608" xr:uid="{00000000-0005-0000-0000-000050580000}"/>
    <cellStyle name="Normal 13 2 3 2 2 3 2" xfId="22609" xr:uid="{00000000-0005-0000-0000-000051580000}"/>
    <cellStyle name="Normal 13 2 3 2 2 3 2 2" xfId="22610" xr:uid="{00000000-0005-0000-0000-000052580000}"/>
    <cellStyle name="Normal 13 2 3 2 2 3 2 2 2" xfId="22611" xr:uid="{00000000-0005-0000-0000-000053580000}"/>
    <cellStyle name="Normal 13 2 3 2 2 3 2 2 3" xfId="22612" xr:uid="{00000000-0005-0000-0000-000054580000}"/>
    <cellStyle name="Normal 13 2 3 2 2 3 2 3" xfId="22613" xr:uid="{00000000-0005-0000-0000-000055580000}"/>
    <cellStyle name="Normal 13 2 3 2 2 3 2 4" xfId="22614" xr:uid="{00000000-0005-0000-0000-000056580000}"/>
    <cellStyle name="Normal 13 2 3 2 2 3 3" xfId="22615" xr:uid="{00000000-0005-0000-0000-000057580000}"/>
    <cellStyle name="Normal 13 2 3 2 2 3 3 2" xfId="22616" xr:uid="{00000000-0005-0000-0000-000058580000}"/>
    <cellStyle name="Normal 13 2 3 2 2 3 3 3" xfId="22617" xr:uid="{00000000-0005-0000-0000-000059580000}"/>
    <cellStyle name="Normal 13 2 3 2 2 3 4" xfId="22618" xr:uid="{00000000-0005-0000-0000-00005A580000}"/>
    <cellStyle name="Normal 13 2 3 2 2 3 5" xfId="22619" xr:uid="{00000000-0005-0000-0000-00005B580000}"/>
    <cellStyle name="Normal 13 2 3 2 2 4" xfId="22620" xr:uid="{00000000-0005-0000-0000-00005C580000}"/>
    <cellStyle name="Normal 13 2 3 2 2 4 2" xfId="22621" xr:uid="{00000000-0005-0000-0000-00005D580000}"/>
    <cellStyle name="Normal 13 2 3 2 2 4 2 2" xfId="22622" xr:uid="{00000000-0005-0000-0000-00005E580000}"/>
    <cellStyle name="Normal 13 2 3 2 2 4 2 3" xfId="22623" xr:uid="{00000000-0005-0000-0000-00005F580000}"/>
    <cellStyle name="Normal 13 2 3 2 2 4 3" xfId="22624" xr:uid="{00000000-0005-0000-0000-000060580000}"/>
    <cellStyle name="Normal 13 2 3 2 2 4 4" xfId="22625" xr:uid="{00000000-0005-0000-0000-000061580000}"/>
    <cellStyle name="Normal 13 2 3 2 2 5" xfId="22626" xr:uid="{00000000-0005-0000-0000-000062580000}"/>
    <cellStyle name="Normal 13 2 3 2 2 5 2" xfId="22627" xr:uid="{00000000-0005-0000-0000-000063580000}"/>
    <cellStyle name="Normal 13 2 3 2 2 5 3" xfId="22628" xr:uid="{00000000-0005-0000-0000-000064580000}"/>
    <cellStyle name="Normal 13 2 3 2 2 6" xfId="22629" xr:uid="{00000000-0005-0000-0000-000065580000}"/>
    <cellStyle name="Normal 13 2 3 2 2 7" xfId="22630" xr:uid="{00000000-0005-0000-0000-000066580000}"/>
    <cellStyle name="Normal 13 2 3 2 3" xfId="22631" xr:uid="{00000000-0005-0000-0000-000067580000}"/>
    <cellStyle name="Normal 13 2 3 2 3 2" xfId="22632" xr:uid="{00000000-0005-0000-0000-000068580000}"/>
    <cellStyle name="Normal 13 2 3 2 3 2 2" xfId="22633" xr:uid="{00000000-0005-0000-0000-000069580000}"/>
    <cellStyle name="Normal 13 2 3 2 3 2 2 2" xfId="22634" xr:uid="{00000000-0005-0000-0000-00006A580000}"/>
    <cellStyle name="Normal 13 2 3 2 3 2 2 2 2" xfId="22635" xr:uid="{00000000-0005-0000-0000-00006B580000}"/>
    <cellStyle name="Normal 13 2 3 2 3 2 2 2 3" xfId="22636" xr:uid="{00000000-0005-0000-0000-00006C580000}"/>
    <cellStyle name="Normal 13 2 3 2 3 2 2 3" xfId="22637" xr:uid="{00000000-0005-0000-0000-00006D580000}"/>
    <cellStyle name="Normal 13 2 3 2 3 2 2 4" xfId="22638" xr:uid="{00000000-0005-0000-0000-00006E580000}"/>
    <cellStyle name="Normal 13 2 3 2 3 2 3" xfId="22639" xr:uid="{00000000-0005-0000-0000-00006F580000}"/>
    <cellStyle name="Normal 13 2 3 2 3 2 3 2" xfId="22640" xr:uid="{00000000-0005-0000-0000-000070580000}"/>
    <cellStyle name="Normal 13 2 3 2 3 2 3 3" xfId="22641" xr:uid="{00000000-0005-0000-0000-000071580000}"/>
    <cellStyle name="Normal 13 2 3 2 3 2 4" xfId="22642" xr:uid="{00000000-0005-0000-0000-000072580000}"/>
    <cellStyle name="Normal 13 2 3 2 3 2 5" xfId="22643" xr:uid="{00000000-0005-0000-0000-000073580000}"/>
    <cellStyle name="Normal 13 2 3 2 3 3" xfId="22644" xr:uid="{00000000-0005-0000-0000-000074580000}"/>
    <cellStyle name="Normal 13 2 3 2 3 3 2" xfId="22645" xr:uid="{00000000-0005-0000-0000-000075580000}"/>
    <cellStyle name="Normal 13 2 3 2 3 3 2 2" xfId="22646" xr:uid="{00000000-0005-0000-0000-000076580000}"/>
    <cellStyle name="Normal 13 2 3 2 3 3 2 3" xfId="22647" xr:uid="{00000000-0005-0000-0000-000077580000}"/>
    <cellStyle name="Normal 13 2 3 2 3 3 3" xfId="22648" xr:uid="{00000000-0005-0000-0000-000078580000}"/>
    <cellStyle name="Normal 13 2 3 2 3 3 4" xfId="22649" xr:uid="{00000000-0005-0000-0000-000079580000}"/>
    <cellStyle name="Normal 13 2 3 2 3 4" xfId="22650" xr:uid="{00000000-0005-0000-0000-00007A580000}"/>
    <cellStyle name="Normal 13 2 3 2 3 4 2" xfId="22651" xr:uid="{00000000-0005-0000-0000-00007B580000}"/>
    <cellStyle name="Normal 13 2 3 2 3 4 3" xfId="22652" xr:uid="{00000000-0005-0000-0000-00007C580000}"/>
    <cellStyle name="Normal 13 2 3 2 3 5" xfId="22653" xr:uid="{00000000-0005-0000-0000-00007D580000}"/>
    <cellStyle name="Normal 13 2 3 2 3 6" xfId="22654" xr:uid="{00000000-0005-0000-0000-00007E580000}"/>
    <cellStyle name="Normal 13 2 3 2 4" xfId="22655" xr:uid="{00000000-0005-0000-0000-00007F580000}"/>
    <cellStyle name="Normal 13 2 3 2 4 2" xfId="22656" xr:uid="{00000000-0005-0000-0000-000080580000}"/>
    <cellStyle name="Normal 13 2 3 2 4 2 2" xfId="22657" xr:uid="{00000000-0005-0000-0000-000081580000}"/>
    <cellStyle name="Normal 13 2 3 2 4 2 2 2" xfId="22658" xr:uid="{00000000-0005-0000-0000-000082580000}"/>
    <cellStyle name="Normal 13 2 3 2 4 2 2 3" xfId="22659" xr:uid="{00000000-0005-0000-0000-000083580000}"/>
    <cellStyle name="Normal 13 2 3 2 4 2 3" xfId="22660" xr:uid="{00000000-0005-0000-0000-000084580000}"/>
    <cellStyle name="Normal 13 2 3 2 4 2 4" xfId="22661" xr:uid="{00000000-0005-0000-0000-000085580000}"/>
    <cellStyle name="Normal 13 2 3 2 4 3" xfId="22662" xr:uid="{00000000-0005-0000-0000-000086580000}"/>
    <cellStyle name="Normal 13 2 3 2 4 3 2" xfId="22663" xr:uid="{00000000-0005-0000-0000-000087580000}"/>
    <cellStyle name="Normal 13 2 3 2 4 3 3" xfId="22664" xr:uid="{00000000-0005-0000-0000-000088580000}"/>
    <cellStyle name="Normal 13 2 3 2 4 4" xfId="22665" xr:uid="{00000000-0005-0000-0000-000089580000}"/>
    <cellStyle name="Normal 13 2 3 2 4 5" xfId="22666" xr:uid="{00000000-0005-0000-0000-00008A580000}"/>
    <cellStyle name="Normal 13 2 3 2 5" xfId="22667" xr:uid="{00000000-0005-0000-0000-00008B580000}"/>
    <cellStyle name="Normal 13 2 3 2 5 2" xfId="22668" xr:uid="{00000000-0005-0000-0000-00008C580000}"/>
    <cellStyle name="Normal 13 2 3 2 5 2 2" xfId="22669" xr:uid="{00000000-0005-0000-0000-00008D580000}"/>
    <cellStyle name="Normal 13 2 3 2 5 2 3" xfId="22670" xr:uid="{00000000-0005-0000-0000-00008E580000}"/>
    <cellStyle name="Normal 13 2 3 2 5 3" xfId="22671" xr:uid="{00000000-0005-0000-0000-00008F580000}"/>
    <cellStyle name="Normal 13 2 3 2 5 4" xfId="22672" xr:uid="{00000000-0005-0000-0000-000090580000}"/>
    <cellStyle name="Normal 13 2 3 2 6" xfId="22673" xr:uid="{00000000-0005-0000-0000-000091580000}"/>
    <cellStyle name="Normal 13 2 3 2 6 2" xfId="22674" xr:uid="{00000000-0005-0000-0000-000092580000}"/>
    <cellStyle name="Normal 13 2 3 2 6 3" xfId="22675" xr:uid="{00000000-0005-0000-0000-000093580000}"/>
    <cellStyle name="Normal 13 2 3 2 7" xfId="22676" xr:uid="{00000000-0005-0000-0000-000094580000}"/>
    <cellStyle name="Normal 13 2 3 2 8" xfId="22677" xr:uid="{00000000-0005-0000-0000-000095580000}"/>
    <cellStyle name="Normal 13 2 3 3" xfId="22678" xr:uid="{00000000-0005-0000-0000-000096580000}"/>
    <cellStyle name="Normal 13 2 3 3 2" xfId="22679" xr:uid="{00000000-0005-0000-0000-000097580000}"/>
    <cellStyle name="Normal 13 2 3 3 2 2" xfId="22680" xr:uid="{00000000-0005-0000-0000-000098580000}"/>
    <cellStyle name="Normal 13 2 3 3 2 2 2" xfId="22681" xr:uid="{00000000-0005-0000-0000-000099580000}"/>
    <cellStyle name="Normal 13 2 3 3 2 2 2 2" xfId="22682" xr:uid="{00000000-0005-0000-0000-00009A580000}"/>
    <cellStyle name="Normal 13 2 3 3 2 2 2 2 2" xfId="22683" xr:uid="{00000000-0005-0000-0000-00009B580000}"/>
    <cellStyle name="Normal 13 2 3 3 2 2 2 2 3" xfId="22684" xr:uid="{00000000-0005-0000-0000-00009C580000}"/>
    <cellStyle name="Normal 13 2 3 3 2 2 2 3" xfId="22685" xr:uid="{00000000-0005-0000-0000-00009D580000}"/>
    <cellStyle name="Normal 13 2 3 3 2 2 2 4" xfId="22686" xr:uid="{00000000-0005-0000-0000-00009E580000}"/>
    <cellStyle name="Normal 13 2 3 3 2 2 3" xfId="22687" xr:uid="{00000000-0005-0000-0000-00009F580000}"/>
    <cellStyle name="Normal 13 2 3 3 2 2 3 2" xfId="22688" xr:uid="{00000000-0005-0000-0000-0000A0580000}"/>
    <cellStyle name="Normal 13 2 3 3 2 2 3 3" xfId="22689" xr:uid="{00000000-0005-0000-0000-0000A1580000}"/>
    <cellStyle name="Normal 13 2 3 3 2 2 4" xfId="22690" xr:uid="{00000000-0005-0000-0000-0000A2580000}"/>
    <cellStyle name="Normal 13 2 3 3 2 2 5" xfId="22691" xr:uid="{00000000-0005-0000-0000-0000A3580000}"/>
    <cellStyle name="Normal 13 2 3 3 2 3" xfId="22692" xr:uid="{00000000-0005-0000-0000-0000A4580000}"/>
    <cellStyle name="Normal 13 2 3 3 2 3 2" xfId="22693" xr:uid="{00000000-0005-0000-0000-0000A5580000}"/>
    <cellStyle name="Normal 13 2 3 3 2 3 2 2" xfId="22694" xr:uid="{00000000-0005-0000-0000-0000A6580000}"/>
    <cellStyle name="Normal 13 2 3 3 2 3 2 3" xfId="22695" xr:uid="{00000000-0005-0000-0000-0000A7580000}"/>
    <cellStyle name="Normal 13 2 3 3 2 3 3" xfId="22696" xr:uid="{00000000-0005-0000-0000-0000A8580000}"/>
    <cellStyle name="Normal 13 2 3 3 2 3 4" xfId="22697" xr:uid="{00000000-0005-0000-0000-0000A9580000}"/>
    <cellStyle name="Normal 13 2 3 3 2 4" xfId="22698" xr:uid="{00000000-0005-0000-0000-0000AA580000}"/>
    <cellStyle name="Normal 13 2 3 3 2 4 2" xfId="22699" xr:uid="{00000000-0005-0000-0000-0000AB580000}"/>
    <cellStyle name="Normal 13 2 3 3 2 4 3" xfId="22700" xr:uid="{00000000-0005-0000-0000-0000AC580000}"/>
    <cellStyle name="Normal 13 2 3 3 2 5" xfId="22701" xr:uid="{00000000-0005-0000-0000-0000AD580000}"/>
    <cellStyle name="Normal 13 2 3 3 2 6" xfId="22702" xr:uid="{00000000-0005-0000-0000-0000AE580000}"/>
    <cellStyle name="Normal 13 2 3 3 3" xfId="22703" xr:uid="{00000000-0005-0000-0000-0000AF580000}"/>
    <cellStyle name="Normal 13 2 3 3 3 2" xfId="22704" xr:uid="{00000000-0005-0000-0000-0000B0580000}"/>
    <cellStyle name="Normal 13 2 3 3 3 2 2" xfId="22705" xr:uid="{00000000-0005-0000-0000-0000B1580000}"/>
    <cellStyle name="Normal 13 2 3 3 3 2 2 2" xfId="22706" xr:uid="{00000000-0005-0000-0000-0000B2580000}"/>
    <cellStyle name="Normal 13 2 3 3 3 2 2 3" xfId="22707" xr:uid="{00000000-0005-0000-0000-0000B3580000}"/>
    <cellStyle name="Normal 13 2 3 3 3 2 3" xfId="22708" xr:uid="{00000000-0005-0000-0000-0000B4580000}"/>
    <cellStyle name="Normal 13 2 3 3 3 2 4" xfId="22709" xr:uid="{00000000-0005-0000-0000-0000B5580000}"/>
    <cellStyle name="Normal 13 2 3 3 3 3" xfId="22710" xr:uid="{00000000-0005-0000-0000-0000B6580000}"/>
    <cellStyle name="Normal 13 2 3 3 3 3 2" xfId="22711" xr:uid="{00000000-0005-0000-0000-0000B7580000}"/>
    <cellStyle name="Normal 13 2 3 3 3 3 3" xfId="22712" xr:uid="{00000000-0005-0000-0000-0000B8580000}"/>
    <cellStyle name="Normal 13 2 3 3 3 4" xfId="22713" xr:uid="{00000000-0005-0000-0000-0000B9580000}"/>
    <cellStyle name="Normal 13 2 3 3 3 5" xfId="22714" xr:uid="{00000000-0005-0000-0000-0000BA580000}"/>
    <cellStyle name="Normal 13 2 3 3 4" xfId="22715" xr:uid="{00000000-0005-0000-0000-0000BB580000}"/>
    <cellStyle name="Normal 13 2 3 3 4 2" xfId="22716" xr:uid="{00000000-0005-0000-0000-0000BC580000}"/>
    <cellStyle name="Normal 13 2 3 3 4 2 2" xfId="22717" xr:uid="{00000000-0005-0000-0000-0000BD580000}"/>
    <cellStyle name="Normal 13 2 3 3 4 2 3" xfId="22718" xr:uid="{00000000-0005-0000-0000-0000BE580000}"/>
    <cellStyle name="Normal 13 2 3 3 4 3" xfId="22719" xr:uid="{00000000-0005-0000-0000-0000BF580000}"/>
    <cellStyle name="Normal 13 2 3 3 4 4" xfId="22720" xr:uid="{00000000-0005-0000-0000-0000C0580000}"/>
    <cellStyle name="Normal 13 2 3 3 5" xfId="22721" xr:uid="{00000000-0005-0000-0000-0000C1580000}"/>
    <cellStyle name="Normal 13 2 3 3 5 2" xfId="22722" xr:uid="{00000000-0005-0000-0000-0000C2580000}"/>
    <cellStyle name="Normal 13 2 3 3 5 3" xfId="22723" xr:uid="{00000000-0005-0000-0000-0000C3580000}"/>
    <cellStyle name="Normal 13 2 3 3 6" xfId="22724" xr:uid="{00000000-0005-0000-0000-0000C4580000}"/>
    <cellStyle name="Normal 13 2 3 3 7" xfId="22725" xr:uid="{00000000-0005-0000-0000-0000C5580000}"/>
    <cellStyle name="Normal 13 2 3 4" xfId="22726" xr:uid="{00000000-0005-0000-0000-0000C6580000}"/>
    <cellStyle name="Normal 13 2 3 4 2" xfId="22727" xr:uid="{00000000-0005-0000-0000-0000C7580000}"/>
    <cellStyle name="Normal 13 2 3 4 2 2" xfId="22728" xr:uid="{00000000-0005-0000-0000-0000C8580000}"/>
    <cellStyle name="Normal 13 2 3 4 2 2 2" xfId="22729" xr:uid="{00000000-0005-0000-0000-0000C9580000}"/>
    <cellStyle name="Normal 13 2 3 4 2 2 2 2" xfId="22730" xr:uid="{00000000-0005-0000-0000-0000CA580000}"/>
    <cellStyle name="Normal 13 2 3 4 2 2 2 3" xfId="22731" xr:uid="{00000000-0005-0000-0000-0000CB580000}"/>
    <cellStyle name="Normal 13 2 3 4 2 2 3" xfId="22732" xr:uid="{00000000-0005-0000-0000-0000CC580000}"/>
    <cellStyle name="Normal 13 2 3 4 2 2 4" xfId="22733" xr:uid="{00000000-0005-0000-0000-0000CD580000}"/>
    <cellStyle name="Normal 13 2 3 4 2 3" xfId="22734" xr:uid="{00000000-0005-0000-0000-0000CE580000}"/>
    <cellStyle name="Normal 13 2 3 4 2 3 2" xfId="22735" xr:uid="{00000000-0005-0000-0000-0000CF580000}"/>
    <cellStyle name="Normal 13 2 3 4 2 3 3" xfId="22736" xr:uid="{00000000-0005-0000-0000-0000D0580000}"/>
    <cellStyle name="Normal 13 2 3 4 2 4" xfId="22737" xr:uid="{00000000-0005-0000-0000-0000D1580000}"/>
    <cellStyle name="Normal 13 2 3 4 2 5" xfId="22738" xr:uid="{00000000-0005-0000-0000-0000D2580000}"/>
    <cellStyle name="Normal 13 2 3 4 3" xfId="22739" xr:uid="{00000000-0005-0000-0000-0000D3580000}"/>
    <cellStyle name="Normal 13 2 3 4 3 2" xfId="22740" xr:uid="{00000000-0005-0000-0000-0000D4580000}"/>
    <cellStyle name="Normal 13 2 3 4 3 2 2" xfId="22741" xr:uid="{00000000-0005-0000-0000-0000D5580000}"/>
    <cellStyle name="Normal 13 2 3 4 3 2 3" xfId="22742" xr:uid="{00000000-0005-0000-0000-0000D6580000}"/>
    <cellStyle name="Normal 13 2 3 4 3 3" xfId="22743" xr:uid="{00000000-0005-0000-0000-0000D7580000}"/>
    <cellStyle name="Normal 13 2 3 4 3 4" xfId="22744" xr:uid="{00000000-0005-0000-0000-0000D8580000}"/>
    <cellStyle name="Normal 13 2 3 4 4" xfId="22745" xr:uid="{00000000-0005-0000-0000-0000D9580000}"/>
    <cellStyle name="Normal 13 2 3 4 4 2" xfId="22746" xr:uid="{00000000-0005-0000-0000-0000DA580000}"/>
    <cellStyle name="Normal 13 2 3 4 4 3" xfId="22747" xr:uid="{00000000-0005-0000-0000-0000DB580000}"/>
    <cellStyle name="Normal 13 2 3 4 5" xfId="22748" xr:uid="{00000000-0005-0000-0000-0000DC580000}"/>
    <cellStyle name="Normal 13 2 3 4 6" xfId="22749" xr:uid="{00000000-0005-0000-0000-0000DD580000}"/>
    <cellStyle name="Normal 13 2 3 5" xfId="22750" xr:uid="{00000000-0005-0000-0000-0000DE580000}"/>
    <cellStyle name="Normal 13 2 3 5 2" xfId="22751" xr:uid="{00000000-0005-0000-0000-0000DF580000}"/>
    <cellStyle name="Normal 13 2 3 5 2 2" xfId="22752" xr:uid="{00000000-0005-0000-0000-0000E0580000}"/>
    <cellStyle name="Normal 13 2 3 5 2 2 2" xfId="22753" xr:uid="{00000000-0005-0000-0000-0000E1580000}"/>
    <cellStyle name="Normal 13 2 3 5 2 2 3" xfId="22754" xr:uid="{00000000-0005-0000-0000-0000E2580000}"/>
    <cellStyle name="Normal 13 2 3 5 2 3" xfId="22755" xr:uid="{00000000-0005-0000-0000-0000E3580000}"/>
    <cellStyle name="Normal 13 2 3 5 2 4" xfId="22756" xr:uid="{00000000-0005-0000-0000-0000E4580000}"/>
    <cellStyle name="Normal 13 2 3 5 3" xfId="22757" xr:uid="{00000000-0005-0000-0000-0000E5580000}"/>
    <cellStyle name="Normal 13 2 3 5 3 2" xfId="22758" xr:uid="{00000000-0005-0000-0000-0000E6580000}"/>
    <cellStyle name="Normal 13 2 3 5 3 3" xfId="22759" xr:uid="{00000000-0005-0000-0000-0000E7580000}"/>
    <cellStyle name="Normal 13 2 3 5 4" xfId="22760" xr:uid="{00000000-0005-0000-0000-0000E8580000}"/>
    <cellStyle name="Normal 13 2 3 5 5" xfId="22761" xr:uid="{00000000-0005-0000-0000-0000E9580000}"/>
    <cellStyle name="Normal 13 2 3 6" xfId="22762" xr:uid="{00000000-0005-0000-0000-0000EA580000}"/>
    <cellStyle name="Normal 13 2 3 6 2" xfId="22763" xr:uid="{00000000-0005-0000-0000-0000EB580000}"/>
    <cellStyle name="Normal 13 2 3 6 2 2" xfId="22764" xr:uid="{00000000-0005-0000-0000-0000EC580000}"/>
    <cellStyle name="Normal 13 2 3 6 2 3" xfId="22765" xr:uid="{00000000-0005-0000-0000-0000ED580000}"/>
    <cellStyle name="Normal 13 2 3 6 3" xfId="22766" xr:uid="{00000000-0005-0000-0000-0000EE580000}"/>
    <cellStyle name="Normal 13 2 3 6 4" xfId="22767" xr:uid="{00000000-0005-0000-0000-0000EF580000}"/>
    <cellStyle name="Normal 13 2 3 7" xfId="22768" xr:uid="{00000000-0005-0000-0000-0000F0580000}"/>
    <cellStyle name="Normal 13 2 3 7 2" xfId="22769" xr:uid="{00000000-0005-0000-0000-0000F1580000}"/>
    <cellStyle name="Normal 13 2 3 7 3" xfId="22770" xr:uid="{00000000-0005-0000-0000-0000F2580000}"/>
    <cellStyle name="Normal 13 2 3 8" xfId="22771" xr:uid="{00000000-0005-0000-0000-0000F3580000}"/>
    <cellStyle name="Normal 13 2 3 9" xfId="22772" xr:uid="{00000000-0005-0000-0000-0000F4580000}"/>
    <cellStyle name="Normal 13 2 4" xfId="22773" xr:uid="{00000000-0005-0000-0000-0000F5580000}"/>
    <cellStyle name="Normal 13 2 4 2" xfId="22774" xr:uid="{00000000-0005-0000-0000-0000F6580000}"/>
    <cellStyle name="Normal 13 2 4 2 2" xfId="22775" xr:uid="{00000000-0005-0000-0000-0000F7580000}"/>
    <cellStyle name="Normal 13 2 4 2 2 2" xfId="22776" xr:uid="{00000000-0005-0000-0000-0000F8580000}"/>
    <cellStyle name="Normal 13 2 4 2 2 2 2" xfId="22777" xr:uid="{00000000-0005-0000-0000-0000F9580000}"/>
    <cellStyle name="Normal 13 2 4 2 2 2 2 2" xfId="22778" xr:uid="{00000000-0005-0000-0000-0000FA580000}"/>
    <cellStyle name="Normal 13 2 4 2 2 2 2 2 2" xfId="22779" xr:uid="{00000000-0005-0000-0000-0000FB580000}"/>
    <cellStyle name="Normal 13 2 4 2 2 2 2 2 3" xfId="22780" xr:uid="{00000000-0005-0000-0000-0000FC580000}"/>
    <cellStyle name="Normal 13 2 4 2 2 2 2 3" xfId="22781" xr:uid="{00000000-0005-0000-0000-0000FD580000}"/>
    <cellStyle name="Normal 13 2 4 2 2 2 2 4" xfId="22782" xr:uid="{00000000-0005-0000-0000-0000FE580000}"/>
    <cellStyle name="Normal 13 2 4 2 2 2 3" xfId="22783" xr:uid="{00000000-0005-0000-0000-0000FF580000}"/>
    <cellStyle name="Normal 13 2 4 2 2 2 3 2" xfId="22784" xr:uid="{00000000-0005-0000-0000-000000590000}"/>
    <cellStyle name="Normal 13 2 4 2 2 2 3 3" xfId="22785" xr:uid="{00000000-0005-0000-0000-000001590000}"/>
    <cellStyle name="Normal 13 2 4 2 2 2 4" xfId="22786" xr:uid="{00000000-0005-0000-0000-000002590000}"/>
    <cellStyle name="Normal 13 2 4 2 2 2 5" xfId="22787" xr:uid="{00000000-0005-0000-0000-000003590000}"/>
    <cellStyle name="Normal 13 2 4 2 2 3" xfId="22788" xr:uid="{00000000-0005-0000-0000-000004590000}"/>
    <cellStyle name="Normal 13 2 4 2 2 3 2" xfId="22789" xr:uid="{00000000-0005-0000-0000-000005590000}"/>
    <cellStyle name="Normal 13 2 4 2 2 3 2 2" xfId="22790" xr:uid="{00000000-0005-0000-0000-000006590000}"/>
    <cellStyle name="Normal 13 2 4 2 2 3 2 3" xfId="22791" xr:uid="{00000000-0005-0000-0000-000007590000}"/>
    <cellStyle name="Normal 13 2 4 2 2 3 3" xfId="22792" xr:uid="{00000000-0005-0000-0000-000008590000}"/>
    <cellStyle name="Normal 13 2 4 2 2 3 4" xfId="22793" xr:uid="{00000000-0005-0000-0000-000009590000}"/>
    <cellStyle name="Normal 13 2 4 2 2 4" xfId="22794" xr:uid="{00000000-0005-0000-0000-00000A590000}"/>
    <cellStyle name="Normal 13 2 4 2 2 4 2" xfId="22795" xr:uid="{00000000-0005-0000-0000-00000B590000}"/>
    <cellStyle name="Normal 13 2 4 2 2 4 3" xfId="22796" xr:uid="{00000000-0005-0000-0000-00000C590000}"/>
    <cellStyle name="Normal 13 2 4 2 2 5" xfId="22797" xr:uid="{00000000-0005-0000-0000-00000D590000}"/>
    <cellStyle name="Normal 13 2 4 2 2 6" xfId="22798" xr:uid="{00000000-0005-0000-0000-00000E590000}"/>
    <cellStyle name="Normal 13 2 4 2 3" xfId="22799" xr:uid="{00000000-0005-0000-0000-00000F590000}"/>
    <cellStyle name="Normal 13 2 4 2 3 2" xfId="22800" xr:uid="{00000000-0005-0000-0000-000010590000}"/>
    <cellStyle name="Normal 13 2 4 2 3 2 2" xfId="22801" xr:uid="{00000000-0005-0000-0000-000011590000}"/>
    <cellStyle name="Normal 13 2 4 2 3 2 2 2" xfId="22802" xr:uid="{00000000-0005-0000-0000-000012590000}"/>
    <cellStyle name="Normal 13 2 4 2 3 2 2 3" xfId="22803" xr:uid="{00000000-0005-0000-0000-000013590000}"/>
    <cellStyle name="Normal 13 2 4 2 3 2 3" xfId="22804" xr:uid="{00000000-0005-0000-0000-000014590000}"/>
    <cellStyle name="Normal 13 2 4 2 3 2 4" xfId="22805" xr:uid="{00000000-0005-0000-0000-000015590000}"/>
    <cellStyle name="Normal 13 2 4 2 3 3" xfId="22806" xr:uid="{00000000-0005-0000-0000-000016590000}"/>
    <cellStyle name="Normal 13 2 4 2 3 3 2" xfId="22807" xr:uid="{00000000-0005-0000-0000-000017590000}"/>
    <cellStyle name="Normal 13 2 4 2 3 3 3" xfId="22808" xr:uid="{00000000-0005-0000-0000-000018590000}"/>
    <cellStyle name="Normal 13 2 4 2 3 4" xfId="22809" xr:uid="{00000000-0005-0000-0000-000019590000}"/>
    <cellStyle name="Normal 13 2 4 2 3 5" xfId="22810" xr:uid="{00000000-0005-0000-0000-00001A590000}"/>
    <cellStyle name="Normal 13 2 4 2 4" xfId="22811" xr:uid="{00000000-0005-0000-0000-00001B590000}"/>
    <cellStyle name="Normal 13 2 4 2 4 2" xfId="22812" xr:uid="{00000000-0005-0000-0000-00001C590000}"/>
    <cellStyle name="Normal 13 2 4 2 4 2 2" xfId="22813" xr:uid="{00000000-0005-0000-0000-00001D590000}"/>
    <cellStyle name="Normal 13 2 4 2 4 2 3" xfId="22814" xr:uid="{00000000-0005-0000-0000-00001E590000}"/>
    <cellStyle name="Normal 13 2 4 2 4 3" xfId="22815" xr:uid="{00000000-0005-0000-0000-00001F590000}"/>
    <cellStyle name="Normal 13 2 4 2 4 4" xfId="22816" xr:uid="{00000000-0005-0000-0000-000020590000}"/>
    <cellStyle name="Normal 13 2 4 2 5" xfId="22817" xr:uid="{00000000-0005-0000-0000-000021590000}"/>
    <cellStyle name="Normal 13 2 4 2 5 2" xfId="22818" xr:uid="{00000000-0005-0000-0000-000022590000}"/>
    <cellStyle name="Normal 13 2 4 2 5 3" xfId="22819" xr:uid="{00000000-0005-0000-0000-000023590000}"/>
    <cellStyle name="Normal 13 2 4 2 6" xfId="22820" xr:uid="{00000000-0005-0000-0000-000024590000}"/>
    <cellStyle name="Normal 13 2 4 2 7" xfId="22821" xr:uid="{00000000-0005-0000-0000-000025590000}"/>
    <cellStyle name="Normal 13 2 4 3" xfId="22822" xr:uid="{00000000-0005-0000-0000-000026590000}"/>
    <cellStyle name="Normal 13 2 4 3 2" xfId="22823" xr:uid="{00000000-0005-0000-0000-000027590000}"/>
    <cellStyle name="Normal 13 2 4 3 2 2" xfId="22824" xr:uid="{00000000-0005-0000-0000-000028590000}"/>
    <cellStyle name="Normal 13 2 4 3 2 2 2" xfId="22825" xr:uid="{00000000-0005-0000-0000-000029590000}"/>
    <cellStyle name="Normal 13 2 4 3 2 2 2 2" xfId="22826" xr:uid="{00000000-0005-0000-0000-00002A590000}"/>
    <cellStyle name="Normal 13 2 4 3 2 2 2 3" xfId="22827" xr:uid="{00000000-0005-0000-0000-00002B590000}"/>
    <cellStyle name="Normal 13 2 4 3 2 2 3" xfId="22828" xr:uid="{00000000-0005-0000-0000-00002C590000}"/>
    <cellStyle name="Normal 13 2 4 3 2 2 4" xfId="22829" xr:uid="{00000000-0005-0000-0000-00002D590000}"/>
    <cellStyle name="Normal 13 2 4 3 2 3" xfId="22830" xr:uid="{00000000-0005-0000-0000-00002E590000}"/>
    <cellStyle name="Normal 13 2 4 3 2 3 2" xfId="22831" xr:uid="{00000000-0005-0000-0000-00002F590000}"/>
    <cellStyle name="Normal 13 2 4 3 2 3 3" xfId="22832" xr:uid="{00000000-0005-0000-0000-000030590000}"/>
    <cellStyle name="Normal 13 2 4 3 2 4" xfId="22833" xr:uid="{00000000-0005-0000-0000-000031590000}"/>
    <cellStyle name="Normal 13 2 4 3 2 5" xfId="22834" xr:uid="{00000000-0005-0000-0000-000032590000}"/>
    <cellStyle name="Normal 13 2 4 3 3" xfId="22835" xr:uid="{00000000-0005-0000-0000-000033590000}"/>
    <cellStyle name="Normal 13 2 4 3 3 2" xfId="22836" xr:uid="{00000000-0005-0000-0000-000034590000}"/>
    <cellStyle name="Normal 13 2 4 3 3 2 2" xfId="22837" xr:uid="{00000000-0005-0000-0000-000035590000}"/>
    <cellStyle name="Normal 13 2 4 3 3 2 3" xfId="22838" xr:uid="{00000000-0005-0000-0000-000036590000}"/>
    <cellStyle name="Normal 13 2 4 3 3 3" xfId="22839" xr:uid="{00000000-0005-0000-0000-000037590000}"/>
    <cellStyle name="Normal 13 2 4 3 3 4" xfId="22840" xr:uid="{00000000-0005-0000-0000-000038590000}"/>
    <cellStyle name="Normal 13 2 4 3 4" xfId="22841" xr:uid="{00000000-0005-0000-0000-000039590000}"/>
    <cellStyle name="Normal 13 2 4 3 4 2" xfId="22842" xr:uid="{00000000-0005-0000-0000-00003A590000}"/>
    <cellStyle name="Normal 13 2 4 3 4 3" xfId="22843" xr:uid="{00000000-0005-0000-0000-00003B590000}"/>
    <cellStyle name="Normal 13 2 4 3 5" xfId="22844" xr:uid="{00000000-0005-0000-0000-00003C590000}"/>
    <cellStyle name="Normal 13 2 4 3 6" xfId="22845" xr:uid="{00000000-0005-0000-0000-00003D590000}"/>
    <cellStyle name="Normal 13 2 4 4" xfId="22846" xr:uid="{00000000-0005-0000-0000-00003E590000}"/>
    <cellStyle name="Normal 13 2 4 4 2" xfId="22847" xr:uid="{00000000-0005-0000-0000-00003F590000}"/>
    <cellStyle name="Normal 13 2 4 4 2 2" xfId="22848" xr:uid="{00000000-0005-0000-0000-000040590000}"/>
    <cellStyle name="Normal 13 2 4 4 2 2 2" xfId="22849" xr:uid="{00000000-0005-0000-0000-000041590000}"/>
    <cellStyle name="Normal 13 2 4 4 2 2 3" xfId="22850" xr:uid="{00000000-0005-0000-0000-000042590000}"/>
    <cellStyle name="Normal 13 2 4 4 2 3" xfId="22851" xr:uid="{00000000-0005-0000-0000-000043590000}"/>
    <cellStyle name="Normal 13 2 4 4 2 4" xfId="22852" xr:uid="{00000000-0005-0000-0000-000044590000}"/>
    <cellStyle name="Normal 13 2 4 4 3" xfId="22853" xr:uid="{00000000-0005-0000-0000-000045590000}"/>
    <cellStyle name="Normal 13 2 4 4 3 2" xfId="22854" xr:uid="{00000000-0005-0000-0000-000046590000}"/>
    <cellStyle name="Normal 13 2 4 4 3 3" xfId="22855" xr:uid="{00000000-0005-0000-0000-000047590000}"/>
    <cellStyle name="Normal 13 2 4 4 4" xfId="22856" xr:uid="{00000000-0005-0000-0000-000048590000}"/>
    <cellStyle name="Normal 13 2 4 4 5" xfId="22857" xr:uid="{00000000-0005-0000-0000-000049590000}"/>
    <cellStyle name="Normal 13 2 4 5" xfId="22858" xr:uid="{00000000-0005-0000-0000-00004A590000}"/>
    <cellStyle name="Normal 13 2 4 5 2" xfId="22859" xr:uid="{00000000-0005-0000-0000-00004B590000}"/>
    <cellStyle name="Normal 13 2 4 5 2 2" xfId="22860" xr:uid="{00000000-0005-0000-0000-00004C590000}"/>
    <cellStyle name="Normal 13 2 4 5 2 3" xfId="22861" xr:uid="{00000000-0005-0000-0000-00004D590000}"/>
    <cellStyle name="Normal 13 2 4 5 3" xfId="22862" xr:uid="{00000000-0005-0000-0000-00004E590000}"/>
    <cellStyle name="Normal 13 2 4 5 4" xfId="22863" xr:uid="{00000000-0005-0000-0000-00004F590000}"/>
    <cellStyle name="Normal 13 2 4 6" xfId="22864" xr:uid="{00000000-0005-0000-0000-000050590000}"/>
    <cellStyle name="Normal 13 2 4 6 2" xfId="22865" xr:uid="{00000000-0005-0000-0000-000051590000}"/>
    <cellStyle name="Normal 13 2 4 6 3" xfId="22866" xr:uid="{00000000-0005-0000-0000-000052590000}"/>
    <cellStyle name="Normal 13 2 4 7" xfId="22867" xr:uid="{00000000-0005-0000-0000-000053590000}"/>
    <cellStyle name="Normal 13 2 4 8" xfId="22868" xr:uid="{00000000-0005-0000-0000-000054590000}"/>
    <cellStyle name="Normal 13 2 5" xfId="22869" xr:uid="{00000000-0005-0000-0000-000055590000}"/>
    <cellStyle name="Normal 13 2 5 2" xfId="22870" xr:uid="{00000000-0005-0000-0000-000056590000}"/>
    <cellStyle name="Normal 13 2 5 2 2" xfId="22871" xr:uid="{00000000-0005-0000-0000-000057590000}"/>
    <cellStyle name="Normal 13 2 5 2 2 2" xfId="22872" xr:uid="{00000000-0005-0000-0000-000058590000}"/>
    <cellStyle name="Normal 13 2 5 2 2 2 2" xfId="22873" xr:uid="{00000000-0005-0000-0000-000059590000}"/>
    <cellStyle name="Normal 13 2 5 2 2 2 2 2" xfId="22874" xr:uid="{00000000-0005-0000-0000-00005A590000}"/>
    <cellStyle name="Normal 13 2 5 2 2 2 2 3" xfId="22875" xr:uid="{00000000-0005-0000-0000-00005B590000}"/>
    <cellStyle name="Normal 13 2 5 2 2 2 3" xfId="22876" xr:uid="{00000000-0005-0000-0000-00005C590000}"/>
    <cellStyle name="Normal 13 2 5 2 2 2 4" xfId="22877" xr:uid="{00000000-0005-0000-0000-00005D590000}"/>
    <cellStyle name="Normal 13 2 5 2 2 3" xfId="22878" xr:uid="{00000000-0005-0000-0000-00005E590000}"/>
    <cellStyle name="Normal 13 2 5 2 2 3 2" xfId="22879" xr:uid="{00000000-0005-0000-0000-00005F590000}"/>
    <cellStyle name="Normal 13 2 5 2 2 3 3" xfId="22880" xr:uid="{00000000-0005-0000-0000-000060590000}"/>
    <cellStyle name="Normal 13 2 5 2 2 4" xfId="22881" xr:uid="{00000000-0005-0000-0000-000061590000}"/>
    <cellStyle name="Normal 13 2 5 2 2 5" xfId="22882" xr:uid="{00000000-0005-0000-0000-000062590000}"/>
    <cellStyle name="Normal 13 2 5 2 3" xfId="22883" xr:uid="{00000000-0005-0000-0000-000063590000}"/>
    <cellStyle name="Normal 13 2 5 2 3 2" xfId="22884" xr:uid="{00000000-0005-0000-0000-000064590000}"/>
    <cellStyle name="Normal 13 2 5 2 3 2 2" xfId="22885" xr:uid="{00000000-0005-0000-0000-000065590000}"/>
    <cellStyle name="Normal 13 2 5 2 3 2 3" xfId="22886" xr:uid="{00000000-0005-0000-0000-000066590000}"/>
    <cellStyle name="Normal 13 2 5 2 3 3" xfId="22887" xr:uid="{00000000-0005-0000-0000-000067590000}"/>
    <cellStyle name="Normal 13 2 5 2 3 4" xfId="22888" xr:uid="{00000000-0005-0000-0000-000068590000}"/>
    <cellStyle name="Normal 13 2 5 2 4" xfId="22889" xr:uid="{00000000-0005-0000-0000-000069590000}"/>
    <cellStyle name="Normal 13 2 5 2 4 2" xfId="22890" xr:uid="{00000000-0005-0000-0000-00006A590000}"/>
    <cellStyle name="Normal 13 2 5 2 4 3" xfId="22891" xr:uid="{00000000-0005-0000-0000-00006B590000}"/>
    <cellStyle name="Normal 13 2 5 2 5" xfId="22892" xr:uid="{00000000-0005-0000-0000-00006C590000}"/>
    <cellStyle name="Normal 13 2 5 2 6" xfId="22893" xr:uid="{00000000-0005-0000-0000-00006D590000}"/>
    <cellStyle name="Normal 13 2 5 3" xfId="22894" xr:uid="{00000000-0005-0000-0000-00006E590000}"/>
    <cellStyle name="Normal 13 2 5 3 2" xfId="22895" xr:uid="{00000000-0005-0000-0000-00006F590000}"/>
    <cellStyle name="Normal 13 2 5 3 2 2" xfId="22896" xr:uid="{00000000-0005-0000-0000-000070590000}"/>
    <cellStyle name="Normal 13 2 5 3 2 2 2" xfId="22897" xr:uid="{00000000-0005-0000-0000-000071590000}"/>
    <cellStyle name="Normal 13 2 5 3 2 2 3" xfId="22898" xr:uid="{00000000-0005-0000-0000-000072590000}"/>
    <cellStyle name="Normal 13 2 5 3 2 3" xfId="22899" xr:uid="{00000000-0005-0000-0000-000073590000}"/>
    <cellStyle name="Normal 13 2 5 3 2 4" xfId="22900" xr:uid="{00000000-0005-0000-0000-000074590000}"/>
    <cellStyle name="Normal 13 2 5 3 3" xfId="22901" xr:uid="{00000000-0005-0000-0000-000075590000}"/>
    <cellStyle name="Normal 13 2 5 3 3 2" xfId="22902" xr:uid="{00000000-0005-0000-0000-000076590000}"/>
    <cellStyle name="Normal 13 2 5 3 3 3" xfId="22903" xr:uid="{00000000-0005-0000-0000-000077590000}"/>
    <cellStyle name="Normal 13 2 5 3 4" xfId="22904" xr:uid="{00000000-0005-0000-0000-000078590000}"/>
    <cellStyle name="Normal 13 2 5 3 5" xfId="22905" xr:uid="{00000000-0005-0000-0000-000079590000}"/>
    <cellStyle name="Normal 13 2 5 4" xfId="22906" xr:uid="{00000000-0005-0000-0000-00007A590000}"/>
    <cellStyle name="Normal 13 2 5 4 2" xfId="22907" xr:uid="{00000000-0005-0000-0000-00007B590000}"/>
    <cellStyle name="Normal 13 2 5 4 2 2" xfId="22908" xr:uid="{00000000-0005-0000-0000-00007C590000}"/>
    <cellStyle name="Normal 13 2 5 4 2 3" xfId="22909" xr:uid="{00000000-0005-0000-0000-00007D590000}"/>
    <cellStyle name="Normal 13 2 5 4 3" xfId="22910" xr:uid="{00000000-0005-0000-0000-00007E590000}"/>
    <cellStyle name="Normal 13 2 5 4 4" xfId="22911" xr:uid="{00000000-0005-0000-0000-00007F590000}"/>
    <cellStyle name="Normal 13 2 5 5" xfId="22912" xr:uid="{00000000-0005-0000-0000-000080590000}"/>
    <cellStyle name="Normal 13 2 5 5 2" xfId="22913" xr:uid="{00000000-0005-0000-0000-000081590000}"/>
    <cellStyle name="Normal 13 2 5 5 3" xfId="22914" xr:uid="{00000000-0005-0000-0000-000082590000}"/>
    <cellStyle name="Normal 13 2 5 6" xfId="22915" xr:uid="{00000000-0005-0000-0000-000083590000}"/>
    <cellStyle name="Normal 13 2 5 7" xfId="22916" xr:uid="{00000000-0005-0000-0000-000084590000}"/>
    <cellStyle name="Normal 13 2 6" xfId="22917" xr:uid="{00000000-0005-0000-0000-000085590000}"/>
    <cellStyle name="Normal 13 2 6 2" xfId="22918" xr:uid="{00000000-0005-0000-0000-000086590000}"/>
    <cellStyle name="Normal 13 2 6 2 2" xfId="22919" xr:uid="{00000000-0005-0000-0000-000087590000}"/>
    <cellStyle name="Normal 13 2 6 2 2 2" xfId="22920" xr:uid="{00000000-0005-0000-0000-000088590000}"/>
    <cellStyle name="Normal 13 2 6 2 2 2 2" xfId="22921" xr:uid="{00000000-0005-0000-0000-000089590000}"/>
    <cellStyle name="Normal 13 2 6 2 2 2 3" xfId="22922" xr:uid="{00000000-0005-0000-0000-00008A590000}"/>
    <cellStyle name="Normal 13 2 6 2 2 3" xfId="22923" xr:uid="{00000000-0005-0000-0000-00008B590000}"/>
    <cellStyle name="Normal 13 2 6 2 2 4" xfId="22924" xr:uid="{00000000-0005-0000-0000-00008C590000}"/>
    <cellStyle name="Normal 13 2 6 2 3" xfId="22925" xr:uid="{00000000-0005-0000-0000-00008D590000}"/>
    <cellStyle name="Normal 13 2 6 2 3 2" xfId="22926" xr:uid="{00000000-0005-0000-0000-00008E590000}"/>
    <cellStyle name="Normal 13 2 6 2 3 3" xfId="22927" xr:uid="{00000000-0005-0000-0000-00008F590000}"/>
    <cellStyle name="Normal 13 2 6 2 4" xfId="22928" xr:uid="{00000000-0005-0000-0000-000090590000}"/>
    <cellStyle name="Normal 13 2 6 2 5" xfId="22929" xr:uid="{00000000-0005-0000-0000-000091590000}"/>
    <cellStyle name="Normal 13 2 6 3" xfId="22930" xr:uid="{00000000-0005-0000-0000-000092590000}"/>
    <cellStyle name="Normal 13 2 6 3 2" xfId="22931" xr:uid="{00000000-0005-0000-0000-000093590000}"/>
    <cellStyle name="Normal 13 2 6 3 2 2" xfId="22932" xr:uid="{00000000-0005-0000-0000-000094590000}"/>
    <cellStyle name="Normal 13 2 6 3 2 3" xfId="22933" xr:uid="{00000000-0005-0000-0000-000095590000}"/>
    <cellStyle name="Normal 13 2 6 3 3" xfId="22934" xr:uid="{00000000-0005-0000-0000-000096590000}"/>
    <cellStyle name="Normal 13 2 6 3 4" xfId="22935" xr:uid="{00000000-0005-0000-0000-000097590000}"/>
    <cellStyle name="Normal 13 2 6 4" xfId="22936" xr:uid="{00000000-0005-0000-0000-000098590000}"/>
    <cellStyle name="Normal 13 2 6 4 2" xfId="22937" xr:uid="{00000000-0005-0000-0000-000099590000}"/>
    <cellStyle name="Normal 13 2 6 4 3" xfId="22938" xr:uid="{00000000-0005-0000-0000-00009A590000}"/>
    <cellStyle name="Normal 13 2 6 5" xfId="22939" xr:uid="{00000000-0005-0000-0000-00009B590000}"/>
    <cellStyle name="Normal 13 2 6 6" xfId="22940" xr:uid="{00000000-0005-0000-0000-00009C590000}"/>
    <cellStyle name="Normal 13 2 7" xfId="22941" xr:uid="{00000000-0005-0000-0000-00009D590000}"/>
    <cellStyle name="Normal 13 2 7 2" xfId="22942" xr:uid="{00000000-0005-0000-0000-00009E590000}"/>
    <cellStyle name="Normal 13 2 7 2 2" xfId="22943" xr:uid="{00000000-0005-0000-0000-00009F590000}"/>
    <cellStyle name="Normal 13 2 7 2 2 2" xfId="22944" xr:uid="{00000000-0005-0000-0000-0000A0590000}"/>
    <cellStyle name="Normal 13 2 7 2 2 3" xfId="22945" xr:uid="{00000000-0005-0000-0000-0000A1590000}"/>
    <cellStyle name="Normal 13 2 7 2 3" xfId="22946" xr:uid="{00000000-0005-0000-0000-0000A2590000}"/>
    <cellStyle name="Normal 13 2 7 2 4" xfId="22947" xr:uid="{00000000-0005-0000-0000-0000A3590000}"/>
    <cellStyle name="Normal 13 2 7 3" xfId="22948" xr:uid="{00000000-0005-0000-0000-0000A4590000}"/>
    <cellStyle name="Normal 13 2 7 3 2" xfId="22949" xr:uid="{00000000-0005-0000-0000-0000A5590000}"/>
    <cellStyle name="Normal 13 2 7 3 3" xfId="22950" xr:uid="{00000000-0005-0000-0000-0000A6590000}"/>
    <cellStyle name="Normal 13 2 7 4" xfId="22951" xr:uid="{00000000-0005-0000-0000-0000A7590000}"/>
    <cellStyle name="Normal 13 2 7 5" xfId="22952" xr:uid="{00000000-0005-0000-0000-0000A8590000}"/>
    <cellStyle name="Normal 13 2 8" xfId="22953" xr:uid="{00000000-0005-0000-0000-0000A9590000}"/>
    <cellStyle name="Normal 13 2 8 2" xfId="22954" xr:uid="{00000000-0005-0000-0000-0000AA590000}"/>
    <cellStyle name="Normal 13 2 8 2 2" xfId="22955" xr:uid="{00000000-0005-0000-0000-0000AB590000}"/>
    <cellStyle name="Normal 13 2 8 2 3" xfId="22956" xr:uid="{00000000-0005-0000-0000-0000AC590000}"/>
    <cellStyle name="Normal 13 2 8 3" xfId="22957" xr:uid="{00000000-0005-0000-0000-0000AD590000}"/>
    <cellStyle name="Normal 13 2 8 4" xfId="22958" xr:uid="{00000000-0005-0000-0000-0000AE590000}"/>
    <cellStyle name="Normal 13 2 9" xfId="22959" xr:uid="{00000000-0005-0000-0000-0000AF590000}"/>
    <cellStyle name="Normal 13 2 9 2" xfId="22960" xr:uid="{00000000-0005-0000-0000-0000B0590000}"/>
    <cellStyle name="Normal 13 2 9 3" xfId="22961" xr:uid="{00000000-0005-0000-0000-0000B1590000}"/>
    <cellStyle name="Normal 13 3" xfId="22962" xr:uid="{00000000-0005-0000-0000-0000B2590000}"/>
    <cellStyle name="Normal 13 3 10" xfId="22963" xr:uid="{00000000-0005-0000-0000-0000B3590000}"/>
    <cellStyle name="Normal 13 3 11" xfId="22964" xr:uid="{00000000-0005-0000-0000-0000B4590000}"/>
    <cellStyle name="Normal 13 3 2" xfId="22965" xr:uid="{00000000-0005-0000-0000-0000B5590000}"/>
    <cellStyle name="Normal 13 3 2 10" xfId="22966" xr:uid="{00000000-0005-0000-0000-0000B6590000}"/>
    <cellStyle name="Normal 13 3 2 2" xfId="22967" xr:uid="{00000000-0005-0000-0000-0000B7590000}"/>
    <cellStyle name="Normal 13 3 2 2 2" xfId="22968" xr:uid="{00000000-0005-0000-0000-0000B8590000}"/>
    <cellStyle name="Normal 13 3 2 2 2 2" xfId="22969" xr:uid="{00000000-0005-0000-0000-0000B9590000}"/>
    <cellStyle name="Normal 13 3 2 2 2 2 2" xfId="22970" xr:uid="{00000000-0005-0000-0000-0000BA590000}"/>
    <cellStyle name="Normal 13 3 2 2 2 2 2 2" xfId="22971" xr:uid="{00000000-0005-0000-0000-0000BB590000}"/>
    <cellStyle name="Normal 13 3 2 2 2 2 2 2 2" xfId="22972" xr:uid="{00000000-0005-0000-0000-0000BC590000}"/>
    <cellStyle name="Normal 13 3 2 2 2 2 2 2 2 2" xfId="22973" xr:uid="{00000000-0005-0000-0000-0000BD590000}"/>
    <cellStyle name="Normal 13 3 2 2 2 2 2 2 2 2 2" xfId="22974" xr:uid="{00000000-0005-0000-0000-0000BE590000}"/>
    <cellStyle name="Normal 13 3 2 2 2 2 2 2 2 2 3" xfId="22975" xr:uid="{00000000-0005-0000-0000-0000BF590000}"/>
    <cellStyle name="Normal 13 3 2 2 2 2 2 2 2 3" xfId="22976" xr:uid="{00000000-0005-0000-0000-0000C0590000}"/>
    <cellStyle name="Normal 13 3 2 2 2 2 2 2 2 4" xfId="22977" xr:uid="{00000000-0005-0000-0000-0000C1590000}"/>
    <cellStyle name="Normal 13 3 2 2 2 2 2 2 3" xfId="22978" xr:uid="{00000000-0005-0000-0000-0000C2590000}"/>
    <cellStyle name="Normal 13 3 2 2 2 2 2 2 3 2" xfId="22979" xr:uid="{00000000-0005-0000-0000-0000C3590000}"/>
    <cellStyle name="Normal 13 3 2 2 2 2 2 2 3 3" xfId="22980" xr:uid="{00000000-0005-0000-0000-0000C4590000}"/>
    <cellStyle name="Normal 13 3 2 2 2 2 2 2 4" xfId="22981" xr:uid="{00000000-0005-0000-0000-0000C5590000}"/>
    <cellStyle name="Normal 13 3 2 2 2 2 2 2 5" xfId="22982" xr:uid="{00000000-0005-0000-0000-0000C6590000}"/>
    <cellStyle name="Normal 13 3 2 2 2 2 2 3" xfId="22983" xr:uid="{00000000-0005-0000-0000-0000C7590000}"/>
    <cellStyle name="Normal 13 3 2 2 2 2 2 3 2" xfId="22984" xr:uid="{00000000-0005-0000-0000-0000C8590000}"/>
    <cellStyle name="Normal 13 3 2 2 2 2 2 3 2 2" xfId="22985" xr:uid="{00000000-0005-0000-0000-0000C9590000}"/>
    <cellStyle name="Normal 13 3 2 2 2 2 2 3 2 3" xfId="22986" xr:uid="{00000000-0005-0000-0000-0000CA590000}"/>
    <cellStyle name="Normal 13 3 2 2 2 2 2 3 3" xfId="22987" xr:uid="{00000000-0005-0000-0000-0000CB590000}"/>
    <cellStyle name="Normal 13 3 2 2 2 2 2 3 4" xfId="22988" xr:uid="{00000000-0005-0000-0000-0000CC590000}"/>
    <cellStyle name="Normal 13 3 2 2 2 2 2 4" xfId="22989" xr:uid="{00000000-0005-0000-0000-0000CD590000}"/>
    <cellStyle name="Normal 13 3 2 2 2 2 2 4 2" xfId="22990" xr:uid="{00000000-0005-0000-0000-0000CE590000}"/>
    <cellStyle name="Normal 13 3 2 2 2 2 2 4 3" xfId="22991" xr:uid="{00000000-0005-0000-0000-0000CF590000}"/>
    <cellStyle name="Normal 13 3 2 2 2 2 2 5" xfId="22992" xr:uid="{00000000-0005-0000-0000-0000D0590000}"/>
    <cellStyle name="Normal 13 3 2 2 2 2 2 6" xfId="22993" xr:uid="{00000000-0005-0000-0000-0000D1590000}"/>
    <cellStyle name="Normal 13 3 2 2 2 2 3" xfId="22994" xr:uid="{00000000-0005-0000-0000-0000D2590000}"/>
    <cellStyle name="Normal 13 3 2 2 2 2 3 2" xfId="22995" xr:uid="{00000000-0005-0000-0000-0000D3590000}"/>
    <cellStyle name="Normal 13 3 2 2 2 2 3 2 2" xfId="22996" xr:uid="{00000000-0005-0000-0000-0000D4590000}"/>
    <cellStyle name="Normal 13 3 2 2 2 2 3 2 2 2" xfId="22997" xr:uid="{00000000-0005-0000-0000-0000D5590000}"/>
    <cellStyle name="Normal 13 3 2 2 2 2 3 2 2 3" xfId="22998" xr:uid="{00000000-0005-0000-0000-0000D6590000}"/>
    <cellStyle name="Normal 13 3 2 2 2 2 3 2 3" xfId="22999" xr:uid="{00000000-0005-0000-0000-0000D7590000}"/>
    <cellStyle name="Normal 13 3 2 2 2 2 3 2 4" xfId="23000" xr:uid="{00000000-0005-0000-0000-0000D8590000}"/>
    <cellStyle name="Normal 13 3 2 2 2 2 3 3" xfId="23001" xr:uid="{00000000-0005-0000-0000-0000D9590000}"/>
    <cellStyle name="Normal 13 3 2 2 2 2 3 3 2" xfId="23002" xr:uid="{00000000-0005-0000-0000-0000DA590000}"/>
    <cellStyle name="Normal 13 3 2 2 2 2 3 3 3" xfId="23003" xr:uid="{00000000-0005-0000-0000-0000DB590000}"/>
    <cellStyle name="Normal 13 3 2 2 2 2 3 4" xfId="23004" xr:uid="{00000000-0005-0000-0000-0000DC590000}"/>
    <cellStyle name="Normal 13 3 2 2 2 2 3 5" xfId="23005" xr:uid="{00000000-0005-0000-0000-0000DD590000}"/>
    <cellStyle name="Normal 13 3 2 2 2 2 4" xfId="23006" xr:uid="{00000000-0005-0000-0000-0000DE590000}"/>
    <cellStyle name="Normal 13 3 2 2 2 2 4 2" xfId="23007" xr:uid="{00000000-0005-0000-0000-0000DF590000}"/>
    <cellStyle name="Normal 13 3 2 2 2 2 4 2 2" xfId="23008" xr:uid="{00000000-0005-0000-0000-0000E0590000}"/>
    <cellStyle name="Normal 13 3 2 2 2 2 4 2 3" xfId="23009" xr:uid="{00000000-0005-0000-0000-0000E1590000}"/>
    <cellStyle name="Normal 13 3 2 2 2 2 4 3" xfId="23010" xr:uid="{00000000-0005-0000-0000-0000E2590000}"/>
    <cellStyle name="Normal 13 3 2 2 2 2 4 4" xfId="23011" xr:uid="{00000000-0005-0000-0000-0000E3590000}"/>
    <cellStyle name="Normal 13 3 2 2 2 2 5" xfId="23012" xr:uid="{00000000-0005-0000-0000-0000E4590000}"/>
    <cellStyle name="Normal 13 3 2 2 2 2 5 2" xfId="23013" xr:uid="{00000000-0005-0000-0000-0000E5590000}"/>
    <cellStyle name="Normal 13 3 2 2 2 2 5 3" xfId="23014" xr:uid="{00000000-0005-0000-0000-0000E6590000}"/>
    <cellStyle name="Normal 13 3 2 2 2 2 6" xfId="23015" xr:uid="{00000000-0005-0000-0000-0000E7590000}"/>
    <cellStyle name="Normal 13 3 2 2 2 2 7" xfId="23016" xr:uid="{00000000-0005-0000-0000-0000E8590000}"/>
    <cellStyle name="Normal 13 3 2 2 2 3" xfId="23017" xr:uid="{00000000-0005-0000-0000-0000E9590000}"/>
    <cellStyle name="Normal 13 3 2 2 2 3 2" xfId="23018" xr:uid="{00000000-0005-0000-0000-0000EA590000}"/>
    <cellStyle name="Normal 13 3 2 2 2 3 2 2" xfId="23019" xr:uid="{00000000-0005-0000-0000-0000EB590000}"/>
    <cellStyle name="Normal 13 3 2 2 2 3 2 2 2" xfId="23020" xr:uid="{00000000-0005-0000-0000-0000EC590000}"/>
    <cellStyle name="Normal 13 3 2 2 2 3 2 2 2 2" xfId="23021" xr:uid="{00000000-0005-0000-0000-0000ED590000}"/>
    <cellStyle name="Normal 13 3 2 2 2 3 2 2 2 3" xfId="23022" xr:uid="{00000000-0005-0000-0000-0000EE590000}"/>
    <cellStyle name="Normal 13 3 2 2 2 3 2 2 3" xfId="23023" xr:uid="{00000000-0005-0000-0000-0000EF590000}"/>
    <cellStyle name="Normal 13 3 2 2 2 3 2 2 4" xfId="23024" xr:uid="{00000000-0005-0000-0000-0000F0590000}"/>
    <cellStyle name="Normal 13 3 2 2 2 3 2 3" xfId="23025" xr:uid="{00000000-0005-0000-0000-0000F1590000}"/>
    <cellStyle name="Normal 13 3 2 2 2 3 2 3 2" xfId="23026" xr:uid="{00000000-0005-0000-0000-0000F2590000}"/>
    <cellStyle name="Normal 13 3 2 2 2 3 2 3 3" xfId="23027" xr:uid="{00000000-0005-0000-0000-0000F3590000}"/>
    <cellStyle name="Normal 13 3 2 2 2 3 2 4" xfId="23028" xr:uid="{00000000-0005-0000-0000-0000F4590000}"/>
    <cellStyle name="Normal 13 3 2 2 2 3 2 5" xfId="23029" xr:uid="{00000000-0005-0000-0000-0000F5590000}"/>
    <cellStyle name="Normal 13 3 2 2 2 3 3" xfId="23030" xr:uid="{00000000-0005-0000-0000-0000F6590000}"/>
    <cellStyle name="Normal 13 3 2 2 2 3 3 2" xfId="23031" xr:uid="{00000000-0005-0000-0000-0000F7590000}"/>
    <cellStyle name="Normal 13 3 2 2 2 3 3 2 2" xfId="23032" xr:uid="{00000000-0005-0000-0000-0000F8590000}"/>
    <cellStyle name="Normal 13 3 2 2 2 3 3 2 3" xfId="23033" xr:uid="{00000000-0005-0000-0000-0000F9590000}"/>
    <cellStyle name="Normal 13 3 2 2 2 3 3 3" xfId="23034" xr:uid="{00000000-0005-0000-0000-0000FA590000}"/>
    <cellStyle name="Normal 13 3 2 2 2 3 3 4" xfId="23035" xr:uid="{00000000-0005-0000-0000-0000FB590000}"/>
    <cellStyle name="Normal 13 3 2 2 2 3 4" xfId="23036" xr:uid="{00000000-0005-0000-0000-0000FC590000}"/>
    <cellStyle name="Normal 13 3 2 2 2 3 4 2" xfId="23037" xr:uid="{00000000-0005-0000-0000-0000FD590000}"/>
    <cellStyle name="Normal 13 3 2 2 2 3 4 3" xfId="23038" xr:uid="{00000000-0005-0000-0000-0000FE590000}"/>
    <cellStyle name="Normal 13 3 2 2 2 3 5" xfId="23039" xr:uid="{00000000-0005-0000-0000-0000FF590000}"/>
    <cellStyle name="Normal 13 3 2 2 2 3 6" xfId="23040" xr:uid="{00000000-0005-0000-0000-0000005A0000}"/>
    <cellStyle name="Normal 13 3 2 2 2 4" xfId="23041" xr:uid="{00000000-0005-0000-0000-0000015A0000}"/>
    <cellStyle name="Normal 13 3 2 2 2 4 2" xfId="23042" xr:uid="{00000000-0005-0000-0000-0000025A0000}"/>
    <cellStyle name="Normal 13 3 2 2 2 4 2 2" xfId="23043" xr:uid="{00000000-0005-0000-0000-0000035A0000}"/>
    <cellStyle name="Normal 13 3 2 2 2 4 2 2 2" xfId="23044" xr:uid="{00000000-0005-0000-0000-0000045A0000}"/>
    <cellStyle name="Normal 13 3 2 2 2 4 2 2 3" xfId="23045" xr:uid="{00000000-0005-0000-0000-0000055A0000}"/>
    <cellStyle name="Normal 13 3 2 2 2 4 2 3" xfId="23046" xr:uid="{00000000-0005-0000-0000-0000065A0000}"/>
    <cellStyle name="Normal 13 3 2 2 2 4 2 4" xfId="23047" xr:uid="{00000000-0005-0000-0000-0000075A0000}"/>
    <cellStyle name="Normal 13 3 2 2 2 4 3" xfId="23048" xr:uid="{00000000-0005-0000-0000-0000085A0000}"/>
    <cellStyle name="Normal 13 3 2 2 2 4 3 2" xfId="23049" xr:uid="{00000000-0005-0000-0000-0000095A0000}"/>
    <cellStyle name="Normal 13 3 2 2 2 4 3 3" xfId="23050" xr:uid="{00000000-0005-0000-0000-00000A5A0000}"/>
    <cellStyle name="Normal 13 3 2 2 2 4 4" xfId="23051" xr:uid="{00000000-0005-0000-0000-00000B5A0000}"/>
    <cellStyle name="Normal 13 3 2 2 2 4 5" xfId="23052" xr:uid="{00000000-0005-0000-0000-00000C5A0000}"/>
    <cellStyle name="Normal 13 3 2 2 2 5" xfId="23053" xr:uid="{00000000-0005-0000-0000-00000D5A0000}"/>
    <cellStyle name="Normal 13 3 2 2 2 5 2" xfId="23054" xr:uid="{00000000-0005-0000-0000-00000E5A0000}"/>
    <cellStyle name="Normal 13 3 2 2 2 5 2 2" xfId="23055" xr:uid="{00000000-0005-0000-0000-00000F5A0000}"/>
    <cellStyle name="Normal 13 3 2 2 2 5 2 3" xfId="23056" xr:uid="{00000000-0005-0000-0000-0000105A0000}"/>
    <cellStyle name="Normal 13 3 2 2 2 5 3" xfId="23057" xr:uid="{00000000-0005-0000-0000-0000115A0000}"/>
    <cellStyle name="Normal 13 3 2 2 2 5 4" xfId="23058" xr:uid="{00000000-0005-0000-0000-0000125A0000}"/>
    <cellStyle name="Normal 13 3 2 2 2 6" xfId="23059" xr:uid="{00000000-0005-0000-0000-0000135A0000}"/>
    <cellStyle name="Normal 13 3 2 2 2 6 2" xfId="23060" xr:uid="{00000000-0005-0000-0000-0000145A0000}"/>
    <cellStyle name="Normal 13 3 2 2 2 6 3" xfId="23061" xr:uid="{00000000-0005-0000-0000-0000155A0000}"/>
    <cellStyle name="Normal 13 3 2 2 2 7" xfId="23062" xr:uid="{00000000-0005-0000-0000-0000165A0000}"/>
    <cellStyle name="Normal 13 3 2 2 2 8" xfId="23063" xr:uid="{00000000-0005-0000-0000-0000175A0000}"/>
    <cellStyle name="Normal 13 3 2 2 3" xfId="23064" xr:uid="{00000000-0005-0000-0000-0000185A0000}"/>
    <cellStyle name="Normal 13 3 2 2 3 2" xfId="23065" xr:uid="{00000000-0005-0000-0000-0000195A0000}"/>
    <cellStyle name="Normal 13 3 2 2 3 2 2" xfId="23066" xr:uid="{00000000-0005-0000-0000-00001A5A0000}"/>
    <cellStyle name="Normal 13 3 2 2 3 2 2 2" xfId="23067" xr:uid="{00000000-0005-0000-0000-00001B5A0000}"/>
    <cellStyle name="Normal 13 3 2 2 3 2 2 2 2" xfId="23068" xr:uid="{00000000-0005-0000-0000-00001C5A0000}"/>
    <cellStyle name="Normal 13 3 2 2 3 2 2 2 2 2" xfId="23069" xr:uid="{00000000-0005-0000-0000-00001D5A0000}"/>
    <cellStyle name="Normal 13 3 2 2 3 2 2 2 2 3" xfId="23070" xr:uid="{00000000-0005-0000-0000-00001E5A0000}"/>
    <cellStyle name="Normal 13 3 2 2 3 2 2 2 3" xfId="23071" xr:uid="{00000000-0005-0000-0000-00001F5A0000}"/>
    <cellStyle name="Normal 13 3 2 2 3 2 2 2 4" xfId="23072" xr:uid="{00000000-0005-0000-0000-0000205A0000}"/>
    <cellStyle name="Normal 13 3 2 2 3 2 2 3" xfId="23073" xr:uid="{00000000-0005-0000-0000-0000215A0000}"/>
    <cellStyle name="Normal 13 3 2 2 3 2 2 3 2" xfId="23074" xr:uid="{00000000-0005-0000-0000-0000225A0000}"/>
    <cellStyle name="Normal 13 3 2 2 3 2 2 3 3" xfId="23075" xr:uid="{00000000-0005-0000-0000-0000235A0000}"/>
    <cellStyle name="Normal 13 3 2 2 3 2 2 4" xfId="23076" xr:uid="{00000000-0005-0000-0000-0000245A0000}"/>
    <cellStyle name="Normal 13 3 2 2 3 2 2 5" xfId="23077" xr:uid="{00000000-0005-0000-0000-0000255A0000}"/>
    <cellStyle name="Normal 13 3 2 2 3 2 3" xfId="23078" xr:uid="{00000000-0005-0000-0000-0000265A0000}"/>
    <cellStyle name="Normal 13 3 2 2 3 2 3 2" xfId="23079" xr:uid="{00000000-0005-0000-0000-0000275A0000}"/>
    <cellStyle name="Normal 13 3 2 2 3 2 3 2 2" xfId="23080" xr:uid="{00000000-0005-0000-0000-0000285A0000}"/>
    <cellStyle name="Normal 13 3 2 2 3 2 3 2 3" xfId="23081" xr:uid="{00000000-0005-0000-0000-0000295A0000}"/>
    <cellStyle name="Normal 13 3 2 2 3 2 3 3" xfId="23082" xr:uid="{00000000-0005-0000-0000-00002A5A0000}"/>
    <cellStyle name="Normal 13 3 2 2 3 2 3 4" xfId="23083" xr:uid="{00000000-0005-0000-0000-00002B5A0000}"/>
    <cellStyle name="Normal 13 3 2 2 3 2 4" xfId="23084" xr:uid="{00000000-0005-0000-0000-00002C5A0000}"/>
    <cellStyle name="Normal 13 3 2 2 3 2 4 2" xfId="23085" xr:uid="{00000000-0005-0000-0000-00002D5A0000}"/>
    <cellStyle name="Normal 13 3 2 2 3 2 4 3" xfId="23086" xr:uid="{00000000-0005-0000-0000-00002E5A0000}"/>
    <cellStyle name="Normal 13 3 2 2 3 2 5" xfId="23087" xr:uid="{00000000-0005-0000-0000-00002F5A0000}"/>
    <cellStyle name="Normal 13 3 2 2 3 2 6" xfId="23088" xr:uid="{00000000-0005-0000-0000-0000305A0000}"/>
    <cellStyle name="Normal 13 3 2 2 3 3" xfId="23089" xr:uid="{00000000-0005-0000-0000-0000315A0000}"/>
    <cellStyle name="Normal 13 3 2 2 3 3 2" xfId="23090" xr:uid="{00000000-0005-0000-0000-0000325A0000}"/>
    <cellStyle name="Normal 13 3 2 2 3 3 2 2" xfId="23091" xr:uid="{00000000-0005-0000-0000-0000335A0000}"/>
    <cellStyle name="Normal 13 3 2 2 3 3 2 2 2" xfId="23092" xr:uid="{00000000-0005-0000-0000-0000345A0000}"/>
    <cellStyle name="Normal 13 3 2 2 3 3 2 2 3" xfId="23093" xr:uid="{00000000-0005-0000-0000-0000355A0000}"/>
    <cellStyle name="Normal 13 3 2 2 3 3 2 3" xfId="23094" xr:uid="{00000000-0005-0000-0000-0000365A0000}"/>
    <cellStyle name="Normal 13 3 2 2 3 3 2 4" xfId="23095" xr:uid="{00000000-0005-0000-0000-0000375A0000}"/>
    <cellStyle name="Normal 13 3 2 2 3 3 3" xfId="23096" xr:uid="{00000000-0005-0000-0000-0000385A0000}"/>
    <cellStyle name="Normal 13 3 2 2 3 3 3 2" xfId="23097" xr:uid="{00000000-0005-0000-0000-0000395A0000}"/>
    <cellStyle name="Normal 13 3 2 2 3 3 3 3" xfId="23098" xr:uid="{00000000-0005-0000-0000-00003A5A0000}"/>
    <cellStyle name="Normal 13 3 2 2 3 3 4" xfId="23099" xr:uid="{00000000-0005-0000-0000-00003B5A0000}"/>
    <cellStyle name="Normal 13 3 2 2 3 3 5" xfId="23100" xr:uid="{00000000-0005-0000-0000-00003C5A0000}"/>
    <cellStyle name="Normal 13 3 2 2 3 4" xfId="23101" xr:uid="{00000000-0005-0000-0000-00003D5A0000}"/>
    <cellStyle name="Normal 13 3 2 2 3 4 2" xfId="23102" xr:uid="{00000000-0005-0000-0000-00003E5A0000}"/>
    <cellStyle name="Normal 13 3 2 2 3 4 2 2" xfId="23103" xr:uid="{00000000-0005-0000-0000-00003F5A0000}"/>
    <cellStyle name="Normal 13 3 2 2 3 4 2 3" xfId="23104" xr:uid="{00000000-0005-0000-0000-0000405A0000}"/>
    <cellStyle name="Normal 13 3 2 2 3 4 3" xfId="23105" xr:uid="{00000000-0005-0000-0000-0000415A0000}"/>
    <cellStyle name="Normal 13 3 2 2 3 4 4" xfId="23106" xr:uid="{00000000-0005-0000-0000-0000425A0000}"/>
    <cellStyle name="Normal 13 3 2 2 3 5" xfId="23107" xr:uid="{00000000-0005-0000-0000-0000435A0000}"/>
    <cellStyle name="Normal 13 3 2 2 3 5 2" xfId="23108" xr:uid="{00000000-0005-0000-0000-0000445A0000}"/>
    <cellStyle name="Normal 13 3 2 2 3 5 3" xfId="23109" xr:uid="{00000000-0005-0000-0000-0000455A0000}"/>
    <cellStyle name="Normal 13 3 2 2 3 6" xfId="23110" xr:uid="{00000000-0005-0000-0000-0000465A0000}"/>
    <cellStyle name="Normal 13 3 2 2 3 7" xfId="23111" xr:uid="{00000000-0005-0000-0000-0000475A0000}"/>
    <cellStyle name="Normal 13 3 2 2 4" xfId="23112" xr:uid="{00000000-0005-0000-0000-0000485A0000}"/>
    <cellStyle name="Normal 13 3 2 2 4 2" xfId="23113" xr:uid="{00000000-0005-0000-0000-0000495A0000}"/>
    <cellStyle name="Normal 13 3 2 2 4 2 2" xfId="23114" xr:uid="{00000000-0005-0000-0000-00004A5A0000}"/>
    <cellStyle name="Normal 13 3 2 2 4 2 2 2" xfId="23115" xr:uid="{00000000-0005-0000-0000-00004B5A0000}"/>
    <cellStyle name="Normal 13 3 2 2 4 2 2 2 2" xfId="23116" xr:uid="{00000000-0005-0000-0000-00004C5A0000}"/>
    <cellStyle name="Normal 13 3 2 2 4 2 2 2 3" xfId="23117" xr:uid="{00000000-0005-0000-0000-00004D5A0000}"/>
    <cellStyle name="Normal 13 3 2 2 4 2 2 3" xfId="23118" xr:uid="{00000000-0005-0000-0000-00004E5A0000}"/>
    <cellStyle name="Normal 13 3 2 2 4 2 2 4" xfId="23119" xr:uid="{00000000-0005-0000-0000-00004F5A0000}"/>
    <cellStyle name="Normal 13 3 2 2 4 2 3" xfId="23120" xr:uid="{00000000-0005-0000-0000-0000505A0000}"/>
    <cellStyle name="Normal 13 3 2 2 4 2 3 2" xfId="23121" xr:uid="{00000000-0005-0000-0000-0000515A0000}"/>
    <cellStyle name="Normal 13 3 2 2 4 2 3 3" xfId="23122" xr:uid="{00000000-0005-0000-0000-0000525A0000}"/>
    <cellStyle name="Normal 13 3 2 2 4 2 4" xfId="23123" xr:uid="{00000000-0005-0000-0000-0000535A0000}"/>
    <cellStyle name="Normal 13 3 2 2 4 2 5" xfId="23124" xr:uid="{00000000-0005-0000-0000-0000545A0000}"/>
    <cellStyle name="Normal 13 3 2 2 4 3" xfId="23125" xr:uid="{00000000-0005-0000-0000-0000555A0000}"/>
    <cellStyle name="Normal 13 3 2 2 4 3 2" xfId="23126" xr:uid="{00000000-0005-0000-0000-0000565A0000}"/>
    <cellStyle name="Normal 13 3 2 2 4 3 2 2" xfId="23127" xr:uid="{00000000-0005-0000-0000-0000575A0000}"/>
    <cellStyle name="Normal 13 3 2 2 4 3 2 3" xfId="23128" xr:uid="{00000000-0005-0000-0000-0000585A0000}"/>
    <cellStyle name="Normal 13 3 2 2 4 3 3" xfId="23129" xr:uid="{00000000-0005-0000-0000-0000595A0000}"/>
    <cellStyle name="Normal 13 3 2 2 4 3 4" xfId="23130" xr:uid="{00000000-0005-0000-0000-00005A5A0000}"/>
    <cellStyle name="Normal 13 3 2 2 4 4" xfId="23131" xr:uid="{00000000-0005-0000-0000-00005B5A0000}"/>
    <cellStyle name="Normal 13 3 2 2 4 4 2" xfId="23132" xr:uid="{00000000-0005-0000-0000-00005C5A0000}"/>
    <cellStyle name="Normal 13 3 2 2 4 4 3" xfId="23133" xr:uid="{00000000-0005-0000-0000-00005D5A0000}"/>
    <cellStyle name="Normal 13 3 2 2 4 5" xfId="23134" xr:uid="{00000000-0005-0000-0000-00005E5A0000}"/>
    <cellStyle name="Normal 13 3 2 2 4 6" xfId="23135" xr:uid="{00000000-0005-0000-0000-00005F5A0000}"/>
    <cellStyle name="Normal 13 3 2 2 5" xfId="23136" xr:uid="{00000000-0005-0000-0000-0000605A0000}"/>
    <cellStyle name="Normal 13 3 2 2 5 2" xfId="23137" xr:uid="{00000000-0005-0000-0000-0000615A0000}"/>
    <cellStyle name="Normal 13 3 2 2 5 2 2" xfId="23138" xr:uid="{00000000-0005-0000-0000-0000625A0000}"/>
    <cellStyle name="Normal 13 3 2 2 5 2 2 2" xfId="23139" xr:uid="{00000000-0005-0000-0000-0000635A0000}"/>
    <cellStyle name="Normal 13 3 2 2 5 2 2 3" xfId="23140" xr:uid="{00000000-0005-0000-0000-0000645A0000}"/>
    <cellStyle name="Normal 13 3 2 2 5 2 3" xfId="23141" xr:uid="{00000000-0005-0000-0000-0000655A0000}"/>
    <cellStyle name="Normal 13 3 2 2 5 2 4" xfId="23142" xr:uid="{00000000-0005-0000-0000-0000665A0000}"/>
    <cellStyle name="Normal 13 3 2 2 5 3" xfId="23143" xr:uid="{00000000-0005-0000-0000-0000675A0000}"/>
    <cellStyle name="Normal 13 3 2 2 5 3 2" xfId="23144" xr:uid="{00000000-0005-0000-0000-0000685A0000}"/>
    <cellStyle name="Normal 13 3 2 2 5 3 3" xfId="23145" xr:uid="{00000000-0005-0000-0000-0000695A0000}"/>
    <cellStyle name="Normal 13 3 2 2 5 4" xfId="23146" xr:uid="{00000000-0005-0000-0000-00006A5A0000}"/>
    <cellStyle name="Normal 13 3 2 2 5 5" xfId="23147" xr:uid="{00000000-0005-0000-0000-00006B5A0000}"/>
    <cellStyle name="Normal 13 3 2 2 6" xfId="23148" xr:uid="{00000000-0005-0000-0000-00006C5A0000}"/>
    <cellStyle name="Normal 13 3 2 2 6 2" xfId="23149" xr:uid="{00000000-0005-0000-0000-00006D5A0000}"/>
    <cellStyle name="Normal 13 3 2 2 6 2 2" xfId="23150" xr:uid="{00000000-0005-0000-0000-00006E5A0000}"/>
    <cellStyle name="Normal 13 3 2 2 6 2 3" xfId="23151" xr:uid="{00000000-0005-0000-0000-00006F5A0000}"/>
    <cellStyle name="Normal 13 3 2 2 6 3" xfId="23152" xr:uid="{00000000-0005-0000-0000-0000705A0000}"/>
    <cellStyle name="Normal 13 3 2 2 6 4" xfId="23153" xr:uid="{00000000-0005-0000-0000-0000715A0000}"/>
    <cellStyle name="Normal 13 3 2 2 7" xfId="23154" xr:uid="{00000000-0005-0000-0000-0000725A0000}"/>
    <cellStyle name="Normal 13 3 2 2 7 2" xfId="23155" xr:uid="{00000000-0005-0000-0000-0000735A0000}"/>
    <cellStyle name="Normal 13 3 2 2 7 3" xfId="23156" xr:uid="{00000000-0005-0000-0000-0000745A0000}"/>
    <cellStyle name="Normal 13 3 2 2 8" xfId="23157" xr:uid="{00000000-0005-0000-0000-0000755A0000}"/>
    <cellStyle name="Normal 13 3 2 2 9" xfId="23158" xr:uid="{00000000-0005-0000-0000-0000765A0000}"/>
    <cellStyle name="Normal 13 3 2 3" xfId="23159" xr:uid="{00000000-0005-0000-0000-0000775A0000}"/>
    <cellStyle name="Normal 13 3 2 3 2" xfId="23160" xr:uid="{00000000-0005-0000-0000-0000785A0000}"/>
    <cellStyle name="Normal 13 3 2 3 2 2" xfId="23161" xr:uid="{00000000-0005-0000-0000-0000795A0000}"/>
    <cellStyle name="Normal 13 3 2 3 2 2 2" xfId="23162" xr:uid="{00000000-0005-0000-0000-00007A5A0000}"/>
    <cellStyle name="Normal 13 3 2 3 2 2 2 2" xfId="23163" xr:uid="{00000000-0005-0000-0000-00007B5A0000}"/>
    <cellStyle name="Normal 13 3 2 3 2 2 2 2 2" xfId="23164" xr:uid="{00000000-0005-0000-0000-00007C5A0000}"/>
    <cellStyle name="Normal 13 3 2 3 2 2 2 2 2 2" xfId="23165" xr:uid="{00000000-0005-0000-0000-00007D5A0000}"/>
    <cellStyle name="Normal 13 3 2 3 2 2 2 2 2 3" xfId="23166" xr:uid="{00000000-0005-0000-0000-00007E5A0000}"/>
    <cellStyle name="Normal 13 3 2 3 2 2 2 2 3" xfId="23167" xr:uid="{00000000-0005-0000-0000-00007F5A0000}"/>
    <cellStyle name="Normal 13 3 2 3 2 2 2 2 4" xfId="23168" xr:uid="{00000000-0005-0000-0000-0000805A0000}"/>
    <cellStyle name="Normal 13 3 2 3 2 2 2 3" xfId="23169" xr:uid="{00000000-0005-0000-0000-0000815A0000}"/>
    <cellStyle name="Normal 13 3 2 3 2 2 2 3 2" xfId="23170" xr:uid="{00000000-0005-0000-0000-0000825A0000}"/>
    <cellStyle name="Normal 13 3 2 3 2 2 2 3 3" xfId="23171" xr:uid="{00000000-0005-0000-0000-0000835A0000}"/>
    <cellStyle name="Normal 13 3 2 3 2 2 2 4" xfId="23172" xr:uid="{00000000-0005-0000-0000-0000845A0000}"/>
    <cellStyle name="Normal 13 3 2 3 2 2 2 5" xfId="23173" xr:uid="{00000000-0005-0000-0000-0000855A0000}"/>
    <cellStyle name="Normal 13 3 2 3 2 2 3" xfId="23174" xr:uid="{00000000-0005-0000-0000-0000865A0000}"/>
    <cellStyle name="Normal 13 3 2 3 2 2 3 2" xfId="23175" xr:uid="{00000000-0005-0000-0000-0000875A0000}"/>
    <cellStyle name="Normal 13 3 2 3 2 2 3 2 2" xfId="23176" xr:uid="{00000000-0005-0000-0000-0000885A0000}"/>
    <cellStyle name="Normal 13 3 2 3 2 2 3 2 3" xfId="23177" xr:uid="{00000000-0005-0000-0000-0000895A0000}"/>
    <cellStyle name="Normal 13 3 2 3 2 2 3 3" xfId="23178" xr:uid="{00000000-0005-0000-0000-00008A5A0000}"/>
    <cellStyle name="Normal 13 3 2 3 2 2 3 4" xfId="23179" xr:uid="{00000000-0005-0000-0000-00008B5A0000}"/>
    <cellStyle name="Normal 13 3 2 3 2 2 4" xfId="23180" xr:uid="{00000000-0005-0000-0000-00008C5A0000}"/>
    <cellStyle name="Normal 13 3 2 3 2 2 4 2" xfId="23181" xr:uid="{00000000-0005-0000-0000-00008D5A0000}"/>
    <cellStyle name="Normal 13 3 2 3 2 2 4 3" xfId="23182" xr:uid="{00000000-0005-0000-0000-00008E5A0000}"/>
    <cellStyle name="Normal 13 3 2 3 2 2 5" xfId="23183" xr:uid="{00000000-0005-0000-0000-00008F5A0000}"/>
    <cellStyle name="Normal 13 3 2 3 2 2 6" xfId="23184" xr:uid="{00000000-0005-0000-0000-0000905A0000}"/>
    <cellStyle name="Normal 13 3 2 3 2 3" xfId="23185" xr:uid="{00000000-0005-0000-0000-0000915A0000}"/>
    <cellStyle name="Normal 13 3 2 3 2 3 2" xfId="23186" xr:uid="{00000000-0005-0000-0000-0000925A0000}"/>
    <cellStyle name="Normal 13 3 2 3 2 3 2 2" xfId="23187" xr:uid="{00000000-0005-0000-0000-0000935A0000}"/>
    <cellStyle name="Normal 13 3 2 3 2 3 2 2 2" xfId="23188" xr:uid="{00000000-0005-0000-0000-0000945A0000}"/>
    <cellStyle name="Normal 13 3 2 3 2 3 2 2 3" xfId="23189" xr:uid="{00000000-0005-0000-0000-0000955A0000}"/>
    <cellStyle name="Normal 13 3 2 3 2 3 2 3" xfId="23190" xr:uid="{00000000-0005-0000-0000-0000965A0000}"/>
    <cellStyle name="Normal 13 3 2 3 2 3 2 4" xfId="23191" xr:uid="{00000000-0005-0000-0000-0000975A0000}"/>
    <cellStyle name="Normal 13 3 2 3 2 3 3" xfId="23192" xr:uid="{00000000-0005-0000-0000-0000985A0000}"/>
    <cellStyle name="Normal 13 3 2 3 2 3 3 2" xfId="23193" xr:uid="{00000000-0005-0000-0000-0000995A0000}"/>
    <cellStyle name="Normal 13 3 2 3 2 3 3 3" xfId="23194" xr:uid="{00000000-0005-0000-0000-00009A5A0000}"/>
    <cellStyle name="Normal 13 3 2 3 2 3 4" xfId="23195" xr:uid="{00000000-0005-0000-0000-00009B5A0000}"/>
    <cellStyle name="Normal 13 3 2 3 2 3 5" xfId="23196" xr:uid="{00000000-0005-0000-0000-00009C5A0000}"/>
    <cellStyle name="Normal 13 3 2 3 2 4" xfId="23197" xr:uid="{00000000-0005-0000-0000-00009D5A0000}"/>
    <cellStyle name="Normal 13 3 2 3 2 4 2" xfId="23198" xr:uid="{00000000-0005-0000-0000-00009E5A0000}"/>
    <cellStyle name="Normal 13 3 2 3 2 4 2 2" xfId="23199" xr:uid="{00000000-0005-0000-0000-00009F5A0000}"/>
    <cellStyle name="Normal 13 3 2 3 2 4 2 3" xfId="23200" xr:uid="{00000000-0005-0000-0000-0000A05A0000}"/>
    <cellStyle name="Normal 13 3 2 3 2 4 3" xfId="23201" xr:uid="{00000000-0005-0000-0000-0000A15A0000}"/>
    <cellStyle name="Normal 13 3 2 3 2 4 4" xfId="23202" xr:uid="{00000000-0005-0000-0000-0000A25A0000}"/>
    <cellStyle name="Normal 13 3 2 3 2 5" xfId="23203" xr:uid="{00000000-0005-0000-0000-0000A35A0000}"/>
    <cellStyle name="Normal 13 3 2 3 2 5 2" xfId="23204" xr:uid="{00000000-0005-0000-0000-0000A45A0000}"/>
    <cellStyle name="Normal 13 3 2 3 2 5 3" xfId="23205" xr:uid="{00000000-0005-0000-0000-0000A55A0000}"/>
    <cellStyle name="Normal 13 3 2 3 2 6" xfId="23206" xr:uid="{00000000-0005-0000-0000-0000A65A0000}"/>
    <cellStyle name="Normal 13 3 2 3 2 7" xfId="23207" xr:uid="{00000000-0005-0000-0000-0000A75A0000}"/>
    <cellStyle name="Normal 13 3 2 3 3" xfId="23208" xr:uid="{00000000-0005-0000-0000-0000A85A0000}"/>
    <cellStyle name="Normal 13 3 2 3 3 2" xfId="23209" xr:uid="{00000000-0005-0000-0000-0000A95A0000}"/>
    <cellStyle name="Normal 13 3 2 3 3 2 2" xfId="23210" xr:uid="{00000000-0005-0000-0000-0000AA5A0000}"/>
    <cellStyle name="Normal 13 3 2 3 3 2 2 2" xfId="23211" xr:uid="{00000000-0005-0000-0000-0000AB5A0000}"/>
    <cellStyle name="Normal 13 3 2 3 3 2 2 2 2" xfId="23212" xr:uid="{00000000-0005-0000-0000-0000AC5A0000}"/>
    <cellStyle name="Normal 13 3 2 3 3 2 2 2 3" xfId="23213" xr:uid="{00000000-0005-0000-0000-0000AD5A0000}"/>
    <cellStyle name="Normal 13 3 2 3 3 2 2 3" xfId="23214" xr:uid="{00000000-0005-0000-0000-0000AE5A0000}"/>
    <cellStyle name="Normal 13 3 2 3 3 2 2 4" xfId="23215" xr:uid="{00000000-0005-0000-0000-0000AF5A0000}"/>
    <cellStyle name="Normal 13 3 2 3 3 2 3" xfId="23216" xr:uid="{00000000-0005-0000-0000-0000B05A0000}"/>
    <cellStyle name="Normal 13 3 2 3 3 2 3 2" xfId="23217" xr:uid="{00000000-0005-0000-0000-0000B15A0000}"/>
    <cellStyle name="Normal 13 3 2 3 3 2 3 3" xfId="23218" xr:uid="{00000000-0005-0000-0000-0000B25A0000}"/>
    <cellStyle name="Normal 13 3 2 3 3 2 4" xfId="23219" xr:uid="{00000000-0005-0000-0000-0000B35A0000}"/>
    <cellStyle name="Normal 13 3 2 3 3 2 5" xfId="23220" xr:uid="{00000000-0005-0000-0000-0000B45A0000}"/>
    <cellStyle name="Normal 13 3 2 3 3 3" xfId="23221" xr:uid="{00000000-0005-0000-0000-0000B55A0000}"/>
    <cellStyle name="Normal 13 3 2 3 3 3 2" xfId="23222" xr:uid="{00000000-0005-0000-0000-0000B65A0000}"/>
    <cellStyle name="Normal 13 3 2 3 3 3 2 2" xfId="23223" xr:uid="{00000000-0005-0000-0000-0000B75A0000}"/>
    <cellStyle name="Normal 13 3 2 3 3 3 2 3" xfId="23224" xr:uid="{00000000-0005-0000-0000-0000B85A0000}"/>
    <cellStyle name="Normal 13 3 2 3 3 3 3" xfId="23225" xr:uid="{00000000-0005-0000-0000-0000B95A0000}"/>
    <cellStyle name="Normal 13 3 2 3 3 3 4" xfId="23226" xr:uid="{00000000-0005-0000-0000-0000BA5A0000}"/>
    <cellStyle name="Normal 13 3 2 3 3 4" xfId="23227" xr:uid="{00000000-0005-0000-0000-0000BB5A0000}"/>
    <cellStyle name="Normal 13 3 2 3 3 4 2" xfId="23228" xr:uid="{00000000-0005-0000-0000-0000BC5A0000}"/>
    <cellStyle name="Normal 13 3 2 3 3 4 3" xfId="23229" xr:uid="{00000000-0005-0000-0000-0000BD5A0000}"/>
    <cellStyle name="Normal 13 3 2 3 3 5" xfId="23230" xr:uid="{00000000-0005-0000-0000-0000BE5A0000}"/>
    <cellStyle name="Normal 13 3 2 3 3 6" xfId="23231" xr:uid="{00000000-0005-0000-0000-0000BF5A0000}"/>
    <cellStyle name="Normal 13 3 2 3 4" xfId="23232" xr:uid="{00000000-0005-0000-0000-0000C05A0000}"/>
    <cellStyle name="Normal 13 3 2 3 4 2" xfId="23233" xr:uid="{00000000-0005-0000-0000-0000C15A0000}"/>
    <cellStyle name="Normal 13 3 2 3 4 2 2" xfId="23234" xr:uid="{00000000-0005-0000-0000-0000C25A0000}"/>
    <cellStyle name="Normal 13 3 2 3 4 2 2 2" xfId="23235" xr:uid="{00000000-0005-0000-0000-0000C35A0000}"/>
    <cellStyle name="Normal 13 3 2 3 4 2 2 3" xfId="23236" xr:uid="{00000000-0005-0000-0000-0000C45A0000}"/>
    <cellStyle name="Normal 13 3 2 3 4 2 3" xfId="23237" xr:uid="{00000000-0005-0000-0000-0000C55A0000}"/>
    <cellStyle name="Normal 13 3 2 3 4 2 4" xfId="23238" xr:uid="{00000000-0005-0000-0000-0000C65A0000}"/>
    <cellStyle name="Normal 13 3 2 3 4 3" xfId="23239" xr:uid="{00000000-0005-0000-0000-0000C75A0000}"/>
    <cellStyle name="Normal 13 3 2 3 4 3 2" xfId="23240" xr:uid="{00000000-0005-0000-0000-0000C85A0000}"/>
    <cellStyle name="Normal 13 3 2 3 4 3 3" xfId="23241" xr:uid="{00000000-0005-0000-0000-0000C95A0000}"/>
    <cellStyle name="Normal 13 3 2 3 4 4" xfId="23242" xr:uid="{00000000-0005-0000-0000-0000CA5A0000}"/>
    <cellStyle name="Normal 13 3 2 3 4 5" xfId="23243" xr:uid="{00000000-0005-0000-0000-0000CB5A0000}"/>
    <cellStyle name="Normal 13 3 2 3 5" xfId="23244" xr:uid="{00000000-0005-0000-0000-0000CC5A0000}"/>
    <cellStyle name="Normal 13 3 2 3 5 2" xfId="23245" xr:uid="{00000000-0005-0000-0000-0000CD5A0000}"/>
    <cellStyle name="Normal 13 3 2 3 5 2 2" xfId="23246" xr:uid="{00000000-0005-0000-0000-0000CE5A0000}"/>
    <cellStyle name="Normal 13 3 2 3 5 2 3" xfId="23247" xr:uid="{00000000-0005-0000-0000-0000CF5A0000}"/>
    <cellStyle name="Normal 13 3 2 3 5 3" xfId="23248" xr:uid="{00000000-0005-0000-0000-0000D05A0000}"/>
    <cellStyle name="Normal 13 3 2 3 5 4" xfId="23249" xr:uid="{00000000-0005-0000-0000-0000D15A0000}"/>
    <cellStyle name="Normal 13 3 2 3 6" xfId="23250" xr:uid="{00000000-0005-0000-0000-0000D25A0000}"/>
    <cellStyle name="Normal 13 3 2 3 6 2" xfId="23251" xr:uid="{00000000-0005-0000-0000-0000D35A0000}"/>
    <cellStyle name="Normal 13 3 2 3 6 3" xfId="23252" xr:uid="{00000000-0005-0000-0000-0000D45A0000}"/>
    <cellStyle name="Normal 13 3 2 3 7" xfId="23253" xr:uid="{00000000-0005-0000-0000-0000D55A0000}"/>
    <cellStyle name="Normal 13 3 2 3 8" xfId="23254" xr:uid="{00000000-0005-0000-0000-0000D65A0000}"/>
    <cellStyle name="Normal 13 3 2 4" xfId="23255" xr:uid="{00000000-0005-0000-0000-0000D75A0000}"/>
    <cellStyle name="Normal 13 3 2 4 2" xfId="23256" xr:uid="{00000000-0005-0000-0000-0000D85A0000}"/>
    <cellStyle name="Normal 13 3 2 4 2 2" xfId="23257" xr:uid="{00000000-0005-0000-0000-0000D95A0000}"/>
    <cellStyle name="Normal 13 3 2 4 2 2 2" xfId="23258" xr:uid="{00000000-0005-0000-0000-0000DA5A0000}"/>
    <cellStyle name="Normal 13 3 2 4 2 2 2 2" xfId="23259" xr:uid="{00000000-0005-0000-0000-0000DB5A0000}"/>
    <cellStyle name="Normal 13 3 2 4 2 2 2 2 2" xfId="23260" xr:uid="{00000000-0005-0000-0000-0000DC5A0000}"/>
    <cellStyle name="Normal 13 3 2 4 2 2 2 2 3" xfId="23261" xr:uid="{00000000-0005-0000-0000-0000DD5A0000}"/>
    <cellStyle name="Normal 13 3 2 4 2 2 2 3" xfId="23262" xr:uid="{00000000-0005-0000-0000-0000DE5A0000}"/>
    <cellStyle name="Normal 13 3 2 4 2 2 2 4" xfId="23263" xr:uid="{00000000-0005-0000-0000-0000DF5A0000}"/>
    <cellStyle name="Normal 13 3 2 4 2 2 3" xfId="23264" xr:uid="{00000000-0005-0000-0000-0000E05A0000}"/>
    <cellStyle name="Normal 13 3 2 4 2 2 3 2" xfId="23265" xr:uid="{00000000-0005-0000-0000-0000E15A0000}"/>
    <cellStyle name="Normal 13 3 2 4 2 2 3 3" xfId="23266" xr:uid="{00000000-0005-0000-0000-0000E25A0000}"/>
    <cellStyle name="Normal 13 3 2 4 2 2 4" xfId="23267" xr:uid="{00000000-0005-0000-0000-0000E35A0000}"/>
    <cellStyle name="Normal 13 3 2 4 2 2 5" xfId="23268" xr:uid="{00000000-0005-0000-0000-0000E45A0000}"/>
    <cellStyle name="Normal 13 3 2 4 2 3" xfId="23269" xr:uid="{00000000-0005-0000-0000-0000E55A0000}"/>
    <cellStyle name="Normal 13 3 2 4 2 3 2" xfId="23270" xr:uid="{00000000-0005-0000-0000-0000E65A0000}"/>
    <cellStyle name="Normal 13 3 2 4 2 3 2 2" xfId="23271" xr:uid="{00000000-0005-0000-0000-0000E75A0000}"/>
    <cellStyle name="Normal 13 3 2 4 2 3 2 3" xfId="23272" xr:uid="{00000000-0005-0000-0000-0000E85A0000}"/>
    <cellStyle name="Normal 13 3 2 4 2 3 3" xfId="23273" xr:uid="{00000000-0005-0000-0000-0000E95A0000}"/>
    <cellStyle name="Normal 13 3 2 4 2 3 4" xfId="23274" xr:uid="{00000000-0005-0000-0000-0000EA5A0000}"/>
    <cellStyle name="Normal 13 3 2 4 2 4" xfId="23275" xr:uid="{00000000-0005-0000-0000-0000EB5A0000}"/>
    <cellStyle name="Normal 13 3 2 4 2 4 2" xfId="23276" xr:uid="{00000000-0005-0000-0000-0000EC5A0000}"/>
    <cellStyle name="Normal 13 3 2 4 2 4 3" xfId="23277" xr:uid="{00000000-0005-0000-0000-0000ED5A0000}"/>
    <cellStyle name="Normal 13 3 2 4 2 5" xfId="23278" xr:uid="{00000000-0005-0000-0000-0000EE5A0000}"/>
    <cellStyle name="Normal 13 3 2 4 2 6" xfId="23279" xr:uid="{00000000-0005-0000-0000-0000EF5A0000}"/>
    <cellStyle name="Normal 13 3 2 4 3" xfId="23280" xr:uid="{00000000-0005-0000-0000-0000F05A0000}"/>
    <cellStyle name="Normal 13 3 2 4 3 2" xfId="23281" xr:uid="{00000000-0005-0000-0000-0000F15A0000}"/>
    <cellStyle name="Normal 13 3 2 4 3 2 2" xfId="23282" xr:uid="{00000000-0005-0000-0000-0000F25A0000}"/>
    <cellStyle name="Normal 13 3 2 4 3 2 2 2" xfId="23283" xr:uid="{00000000-0005-0000-0000-0000F35A0000}"/>
    <cellStyle name="Normal 13 3 2 4 3 2 2 3" xfId="23284" xr:uid="{00000000-0005-0000-0000-0000F45A0000}"/>
    <cellStyle name="Normal 13 3 2 4 3 2 3" xfId="23285" xr:uid="{00000000-0005-0000-0000-0000F55A0000}"/>
    <cellStyle name="Normal 13 3 2 4 3 2 4" xfId="23286" xr:uid="{00000000-0005-0000-0000-0000F65A0000}"/>
    <cellStyle name="Normal 13 3 2 4 3 3" xfId="23287" xr:uid="{00000000-0005-0000-0000-0000F75A0000}"/>
    <cellStyle name="Normal 13 3 2 4 3 3 2" xfId="23288" xr:uid="{00000000-0005-0000-0000-0000F85A0000}"/>
    <cellStyle name="Normal 13 3 2 4 3 3 3" xfId="23289" xr:uid="{00000000-0005-0000-0000-0000F95A0000}"/>
    <cellStyle name="Normal 13 3 2 4 3 4" xfId="23290" xr:uid="{00000000-0005-0000-0000-0000FA5A0000}"/>
    <cellStyle name="Normal 13 3 2 4 3 5" xfId="23291" xr:uid="{00000000-0005-0000-0000-0000FB5A0000}"/>
    <cellStyle name="Normal 13 3 2 4 4" xfId="23292" xr:uid="{00000000-0005-0000-0000-0000FC5A0000}"/>
    <cellStyle name="Normal 13 3 2 4 4 2" xfId="23293" xr:uid="{00000000-0005-0000-0000-0000FD5A0000}"/>
    <cellStyle name="Normal 13 3 2 4 4 2 2" xfId="23294" xr:uid="{00000000-0005-0000-0000-0000FE5A0000}"/>
    <cellStyle name="Normal 13 3 2 4 4 2 3" xfId="23295" xr:uid="{00000000-0005-0000-0000-0000FF5A0000}"/>
    <cellStyle name="Normal 13 3 2 4 4 3" xfId="23296" xr:uid="{00000000-0005-0000-0000-0000005B0000}"/>
    <cellStyle name="Normal 13 3 2 4 4 4" xfId="23297" xr:uid="{00000000-0005-0000-0000-0000015B0000}"/>
    <cellStyle name="Normal 13 3 2 4 5" xfId="23298" xr:uid="{00000000-0005-0000-0000-0000025B0000}"/>
    <cellStyle name="Normal 13 3 2 4 5 2" xfId="23299" xr:uid="{00000000-0005-0000-0000-0000035B0000}"/>
    <cellStyle name="Normal 13 3 2 4 5 3" xfId="23300" xr:uid="{00000000-0005-0000-0000-0000045B0000}"/>
    <cellStyle name="Normal 13 3 2 4 6" xfId="23301" xr:uid="{00000000-0005-0000-0000-0000055B0000}"/>
    <cellStyle name="Normal 13 3 2 4 7" xfId="23302" xr:uid="{00000000-0005-0000-0000-0000065B0000}"/>
    <cellStyle name="Normal 13 3 2 5" xfId="23303" xr:uid="{00000000-0005-0000-0000-0000075B0000}"/>
    <cellStyle name="Normal 13 3 2 5 2" xfId="23304" xr:uid="{00000000-0005-0000-0000-0000085B0000}"/>
    <cellStyle name="Normal 13 3 2 5 2 2" xfId="23305" xr:uid="{00000000-0005-0000-0000-0000095B0000}"/>
    <cellStyle name="Normal 13 3 2 5 2 2 2" xfId="23306" xr:uid="{00000000-0005-0000-0000-00000A5B0000}"/>
    <cellStyle name="Normal 13 3 2 5 2 2 2 2" xfId="23307" xr:uid="{00000000-0005-0000-0000-00000B5B0000}"/>
    <cellStyle name="Normal 13 3 2 5 2 2 2 3" xfId="23308" xr:uid="{00000000-0005-0000-0000-00000C5B0000}"/>
    <cellStyle name="Normal 13 3 2 5 2 2 3" xfId="23309" xr:uid="{00000000-0005-0000-0000-00000D5B0000}"/>
    <cellStyle name="Normal 13 3 2 5 2 2 4" xfId="23310" xr:uid="{00000000-0005-0000-0000-00000E5B0000}"/>
    <cellStyle name="Normal 13 3 2 5 2 3" xfId="23311" xr:uid="{00000000-0005-0000-0000-00000F5B0000}"/>
    <cellStyle name="Normal 13 3 2 5 2 3 2" xfId="23312" xr:uid="{00000000-0005-0000-0000-0000105B0000}"/>
    <cellStyle name="Normal 13 3 2 5 2 3 3" xfId="23313" xr:uid="{00000000-0005-0000-0000-0000115B0000}"/>
    <cellStyle name="Normal 13 3 2 5 2 4" xfId="23314" xr:uid="{00000000-0005-0000-0000-0000125B0000}"/>
    <cellStyle name="Normal 13 3 2 5 2 5" xfId="23315" xr:uid="{00000000-0005-0000-0000-0000135B0000}"/>
    <cellStyle name="Normal 13 3 2 5 3" xfId="23316" xr:uid="{00000000-0005-0000-0000-0000145B0000}"/>
    <cellStyle name="Normal 13 3 2 5 3 2" xfId="23317" xr:uid="{00000000-0005-0000-0000-0000155B0000}"/>
    <cellStyle name="Normal 13 3 2 5 3 2 2" xfId="23318" xr:uid="{00000000-0005-0000-0000-0000165B0000}"/>
    <cellStyle name="Normal 13 3 2 5 3 2 3" xfId="23319" xr:uid="{00000000-0005-0000-0000-0000175B0000}"/>
    <cellStyle name="Normal 13 3 2 5 3 3" xfId="23320" xr:uid="{00000000-0005-0000-0000-0000185B0000}"/>
    <cellStyle name="Normal 13 3 2 5 3 4" xfId="23321" xr:uid="{00000000-0005-0000-0000-0000195B0000}"/>
    <cellStyle name="Normal 13 3 2 5 4" xfId="23322" xr:uid="{00000000-0005-0000-0000-00001A5B0000}"/>
    <cellStyle name="Normal 13 3 2 5 4 2" xfId="23323" xr:uid="{00000000-0005-0000-0000-00001B5B0000}"/>
    <cellStyle name="Normal 13 3 2 5 4 3" xfId="23324" xr:uid="{00000000-0005-0000-0000-00001C5B0000}"/>
    <cellStyle name="Normal 13 3 2 5 5" xfId="23325" xr:uid="{00000000-0005-0000-0000-00001D5B0000}"/>
    <cellStyle name="Normal 13 3 2 5 6" xfId="23326" xr:uid="{00000000-0005-0000-0000-00001E5B0000}"/>
    <cellStyle name="Normal 13 3 2 6" xfId="23327" xr:uid="{00000000-0005-0000-0000-00001F5B0000}"/>
    <cellStyle name="Normal 13 3 2 6 2" xfId="23328" xr:uid="{00000000-0005-0000-0000-0000205B0000}"/>
    <cellStyle name="Normal 13 3 2 6 2 2" xfId="23329" xr:uid="{00000000-0005-0000-0000-0000215B0000}"/>
    <cellStyle name="Normal 13 3 2 6 2 2 2" xfId="23330" xr:uid="{00000000-0005-0000-0000-0000225B0000}"/>
    <cellStyle name="Normal 13 3 2 6 2 2 3" xfId="23331" xr:uid="{00000000-0005-0000-0000-0000235B0000}"/>
    <cellStyle name="Normal 13 3 2 6 2 3" xfId="23332" xr:uid="{00000000-0005-0000-0000-0000245B0000}"/>
    <cellStyle name="Normal 13 3 2 6 2 4" xfId="23333" xr:uid="{00000000-0005-0000-0000-0000255B0000}"/>
    <cellStyle name="Normal 13 3 2 6 3" xfId="23334" xr:uid="{00000000-0005-0000-0000-0000265B0000}"/>
    <cellStyle name="Normal 13 3 2 6 3 2" xfId="23335" xr:uid="{00000000-0005-0000-0000-0000275B0000}"/>
    <cellStyle name="Normal 13 3 2 6 3 3" xfId="23336" xr:uid="{00000000-0005-0000-0000-0000285B0000}"/>
    <cellStyle name="Normal 13 3 2 6 4" xfId="23337" xr:uid="{00000000-0005-0000-0000-0000295B0000}"/>
    <cellStyle name="Normal 13 3 2 6 5" xfId="23338" xr:uid="{00000000-0005-0000-0000-00002A5B0000}"/>
    <cellStyle name="Normal 13 3 2 7" xfId="23339" xr:uid="{00000000-0005-0000-0000-00002B5B0000}"/>
    <cellStyle name="Normal 13 3 2 7 2" xfId="23340" xr:uid="{00000000-0005-0000-0000-00002C5B0000}"/>
    <cellStyle name="Normal 13 3 2 7 2 2" xfId="23341" xr:uid="{00000000-0005-0000-0000-00002D5B0000}"/>
    <cellStyle name="Normal 13 3 2 7 2 3" xfId="23342" xr:uid="{00000000-0005-0000-0000-00002E5B0000}"/>
    <cellStyle name="Normal 13 3 2 7 3" xfId="23343" xr:uid="{00000000-0005-0000-0000-00002F5B0000}"/>
    <cellStyle name="Normal 13 3 2 7 4" xfId="23344" xr:uid="{00000000-0005-0000-0000-0000305B0000}"/>
    <cellStyle name="Normal 13 3 2 8" xfId="23345" xr:uid="{00000000-0005-0000-0000-0000315B0000}"/>
    <cellStyle name="Normal 13 3 2 8 2" xfId="23346" xr:uid="{00000000-0005-0000-0000-0000325B0000}"/>
    <cellStyle name="Normal 13 3 2 8 3" xfId="23347" xr:uid="{00000000-0005-0000-0000-0000335B0000}"/>
    <cellStyle name="Normal 13 3 2 9" xfId="23348" xr:uid="{00000000-0005-0000-0000-0000345B0000}"/>
    <cellStyle name="Normal 13 3 3" xfId="23349" xr:uid="{00000000-0005-0000-0000-0000355B0000}"/>
    <cellStyle name="Normal 13 3 3 2" xfId="23350" xr:uid="{00000000-0005-0000-0000-0000365B0000}"/>
    <cellStyle name="Normal 13 3 3 2 2" xfId="23351" xr:uid="{00000000-0005-0000-0000-0000375B0000}"/>
    <cellStyle name="Normal 13 3 3 2 2 2" xfId="23352" xr:uid="{00000000-0005-0000-0000-0000385B0000}"/>
    <cellStyle name="Normal 13 3 3 2 2 2 2" xfId="23353" xr:uid="{00000000-0005-0000-0000-0000395B0000}"/>
    <cellStyle name="Normal 13 3 3 2 2 2 2 2" xfId="23354" xr:uid="{00000000-0005-0000-0000-00003A5B0000}"/>
    <cellStyle name="Normal 13 3 3 2 2 2 2 2 2" xfId="23355" xr:uid="{00000000-0005-0000-0000-00003B5B0000}"/>
    <cellStyle name="Normal 13 3 3 2 2 2 2 2 2 2" xfId="23356" xr:uid="{00000000-0005-0000-0000-00003C5B0000}"/>
    <cellStyle name="Normal 13 3 3 2 2 2 2 2 2 3" xfId="23357" xr:uid="{00000000-0005-0000-0000-00003D5B0000}"/>
    <cellStyle name="Normal 13 3 3 2 2 2 2 2 3" xfId="23358" xr:uid="{00000000-0005-0000-0000-00003E5B0000}"/>
    <cellStyle name="Normal 13 3 3 2 2 2 2 2 4" xfId="23359" xr:uid="{00000000-0005-0000-0000-00003F5B0000}"/>
    <cellStyle name="Normal 13 3 3 2 2 2 2 3" xfId="23360" xr:uid="{00000000-0005-0000-0000-0000405B0000}"/>
    <cellStyle name="Normal 13 3 3 2 2 2 2 3 2" xfId="23361" xr:uid="{00000000-0005-0000-0000-0000415B0000}"/>
    <cellStyle name="Normal 13 3 3 2 2 2 2 3 3" xfId="23362" xr:uid="{00000000-0005-0000-0000-0000425B0000}"/>
    <cellStyle name="Normal 13 3 3 2 2 2 2 4" xfId="23363" xr:uid="{00000000-0005-0000-0000-0000435B0000}"/>
    <cellStyle name="Normal 13 3 3 2 2 2 2 5" xfId="23364" xr:uid="{00000000-0005-0000-0000-0000445B0000}"/>
    <cellStyle name="Normal 13 3 3 2 2 2 3" xfId="23365" xr:uid="{00000000-0005-0000-0000-0000455B0000}"/>
    <cellStyle name="Normal 13 3 3 2 2 2 3 2" xfId="23366" xr:uid="{00000000-0005-0000-0000-0000465B0000}"/>
    <cellStyle name="Normal 13 3 3 2 2 2 3 2 2" xfId="23367" xr:uid="{00000000-0005-0000-0000-0000475B0000}"/>
    <cellStyle name="Normal 13 3 3 2 2 2 3 2 3" xfId="23368" xr:uid="{00000000-0005-0000-0000-0000485B0000}"/>
    <cellStyle name="Normal 13 3 3 2 2 2 3 3" xfId="23369" xr:uid="{00000000-0005-0000-0000-0000495B0000}"/>
    <cellStyle name="Normal 13 3 3 2 2 2 3 4" xfId="23370" xr:uid="{00000000-0005-0000-0000-00004A5B0000}"/>
    <cellStyle name="Normal 13 3 3 2 2 2 4" xfId="23371" xr:uid="{00000000-0005-0000-0000-00004B5B0000}"/>
    <cellStyle name="Normal 13 3 3 2 2 2 4 2" xfId="23372" xr:uid="{00000000-0005-0000-0000-00004C5B0000}"/>
    <cellStyle name="Normal 13 3 3 2 2 2 4 3" xfId="23373" xr:uid="{00000000-0005-0000-0000-00004D5B0000}"/>
    <cellStyle name="Normal 13 3 3 2 2 2 5" xfId="23374" xr:uid="{00000000-0005-0000-0000-00004E5B0000}"/>
    <cellStyle name="Normal 13 3 3 2 2 2 6" xfId="23375" xr:uid="{00000000-0005-0000-0000-00004F5B0000}"/>
    <cellStyle name="Normal 13 3 3 2 2 3" xfId="23376" xr:uid="{00000000-0005-0000-0000-0000505B0000}"/>
    <cellStyle name="Normal 13 3 3 2 2 3 2" xfId="23377" xr:uid="{00000000-0005-0000-0000-0000515B0000}"/>
    <cellStyle name="Normal 13 3 3 2 2 3 2 2" xfId="23378" xr:uid="{00000000-0005-0000-0000-0000525B0000}"/>
    <cellStyle name="Normal 13 3 3 2 2 3 2 2 2" xfId="23379" xr:uid="{00000000-0005-0000-0000-0000535B0000}"/>
    <cellStyle name="Normal 13 3 3 2 2 3 2 2 3" xfId="23380" xr:uid="{00000000-0005-0000-0000-0000545B0000}"/>
    <cellStyle name="Normal 13 3 3 2 2 3 2 3" xfId="23381" xr:uid="{00000000-0005-0000-0000-0000555B0000}"/>
    <cellStyle name="Normal 13 3 3 2 2 3 2 4" xfId="23382" xr:uid="{00000000-0005-0000-0000-0000565B0000}"/>
    <cellStyle name="Normal 13 3 3 2 2 3 3" xfId="23383" xr:uid="{00000000-0005-0000-0000-0000575B0000}"/>
    <cellStyle name="Normal 13 3 3 2 2 3 3 2" xfId="23384" xr:uid="{00000000-0005-0000-0000-0000585B0000}"/>
    <cellStyle name="Normal 13 3 3 2 2 3 3 3" xfId="23385" xr:uid="{00000000-0005-0000-0000-0000595B0000}"/>
    <cellStyle name="Normal 13 3 3 2 2 3 4" xfId="23386" xr:uid="{00000000-0005-0000-0000-00005A5B0000}"/>
    <cellStyle name="Normal 13 3 3 2 2 3 5" xfId="23387" xr:uid="{00000000-0005-0000-0000-00005B5B0000}"/>
    <cellStyle name="Normal 13 3 3 2 2 4" xfId="23388" xr:uid="{00000000-0005-0000-0000-00005C5B0000}"/>
    <cellStyle name="Normal 13 3 3 2 2 4 2" xfId="23389" xr:uid="{00000000-0005-0000-0000-00005D5B0000}"/>
    <cellStyle name="Normal 13 3 3 2 2 4 2 2" xfId="23390" xr:uid="{00000000-0005-0000-0000-00005E5B0000}"/>
    <cellStyle name="Normal 13 3 3 2 2 4 2 3" xfId="23391" xr:uid="{00000000-0005-0000-0000-00005F5B0000}"/>
    <cellStyle name="Normal 13 3 3 2 2 4 3" xfId="23392" xr:uid="{00000000-0005-0000-0000-0000605B0000}"/>
    <cellStyle name="Normal 13 3 3 2 2 4 4" xfId="23393" xr:uid="{00000000-0005-0000-0000-0000615B0000}"/>
    <cellStyle name="Normal 13 3 3 2 2 5" xfId="23394" xr:uid="{00000000-0005-0000-0000-0000625B0000}"/>
    <cellStyle name="Normal 13 3 3 2 2 5 2" xfId="23395" xr:uid="{00000000-0005-0000-0000-0000635B0000}"/>
    <cellStyle name="Normal 13 3 3 2 2 5 3" xfId="23396" xr:uid="{00000000-0005-0000-0000-0000645B0000}"/>
    <cellStyle name="Normal 13 3 3 2 2 6" xfId="23397" xr:uid="{00000000-0005-0000-0000-0000655B0000}"/>
    <cellStyle name="Normal 13 3 3 2 2 7" xfId="23398" xr:uid="{00000000-0005-0000-0000-0000665B0000}"/>
    <cellStyle name="Normal 13 3 3 2 3" xfId="23399" xr:uid="{00000000-0005-0000-0000-0000675B0000}"/>
    <cellStyle name="Normal 13 3 3 2 3 2" xfId="23400" xr:uid="{00000000-0005-0000-0000-0000685B0000}"/>
    <cellStyle name="Normal 13 3 3 2 3 2 2" xfId="23401" xr:uid="{00000000-0005-0000-0000-0000695B0000}"/>
    <cellStyle name="Normal 13 3 3 2 3 2 2 2" xfId="23402" xr:uid="{00000000-0005-0000-0000-00006A5B0000}"/>
    <cellStyle name="Normal 13 3 3 2 3 2 2 2 2" xfId="23403" xr:uid="{00000000-0005-0000-0000-00006B5B0000}"/>
    <cellStyle name="Normal 13 3 3 2 3 2 2 2 3" xfId="23404" xr:uid="{00000000-0005-0000-0000-00006C5B0000}"/>
    <cellStyle name="Normal 13 3 3 2 3 2 2 3" xfId="23405" xr:uid="{00000000-0005-0000-0000-00006D5B0000}"/>
    <cellStyle name="Normal 13 3 3 2 3 2 2 4" xfId="23406" xr:uid="{00000000-0005-0000-0000-00006E5B0000}"/>
    <cellStyle name="Normal 13 3 3 2 3 2 3" xfId="23407" xr:uid="{00000000-0005-0000-0000-00006F5B0000}"/>
    <cellStyle name="Normal 13 3 3 2 3 2 3 2" xfId="23408" xr:uid="{00000000-0005-0000-0000-0000705B0000}"/>
    <cellStyle name="Normal 13 3 3 2 3 2 3 3" xfId="23409" xr:uid="{00000000-0005-0000-0000-0000715B0000}"/>
    <cellStyle name="Normal 13 3 3 2 3 2 4" xfId="23410" xr:uid="{00000000-0005-0000-0000-0000725B0000}"/>
    <cellStyle name="Normal 13 3 3 2 3 2 5" xfId="23411" xr:uid="{00000000-0005-0000-0000-0000735B0000}"/>
    <cellStyle name="Normal 13 3 3 2 3 3" xfId="23412" xr:uid="{00000000-0005-0000-0000-0000745B0000}"/>
    <cellStyle name="Normal 13 3 3 2 3 3 2" xfId="23413" xr:uid="{00000000-0005-0000-0000-0000755B0000}"/>
    <cellStyle name="Normal 13 3 3 2 3 3 2 2" xfId="23414" xr:uid="{00000000-0005-0000-0000-0000765B0000}"/>
    <cellStyle name="Normal 13 3 3 2 3 3 2 3" xfId="23415" xr:uid="{00000000-0005-0000-0000-0000775B0000}"/>
    <cellStyle name="Normal 13 3 3 2 3 3 3" xfId="23416" xr:uid="{00000000-0005-0000-0000-0000785B0000}"/>
    <cellStyle name="Normal 13 3 3 2 3 3 4" xfId="23417" xr:uid="{00000000-0005-0000-0000-0000795B0000}"/>
    <cellStyle name="Normal 13 3 3 2 3 4" xfId="23418" xr:uid="{00000000-0005-0000-0000-00007A5B0000}"/>
    <cellStyle name="Normal 13 3 3 2 3 4 2" xfId="23419" xr:uid="{00000000-0005-0000-0000-00007B5B0000}"/>
    <cellStyle name="Normal 13 3 3 2 3 4 3" xfId="23420" xr:uid="{00000000-0005-0000-0000-00007C5B0000}"/>
    <cellStyle name="Normal 13 3 3 2 3 5" xfId="23421" xr:uid="{00000000-0005-0000-0000-00007D5B0000}"/>
    <cellStyle name="Normal 13 3 3 2 3 6" xfId="23422" xr:uid="{00000000-0005-0000-0000-00007E5B0000}"/>
    <cellStyle name="Normal 13 3 3 2 4" xfId="23423" xr:uid="{00000000-0005-0000-0000-00007F5B0000}"/>
    <cellStyle name="Normal 13 3 3 2 4 2" xfId="23424" xr:uid="{00000000-0005-0000-0000-0000805B0000}"/>
    <cellStyle name="Normal 13 3 3 2 4 2 2" xfId="23425" xr:uid="{00000000-0005-0000-0000-0000815B0000}"/>
    <cellStyle name="Normal 13 3 3 2 4 2 2 2" xfId="23426" xr:uid="{00000000-0005-0000-0000-0000825B0000}"/>
    <cellStyle name="Normal 13 3 3 2 4 2 2 3" xfId="23427" xr:uid="{00000000-0005-0000-0000-0000835B0000}"/>
    <cellStyle name="Normal 13 3 3 2 4 2 3" xfId="23428" xr:uid="{00000000-0005-0000-0000-0000845B0000}"/>
    <cellStyle name="Normal 13 3 3 2 4 2 4" xfId="23429" xr:uid="{00000000-0005-0000-0000-0000855B0000}"/>
    <cellStyle name="Normal 13 3 3 2 4 3" xfId="23430" xr:uid="{00000000-0005-0000-0000-0000865B0000}"/>
    <cellStyle name="Normal 13 3 3 2 4 3 2" xfId="23431" xr:uid="{00000000-0005-0000-0000-0000875B0000}"/>
    <cellStyle name="Normal 13 3 3 2 4 3 3" xfId="23432" xr:uid="{00000000-0005-0000-0000-0000885B0000}"/>
    <cellStyle name="Normal 13 3 3 2 4 4" xfId="23433" xr:uid="{00000000-0005-0000-0000-0000895B0000}"/>
    <cellStyle name="Normal 13 3 3 2 4 5" xfId="23434" xr:uid="{00000000-0005-0000-0000-00008A5B0000}"/>
    <cellStyle name="Normal 13 3 3 2 5" xfId="23435" xr:uid="{00000000-0005-0000-0000-00008B5B0000}"/>
    <cellStyle name="Normal 13 3 3 2 5 2" xfId="23436" xr:uid="{00000000-0005-0000-0000-00008C5B0000}"/>
    <cellStyle name="Normal 13 3 3 2 5 2 2" xfId="23437" xr:uid="{00000000-0005-0000-0000-00008D5B0000}"/>
    <cellStyle name="Normal 13 3 3 2 5 2 3" xfId="23438" xr:uid="{00000000-0005-0000-0000-00008E5B0000}"/>
    <cellStyle name="Normal 13 3 3 2 5 3" xfId="23439" xr:uid="{00000000-0005-0000-0000-00008F5B0000}"/>
    <cellStyle name="Normal 13 3 3 2 5 4" xfId="23440" xr:uid="{00000000-0005-0000-0000-0000905B0000}"/>
    <cellStyle name="Normal 13 3 3 2 6" xfId="23441" xr:uid="{00000000-0005-0000-0000-0000915B0000}"/>
    <cellStyle name="Normal 13 3 3 2 6 2" xfId="23442" xr:uid="{00000000-0005-0000-0000-0000925B0000}"/>
    <cellStyle name="Normal 13 3 3 2 6 3" xfId="23443" xr:uid="{00000000-0005-0000-0000-0000935B0000}"/>
    <cellStyle name="Normal 13 3 3 2 7" xfId="23444" xr:uid="{00000000-0005-0000-0000-0000945B0000}"/>
    <cellStyle name="Normal 13 3 3 2 8" xfId="23445" xr:uid="{00000000-0005-0000-0000-0000955B0000}"/>
    <cellStyle name="Normal 13 3 3 3" xfId="23446" xr:uid="{00000000-0005-0000-0000-0000965B0000}"/>
    <cellStyle name="Normal 13 3 3 3 2" xfId="23447" xr:uid="{00000000-0005-0000-0000-0000975B0000}"/>
    <cellStyle name="Normal 13 3 3 3 2 2" xfId="23448" xr:uid="{00000000-0005-0000-0000-0000985B0000}"/>
    <cellStyle name="Normal 13 3 3 3 2 2 2" xfId="23449" xr:uid="{00000000-0005-0000-0000-0000995B0000}"/>
    <cellStyle name="Normal 13 3 3 3 2 2 2 2" xfId="23450" xr:uid="{00000000-0005-0000-0000-00009A5B0000}"/>
    <cellStyle name="Normal 13 3 3 3 2 2 2 2 2" xfId="23451" xr:uid="{00000000-0005-0000-0000-00009B5B0000}"/>
    <cellStyle name="Normal 13 3 3 3 2 2 2 2 3" xfId="23452" xr:uid="{00000000-0005-0000-0000-00009C5B0000}"/>
    <cellStyle name="Normal 13 3 3 3 2 2 2 3" xfId="23453" xr:uid="{00000000-0005-0000-0000-00009D5B0000}"/>
    <cellStyle name="Normal 13 3 3 3 2 2 2 4" xfId="23454" xr:uid="{00000000-0005-0000-0000-00009E5B0000}"/>
    <cellStyle name="Normal 13 3 3 3 2 2 3" xfId="23455" xr:uid="{00000000-0005-0000-0000-00009F5B0000}"/>
    <cellStyle name="Normal 13 3 3 3 2 2 3 2" xfId="23456" xr:uid="{00000000-0005-0000-0000-0000A05B0000}"/>
    <cellStyle name="Normal 13 3 3 3 2 2 3 3" xfId="23457" xr:uid="{00000000-0005-0000-0000-0000A15B0000}"/>
    <cellStyle name="Normal 13 3 3 3 2 2 4" xfId="23458" xr:uid="{00000000-0005-0000-0000-0000A25B0000}"/>
    <cellStyle name="Normal 13 3 3 3 2 2 5" xfId="23459" xr:uid="{00000000-0005-0000-0000-0000A35B0000}"/>
    <cellStyle name="Normal 13 3 3 3 2 3" xfId="23460" xr:uid="{00000000-0005-0000-0000-0000A45B0000}"/>
    <cellStyle name="Normal 13 3 3 3 2 3 2" xfId="23461" xr:uid="{00000000-0005-0000-0000-0000A55B0000}"/>
    <cellStyle name="Normal 13 3 3 3 2 3 2 2" xfId="23462" xr:uid="{00000000-0005-0000-0000-0000A65B0000}"/>
    <cellStyle name="Normal 13 3 3 3 2 3 2 3" xfId="23463" xr:uid="{00000000-0005-0000-0000-0000A75B0000}"/>
    <cellStyle name="Normal 13 3 3 3 2 3 3" xfId="23464" xr:uid="{00000000-0005-0000-0000-0000A85B0000}"/>
    <cellStyle name="Normal 13 3 3 3 2 3 4" xfId="23465" xr:uid="{00000000-0005-0000-0000-0000A95B0000}"/>
    <cellStyle name="Normal 13 3 3 3 2 4" xfId="23466" xr:uid="{00000000-0005-0000-0000-0000AA5B0000}"/>
    <cellStyle name="Normal 13 3 3 3 2 4 2" xfId="23467" xr:uid="{00000000-0005-0000-0000-0000AB5B0000}"/>
    <cellStyle name="Normal 13 3 3 3 2 4 3" xfId="23468" xr:uid="{00000000-0005-0000-0000-0000AC5B0000}"/>
    <cellStyle name="Normal 13 3 3 3 2 5" xfId="23469" xr:uid="{00000000-0005-0000-0000-0000AD5B0000}"/>
    <cellStyle name="Normal 13 3 3 3 2 6" xfId="23470" xr:uid="{00000000-0005-0000-0000-0000AE5B0000}"/>
    <cellStyle name="Normal 13 3 3 3 3" xfId="23471" xr:uid="{00000000-0005-0000-0000-0000AF5B0000}"/>
    <cellStyle name="Normal 13 3 3 3 3 2" xfId="23472" xr:uid="{00000000-0005-0000-0000-0000B05B0000}"/>
    <cellStyle name="Normal 13 3 3 3 3 2 2" xfId="23473" xr:uid="{00000000-0005-0000-0000-0000B15B0000}"/>
    <cellStyle name="Normal 13 3 3 3 3 2 2 2" xfId="23474" xr:uid="{00000000-0005-0000-0000-0000B25B0000}"/>
    <cellStyle name="Normal 13 3 3 3 3 2 2 3" xfId="23475" xr:uid="{00000000-0005-0000-0000-0000B35B0000}"/>
    <cellStyle name="Normal 13 3 3 3 3 2 3" xfId="23476" xr:uid="{00000000-0005-0000-0000-0000B45B0000}"/>
    <cellStyle name="Normal 13 3 3 3 3 2 4" xfId="23477" xr:uid="{00000000-0005-0000-0000-0000B55B0000}"/>
    <cellStyle name="Normal 13 3 3 3 3 3" xfId="23478" xr:uid="{00000000-0005-0000-0000-0000B65B0000}"/>
    <cellStyle name="Normal 13 3 3 3 3 3 2" xfId="23479" xr:uid="{00000000-0005-0000-0000-0000B75B0000}"/>
    <cellStyle name="Normal 13 3 3 3 3 3 3" xfId="23480" xr:uid="{00000000-0005-0000-0000-0000B85B0000}"/>
    <cellStyle name="Normal 13 3 3 3 3 4" xfId="23481" xr:uid="{00000000-0005-0000-0000-0000B95B0000}"/>
    <cellStyle name="Normal 13 3 3 3 3 5" xfId="23482" xr:uid="{00000000-0005-0000-0000-0000BA5B0000}"/>
    <cellStyle name="Normal 13 3 3 3 4" xfId="23483" xr:uid="{00000000-0005-0000-0000-0000BB5B0000}"/>
    <cellStyle name="Normal 13 3 3 3 4 2" xfId="23484" xr:uid="{00000000-0005-0000-0000-0000BC5B0000}"/>
    <cellStyle name="Normal 13 3 3 3 4 2 2" xfId="23485" xr:uid="{00000000-0005-0000-0000-0000BD5B0000}"/>
    <cellStyle name="Normal 13 3 3 3 4 2 3" xfId="23486" xr:uid="{00000000-0005-0000-0000-0000BE5B0000}"/>
    <cellStyle name="Normal 13 3 3 3 4 3" xfId="23487" xr:uid="{00000000-0005-0000-0000-0000BF5B0000}"/>
    <cellStyle name="Normal 13 3 3 3 4 4" xfId="23488" xr:uid="{00000000-0005-0000-0000-0000C05B0000}"/>
    <cellStyle name="Normal 13 3 3 3 5" xfId="23489" xr:uid="{00000000-0005-0000-0000-0000C15B0000}"/>
    <cellStyle name="Normal 13 3 3 3 5 2" xfId="23490" xr:uid="{00000000-0005-0000-0000-0000C25B0000}"/>
    <cellStyle name="Normal 13 3 3 3 5 3" xfId="23491" xr:uid="{00000000-0005-0000-0000-0000C35B0000}"/>
    <cellStyle name="Normal 13 3 3 3 6" xfId="23492" xr:uid="{00000000-0005-0000-0000-0000C45B0000}"/>
    <cellStyle name="Normal 13 3 3 3 7" xfId="23493" xr:uid="{00000000-0005-0000-0000-0000C55B0000}"/>
    <cellStyle name="Normal 13 3 3 4" xfId="23494" xr:uid="{00000000-0005-0000-0000-0000C65B0000}"/>
    <cellStyle name="Normal 13 3 3 4 2" xfId="23495" xr:uid="{00000000-0005-0000-0000-0000C75B0000}"/>
    <cellStyle name="Normal 13 3 3 4 2 2" xfId="23496" xr:uid="{00000000-0005-0000-0000-0000C85B0000}"/>
    <cellStyle name="Normal 13 3 3 4 2 2 2" xfId="23497" xr:uid="{00000000-0005-0000-0000-0000C95B0000}"/>
    <cellStyle name="Normal 13 3 3 4 2 2 2 2" xfId="23498" xr:uid="{00000000-0005-0000-0000-0000CA5B0000}"/>
    <cellStyle name="Normal 13 3 3 4 2 2 2 3" xfId="23499" xr:uid="{00000000-0005-0000-0000-0000CB5B0000}"/>
    <cellStyle name="Normal 13 3 3 4 2 2 3" xfId="23500" xr:uid="{00000000-0005-0000-0000-0000CC5B0000}"/>
    <cellStyle name="Normal 13 3 3 4 2 2 4" xfId="23501" xr:uid="{00000000-0005-0000-0000-0000CD5B0000}"/>
    <cellStyle name="Normal 13 3 3 4 2 3" xfId="23502" xr:uid="{00000000-0005-0000-0000-0000CE5B0000}"/>
    <cellStyle name="Normal 13 3 3 4 2 3 2" xfId="23503" xr:uid="{00000000-0005-0000-0000-0000CF5B0000}"/>
    <cellStyle name="Normal 13 3 3 4 2 3 3" xfId="23504" xr:uid="{00000000-0005-0000-0000-0000D05B0000}"/>
    <cellStyle name="Normal 13 3 3 4 2 4" xfId="23505" xr:uid="{00000000-0005-0000-0000-0000D15B0000}"/>
    <cellStyle name="Normal 13 3 3 4 2 5" xfId="23506" xr:uid="{00000000-0005-0000-0000-0000D25B0000}"/>
    <cellStyle name="Normal 13 3 3 4 3" xfId="23507" xr:uid="{00000000-0005-0000-0000-0000D35B0000}"/>
    <cellStyle name="Normal 13 3 3 4 3 2" xfId="23508" xr:uid="{00000000-0005-0000-0000-0000D45B0000}"/>
    <cellStyle name="Normal 13 3 3 4 3 2 2" xfId="23509" xr:uid="{00000000-0005-0000-0000-0000D55B0000}"/>
    <cellStyle name="Normal 13 3 3 4 3 2 3" xfId="23510" xr:uid="{00000000-0005-0000-0000-0000D65B0000}"/>
    <cellStyle name="Normal 13 3 3 4 3 3" xfId="23511" xr:uid="{00000000-0005-0000-0000-0000D75B0000}"/>
    <cellStyle name="Normal 13 3 3 4 3 4" xfId="23512" xr:uid="{00000000-0005-0000-0000-0000D85B0000}"/>
    <cellStyle name="Normal 13 3 3 4 4" xfId="23513" xr:uid="{00000000-0005-0000-0000-0000D95B0000}"/>
    <cellStyle name="Normal 13 3 3 4 4 2" xfId="23514" xr:uid="{00000000-0005-0000-0000-0000DA5B0000}"/>
    <cellStyle name="Normal 13 3 3 4 4 3" xfId="23515" xr:uid="{00000000-0005-0000-0000-0000DB5B0000}"/>
    <cellStyle name="Normal 13 3 3 4 5" xfId="23516" xr:uid="{00000000-0005-0000-0000-0000DC5B0000}"/>
    <cellStyle name="Normal 13 3 3 4 6" xfId="23517" xr:uid="{00000000-0005-0000-0000-0000DD5B0000}"/>
    <cellStyle name="Normal 13 3 3 5" xfId="23518" xr:uid="{00000000-0005-0000-0000-0000DE5B0000}"/>
    <cellStyle name="Normal 13 3 3 5 2" xfId="23519" xr:uid="{00000000-0005-0000-0000-0000DF5B0000}"/>
    <cellStyle name="Normal 13 3 3 5 2 2" xfId="23520" xr:uid="{00000000-0005-0000-0000-0000E05B0000}"/>
    <cellStyle name="Normal 13 3 3 5 2 2 2" xfId="23521" xr:uid="{00000000-0005-0000-0000-0000E15B0000}"/>
    <cellStyle name="Normal 13 3 3 5 2 2 3" xfId="23522" xr:uid="{00000000-0005-0000-0000-0000E25B0000}"/>
    <cellStyle name="Normal 13 3 3 5 2 3" xfId="23523" xr:uid="{00000000-0005-0000-0000-0000E35B0000}"/>
    <cellStyle name="Normal 13 3 3 5 2 4" xfId="23524" xr:uid="{00000000-0005-0000-0000-0000E45B0000}"/>
    <cellStyle name="Normal 13 3 3 5 3" xfId="23525" xr:uid="{00000000-0005-0000-0000-0000E55B0000}"/>
    <cellStyle name="Normal 13 3 3 5 3 2" xfId="23526" xr:uid="{00000000-0005-0000-0000-0000E65B0000}"/>
    <cellStyle name="Normal 13 3 3 5 3 3" xfId="23527" xr:uid="{00000000-0005-0000-0000-0000E75B0000}"/>
    <cellStyle name="Normal 13 3 3 5 4" xfId="23528" xr:uid="{00000000-0005-0000-0000-0000E85B0000}"/>
    <cellStyle name="Normal 13 3 3 5 5" xfId="23529" xr:uid="{00000000-0005-0000-0000-0000E95B0000}"/>
    <cellStyle name="Normal 13 3 3 6" xfId="23530" xr:uid="{00000000-0005-0000-0000-0000EA5B0000}"/>
    <cellStyle name="Normal 13 3 3 6 2" xfId="23531" xr:uid="{00000000-0005-0000-0000-0000EB5B0000}"/>
    <cellStyle name="Normal 13 3 3 6 2 2" xfId="23532" xr:uid="{00000000-0005-0000-0000-0000EC5B0000}"/>
    <cellStyle name="Normal 13 3 3 6 2 3" xfId="23533" xr:uid="{00000000-0005-0000-0000-0000ED5B0000}"/>
    <cellStyle name="Normal 13 3 3 6 3" xfId="23534" xr:uid="{00000000-0005-0000-0000-0000EE5B0000}"/>
    <cellStyle name="Normal 13 3 3 6 4" xfId="23535" xr:uid="{00000000-0005-0000-0000-0000EF5B0000}"/>
    <cellStyle name="Normal 13 3 3 7" xfId="23536" xr:uid="{00000000-0005-0000-0000-0000F05B0000}"/>
    <cellStyle name="Normal 13 3 3 7 2" xfId="23537" xr:uid="{00000000-0005-0000-0000-0000F15B0000}"/>
    <cellStyle name="Normal 13 3 3 7 3" xfId="23538" xr:uid="{00000000-0005-0000-0000-0000F25B0000}"/>
    <cellStyle name="Normal 13 3 3 8" xfId="23539" xr:uid="{00000000-0005-0000-0000-0000F35B0000}"/>
    <cellStyle name="Normal 13 3 3 9" xfId="23540" xr:uid="{00000000-0005-0000-0000-0000F45B0000}"/>
    <cellStyle name="Normal 13 3 4" xfId="23541" xr:uid="{00000000-0005-0000-0000-0000F55B0000}"/>
    <cellStyle name="Normal 13 3 4 2" xfId="23542" xr:uid="{00000000-0005-0000-0000-0000F65B0000}"/>
    <cellStyle name="Normal 13 3 4 2 2" xfId="23543" xr:uid="{00000000-0005-0000-0000-0000F75B0000}"/>
    <cellStyle name="Normal 13 3 4 2 2 2" xfId="23544" xr:uid="{00000000-0005-0000-0000-0000F85B0000}"/>
    <cellStyle name="Normal 13 3 4 2 2 2 2" xfId="23545" xr:uid="{00000000-0005-0000-0000-0000F95B0000}"/>
    <cellStyle name="Normal 13 3 4 2 2 2 2 2" xfId="23546" xr:uid="{00000000-0005-0000-0000-0000FA5B0000}"/>
    <cellStyle name="Normal 13 3 4 2 2 2 2 2 2" xfId="23547" xr:uid="{00000000-0005-0000-0000-0000FB5B0000}"/>
    <cellStyle name="Normal 13 3 4 2 2 2 2 2 3" xfId="23548" xr:uid="{00000000-0005-0000-0000-0000FC5B0000}"/>
    <cellStyle name="Normal 13 3 4 2 2 2 2 3" xfId="23549" xr:uid="{00000000-0005-0000-0000-0000FD5B0000}"/>
    <cellStyle name="Normal 13 3 4 2 2 2 2 4" xfId="23550" xr:uid="{00000000-0005-0000-0000-0000FE5B0000}"/>
    <cellStyle name="Normal 13 3 4 2 2 2 3" xfId="23551" xr:uid="{00000000-0005-0000-0000-0000FF5B0000}"/>
    <cellStyle name="Normal 13 3 4 2 2 2 3 2" xfId="23552" xr:uid="{00000000-0005-0000-0000-0000005C0000}"/>
    <cellStyle name="Normal 13 3 4 2 2 2 3 3" xfId="23553" xr:uid="{00000000-0005-0000-0000-0000015C0000}"/>
    <cellStyle name="Normal 13 3 4 2 2 2 4" xfId="23554" xr:uid="{00000000-0005-0000-0000-0000025C0000}"/>
    <cellStyle name="Normal 13 3 4 2 2 2 5" xfId="23555" xr:uid="{00000000-0005-0000-0000-0000035C0000}"/>
    <cellStyle name="Normal 13 3 4 2 2 3" xfId="23556" xr:uid="{00000000-0005-0000-0000-0000045C0000}"/>
    <cellStyle name="Normal 13 3 4 2 2 3 2" xfId="23557" xr:uid="{00000000-0005-0000-0000-0000055C0000}"/>
    <cellStyle name="Normal 13 3 4 2 2 3 2 2" xfId="23558" xr:uid="{00000000-0005-0000-0000-0000065C0000}"/>
    <cellStyle name="Normal 13 3 4 2 2 3 2 3" xfId="23559" xr:uid="{00000000-0005-0000-0000-0000075C0000}"/>
    <cellStyle name="Normal 13 3 4 2 2 3 3" xfId="23560" xr:uid="{00000000-0005-0000-0000-0000085C0000}"/>
    <cellStyle name="Normal 13 3 4 2 2 3 4" xfId="23561" xr:uid="{00000000-0005-0000-0000-0000095C0000}"/>
    <cellStyle name="Normal 13 3 4 2 2 4" xfId="23562" xr:uid="{00000000-0005-0000-0000-00000A5C0000}"/>
    <cellStyle name="Normal 13 3 4 2 2 4 2" xfId="23563" xr:uid="{00000000-0005-0000-0000-00000B5C0000}"/>
    <cellStyle name="Normal 13 3 4 2 2 4 3" xfId="23564" xr:uid="{00000000-0005-0000-0000-00000C5C0000}"/>
    <cellStyle name="Normal 13 3 4 2 2 5" xfId="23565" xr:uid="{00000000-0005-0000-0000-00000D5C0000}"/>
    <cellStyle name="Normal 13 3 4 2 2 6" xfId="23566" xr:uid="{00000000-0005-0000-0000-00000E5C0000}"/>
    <cellStyle name="Normal 13 3 4 2 3" xfId="23567" xr:uid="{00000000-0005-0000-0000-00000F5C0000}"/>
    <cellStyle name="Normal 13 3 4 2 3 2" xfId="23568" xr:uid="{00000000-0005-0000-0000-0000105C0000}"/>
    <cellStyle name="Normal 13 3 4 2 3 2 2" xfId="23569" xr:uid="{00000000-0005-0000-0000-0000115C0000}"/>
    <cellStyle name="Normal 13 3 4 2 3 2 2 2" xfId="23570" xr:uid="{00000000-0005-0000-0000-0000125C0000}"/>
    <cellStyle name="Normal 13 3 4 2 3 2 2 3" xfId="23571" xr:uid="{00000000-0005-0000-0000-0000135C0000}"/>
    <cellStyle name="Normal 13 3 4 2 3 2 3" xfId="23572" xr:uid="{00000000-0005-0000-0000-0000145C0000}"/>
    <cellStyle name="Normal 13 3 4 2 3 2 4" xfId="23573" xr:uid="{00000000-0005-0000-0000-0000155C0000}"/>
    <cellStyle name="Normal 13 3 4 2 3 3" xfId="23574" xr:uid="{00000000-0005-0000-0000-0000165C0000}"/>
    <cellStyle name="Normal 13 3 4 2 3 3 2" xfId="23575" xr:uid="{00000000-0005-0000-0000-0000175C0000}"/>
    <cellStyle name="Normal 13 3 4 2 3 3 3" xfId="23576" xr:uid="{00000000-0005-0000-0000-0000185C0000}"/>
    <cellStyle name="Normal 13 3 4 2 3 4" xfId="23577" xr:uid="{00000000-0005-0000-0000-0000195C0000}"/>
    <cellStyle name="Normal 13 3 4 2 3 5" xfId="23578" xr:uid="{00000000-0005-0000-0000-00001A5C0000}"/>
    <cellStyle name="Normal 13 3 4 2 4" xfId="23579" xr:uid="{00000000-0005-0000-0000-00001B5C0000}"/>
    <cellStyle name="Normal 13 3 4 2 4 2" xfId="23580" xr:uid="{00000000-0005-0000-0000-00001C5C0000}"/>
    <cellStyle name="Normal 13 3 4 2 4 2 2" xfId="23581" xr:uid="{00000000-0005-0000-0000-00001D5C0000}"/>
    <cellStyle name="Normal 13 3 4 2 4 2 3" xfId="23582" xr:uid="{00000000-0005-0000-0000-00001E5C0000}"/>
    <cellStyle name="Normal 13 3 4 2 4 3" xfId="23583" xr:uid="{00000000-0005-0000-0000-00001F5C0000}"/>
    <cellStyle name="Normal 13 3 4 2 4 4" xfId="23584" xr:uid="{00000000-0005-0000-0000-0000205C0000}"/>
    <cellStyle name="Normal 13 3 4 2 5" xfId="23585" xr:uid="{00000000-0005-0000-0000-0000215C0000}"/>
    <cellStyle name="Normal 13 3 4 2 5 2" xfId="23586" xr:uid="{00000000-0005-0000-0000-0000225C0000}"/>
    <cellStyle name="Normal 13 3 4 2 5 3" xfId="23587" xr:uid="{00000000-0005-0000-0000-0000235C0000}"/>
    <cellStyle name="Normal 13 3 4 2 6" xfId="23588" xr:uid="{00000000-0005-0000-0000-0000245C0000}"/>
    <cellStyle name="Normal 13 3 4 2 7" xfId="23589" xr:uid="{00000000-0005-0000-0000-0000255C0000}"/>
    <cellStyle name="Normal 13 3 4 3" xfId="23590" xr:uid="{00000000-0005-0000-0000-0000265C0000}"/>
    <cellStyle name="Normal 13 3 4 3 2" xfId="23591" xr:uid="{00000000-0005-0000-0000-0000275C0000}"/>
    <cellStyle name="Normal 13 3 4 3 2 2" xfId="23592" xr:uid="{00000000-0005-0000-0000-0000285C0000}"/>
    <cellStyle name="Normal 13 3 4 3 2 2 2" xfId="23593" xr:uid="{00000000-0005-0000-0000-0000295C0000}"/>
    <cellStyle name="Normal 13 3 4 3 2 2 2 2" xfId="23594" xr:uid="{00000000-0005-0000-0000-00002A5C0000}"/>
    <cellStyle name="Normal 13 3 4 3 2 2 2 3" xfId="23595" xr:uid="{00000000-0005-0000-0000-00002B5C0000}"/>
    <cellStyle name="Normal 13 3 4 3 2 2 3" xfId="23596" xr:uid="{00000000-0005-0000-0000-00002C5C0000}"/>
    <cellStyle name="Normal 13 3 4 3 2 2 4" xfId="23597" xr:uid="{00000000-0005-0000-0000-00002D5C0000}"/>
    <cellStyle name="Normal 13 3 4 3 2 3" xfId="23598" xr:uid="{00000000-0005-0000-0000-00002E5C0000}"/>
    <cellStyle name="Normal 13 3 4 3 2 3 2" xfId="23599" xr:uid="{00000000-0005-0000-0000-00002F5C0000}"/>
    <cellStyle name="Normal 13 3 4 3 2 3 3" xfId="23600" xr:uid="{00000000-0005-0000-0000-0000305C0000}"/>
    <cellStyle name="Normal 13 3 4 3 2 4" xfId="23601" xr:uid="{00000000-0005-0000-0000-0000315C0000}"/>
    <cellStyle name="Normal 13 3 4 3 2 5" xfId="23602" xr:uid="{00000000-0005-0000-0000-0000325C0000}"/>
    <cellStyle name="Normal 13 3 4 3 3" xfId="23603" xr:uid="{00000000-0005-0000-0000-0000335C0000}"/>
    <cellStyle name="Normal 13 3 4 3 3 2" xfId="23604" xr:uid="{00000000-0005-0000-0000-0000345C0000}"/>
    <cellStyle name="Normal 13 3 4 3 3 2 2" xfId="23605" xr:uid="{00000000-0005-0000-0000-0000355C0000}"/>
    <cellStyle name="Normal 13 3 4 3 3 2 3" xfId="23606" xr:uid="{00000000-0005-0000-0000-0000365C0000}"/>
    <cellStyle name="Normal 13 3 4 3 3 3" xfId="23607" xr:uid="{00000000-0005-0000-0000-0000375C0000}"/>
    <cellStyle name="Normal 13 3 4 3 3 4" xfId="23608" xr:uid="{00000000-0005-0000-0000-0000385C0000}"/>
    <cellStyle name="Normal 13 3 4 3 4" xfId="23609" xr:uid="{00000000-0005-0000-0000-0000395C0000}"/>
    <cellStyle name="Normal 13 3 4 3 4 2" xfId="23610" xr:uid="{00000000-0005-0000-0000-00003A5C0000}"/>
    <cellStyle name="Normal 13 3 4 3 4 3" xfId="23611" xr:uid="{00000000-0005-0000-0000-00003B5C0000}"/>
    <cellStyle name="Normal 13 3 4 3 5" xfId="23612" xr:uid="{00000000-0005-0000-0000-00003C5C0000}"/>
    <cellStyle name="Normal 13 3 4 3 6" xfId="23613" xr:uid="{00000000-0005-0000-0000-00003D5C0000}"/>
    <cellStyle name="Normal 13 3 4 4" xfId="23614" xr:uid="{00000000-0005-0000-0000-00003E5C0000}"/>
    <cellStyle name="Normal 13 3 4 4 2" xfId="23615" xr:uid="{00000000-0005-0000-0000-00003F5C0000}"/>
    <cellStyle name="Normal 13 3 4 4 2 2" xfId="23616" xr:uid="{00000000-0005-0000-0000-0000405C0000}"/>
    <cellStyle name="Normal 13 3 4 4 2 2 2" xfId="23617" xr:uid="{00000000-0005-0000-0000-0000415C0000}"/>
    <cellStyle name="Normal 13 3 4 4 2 2 3" xfId="23618" xr:uid="{00000000-0005-0000-0000-0000425C0000}"/>
    <cellStyle name="Normal 13 3 4 4 2 3" xfId="23619" xr:uid="{00000000-0005-0000-0000-0000435C0000}"/>
    <cellStyle name="Normal 13 3 4 4 2 4" xfId="23620" xr:uid="{00000000-0005-0000-0000-0000445C0000}"/>
    <cellStyle name="Normal 13 3 4 4 3" xfId="23621" xr:uid="{00000000-0005-0000-0000-0000455C0000}"/>
    <cellStyle name="Normal 13 3 4 4 3 2" xfId="23622" xr:uid="{00000000-0005-0000-0000-0000465C0000}"/>
    <cellStyle name="Normal 13 3 4 4 3 3" xfId="23623" xr:uid="{00000000-0005-0000-0000-0000475C0000}"/>
    <cellStyle name="Normal 13 3 4 4 4" xfId="23624" xr:uid="{00000000-0005-0000-0000-0000485C0000}"/>
    <cellStyle name="Normal 13 3 4 4 5" xfId="23625" xr:uid="{00000000-0005-0000-0000-0000495C0000}"/>
    <cellStyle name="Normal 13 3 4 5" xfId="23626" xr:uid="{00000000-0005-0000-0000-00004A5C0000}"/>
    <cellStyle name="Normal 13 3 4 5 2" xfId="23627" xr:uid="{00000000-0005-0000-0000-00004B5C0000}"/>
    <cellStyle name="Normal 13 3 4 5 2 2" xfId="23628" xr:uid="{00000000-0005-0000-0000-00004C5C0000}"/>
    <cellStyle name="Normal 13 3 4 5 2 3" xfId="23629" xr:uid="{00000000-0005-0000-0000-00004D5C0000}"/>
    <cellStyle name="Normal 13 3 4 5 3" xfId="23630" xr:uid="{00000000-0005-0000-0000-00004E5C0000}"/>
    <cellStyle name="Normal 13 3 4 5 4" xfId="23631" xr:uid="{00000000-0005-0000-0000-00004F5C0000}"/>
    <cellStyle name="Normal 13 3 4 6" xfId="23632" xr:uid="{00000000-0005-0000-0000-0000505C0000}"/>
    <cellStyle name="Normal 13 3 4 6 2" xfId="23633" xr:uid="{00000000-0005-0000-0000-0000515C0000}"/>
    <cellStyle name="Normal 13 3 4 6 3" xfId="23634" xr:uid="{00000000-0005-0000-0000-0000525C0000}"/>
    <cellStyle name="Normal 13 3 4 7" xfId="23635" xr:uid="{00000000-0005-0000-0000-0000535C0000}"/>
    <cellStyle name="Normal 13 3 4 8" xfId="23636" xr:uid="{00000000-0005-0000-0000-0000545C0000}"/>
    <cellStyle name="Normal 13 3 5" xfId="23637" xr:uid="{00000000-0005-0000-0000-0000555C0000}"/>
    <cellStyle name="Normal 13 3 5 2" xfId="23638" xr:uid="{00000000-0005-0000-0000-0000565C0000}"/>
    <cellStyle name="Normal 13 3 5 2 2" xfId="23639" xr:uid="{00000000-0005-0000-0000-0000575C0000}"/>
    <cellStyle name="Normal 13 3 5 2 2 2" xfId="23640" xr:uid="{00000000-0005-0000-0000-0000585C0000}"/>
    <cellStyle name="Normal 13 3 5 2 2 2 2" xfId="23641" xr:uid="{00000000-0005-0000-0000-0000595C0000}"/>
    <cellStyle name="Normal 13 3 5 2 2 2 2 2" xfId="23642" xr:uid="{00000000-0005-0000-0000-00005A5C0000}"/>
    <cellStyle name="Normal 13 3 5 2 2 2 2 3" xfId="23643" xr:uid="{00000000-0005-0000-0000-00005B5C0000}"/>
    <cellStyle name="Normal 13 3 5 2 2 2 3" xfId="23644" xr:uid="{00000000-0005-0000-0000-00005C5C0000}"/>
    <cellStyle name="Normal 13 3 5 2 2 2 4" xfId="23645" xr:uid="{00000000-0005-0000-0000-00005D5C0000}"/>
    <cellStyle name="Normal 13 3 5 2 2 3" xfId="23646" xr:uid="{00000000-0005-0000-0000-00005E5C0000}"/>
    <cellStyle name="Normal 13 3 5 2 2 3 2" xfId="23647" xr:uid="{00000000-0005-0000-0000-00005F5C0000}"/>
    <cellStyle name="Normal 13 3 5 2 2 3 3" xfId="23648" xr:uid="{00000000-0005-0000-0000-0000605C0000}"/>
    <cellStyle name="Normal 13 3 5 2 2 4" xfId="23649" xr:uid="{00000000-0005-0000-0000-0000615C0000}"/>
    <cellStyle name="Normal 13 3 5 2 2 5" xfId="23650" xr:uid="{00000000-0005-0000-0000-0000625C0000}"/>
    <cellStyle name="Normal 13 3 5 2 3" xfId="23651" xr:uid="{00000000-0005-0000-0000-0000635C0000}"/>
    <cellStyle name="Normal 13 3 5 2 3 2" xfId="23652" xr:uid="{00000000-0005-0000-0000-0000645C0000}"/>
    <cellStyle name="Normal 13 3 5 2 3 2 2" xfId="23653" xr:uid="{00000000-0005-0000-0000-0000655C0000}"/>
    <cellStyle name="Normal 13 3 5 2 3 2 3" xfId="23654" xr:uid="{00000000-0005-0000-0000-0000665C0000}"/>
    <cellStyle name="Normal 13 3 5 2 3 3" xfId="23655" xr:uid="{00000000-0005-0000-0000-0000675C0000}"/>
    <cellStyle name="Normal 13 3 5 2 3 4" xfId="23656" xr:uid="{00000000-0005-0000-0000-0000685C0000}"/>
    <cellStyle name="Normal 13 3 5 2 4" xfId="23657" xr:uid="{00000000-0005-0000-0000-0000695C0000}"/>
    <cellStyle name="Normal 13 3 5 2 4 2" xfId="23658" xr:uid="{00000000-0005-0000-0000-00006A5C0000}"/>
    <cellStyle name="Normal 13 3 5 2 4 3" xfId="23659" xr:uid="{00000000-0005-0000-0000-00006B5C0000}"/>
    <cellStyle name="Normal 13 3 5 2 5" xfId="23660" xr:uid="{00000000-0005-0000-0000-00006C5C0000}"/>
    <cellStyle name="Normal 13 3 5 2 6" xfId="23661" xr:uid="{00000000-0005-0000-0000-00006D5C0000}"/>
    <cellStyle name="Normal 13 3 5 3" xfId="23662" xr:uid="{00000000-0005-0000-0000-00006E5C0000}"/>
    <cellStyle name="Normal 13 3 5 3 2" xfId="23663" xr:uid="{00000000-0005-0000-0000-00006F5C0000}"/>
    <cellStyle name="Normal 13 3 5 3 2 2" xfId="23664" xr:uid="{00000000-0005-0000-0000-0000705C0000}"/>
    <cellStyle name="Normal 13 3 5 3 2 2 2" xfId="23665" xr:uid="{00000000-0005-0000-0000-0000715C0000}"/>
    <cellStyle name="Normal 13 3 5 3 2 2 3" xfId="23666" xr:uid="{00000000-0005-0000-0000-0000725C0000}"/>
    <cellStyle name="Normal 13 3 5 3 2 3" xfId="23667" xr:uid="{00000000-0005-0000-0000-0000735C0000}"/>
    <cellStyle name="Normal 13 3 5 3 2 4" xfId="23668" xr:uid="{00000000-0005-0000-0000-0000745C0000}"/>
    <cellStyle name="Normal 13 3 5 3 3" xfId="23669" xr:uid="{00000000-0005-0000-0000-0000755C0000}"/>
    <cellStyle name="Normal 13 3 5 3 3 2" xfId="23670" xr:uid="{00000000-0005-0000-0000-0000765C0000}"/>
    <cellStyle name="Normal 13 3 5 3 3 3" xfId="23671" xr:uid="{00000000-0005-0000-0000-0000775C0000}"/>
    <cellStyle name="Normal 13 3 5 3 4" xfId="23672" xr:uid="{00000000-0005-0000-0000-0000785C0000}"/>
    <cellStyle name="Normal 13 3 5 3 5" xfId="23673" xr:uid="{00000000-0005-0000-0000-0000795C0000}"/>
    <cellStyle name="Normal 13 3 5 4" xfId="23674" xr:uid="{00000000-0005-0000-0000-00007A5C0000}"/>
    <cellStyle name="Normal 13 3 5 4 2" xfId="23675" xr:uid="{00000000-0005-0000-0000-00007B5C0000}"/>
    <cellStyle name="Normal 13 3 5 4 2 2" xfId="23676" xr:uid="{00000000-0005-0000-0000-00007C5C0000}"/>
    <cellStyle name="Normal 13 3 5 4 2 3" xfId="23677" xr:uid="{00000000-0005-0000-0000-00007D5C0000}"/>
    <cellStyle name="Normal 13 3 5 4 3" xfId="23678" xr:uid="{00000000-0005-0000-0000-00007E5C0000}"/>
    <cellStyle name="Normal 13 3 5 4 4" xfId="23679" xr:uid="{00000000-0005-0000-0000-00007F5C0000}"/>
    <cellStyle name="Normal 13 3 5 5" xfId="23680" xr:uid="{00000000-0005-0000-0000-0000805C0000}"/>
    <cellStyle name="Normal 13 3 5 5 2" xfId="23681" xr:uid="{00000000-0005-0000-0000-0000815C0000}"/>
    <cellStyle name="Normal 13 3 5 5 3" xfId="23682" xr:uid="{00000000-0005-0000-0000-0000825C0000}"/>
    <cellStyle name="Normal 13 3 5 6" xfId="23683" xr:uid="{00000000-0005-0000-0000-0000835C0000}"/>
    <cellStyle name="Normal 13 3 5 7" xfId="23684" xr:uid="{00000000-0005-0000-0000-0000845C0000}"/>
    <cellStyle name="Normal 13 3 6" xfId="23685" xr:uid="{00000000-0005-0000-0000-0000855C0000}"/>
    <cellStyle name="Normal 13 3 6 2" xfId="23686" xr:uid="{00000000-0005-0000-0000-0000865C0000}"/>
    <cellStyle name="Normal 13 3 6 2 2" xfId="23687" xr:uid="{00000000-0005-0000-0000-0000875C0000}"/>
    <cellStyle name="Normal 13 3 6 2 2 2" xfId="23688" xr:uid="{00000000-0005-0000-0000-0000885C0000}"/>
    <cellStyle name="Normal 13 3 6 2 2 2 2" xfId="23689" xr:uid="{00000000-0005-0000-0000-0000895C0000}"/>
    <cellStyle name="Normal 13 3 6 2 2 2 3" xfId="23690" xr:uid="{00000000-0005-0000-0000-00008A5C0000}"/>
    <cellStyle name="Normal 13 3 6 2 2 3" xfId="23691" xr:uid="{00000000-0005-0000-0000-00008B5C0000}"/>
    <cellStyle name="Normal 13 3 6 2 2 4" xfId="23692" xr:uid="{00000000-0005-0000-0000-00008C5C0000}"/>
    <cellStyle name="Normal 13 3 6 2 3" xfId="23693" xr:uid="{00000000-0005-0000-0000-00008D5C0000}"/>
    <cellStyle name="Normal 13 3 6 2 3 2" xfId="23694" xr:uid="{00000000-0005-0000-0000-00008E5C0000}"/>
    <cellStyle name="Normal 13 3 6 2 3 3" xfId="23695" xr:uid="{00000000-0005-0000-0000-00008F5C0000}"/>
    <cellStyle name="Normal 13 3 6 2 4" xfId="23696" xr:uid="{00000000-0005-0000-0000-0000905C0000}"/>
    <cellStyle name="Normal 13 3 6 2 5" xfId="23697" xr:uid="{00000000-0005-0000-0000-0000915C0000}"/>
    <cellStyle name="Normal 13 3 6 3" xfId="23698" xr:uid="{00000000-0005-0000-0000-0000925C0000}"/>
    <cellStyle name="Normal 13 3 6 3 2" xfId="23699" xr:uid="{00000000-0005-0000-0000-0000935C0000}"/>
    <cellStyle name="Normal 13 3 6 3 2 2" xfId="23700" xr:uid="{00000000-0005-0000-0000-0000945C0000}"/>
    <cellStyle name="Normal 13 3 6 3 2 3" xfId="23701" xr:uid="{00000000-0005-0000-0000-0000955C0000}"/>
    <cellStyle name="Normal 13 3 6 3 3" xfId="23702" xr:uid="{00000000-0005-0000-0000-0000965C0000}"/>
    <cellStyle name="Normal 13 3 6 3 4" xfId="23703" xr:uid="{00000000-0005-0000-0000-0000975C0000}"/>
    <cellStyle name="Normal 13 3 6 4" xfId="23704" xr:uid="{00000000-0005-0000-0000-0000985C0000}"/>
    <cellStyle name="Normal 13 3 6 4 2" xfId="23705" xr:uid="{00000000-0005-0000-0000-0000995C0000}"/>
    <cellStyle name="Normal 13 3 6 4 3" xfId="23706" xr:uid="{00000000-0005-0000-0000-00009A5C0000}"/>
    <cellStyle name="Normal 13 3 6 5" xfId="23707" xr:uid="{00000000-0005-0000-0000-00009B5C0000}"/>
    <cellStyle name="Normal 13 3 6 6" xfId="23708" xr:uid="{00000000-0005-0000-0000-00009C5C0000}"/>
    <cellStyle name="Normal 13 3 7" xfId="23709" xr:uid="{00000000-0005-0000-0000-00009D5C0000}"/>
    <cellStyle name="Normal 13 3 7 2" xfId="23710" xr:uid="{00000000-0005-0000-0000-00009E5C0000}"/>
    <cellStyle name="Normal 13 3 7 2 2" xfId="23711" xr:uid="{00000000-0005-0000-0000-00009F5C0000}"/>
    <cellStyle name="Normal 13 3 7 2 2 2" xfId="23712" xr:uid="{00000000-0005-0000-0000-0000A05C0000}"/>
    <cellStyle name="Normal 13 3 7 2 2 3" xfId="23713" xr:uid="{00000000-0005-0000-0000-0000A15C0000}"/>
    <cellStyle name="Normal 13 3 7 2 3" xfId="23714" xr:uid="{00000000-0005-0000-0000-0000A25C0000}"/>
    <cellStyle name="Normal 13 3 7 2 4" xfId="23715" xr:uid="{00000000-0005-0000-0000-0000A35C0000}"/>
    <cellStyle name="Normal 13 3 7 3" xfId="23716" xr:uid="{00000000-0005-0000-0000-0000A45C0000}"/>
    <cellStyle name="Normal 13 3 7 3 2" xfId="23717" xr:uid="{00000000-0005-0000-0000-0000A55C0000}"/>
    <cellStyle name="Normal 13 3 7 3 3" xfId="23718" xr:uid="{00000000-0005-0000-0000-0000A65C0000}"/>
    <cellStyle name="Normal 13 3 7 4" xfId="23719" xr:uid="{00000000-0005-0000-0000-0000A75C0000}"/>
    <cellStyle name="Normal 13 3 7 5" xfId="23720" xr:uid="{00000000-0005-0000-0000-0000A85C0000}"/>
    <cellStyle name="Normal 13 3 8" xfId="23721" xr:uid="{00000000-0005-0000-0000-0000A95C0000}"/>
    <cellStyle name="Normal 13 3 8 2" xfId="23722" xr:uid="{00000000-0005-0000-0000-0000AA5C0000}"/>
    <cellStyle name="Normal 13 3 8 2 2" xfId="23723" xr:uid="{00000000-0005-0000-0000-0000AB5C0000}"/>
    <cellStyle name="Normal 13 3 8 2 3" xfId="23724" xr:uid="{00000000-0005-0000-0000-0000AC5C0000}"/>
    <cellStyle name="Normal 13 3 8 3" xfId="23725" xr:uid="{00000000-0005-0000-0000-0000AD5C0000}"/>
    <cellStyle name="Normal 13 3 8 4" xfId="23726" xr:uid="{00000000-0005-0000-0000-0000AE5C0000}"/>
    <cellStyle name="Normal 13 3 9" xfId="23727" xr:uid="{00000000-0005-0000-0000-0000AF5C0000}"/>
    <cellStyle name="Normal 13 3 9 2" xfId="23728" xr:uid="{00000000-0005-0000-0000-0000B05C0000}"/>
    <cellStyle name="Normal 13 3 9 3" xfId="23729" xr:uid="{00000000-0005-0000-0000-0000B15C0000}"/>
    <cellStyle name="Normal 13 4" xfId="23730" xr:uid="{00000000-0005-0000-0000-0000B25C0000}"/>
    <cellStyle name="Normal 13 4 10" xfId="23731" xr:uid="{00000000-0005-0000-0000-0000B35C0000}"/>
    <cellStyle name="Normal 13 4 2" xfId="23732" xr:uid="{00000000-0005-0000-0000-0000B45C0000}"/>
    <cellStyle name="Normal 13 4 2 2" xfId="23733" xr:uid="{00000000-0005-0000-0000-0000B55C0000}"/>
    <cellStyle name="Normal 13 4 2 2 2" xfId="23734" xr:uid="{00000000-0005-0000-0000-0000B65C0000}"/>
    <cellStyle name="Normal 13 4 2 2 2 2" xfId="23735" xr:uid="{00000000-0005-0000-0000-0000B75C0000}"/>
    <cellStyle name="Normal 13 4 2 2 2 2 2" xfId="23736" xr:uid="{00000000-0005-0000-0000-0000B85C0000}"/>
    <cellStyle name="Normal 13 4 2 2 2 2 2 2" xfId="23737" xr:uid="{00000000-0005-0000-0000-0000B95C0000}"/>
    <cellStyle name="Normal 13 4 2 2 2 2 2 2 2" xfId="23738" xr:uid="{00000000-0005-0000-0000-0000BA5C0000}"/>
    <cellStyle name="Normal 13 4 2 2 2 2 2 2 2 2" xfId="23739" xr:uid="{00000000-0005-0000-0000-0000BB5C0000}"/>
    <cellStyle name="Normal 13 4 2 2 2 2 2 2 2 3" xfId="23740" xr:uid="{00000000-0005-0000-0000-0000BC5C0000}"/>
    <cellStyle name="Normal 13 4 2 2 2 2 2 2 3" xfId="23741" xr:uid="{00000000-0005-0000-0000-0000BD5C0000}"/>
    <cellStyle name="Normal 13 4 2 2 2 2 2 2 4" xfId="23742" xr:uid="{00000000-0005-0000-0000-0000BE5C0000}"/>
    <cellStyle name="Normal 13 4 2 2 2 2 2 3" xfId="23743" xr:uid="{00000000-0005-0000-0000-0000BF5C0000}"/>
    <cellStyle name="Normal 13 4 2 2 2 2 2 3 2" xfId="23744" xr:uid="{00000000-0005-0000-0000-0000C05C0000}"/>
    <cellStyle name="Normal 13 4 2 2 2 2 2 3 3" xfId="23745" xr:uid="{00000000-0005-0000-0000-0000C15C0000}"/>
    <cellStyle name="Normal 13 4 2 2 2 2 2 4" xfId="23746" xr:uid="{00000000-0005-0000-0000-0000C25C0000}"/>
    <cellStyle name="Normal 13 4 2 2 2 2 2 5" xfId="23747" xr:uid="{00000000-0005-0000-0000-0000C35C0000}"/>
    <cellStyle name="Normal 13 4 2 2 2 2 3" xfId="23748" xr:uid="{00000000-0005-0000-0000-0000C45C0000}"/>
    <cellStyle name="Normal 13 4 2 2 2 2 3 2" xfId="23749" xr:uid="{00000000-0005-0000-0000-0000C55C0000}"/>
    <cellStyle name="Normal 13 4 2 2 2 2 3 2 2" xfId="23750" xr:uid="{00000000-0005-0000-0000-0000C65C0000}"/>
    <cellStyle name="Normal 13 4 2 2 2 2 3 2 3" xfId="23751" xr:uid="{00000000-0005-0000-0000-0000C75C0000}"/>
    <cellStyle name="Normal 13 4 2 2 2 2 3 3" xfId="23752" xr:uid="{00000000-0005-0000-0000-0000C85C0000}"/>
    <cellStyle name="Normal 13 4 2 2 2 2 3 4" xfId="23753" xr:uid="{00000000-0005-0000-0000-0000C95C0000}"/>
    <cellStyle name="Normal 13 4 2 2 2 2 4" xfId="23754" xr:uid="{00000000-0005-0000-0000-0000CA5C0000}"/>
    <cellStyle name="Normal 13 4 2 2 2 2 4 2" xfId="23755" xr:uid="{00000000-0005-0000-0000-0000CB5C0000}"/>
    <cellStyle name="Normal 13 4 2 2 2 2 4 3" xfId="23756" xr:uid="{00000000-0005-0000-0000-0000CC5C0000}"/>
    <cellStyle name="Normal 13 4 2 2 2 2 5" xfId="23757" xr:uid="{00000000-0005-0000-0000-0000CD5C0000}"/>
    <cellStyle name="Normal 13 4 2 2 2 2 6" xfId="23758" xr:uid="{00000000-0005-0000-0000-0000CE5C0000}"/>
    <cellStyle name="Normal 13 4 2 2 2 3" xfId="23759" xr:uid="{00000000-0005-0000-0000-0000CF5C0000}"/>
    <cellStyle name="Normal 13 4 2 2 2 3 2" xfId="23760" xr:uid="{00000000-0005-0000-0000-0000D05C0000}"/>
    <cellStyle name="Normal 13 4 2 2 2 3 2 2" xfId="23761" xr:uid="{00000000-0005-0000-0000-0000D15C0000}"/>
    <cellStyle name="Normal 13 4 2 2 2 3 2 2 2" xfId="23762" xr:uid="{00000000-0005-0000-0000-0000D25C0000}"/>
    <cellStyle name="Normal 13 4 2 2 2 3 2 2 3" xfId="23763" xr:uid="{00000000-0005-0000-0000-0000D35C0000}"/>
    <cellStyle name="Normal 13 4 2 2 2 3 2 3" xfId="23764" xr:uid="{00000000-0005-0000-0000-0000D45C0000}"/>
    <cellStyle name="Normal 13 4 2 2 2 3 2 4" xfId="23765" xr:uid="{00000000-0005-0000-0000-0000D55C0000}"/>
    <cellStyle name="Normal 13 4 2 2 2 3 3" xfId="23766" xr:uid="{00000000-0005-0000-0000-0000D65C0000}"/>
    <cellStyle name="Normal 13 4 2 2 2 3 3 2" xfId="23767" xr:uid="{00000000-0005-0000-0000-0000D75C0000}"/>
    <cellStyle name="Normal 13 4 2 2 2 3 3 3" xfId="23768" xr:uid="{00000000-0005-0000-0000-0000D85C0000}"/>
    <cellStyle name="Normal 13 4 2 2 2 3 4" xfId="23769" xr:uid="{00000000-0005-0000-0000-0000D95C0000}"/>
    <cellStyle name="Normal 13 4 2 2 2 3 5" xfId="23770" xr:uid="{00000000-0005-0000-0000-0000DA5C0000}"/>
    <cellStyle name="Normal 13 4 2 2 2 4" xfId="23771" xr:uid="{00000000-0005-0000-0000-0000DB5C0000}"/>
    <cellStyle name="Normal 13 4 2 2 2 4 2" xfId="23772" xr:uid="{00000000-0005-0000-0000-0000DC5C0000}"/>
    <cellStyle name="Normal 13 4 2 2 2 4 2 2" xfId="23773" xr:uid="{00000000-0005-0000-0000-0000DD5C0000}"/>
    <cellStyle name="Normal 13 4 2 2 2 4 2 3" xfId="23774" xr:uid="{00000000-0005-0000-0000-0000DE5C0000}"/>
    <cellStyle name="Normal 13 4 2 2 2 4 3" xfId="23775" xr:uid="{00000000-0005-0000-0000-0000DF5C0000}"/>
    <cellStyle name="Normal 13 4 2 2 2 4 4" xfId="23776" xr:uid="{00000000-0005-0000-0000-0000E05C0000}"/>
    <cellStyle name="Normal 13 4 2 2 2 5" xfId="23777" xr:uid="{00000000-0005-0000-0000-0000E15C0000}"/>
    <cellStyle name="Normal 13 4 2 2 2 5 2" xfId="23778" xr:uid="{00000000-0005-0000-0000-0000E25C0000}"/>
    <cellStyle name="Normal 13 4 2 2 2 5 3" xfId="23779" xr:uid="{00000000-0005-0000-0000-0000E35C0000}"/>
    <cellStyle name="Normal 13 4 2 2 2 6" xfId="23780" xr:uid="{00000000-0005-0000-0000-0000E45C0000}"/>
    <cellStyle name="Normal 13 4 2 2 2 7" xfId="23781" xr:uid="{00000000-0005-0000-0000-0000E55C0000}"/>
    <cellStyle name="Normal 13 4 2 2 3" xfId="23782" xr:uid="{00000000-0005-0000-0000-0000E65C0000}"/>
    <cellStyle name="Normal 13 4 2 2 3 2" xfId="23783" xr:uid="{00000000-0005-0000-0000-0000E75C0000}"/>
    <cellStyle name="Normal 13 4 2 2 3 2 2" xfId="23784" xr:uid="{00000000-0005-0000-0000-0000E85C0000}"/>
    <cellStyle name="Normal 13 4 2 2 3 2 2 2" xfId="23785" xr:uid="{00000000-0005-0000-0000-0000E95C0000}"/>
    <cellStyle name="Normal 13 4 2 2 3 2 2 2 2" xfId="23786" xr:uid="{00000000-0005-0000-0000-0000EA5C0000}"/>
    <cellStyle name="Normal 13 4 2 2 3 2 2 2 3" xfId="23787" xr:uid="{00000000-0005-0000-0000-0000EB5C0000}"/>
    <cellStyle name="Normal 13 4 2 2 3 2 2 3" xfId="23788" xr:uid="{00000000-0005-0000-0000-0000EC5C0000}"/>
    <cellStyle name="Normal 13 4 2 2 3 2 2 4" xfId="23789" xr:uid="{00000000-0005-0000-0000-0000ED5C0000}"/>
    <cellStyle name="Normal 13 4 2 2 3 2 3" xfId="23790" xr:uid="{00000000-0005-0000-0000-0000EE5C0000}"/>
    <cellStyle name="Normal 13 4 2 2 3 2 3 2" xfId="23791" xr:uid="{00000000-0005-0000-0000-0000EF5C0000}"/>
    <cellStyle name="Normal 13 4 2 2 3 2 3 3" xfId="23792" xr:uid="{00000000-0005-0000-0000-0000F05C0000}"/>
    <cellStyle name="Normal 13 4 2 2 3 2 4" xfId="23793" xr:uid="{00000000-0005-0000-0000-0000F15C0000}"/>
    <cellStyle name="Normal 13 4 2 2 3 2 5" xfId="23794" xr:uid="{00000000-0005-0000-0000-0000F25C0000}"/>
    <cellStyle name="Normal 13 4 2 2 3 3" xfId="23795" xr:uid="{00000000-0005-0000-0000-0000F35C0000}"/>
    <cellStyle name="Normal 13 4 2 2 3 3 2" xfId="23796" xr:uid="{00000000-0005-0000-0000-0000F45C0000}"/>
    <cellStyle name="Normal 13 4 2 2 3 3 2 2" xfId="23797" xr:uid="{00000000-0005-0000-0000-0000F55C0000}"/>
    <cellStyle name="Normal 13 4 2 2 3 3 2 3" xfId="23798" xr:uid="{00000000-0005-0000-0000-0000F65C0000}"/>
    <cellStyle name="Normal 13 4 2 2 3 3 3" xfId="23799" xr:uid="{00000000-0005-0000-0000-0000F75C0000}"/>
    <cellStyle name="Normal 13 4 2 2 3 3 4" xfId="23800" xr:uid="{00000000-0005-0000-0000-0000F85C0000}"/>
    <cellStyle name="Normal 13 4 2 2 3 4" xfId="23801" xr:uid="{00000000-0005-0000-0000-0000F95C0000}"/>
    <cellStyle name="Normal 13 4 2 2 3 4 2" xfId="23802" xr:uid="{00000000-0005-0000-0000-0000FA5C0000}"/>
    <cellStyle name="Normal 13 4 2 2 3 4 3" xfId="23803" xr:uid="{00000000-0005-0000-0000-0000FB5C0000}"/>
    <cellStyle name="Normal 13 4 2 2 3 5" xfId="23804" xr:uid="{00000000-0005-0000-0000-0000FC5C0000}"/>
    <cellStyle name="Normal 13 4 2 2 3 6" xfId="23805" xr:uid="{00000000-0005-0000-0000-0000FD5C0000}"/>
    <cellStyle name="Normal 13 4 2 2 4" xfId="23806" xr:uid="{00000000-0005-0000-0000-0000FE5C0000}"/>
    <cellStyle name="Normal 13 4 2 2 4 2" xfId="23807" xr:uid="{00000000-0005-0000-0000-0000FF5C0000}"/>
    <cellStyle name="Normal 13 4 2 2 4 2 2" xfId="23808" xr:uid="{00000000-0005-0000-0000-0000005D0000}"/>
    <cellStyle name="Normal 13 4 2 2 4 2 2 2" xfId="23809" xr:uid="{00000000-0005-0000-0000-0000015D0000}"/>
    <cellStyle name="Normal 13 4 2 2 4 2 2 3" xfId="23810" xr:uid="{00000000-0005-0000-0000-0000025D0000}"/>
    <cellStyle name="Normal 13 4 2 2 4 2 3" xfId="23811" xr:uid="{00000000-0005-0000-0000-0000035D0000}"/>
    <cellStyle name="Normal 13 4 2 2 4 2 4" xfId="23812" xr:uid="{00000000-0005-0000-0000-0000045D0000}"/>
    <cellStyle name="Normal 13 4 2 2 4 3" xfId="23813" xr:uid="{00000000-0005-0000-0000-0000055D0000}"/>
    <cellStyle name="Normal 13 4 2 2 4 3 2" xfId="23814" xr:uid="{00000000-0005-0000-0000-0000065D0000}"/>
    <cellStyle name="Normal 13 4 2 2 4 3 3" xfId="23815" xr:uid="{00000000-0005-0000-0000-0000075D0000}"/>
    <cellStyle name="Normal 13 4 2 2 4 4" xfId="23816" xr:uid="{00000000-0005-0000-0000-0000085D0000}"/>
    <cellStyle name="Normal 13 4 2 2 4 5" xfId="23817" xr:uid="{00000000-0005-0000-0000-0000095D0000}"/>
    <cellStyle name="Normal 13 4 2 2 5" xfId="23818" xr:uid="{00000000-0005-0000-0000-00000A5D0000}"/>
    <cellStyle name="Normal 13 4 2 2 5 2" xfId="23819" xr:uid="{00000000-0005-0000-0000-00000B5D0000}"/>
    <cellStyle name="Normal 13 4 2 2 5 2 2" xfId="23820" xr:uid="{00000000-0005-0000-0000-00000C5D0000}"/>
    <cellStyle name="Normal 13 4 2 2 5 2 3" xfId="23821" xr:uid="{00000000-0005-0000-0000-00000D5D0000}"/>
    <cellStyle name="Normal 13 4 2 2 5 3" xfId="23822" xr:uid="{00000000-0005-0000-0000-00000E5D0000}"/>
    <cellStyle name="Normal 13 4 2 2 5 4" xfId="23823" xr:uid="{00000000-0005-0000-0000-00000F5D0000}"/>
    <cellStyle name="Normal 13 4 2 2 6" xfId="23824" xr:uid="{00000000-0005-0000-0000-0000105D0000}"/>
    <cellStyle name="Normal 13 4 2 2 6 2" xfId="23825" xr:uid="{00000000-0005-0000-0000-0000115D0000}"/>
    <cellStyle name="Normal 13 4 2 2 6 3" xfId="23826" xr:uid="{00000000-0005-0000-0000-0000125D0000}"/>
    <cellStyle name="Normal 13 4 2 2 7" xfId="23827" xr:uid="{00000000-0005-0000-0000-0000135D0000}"/>
    <cellStyle name="Normal 13 4 2 2 8" xfId="23828" xr:uid="{00000000-0005-0000-0000-0000145D0000}"/>
    <cellStyle name="Normal 13 4 2 3" xfId="23829" xr:uid="{00000000-0005-0000-0000-0000155D0000}"/>
    <cellStyle name="Normal 13 4 2 3 2" xfId="23830" xr:uid="{00000000-0005-0000-0000-0000165D0000}"/>
    <cellStyle name="Normal 13 4 2 3 2 2" xfId="23831" xr:uid="{00000000-0005-0000-0000-0000175D0000}"/>
    <cellStyle name="Normal 13 4 2 3 2 2 2" xfId="23832" xr:uid="{00000000-0005-0000-0000-0000185D0000}"/>
    <cellStyle name="Normal 13 4 2 3 2 2 2 2" xfId="23833" xr:uid="{00000000-0005-0000-0000-0000195D0000}"/>
    <cellStyle name="Normal 13 4 2 3 2 2 2 2 2" xfId="23834" xr:uid="{00000000-0005-0000-0000-00001A5D0000}"/>
    <cellStyle name="Normal 13 4 2 3 2 2 2 2 3" xfId="23835" xr:uid="{00000000-0005-0000-0000-00001B5D0000}"/>
    <cellStyle name="Normal 13 4 2 3 2 2 2 3" xfId="23836" xr:uid="{00000000-0005-0000-0000-00001C5D0000}"/>
    <cellStyle name="Normal 13 4 2 3 2 2 2 4" xfId="23837" xr:uid="{00000000-0005-0000-0000-00001D5D0000}"/>
    <cellStyle name="Normal 13 4 2 3 2 2 3" xfId="23838" xr:uid="{00000000-0005-0000-0000-00001E5D0000}"/>
    <cellStyle name="Normal 13 4 2 3 2 2 3 2" xfId="23839" xr:uid="{00000000-0005-0000-0000-00001F5D0000}"/>
    <cellStyle name="Normal 13 4 2 3 2 2 3 3" xfId="23840" xr:uid="{00000000-0005-0000-0000-0000205D0000}"/>
    <cellStyle name="Normal 13 4 2 3 2 2 4" xfId="23841" xr:uid="{00000000-0005-0000-0000-0000215D0000}"/>
    <cellStyle name="Normal 13 4 2 3 2 2 5" xfId="23842" xr:uid="{00000000-0005-0000-0000-0000225D0000}"/>
    <cellStyle name="Normal 13 4 2 3 2 3" xfId="23843" xr:uid="{00000000-0005-0000-0000-0000235D0000}"/>
    <cellStyle name="Normal 13 4 2 3 2 3 2" xfId="23844" xr:uid="{00000000-0005-0000-0000-0000245D0000}"/>
    <cellStyle name="Normal 13 4 2 3 2 3 2 2" xfId="23845" xr:uid="{00000000-0005-0000-0000-0000255D0000}"/>
    <cellStyle name="Normal 13 4 2 3 2 3 2 3" xfId="23846" xr:uid="{00000000-0005-0000-0000-0000265D0000}"/>
    <cellStyle name="Normal 13 4 2 3 2 3 3" xfId="23847" xr:uid="{00000000-0005-0000-0000-0000275D0000}"/>
    <cellStyle name="Normal 13 4 2 3 2 3 4" xfId="23848" xr:uid="{00000000-0005-0000-0000-0000285D0000}"/>
    <cellStyle name="Normal 13 4 2 3 2 4" xfId="23849" xr:uid="{00000000-0005-0000-0000-0000295D0000}"/>
    <cellStyle name="Normal 13 4 2 3 2 4 2" xfId="23850" xr:uid="{00000000-0005-0000-0000-00002A5D0000}"/>
    <cellStyle name="Normal 13 4 2 3 2 4 3" xfId="23851" xr:uid="{00000000-0005-0000-0000-00002B5D0000}"/>
    <cellStyle name="Normal 13 4 2 3 2 5" xfId="23852" xr:uid="{00000000-0005-0000-0000-00002C5D0000}"/>
    <cellStyle name="Normal 13 4 2 3 2 6" xfId="23853" xr:uid="{00000000-0005-0000-0000-00002D5D0000}"/>
    <cellStyle name="Normal 13 4 2 3 3" xfId="23854" xr:uid="{00000000-0005-0000-0000-00002E5D0000}"/>
    <cellStyle name="Normal 13 4 2 3 3 2" xfId="23855" xr:uid="{00000000-0005-0000-0000-00002F5D0000}"/>
    <cellStyle name="Normal 13 4 2 3 3 2 2" xfId="23856" xr:uid="{00000000-0005-0000-0000-0000305D0000}"/>
    <cellStyle name="Normal 13 4 2 3 3 2 2 2" xfId="23857" xr:uid="{00000000-0005-0000-0000-0000315D0000}"/>
    <cellStyle name="Normal 13 4 2 3 3 2 2 3" xfId="23858" xr:uid="{00000000-0005-0000-0000-0000325D0000}"/>
    <cellStyle name="Normal 13 4 2 3 3 2 3" xfId="23859" xr:uid="{00000000-0005-0000-0000-0000335D0000}"/>
    <cellStyle name="Normal 13 4 2 3 3 2 4" xfId="23860" xr:uid="{00000000-0005-0000-0000-0000345D0000}"/>
    <cellStyle name="Normal 13 4 2 3 3 3" xfId="23861" xr:uid="{00000000-0005-0000-0000-0000355D0000}"/>
    <cellStyle name="Normal 13 4 2 3 3 3 2" xfId="23862" xr:uid="{00000000-0005-0000-0000-0000365D0000}"/>
    <cellStyle name="Normal 13 4 2 3 3 3 3" xfId="23863" xr:uid="{00000000-0005-0000-0000-0000375D0000}"/>
    <cellStyle name="Normal 13 4 2 3 3 4" xfId="23864" xr:uid="{00000000-0005-0000-0000-0000385D0000}"/>
    <cellStyle name="Normal 13 4 2 3 3 5" xfId="23865" xr:uid="{00000000-0005-0000-0000-0000395D0000}"/>
    <cellStyle name="Normal 13 4 2 3 4" xfId="23866" xr:uid="{00000000-0005-0000-0000-00003A5D0000}"/>
    <cellStyle name="Normal 13 4 2 3 4 2" xfId="23867" xr:uid="{00000000-0005-0000-0000-00003B5D0000}"/>
    <cellStyle name="Normal 13 4 2 3 4 2 2" xfId="23868" xr:uid="{00000000-0005-0000-0000-00003C5D0000}"/>
    <cellStyle name="Normal 13 4 2 3 4 2 3" xfId="23869" xr:uid="{00000000-0005-0000-0000-00003D5D0000}"/>
    <cellStyle name="Normal 13 4 2 3 4 3" xfId="23870" xr:uid="{00000000-0005-0000-0000-00003E5D0000}"/>
    <cellStyle name="Normal 13 4 2 3 4 4" xfId="23871" xr:uid="{00000000-0005-0000-0000-00003F5D0000}"/>
    <cellStyle name="Normal 13 4 2 3 5" xfId="23872" xr:uid="{00000000-0005-0000-0000-0000405D0000}"/>
    <cellStyle name="Normal 13 4 2 3 5 2" xfId="23873" xr:uid="{00000000-0005-0000-0000-0000415D0000}"/>
    <cellStyle name="Normal 13 4 2 3 5 3" xfId="23874" xr:uid="{00000000-0005-0000-0000-0000425D0000}"/>
    <cellStyle name="Normal 13 4 2 3 6" xfId="23875" xr:uid="{00000000-0005-0000-0000-0000435D0000}"/>
    <cellStyle name="Normal 13 4 2 3 7" xfId="23876" xr:uid="{00000000-0005-0000-0000-0000445D0000}"/>
    <cellStyle name="Normal 13 4 2 4" xfId="23877" xr:uid="{00000000-0005-0000-0000-0000455D0000}"/>
    <cellStyle name="Normal 13 4 2 4 2" xfId="23878" xr:uid="{00000000-0005-0000-0000-0000465D0000}"/>
    <cellStyle name="Normal 13 4 2 4 2 2" xfId="23879" xr:uid="{00000000-0005-0000-0000-0000475D0000}"/>
    <cellStyle name="Normal 13 4 2 4 2 2 2" xfId="23880" xr:uid="{00000000-0005-0000-0000-0000485D0000}"/>
    <cellStyle name="Normal 13 4 2 4 2 2 2 2" xfId="23881" xr:uid="{00000000-0005-0000-0000-0000495D0000}"/>
    <cellStyle name="Normal 13 4 2 4 2 2 2 3" xfId="23882" xr:uid="{00000000-0005-0000-0000-00004A5D0000}"/>
    <cellStyle name="Normal 13 4 2 4 2 2 3" xfId="23883" xr:uid="{00000000-0005-0000-0000-00004B5D0000}"/>
    <cellStyle name="Normal 13 4 2 4 2 2 4" xfId="23884" xr:uid="{00000000-0005-0000-0000-00004C5D0000}"/>
    <cellStyle name="Normal 13 4 2 4 2 3" xfId="23885" xr:uid="{00000000-0005-0000-0000-00004D5D0000}"/>
    <cellStyle name="Normal 13 4 2 4 2 3 2" xfId="23886" xr:uid="{00000000-0005-0000-0000-00004E5D0000}"/>
    <cellStyle name="Normal 13 4 2 4 2 3 3" xfId="23887" xr:uid="{00000000-0005-0000-0000-00004F5D0000}"/>
    <cellStyle name="Normal 13 4 2 4 2 4" xfId="23888" xr:uid="{00000000-0005-0000-0000-0000505D0000}"/>
    <cellStyle name="Normal 13 4 2 4 2 5" xfId="23889" xr:uid="{00000000-0005-0000-0000-0000515D0000}"/>
    <cellStyle name="Normal 13 4 2 4 3" xfId="23890" xr:uid="{00000000-0005-0000-0000-0000525D0000}"/>
    <cellStyle name="Normal 13 4 2 4 3 2" xfId="23891" xr:uid="{00000000-0005-0000-0000-0000535D0000}"/>
    <cellStyle name="Normal 13 4 2 4 3 2 2" xfId="23892" xr:uid="{00000000-0005-0000-0000-0000545D0000}"/>
    <cellStyle name="Normal 13 4 2 4 3 2 3" xfId="23893" xr:uid="{00000000-0005-0000-0000-0000555D0000}"/>
    <cellStyle name="Normal 13 4 2 4 3 3" xfId="23894" xr:uid="{00000000-0005-0000-0000-0000565D0000}"/>
    <cellStyle name="Normal 13 4 2 4 3 4" xfId="23895" xr:uid="{00000000-0005-0000-0000-0000575D0000}"/>
    <cellStyle name="Normal 13 4 2 4 4" xfId="23896" xr:uid="{00000000-0005-0000-0000-0000585D0000}"/>
    <cellStyle name="Normal 13 4 2 4 4 2" xfId="23897" xr:uid="{00000000-0005-0000-0000-0000595D0000}"/>
    <cellStyle name="Normal 13 4 2 4 4 3" xfId="23898" xr:uid="{00000000-0005-0000-0000-00005A5D0000}"/>
    <cellStyle name="Normal 13 4 2 4 5" xfId="23899" xr:uid="{00000000-0005-0000-0000-00005B5D0000}"/>
    <cellStyle name="Normal 13 4 2 4 6" xfId="23900" xr:uid="{00000000-0005-0000-0000-00005C5D0000}"/>
    <cellStyle name="Normal 13 4 2 5" xfId="23901" xr:uid="{00000000-0005-0000-0000-00005D5D0000}"/>
    <cellStyle name="Normal 13 4 2 5 2" xfId="23902" xr:uid="{00000000-0005-0000-0000-00005E5D0000}"/>
    <cellStyle name="Normal 13 4 2 5 2 2" xfId="23903" xr:uid="{00000000-0005-0000-0000-00005F5D0000}"/>
    <cellStyle name="Normal 13 4 2 5 2 2 2" xfId="23904" xr:uid="{00000000-0005-0000-0000-0000605D0000}"/>
    <cellStyle name="Normal 13 4 2 5 2 2 3" xfId="23905" xr:uid="{00000000-0005-0000-0000-0000615D0000}"/>
    <cellStyle name="Normal 13 4 2 5 2 3" xfId="23906" xr:uid="{00000000-0005-0000-0000-0000625D0000}"/>
    <cellStyle name="Normal 13 4 2 5 2 4" xfId="23907" xr:uid="{00000000-0005-0000-0000-0000635D0000}"/>
    <cellStyle name="Normal 13 4 2 5 3" xfId="23908" xr:uid="{00000000-0005-0000-0000-0000645D0000}"/>
    <cellStyle name="Normal 13 4 2 5 3 2" xfId="23909" xr:uid="{00000000-0005-0000-0000-0000655D0000}"/>
    <cellStyle name="Normal 13 4 2 5 3 3" xfId="23910" xr:uid="{00000000-0005-0000-0000-0000665D0000}"/>
    <cellStyle name="Normal 13 4 2 5 4" xfId="23911" xr:uid="{00000000-0005-0000-0000-0000675D0000}"/>
    <cellStyle name="Normal 13 4 2 5 5" xfId="23912" xr:uid="{00000000-0005-0000-0000-0000685D0000}"/>
    <cellStyle name="Normal 13 4 2 6" xfId="23913" xr:uid="{00000000-0005-0000-0000-0000695D0000}"/>
    <cellStyle name="Normal 13 4 2 6 2" xfId="23914" xr:uid="{00000000-0005-0000-0000-00006A5D0000}"/>
    <cellStyle name="Normal 13 4 2 6 2 2" xfId="23915" xr:uid="{00000000-0005-0000-0000-00006B5D0000}"/>
    <cellStyle name="Normal 13 4 2 6 2 3" xfId="23916" xr:uid="{00000000-0005-0000-0000-00006C5D0000}"/>
    <cellStyle name="Normal 13 4 2 6 3" xfId="23917" xr:uid="{00000000-0005-0000-0000-00006D5D0000}"/>
    <cellStyle name="Normal 13 4 2 6 4" xfId="23918" xr:uid="{00000000-0005-0000-0000-00006E5D0000}"/>
    <cellStyle name="Normal 13 4 2 7" xfId="23919" xr:uid="{00000000-0005-0000-0000-00006F5D0000}"/>
    <cellStyle name="Normal 13 4 2 7 2" xfId="23920" xr:uid="{00000000-0005-0000-0000-0000705D0000}"/>
    <cellStyle name="Normal 13 4 2 7 3" xfId="23921" xr:uid="{00000000-0005-0000-0000-0000715D0000}"/>
    <cellStyle name="Normal 13 4 2 8" xfId="23922" xr:uid="{00000000-0005-0000-0000-0000725D0000}"/>
    <cellStyle name="Normal 13 4 2 9" xfId="23923" xr:uid="{00000000-0005-0000-0000-0000735D0000}"/>
    <cellStyle name="Normal 13 4 3" xfId="23924" xr:uid="{00000000-0005-0000-0000-0000745D0000}"/>
    <cellStyle name="Normal 13 4 3 2" xfId="23925" xr:uid="{00000000-0005-0000-0000-0000755D0000}"/>
    <cellStyle name="Normal 13 4 3 2 2" xfId="23926" xr:uid="{00000000-0005-0000-0000-0000765D0000}"/>
    <cellStyle name="Normal 13 4 3 2 2 2" xfId="23927" xr:uid="{00000000-0005-0000-0000-0000775D0000}"/>
    <cellStyle name="Normal 13 4 3 2 2 2 2" xfId="23928" xr:uid="{00000000-0005-0000-0000-0000785D0000}"/>
    <cellStyle name="Normal 13 4 3 2 2 2 2 2" xfId="23929" xr:uid="{00000000-0005-0000-0000-0000795D0000}"/>
    <cellStyle name="Normal 13 4 3 2 2 2 2 2 2" xfId="23930" xr:uid="{00000000-0005-0000-0000-00007A5D0000}"/>
    <cellStyle name="Normal 13 4 3 2 2 2 2 2 3" xfId="23931" xr:uid="{00000000-0005-0000-0000-00007B5D0000}"/>
    <cellStyle name="Normal 13 4 3 2 2 2 2 3" xfId="23932" xr:uid="{00000000-0005-0000-0000-00007C5D0000}"/>
    <cellStyle name="Normal 13 4 3 2 2 2 2 4" xfId="23933" xr:uid="{00000000-0005-0000-0000-00007D5D0000}"/>
    <cellStyle name="Normal 13 4 3 2 2 2 3" xfId="23934" xr:uid="{00000000-0005-0000-0000-00007E5D0000}"/>
    <cellStyle name="Normal 13 4 3 2 2 2 3 2" xfId="23935" xr:uid="{00000000-0005-0000-0000-00007F5D0000}"/>
    <cellStyle name="Normal 13 4 3 2 2 2 3 3" xfId="23936" xr:uid="{00000000-0005-0000-0000-0000805D0000}"/>
    <cellStyle name="Normal 13 4 3 2 2 2 4" xfId="23937" xr:uid="{00000000-0005-0000-0000-0000815D0000}"/>
    <cellStyle name="Normal 13 4 3 2 2 2 5" xfId="23938" xr:uid="{00000000-0005-0000-0000-0000825D0000}"/>
    <cellStyle name="Normal 13 4 3 2 2 3" xfId="23939" xr:uid="{00000000-0005-0000-0000-0000835D0000}"/>
    <cellStyle name="Normal 13 4 3 2 2 3 2" xfId="23940" xr:uid="{00000000-0005-0000-0000-0000845D0000}"/>
    <cellStyle name="Normal 13 4 3 2 2 3 2 2" xfId="23941" xr:uid="{00000000-0005-0000-0000-0000855D0000}"/>
    <cellStyle name="Normal 13 4 3 2 2 3 2 3" xfId="23942" xr:uid="{00000000-0005-0000-0000-0000865D0000}"/>
    <cellStyle name="Normal 13 4 3 2 2 3 3" xfId="23943" xr:uid="{00000000-0005-0000-0000-0000875D0000}"/>
    <cellStyle name="Normal 13 4 3 2 2 3 4" xfId="23944" xr:uid="{00000000-0005-0000-0000-0000885D0000}"/>
    <cellStyle name="Normal 13 4 3 2 2 4" xfId="23945" xr:uid="{00000000-0005-0000-0000-0000895D0000}"/>
    <cellStyle name="Normal 13 4 3 2 2 4 2" xfId="23946" xr:uid="{00000000-0005-0000-0000-00008A5D0000}"/>
    <cellStyle name="Normal 13 4 3 2 2 4 3" xfId="23947" xr:uid="{00000000-0005-0000-0000-00008B5D0000}"/>
    <cellStyle name="Normal 13 4 3 2 2 5" xfId="23948" xr:uid="{00000000-0005-0000-0000-00008C5D0000}"/>
    <cellStyle name="Normal 13 4 3 2 2 6" xfId="23949" xr:uid="{00000000-0005-0000-0000-00008D5D0000}"/>
    <cellStyle name="Normal 13 4 3 2 3" xfId="23950" xr:uid="{00000000-0005-0000-0000-00008E5D0000}"/>
    <cellStyle name="Normal 13 4 3 2 3 2" xfId="23951" xr:uid="{00000000-0005-0000-0000-00008F5D0000}"/>
    <cellStyle name="Normal 13 4 3 2 3 2 2" xfId="23952" xr:uid="{00000000-0005-0000-0000-0000905D0000}"/>
    <cellStyle name="Normal 13 4 3 2 3 2 2 2" xfId="23953" xr:uid="{00000000-0005-0000-0000-0000915D0000}"/>
    <cellStyle name="Normal 13 4 3 2 3 2 2 3" xfId="23954" xr:uid="{00000000-0005-0000-0000-0000925D0000}"/>
    <cellStyle name="Normal 13 4 3 2 3 2 3" xfId="23955" xr:uid="{00000000-0005-0000-0000-0000935D0000}"/>
    <cellStyle name="Normal 13 4 3 2 3 2 4" xfId="23956" xr:uid="{00000000-0005-0000-0000-0000945D0000}"/>
    <cellStyle name="Normal 13 4 3 2 3 3" xfId="23957" xr:uid="{00000000-0005-0000-0000-0000955D0000}"/>
    <cellStyle name="Normal 13 4 3 2 3 3 2" xfId="23958" xr:uid="{00000000-0005-0000-0000-0000965D0000}"/>
    <cellStyle name="Normal 13 4 3 2 3 3 3" xfId="23959" xr:uid="{00000000-0005-0000-0000-0000975D0000}"/>
    <cellStyle name="Normal 13 4 3 2 3 4" xfId="23960" xr:uid="{00000000-0005-0000-0000-0000985D0000}"/>
    <cellStyle name="Normal 13 4 3 2 3 5" xfId="23961" xr:uid="{00000000-0005-0000-0000-0000995D0000}"/>
    <cellStyle name="Normal 13 4 3 2 4" xfId="23962" xr:uid="{00000000-0005-0000-0000-00009A5D0000}"/>
    <cellStyle name="Normal 13 4 3 2 4 2" xfId="23963" xr:uid="{00000000-0005-0000-0000-00009B5D0000}"/>
    <cellStyle name="Normal 13 4 3 2 4 2 2" xfId="23964" xr:uid="{00000000-0005-0000-0000-00009C5D0000}"/>
    <cellStyle name="Normal 13 4 3 2 4 2 3" xfId="23965" xr:uid="{00000000-0005-0000-0000-00009D5D0000}"/>
    <cellStyle name="Normal 13 4 3 2 4 3" xfId="23966" xr:uid="{00000000-0005-0000-0000-00009E5D0000}"/>
    <cellStyle name="Normal 13 4 3 2 4 4" xfId="23967" xr:uid="{00000000-0005-0000-0000-00009F5D0000}"/>
    <cellStyle name="Normal 13 4 3 2 5" xfId="23968" xr:uid="{00000000-0005-0000-0000-0000A05D0000}"/>
    <cellStyle name="Normal 13 4 3 2 5 2" xfId="23969" xr:uid="{00000000-0005-0000-0000-0000A15D0000}"/>
    <cellStyle name="Normal 13 4 3 2 5 3" xfId="23970" xr:uid="{00000000-0005-0000-0000-0000A25D0000}"/>
    <cellStyle name="Normal 13 4 3 2 6" xfId="23971" xr:uid="{00000000-0005-0000-0000-0000A35D0000}"/>
    <cellStyle name="Normal 13 4 3 2 7" xfId="23972" xr:uid="{00000000-0005-0000-0000-0000A45D0000}"/>
    <cellStyle name="Normal 13 4 3 3" xfId="23973" xr:uid="{00000000-0005-0000-0000-0000A55D0000}"/>
    <cellStyle name="Normal 13 4 3 3 2" xfId="23974" xr:uid="{00000000-0005-0000-0000-0000A65D0000}"/>
    <cellStyle name="Normal 13 4 3 3 2 2" xfId="23975" xr:uid="{00000000-0005-0000-0000-0000A75D0000}"/>
    <cellStyle name="Normal 13 4 3 3 2 2 2" xfId="23976" xr:uid="{00000000-0005-0000-0000-0000A85D0000}"/>
    <cellStyle name="Normal 13 4 3 3 2 2 2 2" xfId="23977" xr:uid="{00000000-0005-0000-0000-0000A95D0000}"/>
    <cellStyle name="Normal 13 4 3 3 2 2 2 3" xfId="23978" xr:uid="{00000000-0005-0000-0000-0000AA5D0000}"/>
    <cellStyle name="Normal 13 4 3 3 2 2 3" xfId="23979" xr:uid="{00000000-0005-0000-0000-0000AB5D0000}"/>
    <cellStyle name="Normal 13 4 3 3 2 2 4" xfId="23980" xr:uid="{00000000-0005-0000-0000-0000AC5D0000}"/>
    <cellStyle name="Normal 13 4 3 3 2 3" xfId="23981" xr:uid="{00000000-0005-0000-0000-0000AD5D0000}"/>
    <cellStyle name="Normal 13 4 3 3 2 3 2" xfId="23982" xr:uid="{00000000-0005-0000-0000-0000AE5D0000}"/>
    <cellStyle name="Normal 13 4 3 3 2 3 3" xfId="23983" xr:uid="{00000000-0005-0000-0000-0000AF5D0000}"/>
    <cellStyle name="Normal 13 4 3 3 2 4" xfId="23984" xr:uid="{00000000-0005-0000-0000-0000B05D0000}"/>
    <cellStyle name="Normal 13 4 3 3 2 5" xfId="23985" xr:uid="{00000000-0005-0000-0000-0000B15D0000}"/>
    <cellStyle name="Normal 13 4 3 3 3" xfId="23986" xr:uid="{00000000-0005-0000-0000-0000B25D0000}"/>
    <cellStyle name="Normal 13 4 3 3 3 2" xfId="23987" xr:uid="{00000000-0005-0000-0000-0000B35D0000}"/>
    <cellStyle name="Normal 13 4 3 3 3 2 2" xfId="23988" xr:uid="{00000000-0005-0000-0000-0000B45D0000}"/>
    <cellStyle name="Normal 13 4 3 3 3 2 3" xfId="23989" xr:uid="{00000000-0005-0000-0000-0000B55D0000}"/>
    <cellStyle name="Normal 13 4 3 3 3 3" xfId="23990" xr:uid="{00000000-0005-0000-0000-0000B65D0000}"/>
    <cellStyle name="Normal 13 4 3 3 3 4" xfId="23991" xr:uid="{00000000-0005-0000-0000-0000B75D0000}"/>
    <cellStyle name="Normal 13 4 3 3 4" xfId="23992" xr:uid="{00000000-0005-0000-0000-0000B85D0000}"/>
    <cellStyle name="Normal 13 4 3 3 4 2" xfId="23993" xr:uid="{00000000-0005-0000-0000-0000B95D0000}"/>
    <cellStyle name="Normal 13 4 3 3 4 3" xfId="23994" xr:uid="{00000000-0005-0000-0000-0000BA5D0000}"/>
    <cellStyle name="Normal 13 4 3 3 5" xfId="23995" xr:uid="{00000000-0005-0000-0000-0000BB5D0000}"/>
    <cellStyle name="Normal 13 4 3 3 6" xfId="23996" xr:uid="{00000000-0005-0000-0000-0000BC5D0000}"/>
    <cellStyle name="Normal 13 4 3 4" xfId="23997" xr:uid="{00000000-0005-0000-0000-0000BD5D0000}"/>
    <cellStyle name="Normal 13 4 3 4 2" xfId="23998" xr:uid="{00000000-0005-0000-0000-0000BE5D0000}"/>
    <cellStyle name="Normal 13 4 3 4 2 2" xfId="23999" xr:uid="{00000000-0005-0000-0000-0000BF5D0000}"/>
    <cellStyle name="Normal 13 4 3 4 2 2 2" xfId="24000" xr:uid="{00000000-0005-0000-0000-0000C05D0000}"/>
    <cellStyle name="Normal 13 4 3 4 2 2 3" xfId="24001" xr:uid="{00000000-0005-0000-0000-0000C15D0000}"/>
    <cellStyle name="Normal 13 4 3 4 2 3" xfId="24002" xr:uid="{00000000-0005-0000-0000-0000C25D0000}"/>
    <cellStyle name="Normal 13 4 3 4 2 4" xfId="24003" xr:uid="{00000000-0005-0000-0000-0000C35D0000}"/>
    <cellStyle name="Normal 13 4 3 4 3" xfId="24004" xr:uid="{00000000-0005-0000-0000-0000C45D0000}"/>
    <cellStyle name="Normal 13 4 3 4 3 2" xfId="24005" xr:uid="{00000000-0005-0000-0000-0000C55D0000}"/>
    <cellStyle name="Normal 13 4 3 4 3 3" xfId="24006" xr:uid="{00000000-0005-0000-0000-0000C65D0000}"/>
    <cellStyle name="Normal 13 4 3 4 4" xfId="24007" xr:uid="{00000000-0005-0000-0000-0000C75D0000}"/>
    <cellStyle name="Normal 13 4 3 4 5" xfId="24008" xr:uid="{00000000-0005-0000-0000-0000C85D0000}"/>
    <cellStyle name="Normal 13 4 3 5" xfId="24009" xr:uid="{00000000-0005-0000-0000-0000C95D0000}"/>
    <cellStyle name="Normal 13 4 3 5 2" xfId="24010" xr:uid="{00000000-0005-0000-0000-0000CA5D0000}"/>
    <cellStyle name="Normal 13 4 3 5 2 2" xfId="24011" xr:uid="{00000000-0005-0000-0000-0000CB5D0000}"/>
    <cellStyle name="Normal 13 4 3 5 2 3" xfId="24012" xr:uid="{00000000-0005-0000-0000-0000CC5D0000}"/>
    <cellStyle name="Normal 13 4 3 5 3" xfId="24013" xr:uid="{00000000-0005-0000-0000-0000CD5D0000}"/>
    <cellStyle name="Normal 13 4 3 5 4" xfId="24014" xr:uid="{00000000-0005-0000-0000-0000CE5D0000}"/>
    <cellStyle name="Normal 13 4 3 6" xfId="24015" xr:uid="{00000000-0005-0000-0000-0000CF5D0000}"/>
    <cellStyle name="Normal 13 4 3 6 2" xfId="24016" xr:uid="{00000000-0005-0000-0000-0000D05D0000}"/>
    <cellStyle name="Normal 13 4 3 6 3" xfId="24017" xr:uid="{00000000-0005-0000-0000-0000D15D0000}"/>
    <cellStyle name="Normal 13 4 3 7" xfId="24018" xr:uid="{00000000-0005-0000-0000-0000D25D0000}"/>
    <cellStyle name="Normal 13 4 3 8" xfId="24019" xr:uid="{00000000-0005-0000-0000-0000D35D0000}"/>
    <cellStyle name="Normal 13 4 4" xfId="24020" xr:uid="{00000000-0005-0000-0000-0000D45D0000}"/>
    <cellStyle name="Normal 13 4 4 2" xfId="24021" xr:uid="{00000000-0005-0000-0000-0000D55D0000}"/>
    <cellStyle name="Normal 13 4 4 2 2" xfId="24022" xr:uid="{00000000-0005-0000-0000-0000D65D0000}"/>
    <cellStyle name="Normal 13 4 4 2 2 2" xfId="24023" xr:uid="{00000000-0005-0000-0000-0000D75D0000}"/>
    <cellStyle name="Normal 13 4 4 2 2 2 2" xfId="24024" xr:uid="{00000000-0005-0000-0000-0000D85D0000}"/>
    <cellStyle name="Normal 13 4 4 2 2 2 2 2" xfId="24025" xr:uid="{00000000-0005-0000-0000-0000D95D0000}"/>
    <cellStyle name="Normal 13 4 4 2 2 2 2 3" xfId="24026" xr:uid="{00000000-0005-0000-0000-0000DA5D0000}"/>
    <cellStyle name="Normal 13 4 4 2 2 2 3" xfId="24027" xr:uid="{00000000-0005-0000-0000-0000DB5D0000}"/>
    <cellStyle name="Normal 13 4 4 2 2 2 4" xfId="24028" xr:uid="{00000000-0005-0000-0000-0000DC5D0000}"/>
    <cellStyle name="Normal 13 4 4 2 2 3" xfId="24029" xr:uid="{00000000-0005-0000-0000-0000DD5D0000}"/>
    <cellStyle name="Normal 13 4 4 2 2 3 2" xfId="24030" xr:uid="{00000000-0005-0000-0000-0000DE5D0000}"/>
    <cellStyle name="Normal 13 4 4 2 2 3 3" xfId="24031" xr:uid="{00000000-0005-0000-0000-0000DF5D0000}"/>
    <cellStyle name="Normal 13 4 4 2 2 4" xfId="24032" xr:uid="{00000000-0005-0000-0000-0000E05D0000}"/>
    <cellStyle name="Normal 13 4 4 2 2 5" xfId="24033" xr:uid="{00000000-0005-0000-0000-0000E15D0000}"/>
    <cellStyle name="Normal 13 4 4 2 3" xfId="24034" xr:uid="{00000000-0005-0000-0000-0000E25D0000}"/>
    <cellStyle name="Normal 13 4 4 2 3 2" xfId="24035" xr:uid="{00000000-0005-0000-0000-0000E35D0000}"/>
    <cellStyle name="Normal 13 4 4 2 3 2 2" xfId="24036" xr:uid="{00000000-0005-0000-0000-0000E45D0000}"/>
    <cellStyle name="Normal 13 4 4 2 3 2 3" xfId="24037" xr:uid="{00000000-0005-0000-0000-0000E55D0000}"/>
    <cellStyle name="Normal 13 4 4 2 3 3" xfId="24038" xr:uid="{00000000-0005-0000-0000-0000E65D0000}"/>
    <cellStyle name="Normal 13 4 4 2 3 4" xfId="24039" xr:uid="{00000000-0005-0000-0000-0000E75D0000}"/>
    <cellStyle name="Normal 13 4 4 2 4" xfId="24040" xr:uid="{00000000-0005-0000-0000-0000E85D0000}"/>
    <cellStyle name="Normal 13 4 4 2 4 2" xfId="24041" xr:uid="{00000000-0005-0000-0000-0000E95D0000}"/>
    <cellStyle name="Normal 13 4 4 2 4 3" xfId="24042" xr:uid="{00000000-0005-0000-0000-0000EA5D0000}"/>
    <cellStyle name="Normal 13 4 4 2 5" xfId="24043" xr:uid="{00000000-0005-0000-0000-0000EB5D0000}"/>
    <cellStyle name="Normal 13 4 4 2 6" xfId="24044" xr:uid="{00000000-0005-0000-0000-0000EC5D0000}"/>
    <cellStyle name="Normal 13 4 4 3" xfId="24045" xr:uid="{00000000-0005-0000-0000-0000ED5D0000}"/>
    <cellStyle name="Normal 13 4 4 3 2" xfId="24046" xr:uid="{00000000-0005-0000-0000-0000EE5D0000}"/>
    <cellStyle name="Normal 13 4 4 3 2 2" xfId="24047" xr:uid="{00000000-0005-0000-0000-0000EF5D0000}"/>
    <cellStyle name="Normal 13 4 4 3 2 2 2" xfId="24048" xr:uid="{00000000-0005-0000-0000-0000F05D0000}"/>
    <cellStyle name="Normal 13 4 4 3 2 2 3" xfId="24049" xr:uid="{00000000-0005-0000-0000-0000F15D0000}"/>
    <cellStyle name="Normal 13 4 4 3 2 3" xfId="24050" xr:uid="{00000000-0005-0000-0000-0000F25D0000}"/>
    <cellStyle name="Normal 13 4 4 3 2 4" xfId="24051" xr:uid="{00000000-0005-0000-0000-0000F35D0000}"/>
    <cellStyle name="Normal 13 4 4 3 3" xfId="24052" xr:uid="{00000000-0005-0000-0000-0000F45D0000}"/>
    <cellStyle name="Normal 13 4 4 3 3 2" xfId="24053" xr:uid="{00000000-0005-0000-0000-0000F55D0000}"/>
    <cellStyle name="Normal 13 4 4 3 3 3" xfId="24054" xr:uid="{00000000-0005-0000-0000-0000F65D0000}"/>
    <cellStyle name="Normal 13 4 4 3 4" xfId="24055" xr:uid="{00000000-0005-0000-0000-0000F75D0000}"/>
    <cellStyle name="Normal 13 4 4 3 5" xfId="24056" xr:uid="{00000000-0005-0000-0000-0000F85D0000}"/>
    <cellStyle name="Normal 13 4 4 4" xfId="24057" xr:uid="{00000000-0005-0000-0000-0000F95D0000}"/>
    <cellStyle name="Normal 13 4 4 4 2" xfId="24058" xr:uid="{00000000-0005-0000-0000-0000FA5D0000}"/>
    <cellStyle name="Normal 13 4 4 4 2 2" xfId="24059" xr:uid="{00000000-0005-0000-0000-0000FB5D0000}"/>
    <cellStyle name="Normal 13 4 4 4 2 3" xfId="24060" xr:uid="{00000000-0005-0000-0000-0000FC5D0000}"/>
    <cellStyle name="Normal 13 4 4 4 3" xfId="24061" xr:uid="{00000000-0005-0000-0000-0000FD5D0000}"/>
    <cellStyle name="Normal 13 4 4 4 4" xfId="24062" xr:uid="{00000000-0005-0000-0000-0000FE5D0000}"/>
    <cellStyle name="Normal 13 4 4 5" xfId="24063" xr:uid="{00000000-0005-0000-0000-0000FF5D0000}"/>
    <cellStyle name="Normal 13 4 4 5 2" xfId="24064" xr:uid="{00000000-0005-0000-0000-0000005E0000}"/>
    <cellStyle name="Normal 13 4 4 5 3" xfId="24065" xr:uid="{00000000-0005-0000-0000-0000015E0000}"/>
    <cellStyle name="Normal 13 4 4 6" xfId="24066" xr:uid="{00000000-0005-0000-0000-0000025E0000}"/>
    <cellStyle name="Normal 13 4 4 7" xfId="24067" xr:uid="{00000000-0005-0000-0000-0000035E0000}"/>
    <cellStyle name="Normal 13 4 5" xfId="24068" xr:uid="{00000000-0005-0000-0000-0000045E0000}"/>
    <cellStyle name="Normal 13 4 5 2" xfId="24069" xr:uid="{00000000-0005-0000-0000-0000055E0000}"/>
    <cellStyle name="Normal 13 4 5 2 2" xfId="24070" xr:uid="{00000000-0005-0000-0000-0000065E0000}"/>
    <cellStyle name="Normal 13 4 5 2 2 2" xfId="24071" xr:uid="{00000000-0005-0000-0000-0000075E0000}"/>
    <cellStyle name="Normal 13 4 5 2 2 2 2" xfId="24072" xr:uid="{00000000-0005-0000-0000-0000085E0000}"/>
    <cellStyle name="Normal 13 4 5 2 2 2 3" xfId="24073" xr:uid="{00000000-0005-0000-0000-0000095E0000}"/>
    <cellStyle name="Normal 13 4 5 2 2 3" xfId="24074" xr:uid="{00000000-0005-0000-0000-00000A5E0000}"/>
    <cellStyle name="Normal 13 4 5 2 2 4" xfId="24075" xr:uid="{00000000-0005-0000-0000-00000B5E0000}"/>
    <cellStyle name="Normal 13 4 5 2 3" xfId="24076" xr:uid="{00000000-0005-0000-0000-00000C5E0000}"/>
    <cellStyle name="Normal 13 4 5 2 3 2" xfId="24077" xr:uid="{00000000-0005-0000-0000-00000D5E0000}"/>
    <cellStyle name="Normal 13 4 5 2 3 3" xfId="24078" xr:uid="{00000000-0005-0000-0000-00000E5E0000}"/>
    <cellStyle name="Normal 13 4 5 2 4" xfId="24079" xr:uid="{00000000-0005-0000-0000-00000F5E0000}"/>
    <cellStyle name="Normal 13 4 5 2 5" xfId="24080" xr:uid="{00000000-0005-0000-0000-0000105E0000}"/>
    <cellStyle name="Normal 13 4 5 3" xfId="24081" xr:uid="{00000000-0005-0000-0000-0000115E0000}"/>
    <cellStyle name="Normal 13 4 5 3 2" xfId="24082" xr:uid="{00000000-0005-0000-0000-0000125E0000}"/>
    <cellStyle name="Normal 13 4 5 3 2 2" xfId="24083" xr:uid="{00000000-0005-0000-0000-0000135E0000}"/>
    <cellStyle name="Normal 13 4 5 3 2 3" xfId="24084" xr:uid="{00000000-0005-0000-0000-0000145E0000}"/>
    <cellStyle name="Normal 13 4 5 3 3" xfId="24085" xr:uid="{00000000-0005-0000-0000-0000155E0000}"/>
    <cellStyle name="Normal 13 4 5 3 4" xfId="24086" xr:uid="{00000000-0005-0000-0000-0000165E0000}"/>
    <cellStyle name="Normal 13 4 5 4" xfId="24087" xr:uid="{00000000-0005-0000-0000-0000175E0000}"/>
    <cellStyle name="Normal 13 4 5 4 2" xfId="24088" xr:uid="{00000000-0005-0000-0000-0000185E0000}"/>
    <cellStyle name="Normal 13 4 5 4 3" xfId="24089" xr:uid="{00000000-0005-0000-0000-0000195E0000}"/>
    <cellStyle name="Normal 13 4 5 5" xfId="24090" xr:uid="{00000000-0005-0000-0000-00001A5E0000}"/>
    <cellStyle name="Normal 13 4 5 6" xfId="24091" xr:uid="{00000000-0005-0000-0000-00001B5E0000}"/>
    <cellStyle name="Normal 13 4 6" xfId="24092" xr:uid="{00000000-0005-0000-0000-00001C5E0000}"/>
    <cellStyle name="Normal 13 4 6 2" xfId="24093" xr:uid="{00000000-0005-0000-0000-00001D5E0000}"/>
    <cellStyle name="Normal 13 4 6 2 2" xfId="24094" xr:uid="{00000000-0005-0000-0000-00001E5E0000}"/>
    <cellStyle name="Normal 13 4 6 2 2 2" xfId="24095" xr:uid="{00000000-0005-0000-0000-00001F5E0000}"/>
    <cellStyle name="Normal 13 4 6 2 2 3" xfId="24096" xr:uid="{00000000-0005-0000-0000-0000205E0000}"/>
    <cellStyle name="Normal 13 4 6 2 3" xfId="24097" xr:uid="{00000000-0005-0000-0000-0000215E0000}"/>
    <cellStyle name="Normal 13 4 6 2 4" xfId="24098" xr:uid="{00000000-0005-0000-0000-0000225E0000}"/>
    <cellStyle name="Normal 13 4 6 3" xfId="24099" xr:uid="{00000000-0005-0000-0000-0000235E0000}"/>
    <cellStyle name="Normal 13 4 6 3 2" xfId="24100" xr:uid="{00000000-0005-0000-0000-0000245E0000}"/>
    <cellStyle name="Normal 13 4 6 3 3" xfId="24101" xr:uid="{00000000-0005-0000-0000-0000255E0000}"/>
    <cellStyle name="Normal 13 4 6 4" xfId="24102" xr:uid="{00000000-0005-0000-0000-0000265E0000}"/>
    <cellStyle name="Normal 13 4 6 5" xfId="24103" xr:uid="{00000000-0005-0000-0000-0000275E0000}"/>
    <cellStyle name="Normal 13 4 7" xfId="24104" xr:uid="{00000000-0005-0000-0000-0000285E0000}"/>
    <cellStyle name="Normal 13 4 7 2" xfId="24105" xr:uid="{00000000-0005-0000-0000-0000295E0000}"/>
    <cellStyle name="Normal 13 4 7 2 2" xfId="24106" xr:uid="{00000000-0005-0000-0000-00002A5E0000}"/>
    <cellStyle name="Normal 13 4 7 2 3" xfId="24107" xr:uid="{00000000-0005-0000-0000-00002B5E0000}"/>
    <cellStyle name="Normal 13 4 7 3" xfId="24108" xr:uid="{00000000-0005-0000-0000-00002C5E0000}"/>
    <cellStyle name="Normal 13 4 7 4" xfId="24109" xr:uid="{00000000-0005-0000-0000-00002D5E0000}"/>
    <cellStyle name="Normal 13 4 8" xfId="24110" xr:uid="{00000000-0005-0000-0000-00002E5E0000}"/>
    <cellStyle name="Normal 13 4 8 2" xfId="24111" xr:uid="{00000000-0005-0000-0000-00002F5E0000}"/>
    <cellStyle name="Normal 13 4 8 3" xfId="24112" xr:uid="{00000000-0005-0000-0000-0000305E0000}"/>
    <cellStyle name="Normal 13 4 9" xfId="24113" xr:uid="{00000000-0005-0000-0000-0000315E0000}"/>
    <cellStyle name="Normal 13 5" xfId="24114" xr:uid="{00000000-0005-0000-0000-0000325E0000}"/>
    <cellStyle name="Normal 13 5 2" xfId="24115" xr:uid="{00000000-0005-0000-0000-0000335E0000}"/>
    <cellStyle name="Normal 13 5 2 2" xfId="24116" xr:uid="{00000000-0005-0000-0000-0000345E0000}"/>
    <cellStyle name="Normal 13 5 2 2 2" xfId="24117" xr:uid="{00000000-0005-0000-0000-0000355E0000}"/>
    <cellStyle name="Normal 13 5 2 2 2 2" xfId="24118" xr:uid="{00000000-0005-0000-0000-0000365E0000}"/>
    <cellStyle name="Normal 13 5 2 2 2 2 2" xfId="24119" xr:uid="{00000000-0005-0000-0000-0000375E0000}"/>
    <cellStyle name="Normal 13 5 2 2 2 2 2 2" xfId="24120" xr:uid="{00000000-0005-0000-0000-0000385E0000}"/>
    <cellStyle name="Normal 13 5 2 2 2 2 2 2 2" xfId="24121" xr:uid="{00000000-0005-0000-0000-0000395E0000}"/>
    <cellStyle name="Normal 13 5 2 2 2 2 2 2 3" xfId="24122" xr:uid="{00000000-0005-0000-0000-00003A5E0000}"/>
    <cellStyle name="Normal 13 5 2 2 2 2 2 3" xfId="24123" xr:uid="{00000000-0005-0000-0000-00003B5E0000}"/>
    <cellStyle name="Normal 13 5 2 2 2 2 2 4" xfId="24124" xr:uid="{00000000-0005-0000-0000-00003C5E0000}"/>
    <cellStyle name="Normal 13 5 2 2 2 2 3" xfId="24125" xr:uid="{00000000-0005-0000-0000-00003D5E0000}"/>
    <cellStyle name="Normal 13 5 2 2 2 2 3 2" xfId="24126" xr:uid="{00000000-0005-0000-0000-00003E5E0000}"/>
    <cellStyle name="Normal 13 5 2 2 2 2 3 3" xfId="24127" xr:uid="{00000000-0005-0000-0000-00003F5E0000}"/>
    <cellStyle name="Normal 13 5 2 2 2 2 4" xfId="24128" xr:uid="{00000000-0005-0000-0000-0000405E0000}"/>
    <cellStyle name="Normal 13 5 2 2 2 2 5" xfId="24129" xr:uid="{00000000-0005-0000-0000-0000415E0000}"/>
    <cellStyle name="Normal 13 5 2 2 2 3" xfId="24130" xr:uid="{00000000-0005-0000-0000-0000425E0000}"/>
    <cellStyle name="Normal 13 5 2 2 2 3 2" xfId="24131" xr:uid="{00000000-0005-0000-0000-0000435E0000}"/>
    <cellStyle name="Normal 13 5 2 2 2 3 2 2" xfId="24132" xr:uid="{00000000-0005-0000-0000-0000445E0000}"/>
    <cellStyle name="Normal 13 5 2 2 2 3 2 3" xfId="24133" xr:uid="{00000000-0005-0000-0000-0000455E0000}"/>
    <cellStyle name="Normal 13 5 2 2 2 3 3" xfId="24134" xr:uid="{00000000-0005-0000-0000-0000465E0000}"/>
    <cellStyle name="Normal 13 5 2 2 2 3 4" xfId="24135" xr:uid="{00000000-0005-0000-0000-0000475E0000}"/>
    <cellStyle name="Normal 13 5 2 2 2 4" xfId="24136" xr:uid="{00000000-0005-0000-0000-0000485E0000}"/>
    <cellStyle name="Normal 13 5 2 2 2 4 2" xfId="24137" xr:uid="{00000000-0005-0000-0000-0000495E0000}"/>
    <cellStyle name="Normal 13 5 2 2 2 4 3" xfId="24138" xr:uid="{00000000-0005-0000-0000-00004A5E0000}"/>
    <cellStyle name="Normal 13 5 2 2 2 5" xfId="24139" xr:uid="{00000000-0005-0000-0000-00004B5E0000}"/>
    <cellStyle name="Normal 13 5 2 2 2 6" xfId="24140" xr:uid="{00000000-0005-0000-0000-00004C5E0000}"/>
    <cellStyle name="Normal 13 5 2 2 3" xfId="24141" xr:uid="{00000000-0005-0000-0000-00004D5E0000}"/>
    <cellStyle name="Normal 13 5 2 2 3 2" xfId="24142" xr:uid="{00000000-0005-0000-0000-00004E5E0000}"/>
    <cellStyle name="Normal 13 5 2 2 3 2 2" xfId="24143" xr:uid="{00000000-0005-0000-0000-00004F5E0000}"/>
    <cellStyle name="Normal 13 5 2 2 3 2 2 2" xfId="24144" xr:uid="{00000000-0005-0000-0000-0000505E0000}"/>
    <cellStyle name="Normal 13 5 2 2 3 2 2 3" xfId="24145" xr:uid="{00000000-0005-0000-0000-0000515E0000}"/>
    <cellStyle name="Normal 13 5 2 2 3 2 3" xfId="24146" xr:uid="{00000000-0005-0000-0000-0000525E0000}"/>
    <cellStyle name="Normal 13 5 2 2 3 2 4" xfId="24147" xr:uid="{00000000-0005-0000-0000-0000535E0000}"/>
    <cellStyle name="Normal 13 5 2 2 3 3" xfId="24148" xr:uid="{00000000-0005-0000-0000-0000545E0000}"/>
    <cellStyle name="Normal 13 5 2 2 3 3 2" xfId="24149" xr:uid="{00000000-0005-0000-0000-0000555E0000}"/>
    <cellStyle name="Normal 13 5 2 2 3 3 3" xfId="24150" xr:uid="{00000000-0005-0000-0000-0000565E0000}"/>
    <cellStyle name="Normal 13 5 2 2 3 4" xfId="24151" xr:uid="{00000000-0005-0000-0000-0000575E0000}"/>
    <cellStyle name="Normal 13 5 2 2 3 5" xfId="24152" xr:uid="{00000000-0005-0000-0000-0000585E0000}"/>
    <cellStyle name="Normal 13 5 2 2 4" xfId="24153" xr:uid="{00000000-0005-0000-0000-0000595E0000}"/>
    <cellStyle name="Normal 13 5 2 2 4 2" xfId="24154" xr:uid="{00000000-0005-0000-0000-00005A5E0000}"/>
    <cellStyle name="Normal 13 5 2 2 4 2 2" xfId="24155" xr:uid="{00000000-0005-0000-0000-00005B5E0000}"/>
    <cellStyle name="Normal 13 5 2 2 4 2 3" xfId="24156" xr:uid="{00000000-0005-0000-0000-00005C5E0000}"/>
    <cellStyle name="Normal 13 5 2 2 4 3" xfId="24157" xr:uid="{00000000-0005-0000-0000-00005D5E0000}"/>
    <cellStyle name="Normal 13 5 2 2 4 4" xfId="24158" xr:uid="{00000000-0005-0000-0000-00005E5E0000}"/>
    <cellStyle name="Normal 13 5 2 2 5" xfId="24159" xr:uid="{00000000-0005-0000-0000-00005F5E0000}"/>
    <cellStyle name="Normal 13 5 2 2 5 2" xfId="24160" xr:uid="{00000000-0005-0000-0000-0000605E0000}"/>
    <cellStyle name="Normal 13 5 2 2 5 3" xfId="24161" xr:uid="{00000000-0005-0000-0000-0000615E0000}"/>
    <cellStyle name="Normal 13 5 2 2 6" xfId="24162" xr:uid="{00000000-0005-0000-0000-0000625E0000}"/>
    <cellStyle name="Normal 13 5 2 2 7" xfId="24163" xr:uid="{00000000-0005-0000-0000-0000635E0000}"/>
    <cellStyle name="Normal 13 5 2 3" xfId="24164" xr:uid="{00000000-0005-0000-0000-0000645E0000}"/>
    <cellStyle name="Normal 13 5 2 3 2" xfId="24165" xr:uid="{00000000-0005-0000-0000-0000655E0000}"/>
    <cellStyle name="Normal 13 5 2 3 2 2" xfId="24166" xr:uid="{00000000-0005-0000-0000-0000665E0000}"/>
    <cellStyle name="Normal 13 5 2 3 2 2 2" xfId="24167" xr:uid="{00000000-0005-0000-0000-0000675E0000}"/>
    <cellStyle name="Normal 13 5 2 3 2 2 2 2" xfId="24168" xr:uid="{00000000-0005-0000-0000-0000685E0000}"/>
    <cellStyle name="Normal 13 5 2 3 2 2 2 3" xfId="24169" xr:uid="{00000000-0005-0000-0000-0000695E0000}"/>
    <cellStyle name="Normal 13 5 2 3 2 2 3" xfId="24170" xr:uid="{00000000-0005-0000-0000-00006A5E0000}"/>
    <cellStyle name="Normal 13 5 2 3 2 2 4" xfId="24171" xr:uid="{00000000-0005-0000-0000-00006B5E0000}"/>
    <cellStyle name="Normal 13 5 2 3 2 3" xfId="24172" xr:uid="{00000000-0005-0000-0000-00006C5E0000}"/>
    <cellStyle name="Normal 13 5 2 3 2 3 2" xfId="24173" xr:uid="{00000000-0005-0000-0000-00006D5E0000}"/>
    <cellStyle name="Normal 13 5 2 3 2 3 3" xfId="24174" xr:uid="{00000000-0005-0000-0000-00006E5E0000}"/>
    <cellStyle name="Normal 13 5 2 3 2 4" xfId="24175" xr:uid="{00000000-0005-0000-0000-00006F5E0000}"/>
    <cellStyle name="Normal 13 5 2 3 2 5" xfId="24176" xr:uid="{00000000-0005-0000-0000-0000705E0000}"/>
    <cellStyle name="Normal 13 5 2 3 3" xfId="24177" xr:uid="{00000000-0005-0000-0000-0000715E0000}"/>
    <cellStyle name="Normal 13 5 2 3 3 2" xfId="24178" xr:uid="{00000000-0005-0000-0000-0000725E0000}"/>
    <cellStyle name="Normal 13 5 2 3 3 2 2" xfId="24179" xr:uid="{00000000-0005-0000-0000-0000735E0000}"/>
    <cellStyle name="Normal 13 5 2 3 3 2 3" xfId="24180" xr:uid="{00000000-0005-0000-0000-0000745E0000}"/>
    <cellStyle name="Normal 13 5 2 3 3 3" xfId="24181" xr:uid="{00000000-0005-0000-0000-0000755E0000}"/>
    <cellStyle name="Normal 13 5 2 3 3 4" xfId="24182" xr:uid="{00000000-0005-0000-0000-0000765E0000}"/>
    <cellStyle name="Normal 13 5 2 3 4" xfId="24183" xr:uid="{00000000-0005-0000-0000-0000775E0000}"/>
    <cellStyle name="Normal 13 5 2 3 4 2" xfId="24184" xr:uid="{00000000-0005-0000-0000-0000785E0000}"/>
    <cellStyle name="Normal 13 5 2 3 4 3" xfId="24185" xr:uid="{00000000-0005-0000-0000-0000795E0000}"/>
    <cellStyle name="Normal 13 5 2 3 5" xfId="24186" xr:uid="{00000000-0005-0000-0000-00007A5E0000}"/>
    <cellStyle name="Normal 13 5 2 3 6" xfId="24187" xr:uid="{00000000-0005-0000-0000-00007B5E0000}"/>
    <cellStyle name="Normal 13 5 2 4" xfId="24188" xr:uid="{00000000-0005-0000-0000-00007C5E0000}"/>
    <cellStyle name="Normal 13 5 2 4 2" xfId="24189" xr:uid="{00000000-0005-0000-0000-00007D5E0000}"/>
    <cellStyle name="Normal 13 5 2 4 2 2" xfId="24190" xr:uid="{00000000-0005-0000-0000-00007E5E0000}"/>
    <cellStyle name="Normal 13 5 2 4 2 2 2" xfId="24191" xr:uid="{00000000-0005-0000-0000-00007F5E0000}"/>
    <cellStyle name="Normal 13 5 2 4 2 2 3" xfId="24192" xr:uid="{00000000-0005-0000-0000-0000805E0000}"/>
    <cellStyle name="Normal 13 5 2 4 2 3" xfId="24193" xr:uid="{00000000-0005-0000-0000-0000815E0000}"/>
    <cellStyle name="Normal 13 5 2 4 2 4" xfId="24194" xr:uid="{00000000-0005-0000-0000-0000825E0000}"/>
    <cellStyle name="Normal 13 5 2 4 3" xfId="24195" xr:uid="{00000000-0005-0000-0000-0000835E0000}"/>
    <cellStyle name="Normal 13 5 2 4 3 2" xfId="24196" xr:uid="{00000000-0005-0000-0000-0000845E0000}"/>
    <cellStyle name="Normal 13 5 2 4 3 3" xfId="24197" xr:uid="{00000000-0005-0000-0000-0000855E0000}"/>
    <cellStyle name="Normal 13 5 2 4 4" xfId="24198" xr:uid="{00000000-0005-0000-0000-0000865E0000}"/>
    <cellStyle name="Normal 13 5 2 4 5" xfId="24199" xr:uid="{00000000-0005-0000-0000-0000875E0000}"/>
    <cellStyle name="Normal 13 5 2 5" xfId="24200" xr:uid="{00000000-0005-0000-0000-0000885E0000}"/>
    <cellStyle name="Normal 13 5 2 5 2" xfId="24201" xr:uid="{00000000-0005-0000-0000-0000895E0000}"/>
    <cellStyle name="Normal 13 5 2 5 2 2" xfId="24202" xr:uid="{00000000-0005-0000-0000-00008A5E0000}"/>
    <cellStyle name="Normal 13 5 2 5 2 3" xfId="24203" xr:uid="{00000000-0005-0000-0000-00008B5E0000}"/>
    <cellStyle name="Normal 13 5 2 5 3" xfId="24204" xr:uid="{00000000-0005-0000-0000-00008C5E0000}"/>
    <cellStyle name="Normal 13 5 2 5 4" xfId="24205" xr:uid="{00000000-0005-0000-0000-00008D5E0000}"/>
    <cellStyle name="Normal 13 5 2 6" xfId="24206" xr:uid="{00000000-0005-0000-0000-00008E5E0000}"/>
    <cellStyle name="Normal 13 5 2 6 2" xfId="24207" xr:uid="{00000000-0005-0000-0000-00008F5E0000}"/>
    <cellStyle name="Normal 13 5 2 6 3" xfId="24208" xr:uid="{00000000-0005-0000-0000-0000905E0000}"/>
    <cellStyle name="Normal 13 5 2 7" xfId="24209" xr:uid="{00000000-0005-0000-0000-0000915E0000}"/>
    <cellStyle name="Normal 13 5 2 8" xfId="24210" xr:uid="{00000000-0005-0000-0000-0000925E0000}"/>
    <cellStyle name="Normal 13 5 3" xfId="24211" xr:uid="{00000000-0005-0000-0000-0000935E0000}"/>
    <cellStyle name="Normal 13 5 3 2" xfId="24212" xr:uid="{00000000-0005-0000-0000-0000945E0000}"/>
    <cellStyle name="Normal 13 5 3 2 2" xfId="24213" xr:uid="{00000000-0005-0000-0000-0000955E0000}"/>
    <cellStyle name="Normal 13 5 3 2 2 2" xfId="24214" xr:uid="{00000000-0005-0000-0000-0000965E0000}"/>
    <cellStyle name="Normal 13 5 3 2 2 2 2" xfId="24215" xr:uid="{00000000-0005-0000-0000-0000975E0000}"/>
    <cellStyle name="Normal 13 5 3 2 2 2 2 2" xfId="24216" xr:uid="{00000000-0005-0000-0000-0000985E0000}"/>
    <cellStyle name="Normal 13 5 3 2 2 2 2 3" xfId="24217" xr:uid="{00000000-0005-0000-0000-0000995E0000}"/>
    <cellStyle name="Normal 13 5 3 2 2 2 3" xfId="24218" xr:uid="{00000000-0005-0000-0000-00009A5E0000}"/>
    <cellStyle name="Normal 13 5 3 2 2 2 4" xfId="24219" xr:uid="{00000000-0005-0000-0000-00009B5E0000}"/>
    <cellStyle name="Normal 13 5 3 2 2 3" xfId="24220" xr:uid="{00000000-0005-0000-0000-00009C5E0000}"/>
    <cellStyle name="Normal 13 5 3 2 2 3 2" xfId="24221" xr:uid="{00000000-0005-0000-0000-00009D5E0000}"/>
    <cellStyle name="Normal 13 5 3 2 2 3 3" xfId="24222" xr:uid="{00000000-0005-0000-0000-00009E5E0000}"/>
    <cellStyle name="Normal 13 5 3 2 2 4" xfId="24223" xr:uid="{00000000-0005-0000-0000-00009F5E0000}"/>
    <cellStyle name="Normal 13 5 3 2 2 5" xfId="24224" xr:uid="{00000000-0005-0000-0000-0000A05E0000}"/>
    <cellStyle name="Normal 13 5 3 2 3" xfId="24225" xr:uid="{00000000-0005-0000-0000-0000A15E0000}"/>
    <cellStyle name="Normal 13 5 3 2 3 2" xfId="24226" xr:uid="{00000000-0005-0000-0000-0000A25E0000}"/>
    <cellStyle name="Normal 13 5 3 2 3 2 2" xfId="24227" xr:uid="{00000000-0005-0000-0000-0000A35E0000}"/>
    <cellStyle name="Normal 13 5 3 2 3 2 3" xfId="24228" xr:uid="{00000000-0005-0000-0000-0000A45E0000}"/>
    <cellStyle name="Normal 13 5 3 2 3 3" xfId="24229" xr:uid="{00000000-0005-0000-0000-0000A55E0000}"/>
    <cellStyle name="Normal 13 5 3 2 3 4" xfId="24230" xr:uid="{00000000-0005-0000-0000-0000A65E0000}"/>
    <cellStyle name="Normal 13 5 3 2 4" xfId="24231" xr:uid="{00000000-0005-0000-0000-0000A75E0000}"/>
    <cellStyle name="Normal 13 5 3 2 4 2" xfId="24232" xr:uid="{00000000-0005-0000-0000-0000A85E0000}"/>
    <cellStyle name="Normal 13 5 3 2 4 3" xfId="24233" xr:uid="{00000000-0005-0000-0000-0000A95E0000}"/>
    <cellStyle name="Normal 13 5 3 2 5" xfId="24234" xr:uid="{00000000-0005-0000-0000-0000AA5E0000}"/>
    <cellStyle name="Normal 13 5 3 2 6" xfId="24235" xr:uid="{00000000-0005-0000-0000-0000AB5E0000}"/>
    <cellStyle name="Normal 13 5 3 3" xfId="24236" xr:uid="{00000000-0005-0000-0000-0000AC5E0000}"/>
    <cellStyle name="Normal 13 5 3 3 2" xfId="24237" xr:uid="{00000000-0005-0000-0000-0000AD5E0000}"/>
    <cellStyle name="Normal 13 5 3 3 2 2" xfId="24238" xr:uid="{00000000-0005-0000-0000-0000AE5E0000}"/>
    <cellStyle name="Normal 13 5 3 3 2 2 2" xfId="24239" xr:uid="{00000000-0005-0000-0000-0000AF5E0000}"/>
    <cellStyle name="Normal 13 5 3 3 2 2 3" xfId="24240" xr:uid="{00000000-0005-0000-0000-0000B05E0000}"/>
    <cellStyle name="Normal 13 5 3 3 2 3" xfId="24241" xr:uid="{00000000-0005-0000-0000-0000B15E0000}"/>
    <cellStyle name="Normal 13 5 3 3 2 4" xfId="24242" xr:uid="{00000000-0005-0000-0000-0000B25E0000}"/>
    <cellStyle name="Normal 13 5 3 3 3" xfId="24243" xr:uid="{00000000-0005-0000-0000-0000B35E0000}"/>
    <cellStyle name="Normal 13 5 3 3 3 2" xfId="24244" xr:uid="{00000000-0005-0000-0000-0000B45E0000}"/>
    <cellStyle name="Normal 13 5 3 3 3 3" xfId="24245" xr:uid="{00000000-0005-0000-0000-0000B55E0000}"/>
    <cellStyle name="Normal 13 5 3 3 4" xfId="24246" xr:uid="{00000000-0005-0000-0000-0000B65E0000}"/>
    <cellStyle name="Normal 13 5 3 3 5" xfId="24247" xr:uid="{00000000-0005-0000-0000-0000B75E0000}"/>
    <cellStyle name="Normal 13 5 3 4" xfId="24248" xr:uid="{00000000-0005-0000-0000-0000B85E0000}"/>
    <cellStyle name="Normal 13 5 3 4 2" xfId="24249" xr:uid="{00000000-0005-0000-0000-0000B95E0000}"/>
    <cellStyle name="Normal 13 5 3 4 2 2" xfId="24250" xr:uid="{00000000-0005-0000-0000-0000BA5E0000}"/>
    <cellStyle name="Normal 13 5 3 4 2 3" xfId="24251" xr:uid="{00000000-0005-0000-0000-0000BB5E0000}"/>
    <cellStyle name="Normal 13 5 3 4 3" xfId="24252" xr:uid="{00000000-0005-0000-0000-0000BC5E0000}"/>
    <cellStyle name="Normal 13 5 3 4 4" xfId="24253" xr:uid="{00000000-0005-0000-0000-0000BD5E0000}"/>
    <cellStyle name="Normal 13 5 3 5" xfId="24254" xr:uid="{00000000-0005-0000-0000-0000BE5E0000}"/>
    <cellStyle name="Normal 13 5 3 5 2" xfId="24255" xr:uid="{00000000-0005-0000-0000-0000BF5E0000}"/>
    <cellStyle name="Normal 13 5 3 5 3" xfId="24256" xr:uid="{00000000-0005-0000-0000-0000C05E0000}"/>
    <cellStyle name="Normal 13 5 3 6" xfId="24257" xr:uid="{00000000-0005-0000-0000-0000C15E0000}"/>
    <cellStyle name="Normal 13 5 3 7" xfId="24258" xr:uid="{00000000-0005-0000-0000-0000C25E0000}"/>
    <cellStyle name="Normal 13 5 4" xfId="24259" xr:uid="{00000000-0005-0000-0000-0000C35E0000}"/>
    <cellStyle name="Normal 13 5 4 2" xfId="24260" xr:uid="{00000000-0005-0000-0000-0000C45E0000}"/>
    <cellStyle name="Normal 13 5 4 2 2" xfId="24261" xr:uid="{00000000-0005-0000-0000-0000C55E0000}"/>
    <cellStyle name="Normal 13 5 4 2 2 2" xfId="24262" xr:uid="{00000000-0005-0000-0000-0000C65E0000}"/>
    <cellStyle name="Normal 13 5 4 2 2 2 2" xfId="24263" xr:uid="{00000000-0005-0000-0000-0000C75E0000}"/>
    <cellStyle name="Normal 13 5 4 2 2 2 3" xfId="24264" xr:uid="{00000000-0005-0000-0000-0000C85E0000}"/>
    <cellStyle name="Normal 13 5 4 2 2 3" xfId="24265" xr:uid="{00000000-0005-0000-0000-0000C95E0000}"/>
    <cellStyle name="Normal 13 5 4 2 2 4" xfId="24266" xr:uid="{00000000-0005-0000-0000-0000CA5E0000}"/>
    <cellStyle name="Normal 13 5 4 2 3" xfId="24267" xr:uid="{00000000-0005-0000-0000-0000CB5E0000}"/>
    <cellStyle name="Normal 13 5 4 2 3 2" xfId="24268" xr:uid="{00000000-0005-0000-0000-0000CC5E0000}"/>
    <cellStyle name="Normal 13 5 4 2 3 3" xfId="24269" xr:uid="{00000000-0005-0000-0000-0000CD5E0000}"/>
    <cellStyle name="Normal 13 5 4 2 4" xfId="24270" xr:uid="{00000000-0005-0000-0000-0000CE5E0000}"/>
    <cellStyle name="Normal 13 5 4 2 5" xfId="24271" xr:uid="{00000000-0005-0000-0000-0000CF5E0000}"/>
    <cellStyle name="Normal 13 5 4 3" xfId="24272" xr:uid="{00000000-0005-0000-0000-0000D05E0000}"/>
    <cellStyle name="Normal 13 5 4 3 2" xfId="24273" xr:uid="{00000000-0005-0000-0000-0000D15E0000}"/>
    <cellStyle name="Normal 13 5 4 3 2 2" xfId="24274" xr:uid="{00000000-0005-0000-0000-0000D25E0000}"/>
    <cellStyle name="Normal 13 5 4 3 2 3" xfId="24275" xr:uid="{00000000-0005-0000-0000-0000D35E0000}"/>
    <cellStyle name="Normal 13 5 4 3 3" xfId="24276" xr:uid="{00000000-0005-0000-0000-0000D45E0000}"/>
    <cellStyle name="Normal 13 5 4 3 4" xfId="24277" xr:uid="{00000000-0005-0000-0000-0000D55E0000}"/>
    <cellStyle name="Normal 13 5 4 4" xfId="24278" xr:uid="{00000000-0005-0000-0000-0000D65E0000}"/>
    <cellStyle name="Normal 13 5 4 4 2" xfId="24279" xr:uid="{00000000-0005-0000-0000-0000D75E0000}"/>
    <cellStyle name="Normal 13 5 4 4 3" xfId="24280" xr:uid="{00000000-0005-0000-0000-0000D85E0000}"/>
    <cellStyle name="Normal 13 5 4 5" xfId="24281" xr:uid="{00000000-0005-0000-0000-0000D95E0000}"/>
    <cellStyle name="Normal 13 5 4 6" xfId="24282" xr:uid="{00000000-0005-0000-0000-0000DA5E0000}"/>
    <cellStyle name="Normal 13 5 5" xfId="24283" xr:uid="{00000000-0005-0000-0000-0000DB5E0000}"/>
    <cellStyle name="Normal 13 5 5 2" xfId="24284" xr:uid="{00000000-0005-0000-0000-0000DC5E0000}"/>
    <cellStyle name="Normal 13 5 5 2 2" xfId="24285" xr:uid="{00000000-0005-0000-0000-0000DD5E0000}"/>
    <cellStyle name="Normal 13 5 5 2 2 2" xfId="24286" xr:uid="{00000000-0005-0000-0000-0000DE5E0000}"/>
    <cellStyle name="Normal 13 5 5 2 2 3" xfId="24287" xr:uid="{00000000-0005-0000-0000-0000DF5E0000}"/>
    <cellStyle name="Normal 13 5 5 2 3" xfId="24288" xr:uid="{00000000-0005-0000-0000-0000E05E0000}"/>
    <cellStyle name="Normal 13 5 5 2 4" xfId="24289" xr:uid="{00000000-0005-0000-0000-0000E15E0000}"/>
    <cellStyle name="Normal 13 5 5 3" xfId="24290" xr:uid="{00000000-0005-0000-0000-0000E25E0000}"/>
    <cellStyle name="Normal 13 5 5 3 2" xfId="24291" xr:uid="{00000000-0005-0000-0000-0000E35E0000}"/>
    <cellStyle name="Normal 13 5 5 3 3" xfId="24292" xr:uid="{00000000-0005-0000-0000-0000E45E0000}"/>
    <cellStyle name="Normal 13 5 5 4" xfId="24293" xr:uid="{00000000-0005-0000-0000-0000E55E0000}"/>
    <cellStyle name="Normal 13 5 5 5" xfId="24294" xr:uid="{00000000-0005-0000-0000-0000E65E0000}"/>
    <cellStyle name="Normal 13 5 6" xfId="24295" xr:uid="{00000000-0005-0000-0000-0000E75E0000}"/>
    <cellStyle name="Normal 13 5 6 2" xfId="24296" xr:uid="{00000000-0005-0000-0000-0000E85E0000}"/>
    <cellStyle name="Normal 13 5 6 2 2" xfId="24297" xr:uid="{00000000-0005-0000-0000-0000E95E0000}"/>
    <cellStyle name="Normal 13 5 6 2 3" xfId="24298" xr:uid="{00000000-0005-0000-0000-0000EA5E0000}"/>
    <cellStyle name="Normal 13 5 6 3" xfId="24299" xr:uid="{00000000-0005-0000-0000-0000EB5E0000}"/>
    <cellStyle name="Normal 13 5 6 4" xfId="24300" xr:uid="{00000000-0005-0000-0000-0000EC5E0000}"/>
    <cellStyle name="Normal 13 5 7" xfId="24301" xr:uid="{00000000-0005-0000-0000-0000ED5E0000}"/>
    <cellStyle name="Normal 13 5 7 2" xfId="24302" xr:uid="{00000000-0005-0000-0000-0000EE5E0000}"/>
    <cellStyle name="Normal 13 5 7 3" xfId="24303" xr:uid="{00000000-0005-0000-0000-0000EF5E0000}"/>
    <cellStyle name="Normal 13 5 8" xfId="24304" xr:uid="{00000000-0005-0000-0000-0000F05E0000}"/>
    <cellStyle name="Normal 13 5 9" xfId="24305" xr:uid="{00000000-0005-0000-0000-0000F15E0000}"/>
    <cellStyle name="Normal 13 6" xfId="24306" xr:uid="{00000000-0005-0000-0000-0000F25E0000}"/>
    <cellStyle name="Normal 13 6 2" xfId="24307" xr:uid="{00000000-0005-0000-0000-0000F35E0000}"/>
    <cellStyle name="Normal 13 6 2 2" xfId="24308" xr:uid="{00000000-0005-0000-0000-0000F45E0000}"/>
    <cellStyle name="Normal 13 6 2 2 2" xfId="24309" xr:uid="{00000000-0005-0000-0000-0000F55E0000}"/>
    <cellStyle name="Normal 13 6 2 2 2 2" xfId="24310" xr:uid="{00000000-0005-0000-0000-0000F65E0000}"/>
    <cellStyle name="Normal 13 6 2 2 2 2 2" xfId="24311" xr:uid="{00000000-0005-0000-0000-0000F75E0000}"/>
    <cellStyle name="Normal 13 6 2 2 2 2 2 2" xfId="24312" xr:uid="{00000000-0005-0000-0000-0000F85E0000}"/>
    <cellStyle name="Normal 13 6 2 2 2 2 2 3" xfId="24313" xr:uid="{00000000-0005-0000-0000-0000F95E0000}"/>
    <cellStyle name="Normal 13 6 2 2 2 2 3" xfId="24314" xr:uid="{00000000-0005-0000-0000-0000FA5E0000}"/>
    <cellStyle name="Normal 13 6 2 2 2 2 4" xfId="24315" xr:uid="{00000000-0005-0000-0000-0000FB5E0000}"/>
    <cellStyle name="Normal 13 6 2 2 2 3" xfId="24316" xr:uid="{00000000-0005-0000-0000-0000FC5E0000}"/>
    <cellStyle name="Normal 13 6 2 2 2 3 2" xfId="24317" xr:uid="{00000000-0005-0000-0000-0000FD5E0000}"/>
    <cellStyle name="Normal 13 6 2 2 2 3 3" xfId="24318" xr:uid="{00000000-0005-0000-0000-0000FE5E0000}"/>
    <cellStyle name="Normal 13 6 2 2 2 4" xfId="24319" xr:uid="{00000000-0005-0000-0000-0000FF5E0000}"/>
    <cellStyle name="Normal 13 6 2 2 2 5" xfId="24320" xr:uid="{00000000-0005-0000-0000-0000005F0000}"/>
    <cellStyle name="Normal 13 6 2 2 3" xfId="24321" xr:uid="{00000000-0005-0000-0000-0000015F0000}"/>
    <cellStyle name="Normal 13 6 2 2 3 2" xfId="24322" xr:uid="{00000000-0005-0000-0000-0000025F0000}"/>
    <cellStyle name="Normal 13 6 2 2 3 2 2" xfId="24323" xr:uid="{00000000-0005-0000-0000-0000035F0000}"/>
    <cellStyle name="Normal 13 6 2 2 3 2 3" xfId="24324" xr:uid="{00000000-0005-0000-0000-0000045F0000}"/>
    <cellStyle name="Normal 13 6 2 2 3 3" xfId="24325" xr:uid="{00000000-0005-0000-0000-0000055F0000}"/>
    <cellStyle name="Normal 13 6 2 2 3 4" xfId="24326" xr:uid="{00000000-0005-0000-0000-0000065F0000}"/>
    <cellStyle name="Normal 13 6 2 2 4" xfId="24327" xr:uid="{00000000-0005-0000-0000-0000075F0000}"/>
    <cellStyle name="Normal 13 6 2 2 4 2" xfId="24328" xr:uid="{00000000-0005-0000-0000-0000085F0000}"/>
    <cellStyle name="Normal 13 6 2 2 4 3" xfId="24329" xr:uid="{00000000-0005-0000-0000-0000095F0000}"/>
    <cellStyle name="Normal 13 6 2 2 5" xfId="24330" xr:uid="{00000000-0005-0000-0000-00000A5F0000}"/>
    <cellStyle name="Normal 13 6 2 2 6" xfId="24331" xr:uid="{00000000-0005-0000-0000-00000B5F0000}"/>
    <cellStyle name="Normal 13 6 2 3" xfId="24332" xr:uid="{00000000-0005-0000-0000-00000C5F0000}"/>
    <cellStyle name="Normal 13 6 2 3 2" xfId="24333" xr:uid="{00000000-0005-0000-0000-00000D5F0000}"/>
    <cellStyle name="Normal 13 6 2 3 2 2" xfId="24334" xr:uid="{00000000-0005-0000-0000-00000E5F0000}"/>
    <cellStyle name="Normal 13 6 2 3 2 2 2" xfId="24335" xr:uid="{00000000-0005-0000-0000-00000F5F0000}"/>
    <cellStyle name="Normal 13 6 2 3 2 2 3" xfId="24336" xr:uid="{00000000-0005-0000-0000-0000105F0000}"/>
    <cellStyle name="Normal 13 6 2 3 2 3" xfId="24337" xr:uid="{00000000-0005-0000-0000-0000115F0000}"/>
    <cellStyle name="Normal 13 6 2 3 2 4" xfId="24338" xr:uid="{00000000-0005-0000-0000-0000125F0000}"/>
    <cellStyle name="Normal 13 6 2 3 3" xfId="24339" xr:uid="{00000000-0005-0000-0000-0000135F0000}"/>
    <cellStyle name="Normal 13 6 2 3 3 2" xfId="24340" xr:uid="{00000000-0005-0000-0000-0000145F0000}"/>
    <cellStyle name="Normal 13 6 2 3 3 3" xfId="24341" xr:uid="{00000000-0005-0000-0000-0000155F0000}"/>
    <cellStyle name="Normal 13 6 2 3 4" xfId="24342" xr:uid="{00000000-0005-0000-0000-0000165F0000}"/>
    <cellStyle name="Normal 13 6 2 3 5" xfId="24343" xr:uid="{00000000-0005-0000-0000-0000175F0000}"/>
    <cellStyle name="Normal 13 6 2 4" xfId="24344" xr:uid="{00000000-0005-0000-0000-0000185F0000}"/>
    <cellStyle name="Normal 13 6 2 4 2" xfId="24345" xr:uid="{00000000-0005-0000-0000-0000195F0000}"/>
    <cellStyle name="Normal 13 6 2 4 2 2" xfId="24346" xr:uid="{00000000-0005-0000-0000-00001A5F0000}"/>
    <cellStyle name="Normal 13 6 2 4 2 3" xfId="24347" xr:uid="{00000000-0005-0000-0000-00001B5F0000}"/>
    <cellStyle name="Normal 13 6 2 4 3" xfId="24348" xr:uid="{00000000-0005-0000-0000-00001C5F0000}"/>
    <cellStyle name="Normal 13 6 2 4 4" xfId="24349" xr:uid="{00000000-0005-0000-0000-00001D5F0000}"/>
    <cellStyle name="Normal 13 6 2 5" xfId="24350" xr:uid="{00000000-0005-0000-0000-00001E5F0000}"/>
    <cellStyle name="Normal 13 6 2 5 2" xfId="24351" xr:uid="{00000000-0005-0000-0000-00001F5F0000}"/>
    <cellStyle name="Normal 13 6 2 5 3" xfId="24352" xr:uid="{00000000-0005-0000-0000-0000205F0000}"/>
    <cellStyle name="Normal 13 6 2 6" xfId="24353" xr:uid="{00000000-0005-0000-0000-0000215F0000}"/>
    <cellStyle name="Normal 13 6 2 7" xfId="24354" xr:uid="{00000000-0005-0000-0000-0000225F0000}"/>
    <cellStyle name="Normal 13 6 3" xfId="24355" xr:uid="{00000000-0005-0000-0000-0000235F0000}"/>
    <cellStyle name="Normal 13 6 3 2" xfId="24356" xr:uid="{00000000-0005-0000-0000-0000245F0000}"/>
    <cellStyle name="Normal 13 6 3 2 2" xfId="24357" xr:uid="{00000000-0005-0000-0000-0000255F0000}"/>
    <cellStyle name="Normal 13 6 3 2 2 2" xfId="24358" xr:uid="{00000000-0005-0000-0000-0000265F0000}"/>
    <cellStyle name="Normal 13 6 3 2 2 2 2" xfId="24359" xr:uid="{00000000-0005-0000-0000-0000275F0000}"/>
    <cellStyle name="Normal 13 6 3 2 2 2 3" xfId="24360" xr:uid="{00000000-0005-0000-0000-0000285F0000}"/>
    <cellStyle name="Normal 13 6 3 2 2 3" xfId="24361" xr:uid="{00000000-0005-0000-0000-0000295F0000}"/>
    <cellStyle name="Normal 13 6 3 2 2 4" xfId="24362" xr:uid="{00000000-0005-0000-0000-00002A5F0000}"/>
    <cellStyle name="Normal 13 6 3 2 3" xfId="24363" xr:uid="{00000000-0005-0000-0000-00002B5F0000}"/>
    <cellStyle name="Normal 13 6 3 2 3 2" xfId="24364" xr:uid="{00000000-0005-0000-0000-00002C5F0000}"/>
    <cellStyle name="Normal 13 6 3 2 3 3" xfId="24365" xr:uid="{00000000-0005-0000-0000-00002D5F0000}"/>
    <cellStyle name="Normal 13 6 3 2 4" xfId="24366" xr:uid="{00000000-0005-0000-0000-00002E5F0000}"/>
    <cellStyle name="Normal 13 6 3 2 5" xfId="24367" xr:uid="{00000000-0005-0000-0000-00002F5F0000}"/>
    <cellStyle name="Normal 13 6 3 3" xfId="24368" xr:uid="{00000000-0005-0000-0000-0000305F0000}"/>
    <cellStyle name="Normal 13 6 3 3 2" xfId="24369" xr:uid="{00000000-0005-0000-0000-0000315F0000}"/>
    <cellStyle name="Normal 13 6 3 3 2 2" xfId="24370" xr:uid="{00000000-0005-0000-0000-0000325F0000}"/>
    <cellStyle name="Normal 13 6 3 3 2 3" xfId="24371" xr:uid="{00000000-0005-0000-0000-0000335F0000}"/>
    <cellStyle name="Normal 13 6 3 3 3" xfId="24372" xr:uid="{00000000-0005-0000-0000-0000345F0000}"/>
    <cellStyle name="Normal 13 6 3 3 4" xfId="24373" xr:uid="{00000000-0005-0000-0000-0000355F0000}"/>
    <cellStyle name="Normal 13 6 3 4" xfId="24374" xr:uid="{00000000-0005-0000-0000-0000365F0000}"/>
    <cellStyle name="Normal 13 6 3 4 2" xfId="24375" xr:uid="{00000000-0005-0000-0000-0000375F0000}"/>
    <cellStyle name="Normal 13 6 3 4 3" xfId="24376" xr:uid="{00000000-0005-0000-0000-0000385F0000}"/>
    <cellStyle name="Normal 13 6 3 5" xfId="24377" xr:uid="{00000000-0005-0000-0000-0000395F0000}"/>
    <cellStyle name="Normal 13 6 3 6" xfId="24378" xr:uid="{00000000-0005-0000-0000-00003A5F0000}"/>
    <cellStyle name="Normal 13 6 4" xfId="24379" xr:uid="{00000000-0005-0000-0000-00003B5F0000}"/>
    <cellStyle name="Normal 13 6 4 2" xfId="24380" xr:uid="{00000000-0005-0000-0000-00003C5F0000}"/>
    <cellStyle name="Normal 13 6 4 2 2" xfId="24381" xr:uid="{00000000-0005-0000-0000-00003D5F0000}"/>
    <cellStyle name="Normal 13 6 4 2 2 2" xfId="24382" xr:uid="{00000000-0005-0000-0000-00003E5F0000}"/>
    <cellStyle name="Normal 13 6 4 2 2 3" xfId="24383" xr:uid="{00000000-0005-0000-0000-00003F5F0000}"/>
    <cellStyle name="Normal 13 6 4 2 3" xfId="24384" xr:uid="{00000000-0005-0000-0000-0000405F0000}"/>
    <cellStyle name="Normal 13 6 4 2 4" xfId="24385" xr:uid="{00000000-0005-0000-0000-0000415F0000}"/>
    <cellStyle name="Normal 13 6 4 3" xfId="24386" xr:uid="{00000000-0005-0000-0000-0000425F0000}"/>
    <cellStyle name="Normal 13 6 4 3 2" xfId="24387" xr:uid="{00000000-0005-0000-0000-0000435F0000}"/>
    <cellStyle name="Normal 13 6 4 3 3" xfId="24388" xr:uid="{00000000-0005-0000-0000-0000445F0000}"/>
    <cellStyle name="Normal 13 6 4 4" xfId="24389" xr:uid="{00000000-0005-0000-0000-0000455F0000}"/>
    <cellStyle name="Normal 13 6 4 5" xfId="24390" xr:uid="{00000000-0005-0000-0000-0000465F0000}"/>
    <cellStyle name="Normal 13 6 5" xfId="24391" xr:uid="{00000000-0005-0000-0000-0000475F0000}"/>
    <cellStyle name="Normal 13 6 5 2" xfId="24392" xr:uid="{00000000-0005-0000-0000-0000485F0000}"/>
    <cellStyle name="Normal 13 6 5 2 2" xfId="24393" xr:uid="{00000000-0005-0000-0000-0000495F0000}"/>
    <cellStyle name="Normal 13 6 5 2 3" xfId="24394" xr:uid="{00000000-0005-0000-0000-00004A5F0000}"/>
    <cellStyle name="Normal 13 6 5 3" xfId="24395" xr:uid="{00000000-0005-0000-0000-00004B5F0000}"/>
    <cellStyle name="Normal 13 6 5 4" xfId="24396" xr:uid="{00000000-0005-0000-0000-00004C5F0000}"/>
    <cellStyle name="Normal 13 6 6" xfId="24397" xr:uid="{00000000-0005-0000-0000-00004D5F0000}"/>
    <cellStyle name="Normal 13 6 6 2" xfId="24398" xr:uid="{00000000-0005-0000-0000-00004E5F0000}"/>
    <cellStyle name="Normal 13 6 6 3" xfId="24399" xr:uid="{00000000-0005-0000-0000-00004F5F0000}"/>
    <cellStyle name="Normal 13 6 7" xfId="24400" xr:uid="{00000000-0005-0000-0000-0000505F0000}"/>
    <cellStyle name="Normal 13 6 8" xfId="24401" xr:uid="{00000000-0005-0000-0000-0000515F0000}"/>
    <cellStyle name="Normal 13 7" xfId="24402" xr:uid="{00000000-0005-0000-0000-0000525F0000}"/>
    <cellStyle name="Normal 13 7 2" xfId="24403" xr:uid="{00000000-0005-0000-0000-0000535F0000}"/>
    <cellStyle name="Normal 13 7 2 2" xfId="24404" xr:uid="{00000000-0005-0000-0000-0000545F0000}"/>
    <cellStyle name="Normal 13 7 2 2 2" xfId="24405" xr:uid="{00000000-0005-0000-0000-0000555F0000}"/>
    <cellStyle name="Normal 13 7 2 2 2 2" xfId="24406" xr:uid="{00000000-0005-0000-0000-0000565F0000}"/>
    <cellStyle name="Normal 13 7 2 2 2 2 2" xfId="24407" xr:uid="{00000000-0005-0000-0000-0000575F0000}"/>
    <cellStyle name="Normal 13 7 2 2 2 2 3" xfId="24408" xr:uid="{00000000-0005-0000-0000-0000585F0000}"/>
    <cellStyle name="Normal 13 7 2 2 2 3" xfId="24409" xr:uid="{00000000-0005-0000-0000-0000595F0000}"/>
    <cellStyle name="Normal 13 7 2 2 2 4" xfId="24410" xr:uid="{00000000-0005-0000-0000-00005A5F0000}"/>
    <cellStyle name="Normal 13 7 2 2 3" xfId="24411" xr:uid="{00000000-0005-0000-0000-00005B5F0000}"/>
    <cellStyle name="Normal 13 7 2 2 3 2" xfId="24412" xr:uid="{00000000-0005-0000-0000-00005C5F0000}"/>
    <cellStyle name="Normal 13 7 2 2 3 3" xfId="24413" xr:uid="{00000000-0005-0000-0000-00005D5F0000}"/>
    <cellStyle name="Normal 13 7 2 2 4" xfId="24414" xr:uid="{00000000-0005-0000-0000-00005E5F0000}"/>
    <cellStyle name="Normal 13 7 2 2 5" xfId="24415" xr:uid="{00000000-0005-0000-0000-00005F5F0000}"/>
    <cellStyle name="Normal 13 7 2 3" xfId="24416" xr:uid="{00000000-0005-0000-0000-0000605F0000}"/>
    <cellStyle name="Normal 13 7 2 3 2" xfId="24417" xr:uid="{00000000-0005-0000-0000-0000615F0000}"/>
    <cellStyle name="Normal 13 7 2 3 2 2" xfId="24418" xr:uid="{00000000-0005-0000-0000-0000625F0000}"/>
    <cellStyle name="Normal 13 7 2 3 2 3" xfId="24419" xr:uid="{00000000-0005-0000-0000-0000635F0000}"/>
    <cellStyle name="Normal 13 7 2 3 3" xfId="24420" xr:uid="{00000000-0005-0000-0000-0000645F0000}"/>
    <cellStyle name="Normal 13 7 2 3 4" xfId="24421" xr:uid="{00000000-0005-0000-0000-0000655F0000}"/>
    <cellStyle name="Normal 13 7 2 4" xfId="24422" xr:uid="{00000000-0005-0000-0000-0000665F0000}"/>
    <cellStyle name="Normal 13 7 2 4 2" xfId="24423" xr:uid="{00000000-0005-0000-0000-0000675F0000}"/>
    <cellStyle name="Normal 13 7 2 4 3" xfId="24424" xr:uid="{00000000-0005-0000-0000-0000685F0000}"/>
    <cellStyle name="Normal 13 7 2 5" xfId="24425" xr:uid="{00000000-0005-0000-0000-0000695F0000}"/>
    <cellStyle name="Normal 13 7 2 6" xfId="24426" xr:uid="{00000000-0005-0000-0000-00006A5F0000}"/>
    <cellStyle name="Normal 13 7 3" xfId="24427" xr:uid="{00000000-0005-0000-0000-00006B5F0000}"/>
    <cellStyle name="Normal 13 7 3 2" xfId="24428" xr:uid="{00000000-0005-0000-0000-00006C5F0000}"/>
    <cellStyle name="Normal 13 7 3 2 2" xfId="24429" xr:uid="{00000000-0005-0000-0000-00006D5F0000}"/>
    <cellStyle name="Normal 13 7 3 2 2 2" xfId="24430" xr:uid="{00000000-0005-0000-0000-00006E5F0000}"/>
    <cellStyle name="Normal 13 7 3 2 2 3" xfId="24431" xr:uid="{00000000-0005-0000-0000-00006F5F0000}"/>
    <cellStyle name="Normal 13 7 3 2 3" xfId="24432" xr:uid="{00000000-0005-0000-0000-0000705F0000}"/>
    <cellStyle name="Normal 13 7 3 2 4" xfId="24433" xr:uid="{00000000-0005-0000-0000-0000715F0000}"/>
    <cellStyle name="Normal 13 7 3 3" xfId="24434" xr:uid="{00000000-0005-0000-0000-0000725F0000}"/>
    <cellStyle name="Normal 13 7 3 3 2" xfId="24435" xr:uid="{00000000-0005-0000-0000-0000735F0000}"/>
    <cellStyle name="Normal 13 7 3 3 3" xfId="24436" xr:uid="{00000000-0005-0000-0000-0000745F0000}"/>
    <cellStyle name="Normal 13 7 3 4" xfId="24437" xr:uid="{00000000-0005-0000-0000-0000755F0000}"/>
    <cellStyle name="Normal 13 7 3 5" xfId="24438" xr:uid="{00000000-0005-0000-0000-0000765F0000}"/>
    <cellStyle name="Normal 13 7 4" xfId="24439" xr:uid="{00000000-0005-0000-0000-0000775F0000}"/>
    <cellStyle name="Normal 13 7 4 2" xfId="24440" xr:uid="{00000000-0005-0000-0000-0000785F0000}"/>
    <cellStyle name="Normal 13 7 4 2 2" xfId="24441" xr:uid="{00000000-0005-0000-0000-0000795F0000}"/>
    <cellStyle name="Normal 13 7 4 2 3" xfId="24442" xr:uid="{00000000-0005-0000-0000-00007A5F0000}"/>
    <cellStyle name="Normal 13 7 4 3" xfId="24443" xr:uid="{00000000-0005-0000-0000-00007B5F0000}"/>
    <cellStyle name="Normal 13 7 4 4" xfId="24444" xr:uid="{00000000-0005-0000-0000-00007C5F0000}"/>
    <cellStyle name="Normal 13 7 5" xfId="24445" xr:uid="{00000000-0005-0000-0000-00007D5F0000}"/>
    <cellStyle name="Normal 13 7 5 2" xfId="24446" xr:uid="{00000000-0005-0000-0000-00007E5F0000}"/>
    <cellStyle name="Normal 13 7 5 3" xfId="24447" xr:uid="{00000000-0005-0000-0000-00007F5F0000}"/>
    <cellStyle name="Normal 13 7 6" xfId="24448" xr:uid="{00000000-0005-0000-0000-0000805F0000}"/>
    <cellStyle name="Normal 13 7 7" xfId="24449" xr:uid="{00000000-0005-0000-0000-0000815F0000}"/>
    <cellStyle name="Normal 13 8" xfId="24450" xr:uid="{00000000-0005-0000-0000-0000825F0000}"/>
    <cellStyle name="Normal 13 8 2" xfId="24451" xr:uid="{00000000-0005-0000-0000-0000835F0000}"/>
    <cellStyle name="Normal 13 8 2 2" xfId="24452" xr:uid="{00000000-0005-0000-0000-0000845F0000}"/>
    <cellStyle name="Normal 13 8 2 2 2" xfId="24453" xr:uid="{00000000-0005-0000-0000-0000855F0000}"/>
    <cellStyle name="Normal 13 8 2 2 2 2" xfId="24454" xr:uid="{00000000-0005-0000-0000-0000865F0000}"/>
    <cellStyle name="Normal 13 8 2 2 2 3" xfId="24455" xr:uid="{00000000-0005-0000-0000-0000875F0000}"/>
    <cellStyle name="Normal 13 8 2 2 3" xfId="24456" xr:uid="{00000000-0005-0000-0000-0000885F0000}"/>
    <cellStyle name="Normal 13 8 2 2 4" xfId="24457" xr:uid="{00000000-0005-0000-0000-0000895F0000}"/>
    <cellStyle name="Normal 13 8 2 3" xfId="24458" xr:uid="{00000000-0005-0000-0000-00008A5F0000}"/>
    <cellStyle name="Normal 13 8 2 3 2" xfId="24459" xr:uid="{00000000-0005-0000-0000-00008B5F0000}"/>
    <cellStyle name="Normal 13 8 2 3 3" xfId="24460" xr:uid="{00000000-0005-0000-0000-00008C5F0000}"/>
    <cellStyle name="Normal 13 8 2 4" xfId="24461" xr:uid="{00000000-0005-0000-0000-00008D5F0000}"/>
    <cellStyle name="Normal 13 8 2 5" xfId="24462" xr:uid="{00000000-0005-0000-0000-00008E5F0000}"/>
    <cellStyle name="Normal 13 8 3" xfId="24463" xr:uid="{00000000-0005-0000-0000-00008F5F0000}"/>
    <cellStyle name="Normal 13 8 3 2" xfId="24464" xr:uid="{00000000-0005-0000-0000-0000905F0000}"/>
    <cellStyle name="Normal 13 8 3 2 2" xfId="24465" xr:uid="{00000000-0005-0000-0000-0000915F0000}"/>
    <cellStyle name="Normal 13 8 3 2 3" xfId="24466" xr:uid="{00000000-0005-0000-0000-0000925F0000}"/>
    <cellStyle name="Normal 13 8 3 3" xfId="24467" xr:uid="{00000000-0005-0000-0000-0000935F0000}"/>
    <cellStyle name="Normal 13 8 3 4" xfId="24468" xr:uid="{00000000-0005-0000-0000-0000945F0000}"/>
    <cellStyle name="Normal 13 8 4" xfId="24469" xr:uid="{00000000-0005-0000-0000-0000955F0000}"/>
    <cellStyle name="Normal 13 8 4 2" xfId="24470" xr:uid="{00000000-0005-0000-0000-0000965F0000}"/>
    <cellStyle name="Normal 13 8 4 3" xfId="24471" xr:uid="{00000000-0005-0000-0000-0000975F0000}"/>
    <cellStyle name="Normal 13 8 5" xfId="24472" xr:uid="{00000000-0005-0000-0000-0000985F0000}"/>
    <cellStyle name="Normal 13 8 6" xfId="24473" xr:uid="{00000000-0005-0000-0000-0000995F0000}"/>
    <cellStyle name="Normal 13 9" xfId="24474" xr:uid="{00000000-0005-0000-0000-00009A5F0000}"/>
    <cellStyle name="Normal 13 9 2" xfId="24475" xr:uid="{00000000-0005-0000-0000-00009B5F0000}"/>
    <cellStyle name="Normal 13 9 2 2" xfId="24476" xr:uid="{00000000-0005-0000-0000-00009C5F0000}"/>
    <cellStyle name="Normal 13 9 2 2 2" xfId="24477" xr:uid="{00000000-0005-0000-0000-00009D5F0000}"/>
    <cellStyle name="Normal 13 9 2 2 3" xfId="24478" xr:uid="{00000000-0005-0000-0000-00009E5F0000}"/>
    <cellStyle name="Normal 13 9 2 3" xfId="24479" xr:uid="{00000000-0005-0000-0000-00009F5F0000}"/>
    <cellStyle name="Normal 13 9 2 4" xfId="24480" xr:uid="{00000000-0005-0000-0000-0000A05F0000}"/>
    <cellStyle name="Normal 13 9 3" xfId="24481" xr:uid="{00000000-0005-0000-0000-0000A15F0000}"/>
    <cellStyle name="Normal 13 9 3 2" xfId="24482" xr:uid="{00000000-0005-0000-0000-0000A25F0000}"/>
    <cellStyle name="Normal 13 9 3 3" xfId="24483" xr:uid="{00000000-0005-0000-0000-0000A35F0000}"/>
    <cellStyle name="Normal 13 9 4" xfId="24484" xr:uid="{00000000-0005-0000-0000-0000A45F0000}"/>
    <cellStyle name="Normal 13 9 5" xfId="24485" xr:uid="{00000000-0005-0000-0000-0000A55F0000}"/>
    <cellStyle name="Normal 14" xfId="24486" xr:uid="{00000000-0005-0000-0000-0000A65F0000}"/>
    <cellStyle name="Normal 14 10" xfId="24487" xr:uid="{00000000-0005-0000-0000-0000A75F0000}"/>
    <cellStyle name="Normal 14 11" xfId="24488" xr:uid="{00000000-0005-0000-0000-0000A85F0000}"/>
    <cellStyle name="Normal 14 2" xfId="24489" xr:uid="{00000000-0005-0000-0000-0000A95F0000}"/>
    <cellStyle name="Normal 14 2 10" xfId="24490" xr:uid="{00000000-0005-0000-0000-0000AA5F0000}"/>
    <cellStyle name="Normal 14 2 2" xfId="24491" xr:uid="{00000000-0005-0000-0000-0000AB5F0000}"/>
    <cellStyle name="Normal 14 2 2 2" xfId="24492" xr:uid="{00000000-0005-0000-0000-0000AC5F0000}"/>
    <cellStyle name="Normal 14 2 2 2 2" xfId="24493" xr:uid="{00000000-0005-0000-0000-0000AD5F0000}"/>
    <cellStyle name="Normal 14 2 2 2 2 2" xfId="24494" xr:uid="{00000000-0005-0000-0000-0000AE5F0000}"/>
    <cellStyle name="Normal 14 2 2 2 2 2 2" xfId="24495" xr:uid="{00000000-0005-0000-0000-0000AF5F0000}"/>
    <cellStyle name="Normal 14 2 2 2 2 2 2 2" xfId="24496" xr:uid="{00000000-0005-0000-0000-0000B05F0000}"/>
    <cellStyle name="Normal 14 2 2 2 2 2 2 2 2" xfId="24497" xr:uid="{00000000-0005-0000-0000-0000B15F0000}"/>
    <cellStyle name="Normal 14 2 2 2 2 2 2 2 2 2" xfId="24498" xr:uid="{00000000-0005-0000-0000-0000B25F0000}"/>
    <cellStyle name="Normal 14 2 2 2 2 2 2 2 2 3" xfId="24499" xr:uid="{00000000-0005-0000-0000-0000B35F0000}"/>
    <cellStyle name="Normal 14 2 2 2 2 2 2 2 3" xfId="24500" xr:uid="{00000000-0005-0000-0000-0000B45F0000}"/>
    <cellStyle name="Normal 14 2 2 2 2 2 2 2 4" xfId="24501" xr:uid="{00000000-0005-0000-0000-0000B55F0000}"/>
    <cellStyle name="Normal 14 2 2 2 2 2 2 3" xfId="24502" xr:uid="{00000000-0005-0000-0000-0000B65F0000}"/>
    <cellStyle name="Normal 14 2 2 2 2 2 2 3 2" xfId="24503" xr:uid="{00000000-0005-0000-0000-0000B75F0000}"/>
    <cellStyle name="Normal 14 2 2 2 2 2 2 3 3" xfId="24504" xr:uid="{00000000-0005-0000-0000-0000B85F0000}"/>
    <cellStyle name="Normal 14 2 2 2 2 2 2 4" xfId="24505" xr:uid="{00000000-0005-0000-0000-0000B95F0000}"/>
    <cellStyle name="Normal 14 2 2 2 2 2 2 5" xfId="24506" xr:uid="{00000000-0005-0000-0000-0000BA5F0000}"/>
    <cellStyle name="Normal 14 2 2 2 2 2 3" xfId="24507" xr:uid="{00000000-0005-0000-0000-0000BB5F0000}"/>
    <cellStyle name="Normal 14 2 2 2 2 2 3 2" xfId="24508" xr:uid="{00000000-0005-0000-0000-0000BC5F0000}"/>
    <cellStyle name="Normal 14 2 2 2 2 2 3 2 2" xfId="24509" xr:uid="{00000000-0005-0000-0000-0000BD5F0000}"/>
    <cellStyle name="Normal 14 2 2 2 2 2 3 2 3" xfId="24510" xr:uid="{00000000-0005-0000-0000-0000BE5F0000}"/>
    <cellStyle name="Normal 14 2 2 2 2 2 3 3" xfId="24511" xr:uid="{00000000-0005-0000-0000-0000BF5F0000}"/>
    <cellStyle name="Normal 14 2 2 2 2 2 3 4" xfId="24512" xr:uid="{00000000-0005-0000-0000-0000C05F0000}"/>
    <cellStyle name="Normal 14 2 2 2 2 2 4" xfId="24513" xr:uid="{00000000-0005-0000-0000-0000C15F0000}"/>
    <cellStyle name="Normal 14 2 2 2 2 2 4 2" xfId="24514" xr:uid="{00000000-0005-0000-0000-0000C25F0000}"/>
    <cellStyle name="Normal 14 2 2 2 2 2 4 3" xfId="24515" xr:uid="{00000000-0005-0000-0000-0000C35F0000}"/>
    <cellStyle name="Normal 14 2 2 2 2 2 5" xfId="24516" xr:uid="{00000000-0005-0000-0000-0000C45F0000}"/>
    <cellStyle name="Normal 14 2 2 2 2 2 6" xfId="24517" xr:uid="{00000000-0005-0000-0000-0000C55F0000}"/>
    <cellStyle name="Normal 14 2 2 2 2 3" xfId="24518" xr:uid="{00000000-0005-0000-0000-0000C65F0000}"/>
    <cellStyle name="Normal 14 2 2 2 2 3 2" xfId="24519" xr:uid="{00000000-0005-0000-0000-0000C75F0000}"/>
    <cellStyle name="Normal 14 2 2 2 2 3 2 2" xfId="24520" xr:uid="{00000000-0005-0000-0000-0000C85F0000}"/>
    <cellStyle name="Normal 14 2 2 2 2 3 2 2 2" xfId="24521" xr:uid="{00000000-0005-0000-0000-0000C95F0000}"/>
    <cellStyle name="Normal 14 2 2 2 2 3 2 2 3" xfId="24522" xr:uid="{00000000-0005-0000-0000-0000CA5F0000}"/>
    <cellStyle name="Normal 14 2 2 2 2 3 2 3" xfId="24523" xr:uid="{00000000-0005-0000-0000-0000CB5F0000}"/>
    <cellStyle name="Normal 14 2 2 2 2 3 2 4" xfId="24524" xr:uid="{00000000-0005-0000-0000-0000CC5F0000}"/>
    <cellStyle name="Normal 14 2 2 2 2 3 3" xfId="24525" xr:uid="{00000000-0005-0000-0000-0000CD5F0000}"/>
    <cellStyle name="Normal 14 2 2 2 2 3 3 2" xfId="24526" xr:uid="{00000000-0005-0000-0000-0000CE5F0000}"/>
    <cellStyle name="Normal 14 2 2 2 2 3 3 3" xfId="24527" xr:uid="{00000000-0005-0000-0000-0000CF5F0000}"/>
    <cellStyle name="Normal 14 2 2 2 2 3 4" xfId="24528" xr:uid="{00000000-0005-0000-0000-0000D05F0000}"/>
    <cellStyle name="Normal 14 2 2 2 2 3 5" xfId="24529" xr:uid="{00000000-0005-0000-0000-0000D15F0000}"/>
    <cellStyle name="Normal 14 2 2 2 2 4" xfId="24530" xr:uid="{00000000-0005-0000-0000-0000D25F0000}"/>
    <cellStyle name="Normal 14 2 2 2 2 4 2" xfId="24531" xr:uid="{00000000-0005-0000-0000-0000D35F0000}"/>
    <cellStyle name="Normal 14 2 2 2 2 4 2 2" xfId="24532" xr:uid="{00000000-0005-0000-0000-0000D45F0000}"/>
    <cellStyle name="Normal 14 2 2 2 2 4 2 3" xfId="24533" xr:uid="{00000000-0005-0000-0000-0000D55F0000}"/>
    <cellStyle name="Normal 14 2 2 2 2 4 3" xfId="24534" xr:uid="{00000000-0005-0000-0000-0000D65F0000}"/>
    <cellStyle name="Normal 14 2 2 2 2 4 4" xfId="24535" xr:uid="{00000000-0005-0000-0000-0000D75F0000}"/>
    <cellStyle name="Normal 14 2 2 2 2 5" xfId="24536" xr:uid="{00000000-0005-0000-0000-0000D85F0000}"/>
    <cellStyle name="Normal 14 2 2 2 2 5 2" xfId="24537" xr:uid="{00000000-0005-0000-0000-0000D95F0000}"/>
    <cellStyle name="Normal 14 2 2 2 2 5 3" xfId="24538" xr:uid="{00000000-0005-0000-0000-0000DA5F0000}"/>
    <cellStyle name="Normal 14 2 2 2 2 6" xfId="24539" xr:uid="{00000000-0005-0000-0000-0000DB5F0000}"/>
    <cellStyle name="Normal 14 2 2 2 2 7" xfId="24540" xr:uid="{00000000-0005-0000-0000-0000DC5F0000}"/>
    <cellStyle name="Normal 14 2 2 2 3" xfId="24541" xr:uid="{00000000-0005-0000-0000-0000DD5F0000}"/>
    <cellStyle name="Normal 14 2 2 2 3 2" xfId="24542" xr:uid="{00000000-0005-0000-0000-0000DE5F0000}"/>
    <cellStyle name="Normal 14 2 2 2 3 2 2" xfId="24543" xr:uid="{00000000-0005-0000-0000-0000DF5F0000}"/>
    <cellStyle name="Normal 14 2 2 2 3 2 2 2" xfId="24544" xr:uid="{00000000-0005-0000-0000-0000E05F0000}"/>
    <cellStyle name="Normal 14 2 2 2 3 2 2 2 2" xfId="24545" xr:uid="{00000000-0005-0000-0000-0000E15F0000}"/>
    <cellStyle name="Normal 14 2 2 2 3 2 2 2 3" xfId="24546" xr:uid="{00000000-0005-0000-0000-0000E25F0000}"/>
    <cellStyle name="Normal 14 2 2 2 3 2 2 3" xfId="24547" xr:uid="{00000000-0005-0000-0000-0000E35F0000}"/>
    <cellStyle name="Normal 14 2 2 2 3 2 2 4" xfId="24548" xr:uid="{00000000-0005-0000-0000-0000E45F0000}"/>
    <cellStyle name="Normal 14 2 2 2 3 2 3" xfId="24549" xr:uid="{00000000-0005-0000-0000-0000E55F0000}"/>
    <cellStyle name="Normal 14 2 2 2 3 2 3 2" xfId="24550" xr:uid="{00000000-0005-0000-0000-0000E65F0000}"/>
    <cellStyle name="Normal 14 2 2 2 3 2 3 3" xfId="24551" xr:uid="{00000000-0005-0000-0000-0000E75F0000}"/>
    <cellStyle name="Normal 14 2 2 2 3 2 4" xfId="24552" xr:uid="{00000000-0005-0000-0000-0000E85F0000}"/>
    <cellStyle name="Normal 14 2 2 2 3 2 5" xfId="24553" xr:uid="{00000000-0005-0000-0000-0000E95F0000}"/>
    <cellStyle name="Normal 14 2 2 2 3 3" xfId="24554" xr:uid="{00000000-0005-0000-0000-0000EA5F0000}"/>
    <cellStyle name="Normal 14 2 2 2 3 3 2" xfId="24555" xr:uid="{00000000-0005-0000-0000-0000EB5F0000}"/>
    <cellStyle name="Normal 14 2 2 2 3 3 2 2" xfId="24556" xr:uid="{00000000-0005-0000-0000-0000EC5F0000}"/>
    <cellStyle name="Normal 14 2 2 2 3 3 2 3" xfId="24557" xr:uid="{00000000-0005-0000-0000-0000ED5F0000}"/>
    <cellStyle name="Normal 14 2 2 2 3 3 3" xfId="24558" xr:uid="{00000000-0005-0000-0000-0000EE5F0000}"/>
    <cellStyle name="Normal 14 2 2 2 3 3 4" xfId="24559" xr:uid="{00000000-0005-0000-0000-0000EF5F0000}"/>
    <cellStyle name="Normal 14 2 2 2 3 4" xfId="24560" xr:uid="{00000000-0005-0000-0000-0000F05F0000}"/>
    <cellStyle name="Normal 14 2 2 2 3 4 2" xfId="24561" xr:uid="{00000000-0005-0000-0000-0000F15F0000}"/>
    <cellStyle name="Normal 14 2 2 2 3 4 3" xfId="24562" xr:uid="{00000000-0005-0000-0000-0000F25F0000}"/>
    <cellStyle name="Normal 14 2 2 2 3 5" xfId="24563" xr:uid="{00000000-0005-0000-0000-0000F35F0000}"/>
    <cellStyle name="Normal 14 2 2 2 3 6" xfId="24564" xr:uid="{00000000-0005-0000-0000-0000F45F0000}"/>
    <cellStyle name="Normal 14 2 2 2 4" xfId="24565" xr:uid="{00000000-0005-0000-0000-0000F55F0000}"/>
    <cellStyle name="Normal 14 2 2 2 4 2" xfId="24566" xr:uid="{00000000-0005-0000-0000-0000F65F0000}"/>
    <cellStyle name="Normal 14 2 2 2 4 2 2" xfId="24567" xr:uid="{00000000-0005-0000-0000-0000F75F0000}"/>
    <cellStyle name="Normal 14 2 2 2 4 2 2 2" xfId="24568" xr:uid="{00000000-0005-0000-0000-0000F85F0000}"/>
    <cellStyle name="Normal 14 2 2 2 4 2 2 3" xfId="24569" xr:uid="{00000000-0005-0000-0000-0000F95F0000}"/>
    <cellStyle name="Normal 14 2 2 2 4 2 3" xfId="24570" xr:uid="{00000000-0005-0000-0000-0000FA5F0000}"/>
    <cellStyle name="Normal 14 2 2 2 4 2 4" xfId="24571" xr:uid="{00000000-0005-0000-0000-0000FB5F0000}"/>
    <cellStyle name="Normal 14 2 2 2 4 3" xfId="24572" xr:uid="{00000000-0005-0000-0000-0000FC5F0000}"/>
    <cellStyle name="Normal 14 2 2 2 4 3 2" xfId="24573" xr:uid="{00000000-0005-0000-0000-0000FD5F0000}"/>
    <cellStyle name="Normal 14 2 2 2 4 3 3" xfId="24574" xr:uid="{00000000-0005-0000-0000-0000FE5F0000}"/>
    <cellStyle name="Normal 14 2 2 2 4 4" xfId="24575" xr:uid="{00000000-0005-0000-0000-0000FF5F0000}"/>
    <cellStyle name="Normal 14 2 2 2 4 5" xfId="24576" xr:uid="{00000000-0005-0000-0000-000000600000}"/>
    <cellStyle name="Normal 14 2 2 2 5" xfId="24577" xr:uid="{00000000-0005-0000-0000-000001600000}"/>
    <cellStyle name="Normal 14 2 2 2 5 2" xfId="24578" xr:uid="{00000000-0005-0000-0000-000002600000}"/>
    <cellStyle name="Normal 14 2 2 2 5 2 2" xfId="24579" xr:uid="{00000000-0005-0000-0000-000003600000}"/>
    <cellStyle name="Normal 14 2 2 2 5 2 3" xfId="24580" xr:uid="{00000000-0005-0000-0000-000004600000}"/>
    <cellStyle name="Normal 14 2 2 2 5 3" xfId="24581" xr:uid="{00000000-0005-0000-0000-000005600000}"/>
    <cellStyle name="Normal 14 2 2 2 5 4" xfId="24582" xr:uid="{00000000-0005-0000-0000-000006600000}"/>
    <cellStyle name="Normal 14 2 2 2 6" xfId="24583" xr:uid="{00000000-0005-0000-0000-000007600000}"/>
    <cellStyle name="Normal 14 2 2 2 6 2" xfId="24584" xr:uid="{00000000-0005-0000-0000-000008600000}"/>
    <cellStyle name="Normal 14 2 2 2 6 3" xfId="24585" xr:uid="{00000000-0005-0000-0000-000009600000}"/>
    <cellStyle name="Normal 14 2 2 2 7" xfId="24586" xr:uid="{00000000-0005-0000-0000-00000A600000}"/>
    <cellStyle name="Normal 14 2 2 2 8" xfId="24587" xr:uid="{00000000-0005-0000-0000-00000B600000}"/>
    <cellStyle name="Normal 14 2 2 3" xfId="24588" xr:uid="{00000000-0005-0000-0000-00000C600000}"/>
    <cellStyle name="Normal 14 2 2 3 2" xfId="24589" xr:uid="{00000000-0005-0000-0000-00000D600000}"/>
    <cellStyle name="Normal 14 2 2 3 2 2" xfId="24590" xr:uid="{00000000-0005-0000-0000-00000E600000}"/>
    <cellStyle name="Normal 14 2 2 3 2 2 2" xfId="24591" xr:uid="{00000000-0005-0000-0000-00000F600000}"/>
    <cellStyle name="Normal 14 2 2 3 2 2 2 2" xfId="24592" xr:uid="{00000000-0005-0000-0000-000010600000}"/>
    <cellStyle name="Normal 14 2 2 3 2 2 2 2 2" xfId="24593" xr:uid="{00000000-0005-0000-0000-000011600000}"/>
    <cellStyle name="Normal 14 2 2 3 2 2 2 2 3" xfId="24594" xr:uid="{00000000-0005-0000-0000-000012600000}"/>
    <cellStyle name="Normal 14 2 2 3 2 2 2 3" xfId="24595" xr:uid="{00000000-0005-0000-0000-000013600000}"/>
    <cellStyle name="Normal 14 2 2 3 2 2 2 4" xfId="24596" xr:uid="{00000000-0005-0000-0000-000014600000}"/>
    <cellStyle name="Normal 14 2 2 3 2 2 3" xfId="24597" xr:uid="{00000000-0005-0000-0000-000015600000}"/>
    <cellStyle name="Normal 14 2 2 3 2 2 3 2" xfId="24598" xr:uid="{00000000-0005-0000-0000-000016600000}"/>
    <cellStyle name="Normal 14 2 2 3 2 2 3 3" xfId="24599" xr:uid="{00000000-0005-0000-0000-000017600000}"/>
    <cellStyle name="Normal 14 2 2 3 2 2 4" xfId="24600" xr:uid="{00000000-0005-0000-0000-000018600000}"/>
    <cellStyle name="Normal 14 2 2 3 2 2 5" xfId="24601" xr:uid="{00000000-0005-0000-0000-000019600000}"/>
    <cellStyle name="Normal 14 2 2 3 2 3" xfId="24602" xr:uid="{00000000-0005-0000-0000-00001A600000}"/>
    <cellStyle name="Normal 14 2 2 3 2 3 2" xfId="24603" xr:uid="{00000000-0005-0000-0000-00001B600000}"/>
    <cellStyle name="Normal 14 2 2 3 2 3 2 2" xfId="24604" xr:uid="{00000000-0005-0000-0000-00001C600000}"/>
    <cellStyle name="Normal 14 2 2 3 2 3 2 3" xfId="24605" xr:uid="{00000000-0005-0000-0000-00001D600000}"/>
    <cellStyle name="Normal 14 2 2 3 2 3 3" xfId="24606" xr:uid="{00000000-0005-0000-0000-00001E600000}"/>
    <cellStyle name="Normal 14 2 2 3 2 3 4" xfId="24607" xr:uid="{00000000-0005-0000-0000-00001F600000}"/>
    <cellStyle name="Normal 14 2 2 3 2 4" xfId="24608" xr:uid="{00000000-0005-0000-0000-000020600000}"/>
    <cellStyle name="Normal 14 2 2 3 2 4 2" xfId="24609" xr:uid="{00000000-0005-0000-0000-000021600000}"/>
    <cellStyle name="Normal 14 2 2 3 2 4 3" xfId="24610" xr:uid="{00000000-0005-0000-0000-000022600000}"/>
    <cellStyle name="Normal 14 2 2 3 2 5" xfId="24611" xr:uid="{00000000-0005-0000-0000-000023600000}"/>
    <cellStyle name="Normal 14 2 2 3 2 6" xfId="24612" xr:uid="{00000000-0005-0000-0000-000024600000}"/>
    <cellStyle name="Normal 14 2 2 3 3" xfId="24613" xr:uid="{00000000-0005-0000-0000-000025600000}"/>
    <cellStyle name="Normal 14 2 2 3 3 2" xfId="24614" xr:uid="{00000000-0005-0000-0000-000026600000}"/>
    <cellStyle name="Normal 14 2 2 3 3 2 2" xfId="24615" xr:uid="{00000000-0005-0000-0000-000027600000}"/>
    <cellStyle name="Normal 14 2 2 3 3 2 2 2" xfId="24616" xr:uid="{00000000-0005-0000-0000-000028600000}"/>
    <cellStyle name="Normal 14 2 2 3 3 2 2 3" xfId="24617" xr:uid="{00000000-0005-0000-0000-000029600000}"/>
    <cellStyle name="Normal 14 2 2 3 3 2 3" xfId="24618" xr:uid="{00000000-0005-0000-0000-00002A600000}"/>
    <cellStyle name="Normal 14 2 2 3 3 2 4" xfId="24619" xr:uid="{00000000-0005-0000-0000-00002B600000}"/>
    <cellStyle name="Normal 14 2 2 3 3 3" xfId="24620" xr:uid="{00000000-0005-0000-0000-00002C600000}"/>
    <cellStyle name="Normal 14 2 2 3 3 3 2" xfId="24621" xr:uid="{00000000-0005-0000-0000-00002D600000}"/>
    <cellStyle name="Normal 14 2 2 3 3 3 3" xfId="24622" xr:uid="{00000000-0005-0000-0000-00002E600000}"/>
    <cellStyle name="Normal 14 2 2 3 3 4" xfId="24623" xr:uid="{00000000-0005-0000-0000-00002F600000}"/>
    <cellStyle name="Normal 14 2 2 3 3 5" xfId="24624" xr:uid="{00000000-0005-0000-0000-000030600000}"/>
    <cellStyle name="Normal 14 2 2 3 4" xfId="24625" xr:uid="{00000000-0005-0000-0000-000031600000}"/>
    <cellStyle name="Normal 14 2 2 3 4 2" xfId="24626" xr:uid="{00000000-0005-0000-0000-000032600000}"/>
    <cellStyle name="Normal 14 2 2 3 4 2 2" xfId="24627" xr:uid="{00000000-0005-0000-0000-000033600000}"/>
    <cellStyle name="Normal 14 2 2 3 4 2 3" xfId="24628" xr:uid="{00000000-0005-0000-0000-000034600000}"/>
    <cellStyle name="Normal 14 2 2 3 4 3" xfId="24629" xr:uid="{00000000-0005-0000-0000-000035600000}"/>
    <cellStyle name="Normal 14 2 2 3 4 4" xfId="24630" xr:uid="{00000000-0005-0000-0000-000036600000}"/>
    <cellStyle name="Normal 14 2 2 3 5" xfId="24631" xr:uid="{00000000-0005-0000-0000-000037600000}"/>
    <cellStyle name="Normal 14 2 2 3 5 2" xfId="24632" xr:uid="{00000000-0005-0000-0000-000038600000}"/>
    <cellStyle name="Normal 14 2 2 3 5 3" xfId="24633" xr:uid="{00000000-0005-0000-0000-000039600000}"/>
    <cellStyle name="Normal 14 2 2 3 6" xfId="24634" xr:uid="{00000000-0005-0000-0000-00003A600000}"/>
    <cellStyle name="Normal 14 2 2 3 7" xfId="24635" xr:uid="{00000000-0005-0000-0000-00003B600000}"/>
    <cellStyle name="Normal 14 2 2 4" xfId="24636" xr:uid="{00000000-0005-0000-0000-00003C600000}"/>
    <cellStyle name="Normal 14 2 2 4 2" xfId="24637" xr:uid="{00000000-0005-0000-0000-00003D600000}"/>
    <cellStyle name="Normal 14 2 2 4 2 2" xfId="24638" xr:uid="{00000000-0005-0000-0000-00003E600000}"/>
    <cellStyle name="Normal 14 2 2 4 2 2 2" xfId="24639" xr:uid="{00000000-0005-0000-0000-00003F600000}"/>
    <cellStyle name="Normal 14 2 2 4 2 2 2 2" xfId="24640" xr:uid="{00000000-0005-0000-0000-000040600000}"/>
    <cellStyle name="Normal 14 2 2 4 2 2 2 3" xfId="24641" xr:uid="{00000000-0005-0000-0000-000041600000}"/>
    <cellStyle name="Normal 14 2 2 4 2 2 3" xfId="24642" xr:uid="{00000000-0005-0000-0000-000042600000}"/>
    <cellStyle name="Normal 14 2 2 4 2 2 4" xfId="24643" xr:uid="{00000000-0005-0000-0000-000043600000}"/>
    <cellStyle name="Normal 14 2 2 4 2 3" xfId="24644" xr:uid="{00000000-0005-0000-0000-000044600000}"/>
    <cellStyle name="Normal 14 2 2 4 2 3 2" xfId="24645" xr:uid="{00000000-0005-0000-0000-000045600000}"/>
    <cellStyle name="Normal 14 2 2 4 2 3 3" xfId="24646" xr:uid="{00000000-0005-0000-0000-000046600000}"/>
    <cellStyle name="Normal 14 2 2 4 2 4" xfId="24647" xr:uid="{00000000-0005-0000-0000-000047600000}"/>
    <cellStyle name="Normal 14 2 2 4 2 5" xfId="24648" xr:uid="{00000000-0005-0000-0000-000048600000}"/>
    <cellStyle name="Normal 14 2 2 4 3" xfId="24649" xr:uid="{00000000-0005-0000-0000-000049600000}"/>
    <cellStyle name="Normal 14 2 2 4 3 2" xfId="24650" xr:uid="{00000000-0005-0000-0000-00004A600000}"/>
    <cellStyle name="Normal 14 2 2 4 3 2 2" xfId="24651" xr:uid="{00000000-0005-0000-0000-00004B600000}"/>
    <cellStyle name="Normal 14 2 2 4 3 2 3" xfId="24652" xr:uid="{00000000-0005-0000-0000-00004C600000}"/>
    <cellStyle name="Normal 14 2 2 4 3 3" xfId="24653" xr:uid="{00000000-0005-0000-0000-00004D600000}"/>
    <cellStyle name="Normal 14 2 2 4 3 4" xfId="24654" xr:uid="{00000000-0005-0000-0000-00004E600000}"/>
    <cellStyle name="Normal 14 2 2 4 4" xfId="24655" xr:uid="{00000000-0005-0000-0000-00004F600000}"/>
    <cellStyle name="Normal 14 2 2 4 4 2" xfId="24656" xr:uid="{00000000-0005-0000-0000-000050600000}"/>
    <cellStyle name="Normal 14 2 2 4 4 3" xfId="24657" xr:uid="{00000000-0005-0000-0000-000051600000}"/>
    <cellStyle name="Normal 14 2 2 4 5" xfId="24658" xr:uid="{00000000-0005-0000-0000-000052600000}"/>
    <cellStyle name="Normal 14 2 2 4 6" xfId="24659" xr:uid="{00000000-0005-0000-0000-000053600000}"/>
    <cellStyle name="Normal 14 2 2 5" xfId="24660" xr:uid="{00000000-0005-0000-0000-000054600000}"/>
    <cellStyle name="Normal 14 2 2 5 2" xfId="24661" xr:uid="{00000000-0005-0000-0000-000055600000}"/>
    <cellStyle name="Normal 14 2 2 5 2 2" xfId="24662" xr:uid="{00000000-0005-0000-0000-000056600000}"/>
    <cellStyle name="Normal 14 2 2 5 2 2 2" xfId="24663" xr:uid="{00000000-0005-0000-0000-000057600000}"/>
    <cellStyle name="Normal 14 2 2 5 2 2 3" xfId="24664" xr:uid="{00000000-0005-0000-0000-000058600000}"/>
    <cellStyle name="Normal 14 2 2 5 2 3" xfId="24665" xr:uid="{00000000-0005-0000-0000-000059600000}"/>
    <cellStyle name="Normal 14 2 2 5 2 4" xfId="24666" xr:uid="{00000000-0005-0000-0000-00005A600000}"/>
    <cellStyle name="Normal 14 2 2 5 3" xfId="24667" xr:uid="{00000000-0005-0000-0000-00005B600000}"/>
    <cellStyle name="Normal 14 2 2 5 3 2" xfId="24668" xr:uid="{00000000-0005-0000-0000-00005C600000}"/>
    <cellStyle name="Normal 14 2 2 5 3 3" xfId="24669" xr:uid="{00000000-0005-0000-0000-00005D600000}"/>
    <cellStyle name="Normal 14 2 2 5 4" xfId="24670" xr:uid="{00000000-0005-0000-0000-00005E600000}"/>
    <cellStyle name="Normal 14 2 2 5 5" xfId="24671" xr:uid="{00000000-0005-0000-0000-00005F600000}"/>
    <cellStyle name="Normal 14 2 2 6" xfId="24672" xr:uid="{00000000-0005-0000-0000-000060600000}"/>
    <cellStyle name="Normal 14 2 2 6 2" xfId="24673" xr:uid="{00000000-0005-0000-0000-000061600000}"/>
    <cellStyle name="Normal 14 2 2 6 2 2" xfId="24674" xr:uid="{00000000-0005-0000-0000-000062600000}"/>
    <cellStyle name="Normal 14 2 2 6 2 3" xfId="24675" xr:uid="{00000000-0005-0000-0000-000063600000}"/>
    <cellStyle name="Normal 14 2 2 6 3" xfId="24676" xr:uid="{00000000-0005-0000-0000-000064600000}"/>
    <cellStyle name="Normal 14 2 2 6 4" xfId="24677" xr:uid="{00000000-0005-0000-0000-000065600000}"/>
    <cellStyle name="Normal 14 2 2 7" xfId="24678" xr:uid="{00000000-0005-0000-0000-000066600000}"/>
    <cellStyle name="Normal 14 2 2 7 2" xfId="24679" xr:uid="{00000000-0005-0000-0000-000067600000}"/>
    <cellStyle name="Normal 14 2 2 7 3" xfId="24680" xr:uid="{00000000-0005-0000-0000-000068600000}"/>
    <cellStyle name="Normal 14 2 2 8" xfId="24681" xr:uid="{00000000-0005-0000-0000-000069600000}"/>
    <cellStyle name="Normal 14 2 2 9" xfId="24682" xr:uid="{00000000-0005-0000-0000-00006A600000}"/>
    <cellStyle name="Normal 14 2 3" xfId="24683" xr:uid="{00000000-0005-0000-0000-00006B600000}"/>
    <cellStyle name="Normal 14 2 3 2" xfId="24684" xr:uid="{00000000-0005-0000-0000-00006C600000}"/>
    <cellStyle name="Normal 14 2 3 2 2" xfId="24685" xr:uid="{00000000-0005-0000-0000-00006D600000}"/>
    <cellStyle name="Normal 14 2 3 2 2 2" xfId="24686" xr:uid="{00000000-0005-0000-0000-00006E600000}"/>
    <cellStyle name="Normal 14 2 3 2 2 2 2" xfId="24687" xr:uid="{00000000-0005-0000-0000-00006F600000}"/>
    <cellStyle name="Normal 14 2 3 2 2 2 2 2" xfId="24688" xr:uid="{00000000-0005-0000-0000-000070600000}"/>
    <cellStyle name="Normal 14 2 3 2 2 2 2 2 2" xfId="24689" xr:uid="{00000000-0005-0000-0000-000071600000}"/>
    <cellStyle name="Normal 14 2 3 2 2 2 2 2 3" xfId="24690" xr:uid="{00000000-0005-0000-0000-000072600000}"/>
    <cellStyle name="Normal 14 2 3 2 2 2 2 3" xfId="24691" xr:uid="{00000000-0005-0000-0000-000073600000}"/>
    <cellStyle name="Normal 14 2 3 2 2 2 2 4" xfId="24692" xr:uid="{00000000-0005-0000-0000-000074600000}"/>
    <cellStyle name="Normal 14 2 3 2 2 2 3" xfId="24693" xr:uid="{00000000-0005-0000-0000-000075600000}"/>
    <cellStyle name="Normal 14 2 3 2 2 2 3 2" xfId="24694" xr:uid="{00000000-0005-0000-0000-000076600000}"/>
    <cellStyle name="Normal 14 2 3 2 2 2 3 3" xfId="24695" xr:uid="{00000000-0005-0000-0000-000077600000}"/>
    <cellStyle name="Normal 14 2 3 2 2 2 4" xfId="24696" xr:uid="{00000000-0005-0000-0000-000078600000}"/>
    <cellStyle name="Normal 14 2 3 2 2 2 5" xfId="24697" xr:uid="{00000000-0005-0000-0000-000079600000}"/>
    <cellStyle name="Normal 14 2 3 2 2 3" xfId="24698" xr:uid="{00000000-0005-0000-0000-00007A600000}"/>
    <cellStyle name="Normal 14 2 3 2 2 3 2" xfId="24699" xr:uid="{00000000-0005-0000-0000-00007B600000}"/>
    <cellStyle name="Normal 14 2 3 2 2 3 2 2" xfId="24700" xr:uid="{00000000-0005-0000-0000-00007C600000}"/>
    <cellStyle name="Normal 14 2 3 2 2 3 2 3" xfId="24701" xr:uid="{00000000-0005-0000-0000-00007D600000}"/>
    <cellStyle name="Normal 14 2 3 2 2 3 3" xfId="24702" xr:uid="{00000000-0005-0000-0000-00007E600000}"/>
    <cellStyle name="Normal 14 2 3 2 2 3 4" xfId="24703" xr:uid="{00000000-0005-0000-0000-00007F600000}"/>
    <cellStyle name="Normal 14 2 3 2 2 4" xfId="24704" xr:uid="{00000000-0005-0000-0000-000080600000}"/>
    <cellStyle name="Normal 14 2 3 2 2 4 2" xfId="24705" xr:uid="{00000000-0005-0000-0000-000081600000}"/>
    <cellStyle name="Normal 14 2 3 2 2 4 3" xfId="24706" xr:uid="{00000000-0005-0000-0000-000082600000}"/>
    <cellStyle name="Normal 14 2 3 2 2 5" xfId="24707" xr:uid="{00000000-0005-0000-0000-000083600000}"/>
    <cellStyle name="Normal 14 2 3 2 2 6" xfId="24708" xr:uid="{00000000-0005-0000-0000-000084600000}"/>
    <cellStyle name="Normal 14 2 3 2 3" xfId="24709" xr:uid="{00000000-0005-0000-0000-000085600000}"/>
    <cellStyle name="Normal 14 2 3 2 3 2" xfId="24710" xr:uid="{00000000-0005-0000-0000-000086600000}"/>
    <cellStyle name="Normal 14 2 3 2 3 2 2" xfId="24711" xr:uid="{00000000-0005-0000-0000-000087600000}"/>
    <cellStyle name="Normal 14 2 3 2 3 2 2 2" xfId="24712" xr:uid="{00000000-0005-0000-0000-000088600000}"/>
    <cellStyle name="Normal 14 2 3 2 3 2 2 3" xfId="24713" xr:uid="{00000000-0005-0000-0000-000089600000}"/>
    <cellStyle name="Normal 14 2 3 2 3 2 3" xfId="24714" xr:uid="{00000000-0005-0000-0000-00008A600000}"/>
    <cellStyle name="Normal 14 2 3 2 3 2 4" xfId="24715" xr:uid="{00000000-0005-0000-0000-00008B600000}"/>
    <cellStyle name="Normal 14 2 3 2 3 3" xfId="24716" xr:uid="{00000000-0005-0000-0000-00008C600000}"/>
    <cellStyle name="Normal 14 2 3 2 3 3 2" xfId="24717" xr:uid="{00000000-0005-0000-0000-00008D600000}"/>
    <cellStyle name="Normal 14 2 3 2 3 3 3" xfId="24718" xr:uid="{00000000-0005-0000-0000-00008E600000}"/>
    <cellStyle name="Normal 14 2 3 2 3 4" xfId="24719" xr:uid="{00000000-0005-0000-0000-00008F600000}"/>
    <cellStyle name="Normal 14 2 3 2 3 5" xfId="24720" xr:uid="{00000000-0005-0000-0000-000090600000}"/>
    <cellStyle name="Normal 14 2 3 2 4" xfId="24721" xr:uid="{00000000-0005-0000-0000-000091600000}"/>
    <cellStyle name="Normal 14 2 3 2 4 2" xfId="24722" xr:uid="{00000000-0005-0000-0000-000092600000}"/>
    <cellStyle name="Normal 14 2 3 2 4 2 2" xfId="24723" xr:uid="{00000000-0005-0000-0000-000093600000}"/>
    <cellStyle name="Normal 14 2 3 2 4 2 3" xfId="24724" xr:uid="{00000000-0005-0000-0000-000094600000}"/>
    <cellStyle name="Normal 14 2 3 2 4 3" xfId="24725" xr:uid="{00000000-0005-0000-0000-000095600000}"/>
    <cellStyle name="Normal 14 2 3 2 4 4" xfId="24726" xr:uid="{00000000-0005-0000-0000-000096600000}"/>
    <cellStyle name="Normal 14 2 3 2 5" xfId="24727" xr:uid="{00000000-0005-0000-0000-000097600000}"/>
    <cellStyle name="Normal 14 2 3 2 5 2" xfId="24728" xr:uid="{00000000-0005-0000-0000-000098600000}"/>
    <cellStyle name="Normal 14 2 3 2 5 3" xfId="24729" xr:uid="{00000000-0005-0000-0000-000099600000}"/>
    <cellStyle name="Normal 14 2 3 2 6" xfId="24730" xr:uid="{00000000-0005-0000-0000-00009A600000}"/>
    <cellStyle name="Normal 14 2 3 2 7" xfId="24731" xr:uid="{00000000-0005-0000-0000-00009B600000}"/>
    <cellStyle name="Normal 14 2 3 3" xfId="24732" xr:uid="{00000000-0005-0000-0000-00009C600000}"/>
    <cellStyle name="Normal 14 2 3 3 2" xfId="24733" xr:uid="{00000000-0005-0000-0000-00009D600000}"/>
    <cellStyle name="Normal 14 2 3 3 2 2" xfId="24734" xr:uid="{00000000-0005-0000-0000-00009E600000}"/>
    <cellStyle name="Normal 14 2 3 3 2 2 2" xfId="24735" xr:uid="{00000000-0005-0000-0000-00009F600000}"/>
    <cellStyle name="Normal 14 2 3 3 2 2 2 2" xfId="24736" xr:uid="{00000000-0005-0000-0000-0000A0600000}"/>
    <cellStyle name="Normal 14 2 3 3 2 2 2 3" xfId="24737" xr:uid="{00000000-0005-0000-0000-0000A1600000}"/>
    <cellStyle name="Normal 14 2 3 3 2 2 3" xfId="24738" xr:uid="{00000000-0005-0000-0000-0000A2600000}"/>
    <cellStyle name="Normal 14 2 3 3 2 2 4" xfId="24739" xr:uid="{00000000-0005-0000-0000-0000A3600000}"/>
    <cellStyle name="Normal 14 2 3 3 2 3" xfId="24740" xr:uid="{00000000-0005-0000-0000-0000A4600000}"/>
    <cellStyle name="Normal 14 2 3 3 2 3 2" xfId="24741" xr:uid="{00000000-0005-0000-0000-0000A5600000}"/>
    <cellStyle name="Normal 14 2 3 3 2 3 3" xfId="24742" xr:uid="{00000000-0005-0000-0000-0000A6600000}"/>
    <cellStyle name="Normal 14 2 3 3 2 4" xfId="24743" xr:uid="{00000000-0005-0000-0000-0000A7600000}"/>
    <cellStyle name="Normal 14 2 3 3 2 5" xfId="24744" xr:uid="{00000000-0005-0000-0000-0000A8600000}"/>
    <cellStyle name="Normal 14 2 3 3 3" xfId="24745" xr:uid="{00000000-0005-0000-0000-0000A9600000}"/>
    <cellStyle name="Normal 14 2 3 3 3 2" xfId="24746" xr:uid="{00000000-0005-0000-0000-0000AA600000}"/>
    <cellStyle name="Normal 14 2 3 3 3 2 2" xfId="24747" xr:uid="{00000000-0005-0000-0000-0000AB600000}"/>
    <cellStyle name="Normal 14 2 3 3 3 2 3" xfId="24748" xr:uid="{00000000-0005-0000-0000-0000AC600000}"/>
    <cellStyle name="Normal 14 2 3 3 3 3" xfId="24749" xr:uid="{00000000-0005-0000-0000-0000AD600000}"/>
    <cellStyle name="Normal 14 2 3 3 3 4" xfId="24750" xr:uid="{00000000-0005-0000-0000-0000AE600000}"/>
    <cellStyle name="Normal 14 2 3 3 4" xfId="24751" xr:uid="{00000000-0005-0000-0000-0000AF600000}"/>
    <cellStyle name="Normal 14 2 3 3 4 2" xfId="24752" xr:uid="{00000000-0005-0000-0000-0000B0600000}"/>
    <cellStyle name="Normal 14 2 3 3 4 3" xfId="24753" xr:uid="{00000000-0005-0000-0000-0000B1600000}"/>
    <cellStyle name="Normal 14 2 3 3 5" xfId="24754" xr:uid="{00000000-0005-0000-0000-0000B2600000}"/>
    <cellStyle name="Normal 14 2 3 3 6" xfId="24755" xr:uid="{00000000-0005-0000-0000-0000B3600000}"/>
    <cellStyle name="Normal 14 2 3 4" xfId="24756" xr:uid="{00000000-0005-0000-0000-0000B4600000}"/>
    <cellStyle name="Normal 14 2 3 4 2" xfId="24757" xr:uid="{00000000-0005-0000-0000-0000B5600000}"/>
    <cellStyle name="Normal 14 2 3 4 2 2" xfId="24758" xr:uid="{00000000-0005-0000-0000-0000B6600000}"/>
    <cellStyle name="Normal 14 2 3 4 2 2 2" xfId="24759" xr:uid="{00000000-0005-0000-0000-0000B7600000}"/>
    <cellStyle name="Normal 14 2 3 4 2 2 3" xfId="24760" xr:uid="{00000000-0005-0000-0000-0000B8600000}"/>
    <cellStyle name="Normal 14 2 3 4 2 3" xfId="24761" xr:uid="{00000000-0005-0000-0000-0000B9600000}"/>
    <cellStyle name="Normal 14 2 3 4 2 4" xfId="24762" xr:uid="{00000000-0005-0000-0000-0000BA600000}"/>
    <cellStyle name="Normal 14 2 3 4 3" xfId="24763" xr:uid="{00000000-0005-0000-0000-0000BB600000}"/>
    <cellStyle name="Normal 14 2 3 4 3 2" xfId="24764" xr:uid="{00000000-0005-0000-0000-0000BC600000}"/>
    <cellStyle name="Normal 14 2 3 4 3 3" xfId="24765" xr:uid="{00000000-0005-0000-0000-0000BD600000}"/>
    <cellStyle name="Normal 14 2 3 4 4" xfId="24766" xr:uid="{00000000-0005-0000-0000-0000BE600000}"/>
    <cellStyle name="Normal 14 2 3 4 5" xfId="24767" xr:uid="{00000000-0005-0000-0000-0000BF600000}"/>
    <cellStyle name="Normal 14 2 3 5" xfId="24768" xr:uid="{00000000-0005-0000-0000-0000C0600000}"/>
    <cellStyle name="Normal 14 2 3 5 2" xfId="24769" xr:uid="{00000000-0005-0000-0000-0000C1600000}"/>
    <cellStyle name="Normal 14 2 3 5 2 2" xfId="24770" xr:uid="{00000000-0005-0000-0000-0000C2600000}"/>
    <cellStyle name="Normal 14 2 3 5 2 3" xfId="24771" xr:uid="{00000000-0005-0000-0000-0000C3600000}"/>
    <cellStyle name="Normal 14 2 3 5 3" xfId="24772" xr:uid="{00000000-0005-0000-0000-0000C4600000}"/>
    <cellStyle name="Normal 14 2 3 5 4" xfId="24773" xr:uid="{00000000-0005-0000-0000-0000C5600000}"/>
    <cellStyle name="Normal 14 2 3 6" xfId="24774" xr:uid="{00000000-0005-0000-0000-0000C6600000}"/>
    <cellStyle name="Normal 14 2 3 6 2" xfId="24775" xr:uid="{00000000-0005-0000-0000-0000C7600000}"/>
    <cellStyle name="Normal 14 2 3 6 3" xfId="24776" xr:uid="{00000000-0005-0000-0000-0000C8600000}"/>
    <cellStyle name="Normal 14 2 3 7" xfId="24777" xr:uid="{00000000-0005-0000-0000-0000C9600000}"/>
    <cellStyle name="Normal 14 2 3 8" xfId="24778" xr:uid="{00000000-0005-0000-0000-0000CA600000}"/>
    <cellStyle name="Normal 14 2 4" xfId="24779" xr:uid="{00000000-0005-0000-0000-0000CB600000}"/>
    <cellStyle name="Normal 14 2 4 2" xfId="24780" xr:uid="{00000000-0005-0000-0000-0000CC600000}"/>
    <cellStyle name="Normal 14 2 4 2 2" xfId="24781" xr:uid="{00000000-0005-0000-0000-0000CD600000}"/>
    <cellStyle name="Normal 14 2 4 2 2 2" xfId="24782" xr:uid="{00000000-0005-0000-0000-0000CE600000}"/>
    <cellStyle name="Normal 14 2 4 2 2 2 2" xfId="24783" xr:uid="{00000000-0005-0000-0000-0000CF600000}"/>
    <cellStyle name="Normal 14 2 4 2 2 2 2 2" xfId="24784" xr:uid="{00000000-0005-0000-0000-0000D0600000}"/>
    <cellStyle name="Normal 14 2 4 2 2 2 2 3" xfId="24785" xr:uid="{00000000-0005-0000-0000-0000D1600000}"/>
    <cellStyle name="Normal 14 2 4 2 2 2 3" xfId="24786" xr:uid="{00000000-0005-0000-0000-0000D2600000}"/>
    <cellStyle name="Normal 14 2 4 2 2 2 4" xfId="24787" xr:uid="{00000000-0005-0000-0000-0000D3600000}"/>
    <cellStyle name="Normal 14 2 4 2 2 3" xfId="24788" xr:uid="{00000000-0005-0000-0000-0000D4600000}"/>
    <cellStyle name="Normal 14 2 4 2 2 3 2" xfId="24789" xr:uid="{00000000-0005-0000-0000-0000D5600000}"/>
    <cellStyle name="Normal 14 2 4 2 2 3 3" xfId="24790" xr:uid="{00000000-0005-0000-0000-0000D6600000}"/>
    <cellStyle name="Normal 14 2 4 2 2 4" xfId="24791" xr:uid="{00000000-0005-0000-0000-0000D7600000}"/>
    <cellStyle name="Normal 14 2 4 2 2 5" xfId="24792" xr:uid="{00000000-0005-0000-0000-0000D8600000}"/>
    <cellStyle name="Normal 14 2 4 2 3" xfId="24793" xr:uid="{00000000-0005-0000-0000-0000D9600000}"/>
    <cellStyle name="Normal 14 2 4 2 3 2" xfId="24794" xr:uid="{00000000-0005-0000-0000-0000DA600000}"/>
    <cellStyle name="Normal 14 2 4 2 3 2 2" xfId="24795" xr:uid="{00000000-0005-0000-0000-0000DB600000}"/>
    <cellStyle name="Normal 14 2 4 2 3 2 3" xfId="24796" xr:uid="{00000000-0005-0000-0000-0000DC600000}"/>
    <cellStyle name="Normal 14 2 4 2 3 3" xfId="24797" xr:uid="{00000000-0005-0000-0000-0000DD600000}"/>
    <cellStyle name="Normal 14 2 4 2 3 4" xfId="24798" xr:uid="{00000000-0005-0000-0000-0000DE600000}"/>
    <cellStyle name="Normal 14 2 4 2 4" xfId="24799" xr:uid="{00000000-0005-0000-0000-0000DF600000}"/>
    <cellStyle name="Normal 14 2 4 2 4 2" xfId="24800" xr:uid="{00000000-0005-0000-0000-0000E0600000}"/>
    <cellStyle name="Normal 14 2 4 2 4 3" xfId="24801" xr:uid="{00000000-0005-0000-0000-0000E1600000}"/>
    <cellStyle name="Normal 14 2 4 2 5" xfId="24802" xr:uid="{00000000-0005-0000-0000-0000E2600000}"/>
    <cellStyle name="Normal 14 2 4 2 6" xfId="24803" xr:uid="{00000000-0005-0000-0000-0000E3600000}"/>
    <cellStyle name="Normal 14 2 4 3" xfId="24804" xr:uid="{00000000-0005-0000-0000-0000E4600000}"/>
    <cellStyle name="Normal 14 2 4 3 2" xfId="24805" xr:uid="{00000000-0005-0000-0000-0000E5600000}"/>
    <cellStyle name="Normal 14 2 4 3 2 2" xfId="24806" xr:uid="{00000000-0005-0000-0000-0000E6600000}"/>
    <cellStyle name="Normal 14 2 4 3 2 2 2" xfId="24807" xr:uid="{00000000-0005-0000-0000-0000E7600000}"/>
    <cellStyle name="Normal 14 2 4 3 2 2 3" xfId="24808" xr:uid="{00000000-0005-0000-0000-0000E8600000}"/>
    <cellStyle name="Normal 14 2 4 3 2 3" xfId="24809" xr:uid="{00000000-0005-0000-0000-0000E9600000}"/>
    <cellStyle name="Normal 14 2 4 3 2 4" xfId="24810" xr:uid="{00000000-0005-0000-0000-0000EA600000}"/>
    <cellStyle name="Normal 14 2 4 3 3" xfId="24811" xr:uid="{00000000-0005-0000-0000-0000EB600000}"/>
    <cellStyle name="Normal 14 2 4 3 3 2" xfId="24812" xr:uid="{00000000-0005-0000-0000-0000EC600000}"/>
    <cellStyle name="Normal 14 2 4 3 3 3" xfId="24813" xr:uid="{00000000-0005-0000-0000-0000ED600000}"/>
    <cellStyle name="Normal 14 2 4 3 4" xfId="24814" xr:uid="{00000000-0005-0000-0000-0000EE600000}"/>
    <cellStyle name="Normal 14 2 4 3 5" xfId="24815" xr:uid="{00000000-0005-0000-0000-0000EF600000}"/>
    <cellStyle name="Normal 14 2 4 4" xfId="24816" xr:uid="{00000000-0005-0000-0000-0000F0600000}"/>
    <cellStyle name="Normal 14 2 4 4 2" xfId="24817" xr:uid="{00000000-0005-0000-0000-0000F1600000}"/>
    <cellStyle name="Normal 14 2 4 4 2 2" xfId="24818" xr:uid="{00000000-0005-0000-0000-0000F2600000}"/>
    <cellStyle name="Normal 14 2 4 4 2 3" xfId="24819" xr:uid="{00000000-0005-0000-0000-0000F3600000}"/>
    <cellStyle name="Normal 14 2 4 4 3" xfId="24820" xr:uid="{00000000-0005-0000-0000-0000F4600000}"/>
    <cellStyle name="Normal 14 2 4 4 4" xfId="24821" xr:uid="{00000000-0005-0000-0000-0000F5600000}"/>
    <cellStyle name="Normal 14 2 4 5" xfId="24822" xr:uid="{00000000-0005-0000-0000-0000F6600000}"/>
    <cellStyle name="Normal 14 2 4 5 2" xfId="24823" xr:uid="{00000000-0005-0000-0000-0000F7600000}"/>
    <cellStyle name="Normal 14 2 4 5 3" xfId="24824" xr:uid="{00000000-0005-0000-0000-0000F8600000}"/>
    <cellStyle name="Normal 14 2 4 6" xfId="24825" xr:uid="{00000000-0005-0000-0000-0000F9600000}"/>
    <cellStyle name="Normal 14 2 4 7" xfId="24826" xr:uid="{00000000-0005-0000-0000-0000FA600000}"/>
    <cellStyle name="Normal 14 2 5" xfId="24827" xr:uid="{00000000-0005-0000-0000-0000FB600000}"/>
    <cellStyle name="Normal 14 2 5 2" xfId="24828" xr:uid="{00000000-0005-0000-0000-0000FC600000}"/>
    <cellStyle name="Normal 14 2 5 2 2" xfId="24829" xr:uid="{00000000-0005-0000-0000-0000FD600000}"/>
    <cellStyle name="Normal 14 2 5 2 2 2" xfId="24830" xr:uid="{00000000-0005-0000-0000-0000FE600000}"/>
    <cellStyle name="Normal 14 2 5 2 2 2 2" xfId="24831" xr:uid="{00000000-0005-0000-0000-0000FF600000}"/>
    <cellStyle name="Normal 14 2 5 2 2 2 3" xfId="24832" xr:uid="{00000000-0005-0000-0000-000000610000}"/>
    <cellStyle name="Normal 14 2 5 2 2 3" xfId="24833" xr:uid="{00000000-0005-0000-0000-000001610000}"/>
    <cellStyle name="Normal 14 2 5 2 2 4" xfId="24834" xr:uid="{00000000-0005-0000-0000-000002610000}"/>
    <cellStyle name="Normal 14 2 5 2 3" xfId="24835" xr:uid="{00000000-0005-0000-0000-000003610000}"/>
    <cellStyle name="Normal 14 2 5 2 3 2" xfId="24836" xr:uid="{00000000-0005-0000-0000-000004610000}"/>
    <cellStyle name="Normal 14 2 5 2 3 3" xfId="24837" xr:uid="{00000000-0005-0000-0000-000005610000}"/>
    <cellStyle name="Normal 14 2 5 2 4" xfId="24838" xr:uid="{00000000-0005-0000-0000-000006610000}"/>
    <cellStyle name="Normal 14 2 5 2 5" xfId="24839" xr:uid="{00000000-0005-0000-0000-000007610000}"/>
    <cellStyle name="Normal 14 2 5 3" xfId="24840" xr:uid="{00000000-0005-0000-0000-000008610000}"/>
    <cellStyle name="Normal 14 2 5 3 2" xfId="24841" xr:uid="{00000000-0005-0000-0000-000009610000}"/>
    <cellStyle name="Normal 14 2 5 3 2 2" xfId="24842" xr:uid="{00000000-0005-0000-0000-00000A610000}"/>
    <cellStyle name="Normal 14 2 5 3 2 3" xfId="24843" xr:uid="{00000000-0005-0000-0000-00000B610000}"/>
    <cellStyle name="Normal 14 2 5 3 3" xfId="24844" xr:uid="{00000000-0005-0000-0000-00000C610000}"/>
    <cellStyle name="Normal 14 2 5 3 4" xfId="24845" xr:uid="{00000000-0005-0000-0000-00000D610000}"/>
    <cellStyle name="Normal 14 2 5 4" xfId="24846" xr:uid="{00000000-0005-0000-0000-00000E610000}"/>
    <cellStyle name="Normal 14 2 5 4 2" xfId="24847" xr:uid="{00000000-0005-0000-0000-00000F610000}"/>
    <cellStyle name="Normal 14 2 5 4 3" xfId="24848" xr:uid="{00000000-0005-0000-0000-000010610000}"/>
    <cellStyle name="Normal 14 2 5 5" xfId="24849" xr:uid="{00000000-0005-0000-0000-000011610000}"/>
    <cellStyle name="Normal 14 2 5 6" xfId="24850" xr:uid="{00000000-0005-0000-0000-000012610000}"/>
    <cellStyle name="Normal 14 2 6" xfId="24851" xr:uid="{00000000-0005-0000-0000-000013610000}"/>
    <cellStyle name="Normal 14 2 6 2" xfId="24852" xr:uid="{00000000-0005-0000-0000-000014610000}"/>
    <cellStyle name="Normal 14 2 6 2 2" xfId="24853" xr:uid="{00000000-0005-0000-0000-000015610000}"/>
    <cellStyle name="Normal 14 2 6 2 2 2" xfId="24854" xr:uid="{00000000-0005-0000-0000-000016610000}"/>
    <cellStyle name="Normal 14 2 6 2 2 3" xfId="24855" xr:uid="{00000000-0005-0000-0000-000017610000}"/>
    <cellStyle name="Normal 14 2 6 2 3" xfId="24856" xr:uid="{00000000-0005-0000-0000-000018610000}"/>
    <cellStyle name="Normal 14 2 6 2 4" xfId="24857" xr:uid="{00000000-0005-0000-0000-000019610000}"/>
    <cellStyle name="Normal 14 2 6 3" xfId="24858" xr:uid="{00000000-0005-0000-0000-00001A610000}"/>
    <cellStyle name="Normal 14 2 6 3 2" xfId="24859" xr:uid="{00000000-0005-0000-0000-00001B610000}"/>
    <cellStyle name="Normal 14 2 6 3 3" xfId="24860" xr:uid="{00000000-0005-0000-0000-00001C610000}"/>
    <cellStyle name="Normal 14 2 6 4" xfId="24861" xr:uid="{00000000-0005-0000-0000-00001D610000}"/>
    <cellStyle name="Normal 14 2 6 5" xfId="24862" xr:uid="{00000000-0005-0000-0000-00001E610000}"/>
    <cellStyle name="Normal 14 2 7" xfId="24863" xr:uid="{00000000-0005-0000-0000-00001F610000}"/>
    <cellStyle name="Normal 14 2 7 2" xfId="24864" xr:uid="{00000000-0005-0000-0000-000020610000}"/>
    <cellStyle name="Normal 14 2 7 2 2" xfId="24865" xr:uid="{00000000-0005-0000-0000-000021610000}"/>
    <cellStyle name="Normal 14 2 7 2 3" xfId="24866" xr:uid="{00000000-0005-0000-0000-000022610000}"/>
    <cellStyle name="Normal 14 2 7 3" xfId="24867" xr:uid="{00000000-0005-0000-0000-000023610000}"/>
    <cellStyle name="Normal 14 2 7 4" xfId="24868" xr:uid="{00000000-0005-0000-0000-000024610000}"/>
    <cellStyle name="Normal 14 2 8" xfId="24869" xr:uid="{00000000-0005-0000-0000-000025610000}"/>
    <cellStyle name="Normal 14 2 8 2" xfId="24870" xr:uid="{00000000-0005-0000-0000-000026610000}"/>
    <cellStyle name="Normal 14 2 8 3" xfId="24871" xr:uid="{00000000-0005-0000-0000-000027610000}"/>
    <cellStyle name="Normal 14 2 9" xfId="24872" xr:uid="{00000000-0005-0000-0000-000028610000}"/>
    <cellStyle name="Normal 14 3" xfId="24873" xr:uid="{00000000-0005-0000-0000-000029610000}"/>
    <cellStyle name="Normal 14 3 2" xfId="24874" xr:uid="{00000000-0005-0000-0000-00002A610000}"/>
    <cellStyle name="Normal 14 3 2 2" xfId="24875" xr:uid="{00000000-0005-0000-0000-00002B610000}"/>
    <cellStyle name="Normal 14 3 2 2 2" xfId="24876" xr:uid="{00000000-0005-0000-0000-00002C610000}"/>
    <cellStyle name="Normal 14 3 2 2 2 2" xfId="24877" xr:uid="{00000000-0005-0000-0000-00002D610000}"/>
    <cellStyle name="Normal 14 3 2 2 2 2 2" xfId="24878" xr:uid="{00000000-0005-0000-0000-00002E610000}"/>
    <cellStyle name="Normal 14 3 2 2 2 2 2 2" xfId="24879" xr:uid="{00000000-0005-0000-0000-00002F610000}"/>
    <cellStyle name="Normal 14 3 2 2 2 2 2 2 2" xfId="24880" xr:uid="{00000000-0005-0000-0000-000030610000}"/>
    <cellStyle name="Normal 14 3 2 2 2 2 2 2 3" xfId="24881" xr:uid="{00000000-0005-0000-0000-000031610000}"/>
    <cellStyle name="Normal 14 3 2 2 2 2 2 3" xfId="24882" xr:uid="{00000000-0005-0000-0000-000032610000}"/>
    <cellStyle name="Normal 14 3 2 2 2 2 2 4" xfId="24883" xr:uid="{00000000-0005-0000-0000-000033610000}"/>
    <cellStyle name="Normal 14 3 2 2 2 2 3" xfId="24884" xr:uid="{00000000-0005-0000-0000-000034610000}"/>
    <cellStyle name="Normal 14 3 2 2 2 2 3 2" xfId="24885" xr:uid="{00000000-0005-0000-0000-000035610000}"/>
    <cellStyle name="Normal 14 3 2 2 2 2 3 3" xfId="24886" xr:uid="{00000000-0005-0000-0000-000036610000}"/>
    <cellStyle name="Normal 14 3 2 2 2 2 4" xfId="24887" xr:uid="{00000000-0005-0000-0000-000037610000}"/>
    <cellStyle name="Normal 14 3 2 2 2 2 5" xfId="24888" xr:uid="{00000000-0005-0000-0000-000038610000}"/>
    <cellStyle name="Normal 14 3 2 2 2 3" xfId="24889" xr:uid="{00000000-0005-0000-0000-000039610000}"/>
    <cellStyle name="Normal 14 3 2 2 2 3 2" xfId="24890" xr:uid="{00000000-0005-0000-0000-00003A610000}"/>
    <cellStyle name="Normal 14 3 2 2 2 3 2 2" xfId="24891" xr:uid="{00000000-0005-0000-0000-00003B610000}"/>
    <cellStyle name="Normal 14 3 2 2 2 3 2 3" xfId="24892" xr:uid="{00000000-0005-0000-0000-00003C610000}"/>
    <cellStyle name="Normal 14 3 2 2 2 3 3" xfId="24893" xr:uid="{00000000-0005-0000-0000-00003D610000}"/>
    <cellStyle name="Normal 14 3 2 2 2 3 4" xfId="24894" xr:uid="{00000000-0005-0000-0000-00003E610000}"/>
    <cellStyle name="Normal 14 3 2 2 2 4" xfId="24895" xr:uid="{00000000-0005-0000-0000-00003F610000}"/>
    <cellStyle name="Normal 14 3 2 2 2 4 2" xfId="24896" xr:uid="{00000000-0005-0000-0000-000040610000}"/>
    <cellStyle name="Normal 14 3 2 2 2 4 3" xfId="24897" xr:uid="{00000000-0005-0000-0000-000041610000}"/>
    <cellStyle name="Normal 14 3 2 2 2 5" xfId="24898" xr:uid="{00000000-0005-0000-0000-000042610000}"/>
    <cellStyle name="Normal 14 3 2 2 2 6" xfId="24899" xr:uid="{00000000-0005-0000-0000-000043610000}"/>
    <cellStyle name="Normal 14 3 2 2 3" xfId="24900" xr:uid="{00000000-0005-0000-0000-000044610000}"/>
    <cellStyle name="Normal 14 3 2 2 3 2" xfId="24901" xr:uid="{00000000-0005-0000-0000-000045610000}"/>
    <cellStyle name="Normal 14 3 2 2 3 2 2" xfId="24902" xr:uid="{00000000-0005-0000-0000-000046610000}"/>
    <cellStyle name="Normal 14 3 2 2 3 2 2 2" xfId="24903" xr:uid="{00000000-0005-0000-0000-000047610000}"/>
    <cellStyle name="Normal 14 3 2 2 3 2 2 3" xfId="24904" xr:uid="{00000000-0005-0000-0000-000048610000}"/>
    <cellStyle name="Normal 14 3 2 2 3 2 3" xfId="24905" xr:uid="{00000000-0005-0000-0000-000049610000}"/>
    <cellStyle name="Normal 14 3 2 2 3 2 4" xfId="24906" xr:uid="{00000000-0005-0000-0000-00004A610000}"/>
    <cellStyle name="Normal 14 3 2 2 3 3" xfId="24907" xr:uid="{00000000-0005-0000-0000-00004B610000}"/>
    <cellStyle name="Normal 14 3 2 2 3 3 2" xfId="24908" xr:uid="{00000000-0005-0000-0000-00004C610000}"/>
    <cellStyle name="Normal 14 3 2 2 3 3 3" xfId="24909" xr:uid="{00000000-0005-0000-0000-00004D610000}"/>
    <cellStyle name="Normal 14 3 2 2 3 4" xfId="24910" xr:uid="{00000000-0005-0000-0000-00004E610000}"/>
    <cellStyle name="Normal 14 3 2 2 3 5" xfId="24911" xr:uid="{00000000-0005-0000-0000-00004F610000}"/>
    <cellStyle name="Normal 14 3 2 2 4" xfId="24912" xr:uid="{00000000-0005-0000-0000-000050610000}"/>
    <cellStyle name="Normal 14 3 2 2 4 2" xfId="24913" xr:uid="{00000000-0005-0000-0000-000051610000}"/>
    <cellStyle name="Normal 14 3 2 2 4 2 2" xfId="24914" xr:uid="{00000000-0005-0000-0000-000052610000}"/>
    <cellStyle name="Normal 14 3 2 2 4 2 3" xfId="24915" xr:uid="{00000000-0005-0000-0000-000053610000}"/>
    <cellStyle name="Normal 14 3 2 2 4 3" xfId="24916" xr:uid="{00000000-0005-0000-0000-000054610000}"/>
    <cellStyle name="Normal 14 3 2 2 4 4" xfId="24917" xr:uid="{00000000-0005-0000-0000-000055610000}"/>
    <cellStyle name="Normal 14 3 2 2 5" xfId="24918" xr:uid="{00000000-0005-0000-0000-000056610000}"/>
    <cellStyle name="Normal 14 3 2 2 5 2" xfId="24919" xr:uid="{00000000-0005-0000-0000-000057610000}"/>
    <cellStyle name="Normal 14 3 2 2 5 3" xfId="24920" xr:uid="{00000000-0005-0000-0000-000058610000}"/>
    <cellStyle name="Normal 14 3 2 2 6" xfId="24921" xr:uid="{00000000-0005-0000-0000-000059610000}"/>
    <cellStyle name="Normal 14 3 2 2 7" xfId="24922" xr:uid="{00000000-0005-0000-0000-00005A610000}"/>
    <cellStyle name="Normal 14 3 2 3" xfId="24923" xr:uid="{00000000-0005-0000-0000-00005B610000}"/>
    <cellStyle name="Normal 14 3 2 3 2" xfId="24924" xr:uid="{00000000-0005-0000-0000-00005C610000}"/>
    <cellStyle name="Normal 14 3 2 3 2 2" xfId="24925" xr:uid="{00000000-0005-0000-0000-00005D610000}"/>
    <cellStyle name="Normal 14 3 2 3 2 2 2" xfId="24926" xr:uid="{00000000-0005-0000-0000-00005E610000}"/>
    <cellStyle name="Normal 14 3 2 3 2 2 2 2" xfId="24927" xr:uid="{00000000-0005-0000-0000-00005F610000}"/>
    <cellStyle name="Normal 14 3 2 3 2 2 2 3" xfId="24928" xr:uid="{00000000-0005-0000-0000-000060610000}"/>
    <cellStyle name="Normal 14 3 2 3 2 2 3" xfId="24929" xr:uid="{00000000-0005-0000-0000-000061610000}"/>
    <cellStyle name="Normal 14 3 2 3 2 2 4" xfId="24930" xr:uid="{00000000-0005-0000-0000-000062610000}"/>
    <cellStyle name="Normal 14 3 2 3 2 3" xfId="24931" xr:uid="{00000000-0005-0000-0000-000063610000}"/>
    <cellStyle name="Normal 14 3 2 3 2 3 2" xfId="24932" xr:uid="{00000000-0005-0000-0000-000064610000}"/>
    <cellStyle name="Normal 14 3 2 3 2 3 3" xfId="24933" xr:uid="{00000000-0005-0000-0000-000065610000}"/>
    <cellStyle name="Normal 14 3 2 3 2 4" xfId="24934" xr:uid="{00000000-0005-0000-0000-000066610000}"/>
    <cellStyle name="Normal 14 3 2 3 2 5" xfId="24935" xr:uid="{00000000-0005-0000-0000-000067610000}"/>
    <cellStyle name="Normal 14 3 2 3 3" xfId="24936" xr:uid="{00000000-0005-0000-0000-000068610000}"/>
    <cellStyle name="Normal 14 3 2 3 3 2" xfId="24937" xr:uid="{00000000-0005-0000-0000-000069610000}"/>
    <cellStyle name="Normal 14 3 2 3 3 2 2" xfId="24938" xr:uid="{00000000-0005-0000-0000-00006A610000}"/>
    <cellStyle name="Normal 14 3 2 3 3 2 3" xfId="24939" xr:uid="{00000000-0005-0000-0000-00006B610000}"/>
    <cellStyle name="Normal 14 3 2 3 3 3" xfId="24940" xr:uid="{00000000-0005-0000-0000-00006C610000}"/>
    <cellStyle name="Normal 14 3 2 3 3 4" xfId="24941" xr:uid="{00000000-0005-0000-0000-00006D610000}"/>
    <cellStyle name="Normal 14 3 2 3 4" xfId="24942" xr:uid="{00000000-0005-0000-0000-00006E610000}"/>
    <cellStyle name="Normal 14 3 2 3 4 2" xfId="24943" xr:uid="{00000000-0005-0000-0000-00006F610000}"/>
    <cellStyle name="Normal 14 3 2 3 4 3" xfId="24944" xr:uid="{00000000-0005-0000-0000-000070610000}"/>
    <cellStyle name="Normal 14 3 2 3 5" xfId="24945" xr:uid="{00000000-0005-0000-0000-000071610000}"/>
    <cellStyle name="Normal 14 3 2 3 6" xfId="24946" xr:uid="{00000000-0005-0000-0000-000072610000}"/>
    <cellStyle name="Normal 14 3 2 4" xfId="24947" xr:uid="{00000000-0005-0000-0000-000073610000}"/>
    <cellStyle name="Normal 14 3 2 4 2" xfId="24948" xr:uid="{00000000-0005-0000-0000-000074610000}"/>
    <cellStyle name="Normal 14 3 2 4 2 2" xfId="24949" xr:uid="{00000000-0005-0000-0000-000075610000}"/>
    <cellStyle name="Normal 14 3 2 4 2 2 2" xfId="24950" xr:uid="{00000000-0005-0000-0000-000076610000}"/>
    <cellStyle name="Normal 14 3 2 4 2 2 3" xfId="24951" xr:uid="{00000000-0005-0000-0000-000077610000}"/>
    <cellStyle name="Normal 14 3 2 4 2 3" xfId="24952" xr:uid="{00000000-0005-0000-0000-000078610000}"/>
    <cellStyle name="Normal 14 3 2 4 2 4" xfId="24953" xr:uid="{00000000-0005-0000-0000-000079610000}"/>
    <cellStyle name="Normal 14 3 2 4 3" xfId="24954" xr:uid="{00000000-0005-0000-0000-00007A610000}"/>
    <cellStyle name="Normal 14 3 2 4 3 2" xfId="24955" xr:uid="{00000000-0005-0000-0000-00007B610000}"/>
    <cellStyle name="Normal 14 3 2 4 3 3" xfId="24956" xr:uid="{00000000-0005-0000-0000-00007C610000}"/>
    <cellStyle name="Normal 14 3 2 4 4" xfId="24957" xr:uid="{00000000-0005-0000-0000-00007D610000}"/>
    <cellStyle name="Normal 14 3 2 4 5" xfId="24958" xr:uid="{00000000-0005-0000-0000-00007E610000}"/>
    <cellStyle name="Normal 14 3 2 5" xfId="24959" xr:uid="{00000000-0005-0000-0000-00007F610000}"/>
    <cellStyle name="Normal 14 3 2 5 2" xfId="24960" xr:uid="{00000000-0005-0000-0000-000080610000}"/>
    <cellStyle name="Normal 14 3 2 5 2 2" xfId="24961" xr:uid="{00000000-0005-0000-0000-000081610000}"/>
    <cellStyle name="Normal 14 3 2 5 2 3" xfId="24962" xr:uid="{00000000-0005-0000-0000-000082610000}"/>
    <cellStyle name="Normal 14 3 2 5 3" xfId="24963" xr:uid="{00000000-0005-0000-0000-000083610000}"/>
    <cellStyle name="Normal 14 3 2 5 4" xfId="24964" xr:uid="{00000000-0005-0000-0000-000084610000}"/>
    <cellStyle name="Normal 14 3 2 6" xfId="24965" xr:uid="{00000000-0005-0000-0000-000085610000}"/>
    <cellStyle name="Normal 14 3 2 6 2" xfId="24966" xr:uid="{00000000-0005-0000-0000-000086610000}"/>
    <cellStyle name="Normal 14 3 2 6 3" xfId="24967" xr:uid="{00000000-0005-0000-0000-000087610000}"/>
    <cellStyle name="Normal 14 3 2 7" xfId="24968" xr:uid="{00000000-0005-0000-0000-000088610000}"/>
    <cellStyle name="Normal 14 3 2 8" xfId="24969" xr:uid="{00000000-0005-0000-0000-000089610000}"/>
    <cellStyle name="Normal 14 3 3" xfId="24970" xr:uid="{00000000-0005-0000-0000-00008A610000}"/>
    <cellStyle name="Normal 14 3 3 2" xfId="24971" xr:uid="{00000000-0005-0000-0000-00008B610000}"/>
    <cellStyle name="Normal 14 3 3 2 2" xfId="24972" xr:uid="{00000000-0005-0000-0000-00008C610000}"/>
    <cellStyle name="Normal 14 3 3 2 2 2" xfId="24973" xr:uid="{00000000-0005-0000-0000-00008D610000}"/>
    <cellStyle name="Normal 14 3 3 2 2 2 2" xfId="24974" xr:uid="{00000000-0005-0000-0000-00008E610000}"/>
    <cellStyle name="Normal 14 3 3 2 2 2 2 2" xfId="24975" xr:uid="{00000000-0005-0000-0000-00008F610000}"/>
    <cellStyle name="Normal 14 3 3 2 2 2 2 3" xfId="24976" xr:uid="{00000000-0005-0000-0000-000090610000}"/>
    <cellStyle name="Normal 14 3 3 2 2 2 3" xfId="24977" xr:uid="{00000000-0005-0000-0000-000091610000}"/>
    <cellStyle name="Normal 14 3 3 2 2 2 4" xfId="24978" xr:uid="{00000000-0005-0000-0000-000092610000}"/>
    <cellStyle name="Normal 14 3 3 2 2 3" xfId="24979" xr:uid="{00000000-0005-0000-0000-000093610000}"/>
    <cellStyle name="Normal 14 3 3 2 2 3 2" xfId="24980" xr:uid="{00000000-0005-0000-0000-000094610000}"/>
    <cellStyle name="Normal 14 3 3 2 2 3 3" xfId="24981" xr:uid="{00000000-0005-0000-0000-000095610000}"/>
    <cellStyle name="Normal 14 3 3 2 2 4" xfId="24982" xr:uid="{00000000-0005-0000-0000-000096610000}"/>
    <cellStyle name="Normal 14 3 3 2 2 5" xfId="24983" xr:uid="{00000000-0005-0000-0000-000097610000}"/>
    <cellStyle name="Normal 14 3 3 2 3" xfId="24984" xr:uid="{00000000-0005-0000-0000-000098610000}"/>
    <cellStyle name="Normal 14 3 3 2 3 2" xfId="24985" xr:uid="{00000000-0005-0000-0000-000099610000}"/>
    <cellStyle name="Normal 14 3 3 2 3 2 2" xfId="24986" xr:uid="{00000000-0005-0000-0000-00009A610000}"/>
    <cellStyle name="Normal 14 3 3 2 3 2 3" xfId="24987" xr:uid="{00000000-0005-0000-0000-00009B610000}"/>
    <cellStyle name="Normal 14 3 3 2 3 3" xfId="24988" xr:uid="{00000000-0005-0000-0000-00009C610000}"/>
    <cellStyle name="Normal 14 3 3 2 3 4" xfId="24989" xr:uid="{00000000-0005-0000-0000-00009D610000}"/>
    <cellStyle name="Normal 14 3 3 2 4" xfId="24990" xr:uid="{00000000-0005-0000-0000-00009E610000}"/>
    <cellStyle name="Normal 14 3 3 2 4 2" xfId="24991" xr:uid="{00000000-0005-0000-0000-00009F610000}"/>
    <cellStyle name="Normal 14 3 3 2 4 3" xfId="24992" xr:uid="{00000000-0005-0000-0000-0000A0610000}"/>
    <cellStyle name="Normal 14 3 3 2 5" xfId="24993" xr:uid="{00000000-0005-0000-0000-0000A1610000}"/>
    <cellStyle name="Normal 14 3 3 2 6" xfId="24994" xr:uid="{00000000-0005-0000-0000-0000A2610000}"/>
    <cellStyle name="Normal 14 3 3 3" xfId="24995" xr:uid="{00000000-0005-0000-0000-0000A3610000}"/>
    <cellStyle name="Normal 14 3 3 3 2" xfId="24996" xr:uid="{00000000-0005-0000-0000-0000A4610000}"/>
    <cellStyle name="Normal 14 3 3 3 2 2" xfId="24997" xr:uid="{00000000-0005-0000-0000-0000A5610000}"/>
    <cellStyle name="Normal 14 3 3 3 2 2 2" xfId="24998" xr:uid="{00000000-0005-0000-0000-0000A6610000}"/>
    <cellStyle name="Normal 14 3 3 3 2 2 3" xfId="24999" xr:uid="{00000000-0005-0000-0000-0000A7610000}"/>
    <cellStyle name="Normal 14 3 3 3 2 3" xfId="25000" xr:uid="{00000000-0005-0000-0000-0000A8610000}"/>
    <cellStyle name="Normal 14 3 3 3 2 4" xfId="25001" xr:uid="{00000000-0005-0000-0000-0000A9610000}"/>
    <cellStyle name="Normal 14 3 3 3 3" xfId="25002" xr:uid="{00000000-0005-0000-0000-0000AA610000}"/>
    <cellStyle name="Normal 14 3 3 3 3 2" xfId="25003" xr:uid="{00000000-0005-0000-0000-0000AB610000}"/>
    <cellStyle name="Normal 14 3 3 3 3 3" xfId="25004" xr:uid="{00000000-0005-0000-0000-0000AC610000}"/>
    <cellStyle name="Normal 14 3 3 3 4" xfId="25005" xr:uid="{00000000-0005-0000-0000-0000AD610000}"/>
    <cellStyle name="Normal 14 3 3 3 5" xfId="25006" xr:uid="{00000000-0005-0000-0000-0000AE610000}"/>
    <cellStyle name="Normal 14 3 3 4" xfId="25007" xr:uid="{00000000-0005-0000-0000-0000AF610000}"/>
    <cellStyle name="Normal 14 3 3 4 2" xfId="25008" xr:uid="{00000000-0005-0000-0000-0000B0610000}"/>
    <cellStyle name="Normal 14 3 3 4 2 2" xfId="25009" xr:uid="{00000000-0005-0000-0000-0000B1610000}"/>
    <cellStyle name="Normal 14 3 3 4 2 3" xfId="25010" xr:uid="{00000000-0005-0000-0000-0000B2610000}"/>
    <cellStyle name="Normal 14 3 3 4 3" xfId="25011" xr:uid="{00000000-0005-0000-0000-0000B3610000}"/>
    <cellStyle name="Normal 14 3 3 4 4" xfId="25012" xr:uid="{00000000-0005-0000-0000-0000B4610000}"/>
    <cellStyle name="Normal 14 3 3 5" xfId="25013" xr:uid="{00000000-0005-0000-0000-0000B5610000}"/>
    <cellStyle name="Normal 14 3 3 5 2" xfId="25014" xr:uid="{00000000-0005-0000-0000-0000B6610000}"/>
    <cellStyle name="Normal 14 3 3 5 3" xfId="25015" xr:uid="{00000000-0005-0000-0000-0000B7610000}"/>
    <cellStyle name="Normal 14 3 3 6" xfId="25016" xr:uid="{00000000-0005-0000-0000-0000B8610000}"/>
    <cellStyle name="Normal 14 3 3 7" xfId="25017" xr:uid="{00000000-0005-0000-0000-0000B9610000}"/>
    <cellStyle name="Normal 14 3 4" xfId="25018" xr:uid="{00000000-0005-0000-0000-0000BA610000}"/>
    <cellStyle name="Normal 14 3 4 2" xfId="25019" xr:uid="{00000000-0005-0000-0000-0000BB610000}"/>
    <cellStyle name="Normal 14 3 4 2 2" xfId="25020" xr:uid="{00000000-0005-0000-0000-0000BC610000}"/>
    <cellStyle name="Normal 14 3 4 2 2 2" xfId="25021" xr:uid="{00000000-0005-0000-0000-0000BD610000}"/>
    <cellStyle name="Normal 14 3 4 2 2 2 2" xfId="25022" xr:uid="{00000000-0005-0000-0000-0000BE610000}"/>
    <cellStyle name="Normal 14 3 4 2 2 2 3" xfId="25023" xr:uid="{00000000-0005-0000-0000-0000BF610000}"/>
    <cellStyle name="Normal 14 3 4 2 2 3" xfId="25024" xr:uid="{00000000-0005-0000-0000-0000C0610000}"/>
    <cellStyle name="Normal 14 3 4 2 2 4" xfId="25025" xr:uid="{00000000-0005-0000-0000-0000C1610000}"/>
    <cellStyle name="Normal 14 3 4 2 3" xfId="25026" xr:uid="{00000000-0005-0000-0000-0000C2610000}"/>
    <cellStyle name="Normal 14 3 4 2 3 2" xfId="25027" xr:uid="{00000000-0005-0000-0000-0000C3610000}"/>
    <cellStyle name="Normal 14 3 4 2 3 3" xfId="25028" xr:uid="{00000000-0005-0000-0000-0000C4610000}"/>
    <cellStyle name="Normal 14 3 4 2 4" xfId="25029" xr:uid="{00000000-0005-0000-0000-0000C5610000}"/>
    <cellStyle name="Normal 14 3 4 2 5" xfId="25030" xr:uid="{00000000-0005-0000-0000-0000C6610000}"/>
    <cellStyle name="Normal 14 3 4 3" xfId="25031" xr:uid="{00000000-0005-0000-0000-0000C7610000}"/>
    <cellStyle name="Normal 14 3 4 3 2" xfId="25032" xr:uid="{00000000-0005-0000-0000-0000C8610000}"/>
    <cellStyle name="Normal 14 3 4 3 2 2" xfId="25033" xr:uid="{00000000-0005-0000-0000-0000C9610000}"/>
    <cellStyle name="Normal 14 3 4 3 2 3" xfId="25034" xr:uid="{00000000-0005-0000-0000-0000CA610000}"/>
    <cellStyle name="Normal 14 3 4 3 3" xfId="25035" xr:uid="{00000000-0005-0000-0000-0000CB610000}"/>
    <cellStyle name="Normal 14 3 4 3 4" xfId="25036" xr:uid="{00000000-0005-0000-0000-0000CC610000}"/>
    <cellStyle name="Normal 14 3 4 4" xfId="25037" xr:uid="{00000000-0005-0000-0000-0000CD610000}"/>
    <cellStyle name="Normal 14 3 4 4 2" xfId="25038" xr:uid="{00000000-0005-0000-0000-0000CE610000}"/>
    <cellStyle name="Normal 14 3 4 4 3" xfId="25039" xr:uid="{00000000-0005-0000-0000-0000CF610000}"/>
    <cellStyle name="Normal 14 3 4 5" xfId="25040" xr:uid="{00000000-0005-0000-0000-0000D0610000}"/>
    <cellStyle name="Normal 14 3 4 6" xfId="25041" xr:uid="{00000000-0005-0000-0000-0000D1610000}"/>
    <cellStyle name="Normal 14 3 5" xfId="25042" xr:uid="{00000000-0005-0000-0000-0000D2610000}"/>
    <cellStyle name="Normal 14 3 5 2" xfId="25043" xr:uid="{00000000-0005-0000-0000-0000D3610000}"/>
    <cellStyle name="Normal 14 3 5 2 2" xfId="25044" xr:uid="{00000000-0005-0000-0000-0000D4610000}"/>
    <cellStyle name="Normal 14 3 5 2 2 2" xfId="25045" xr:uid="{00000000-0005-0000-0000-0000D5610000}"/>
    <cellStyle name="Normal 14 3 5 2 2 3" xfId="25046" xr:uid="{00000000-0005-0000-0000-0000D6610000}"/>
    <cellStyle name="Normal 14 3 5 2 3" xfId="25047" xr:uid="{00000000-0005-0000-0000-0000D7610000}"/>
    <cellStyle name="Normal 14 3 5 2 4" xfId="25048" xr:uid="{00000000-0005-0000-0000-0000D8610000}"/>
    <cellStyle name="Normal 14 3 5 3" xfId="25049" xr:uid="{00000000-0005-0000-0000-0000D9610000}"/>
    <cellStyle name="Normal 14 3 5 3 2" xfId="25050" xr:uid="{00000000-0005-0000-0000-0000DA610000}"/>
    <cellStyle name="Normal 14 3 5 3 3" xfId="25051" xr:uid="{00000000-0005-0000-0000-0000DB610000}"/>
    <cellStyle name="Normal 14 3 5 4" xfId="25052" xr:uid="{00000000-0005-0000-0000-0000DC610000}"/>
    <cellStyle name="Normal 14 3 5 5" xfId="25053" xr:uid="{00000000-0005-0000-0000-0000DD610000}"/>
    <cellStyle name="Normal 14 3 6" xfId="25054" xr:uid="{00000000-0005-0000-0000-0000DE610000}"/>
    <cellStyle name="Normal 14 3 6 2" xfId="25055" xr:uid="{00000000-0005-0000-0000-0000DF610000}"/>
    <cellStyle name="Normal 14 3 6 2 2" xfId="25056" xr:uid="{00000000-0005-0000-0000-0000E0610000}"/>
    <cellStyle name="Normal 14 3 6 2 3" xfId="25057" xr:uid="{00000000-0005-0000-0000-0000E1610000}"/>
    <cellStyle name="Normal 14 3 6 3" xfId="25058" xr:uid="{00000000-0005-0000-0000-0000E2610000}"/>
    <cellStyle name="Normal 14 3 6 4" xfId="25059" xr:uid="{00000000-0005-0000-0000-0000E3610000}"/>
    <cellStyle name="Normal 14 3 7" xfId="25060" xr:uid="{00000000-0005-0000-0000-0000E4610000}"/>
    <cellStyle name="Normal 14 3 7 2" xfId="25061" xr:uid="{00000000-0005-0000-0000-0000E5610000}"/>
    <cellStyle name="Normal 14 3 7 3" xfId="25062" xr:uid="{00000000-0005-0000-0000-0000E6610000}"/>
    <cellStyle name="Normal 14 3 8" xfId="25063" xr:uid="{00000000-0005-0000-0000-0000E7610000}"/>
    <cellStyle name="Normal 14 3 9" xfId="25064" xr:uid="{00000000-0005-0000-0000-0000E8610000}"/>
    <cellStyle name="Normal 14 4" xfId="25065" xr:uid="{00000000-0005-0000-0000-0000E9610000}"/>
    <cellStyle name="Normal 14 4 2" xfId="25066" xr:uid="{00000000-0005-0000-0000-0000EA610000}"/>
    <cellStyle name="Normal 14 4 2 2" xfId="25067" xr:uid="{00000000-0005-0000-0000-0000EB610000}"/>
    <cellStyle name="Normal 14 4 2 2 2" xfId="25068" xr:uid="{00000000-0005-0000-0000-0000EC610000}"/>
    <cellStyle name="Normal 14 4 2 2 2 2" xfId="25069" xr:uid="{00000000-0005-0000-0000-0000ED610000}"/>
    <cellStyle name="Normal 14 4 2 2 2 2 2" xfId="25070" xr:uid="{00000000-0005-0000-0000-0000EE610000}"/>
    <cellStyle name="Normal 14 4 2 2 2 2 2 2" xfId="25071" xr:uid="{00000000-0005-0000-0000-0000EF610000}"/>
    <cellStyle name="Normal 14 4 2 2 2 2 2 3" xfId="25072" xr:uid="{00000000-0005-0000-0000-0000F0610000}"/>
    <cellStyle name="Normal 14 4 2 2 2 2 3" xfId="25073" xr:uid="{00000000-0005-0000-0000-0000F1610000}"/>
    <cellStyle name="Normal 14 4 2 2 2 2 4" xfId="25074" xr:uid="{00000000-0005-0000-0000-0000F2610000}"/>
    <cellStyle name="Normal 14 4 2 2 2 3" xfId="25075" xr:uid="{00000000-0005-0000-0000-0000F3610000}"/>
    <cellStyle name="Normal 14 4 2 2 2 3 2" xfId="25076" xr:uid="{00000000-0005-0000-0000-0000F4610000}"/>
    <cellStyle name="Normal 14 4 2 2 2 3 3" xfId="25077" xr:uid="{00000000-0005-0000-0000-0000F5610000}"/>
    <cellStyle name="Normal 14 4 2 2 2 4" xfId="25078" xr:uid="{00000000-0005-0000-0000-0000F6610000}"/>
    <cellStyle name="Normal 14 4 2 2 2 5" xfId="25079" xr:uid="{00000000-0005-0000-0000-0000F7610000}"/>
    <cellStyle name="Normal 14 4 2 2 3" xfId="25080" xr:uid="{00000000-0005-0000-0000-0000F8610000}"/>
    <cellStyle name="Normal 14 4 2 2 3 2" xfId="25081" xr:uid="{00000000-0005-0000-0000-0000F9610000}"/>
    <cellStyle name="Normal 14 4 2 2 3 2 2" xfId="25082" xr:uid="{00000000-0005-0000-0000-0000FA610000}"/>
    <cellStyle name="Normal 14 4 2 2 3 2 3" xfId="25083" xr:uid="{00000000-0005-0000-0000-0000FB610000}"/>
    <cellStyle name="Normal 14 4 2 2 3 3" xfId="25084" xr:uid="{00000000-0005-0000-0000-0000FC610000}"/>
    <cellStyle name="Normal 14 4 2 2 3 4" xfId="25085" xr:uid="{00000000-0005-0000-0000-0000FD610000}"/>
    <cellStyle name="Normal 14 4 2 2 4" xfId="25086" xr:uid="{00000000-0005-0000-0000-0000FE610000}"/>
    <cellStyle name="Normal 14 4 2 2 4 2" xfId="25087" xr:uid="{00000000-0005-0000-0000-0000FF610000}"/>
    <cellStyle name="Normal 14 4 2 2 4 3" xfId="25088" xr:uid="{00000000-0005-0000-0000-000000620000}"/>
    <cellStyle name="Normal 14 4 2 2 5" xfId="25089" xr:uid="{00000000-0005-0000-0000-000001620000}"/>
    <cellStyle name="Normal 14 4 2 2 6" xfId="25090" xr:uid="{00000000-0005-0000-0000-000002620000}"/>
    <cellStyle name="Normal 14 4 2 3" xfId="25091" xr:uid="{00000000-0005-0000-0000-000003620000}"/>
    <cellStyle name="Normal 14 4 2 3 2" xfId="25092" xr:uid="{00000000-0005-0000-0000-000004620000}"/>
    <cellStyle name="Normal 14 4 2 3 2 2" xfId="25093" xr:uid="{00000000-0005-0000-0000-000005620000}"/>
    <cellStyle name="Normal 14 4 2 3 2 2 2" xfId="25094" xr:uid="{00000000-0005-0000-0000-000006620000}"/>
    <cellStyle name="Normal 14 4 2 3 2 2 3" xfId="25095" xr:uid="{00000000-0005-0000-0000-000007620000}"/>
    <cellStyle name="Normal 14 4 2 3 2 3" xfId="25096" xr:uid="{00000000-0005-0000-0000-000008620000}"/>
    <cellStyle name="Normal 14 4 2 3 2 4" xfId="25097" xr:uid="{00000000-0005-0000-0000-000009620000}"/>
    <cellStyle name="Normal 14 4 2 3 3" xfId="25098" xr:uid="{00000000-0005-0000-0000-00000A620000}"/>
    <cellStyle name="Normal 14 4 2 3 3 2" xfId="25099" xr:uid="{00000000-0005-0000-0000-00000B620000}"/>
    <cellStyle name="Normal 14 4 2 3 3 3" xfId="25100" xr:uid="{00000000-0005-0000-0000-00000C620000}"/>
    <cellStyle name="Normal 14 4 2 3 4" xfId="25101" xr:uid="{00000000-0005-0000-0000-00000D620000}"/>
    <cellStyle name="Normal 14 4 2 3 5" xfId="25102" xr:uid="{00000000-0005-0000-0000-00000E620000}"/>
    <cellStyle name="Normal 14 4 2 4" xfId="25103" xr:uid="{00000000-0005-0000-0000-00000F620000}"/>
    <cellStyle name="Normal 14 4 2 4 2" xfId="25104" xr:uid="{00000000-0005-0000-0000-000010620000}"/>
    <cellStyle name="Normal 14 4 2 4 2 2" xfId="25105" xr:uid="{00000000-0005-0000-0000-000011620000}"/>
    <cellStyle name="Normal 14 4 2 4 2 3" xfId="25106" xr:uid="{00000000-0005-0000-0000-000012620000}"/>
    <cellStyle name="Normal 14 4 2 4 3" xfId="25107" xr:uid="{00000000-0005-0000-0000-000013620000}"/>
    <cellStyle name="Normal 14 4 2 4 4" xfId="25108" xr:uid="{00000000-0005-0000-0000-000014620000}"/>
    <cellStyle name="Normal 14 4 2 5" xfId="25109" xr:uid="{00000000-0005-0000-0000-000015620000}"/>
    <cellStyle name="Normal 14 4 2 5 2" xfId="25110" xr:uid="{00000000-0005-0000-0000-000016620000}"/>
    <cellStyle name="Normal 14 4 2 5 3" xfId="25111" xr:uid="{00000000-0005-0000-0000-000017620000}"/>
    <cellStyle name="Normal 14 4 2 6" xfId="25112" xr:uid="{00000000-0005-0000-0000-000018620000}"/>
    <cellStyle name="Normal 14 4 2 7" xfId="25113" xr:uid="{00000000-0005-0000-0000-000019620000}"/>
    <cellStyle name="Normal 14 4 3" xfId="25114" xr:uid="{00000000-0005-0000-0000-00001A620000}"/>
    <cellStyle name="Normal 14 4 3 2" xfId="25115" xr:uid="{00000000-0005-0000-0000-00001B620000}"/>
    <cellStyle name="Normal 14 4 3 2 2" xfId="25116" xr:uid="{00000000-0005-0000-0000-00001C620000}"/>
    <cellStyle name="Normal 14 4 3 2 2 2" xfId="25117" xr:uid="{00000000-0005-0000-0000-00001D620000}"/>
    <cellStyle name="Normal 14 4 3 2 2 2 2" xfId="25118" xr:uid="{00000000-0005-0000-0000-00001E620000}"/>
    <cellStyle name="Normal 14 4 3 2 2 2 3" xfId="25119" xr:uid="{00000000-0005-0000-0000-00001F620000}"/>
    <cellStyle name="Normal 14 4 3 2 2 3" xfId="25120" xr:uid="{00000000-0005-0000-0000-000020620000}"/>
    <cellStyle name="Normal 14 4 3 2 2 4" xfId="25121" xr:uid="{00000000-0005-0000-0000-000021620000}"/>
    <cellStyle name="Normal 14 4 3 2 3" xfId="25122" xr:uid="{00000000-0005-0000-0000-000022620000}"/>
    <cellStyle name="Normal 14 4 3 2 3 2" xfId="25123" xr:uid="{00000000-0005-0000-0000-000023620000}"/>
    <cellStyle name="Normal 14 4 3 2 3 3" xfId="25124" xr:uid="{00000000-0005-0000-0000-000024620000}"/>
    <cellStyle name="Normal 14 4 3 2 4" xfId="25125" xr:uid="{00000000-0005-0000-0000-000025620000}"/>
    <cellStyle name="Normal 14 4 3 2 5" xfId="25126" xr:uid="{00000000-0005-0000-0000-000026620000}"/>
    <cellStyle name="Normal 14 4 3 3" xfId="25127" xr:uid="{00000000-0005-0000-0000-000027620000}"/>
    <cellStyle name="Normal 14 4 3 3 2" xfId="25128" xr:uid="{00000000-0005-0000-0000-000028620000}"/>
    <cellStyle name="Normal 14 4 3 3 2 2" xfId="25129" xr:uid="{00000000-0005-0000-0000-000029620000}"/>
    <cellStyle name="Normal 14 4 3 3 2 3" xfId="25130" xr:uid="{00000000-0005-0000-0000-00002A620000}"/>
    <cellStyle name="Normal 14 4 3 3 3" xfId="25131" xr:uid="{00000000-0005-0000-0000-00002B620000}"/>
    <cellStyle name="Normal 14 4 3 3 4" xfId="25132" xr:uid="{00000000-0005-0000-0000-00002C620000}"/>
    <cellStyle name="Normal 14 4 3 4" xfId="25133" xr:uid="{00000000-0005-0000-0000-00002D620000}"/>
    <cellStyle name="Normal 14 4 3 4 2" xfId="25134" xr:uid="{00000000-0005-0000-0000-00002E620000}"/>
    <cellStyle name="Normal 14 4 3 4 3" xfId="25135" xr:uid="{00000000-0005-0000-0000-00002F620000}"/>
    <cellStyle name="Normal 14 4 3 5" xfId="25136" xr:uid="{00000000-0005-0000-0000-000030620000}"/>
    <cellStyle name="Normal 14 4 3 6" xfId="25137" xr:uid="{00000000-0005-0000-0000-000031620000}"/>
    <cellStyle name="Normal 14 4 4" xfId="25138" xr:uid="{00000000-0005-0000-0000-000032620000}"/>
    <cellStyle name="Normal 14 4 4 2" xfId="25139" xr:uid="{00000000-0005-0000-0000-000033620000}"/>
    <cellStyle name="Normal 14 4 4 2 2" xfId="25140" xr:uid="{00000000-0005-0000-0000-000034620000}"/>
    <cellStyle name="Normal 14 4 4 2 2 2" xfId="25141" xr:uid="{00000000-0005-0000-0000-000035620000}"/>
    <cellStyle name="Normal 14 4 4 2 2 3" xfId="25142" xr:uid="{00000000-0005-0000-0000-000036620000}"/>
    <cellStyle name="Normal 14 4 4 2 3" xfId="25143" xr:uid="{00000000-0005-0000-0000-000037620000}"/>
    <cellStyle name="Normal 14 4 4 2 4" xfId="25144" xr:uid="{00000000-0005-0000-0000-000038620000}"/>
    <cellStyle name="Normal 14 4 4 3" xfId="25145" xr:uid="{00000000-0005-0000-0000-000039620000}"/>
    <cellStyle name="Normal 14 4 4 3 2" xfId="25146" xr:uid="{00000000-0005-0000-0000-00003A620000}"/>
    <cellStyle name="Normal 14 4 4 3 3" xfId="25147" xr:uid="{00000000-0005-0000-0000-00003B620000}"/>
    <cellStyle name="Normal 14 4 4 4" xfId="25148" xr:uid="{00000000-0005-0000-0000-00003C620000}"/>
    <cellStyle name="Normal 14 4 4 5" xfId="25149" xr:uid="{00000000-0005-0000-0000-00003D620000}"/>
    <cellStyle name="Normal 14 4 5" xfId="25150" xr:uid="{00000000-0005-0000-0000-00003E620000}"/>
    <cellStyle name="Normal 14 4 5 2" xfId="25151" xr:uid="{00000000-0005-0000-0000-00003F620000}"/>
    <cellStyle name="Normal 14 4 5 2 2" xfId="25152" xr:uid="{00000000-0005-0000-0000-000040620000}"/>
    <cellStyle name="Normal 14 4 5 2 3" xfId="25153" xr:uid="{00000000-0005-0000-0000-000041620000}"/>
    <cellStyle name="Normal 14 4 5 3" xfId="25154" xr:uid="{00000000-0005-0000-0000-000042620000}"/>
    <cellStyle name="Normal 14 4 5 4" xfId="25155" xr:uid="{00000000-0005-0000-0000-000043620000}"/>
    <cellStyle name="Normal 14 4 6" xfId="25156" xr:uid="{00000000-0005-0000-0000-000044620000}"/>
    <cellStyle name="Normal 14 4 6 2" xfId="25157" xr:uid="{00000000-0005-0000-0000-000045620000}"/>
    <cellStyle name="Normal 14 4 6 3" xfId="25158" xr:uid="{00000000-0005-0000-0000-000046620000}"/>
    <cellStyle name="Normal 14 4 7" xfId="25159" xr:uid="{00000000-0005-0000-0000-000047620000}"/>
    <cellStyle name="Normal 14 4 8" xfId="25160" xr:uid="{00000000-0005-0000-0000-000048620000}"/>
    <cellStyle name="Normal 14 5" xfId="25161" xr:uid="{00000000-0005-0000-0000-000049620000}"/>
    <cellStyle name="Normal 14 5 2" xfId="25162" xr:uid="{00000000-0005-0000-0000-00004A620000}"/>
    <cellStyle name="Normal 14 5 2 2" xfId="25163" xr:uid="{00000000-0005-0000-0000-00004B620000}"/>
    <cellStyle name="Normal 14 5 2 2 2" xfId="25164" xr:uid="{00000000-0005-0000-0000-00004C620000}"/>
    <cellStyle name="Normal 14 5 2 2 2 2" xfId="25165" xr:uid="{00000000-0005-0000-0000-00004D620000}"/>
    <cellStyle name="Normal 14 5 2 2 2 2 2" xfId="25166" xr:uid="{00000000-0005-0000-0000-00004E620000}"/>
    <cellStyle name="Normal 14 5 2 2 2 2 3" xfId="25167" xr:uid="{00000000-0005-0000-0000-00004F620000}"/>
    <cellStyle name="Normal 14 5 2 2 2 3" xfId="25168" xr:uid="{00000000-0005-0000-0000-000050620000}"/>
    <cellStyle name="Normal 14 5 2 2 2 4" xfId="25169" xr:uid="{00000000-0005-0000-0000-000051620000}"/>
    <cellStyle name="Normal 14 5 2 2 3" xfId="25170" xr:uid="{00000000-0005-0000-0000-000052620000}"/>
    <cellStyle name="Normal 14 5 2 2 3 2" xfId="25171" xr:uid="{00000000-0005-0000-0000-000053620000}"/>
    <cellStyle name="Normal 14 5 2 2 3 3" xfId="25172" xr:uid="{00000000-0005-0000-0000-000054620000}"/>
    <cellStyle name="Normal 14 5 2 2 4" xfId="25173" xr:uid="{00000000-0005-0000-0000-000055620000}"/>
    <cellStyle name="Normal 14 5 2 2 5" xfId="25174" xr:uid="{00000000-0005-0000-0000-000056620000}"/>
    <cellStyle name="Normal 14 5 2 3" xfId="25175" xr:uid="{00000000-0005-0000-0000-000057620000}"/>
    <cellStyle name="Normal 14 5 2 3 2" xfId="25176" xr:uid="{00000000-0005-0000-0000-000058620000}"/>
    <cellStyle name="Normal 14 5 2 3 2 2" xfId="25177" xr:uid="{00000000-0005-0000-0000-000059620000}"/>
    <cellStyle name="Normal 14 5 2 3 2 3" xfId="25178" xr:uid="{00000000-0005-0000-0000-00005A620000}"/>
    <cellStyle name="Normal 14 5 2 3 3" xfId="25179" xr:uid="{00000000-0005-0000-0000-00005B620000}"/>
    <cellStyle name="Normal 14 5 2 3 4" xfId="25180" xr:uid="{00000000-0005-0000-0000-00005C620000}"/>
    <cellStyle name="Normal 14 5 2 4" xfId="25181" xr:uid="{00000000-0005-0000-0000-00005D620000}"/>
    <cellStyle name="Normal 14 5 2 4 2" xfId="25182" xr:uid="{00000000-0005-0000-0000-00005E620000}"/>
    <cellStyle name="Normal 14 5 2 4 3" xfId="25183" xr:uid="{00000000-0005-0000-0000-00005F620000}"/>
    <cellStyle name="Normal 14 5 2 5" xfId="25184" xr:uid="{00000000-0005-0000-0000-000060620000}"/>
    <cellStyle name="Normal 14 5 2 6" xfId="25185" xr:uid="{00000000-0005-0000-0000-000061620000}"/>
    <cellStyle name="Normal 14 5 3" xfId="25186" xr:uid="{00000000-0005-0000-0000-000062620000}"/>
    <cellStyle name="Normal 14 5 3 2" xfId="25187" xr:uid="{00000000-0005-0000-0000-000063620000}"/>
    <cellStyle name="Normal 14 5 3 2 2" xfId="25188" xr:uid="{00000000-0005-0000-0000-000064620000}"/>
    <cellStyle name="Normal 14 5 3 2 2 2" xfId="25189" xr:uid="{00000000-0005-0000-0000-000065620000}"/>
    <cellStyle name="Normal 14 5 3 2 2 3" xfId="25190" xr:uid="{00000000-0005-0000-0000-000066620000}"/>
    <cellStyle name="Normal 14 5 3 2 3" xfId="25191" xr:uid="{00000000-0005-0000-0000-000067620000}"/>
    <cellStyle name="Normal 14 5 3 2 4" xfId="25192" xr:uid="{00000000-0005-0000-0000-000068620000}"/>
    <cellStyle name="Normal 14 5 3 3" xfId="25193" xr:uid="{00000000-0005-0000-0000-000069620000}"/>
    <cellStyle name="Normal 14 5 3 3 2" xfId="25194" xr:uid="{00000000-0005-0000-0000-00006A620000}"/>
    <cellStyle name="Normal 14 5 3 3 3" xfId="25195" xr:uid="{00000000-0005-0000-0000-00006B620000}"/>
    <cellStyle name="Normal 14 5 3 4" xfId="25196" xr:uid="{00000000-0005-0000-0000-00006C620000}"/>
    <cellStyle name="Normal 14 5 3 5" xfId="25197" xr:uid="{00000000-0005-0000-0000-00006D620000}"/>
    <cellStyle name="Normal 14 5 4" xfId="25198" xr:uid="{00000000-0005-0000-0000-00006E620000}"/>
    <cellStyle name="Normal 14 5 4 2" xfId="25199" xr:uid="{00000000-0005-0000-0000-00006F620000}"/>
    <cellStyle name="Normal 14 5 4 2 2" xfId="25200" xr:uid="{00000000-0005-0000-0000-000070620000}"/>
    <cellStyle name="Normal 14 5 4 2 3" xfId="25201" xr:uid="{00000000-0005-0000-0000-000071620000}"/>
    <cellStyle name="Normal 14 5 4 3" xfId="25202" xr:uid="{00000000-0005-0000-0000-000072620000}"/>
    <cellStyle name="Normal 14 5 4 4" xfId="25203" xr:uid="{00000000-0005-0000-0000-000073620000}"/>
    <cellStyle name="Normal 14 5 5" xfId="25204" xr:uid="{00000000-0005-0000-0000-000074620000}"/>
    <cellStyle name="Normal 14 5 5 2" xfId="25205" xr:uid="{00000000-0005-0000-0000-000075620000}"/>
    <cellStyle name="Normal 14 5 5 3" xfId="25206" xr:uid="{00000000-0005-0000-0000-000076620000}"/>
    <cellStyle name="Normal 14 5 6" xfId="25207" xr:uid="{00000000-0005-0000-0000-000077620000}"/>
    <cellStyle name="Normal 14 5 7" xfId="25208" xr:uid="{00000000-0005-0000-0000-000078620000}"/>
    <cellStyle name="Normal 14 6" xfId="25209" xr:uid="{00000000-0005-0000-0000-000079620000}"/>
    <cellStyle name="Normal 14 6 2" xfId="25210" xr:uid="{00000000-0005-0000-0000-00007A620000}"/>
    <cellStyle name="Normal 14 6 2 2" xfId="25211" xr:uid="{00000000-0005-0000-0000-00007B620000}"/>
    <cellStyle name="Normal 14 6 2 2 2" xfId="25212" xr:uid="{00000000-0005-0000-0000-00007C620000}"/>
    <cellStyle name="Normal 14 6 2 2 2 2" xfId="25213" xr:uid="{00000000-0005-0000-0000-00007D620000}"/>
    <cellStyle name="Normal 14 6 2 2 2 3" xfId="25214" xr:uid="{00000000-0005-0000-0000-00007E620000}"/>
    <cellStyle name="Normal 14 6 2 2 3" xfId="25215" xr:uid="{00000000-0005-0000-0000-00007F620000}"/>
    <cellStyle name="Normal 14 6 2 2 4" xfId="25216" xr:uid="{00000000-0005-0000-0000-000080620000}"/>
    <cellStyle name="Normal 14 6 2 3" xfId="25217" xr:uid="{00000000-0005-0000-0000-000081620000}"/>
    <cellStyle name="Normal 14 6 2 3 2" xfId="25218" xr:uid="{00000000-0005-0000-0000-000082620000}"/>
    <cellStyle name="Normal 14 6 2 3 3" xfId="25219" xr:uid="{00000000-0005-0000-0000-000083620000}"/>
    <cellStyle name="Normal 14 6 2 4" xfId="25220" xr:uid="{00000000-0005-0000-0000-000084620000}"/>
    <cellStyle name="Normal 14 6 2 5" xfId="25221" xr:uid="{00000000-0005-0000-0000-000085620000}"/>
    <cellStyle name="Normal 14 6 3" xfId="25222" xr:uid="{00000000-0005-0000-0000-000086620000}"/>
    <cellStyle name="Normal 14 6 3 2" xfId="25223" xr:uid="{00000000-0005-0000-0000-000087620000}"/>
    <cellStyle name="Normal 14 6 3 2 2" xfId="25224" xr:uid="{00000000-0005-0000-0000-000088620000}"/>
    <cellStyle name="Normal 14 6 3 2 3" xfId="25225" xr:uid="{00000000-0005-0000-0000-000089620000}"/>
    <cellStyle name="Normal 14 6 3 3" xfId="25226" xr:uid="{00000000-0005-0000-0000-00008A620000}"/>
    <cellStyle name="Normal 14 6 3 4" xfId="25227" xr:uid="{00000000-0005-0000-0000-00008B620000}"/>
    <cellStyle name="Normal 14 6 4" xfId="25228" xr:uid="{00000000-0005-0000-0000-00008C620000}"/>
    <cellStyle name="Normal 14 6 4 2" xfId="25229" xr:uid="{00000000-0005-0000-0000-00008D620000}"/>
    <cellStyle name="Normal 14 6 4 3" xfId="25230" xr:uid="{00000000-0005-0000-0000-00008E620000}"/>
    <cellStyle name="Normal 14 6 5" xfId="25231" xr:uid="{00000000-0005-0000-0000-00008F620000}"/>
    <cellStyle name="Normal 14 6 6" xfId="25232" xr:uid="{00000000-0005-0000-0000-000090620000}"/>
    <cellStyle name="Normal 14 7" xfId="25233" xr:uid="{00000000-0005-0000-0000-000091620000}"/>
    <cellStyle name="Normal 14 7 2" xfId="25234" xr:uid="{00000000-0005-0000-0000-000092620000}"/>
    <cellStyle name="Normal 14 7 2 2" xfId="25235" xr:uid="{00000000-0005-0000-0000-000093620000}"/>
    <cellStyle name="Normal 14 7 2 2 2" xfId="25236" xr:uid="{00000000-0005-0000-0000-000094620000}"/>
    <cellStyle name="Normal 14 7 2 2 3" xfId="25237" xr:uid="{00000000-0005-0000-0000-000095620000}"/>
    <cellStyle name="Normal 14 7 2 3" xfId="25238" xr:uid="{00000000-0005-0000-0000-000096620000}"/>
    <cellStyle name="Normal 14 7 2 4" xfId="25239" xr:uid="{00000000-0005-0000-0000-000097620000}"/>
    <cellStyle name="Normal 14 7 3" xfId="25240" xr:uid="{00000000-0005-0000-0000-000098620000}"/>
    <cellStyle name="Normal 14 7 3 2" xfId="25241" xr:uid="{00000000-0005-0000-0000-000099620000}"/>
    <cellStyle name="Normal 14 7 3 3" xfId="25242" xr:uid="{00000000-0005-0000-0000-00009A620000}"/>
    <cellStyle name="Normal 14 7 4" xfId="25243" xr:uid="{00000000-0005-0000-0000-00009B620000}"/>
    <cellStyle name="Normal 14 7 5" xfId="25244" xr:uid="{00000000-0005-0000-0000-00009C620000}"/>
    <cellStyle name="Normal 14 8" xfId="25245" xr:uid="{00000000-0005-0000-0000-00009D620000}"/>
    <cellStyle name="Normal 14 8 2" xfId="25246" xr:uid="{00000000-0005-0000-0000-00009E620000}"/>
    <cellStyle name="Normal 14 8 2 2" xfId="25247" xr:uid="{00000000-0005-0000-0000-00009F620000}"/>
    <cellStyle name="Normal 14 8 2 3" xfId="25248" xr:uid="{00000000-0005-0000-0000-0000A0620000}"/>
    <cellStyle name="Normal 14 8 3" xfId="25249" xr:uid="{00000000-0005-0000-0000-0000A1620000}"/>
    <cellStyle name="Normal 14 8 4" xfId="25250" xr:uid="{00000000-0005-0000-0000-0000A2620000}"/>
    <cellStyle name="Normal 14 9" xfId="25251" xr:uid="{00000000-0005-0000-0000-0000A3620000}"/>
    <cellStyle name="Normal 14 9 2" xfId="25252" xr:uid="{00000000-0005-0000-0000-0000A4620000}"/>
    <cellStyle name="Normal 14 9 3" xfId="25253" xr:uid="{00000000-0005-0000-0000-0000A5620000}"/>
    <cellStyle name="Normal 15" xfId="25254" xr:uid="{00000000-0005-0000-0000-0000A6620000}"/>
    <cellStyle name="Normal 15 10" xfId="25255" xr:uid="{00000000-0005-0000-0000-0000A7620000}"/>
    <cellStyle name="Normal 15 10 2" xfId="25256" xr:uid="{00000000-0005-0000-0000-0000A8620000}"/>
    <cellStyle name="Normal 15 10 3" xfId="25257" xr:uid="{00000000-0005-0000-0000-0000A9620000}"/>
    <cellStyle name="Normal 15 11" xfId="25258" xr:uid="{00000000-0005-0000-0000-0000AA620000}"/>
    <cellStyle name="Normal 15 12" xfId="25259" xr:uid="{00000000-0005-0000-0000-0000AB620000}"/>
    <cellStyle name="Normal 15 2" xfId="25260" xr:uid="{00000000-0005-0000-0000-0000AC620000}"/>
    <cellStyle name="Normal 15 2 2" xfId="25261" xr:uid="{00000000-0005-0000-0000-0000AD620000}"/>
    <cellStyle name="Normal 15 2 2 2" xfId="25262" xr:uid="{00000000-0005-0000-0000-0000AE620000}"/>
    <cellStyle name="Normal 15 2 2 2 2" xfId="25263" xr:uid="{00000000-0005-0000-0000-0000AF620000}"/>
    <cellStyle name="Normal 15 2 2 2 2 2" xfId="25264" xr:uid="{00000000-0005-0000-0000-0000B0620000}"/>
    <cellStyle name="Normal 15 2 2 2 2 3" xfId="25265" xr:uid="{00000000-0005-0000-0000-0000B1620000}"/>
    <cellStyle name="Normal 15 2 2 2 3" xfId="25266" xr:uid="{00000000-0005-0000-0000-0000B2620000}"/>
    <cellStyle name="Normal 15 2 2 2 4" xfId="25267" xr:uid="{00000000-0005-0000-0000-0000B3620000}"/>
    <cellStyle name="Normal 15 2 2 3" xfId="25268" xr:uid="{00000000-0005-0000-0000-0000B4620000}"/>
    <cellStyle name="Normal 15 2 2 3 2" xfId="25269" xr:uid="{00000000-0005-0000-0000-0000B5620000}"/>
    <cellStyle name="Normal 15 2 2 3 3" xfId="25270" xr:uid="{00000000-0005-0000-0000-0000B6620000}"/>
    <cellStyle name="Normal 15 2 2 4" xfId="25271" xr:uid="{00000000-0005-0000-0000-0000B7620000}"/>
    <cellStyle name="Normal 15 2 2 5" xfId="25272" xr:uid="{00000000-0005-0000-0000-0000B8620000}"/>
    <cellStyle name="Normal 15 2 3" xfId="25273" xr:uid="{00000000-0005-0000-0000-0000B9620000}"/>
    <cellStyle name="Normal 15 2 3 2" xfId="25274" xr:uid="{00000000-0005-0000-0000-0000BA620000}"/>
    <cellStyle name="Normal 15 2 3 3" xfId="25275" xr:uid="{00000000-0005-0000-0000-0000BB620000}"/>
    <cellStyle name="Normal 15 2 4" xfId="25276" xr:uid="{00000000-0005-0000-0000-0000BC620000}"/>
    <cellStyle name="Normal 15 2 5" xfId="25277" xr:uid="{00000000-0005-0000-0000-0000BD620000}"/>
    <cellStyle name="Normal 15 3" xfId="25278" xr:uid="{00000000-0005-0000-0000-0000BE620000}"/>
    <cellStyle name="Normal 15 3 2" xfId="25279" xr:uid="{00000000-0005-0000-0000-0000BF620000}"/>
    <cellStyle name="Normal 15 3 2 2" xfId="25280" xr:uid="{00000000-0005-0000-0000-0000C0620000}"/>
    <cellStyle name="Normal 15 3 2 2 2" xfId="25281" xr:uid="{00000000-0005-0000-0000-0000C1620000}"/>
    <cellStyle name="Normal 15 3 2 2 2 2" xfId="25282" xr:uid="{00000000-0005-0000-0000-0000C2620000}"/>
    <cellStyle name="Normal 15 3 2 2 2 3" xfId="25283" xr:uid="{00000000-0005-0000-0000-0000C3620000}"/>
    <cellStyle name="Normal 15 3 2 2 3" xfId="25284" xr:uid="{00000000-0005-0000-0000-0000C4620000}"/>
    <cellStyle name="Normal 15 3 2 2 4" xfId="25285" xr:uid="{00000000-0005-0000-0000-0000C5620000}"/>
    <cellStyle name="Normal 15 3 2 3" xfId="25286" xr:uid="{00000000-0005-0000-0000-0000C6620000}"/>
    <cellStyle name="Normal 15 3 2 3 2" xfId="25287" xr:uid="{00000000-0005-0000-0000-0000C7620000}"/>
    <cellStyle name="Normal 15 3 2 3 3" xfId="25288" xr:uid="{00000000-0005-0000-0000-0000C8620000}"/>
    <cellStyle name="Normal 15 3 2 4" xfId="25289" xr:uid="{00000000-0005-0000-0000-0000C9620000}"/>
    <cellStyle name="Normal 15 3 2 5" xfId="25290" xr:uid="{00000000-0005-0000-0000-0000CA620000}"/>
    <cellStyle name="Normal 15 3 3" xfId="25291" xr:uid="{00000000-0005-0000-0000-0000CB620000}"/>
    <cellStyle name="Normal 15 3 3 2" xfId="25292" xr:uid="{00000000-0005-0000-0000-0000CC620000}"/>
    <cellStyle name="Normal 15 3 3 2 2" xfId="25293" xr:uid="{00000000-0005-0000-0000-0000CD620000}"/>
    <cellStyle name="Normal 15 3 3 2 3" xfId="25294" xr:uid="{00000000-0005-0000-0000-0000CE620000}"/>
    <cellStyle name="Normal 15 3 3 3" xfId="25295" xr:uid="{00000000-0005-0000-0000-0000CF620000}"/>
    <cellStyle name="Normal 15 3 3 4" xfId="25296" xr:uid="{00000000-0005-0000-0000-0000D0620000}"/>
    <cellStyle name="Normal 15 3 4" xfId="25297" xr:uid="{00000000-0005-0000-0000-0000D1620000}"/>
    <cellStyle name="Normal 15 3 4 2" xfId="25298" xr:uid="{00000000-0005-0000-0000-0000D2620000}"/>
    <cellStyle name="Normal 15 3 4 3" xfId="25299" xr:uid="{00000000-0005-0000-0000-0000D3620000}"/>
    <cellStyle name="Normal 15 3 5" xfId="25300" xr:uid="{00000000-0005-0000-0000-0000D4620000}"/>
    <cellStyle name="Normal 15 3 6" xfId="25301" xr:uid="{00000000-0005-0000-0000-0000D5620000}"/>
    <cellStyle name="Normal 15 4" xfId="25302" xr:uid="{00000000-0005-0000-0000-0000D6620000}"/>
    <cellStyle name="Normal 15 4 2" xfId="25303" xr:uid="{00000000-0005-0000-0000-0000D7620000}"/>
    <cellStyle name="Normal 15 4 2 2" xfId="25304" xr:uid="{00000000-0005-0000-0000-0000D8620000}"/>
    <cellStyle name="Normal 15 4 2 2 2" xfId="25305" xr:uid="{00000000-0005-0000-0000-0000D9620000}"/>
    <cellStyle name="Normal 15 4 2 2 2 2" xfId="25306" xr:uid="{00000000-0005-0000-0000-0000DA620000}"/>
    <cellStyle name="Normal 15 4 2 2 2 3" xfId="25307" xr:uid="{00000000-0005-0000-0000-0000DB620000}"/>
    <cellStyle name="Normal 15 4 2 2 3" xfId="25308" xr:uid="{00000000-0005-0000-0000-0000DC620000}"/>
    <cellStyle name="Normal 15 4 2 2 4" xfId="25309" xr:uid="{00000000-0005-0000-0000-0000DD620000}"/>
    <cellStyle name="Normal 15 4 2 3" xfId="25310" xr:uid="{00000000-0005-0000-0000-0000DE620000}"/>
    <cellStyle name="Normal 15 4 2 3 2" xfId="25311" xr:uid="{00000000-0005-0000-0000-0000DF620000}"/>
    <cellStyle name="Normal 15 4 2 3 3" xfId="25312" xr:uid="{00000000-0005-0000-0000-0000E0620000}"/>
    <cellStyle name="Normal 15 4 2 4" xfId="25313" xr:uid="{00000000-0005-0000-0000-0000E1620000}"/>
    <cellStyle name="Normal 15 4 2 5" xfId="25314" xr:uid="{00000000-0005-0000-0000-0000E2620000}"/>
    <cellStyle name="Normal 15 4 3" xfId="25315" xr:uid="{00000000-0005-0000-0000-0000E3620000}"/>
    <cellStyle name="Normal 15 4 3 2" xfId="25316" xr:uid="{00000000-0005-0000-0000-0000E4620000}"/>
    <cellStyle name="Normal 15 4 3 2 2" xfId="25317" xr:uid="{00000000-0005-0000-0000-0000E5620000}"/>
    <cellStyle name="Normal 15 4 3 2 3" xfId="25318" xr:uid="{00000000-0005-0000-0000-0000E6620000}"/>
    <cellStyle name="Normal 15 4 3 3" xfId="25319" xr:uid="{00000000-0005-0000-0000-0000E7620000}"/>
    <cellStyle name="Normal 15 4 3 4" xfId="25320" xr:uid="{00000000-0005-0000-0000-0000E8620000}"/>
    <cellStyle name="Normal 15 4 4" xfId="25321" xr:uid="{00000000-0005-0000-0000-0000E9620000}"/>
    <cellStyle name="Normal 15 4 4 2" xfId="25322" xr:uid="{00000000-0005-0000-0000-0000EA620000}"/>
    <cellStyle name="Normal 15 4 4 3" xfId="25323" xr:uid="{00000000-0005-0000-0000-0000EB620000}"/>
    <cellStyle name="Normal 15 4 5" xfId="25324" xr:uid="{00000000-0005-0000-0000-0000EC620000}"/>
    <cellStyle name="Normal 15 4 6" xfId="25325" xr:uid="{00000000-0005-0000-0000-0000ED620000}"/>
    <cellStyle name="Normal 15 5" xfId="25326" xr:uid="{00000000-0005-0000-0000-0000EE620000}"/>
    <cellStyle name="Normal 15 5 2" xfId="25327" xr:uid="{00000000-0005-0000-0000-0000EF620000}"/>
    <cellStyle name="Normal 15 5 2 2" xfId="25328" xr:uid="{00000000-0005-0000-0000-0000F0620000}"/>
    <cellStyle name="Normal 15 5 2 2 2" xfId="25329" xr:uid="{00000000-0005-0000-0000-0000F1620000}"/>
    <cellStyle name="Normal 15 5 2 2 2 2" xfId="25330" xr:uid="{00000000-0005-0000-0000-0000F2620000}"/>
    <cellStyle name="Normal 15 5 2 2 2 3" xfId="25331" xr:uid="{00000000-0005-0000-0000-0000F3620000}"/>
    <cellStyle name="Normal 15 5 2 2 3" xfId="25332" xr:uid="{00000000-0005-0000-0000-0000F4620000}"/>
    <cellStyle name="Normal 15 5 2 2 4" xfId="25333" xr:uid="{00000000-0005-0000-0000-0000F5620000}"/>
    <cellStyle name="Normal 15 5 2 3" xfId="25334" xr:uid="{00000000-0005-0000-0000-0000F6620000}"/>
    <cellStyle name="Normal 15 5 2 3 2" xfId="25335" xr:uid="{00000000-0005-0000-0000-0000F7620000}"/>
    <cellStyle name="Normal 15 5 2 3 3" xfId="25336" xr:uid="{00000000-0005-0000-0000-0000F8620000}"/>
    <cellStyle name="Normal 15 5 2 4" xfId="25337" xr:uid="{00000000-0005-0000-0000-0000F9620000}"/>
    <cellStyle name="Normal 15 5 2 5" xfId="25338" xr:uid="{00000000-0005-0000-0000-0000FA620000}"/>
    <cellStyle name="Normal 15 5 3" xfId="25339" xr:uid="{00000000-0005-0000-0000-0000FB620000}"/>
    <cellStyle name="Normal 15 5 3 2" xfId="25340" xr:uid="{00000000-0005-0000-0000-0000FC620000}"/>
    <cellStyle name="Normal 15 5 3 2 2" xfId="25341" xr:uid="{00000000-0005-0000-0000-0000FD620000}"/>
    <cellStyle name="Normal 15 5 3 2 3" xfId="25342" xr:uid="{00000000-0005-0000-0000-0000FE620000}"/>
    <cellStyle name="Normal 15 5 3 3" xfId="25343" xr:uid="{00000000-0005-0000-0000-0000FF620000}"/>
    <cellStyle name="Normal 15 5 3 4" xfId="25344" xr:uid="{00000000-0005-0000-0000-000000630000}"/>
    <cellStyle name="Normal 15 5 4" xfId="25345" xr:uid="{00000000-0005-0000-0000-000001630000}"/>
    <cellStyle name="Normal 15 5 4 2" xfId="25346" xr:uid="{00000000-0005-0000-0000-000002630000}"/>
    <cellStyle name="Normal 15 5 4 3" xfId="25347" xr:uid="{00000000-0005-0000-0000-000003630000}"/>
    <cellStyle name="Normal 15 5 5" xfId="25348" xr:uid="{00000000-0005-0000-0000-000004630000}"/>
    <cellStyle name="Normal 15 5 6" xfId="25349" xr:uid="{00000000-0005-0000-0000-000005630000}"/>
    <cellStyle name="Normal 15 6" xfId="25350" xr:uid="{00000000-0005-0000-0000-000006630000}"/>
    <cellStyle name="Normal 15 6 2" xfId="25351" xr:uid="{00000000-0005-0000-0000-000007630000}"/>
    <cellStyle name="Normal 15 6 2 2" xfId="25352" xr:uid="{00000000-0005-0000-0000-000008630000}"/>
    <cellStyle name="Normal 15 6 2 2 2" xfId="25353" xr:uid="{00000000-0005-0000-0000-000009630000}"/>
    <cellStyle name="Normal 15 6 2 2 2 2" xfId="25354" xr:uid="{00000000-0005-0000-0000-00000A630000}"/>
    <cellStyle name="Normal 15 6 2 2 2 3" xfId="25355" xr:uid="{00000000-0005-0000-0000-00000B630000}"/>
    <cellStyle name="Normal 15 6 2 2 3" xfId="25356" xr:uid="{00000000-0005-0000-0000-00000C630000}"/>
    <cellStyle name="Normal 15 6 2 2 4" xfId="25357" xr:uid="{00000000-0005-0000-0000-00000D630000}"/>
    <cellStyle name="Normal 15 6 2 3" xfId="25358" xr:uid="{00000000-0005-0000-0000-00000E630000}"/>
    <cellStyle name="Normal 15 6 2 3 2" xfId="25359" xr:uid="{00000000-0005-0000-0000-00000F630000}"/>
    <cellStyle name="Normal 15 6 2 3 3" xfId="25360" xr:uid="{00000000-0005-0000-0000-000010630000}"/>
    <cellStyle name="Normal 15 6 2 4" xfId="25361" xr:uid="{00000000-0005-0000-0000-000011630000}"/>
    <cellStyle name="Normal 15 6 2 5" xfId="25362" xr:uid="{00000000-0005-0000-0000-000012630000}"/>
    <cellStyle name="Normal 15 6 3" xfId="25363" xr:uid="{00000000-0005-0000-0000-000013630000}"/>
    <cellStyle name="Normal 15 6 3 2" xfId="25364" xr:uid="{00000000-0005-0000-0000-000014630000}"/>
    <cellStyle name="Normal 15 6 3 2 2" xfId="25365" xr:uid="{00000000-0005-0000-0000-000015630000}"/>
    <cellStyle name="Normal 15 6 3 2 3" xfId="25366" xr:uid="{00000000-0005-0000-0000-000016630000}"/>
    <cellStyle name="Normal 15 6 3 3" xfId="25367" xr:uid="{00000000-0005-0000-0000-000017630000}"/>
    <cellStyle name="Normal 15 6 3 4" xfId="25368" xr:uid="{00000000-0005-0000-0000-000018630000}"/>
    <cellStyle name="Normal 15 6 4" xfId="25369" xr:uid="{00000000-0005-0000-0000-000019630000}"/>
    <cellStyle name="Normal 15 6 4 2" xfId="25370" xr:uid="{00000000-0005-0000-0000-00001A630000}"/>
    <cellStyle name="Normal 15 6 4 3" xfId="25371" xr:uid="{00000000-0005-0000-0000-00001B630000}"/>
    <cellStyle name="Normal 15 6 5" xfId="25372" xr:uid="{00000000-0005-0000-0000-00001C630000}"/>
    <cellStyle name="Normal 15 6 6" xfId="25373" xr:uid="{00000000-0005-0000-0000-00001D630000}"/>
    <cellStyle name="Normal 15 7" xfId="25374" xr:uid="{00000000-0005-0000-0000-00001E630000}"/>
    <cellStyle name="Normal 15 7 2" xfId="25375" xr:uid="{00000000-0005-0000-0000-00001F630000}"/>
    <cellStyle name="Normal 15 7 2 2" xfId="25376" xr:uid="{00000000-0005-0000-0000-000020630000}"/>
    <cellStyle name="Normal 15 7 2 2 2" xfId="25377" xr:uid="{00000000-0005-0000-0000-000021630000}"/>
    <cellStyle name="Normal 15 7 2 2 2 2" xfId="25378" xr:uid="{00000000-0005-0000-0000-000022630000}"/>
    <cellStyle name="Normal 15 7 2 2 2 3" xfId="25379" xr:uid="{00000000-0005-0000-0000-000023630000}"/>
    <cellStyle name="Normal 15 7 2 2 3" xfId="25380" xr:uid="{00000000-0005-0000-0000-000024630000}"/>
    <cellStyle name="Normal 15 7 2 2 4" xfId="25381" xr:uid="{00000000-0005-0000-0000-000025630000}"/>
    <cellStyle name="Normal 15 7 2 3" xfId="25382" xr:uid="{00000000-0005-0000-0000-000026630000}"/>
    <cellStyle name="Normal 15 7 2 3 2" xfId="25383" xr:uid="{00000000-0005-0000-0000-000027630000}"/>
    <cellStyle name="Normal 15 7 2 3 3" xfId="25384" xr:uid="{00000000-0005-0000-0000-000028630000}"/>
    <cellStyle name="Normal 15 7 2 4" xfId="25385" xr:uid="{00000000-0005-0000-0000-000029630000}"/>
    <cellStyle name="Normal 15 7 2 5" xfId="25386" xr:uid="{00000000-0005-0000-0000-00002A630000}"/>
    <cellStyle name="Normal 15 7 3" xfId="25387" xr:uid="{00000000-0005-0000-0000-00002B630000}"/>
    <cellStyle name="Normal 15 7 3 2" xfId="25388" xr:uid="{00000000-0005-0000-0000-00002C630000}"/>
    <cellStyle name="Normal 15 7 3 2 2" xfId="25389" xr:uid="{00000000-0005-0000-0000-00002D630000}"/>
    <cellStyle name="Normal 15 7 3 2 3" xfId="25390" xr:uid="{00000000-0005-0000-0000-00002E630000}"/>
    <cellStyle name="Normal 15 7 3 3" xfId="25391" xr:uid="{00000000-0005-0000-0000-00002F630000}"/>
    <cellStyle name="Normal 15 7 3 4" xfId="25392" xr:uid="{00000000-0005-0000-0000-000030630000}"/>
    <cellStyle name="Normal 15 7 4" xfId="25393" xr:uid="{00000000-0005-0000-0000-000031630000}"/>
    <cellStyle name="Normal 15 7 4 2" xfId="25394" xr:uid="{00000000-0005-0000-0000-000032630000}"/>
    <cellStyle name="Normal 15 7 4 3" xfId="25395" xr:uid="{00000000-0005-0000-0000-000033630000}"/>
    <cellStyle name="Normal 15 7 5" xfId="25396" xr:uid="{00000000-0005-0000-0000-000034630000}"/>
    <cellStyle name="Normal 15 7 6" xfId="25397" xr:uid="{00000000-0005-0000-0000-000035630000}"/>
    <cellStyle name="Normal 15 8" xfId="25398" xr:uid="{00000000-0005-0000-0000-000036630000}"/>
    <cellStyle name="Normal 15 8 2" xfId="25399" xr:uid="{00000000-0005-0000-0000-000037630000}"/>
    <cellStyle name="Normal 15 8 2 2" xfId="25400" xr:uid="{00000000-0005-0000-0000-000038630000}"/>
    <cellStyle name="Normal 15 8 2 2 2" xfId="25401" xr:uid="{00000000-0005-0000-0000-000039630000}"/>
    <cellStyle name="Normal 15 8 2 2 2 2" xfId="25402" xr:uid="{00000000-0005-0000-0000-00003A630000}"/>
    <cellStyle name="Normal 15 8 2 2 2 3" xfId="25403" xr:uid="{00000000-0005-0000-0000-00003B630000}"/>
    <cellStyle name="Normal 15 8 2 2 3" xfId="25404" xr:uid="{00000000-0005-0000-0000-00003C630000}"/>
    <cellStyle name="Normal 15 8 2 2 4" xfId="25405" xr:uid="{00000000-0005-0000-0000-00003D630000}"/>
    <cellStyle name="Normal 15 8 2 3" xfId="25406" xr:uid="{00000000-0005-0000-0000-00003E630000}"/>
    <cellStyle name="Normal 15 8 2 3 2" xfId="25407" xr:uid="{00000000-0005-0000-0000-00003F630000}"/>
    <cellStyle name="Normal 15 8 2 3 3" xfId="25408" xr:uid="{00000000-0005-0000-0000-000040630000}"/>
    <cellStyle name="Normal 15 8 2 4" xfId="25409" xr:uid="{00000000-0005-0000-0000-000041630000}"/>
    <cellStyle name="Normal 15 8 2 5" xfId="25410" xr:uid="{00000000-0005-0000-0000-000042630000}"/>
    <cellStyle name="Normal 15 8 3" xfId="25411" xr:uid="{00000000-0005-0000-0000-000043630000}"/>
    <cellStyle name="Normal 15 8 3 2" xfId="25412" xr:uid="{00000000-0005-0000-0000-000044630000}"/>
    <cellStyle name="Normal 15 8 3 2 2" xfId="25413" xr:uid="{00000000-0005-0000-0000-000045630000}"/>
    <cellStyle name="Normal 15 8 3 2 3" xfId="25414" xr:uid="{00000000-0005-0000-0000-000046630000}"/>
    <cellStyle name="Normal 15 8 3 3" xfId="25415" xr:uid="{00000000-0005-0000-0000-000047630000}"/>
    <cellStyle name="Normal 15 8 3 4" xfId="25416" xr:uid="{00000000-0005-0000-0000-000048630000}"/>
    <cellStyle name="Normal 15 8 4" xfId="25417" xr:uid="{00000000-0005-0000-0000-000049630000}"/>
    <cellStyle name="Normal 15 8 4 2" xfId="25418" xr:uid="{00000000-0005-0000-0000-00004A630000}"/>
    <cellStyle name="Normal 15 8 4 3" xfId="25419" xr:uid="{00000000-0005-0000-0000-00004B630000}"/>
    <cellStyle name="Normal 15 8 5" xfId="25420" xr:uid="{00000000-0005-0000-0000-00004C630000}"/>
    <cellStyle name="Normal 15 8 6" xfId="25421" xr:uid="{00000000-0005-0000-0000-00004D630000}"/>
    <cellStyle name="Normal 15 9" xfId="25422" xr:uid="{00000000-0005-0000-0000-00004E630000}"/>
    <cellStyle name="Normal 15 9 2" xfId="25423" xr:uid="{00000000-0005-0000-0000-00004F630000}"/>
    <cellStyle name="Normal 15 9 2 2" xfId="25424" xr:uid="{00000000-0005-0000-0000-000050630000}"/>
    <cellStyle name="Normal 15 9 2 2 2" xfId="25425" xr:uid="{00000000-0005-0000-0000-000051630000}"/>
    <cellStyle name="Normal 15 9 2 2 3" xfId="25426" xr:uid="{00000000-0005-0000-0000-000052630000}"/>
    <cellStyle name="Normal 15 9 2 3" xfId="25427" xr:uid="{00000000-0005-0000-0000-000053630000}"/>
    <cellStyle name="Normal 15 9 2 4" xfId="25428" xr:uid="{00000000-0005-0000-0000-000054630000}"/>
    <cellStyle name="Normal 15 9 3" xfId="25429" xr:uid="{00000000-0005-0000-0000-000055630000}"/>
    <cellStyle name="Normal 15 9 3 2" xfId="25430" xr:uid="{00000000-0005-0000-0000-000056630000}"/>
    <cellStyle name="Normal 15 9 3 3" xfId="25431" xr:uid="{00000000-0005-0000-0000-000057630000}"/>
    <cellStyle name="Normal 15 9 4" xfId="25432" xr:uid="{00000000-0005-0000-0000-000058630000}"/>
    <cellStyle name="Normal 15 9 5" xfId="25433" xr:uid="{00000000-0005-0000-0000-000059630000}"/>
    <cellStyle name="Normal 16" xfId="25434" xr:uid="{00000000-0005-0000-0000-00005A630000}"/>
    <cellStyle name="Normal 16 10" xfId="25435" xr:uid="{00000000-0005-0000-0000-00005B630000}"/>
    <cellStyle name="Normal 16 10 2" xfId="25436" xr:uid="{00000000-0005-0000-0000-00005C630000}"/>
    <cellStyle name="Normal 16 10 2 2" xfId="25437" xr:uid="{00000000-0005-0000-0000-00005D630000}"/>
    <cellStyle name="Normal 16 10 2 3" xfId="25438" xr:uid="{00000000-0005-0000-0000-00005E630000}"/>
    <cellStyle name="Normal 16 10 3" xfId="25439" xr:uid="{00000000-0005-0000-0000-00005F630000}"/>
    <cellStyle name="Normal 16 10 4" xfId="25440" xr:uid="{00000000-0005-0000-0000-000060630000}"/>
    <cellStyle name="Normal 16 11" xfId="25441" xr:uid="{00000000-0005-0000-0000-000061630000}"/>
    <cellStyle name="Normal 16 11 2" xfId="25442" xr:uid="{00000000-0005-0000-0000-000062630000}"/>
    <cellStyle name="Normal 16 11 3" xfId="25443" xr:uid="{00000000-0005-0000-0000-000063630000}"/>
    <cellStyle name="Normal 16 12" xfId="25444" xr:uid="{00000000-0005-0000-0000-000064630000}"/>
    <cellStyle name="Normal 16 13" xfId="25445" xr:uid="{00000000-0005-0000-0000-000065630000}"/>
    <cellStyle name="Normal 16 2" xfId="25446" xr:uid="{00000000-0005-0000-0000-000066630000}"/>
    <cellStyle name="Normal 16 2 2" xfId="25447" xr:uid="{00000000-0005-0000-0000-000067630000}"/>
    <cellStyle name="Normal 16 2 2 2" xfId="25448" xr:uid="{00000000-0005-0000-0000-000068630000}"/>
    <cellStyle name="Normal 16 2 2 2 2" xfId="25449" xr:uid="{00000000-0005-0000-0000-000069630000}"/>
    <cellStyle name="Normal 16 2 2 2 2 2" xfId="25450" xr:uid="{00000000-0005-0000-0000-00006A630000}"/>
    <cellStyle name="Normal 16 2 2 2 2 2 2" xfId="25451" xr:uid="{00000000-0005-0000-0000-00006B630000}"/>
    <cellStyle name="Normal 16 2 2 2 2 2 2 2" xfId="25452" xr:uid="{00000000-0005-0000-0000-00006C630000}"/>
    <cellStyle name="Normal 16 2 2 2 2 2 2 2 2" xfId="25453" xr:uid="{00000000-0005-0000-0000-00006D630000}"/>
    <cellStyle name="Normal 16 2 2 2 2 2 2 2 3" xfId="25454" xr:uid="{00000000-0005-0000-0000-00006E630000}"/>
    <cellStyle name="Normal 16 2 2 2 2 2 2 3" xfId="25455" xr:uid="{00000000-0005-0000-0000-00006F630000}"/>
    <cellStyle name="Normal 16 2 2 2 2 2 2 4" xfId="25456" xr:uid="{00000000-0005-0000-0000-000070630000}"/>
    <cellStyle name="Normal 16 2 2 2 2 2 3" xfId="25457" xr:uid="{00000000-0005-0000-0000-000071630000}"/>
    <cellStyle name="Normal 16 2 2 2 2 2 3 2" xfId="25458" xr:uid="{00000000-0005-0000-0000-000072630000}"/>
    <cellStyle name="Normal 16 2 2 2 2 2 3 3" xfId="25459" xr:uid="{00000000-0005-0000-0000-000073630000}"/>
    <cellStyle name="Normal 16 2 2 2 2 2 4" xfId="25460" xr:uid="{00000000-0005-0000-0000-000074630000}"/>
    <cellStyle name="Normal 16 2 2 2 2 2 5" xfId="25461" xr:uid="{00000000-0005-0000-0000-000075630000}"/>
    <cellStyle name="Normal 16 2 2 2 2 3" xfId="25462" xr:uid="{00000000-0005-0000-0000-000076630000}"/>
    <cellStyle name="Normal 16 2 2 2 2 3 2" xfId="25463" xr:uid="{00000000-0005-0000-0000-000077630000}"/>
    <cellStyle name="Normal 16 2 2 2 2 3 2 2" xfId="25464" xr:uid="{00000000-0005-0000-0000-000078630000}"/>
    <cellStyle name="Normal 16 2 2 2 2 3 2 3" xfId="25465" xr:uid="{00000000-0005-0000-0000-000079630000}"/>
    <cellStyle name="Normal 16 2 2 2 2 3 3" xfId="25466" xr:uid="{00000000-0005-0000-0000-00007A630000}"/>
    <cellStyle name="Normal 16 2 2 2 2 3 4" xfId="25467" xr:uid="{00000000-0005-0000-0000-00007B630000}"/>
    <cellStyle name="Normal 16 2 2 2 2 4" xfId="25468" xr:uid="{00000000-0005-0000-0000-00007C630000}"/>
    <cellStyle name="Normal 16 2 2 2 2 4 2" xfId="25469" xr:uid="{00000000-0005-0000-0000-00007D630000}"/>
    <cellStyle name="Normal 16 2 2 2 2 4 3" xfId="25470" xr:uid="{00000000-0005-0000-0000-00007E630000}"/>
    <cellStyle name="Normal 16 2 2 2 2 5" xfId="25471" xr:uid="{00000000-0005-0000-0000-00007F630000}"/>
    <cellStyle name="Normal 16 2 2 2 2 6" xfId="25472" xr:uid="{00000000-0005-0000-0000-000080630000}"/>
    <cellStyle name="Normal 16 2 2 2 3" xfId="25473" xr:uid="{00000000-0005-0000-0000-000081630000}"/>
    <cellStyle name="Normal 16 2 2 2 3 2" xfId="25474" xr:uid="{00000000-0005-0000-0000-000082630000}"/>
    <cellStyle name="Normal 16 2 2 2 3 2 2" xfId="25475" xr:uid="{00000000-0005-0000-0000-000083630000}"/>
    <cellStyle name="Normal 16 2 2 2 3 2 2 2" xfId="25476" xr:uid="{00000000-0005-0000-0000-000084630000}"/>
    <cellStyle name="Normal 16 2 2 2 3 2 2 3" xfId="25477" xr:uid="{00000000-0005-0000-0000-000085630000}"/>
    <cellStyle name="Normal 16 2 2 2 3 2 3" xfId="25478" xr:uid="{00000000-0005-0000-0000-000086630000}"/>
    <cellStyle name="Normal 16 2 2 2 3 2 4" xfId="25479" xr:uid="{00000000-0005-0000-0000-000087630000}"/>
    <cellStyle name="Normal 16 2 2 2 3 3" xfId="25480" xr:uid="{00000000-0005-0000-0000-000088630000}"/>
    <cellStyle name="Normal 16 2 2 2 3 3 2" xfId="25481" xr:uid="{00000000-0005-0000-0000-000089630000}"/>
    <cellStyle name="Normal 16 2 2 2 3 3 3" xfId="25482" xr:uid="{00000000-0005-0000-0000-00008A630000}"/>
    <cellStyle name="Normal 16 2 2 2 3 4" xfId="25483" xr:uid="{00000000-0005-0000-0000-00008B630000}"/>
    <cellStyle name="Normal 16 2 2 2 3 5" xfId="25484" xr:uid="{00000000-0005-0000-0000-00008C630000}"/>
    <cellStyle name="Normal 16 2 2 2 4" xfId="25485" xr:uid="{00000000-0005-0000-0000-00008D630000}"/>
    <cellStyle name="Normal 16 2 2 2 4 2" xfId="25486" xr:uid="{00000000-0005-0000-0000-00008E630000}"/>
    <cellStyle name="Normal 16 2 2 2 4 2 2" xfId="25487" xr:uid="{00000000-0005-0000-0000-00008F630000}"/>
    <cellStyle name="Normal 16 2 2 2 4 2 3" xfId="25488" xr:uid="{00000000-0005-0000-0000-000090630000}"/>
    <cellStyle name="Normal 16 2 2 2 4 3" xfId="25489" xr:uid="{00000000-0005-0000-0000-000091630000}"/>
    <cellStyle name="Normal 16 2 2 2 4 4" xfId="25490" xr:uid="{00000000-0005-0000-0000-000092630000}"/>
    <cellStyle name="Normal 16 2 2 2 5" xfId="25491" xr:uid="{00000000-0005-0000-0000-000093630000}"/>
    <cellStyle name="Normal 16 2 2 2 5 2" xfId="25492" xr:uid="{00000000-0005-0000-0000-000094630000}"/>
    <cellStyle name="Normal 16 2 2 2 5 3" xfId="25493" xr:uid="{00000000-0005-0000-0000-000095630000}"/>
    <cellStyle name="Normal 16 2 2 2 6" xfId="25494" xr:uid="{00000000-0005-0000-0000-000096630000}"/>
    <cellStyle name="Normal 16 2 2 2 7" xfId="25495" xr:uid="{00000000-0005-0000-0000-000097630000}"/>
    <cellStyle name="Normal 16 2 2 3" xfId="25496" xr:uid="{00000000-0005-0000-0000-000098630000}"/>
    <cellStyle name="Normal 16 2 2 3 2" xfId="25497" xr:uid="{00000000-0005-0000-0000-000099630000}"/>
    <cellStyle name="Normal 16 2 2 3 2 2" xfId="25498" xr:uid="{00000000-0005-0000-0000-00009A630000}"/>
    <cellStyle name="Normal 16 2 2 3 2 2 2" xfId="25499" xr:uid="{00000000-0005-0000-0000-00009B630000}"/>
    <cellStyle name="Normal 16 2 2 3 2 2 2 2" xfId="25500" xr:uid="{00000000-0005-0000-0000-00009C630000}"/>
    <cellStyle name="Normal 16 2 2 3 2 2 2 3" xfId="25501" xr:uid="{00000000-0005-0000-0000-00009D630000}"/>
    <cellStyle name="Normal 16 2 2 3 2 2 3" xfId="25502" xr:uid="{00000000-0005-0000-0000-00009E630000}"/>
    <cellStyle name="Normal 16 2 2 3 2 2 4" xfId="25503" xr:uid="{00000000-0005-0000-0000-00009F630000}"/>
    <cellStyle name="Normal 16 2 2 3 2 3" xfId="25504" xr:uid="{00000000-0005-0000-0000-0000A0630000}"/>
    <cellStyle name="Normal 16 2 2 3 2 3 2" xfId="25505" xr:uid="{00000000-0005-0000-0000-0000A1630000}"/>
    <cellStyle name="Normal 16 2 2 3 2 3 3" xfId="25506" xr:uid="{00000000-0005-0000-0000-0000A2630000}"/>
    <cellStyle name="Normal 16 2 2 3 2 4" xfId="25507" xr:uid="{00000000-0005-0000-0000-0000A3630000}"/>
    <cellStyle name="Normal 16 2 2 3 2 5" xfId="25508" xr:uid="{00000000-0005-0000-0000-0000A4630000}"/>
    <cellStyle name="Normal 16 2 2 3 3" xfId="25509" xr:uid="{00000000-0005-0000-0000-0000A5630000}"/>
    <cellStyle name="Normal 16 2 2 3 3 2" xfId="25510" xr:uid="{00000000-0005-0000-0000-0000A6630000}"/>
    <cellStyle name="Normal 16 2 2 3 3 2 2" xfId="25511" xr:uid="{00000000-0005-0000-0000-0000A7630000}"/>
    <cellStyle name="Normal 16 2 2 3 3 2 3" xfId="25512" xr:uid="{00000000-0005-0000-0000-0000A8630000}"/>
    <cellStyle name="Normal 16 2 2 3 3 3" xfId="25513" xr:uid="{00000000-0005-0000-0000-0000A9630000}"/>
    <cellStyle name="Normal 16 2 2 3 3 4" xfId="25514" xr:uid="{00000000-0005-0000-0000-0000AA630000}"/>
    <cellStyle name="Normal 16 2 2 3 4" xfId="25515" xr:uid="{00000000-0005-0000-0000-0000AB630000}"/>
    <cellStyle name="Normal 16 2 2 3 4 2" xfId="25516" xr:uid="{00000000-0005-0000-0000-0000AC630000}"/>
    <cellStyle name="Normal 16 2 2 3 4 3" xfId="25517" xr:uid="{00000000-0005-0000-0000-0000AD630000}"/>
    <cellStyle name="Normal 16 2 2 3 5" xfId="25518" xr:uid="{00000000-0005-0000-0000-0000AE630000}"/>
    <cellStyle name="Normal 16 2 2 3 6" xfId="25519" xr:uid="{00000000-0005-0000-0000-0000AF630000}"/>
    <cellStyle name="Normal 16 2 2 4" xfId="25520" xr:uid="{00000000-0005-0000-0000-0000B0630000}"/>
    <cellStyle name="Normal 16 2 2 4 2" xfId="25521" xr:uid="{00000000-0005-0000-0000-0000B1630000}"/>
    <cellStyle name="Normal 16 2 2 4 2 2" xfId="25522" xr:uid="{00000000-0005-0000-0000-0000B2630000}"/>
    <cellStyle name="Normal 16 2 2 4 2 2 2" xfId="25523" xr:uid="{00000000-0005-0000-0000-0000B3630000}"/>
    <cellStyle name="Normal 16 2 2 4 2 2 3" xfId="25524" xr:uid="{00000000-0005-0000-0000-0000B4630000}"/>
    <cellStyle name="Normal 16 2 2 4 2 3" xfId="25525" xr:uid="{00000000-0005-0000-0000-0000B5630000}"/>
    <cellStyle name="Normal 16 2 2 4 2 4" xfId="25526" xr:uid="{00000000-0005-0000-0000-0000B6630000}"/>
    <cellStyle name="Normal 16 2 2 4 3" xfId="25527" xr:uid="{00000000-0005-0000-0000-0000B7630000}"/>
    <cellStyle name="Normal 16 2 2 4 3 2" xfId="25528" xr:uid="{00000000-0005-0000-0000-0000B8630000}"/>
    <cellStyle name="Normal 16 2 2 4 3 3" xfId="25529" xr:uid="{00000000-0005-0000-0000-0000B9630000}"/>
    <cellStyle name="Normal 16 2 2 4 4" xfId="25530" xr:uid="{00000000-0005-0000-0000-0000BA630000}"/>
    <cellStyle name="Normal 16 2 2 4 5" xfId="25531" xr:uid="{00000000-0005-0000-0000-0000BB630000}"/>
    <cellStyle name="Normal 16 2 2 5" xfId="25532" xr:uid="{00000000-0005-0000-0000-0000BC630000}"/>
    <cellStyle name="Normal 16 2 2 5 2" xfId="25533" xr:uid="{00000000-0005-0000-0000-0000BD630000}"/>
    <cellStyle name="Normal 16 2 2 5 2 2" xfId="25534" xr:uid="{00000000-0005-0000-0000-0000BE630000}"/>
    <cellStyle name="Normal 16 2 2 5 2 3" xfId="25535" xr:uid="{00000000-0005-0000-0000-0000BF630000}"/>
    <cellStyle name="Normal 16 2 2 5 3" xfId="25536" xr:uid="{00000000-0005-0000-0000-0000C0630000}"/>
    <cellStyle name="Normal 16 2 2 5 4" xfId="25537" xr:uid="{00000000-0005-0000-0000-0000C1630000}"/>
    <cellStyle name="Normal 16 2 2 6" xfId="25538" xr:uid="{00000000-0005-0000-0000-0000C2630000}"/>
    <cellStyle name="Normal 16 2 2 6 2" xfId="25539" xr:uid="{00000000-0005-0000-0000-0000C3630000}"/>
    <cellStyle name="Normal 16 2 2 6 3" xfId="25540" xr:uid="{00000000-0005-0000-0000-0000C4630000}"/>
    <cellStyle name="Normal 16 2 2 7" xfId="25541" xr:uid="{00000000-0005-0000-0000-0000C5630000}"/>
    <cellStyle name="Normal 16 2 2 8" xfId="25542" xr:uid="{00000000-0005-0000-0000-0000C6630000}"/>
    <cellStyle name="Normal 16 2 3" xfId="25543" xr:uid="{00000000-0005-0000-0000-0000C7630000}"/>
    <cellStyle name="Normal 16 2 3 2" xfId="25544" xr:uid="{00000000-0005-0000-0000-0000C8630000}"/>
    <cellStyle name="Normal 16 2 3 2 2" xfId="25545" xr:uid="{00000000-0005-0000-0000-0000C9630000}"/>
    <cellStyle name="Normal 16 2 3 2 2 2" xfId="25546" xr:uid="{00000000-0005-0000-0000-0000CA630000}"/>
    <cellStyle name="Normal 16 2 3 2 2 2 2" xfId="25547" xr:uid="{00000000-0005-0000-0000-0000CB630000}"/>
    <cellStyle name="Normal 16 2 3 2 2 2 2 2" xfId="25548" xr:uid="{00000000-0005-0000-0000-0000CC630000}"/>
    <cellStyle name="Normal 16 2 3 2 2 2 2 3" xfId="25549" xr:uid="{00000000-0005-0000-0000-0000CD630000}"/>
    <cellStyle name="Normal 16 2 3 2 2 2 3" xfId="25550" xr:uid="{00000000-0005-0000-0000-0000CE630000}"/>
    <cellStyle name="Normal 16 2 3 2 2 2 4" xfId="25551" xr:uid="{00000000-0005-0000-0000-0000CF630000}"/>
    <cellStyle name="Normal 16 2 3 2 2 3" xfId="25552" xr:uid="{00000000-0005-0000-0000-0000D0630000}"/>
    <cellStyle name="Normal 16 2 3 2 2 3 2" xfId="25553" xr:uid="{00000000-0005-0000-0000-0000D1630000}"/>
    <cellStyle name="Normal 16 2 3 2 2 3 3" xfId="25554" xr:uid="{00000000-0005-0000-0000-0000D2630000}"/>
    <cellStyle name="Normal 16 2 3 2 2 4" xfId="25555" xr:uid="{00000000-0005-0000-0000-0000D3630000}"/>
    <cellStyle name="Normal 16 2 3 2 2 5" xfId="25556" xr:uid="{00000000-0005-0000-0000-0000D4630000}"/>
    <cellStyle name="Normal 16 2 3 2 3" xfId="25557" xr:uid="{00000000-0005-0000-0000-0000D5630000}"/>
    <cellStyle name="Normal 16 2 3 2 3 2" xfId="25558" xr:uid="{00000000-0005-0000-0000-0000D6630000}"/>
    <cellStyle name="Normal 16 2 3 2 3 2 2" xfId="25559" xr:uid="{00000000-0005-0000-0000-0000D7630000}"/>
    <cellStyle name="Normal 16 2 3 2 3 2 3" xfId="25560" xr:uid="{00000000-0005-0000-0000-0000D8630000}"/>
    <cellStyle name="Normal 16 2 3 2 3 3" xfId="25561" xr:uid="{00000000-0005-0000-0000-0000D9630000}"/>
    <cellStyle name="Normal 16 2 3 2 3 4" xfId="25562" xr:uid="{00000000-0005-0000-0000-0000DA630000}"/>
    <cellStyle name="Normal 16 2 3 2 4" xfId="25563" xr:uid="{00000000-0005-0000-0000-0000DB630000}"/>
    <cellStyle name="Normal 16 2 3 2 4 2" xfId="25564" xr:uid="{00000000-0005-0000-0000-0000DC630000}"/>
    <cellStyle name="Normal 16 2 3 2 4 3" xfId="25565" xr:uid="{00000000-0005-0000-0000-0000DD630000}"/>
    <cellStyle name="Normal 16 2 3 2 5" xfId="25566" xr:uid="{00000000-0005-0000-0000-0000DE630000}"/>
    <cellStyle name="Normal 16 2 3 2 6" xfId="25567" xr:uid="{00000000-0005-0000-0000-0000DF630000}"/>
    <cellStyle name="Normal 16 2 3 3" xfId="25568" xr:uid="{00000000-0005-0000-0000-0000E0630000}"/>
    <cellStyle name="Normal 16 2 3 3 2" xfId="25569" xr:uid="{00000000-0005-0000-0000-0000E1630000}"/>
    <cellStyle name="Normal 16 2 3 3 2 2" xfId="25570" xr:uid="{00000000-0005-0000-0000-0000E2630000}"/>
    <cellStyle name="Normal 16 2 3 3 2 2 2" xfId="25571" xr:uid="{00000000-0005-0000-0000-0000E3630000}"/>
    <cellStyle name="Normal 16 2 3 3 2 2 3" xfId="25572" xr:uid="{00000000-0005-0000-0000-0000E4630000}"/>
    <cellStyle name="Normal 16 2 3 3 2 3" xfId="25573" xr:uid="{00000000-0005-0000-0000-0000E5630000}"/>
    <cellStyle name="Normal 16 2 3 3 2 4" xfId="25574" xr:uid="{00000000-0005-0000-0000-0000E6630000}"/>
    <cellStyle name="Normal 16 2 3 3 3" xfId="25575" xr:uid="{00000000-0005-0000-0000-0000E7630000}"/>
    <cellStyle name="Normal 16 2 3 3 3 2" xfId="25576" xr:uid="{00000000-0005-0000-0000-0000E8630000}"/>
    <cellStyle name="Normal 16 2 3 3 3 3" xfId="25577" xr:uid="{00000000-0005-0000-0000-0000E9630000}"/>
    <cellStyle name="Normal 16 2 3 3 4" xfId="25578" xr:uid="{00000000-0005-0000-0000-0000EA630000}"/>
    <cellStyle name="Normal 16 2 3 3 5" xfId="25579" xr:uid="{00000000-0005-0000-0000-0000EB630000}"/>
    <cellStyle name="Normal 16 2 3 4" xfId="25580" xr:uid="{00000000-0005-0000-0000-0000EC630000}"/>
    <cellStyle name="Normal 16 2 3 4 2" xfId="25581" xr:uid="{00000000-0005-0000-0000-0000ED630000}"/>
    <cellStyle name="Normal 16 2 3 4 2 2" xfId="25582" xr:uid="{00000000-0005-0000-0000-0000EE630000}"/>
    <cellStyle name="Normal 16 2 3 4 2 3" xfId="25583" xr:uid="{00000000-0005-0000-0000-0000EF630000}"/>
    <cellStyle name="Normal 16 2 3 4 3" xfId="25584" xr:uid="{00000000-0005-0000-0000-0000F0630000}"/>
    <cellStyle name="Normal 16 2 3 4 4" xfId="25585" xr:uid="{00000000-0005-0000-0000-0000F1630000}"/>
    <cellStyle name="Normal 16 2 3 5" xfId="25586" xr:uid="{00000000-0005-0000-0000-0000F2630000}"/>
    <cellStyle name="Normal 16 2 3 5 2" xfId="25587" xr:uid="{00000000-0005-0000-0000-0000F3630000}"/>
    <cellStyle name="Normal 16 2 3 5 3" xfId="25588" xr:uid="{00000000-0005-0000-0000-0000F4630000}"/>
    <cellStyle name="Normal 16 2 3 6" xfId="25589" xr:uid="{00000000-0005-0000-0000-0000F5630000}"/>
    <cellStyle name="Normal 16 2 3 7" xfId="25590" xr:uid="{00000000-0005-0000-0000-0000F6630000}"/>
    <cellStyle name="Normal 16 2 4" xfId="25591" xr:uid="{00000000-0005-0000-0000-0000F7630000}"/>
    <cellStyle name="Normal 16 2 4 2" xfId="25592" xr:uid="{00000000-0005-0000-0000-0000F8630000}"/>
    <cellStyle name="Normal 16 2 4 2 2" xfId="25593" xr:uid="{00000000-0005-0000-0000-0000F9630000}"/>
    <cellStyle name="Normal 16 2 4 2 2 2" xfId="25594" xr:uid="{00000000-0005-0000-0000-0000FA630000}"/>
    <cellStyle name="Normal 16 2 4 2 2 2 2" xfId="25595" xr:uid="{00000000-0005-0000-0000-0000FB630000}"/>
    <cellStyle name="Normal 16 2 4 2 2 2 3" xfId="25596" xr:uid="{00000000-0005-0000-0000-0000FC630000}"/>
    <cellStyle name="Normal 16 2 4 2 2 3" xfId="25597" xr:uid="{00000000-0005-0000-0000-0000FD630000}"/>
    <cellStyle name="Normal 16 2 4 2 2 4" xfId="25598" xr:uid="{00000000-0005-0000-0000-0000FE630000}"/>
    <cellStyle name="Normal 16 2 4 2 3" xfId="25599" xr:uid="{00000000-0005-0000-0000-0000FF630000}"/>
    <cellStyle name="Normal 16 2 4 2 3 2" xfId="25600" xr:uid="{00000000-0005-0000-0000-000000640000}"/>
    <cellStyle name="Normal 16 2 4 2 3 3" xfId="25601" xr:uid="{00000000-0005-0000-0000-000001640000}"/>
    <cellStyle name="Normal 16 2 4 2 4" xfId="25602" xr:uid="{00000000-0005-0000-0000-000002640000}"/>
    <cellStyle name="Normal 16 2 4 2 5" xfId="25603" xr:uid="{00000000-0005-0000-0000-000003640000}"/>
    <cellStyle name="Normal 16 2 4 3" xfId="25604" xr:uid="{00000000-0005-0000-0000-000004640000}"/>
    <cellStyle name="Normal 16 2 4 3 2" xfId="25605" xr:uid="{00000000-0005-0000-0000-000005640000}"/>
    <cellStyle name="Normal 16 2 4 3 2 2" xfId="25606" xr:uid="{00000000-0005-0000-0000-000006640000}"/>
    <cellStyle name="Normal 16 2 4 3 2 3" xfId="25607" xr:uid="{00000000-0005-0000-0000-000007640000}"/>
    <cellStyle name="Normal 16 2 4 3 3" xfId="25608" xr:uid="{00000000-0005-0000-0000-000008640000}"/>
    <cellStyle name="Normal 16 2 4 3 4" xfId="25609" xr:uid="{00000000-0005-0000-0000-000009640000}"/>
    <cellStyle name="Normal 16 2 4 4" xfId="25610" xr:uid="{00000000-0005-0000-0000-00000A640000}"/>
    <cellStyle name="Normal 16 2 4 4 2" xfId="25611" xr:uid="{00000000-0005-0000-0000-00000B640000}"/>
    <cellStyle name="Normal 16 2 4 4 3" xfId="25612" xr:uid="{00000000-0005-0000-0000-00000C640000}"/>
    <cellStyle name="Normal 16 2 4 5" xfId="25613" xr:uid="{00000000-0005-0000-0000-00000D640000}"/>
    <cellStyle name="Normal 16 2 4 6" xfId="25614" xr:uid="{00000000-0005-0000-0000-00000E640000}"/>
    <cellStyle name="Normal 16 2 5" xfId="25615" xr:uid="{00000000-0005-0000-0000-00000F640000}"/>
    <cellStyle name="Normal 16 2 5 2" xfId="25616" xr:uid="{00000000-0005-0000-0000-000010640000}"/>
    <cellStyle name="Normal 16 2 5 2 2" xfId="25617" xr:uid="{00000000-0005-0000-0000-000011640000}"/>
    <cellStyle name="Normal 16 2 5 2 2 2" xfId="25618" xr:uid="{00000000-0005-0000-0000-000012640000}"/>
    <cellStyle name="Normal 16 2 5 2 2 3" xfId="25619" xr:uid="{00000000-0005-0000-0000-000013640000}"/>
    <cellStyle name="Normal 16 2 5 2 3" xfId="25620" xr:uid="{00000000-0005-0000-0000-000014640000}"/>
    <cellStyle name="Normal 16 2 5 2 4" xfId="25621" xr:uid="{00000000-0005-0000-0000-000015640000}"/>
    <cellStyle name="Normal 16 2 5 3" xfId="25622" xr:uid="{00000000-0005-0000-0000-000016640000}"/>
    <cellStyle name="Normal 16 2 5 3 2" xfId="25623" xr:uid="{00000000-0005-0000-0000-000017640000}"/>
    <cellStyle name="Normal 16 2 5 3 3" xfId="25624" xr:uid="{00000000-0005-0000-0000-000018640000}"/>
    <cellStyle name="Normal 16 2 5 4" xfId="25625" xr:uid="{00000000-0005-0000-0000-000019640000}"/>
    <cellStyle name="Normal 16 2 5 5" xfId="25626" xr:uid="{00000000-0005-0000-0000-00001A640000}"/>
    <cellStyle name="Normal 16 2 6" xfId="25627" xr:uid="{00000000-0005-0000-0000-00001B640000}"/>
    <cellStyle name="Normal 16 2 6 2" xfId="25628" xr:uid="{00000000-0005-0000-0000-00001C640000}"/>
    <cellStyle name="Normal 16 2 6 2 2" xfId="25629" xr:uid="{00000000-0005-0000-0000-00001D640000}"/>
    <cellStyle name="Normal 16 2 6 2 3" xfId="25630" xr:uid="{00000000-0005-0000-0000-00001E640000}"/>
    <cellStyle name="Normal 16 2 6 3" xfId="25631" xr:uid="{00000000-0005-0000-0000-00001F640000}"/>
    <cellStyle name="Normal 16 2 6 4" xfId="25632" xr:uid="{00000000-0005-0000-0000-000020640000}"/>
    <cellStyle name="Normal 16 2 7" xfId="25633" xr:uid="{00000000-0005-0000-0000-000021640000}"/>
    <cellStyle name="Normal 16 2 7 2" xfId="25634" xr:uid="{00000000-0005-0000-0000-000022640000}"/>
    <cellStyle name="Normal 16 2 7 3" xfId="25635" xr:uid="{00000000-0005-0000-0000-000023640000}"/>
    <cellStyle name="Normal 16 2 8" xfId="25636" xr:uid="{00000000-0005-0000-0000-000024640000}"/>
    <cellStyle name="Normal 16 2 9" xfId="25637" xr:uid="{00000000-0005-0000-0000-000025640000}"/>
    <cellStyle name="Normal 16 3" xfId="25638" xr:uid="{00000000-0005-0000-0000-000026640000}"/>
    <cellStyle name="Normal 16 3 2" xfId="25639" xr:uid="{00000000-0005-0000-0000-000027640000}"/>
    <cellStyle name="Normal 16 3 2 2" xfId="25640" xr:uid="{00000000-0005-0000-0000-000028640000}"/>
    <cellStyle name="Normal 16 3 2 2 2" xfId="25641" xr:uid="{00000000-0005-0000-0000-000029640000}"/>
    <cellStyle name="Normal 16 3 2 2 2 2" xfId="25642" xr:uid="{00000000-0005-0000-0000-00002A640000}"/>
    <cellStyle name="Normal 16 3 2 2 2 2 2" xfId="25643" xr:uid="{00000000-0005-0000-0000-00002B640000}"/>
    <cellStyle name="Normal 16 3 2 2 2 2 2 2" xfId="25644" xr:uid="{00000000-0005-0000-0000-00002C640000}"/>
    <cellStyle name="Normal 16 3 2 2 2 2 2 3" xfId="25645" xr:uid="{00000000-0005-0000-0000-00002D640000}"/>
    <cellStyle name="Normal 16 3 2 2 2 2 3" xfId="25646" xr:uid="{00000000-0005-0000-0000-00002E640000}"/>
    <cellStyle name="Normal 16 3 2 2 2 2 4" xfId="25647" xr:uid="{00000000-0005-0000-0000-00002F640000}"/>
    <cellStyle name="Normal 16 3 2 2 2 3" xfId="25648" xr:uid="{00000000-0005-0000-0000-000030640000}"/>
    <cellStyle name="Normal 16 3 2 2 2 3 2" xfId="25649" xr:uid="{00000000-0005-0000-0000-000031640000}"/>
    <cellStyle name="Normal 16 3 2 2 2 3 3" xfId="25650" xr:uid="{00000000-0005-0000-0000-000032640000}"/>
    <cellStyle name="Normal 16 3 2 2 2 4" xfId="25651" xr:uid="{00000000-0005-0000-0000-000033640000}"/>
    <cellStyle name="Normal 16 3 2 2 2 5" xfId="25652" xr:uid="{00000000-0005-0000-0000-000034640000}"/>
    <cellStyle name="Normal 16 3 2 2 3" xfId="25653" xr:uid="{00000000-0005-0000-0000-000035640000}"/>
    <cellStyle name="Normal 16 3 2 2 3 2" xfId="25654" xr:uid="{00000000-0005-0000-0000-000036640000}"/>
    <cellStyle name="Normal 16 3 2 2 3 2 2" xfId="25655" xr:uid="{00000000-0005-0000-0000-000037640000}"/>
    <cellStyle name="Normal 16 3 2 2 3 2 3" xfId="25656" xr:uid="{00000000-0005-0000-0000-000038640000}"/>
    <cellStyle name="Normal 16 3 2 2 3 3" xfId="25657" xr:uid="{00000000-0005-0000-0000-000039640000}"/>
    <cellStyle name="Normal 16 3 2 2 3 4" xfId="25658" xr:uid="{00000000-0005-0000-0000-00003A640000}"/>
    <cellStyle name="Normal 16 3 2 2 4" xfId="25659" xr:uid="{00000000-0005-0000-0000-00003B640000}"/>
    <cellStyle name="Normal 16 3 2 2 4 2" xfId="25660" xr:uid="{00000000-0005-0000-0000-00003C640000}"/>
    <cellStyle name="Normal 16 3 2 2 4 3" xfId="25661" xr:uid="{00000000-0005-0000-0000-00003D640000}"/>
    <cellStyle name="Normal 16 3 2 2 5" xfId="25662" xr:uid="{00000000-0005-0000-0000-00003E640000}"/>
    <cellStyle name="Normal 16 3 2 2 6" xfId="25663" xr:uid="{00000000-0005-0000-0000-00003F640000}"/>
    <cellStyle name="Normal 16 3 2 3" xfId="25664" xr:uid="{00000000-0005-0000-0000-000040640000}"/>
    <cellStyle name="Normal 16 3 2 3 2" xfId="25665" xr:uid="{00000000-0005-0000-0000-000041640000}"/>
    <cellStyle name="Normal 16 3 2 3 2 2" xfId="25666" xr:uid="{00000000-0005-0000-0000-000042640000}"/>
    <cellStyle name="Normal 16 3 2 3 2 2 2" xfId="25667" xr:uid="{00000000-0005-0000-0000-000043640000}"/>
    <cellStyle name="Normal 16 3 2 3 2 2 3" xfId="25668" xr:uid="{00000000-0005-0000-0000-000044640000}"/>
    <cellStyle name="Normal 16 3 2 3 2 3" xfId="25669" xr:uid="{00000000-0005-0000-0000-000045640000}"/>
    <cellStyle name="Normal 16 3 2 3 2 4" xfId="25670" xr:uid="{00000000-0005-0000-0000-000046640000}"/>
    <cellStyle name="Normal 16 3 2 3 3" xfId="25671" xr:uid="{00000000-0005-0000-0000-000047640000}"/>
    <cellStyle name="Normal 16 3 2 3 3 2" xfId="25672" xr:uid="{00000000-0005-0000-0000-000048640000}"/>
    <cellStyle name="Normal 16 3 2 3 3 3" xfId="25673" xr:uid="{00000000-0005-0000-0000-000049640000}"/>
    <cellStyle name="Normal 16 3 2 3 4" xfId="25674" xr:uid="{00000000-0005-0000-0000-00004A640000}"/>
    <cellStyle name="Normal 16 3 2 3 5" xfId="25675" xr:uid="{00000000-0005-0000-0000-00004B640000}"/>
    <cellStyle name="Normal 16 3 2 4" xfId="25676" xr:uid="{00000000-0005-0000-0000-00004C640000}"/>
    <cellStyle name="Normal 16 3 2 4 2" xfId="25677" xr:uid="{00000000-0005-0000-0000-00004D640000}"/>
    <cellStyle name="Normal 16 3 2 4 2 2" xfId="25678" xr:uid="{00000000-0005-0000-0000-00004E640000}"/>
    <cellStyle name="Normal 16 3 2 4 2 3" xfId="25679" xr:uid="{00000000-0005-0000-0000-00004F640000}"/>
    <cellStyle name="Normal 16 3 2 4 3" xfId="25680" xr:uid="{00000000-0005-0000-0000-000050640000}"/>
    <cellStyle name="Normal 16 3 2 4 4" xfId="25681" xr:uid="{00000000-0005-0000-0000-000051640000}"/>
    <cellStyle name="Normal 16 3 2 5" xfId="25682" xr:uid="{00000000-0005-0000-0000-000052640000}"/>
    <cellStyle name="Normal 16 3 2 5 2" xfId="25683" xr:uid="{00000000-0005-0000-0000-000053640000}"/>
    <cellStyle name="Normal 16 3 2 5 3" xfId="25684" xr:uid="{00000000-0005-0000-0000-000054640000}"/>
    <cellStyle name="Normal 16 3 2 6" xfId="25685" xr:uid="{00000000-0005-0000-0000-000055640000}"/>
    <cellStyle name="Normal 16 3 2 7" xfId="25686" xr:uid="{00000000-0005-0000-0000-000056640000}"/>
    <cellStyle name="Normal 16 3 3" xfId="25687" xr:uid="{00000000-0005-0000-0000-000057640000}"/>
    <cellStyle name="Normal 16 3 3 2" xfId="25688" xr:uid="{00000000-0005-0000-0000-000058640000}"/>
    <cellStyle name="Normal 16 3 3 2 2" xfId="25689" xr:uid="{00000000-0005-0000-0000-000059640000}"/>
    <cellStyle name="Normal 16 3 3 2 2 2" xfId="25690" xr:uid="{00000000-0005-0000-0000-00005A640000}"/>
    <cellStyle name="Normal 16 3 3 2 2 2 2" xfId="25691" xr:uid="{00000000-0005-0000-0000-00005B640000}"/>
    <cellStyle name="Normal 16 3 3 2 2 2 3" xfId="25692" xr:uid="{00000000-0005-0000-0000-00005C640000}"/>
    <cellStyle name="Normal 16 3 3 2 2 3" xfId="25693" xr:uid="{00000000-0005-0000-0000-00005D640000}"/>
    <cellStyle name="Normal 16 3 3 2 2 4" xfId="25694" xr:uid="{00000000-0005-0000-0000-00005E640000}"/>
    <cellStyle name="Normal 16 3 3 2 3" xfId="25695" xr:uid="{00000000-0005-0000-0000-00005F640000}"/>
    <cellStyle name="Normal 16 3 3 2 3 2" xfId="25696" xr:uid="{00000000-0005-0000-0000-000060640000}"/>
    <cellStyle name="Normal 16 3 3 2 3 3" xfId="25697" xr:uid="{00000000-0005-0000-0000-000061640000}"/>
    <cellStyle name="Normal 16 3 3 2 4" xfId="25698" xr:uid="{00000000-0005-0000-0000-000062640000}"/>
    <cellStyle name="Normal 16 3 3 2 5" xfId="25699" xr:uid="{00000000-0005-0000-0000-000063640000}"/>
    <cellStyle name="Normal 16 3 3 3" xfId="25700" xr:uid="{00000000-0005-0000-0000-000064640000}"/>
    <cellStyle name="Normal 16 3 3 3 2" xfId="25701" xr:uid="{00000000-0005-0000-0000-000065640000}"/>
    <cellStyle name="Normal 16 3 3 3 2 2" xfId="25702" xr:uid="{00000000-0005-0000-0000-000066640000}"/>
    <cellStyle name="Normal 16 3 3 3 2 3" xfId="25703" xr:uid="{00000000-0005-0000-0000-000067640000}"/>
    <cellStyle name="Normal 16 3 3 3 3" xfId="25704" xr:uid="{00000000-0005-0000-0000-000068640000}"/>
    <cellStyle name="Normal 16 3 3 3 4" xfId="25705" xr:uid="{00000000-0005-0000-0000-000069640000}"/>
    <cellStyle name="Normal 16 3 3 4" xfId="25706" xr:uid="{00000000-0005-0000-0000-00006A640000}"/>
    <cellStyle name="Normal 16 3 3 4 2" xfId="25707" xr:uid="{00000000-0005-0000-0000-00006B640000}"/>
    <cellStyle name="Normal 16 3 3 4 3" xfId="25708" xr:uid="{00000000-0005-0000-0000-00006C640000}"/>
    <cellStyle name="Normal 16 3 3 5" xfId="25709" xr:uid="{00000000-0005-0000-0000-00006D640000}"/>
    <cellStyle name="Normal 16 3 3 6" xfId="25710" xr:uid="{00000000-0005-0000-0000-00006E640000}"/>
    <cellStyle name="Normal 16 3 4" xfId="25711" xr:uid="{00000000-0005-0000-0000-00006F640000}"/>
    <cellStyle name="Normal 16 3 4 2" xfId="25712" xr:uid="{00000000-0005-0000-0000-000070640000}"/>
    <cellStyle name="Normal 16 3 4 2 2" xfId="25713" xr:uid="{00000000-0005-0000-0000-000071640000}"/>
    <cellStyle name="Normal 16 3 4 2 2 2" xfId="25714" xr:uid="{00000000-0005-0000-0000-000072640000}"/>
    <cellStyle name="Normal 16 3 4 2 2 3" xfId="25715" xr:uid="{00000000-0005-0000-0000-000073640000}"/>
    <cellStyle name="Normal 16 3 4 2 3" xfId="25716" xr:uid="{00000000-0005-0000-0000-000074640000}"/>
    <cellStyle name="Normal 16 3 4 2 4" xfId="25717" xr:uid="{00000000-0005-0000-0000-000075640000}"/>
    <cellStyle name="Normal 16 3 4 3" xfId="25718" xr:uid="{00000000-0005-0000-0000-000076640000}"/>
    <cellStyle name="Normal 16 3 4 3 2" xfId="25719" xr:uid="{00000000-0005-0000-0000-000077640000}"/>
    <cellStyle name="Normal 16 3 4 3 3" xfId="25720" xr:uid="{00000000-0005-0000-0000-000078640000}"/>
    <cellStyle name="Normal 16 3 4 4" xfId="25721" xr:uid="{00000000-0005-0000-0000-000079640000}"/>
    <cellStyle name="Normal 16 3 4 5" xfId="25722" xr:uid="{00000000-0005-0000-0000-00007A640000}"/>
    <cellStyle name="Normal 16 3 5" xfId="25723" xr:uid="{00000000-0005-0000-0000-00007B640000}"/>
    <cellStyle name="Normal 16 3 5 2" xfId="25724" xr:uid="{00000000-0005-0000-0000-00007C640000}"/>
    <cellStyle name="Normal 16 3 5 2 2" xfId="25725" xr:uid="{00000000-0005-0000-0000-00007D640000}"/>
    <cellStyle name="Normal 16 3 5 2 3" xfId="25726" xr:uid="{00000000-0005-0000-0000-00007E640000}"/>
    <cellStyle name="Normal 16 3 5 3" xfId="25727" xr:uid="{00000000-0005-0000-0000-00007F640000}"/>
    <cellStyle name="Normal 16 3 5 4" xfId="25728" xr:uid="{00000000-0005-0000-0000-000080640000}"/>
    <cellStyle name="Normal 16 3 6" xfId="25729" xr:uid="{00000000-0005-0000-0000-000081640000}"/>
    <cellStyle name="Normal 16 3 6 2" xfId="25730" xr:uid="{00000000-0005-0000-0000-000082640000}"/>
    <cellStyle name="Normal 16 3 6 3" xfId="25731" xr:uid="{00000000-0005-0000-0000-000083640000}"/>
    <cellStyle name="Normal 16 3 7" xfId="25732" xr:uid="{00000000-0005-0000-0000-000084640000}"/>
    <cellStyle name="Normal 16 3 8" xfId="25733" xr:uid="{00000000-0005-0000-0000-000085640000}"/>
    <cellStyle name="Normal 16 4" xfId="25734" xr:uid="{00000000-0005-0000-0000-000086640000}"/>
    <cellStyle name="Normal 16 4 2" xfId="25735" xr:uid="{00000000-0005-0000-0000-000087640000}"/>
    <cellStyle name="Normal 16 4 2 2" xfId="25736" xr:uid="{00000000-0005-0000-0000-000088640000}"/>
    <cellStyle name="Normal 16 4 2 2 2" xfId="25737" xr:uid="{00000000-0005-0000-0000-000089640000}"/>
    <cellStyle name="Normal 16 4 2 2 2 2" xfId="25738" xr:uid="{00000000-0005-0000-0000-00008A640000}"/>
    <cellStyle name="Normal 16 4 2 2 2 2 2" xfId="25739" xr:uid="{00000000-0005-0000-0000-00008B640000}"/>
    <cellStyle name="Normal 16 4 2 2 2 2 3" xfId="25740" xr:uid="{00000000-0005-0000-0000-00008C640000}"/>
    <cellStyle name="Normal 16 4 2 2 2 3" xfId="25741" xr:uid="{00000000-0005-0000-0000-00008D640000}"/>
    <cellStyle name="Normal 16 4 2 2 2 4" xfId="25742" xr:uid="{00000000-0005-0000-0000-00008E640000}"/>
    <cellStyle name="Normal 16 4 2 2 3" xfId="25743" xr:uid="{00000000-0005-0000-0000-00008F640000}"/>
    <cellStyle name="Normal 16 4 2 2 3 2" xfId="25744" xr:uid="{00000000-0005-0000-0000-000090640000}"/>
    <cellStyle name="Normal 16 4 2 2 3 3" xfId="25745" xr:uid="{00000000-0005-0000-0000-000091640000}"/>
    <cellStyle name="Normal 16 4 2 2 4" xfId="25746" xr:uid="{00000000-0005-0000-0000-000092640000}"/>
    <cellStyle name="Normal 16 4 2 2 5" xfId="25747" xr:uid="{00000000-0005-0000-0000-000093640000}"/>
    <cellStyle name="Normal 16 4 2 3" xfId="25748" xr:uid="{00000000-0005-0000-0000-000094640000}"/>
    <cellStyle name="Normal 16 4 2 3 2" xfId="25749" xr:uid="{00000000-0005-0000-0000-000095640000}"/>
    <cellStyle name="Normal 16 4 2 3 2 2" xfId="25750" xr:uid="{00000000-0005-0000-0000-000096640000}"/>
    <cellStyle name="Normal 16 4 2 3 2 3" xfId="25751" xr:uid="{00000000-0005-0000-0000-000097640000}"/>
    <cellStyle name="Normal 16 4 2 3 3" xfId="25752" xr:uid="{00000000-0005-0000-0000-000098640000}"/>
    <cellStyle name="Normal 16 4 2 3 4" xfId="25753" xr:uid="{00000000-0005-0000-0000-000099640000}"/>
    <cellStyle name="Normal 16 4 2 4" xfId="25754" xr:uid="{00000000-0005-0000-0000-00009A640000}"/>
    <cellStyle name="Normal 16 4 2 4 2" xfId="25755" xr:uid="{00000000-0005-0000-0000-00009B640000}"/>
    <cellStyle name="Normal 16 4 2 4 3" xfId="25756" xr:uid="{00000000-0005-0000-0000-00009C640000}"/>
    <cellStyle name="Normal 16 4 2 5" xfId="25757" xr:uid="{00000000-0005-0000-0000-00009D640000}"/>
    <cellStyle name="Normal 16 4 2 6" xfId="25758" xr:uid="{00000000-0005-0000-0000-00009E640000}"/>
    <cellStyle name="Normal 16 4 3" xfId="25759" xr:uid="{00000000-0005-0000-0000-00009F640000}"/>
    <cellStyle name="Normal 16 4 3 2" xfId="25760" xr:uid="{00000000-0005-0000-0000-0000A0640000}"/>
    <cellStyle name="Normal 16 4 3 2 2" xfId="25761" xr:uid="{00000000-0005-0000-0000-0000A1640000}"/>
    <cellStyle name="Normal 16 4 3 2 2 2" xfId="25762" xr:uid="{00000000-0005-0000-0000-0000A2640000}"/>
    <cellStyle name="Normal 16 4 3 2 2 3" xfId="25763" xr:uid="{00000000-0005-0000-0000-0000A3640000}"/>
    <cellStyle name="Normal 16 4 3 2 3" xfId="25764" xr:uid="{00000000-0005-0000-0000-0000A4640000}"/>
    <cellStyle name="Normal 16 4 3 2 4" xfId="25765" xr:uid="{00000000-0005-0000-0000-0000A5640000}"/>
    <cellStyle name="Normal 16 4 3 3" xfId="25766" xr:uid="{00000000-0005-0000-0000-0000A6640000}"/>
    <cellStyle name="Normal 16 4 3 3 2" xfId="25767" xr:uid="{00000000-0005-0000-0000-0000A7640000}"/>
    <cellStyle name="Normal 16 4 3 3 3" xfId="25768" xr:uid="{00000000-0005-0000-0000-0000A8640000}"/>
    <cellStyle name="Normal 16 4 3 4" xfId="25769" xr:uid="{00000000-0005-0000-0000-0000A9640000}"/>
    <cellStyle name="Normal 16 4 3 5" xfId="25770" xr:uid="{00000000-0005-0000-0000-0000AA640000}"/>
    <cellStyle name="Normal 16 4 4" xfId="25771" xr:uid="{00000000-0005-0000-0000-0000AB640000}"/>
    <cellStyle name="Normal 16 4 4 2" xfId="25772" xr:uid="{00000000-0005-0000-0000-0000AC640000}"/>
    <cellStyle name="Normal 16 4 4 2 2" xfId="25773" xr:uid="{00000000-0005-0000-0000-0000AD640000}"/>
    <cellStyle name="Normal 16 4 4 2 3" xfId="25774" xr:uid="{00000000-0005-0000-0000-0000AE640000}"/>
    <cellStyle name="Normal 16 4 4 3" xfId="25775" xr:uid="{00000000-0005-0000-0000-0000AF640000}"/>
    <cellStyle name="Normal 16 4 4 4" xfId="25776" xr:uid="{00000000-0005-0000-0000-0000B0640000}"/>
    <cellStyle name="Normal 16 4 5" xfId="25777" xr:uid="{00000000-0005-0000-0000-0000B1640000}"/>
    <cellStyle name="Normal 16 4 5 2" xfId="25778" xr:uid="{00000000-0005-0000-0000-0000B2640000}"/>
    <cellStyle name="Normal 16 4 5 3" xfId="25779" xr:uid="{00000000-0005-0000-0000-0000B3640000}"/>
    <cellStyle name="Normal 16 4 6" xfId="25780" xr:uid="{00000000-0005-0000-0000-0000B4640000}"/>
    <cellStyle name="Normal 16 4 7" xfId="25781" xr:uid="{00000000-0005-0000-0000-0000B5640000}"/>
    <cellStyle name="Normal 16 5" xfId="25782" xr:uid="{00000000-0005-0000-0000-0000B6640000}"/>
    <cellStyle name="Normal 16 5 2" xfId="25783" xr:uid="{00000000-0005-0000-0000-0000B7640000}"/>
    <cellStyle name="Normal 16 5 2 2" xfId="25784" xr:uid="{00000000-0005-0000-0000-0000B8640000}"/>
    <cellStyle name="Normal 16 5 2 2 2" xfId="25785" xr:uid="{00000000-0005-0000-0000-0000B9640000}"/>
    <cellStyle name="Normal 16 5 2 2 2 2" xfId="25786" xr:uid="{00000000-0005-0000-0000-0000BA640000}"/>
    <cellStyle name="Normal 16 5 2 2 2 3" xfId="25787" xr:uid="{00000000-0005-0000-0000-0000BB640000}"/>
    <cellStyle name="Normal 16 5 2 2 3" xfId="25788" xr:uid="{00000000-0005-0000-0000-0000BC640000}"/>
    <cellStyle name="Normal 16 5 2 2 4" xfId="25789" xr:uid="{00000000-0005-0000-0000-0000BD640000}"/>
    <cellStyle name="Normal 16 5 2 3" xfId="25790" xr:uid="{00000000-0005-0000-0000-0000BE640000}"/>
    <cellStyle name="Normal 16 5 2 3 2" xfId="25791" xr:uid="{00000000-0005-0000-0000-0000BF640000}"/>
    <cellStyle name="Normal 16 5 2 3 3" xfId="25792" xr:uid="{00000000-0005-0000-0000-0000C0640000}"/>
    <cellStyle name="Normal 16 5 2 4" xfId="25793" xr:uid="{00000000-0005-0000-0000-0000C1640000}"/>
    <cellStyle name="Normal 16 5 2 5" xfId="25794" xr:uid="{00000000-0005-0000-0000-0000C2640000}"/>
    <cellStyle name="Normal 16 5 3" xfId="25795" xr:uid="{00000000-0005-0000-0000-0000C3640000}"/>
    <cellStyle name="Normal 16 5 3 2" xfId="25796" xr:uid="{00000000-0005-0000-0000-0000C4640000}"/>
    <cellStyle name="Normal 16 5 3 2 2" xfId="25797" xr:uid="{00000000-0005-0000-0000-0000C5640000}"/>
    <cellStyle name="Normal 16 5 3 2 3" xfId="25798" xr:uid="{00000000-0005-0000-0000-0000C6640000}"/>
    <cellStyle name="Normal 16 5 3 3" xfId="25799" xr:uid="{00000000-0005-0000-0000-0000C7640000}"/>
    <cellStyle name="Normal 16 5 3 4" xfId="25800" xr:uid="{00000000-0005-0000-0000-0000C8640000}"/>
    <cellStyle name="Normal 16 5 4" xfId="25801" xr:uid="{00000000-0005-0000-0000-0000C9640000}"/>
    <cellStyle name="Normal 16 5 4 2" xfId="25802" xr:uid="{00000000-0005-0000-0000-0000CA640000}"/>
    <cellStyle name="Normal 16 5 4 3" xfId="25803" xr:uid="{00000000-0005-0000-0000-0000CB640000}"/>
    <cellStyle name="Normal 16 5 5" xfId="25804" xr:uid="{00000000-0005-0000-0000-0000CC640000}"/>
    <cellStyle name="Normal 16 5 6" xfId="25805" xr:uid="{00000000-0005-0000-0000-0000CD640000}"/>
    <cellStyle name="Normal 16 6" xfId="25806" xr:uid="{00000000-0005-0000-0000-0000CE640000}"/>
    <cellStyle name="Normal 16 6 2" xfId="25807" xr:uid="{00000000-0005-0000-0000-0000CF640000}"/>
    <cellStyle name="Normal 16 6 2 2" xfId="25808" xr:uid="{00000000-0005-0000-0000-0000D0640000}"/>
    <cellStyle name="Normal 16 6 2 2 2" xfId="25809" xr:uid="{00000000-0005-0000-0000-0000D1640000}"/>
    <cellStyle name="Normal 16 6 2 2 2 2" xfId="25810" xr:uid="{00000000-0005-0000-0000-0000D2640000}"/>
    <cellStyle name="Normal 16 6 2 2 2 3" xfId="25811" xr:uid="{00000000-0005-0000-0000-0000D3640000}"/>
    <cellStyle name="Normal 16 6 2 2 3" xfId="25812" xr:uid="{00000000-0005-0000-0000-0000D4640000}"/>
    <cellStyle name="Normal 16 6 2 2 4" xfId="25813" xr:uid="{00000000-0005-0000-0000-0000D5640000}"/>
    <cellStyle name="Normal 16 6 2 3" xfId="25814" xr:uid="{00000000-0005-0000-0000-0000D6640000}"/>
    <cellStyle name="Normal 16 6 2 3 2" xfId="25815" xr:uid="{00000000-0005-0000-0000-0000D7640000}"/>
    <cellStyle name="Normal 16 6 2 3 3" xfId="25816" xr:uid="{00000000-0005-0000-0000-0000D8640000}"/>
    <cellStyle name="Normal 16 6 2 4" xfId="25817" xr:uid="{00000000-0005-0000-0000-0000D9640000}"/>
    <cellStyle name="Normal 16 6 2 5" xfId="25818" xr:uid="{00000000-0005-0000-0000-0000DA640000}"/>
    <cellStyle name="Normal 16 6 3" xfId="25819" xr:uid="{00000000-0005-0000-0000-0000DB640000}"/>
    <cellStyle name="Normal 16 6 3 2" xfId="25820" xr:uid="{00000000-0005-0000-0000-0000DC640000}"/>
    <cellStyle name="Normal 16 6 3 2 2" xfId="25821" xr:uid="{00000000-0005-0000-0000-0000DD640000}"/>
    <cellStyle name="Normal 16 6 3 2 3" xfId="25822" xr:uid="{00000000-0005-0000-0000-0000DE640000}"/>
    <cellStyle name="Normal 16 6 3 3" xfId="25823" xr:uid="{00000000-0005-0000-0000-0000DF640000}"/>
    <cellStyle name="Normal 16 6 3 4" xfId="25824" xr:uid="{00000000-0005-0000-0000-0000E0640000}"/>
    <cellStyle name="Normal 16 6 4" xfId="25825" xr:uid="{00000000-0005-0000-0000-0000E1640000}"/>
    <cellStyle name="Normal 16 6 4 2" xfId="25826" xr:uid="{00000000-0005-0000-0000-0000E2640000}"/>
    <cellStyle name="Normal 16 6 4 3" xfId="25827" xr:uid="{00000000-0005-0000-0000-0000E3640000}"/>
    <cellStyle name="Normal 16 6 5" xfId="25828" xr:uid="{00000000-0005-0000-0000-0000E4640000}"/>
    <cellStyle name="Normal 16 6 6" xfId="25829" xr:uid="{00000000-0005-0000-0000-0000E5640000}"/>
    <cellStyle name="Normal 16 7" xfId="25830" xr:uid="{00000000-0005-0000-0000-0000E6640000}"/>
    <cellStyle name="Normal 16 7 2" xfId="25831" xr:uid="{00000000-0005-0000-0000-0000E7640000}"/>
    <cellStyle name="Normal 16 7 2 2" xfId="25832" xr:uid="{00000000-0005-0000-0000-0000E8640000}"/>
    <cellStyle name="Normal 16 7 2 2 2" xfId="25833" xr:uid="{00000000-0005-0000-0000-0000E9640000}"/>
    <cellStyle name="Normal 16 7 2 2 2 2" xfId="25834" xr:uid="{00000000-0005-0000-0000-0000EA640000}"/>
    <cellStyle name="Normal 16 7 2 2 2 3" xfId="25835" xr:uid="{00000000-0005-0000-0000-0000EB640000}"/>
    <cellStyle name="Normal 16 7 2 2 3" xfId="25836" xr:uid="{00000000-0005-0000-0000-0000EC640000}"/>
    <cellStyle name="Normal 16 7 2 2 4" xfId="25837" xr:uid="{00000000-0005-0000-0000-0000ED640000}"/>
    <cellStyle name="Normal 16 7 2 3" xfId="25838" xr:uid="{00000000-0005-0000-0000-0000EE640000}"/>
    <cellStyle name="Normal 16 7 2 3 2" xfId="25839" xr:uid="{00000000-0005-0000-0000-0000EF640000}"/>
    <cellStyle name="Normal 16 7 2 3 3" xfId="25840" xr:uid="{00000000-0005-0000-0000-0000F0640000}"/>
    <cellStyle name="Normal 16 7 2 4" xfId="25841" xr:uid="{00000000-0005-0000-0000-0000F1640000}"/>
    <cellStyle name="Normal 16 7 2 5" xfId="25842" xr:uid="{00000000-0005-0000-0000-0000F2640000}"/>
    <cellStyle name="Normal 16 7 3" xfId="25843" xr:uid="{00000000-0005-0000-0000-0000F3640000}"/>
    <cellStyle name="Normal 16 7 3 2" xfId="25844" xr:uid="{00000000-0005-0000-0000-0000F4640000}"/>
    <cellStyle name="Normal 16 7 3 2 2" xfId="25845" xr:uid="{00000000-0005-0000-0000-0000F5640000}"/>
    <cellStyle name="Normal 16 7 3 2 3" xfId="25846" xr:uid="{00000000-0005-0000-0000-0000F6640000}"/>
    <cellStyle name="Normal 16 7 3 3" xfId="25847" xr:uid="{00000000-0005-0000-0000-0000F7640000}"/>
    <cellStyle name="Normal 16 7 3 4" xfId="25848" xr:uid="{00000000-0005-0000-0000-0000F8640000}"/>
    <cellStyle name="Normal 16 7 4" xfId="25849" xr:uid="{00000000-0005-0000-0000-0000F9640000}"/>
    <cellStyle name="Normal 16 7 4 2" xfId="25850" xr:uid="{00000000-0005-0000-0000-0000FA640000}"/>
    <cellStyle name="Normal 16 7 4 3" xfId="25851" xr:uid="{00000000-0005-0000-0000-0000FB640000}"/>
    <cellStyle name="Normal 16 7 5" xfId="25852" xr:uid="{00000000-0005-0000-0000-0000FC640000}"/>
    <cellStyle name="Normal 16 7 6" xfId="25853" xr:uid="{00000000-0005-0000-0000-0000FD640000}"/>
    <cellStyle name="Normal 16 8" xfId="25854" xr:uid="{00000000-0005-0000-0000-0000FE640000}"/>
    <cellStyle name="Normal 16 8 2" xfId="25855" xr:uid="{00000000-0005-0000-0000-0000FF640000}"/>
    <cellStyle name="Normal 16 8 2 2" xfId="25856" xr:uid="{00000000-0005-0000-0000-000000650000}"/>
    <cellStyle name="Normal 16 8 2 2 2" xfId="25857" xr:uid="{00000000-0005-0000-0000-000001650000}"/>
    <cellStyle name="Normal 16 8 2 2 2 2" xfId="25858" xr:uid="{00000000-0005-0000-0000-000002650000}"/>
    <cellStyle name="Normal 16 8 2 2 2 3" xfId="25859" xr:uid="{00000000-0005-0000-0000-000003650000}"/>
    <cellStyle name="Normal 16 8 2 2 3" xfId="25860" xr:uid="{00000000-0005-0000-0000-000004650000}"/>
    <cellStyle name="Normal 16 8 2 2 4" xfId="25861" xr:uid="{00000000-0005-0000-0000-000005650000}"/>
    <cellStyle name="Normal 16 8 2 3" xfId="25862" xr:uid="{00000000-0005-0000-0000-000006650000}"/>
    <cellStyle name="Normal 16 8 2 3 2" xfId="25863" xr:uid="{00000000-0005-0000-0000-000007650000}"/>
    <cellStyle name="Normal 16 8 2 3 3" xfId="25864" xr:uid="{00000000-0005-0000-0000-000008650000}"/>
    <cellStyle name="Normal 16 8 2 4" xfId="25865" xr:uid="{00000000-0005-0000-0000-000009650000}"/>
    <cellStyle name="Normal 16 8 2 5" xfId="25866" xr:uid="{00000000-0005-0000-0000-00000A650000}"/>
    <cellStyle name="Normal 16 8 3" xfId="25867" xr:uid="{00000000-0005-0000-0000-00000B650000}"/>
    <cellStyle name="Normal 16 8 3 2" xfId="25868" xr:uid="{00000000-0005-0000-0000-00000C650000}"/>
    <cellStyle name="Normal 16 8 3 2 2" xfId="25869" xr:uid="{00000000-0005-0000-0000-00000D650000}"/>
    <cellStyle name="Normal 16 8 3 2 3" xfId="25870" xr:uid="{00000000-0005-0000-0000-00000E650000}"/>
    <cellStyle name="Normal 16 8 3 3" xfId="25871" xr:uid="{00000000-0005-0000-0000-00000F650000}"/>
    <cellStyle name="Normal 16 8 3 4" xfId="25872" xr:uid="{00000000-0005-0000-0000-000010650000}"/>
    <cellStyle name="Normal 16 8 4" xfId="25873" xr:uid="{00000000-0005-0000-0000-000011650000}"/>
    <cellStyle name="Normal 16 8 4 2" xfId="25874" xr:uid="{00000000-0005-0000-0000-000012650000}"/>
    <cellStyle name="Normal 16 8 4 3" xfId="25875" xr:uid="{00000000-0005-0000-0000-000013650000}"/>
    <cellStyle name="Normal 16 8 5" xfId="25876" xr:uid="{00000000-0005-0000-0000-000014650000}"/>
    <cellStyle name="Normal 16 8 6" xfId="25877" xr:uid="{00000000-0005-0000-0000-000015650000}"/>
    <cellStyle name="Normal 16 9" xfId="25878" xr:uid="{00000000-0005-0000-0000-000016650000}"/>
    <cellStyle name="Normal 16 9 2" xfId="25879" xr:uid="{00000000-0005-0000-0000-000017650000}"/>
    <cellStyle name="Normal 16 9 2 2" xfId="25880" xr:uid="{00000000-0005-0000-0000-000018650000}"/>
    <cellStyle name="Normal 16 9 2 2 2" xfId="25881" xr:uid="{00000000-0005-0000-0000-000019650000}"/>
    <cellStyle name="Normal 16 9 2 2 3" xfId="25882" xr:uid="{00000000-0005-0000-0000-00001A650000}"/>
    <cellStyle name="Normal 16 9 2 3" xfId="25883" xr:uid="{00000000-0005-0000-0000-00001B650000}"/>
    <cellStyle name="Normal 16 9 2 4" xfId="25884" xr:uid="{00000000-0005-0000-0000-00001C650000}"/>
    <cellStyle name="Normal 16 9 3" xfId="25885" xr:uid="{00000000-0005-0000-0000-00001D650000}"/>
    <cellStyle name="Normal 16 9 3 2" xfId="25886" xr:uid="{00000000-0005-0000-0000-00001E650000}"/>
    <cellStyle name="Normal 16 9 3 3" xfId="25887" xr:uid="{00000000-0005-0000-0000-00001F650000}"/>
    <cellStyle name="Normal 16 9 4" xfId="25888" xr:uid="{00000000-0005-0000-0000-000020650000}"/>
    <cellStyle name="Normal 16 9 5" xfId="25889" xr:uid="{00000000-0005-0000-0000-000021650000}"/>
    <cellStyle name="Normal 17" xfId="25890" xr:uid="{00000000-0005-0000-0000-000022650000}"/>
    <cellStyle name="Normal 17 10" xfId="25891" xr:uid="{00000000-0005-0000-0000-000023650000}"/>
    <cellStyle name="Normal 17 2" xfId="25892" xr:uid="{00000000-0005-0000-0000-000024650000}"/>
    <cellStyle name="Normal 17 2 2" xfId="25893" xr:uid="{00000000-0005-0000-0000-000025650000}"/>
    <cellStyle name="Normal 17 2 2 2" xfId="25894" xr:uid="{00000000-0005-0000-0000-000026650000}"/>
    <cellStyle name="Normal 17 2 2 2 2" xfId="25895" xr:uid="{00000000-0005-0000-0000-000027650000}"/>
    <cellStyle name="Normal 17 2 2 2 2 2" xfId="25896" xr:uid="{00000000-0005-0000-0000-000028650000}"/>
    <cellStyle name="Normal 17 2 2 2 2 2 2" xfId="25897" xr:uid="{00000000-0005-0000-0000-000029650000}"/>
    <cellStyle name="Normal 17 2 2 2 2 2 2 2" xfId="25898" xr:uid="{00000000-0005-0000-0000-00002A650000}"/>
    <cellStyle name="Normal 17 2 2 2 2 2 2 2 2" xfId="25899" xr:uid="{00000000-0005-0000-0000-00002B650000}"/>
    <cellStyle name="Normal 17 2 2 2 2 2 2 2 3" xfId="25900" xr:uid="{00000000-0005-0000-0000-00002C650000}"/>
    <cellStyle name="Normal 17 2 2 2 2 2 2 3" xfId="25901" xr:uid="{00000000-0005-0000-0000-00002D650000}"/>
    <cellStyle name="Normal 17 2 2 2 2 2 2 4" xfId="25902" xr:uid="{00000000-0005-0000-0000-00002E650000}"/>
    <cellStyle name="Normal 17 2 2 2 2 2 3" xfId="25903" xr:uid="{00000000-0005-0000-0000-00002F650000}"/>
    <cellStyle name="Normal 17 2 2 2 2 2 3 2" xfId="25904" xr:uid="{00000000-0005-0000-0000-000030650000}"/>
    <cellStyle name="Normal 17 2 2 2 2 2 3 3" xfId="25905" xr:uid="{00000000-0005-0000-0000-000031650000}"/>
    <cellStyle name="Normal 17 2 2 2 2 2 4" xfId="25906" xr:uid="{00000000-0005-0000-0000-000032650000}"/>
    <cellStyle name="Normal 17 2 2 2 2 2 5" xfId="25907" xr:uid="{00000000-0005-0000-0000-000033650000}"/>
    <cellStyle name="Normal 17 2 2 2 2 3" xfId="25908" xr:uid="{00000000-0005-0000-0000-000034650000}"/>
    <cellStyle name="Normal 17 2 2 2 2 3 2" xfId="25909" xr:uid="{00000000-0005-0000-0000-000035650000}"/>
    <cellStyle name="Normal 17 2 2 2 2 3 2 2" xfId="25910" xr:uid="{00000000-0005-0000-0000-000036650000}"/>
    <cellStyle name="Normal 17 2 2 2 2 3 2 3" xfId="25911" xr:uid="{00000000-0005-0000-0000-000037650000}"/>
    <cellStyle name="Normal 17 2 2 2 2 3 3" xfId="25912" xr:uid="{00000000-0005-0000-0000-000038650000}"/>
    <cellStyle name="Normal 17 2 2 2 2 3 4" xfId="25913" xr:uid="{00000000-0005-0000-0000-000039650000}"/>
    <cellStyle name="Normal 17 2 2 2 2 4" xfId="25914" xr:uid="{00000000-0005-0000-0000-00003A650000}"/>
    <cellStyle name="Normal 17 2 2 2 2 4 2" xfId="25915" xr:uid="{00000000-0005-0000-0000-00003B650000}"/>
    <cellStyle name="Normal 17 2 2 2 2 4 3" xfId="25916" xr:uid="{00000000-0005-0000-0000-00003C650000}"/>
    <cellStyle name="Normal 17 2 2 2 2 5" xfId="25917" xr:uid="{00000000-0005-0000-0000-00003D650000}"/>
    <cellStyle name="Normal 17 2 2 2 2 6" xfId="25918" xr:uid="{00000000-0005-0000-0000-00003E650000}"/>
    <cellStyle name="Normal 17 2 2 2 3" xfId="25919" xr:uid="{00000000-0005-0000-0000-00003F650000}"/>
    <cellStyle name="Normal 17 2 2 2 3 2" xfId="25920" xr:uid="{00000000-0005-0000-0000-000040650000}"/>
    <cellStyle name="Normal 17 2 2 2 3 2 2" xfId="25921" xr:uid="{00000000-0005-0000-0000-000041650000}"/>
    <cellStyle name="Normal 17 2 2 2 3 2 2 2" xfId="25922" xr:uid="{00000000-0005-0000-0000-000042650000}"/>
    <cellStyle name="Normal 17 2 2 2 3 2 2 3" xfId="25923" xr:uid="{00000000-0005-0000-0000-000043650000}"/>
    <cellStyle name="Normal 17 2 2 2 3 2 3" xfId="25924" xr:uid="{00000000-0005-0000-0000-000044650000}"/>
    <cellStyle name="Normal 17 2 2 2 3 2 4" xfId="25925" xr:uid="{00000000-0005-0000-0000-000045650000}"/>
    <cellStyle name="Normal 17 2 2 2 3 3" xfId="25926" xr:uid="{00000000-0005-0000-0000-000046650000}"/>
    <cellStyle name="Normal 17 2 2 2 3 3 2" xfId="25927" xr:uid="{00000000-0005-0000-0000-000047650000}"/>
    <cellStyle name="Normal 17 2 2 2 3 3 3" xfId="25928" xr:uid="{00000000-0005-0000-0000-000048650000}"/>
    <cellStyle name="Normal 17 2 2 2 3 4" xfId="25929" xr:uid="{00000000-0005-0000-0000-000049650000}"/>
    <cellStyle name="Normal 17 2 2 2 3 5" xfId="25930" xr:uid="{00000000-0005-0000-0000-00004A650000}"/>
    <cellStyle name="Normal 17 2 2 2 4" xfId="25931" xr:uid="{00000000-0005-0000-0000-00004B650000}"/>
    <cellStyle name="Normal 17 2 2 2 4 2" xfId="25932" xr:uid="{00000000-0005-0000-0000-00004C650000}"/>
    <cellStyle name="Normal 17 2 2 2 4 2 2" xfId="25933" xr:uid="{00000000-0005-0000-0000-00004D650000}"/>
    <cellStyle name="Normal 17 2 2 2 4 2 3" xfId="25934" xr:uid="{00000000-0005-0000-0000-00004E650000}"/>
    <cellStyle name="Normal 17 2 2 2 4 3" xfId="25935" xr:uid="{00000000-0005-0000-0000-00004F650000}"/>
    <cellStyle name="Normal 17 2 2 2 4 4" xfId="25936" xr:uid="{00000000-0005-0000-0000-000050650000}"/>
    <cellStyle name="Normal 17 2 2 2 5" xfId="25937" xr:uid="{00000000-0005-0000-0000-000051650000}"/>
    <cellStyle name="Normal 17 2 2 2 5 2" xfId="25938" xr:uid="{00000000-0005-0000-0000-000052650000}"/>
    <cellStyle name="Normal 17 2 2 2 5 3" xfId="25939" xr:uid="{00000000-0005-0000-0000-000053650000}"/>
    <cellStyle name="Normal 17 2 2 2 6" xfId="25940" xr:uid="{00000000-0005-0000-0000-000054650000}"/>
    <cellStyle name="Normal 17 2 2 2 7" xfId="25941" xr:uid="{00000000-0005-0000-0000-000055650000}"/>
    <cellStyle name="Normal 17 2 2 3" xfId="25942" xr:uid="{00000000-0005-0000-0000-000056650000}"/>
    <cellStyle name="Normal 17 2 2 3 2" xfId="25943" xr:uid="{00000000-0005-0000-0000-000057650000}"/>
    <cellStyle name="Normal 17 2 2 3 2 2" xfId="25944" xr:uid="{00000000-0005-0000-0000-000058650000}"/>
    <cellStyle name="Normal 17 2 2 3 2 2 2" xfId="25945" xr:uid="{00000000-0005-0000-0000-000059650000}"/>
    <cellStyle name="Normal 17 2 2 3 2 2 2 2" xfId="25946" xr:uid="{00000000-0005-0000-0000-00005A650000}"/>
    <cellStyle name="Normal 17 2 2 3 2 2 2 3" xfId="25947" xr:uid="{00000000-0005-0000-0000-00005B650000}"/>
    <cellStyle name="Normal 17 2 2 3 2 2 3" xfId="25948" xr:uid="{00000000-0005-0000-0000-00005C650000}"/>
    <cellStyle name="Normal 17 2 2 3 2 2 4" xfId="25949" xr:uid="{00000000-0005-0000-0000-00005D650000}"/>
    <cellStyle name="Normal 17 2 2 3 2 3" xfId="25950" xr:uid="{00000000-0005-0000-0000-00005E650000}"/>
    <cellStyle name="Normal 17 2 2 3 2 3 2" xfId="25951" xr:uid="{00000000-0005-0000-0000-00005F650000}"/>
    <cellStyle name="Normal 17 2 2 3 2 3 3" xfId="25952" xr:uid="{00000000-0005-0000-0000-000060650000}"/>
    <cellStyle name="Normal 17 2 2 3 2 4" xfId="25953" xr:uid="{00000000-0005-0000-0000-000061650000}"/>
    <cellStyle name="Normal 17 2 2 3 2 5" xfId="25954" xr:uid="{00000000-0005-0000-0000-000062650000}"/>
    <cellStyle name="Normal 17 2 2 3 3" xfId="25955" xr:uid="{00000000-0005-0000-0000-000063650000}"/>
    <cellStyle name="Normal 17 2 2 3 3 2" xfId="25956" xr:uid="{00000000-0005-0000-0000-000064650000}"/>
    <cellStyle name="Normal 17 2 2 3 3 2 2" xfId="25957" xr:uid="{00000000-0005-0000-0000-000065650000}"/>
    <cellStyle name="Normal 17 2 2 3 3 2 3" xfId="25958" xr:uid="{00000000-0005-0000-0000-000066650000}"/>
    <cellStyle name="Normal 17 2 2 3 3 3" xfId="25959" xr:uid="{00000000-0005-0000-0000-000067650000}"/>
    <cellStyle name="Normal 17 2 2 3 3 4" xfId="25960" xr:uid="{00000000-0005-0000-0000-000068650000}"/>
    <cellStyle name="Normal 17 2 2 3 4" xfId="25961" xr:uid="{00000000-0005-0000-0000-000069650000}"/>
    <cellStyle name="Normal 17 2 2 3 4 2" xfId="25962" xr:uid="{00000000-0005-0000-0000-00006A650000}"/>
    <cellStyle name="Normal 17 2 2 3 4 3" xfId="25963" xr:uid="{00000000-0005-0000-0000-00006B650000}"/>
    <cellStyle name="Normal 17 2 2 3 5" xfId="25964" xr:uid="{00000000-0005-0000-0000-00006C650000}"/>
    <cellStyle name="Normal 17 2 2 3 6" xfId="25965" xr:uid="{00000000-0005-0000-0000-00006D650000}"/>
    <cellStyle name="Normal 17 2 2 4" xfId="25966" xr:uid="{00000000-0005-0000-0000-00006E650000}"/>
    <cellStyle name="Normal 17 2 2 4 2" xfId="25967" xr:uid="{00000000-0005-0000-0000-00006F650000}"/>
    <cellStyle name="Normal 17 2 2 4 2 2" xfId="25968" xr:uid="{00000000-0005-0000-0000-000070650000}"/>
    <cellStyle name="Normal 17 2 2 4 2 2 2" xfId="25969" xr:uid="{00000000-0005-0000-0000-000071650000}"/>
    <cellStyle name="Normal 17 2 2 4 2 2 3" xfId="25970" xr:uid="{00000000-0005-0000-0000-000072650000}"/>
    <cellStyle name="Normal 17 2 2 4 2 3" xfId="25971" xr:uid="{00000000-0005-0000-0000-000073650000}"/>
    <cellStyle name="Normal 17 2 2 4 2 4" xfId="25972" xr:uid="{00000000-0005-0000-0000-000074650000}"/>
    <cellStyle name="Normal 17 2 2 4 3" xfId="25973" xr:uid="{00000000-0005-0000-0000-000075650000}"/>
    <cellStyle name="Normal 17 2 2 4 3 2" xfId="25974" xr:uid="{00000000-0005-0000-0000-000076650000}"/>
    <cellStyle name="Normal 17 2 2 4 3 3" xfId="25975" xr:uid="{00000000-0005-0000-0000-000077650000}"/>
    <cellStyle name="Normal 17 2 2 4 4" xfId="25976" xr:uid="{00000000-0005-0000-0000-000078650000}"/>
    <cellStyle name="Normal 17 2 2 4 5" xfId="25977" xr:uid="{00000000-0005-0000-0000-000079650000}"/>
    <cellStyle name="Normal 17 2 2 5" xfId="25978" xr:uid="{00000000-0005-0000-0000-00007A650000}"/>
    <cellStyle name="Normal 17 2 2 5 2" xfId="25979" xr:uid="{00000000-0005-0000-0000-00007B650000}"/>
    <cellStyle name="Normal 17 2 2 5 2 2" xfId="25980" xr:uid="{00000000-0005-0000-0000-00007C650000}"/>
    <cellStyle name="Normal 17 2 2 5 2 3" xfId="25981" xr:uid="{00000000-0005-0000-0000-00007D650000}"/>
    <cellStyle name="Normal 17 2 2 5 3" xfId="25982" xr:uid="{00000000-0005-0000-0000-00007E650000}"/>
    <cellStyle name="Normal 17 2 2 5 4" xfId="25983" xr:uid="{00000000-0005-0000-0000-00007F650000}"/>
    <cellStyle name="Normal 17 2 2 6" xfId="25984" xr:uid="{00000000-0005-0000-0000-000080650000}"/>
    <cellStyle name="Normal 17 2 2 6 2" xfId="25985" xr:uid="{00000000-0005-0000-0000-000081650000}"/>
    <cellStyle name="Normal 17 2 2 6 3" xfId="25986" xr:uid="{00000000-0005-0000-0000-000082650000}"/>
    <cellStyle name="Normal 17 2 2 7" xfId="25987" xr:uid="{00000000-0005-0000-0000-000083650000}"/>
    <cellStyle name="Normal 17 2 2 8" xfId="25988" xr:uid="{00000000-0005-0000-0000-000084650000}"/>
    <cellStyle name="Normal 17 2 3" xfId="25989" xr:uid="{00000000-0005-0000-0000-000085650000}"/>
    <cellStyle name="Normal 17 2 3 2" xfId="25990" xr:uid="{00000000-0005-0000-0000-000086650000}"/>
    <cellStyle name="Normal 17 2 3 2 2" xfId="25991" xr:uid="{00000000-0005-0000-0000-000087650000}"/>
    <cellStyle name="Normal 17 2 3 2 2 2" xfId="25992" xr:uid="{00000000-0005-0000-0000-000088650000}"/>
    <cellStyle name="Normal 17 2 3 2 2 2 2" xfId="25993" xr:uid="{00000000-0005-0000-0000-000089650000}"/>
    <cellStyle name="Normal 17 2 3 2 2 2 2 2" xfId="25994" xr:uid="{00000000-0005-0000-0000-00008A650000}"/>
    <cellStyle name="Normal 17 2 3 2 2 2 2 3" xfId="25995" xr:uid="{00000000-0005-0000-0000-00008B650000}"/>
    <cellStyle name="Normal 17 2 3 2 2 2 3" xfId="25996" xr:uid="{00000000-0005-0000-0000-00008C650000}"/>
    <cellStyle name="Normal 17 2 3 2 2 2 4" xfId="25997" xr:uid="{00000000-0005-0000-0000-00008D650000}"/>
    <cellStyle name="Normal 17 2 3 2 2 3" xfId="25998" xr:uid="{00000000-0005-0000-0000-00008E650000}"/>
    <cellStyle name="Normal 17 2 3 2 2 3 2" xfId="25999" xr:uid="{00000000-0005-0000-0000-00008F650000}"/>
    <cellStyle name="Normal 17 2 3 2 2 3 3" xfId="26000" xr:uid="{00000000-0005-0000-0000-000090650000}"/>
    <cellStyle name="Normal 17 2 3 2 2 4" xfId="26001" xr:uid="{00000000-0005-0000-0000-000091650000}"/>
    <cellStyle name="Normal 17 2 3 2 2 5" xfId="26002" xr:uid="{00000000-0005-0000-0000-000092650000}"/>
    <cellStyle name="Normal 17 2 3 2 3" xfId="26003" xr:uid="{00000000-0005-0000-0000-000093650000}"/>
    <cellStyle name="Normal 17 2 3 2 3 2" xfId="26004" xr:uid="{00000000-0005-0000-0000-000094650000}"/>
    <cellStyle name="Normal 17 2 3 2 3 2 2" xfId="26005" xr:uid="{00000000-0005-0000-0000-000095650000}"/>
    <cellStyle name="Normal 17 2 3 2 3 2 3" xfId="26006" xr:uid="{00000000-0005-0000-0000-000096650000}"/>
    <cellStyle name="Normal 17 2 3 2 3 3" xfId="26007" xr:uid="{00000000-0005-0000-0000-000097650000}"/>
    <cellStyle name="Normal 17 2 3 2 3 4" xfId="26008" xr:uid="{00000000-0005-0000-0000-000098650000}"/>
    <cellStyle name="Normal 17 2 3 2 4" xfId="26009" xr:uid="{00000000-0005-0000-0000-000099650000}"/>
    <cellStyle name="Normal 17 2 3 2 4 2" xfId="26010" xr:uid="{00000000-0005-0000-0000-00009A650000}"/>
    <cellStyle name="Normal 17 2 3 2 4 3" xfId="26011" xr:uid="{00000000-0005-0000-0000-00009B650000}"/>
    <cellStyle name="Normal 17 2 3 2 5" xfId="26012" xr:uid="{00000000-0005-0000-0000-00009C650000}"/>
    <cellStyle name="Normal 17 2 3 2 6" xfId="26013" xr:uid="{00000000-0005-0000-0000-00009D650000}"/>
    <cellStyle name="Normal 17 2 3 3" xfId="26014" xr:uid="{00000000-0005-0000-0000-00009E650000}"/>
    <cellStyle name="Normal 17 2 3 3 2" xfId="26015" xr:uid="{00000000-0005-0000-0000-00009F650000}"/>
    <cellStyle name="Normal 17 2 3 3 2 2" xfId="26016" xr:uid="{00000000-0005-0000-0000-0000A0650000}"/>
    <cellStyle name="Normal 17 2 3 3 2 2 2" xfId="26017" xr:uid="{00000000-0005-0000-0000-0000A1650000}"/>
    <cellStyle name="Normal 17 2 3 3 2 2 3" xfId="26018" xr:uid="{00000000-0005-0000-0000-0000A2650000}"/>
    <cellStyle name="Normal 17 2 3 3 2 3" xfId="26019" xr:uid="{00000000-0005-0000-0000-0000A3650000}"/>
    <cellStyle name="Normal 17 2 3 3 2 4" xfId="26020" xr:uid="{00000000-0005-0000-0000-0000A4650000}"/>
    <cellStyle name="Normal 17 2 3 3 3" xfId="26021" xr:uid="{00000000-0005-0000-0000-0000A5650000}"/>
    <cellStyle name="Normal 17 2 3 3 3 2" xfId="26022" xr:uid="{00000000-0005-0000-0000-0000A6650000}"/>
    <cellStyle name="Normal 17 2 3 3 3 3" xfId="26023" xr:uid="{00000000-0005-0000-0000-0000A7650000}"/>
    <cellStyle name="Normal 17 2 3 3 4" xfId="26024" xr:uid="{00000000-0005-0000-0000-0000A8650000}"/>
    <cellStyle name="Normal 17 2 3 3 5" xfId="26025" xr:uid="{00000000-0005-0000-0000-0000A9650000}"/>
    <cellStyle name="Normal 17 2 3 4" xfId="26026" xr:uid="{00000000-0005-0000-0000-0000AA650000}"/>
    <cellStyle name="Normal 17 2 3 4 2" xfId="26027" xr:uid="{00000000-0005-0000-0000-0000AB650000}"/>
    <cellStyle name="Normal 17 2 3 4 2 2" xfId="26028" xr:uid="{00000000-0005-0000-0000-0000AC650000}"/>
    <cellStyle name="Normal 17 2 3 4 2 3" xfId="26029" xr:uid="{00000000-0005-0000-0000-0000AD650000}"/>
    <cellStyle name="Normal 17 2 3 4 3" xfId="26030" xr:uid="{00000000-0005-0000-0000-0000AE650000}"/>
    <cellStyle name="Normal 17 2 3 4 4" xfId="26031" xr:uid="{00000000-0005-0000-0000-0000AF650000}"/>
    <cellStyle name="Normal 17 2 3 5" xfId="26032" xr:uid="{00000000-0005-0000-0000-0000B0650000}"/>
    <cellStyle name="Normal 17 2 3 5 2" xfId="26033" xr:uid="{00000000-0005-0000-0000-0000B1650000}"/>
    <cellStyle name="Normal 17 2 3 5 3" xfId="26034" xr:uid="{00000000-0005-0000-0000-0000B2650000}"/>
    <cellStyle name="Normal 17 2 3 6" xfId="26035" xr:uid="{00000000-0005-0000-0000-0000B3650000}"/>
    <cellStyle name="Normal 17 2 3 7" xfId="26036" xr:uid="{00000000-0005-0000-0000-0000B4650000}"/>
    <cellStyle name="Normal 17 2 4" xfId="26037" xr:uid="{00000000-0005-0000-0000-0000B5650000}"/>
    <cellStyle name="Normal 17 2 4 2" xfId="26038" xr:uid="{00000000-0005-0000-0000-0000B6650000}"/>
    <cellStyle name="Normal 17 2 4 2 2" xfId="26039" xr:uid="{00000000-0005-0000-0000-0000B7650000}"/>
    <cellStyle name="Normal 17 2 4 2 2 2" xfId="26040" xr:uid="{00000000-0005-0000-0000-0000B8650000}"/>
    <cellStyle name="Normal 17 2 4 2 2 2 2" xfId="26041" xr:uid="{00000000-0005-0000-0000-0000B9650000}"/>
    <cellStyle name="Normal 17 2 4 2 2 2 3" xfId="26042" xr:uid="{00000000-0005-0000-0000-0000BA650000}"/>
    <cellStyle name="Normal 17 2 4 2 2 3" xfId="26043" xr:uid="{00000000-0005-0000-0000-0000BB650000}"/>
    <cellStyle name="Normal 17 2 4 2 2 4" xfId="26044" xr:uid="{00000000-0005-0000-0000-0000BC650000}"/>
    <cellStyle name="Normal 17 2 4 2 3" xfId="26045" xr:uid="{00000000-0005-0000-0000-0000BD650000}"/>
    <cellStyle name="Normal 17 2 4 2 3 2" xfId="26046" xr:uid="{00000000-0005-0000-0000-0000BE650000}"/>
    <cellStyle name="Normal 17 2 4 2 3 3" xfId="26047" xr:uid="{00000000-0005-0000-0000-0000BF650000}"/>
    <cellStyle name="Normal 17 2 4 2 4" xfId="26048" xr:uid="{00000000-0005-0000-0000-0000C0650000}"/>
    <cellStyle name="Normal 17 2 4 2 5" xfId="26049" xr:uid="{00000000-0005-0000-0000-0000C1650000}"/>
    <cellStyle name="Normal 17 2 4 3" xfId="26050" xr:uid="{00000000-0005-0000-0000-0000C2650000}"/>
    <cellStyle name="Normal 17 2 4 3 2" xfId="26051" xr:uid="{00000000-0005-0000-0000-0000C3650000}"/>
    <cellStyle name="Normal 17 2 4 3 2 2" xfId="26052" xr:uid="{00000000-0005-0000-0000-0000C4650000}"/>
    <cellStyle name="Normal 17 2 4 3 2 3" xfId="26053" xr:uid="{00000000-0005-0000-0000-0000C5650000}"/>
    <cellStyle name="Normal 17 2 4 3 3" xfId="26054" xr:uid="{00000000-0005-0000-0000-0000C6650000}"/>
    <cellStyle name="Normal 17 2 4 3 4" xfId="26055" xr:uid="{00000000-0005-0000-0000-0000C7650000}"/>
    <cellStyle name="Normal 17 2 4 4" xfId="26056" xr:uid="{00000000-0005-0000-0000-0000C8650000}"/>
    <cellStyle name="Normal 17 2 4 4 2" xfId="26057" xr:uid="{00000000-0005-0000-0000-0000C9650000}"/>
    <cellStyle name="Normal 17 2 4 4 3" xfId="26058" xr:uid="{00000000-0005-0000-0000-0000CA650000}"/>
    <cellStyle name="Normal 17 2 4 5" xfId="26059" xr:uid="{00000000-0005-0000-0000-0000CB650000}"/>
    <cellStyle name="Normal 17 2 4 6" xfId="26060" xr:uid="{00000000-0005-0000-0000-0000CC650000}"/>
    <cellStyle name="Normal 17 2 5" xfId="26061" xr:uid="{00000000-0005-0000-0000-0000CD650000}"/>
    <cellStyle name="Normal 17 2 5 2" xfId="26062" xr:uid="{00000000-0005-0000-0000-0000CE650000}"/>
    <cellStyle name="Normal 17 2 5 2 2" xfId="26063" xr:uid="{00000000-0005-0000-0000-0000CF650000}"/>
    <cellStyle name="Normal 17 2 5 2 2 2" xfId="26064" xr:uid="{00000000-0005-0000-0000-0000D0650000}"/>
    <cellStyle name="Normal 17 2 5 2 2 3" xfId="26065" xr:uid="{00000000-0005-0000-0000-0000D1650000}"/>
    <cellStyle name="Normal 17 2 5 2 3" xfId="26066" xr:uid="{00000000-0005-0000-0000-0000D2650000}"/>
    <cellStyle name="Normal 17 2 5 2 4" xfId="26067" xr:uid="{00000000-0005-0000-0000-0000D3650000}"/>
    <cellStyle name="Normal 17 2 5 3" xfId="26068" xr:uid="{00000000-0005-0000-0000-0000D4650000}"/>
    <cellStyle name="Normal 17 2 5 3 2" xfId="26069" xr:uid="{00000000-0005-0000-0000-0000D5650000}"/>
    <cellStyle name="Normal 17 2 5 3 3" xfId="26070" xr:uid="{00000000-0005-0000-0000-0000D6650000}"/>
    <cellStyle name="Normal 17 2 5 4" xfId="26071" xr:uid="{00000000-0005-0000-0000-0000D7650000}"/>
    <cellStyle name="Normal 17 2 5 5" xfId="26072" xr:uid="{00000000-0005-0000-0000-0000D8650000}"/>
    <cellStyle name="Normal 17 2 6" xfId="26073" xr:uid="{00000000-0005-0000-0000-0000D9650000}"/>
    <cellStyle name="Normal 17 2 6 2" xfId="26074" xr:uid="{00000000-0005-0000-0000-0000DA650000}"/>
    <cellStyle name="Normal 17 2 6 2 2" xfId="26075" xr:uid="{00000000-0005-0000-0000-0000DB650000}"/>
    <cellStyle name="Normal 17 2 6 2 3" xfId="26076" xr:uid="{00000000-0005-0000-0000-0000DC650000}"/>
    <cellStyle name="Normal 17 2 6 3" xfId="26077" xr:uid="{00000000-0005-0000-0000-0000DD650000}"/>
    <cellStyle name="Normal 17 2 6 4" xfId="26078" xr:uid="{00000000-0005-0000-0000-0000DE650000}"/>
    <cellStyle name="Normal 17 2 7" xfId="26079" xr:uid="{00000000-0005-0000-0000-0000DF650000}"/>
    <cellStyle name="Normal 17 2 7 2" xfId="26080" xr:uid="{00000000-0005-0000-0000-0000E0650000}"/>
    <cellStyle name="Normal 17 2 7 3" xfId="26081" xr:uid="{00000000-0005-0000-0000-0000E1650000}"/>
    <cellStyle name="Normal 17 2 8" xfId="26082" xr:uid="{00000000-0005-0000-0000-0000E2650000}"/>
    <cellStyle name="Normal 17 2 9" xfId="26083" xr:uid="{00000000-0005-0000-0000-0000E3650000}"/>
    <cellStyle name="Normal 17 3" xfId="26084" xr:uid="{00000000-0005-0000-0000-0000E4650000}"/>
    <cellStyle name="Normal 17 3 2" xfId="26085" xr:uid="{00000000-0005-0000-0000-0000E5650000}"/>
    <cellStyle name="Normal 17 3 2 2" xfId="26086" xr:uid="{00000000-0005-0000-0000-0000E6650000}"/>
    <cellStyle name="Normal 17 3 2 2 2" xfId="26087" xr:uid="{00000000-0005-0000-0000-0000E7650000}"/>
    <cellStyle name="Normal 17 3 2 2 2 2" xfId="26088" xr:uid="{00000000-0005-0000-0000-0000E8650000}"/>
    <cellStyle name="Normal 17 3 2 2 2 2 2" xfId="26089" xr:uid="{00000000-0005-0000-0000-0000E9650000}"/>
    <cellStyle name="Normal 17 3 2 2 2 2 2 2" xfId="26090" xr:uid="{00000000-0005-0000-0000-0000EA650000}"/>
    <cellStyle name="Normal 17 3 2 2 2 2 2 3" xfId="26091" xr:uid="{00000000-0005-0000-0000-0000EB650000}"/>
    <cellStyle name="Normal 17 3 2 2 2 2 3" xfId="26092" xr:uid="{00000000-0005-0000-0000-0000EC650000}"/>
    <cellStyle name="Normal 17 3 2 2 2 2 4" xfId="26093" xr:uid="{00000000-0005-0000-0000-0000ED650000}"/>
    <cellStyle name="Normal 17 3 2 2 2 3" xfId="26094" xr:uid="{00000000-0005-0000-0000-0000EE650000}"/>
    <cellStyle name="Normal 17 3 2 2 2 3 2" xfId="26095" xr:uid="{00000000-0005-0000-0000-0000EF650000}"/>
    <cellStyle name="Normal 17 3 2 2 2 3 3" xfId="26096" xr:uid="{00000000-0005-0000-0000-0000F0650000}"/>
    <cellStyle name="Normal 17 3 2 2 2 4" xfId="26097" xr:uid="{00000000-0005-0000-0000-0000F1650000}"/>
    <cellStyle name="Normal 17 3 2 2 2 5" xfId="26098" xr:uid="{00000000-0005-0000-0000-0000F2650000}"/>
    <cellStyle name="Normal 17 3 2 2 3" xfId="26099" xr:uid="{00000000-0005-0000-0000-0000F3650000}"/>
    <cellStyle name="Normal 17 3 2 2 3 2" xfId="26100" xr:uid="{00000000-0005-0000-0000-0000F4650000}"/>
    <cellStyle name="Normal 17 3 2 2 3 2 2" xfId="26101" xr:uid="{00000000-0005-0000-0000-0000F5650000}"/>
    <cellStyle name="Normal 17 3 2 2 3 2 3" xfId="26102" xr:uid="{00000000-0005-0000-0000-0000F6650000}"/>
    <cellStyle name="Normal 17 3 2 2 3 3" xfId="26103" xr:uid="{00000000-0005-0000-0000-0000F7650000}"/>
    <cellStyle name="Normal 17 3 2 2 3 4" xfId="26104" xr:uid="{00000000-0005-0000-0000-0000F8650000}"/>
    <cellStyle name="Normal 17 3 2 2 4" xfId="26105" xr:uid="{00000000-0005-0000-0000-0000F9650000}"/>
    <cellStyle name="Normal 17 3 2 2 4 2" xfId="26106" xr:uid="{00000000-0005-0000-0000-0000FA650000}"/>
    <cellStyle name="Normal 17 3 2 2 4 3" xfId="26107" xr:uid="{00000000-0005-0000-0000-0000FB650000}"/>
    <cellStyle name="Normal 17 3 2 2 5" xfId="26108" xr:uid="{00000000-0005-0000-0000-0000FC650000}"/>
    <cellStyle name="Normal 17 3 2 2 6" xfId="26109" xr:uid="{00000000-0005-0000-0000-0000FD650000}"/>
    <cellStyle name="Normal 17 3 2 3" xfId="26110" xr:uid="{00000000-0005-0000-0000-0000FE650000}"/>
    <cellStyle name="Normal 17 3 2 3 2" xfId="26111" xr:uid="{00000000-0005-0000-0000-0000FF650000}"/>
    <cellStyle name="Normal 17 3 2 3 2 2" xfId="26112" xr:uid="{00000000-0005-0000-0000-000000660000}"/>
    <cellStyle name="Normal 17 3 2 3 2 2 2" xfId="26113" xr:uid="{00000000-0005-0000-0000-000001660000}"/>
    <cellStyle name="Normal 17 3 2 3 2 2 3" xfId="26114" xr:uid="{00000000-0005-0000-0000-000002660000}"/>
    <cellStyle name="Normal 17 3 2 3 2 3" xfId="26115" xr:uid="{00000000-0005-0000-0000-000003660000}"/>
    <cellStyle name="Normal 17 3 2 3 2 4" xfId="26116" xr:uid="{00000000-0005-0000-0000-000004660000}"/>
    <cellStyle name="Normal 17 3 2 3 3" xfId="26117" xr:uid="{00000000-0005-0000-0000-000005660000}"/>
    <cellStyle name="Normal 17 3 2 3 3 2" xfId="26118" xr:uid="{00000000-0005-0000-0000-000006660000}"/>
    <cellStyle name="Normal 17 3 2 3 3 3" xfId="26119" xr:uid="{00000000-0005-0000-0000-000007660000}"/>
    <cellStyle name="Normal 17 3 2 3 4" xfId="26120" xr:uid="{00000000-0005-0000-0000-000008660000}"/>
    <cellStyle name="Normal 17 3 2 3 5" xfId="26121" xr:uid="{00000000-0005-0000-0000-000009660000}"/>
    <cellStyle name="Normal 17 3 2 4" xfId="26122" xr:uid="{00000000-0005-0000-0000-00000A660000}"/>
    <cellStyle name="Normal 17 3 2 4 2" xfId="26123" xr:uid="{00000000-0005-0000-0000-00000B660000}"/>
    <cellStyle name="Normal 17 3 2 4 2 2" xfId="26124" xr:uid="{00000000-0005-0000-0000-00000C660000}"/>
    <cellStyle name="Normal 17 3 2 4 2 3" xfId="26125" xr:uid="{00000000-0005-0000-0000-00000D660000}"/>
    <cellStyle name="Normal 17 3 2 4 3" xfId="26126" xr:uid="{00000000-0005-0000-0000-00000E660000}"/>
    <cellStyle name="Normal 17 3 2 4 4" xfId="26127" xr:uid="{00000000-0005-0000-0000-00000F660000}"/>
    <cellStyle name="Normal 17 3 2 5" xfId="26128" xr:uid="{00000000-0005-0000-0000-000010660000}"/>
    <cellStyle name="Normal 17 3 2 5 2" xfId="26129" xr:uid="{00000000-0005-0000-0000-000011660000}"/>
    <cellStyle name="Normal 17 3 2 5 3" xfId="26130" xr:uid="{00000000-0005-0000-0000-000012660000}"/>
    <cellStyle name="Normal 17 3 2 6" xfId="26131" xr:uid="{00000000-0005-0000-0000-000013660000}"/>
    <cellStyle name="Normal 17 3 2 7" xfId="26132" xr:uid="{00000000-0005-0000-0000-000014660000}"/>
    <cellStyle name="Normal 17 3 3" xfId="26133" xr:uid="{00000000-0005-0000-0000-000015660000}"/>
    <cellStyle name="Normal 17 3 3 2" xfId="26134" xr:uid="{00000000-0005-0000-0000-000016660000}"/>
    <cellStyle name="Normal 17 3 3 2 2" xfId="26135" xr:uid="{00000000-0005-0000-0000-000017660000}"/>
    <cellStyle name="Normal 17 3 3 2 2 2" xfId="26136" xr:uid="{00000000-0005-0000-0000-000018660000}"/>
    <cellStyle name="Normal 17 3 3 2 2 2 2" xfId="26137" xr:uid="{00000000-0005-0000-0000-000019660000}"/>
    <cellStyle name="Normal 17 3 3 2 2 2 3" xfId="26138" xr:uid="{00000000-0005-0000-0000-00001A660000}"/>
    <cellStyle name="Normal 17 3 3 2 2 3" xfId="26139" xr:uid="{00000000-0005-0000-0000-00001B660000}"/>
    <cellStyle name="Normal 17 3 3 2 2 4" xfId="26140" xr:uid="{00000000-0005-0000-0000-00001C660000}"/>
    <cellStyle name="Normal 17 3 3 2 3" xfId="26141" xr:uid="{00000000-0005-0000-0000-00001D660000}"/>
    <cellStyle name="Normal 17 3 3 2 3 2" xfId="26142" xr:uid="{00000000-0005-0000-0000-00001E660000}"/>
    <cellStyle name="Normal 17 3 3 2 3 3" xfId="26143" xr:uid="{00000000-0005-0000-0000-00001F660000}"/>
    <cellStyle name="Normal 17 3 3 2 4" xfId="26144" xr:uid="{00000000-0005-0000-0000-000020660000}"/>
    <cellStyle name="Normal 17 3 3 2 5" xfId="26145" xr:uid="{00000000-0005-0000-0000-000021660000}"/>
    <cellStyle name="Normal 17 3 3 3" xfId="26146" xr:uid="{00000000-0005-0000-0000-000022660000}"/>
    <cellStyle name="Normal 17 3 3 3 2" xfId="26147" xr:uid="{00000000-0005-0000-0000-000023660000}"/>
    <cellStyle name="Normal 17 3 3 3 2 2" xfId="26148" xr:uid="{00000000-0005-0000-0000-000024660000}"/>
    <cellStyle name="Normal 17 3 3 3 2 3" xfId="26149" xr:uid="{00000000-0005-0000-0000-000025660000}"/>
    <cellStyle name="Normal 17 3 3 3 3" xfId="26150" xr:uid="{00000000-0005-0000-0000-000026660000}"/>
    <cellStyle name="Normal 17 3 3 3 4" xfId="26151" xr:uid="{00000000-0005-0000-0000-000027660000}"/>
    <cellStyle name="Normal 17 3 3 4" xfId="26152" xr:uid="{00000000-0005-0000-0000-000028660000}"/>
    <cellStyle name="Normal 17 3 3 4 2" xfId="26153" xr:uid="{00000000-0005-0000-0000-000029660000}"/>
    <cellStyle name="Normal 17 3 3 4 3" xfId="26154" xr:uid="{00000000-0005-0000-0000-00002A660000}"/>
    <cellStyle name="Normal 17 3 3 5" xfId="26155" xr:uid="{00000000-0005-0000-0000-00002B660000}"/>
    <cellStyle name="Normal 17 3 3 6" xfId="26156" xr:uid="{00000000-0005-0000-0000-00002C660000}"/>
    <cellStyle name="Normal 17 3 4" xfId="26157" xr:uid="{00000000-0005-0000-0000-00002D660000}"/>
    <cellStyle name="Normal 17 3 4 2" xfId="26158" xr:uid="{00000000-0005-0000-0000-00002E660000}"/>
    <cellStyle name="Normal 17 3 4 2 2" xfId="26159" xr:uid="{00000000-0005-0000-0000-00002F660000}"/>
    <cellStyle name="Normal 17 3 4 2 2 2" xfId="26160" xr:uid="{00000000-0005-0000-0000-000030660000}"/>
    <cellStyle name="Normal 17 3 4 2 2 3" xfId="26161" xr:uid="{00000000-0005-0000-0000-000031660000}"/>
    <cellStyle name="Normal 17 3 4 2 3" xfId="26162" xr:uid="{00000000-0005-0000-0000-000032660000}"/>
    <cellStyle name="Normal 17 3 4 2 4" xfId="26163" xr:uid="{00000000-0005-0000-0000-000033660000}"/>
    <cellStyle name="Normal 17 3 4 3" xfId="26164" xr:uid="{00000000-0005-0000-0000-000034660000}"/>
    <cellStyle name="Normal 17 3 4 3 2" xfId="26165" xr:uid="{00000000-0005-0000-0000-000035660000}"/>
    <cellStyle name="Normal 17 3 4 3 3" xfId="26166" xr:uid="{00000000-0005-0000-0000-000036660000}"/>
    <cellStyle name="Normal 17 3 4 4" xfId="26167" xr:uid="{00000000-0005-0000-0000-000037660000}"/>
    <cellStyle name="Normal 17 3 4 5" xfId="26168" xr:uid="{00000000-0005-0000-0000-000038660000}"/>
    <cellStyle name="Normal 17 3 5" xfId="26169" xr:uid="{00000000-0005-0000-0000-000039660000}"/>
    <cellStyle name="Normal 17 3 5 2" xfId="26170" xr:uid="{00000000-0005-0000-0000-00003A660000}"/>
    <cellStyle name="Normal 17 3 5 2 2" xfId="26171" xr:uid="{00000000-0005-0000-0000-00003B660000}"/>
    <cellStyle name="Normal 17 3 5 2 3" xfId="26172" xr:uid="{00000000-0005-0000-0000-00003C660000}"/>
    <cellStyle name="Normal 17 3 5 3" xfId="26173" xr:uid="{00000000-0005-0000-0000-00003D660000}"/>
    <cellStyle name="Normal 17 3 5 4" xfId="26174" xr:uid="{00000000-0005-0000-0000-00003E660000}"/>
    <cellStyle name="Normal 17 3 6" xfId="26175" xr:uid="{00000000-0005-0000-0000-00003F660000}"/>
    <cellStyle name="Normal 17 3 6 2" xfId="26176" xr:uid="{00000000-0005-0000-0000-000040660000}"/>
    <cellStyle name="Normal 17 3 6 3" xfId="26177" xr:uid="{00000000-0005-0000-0000-000041660000}"/>
    <cellStyle name="Normal 17 3 7" xfId="26178" xr:uid="{00000000-0005-0000-0000-000042660000}"/>
    <cellStyle name="Normal 17 3 8" xfId="26179" xr:uid="{00000000-0005-0000-0000-000043660000}"/>
    <cellStyle name="Normal 17 4" xfId="26180" xr:uid="{00000000-0005-0000-0000-000044660000}"/>
    <cellStyle name="Normal 17 4 2" xfId="26181" xr:uid="{00000000-0005-0000-0000-000045660000}"/>
    <cellStyle name="Normal 17 4 2 2" xfId="26182" xr:uid="{00000000-0005-0000-0000-000046660000}"/>
    <cellStyle name="Normal 17 4 2 2 2" xfId="26183" xr:uid="{00000000-0005-0000-0000-000047660000}"/>
    <cellStyle name="Normal 17 4 2 2 2 2" xfId="26184" xr:uid="{00000000-0005-0000-0000-000048660000}"/>
    <cellStyle name="Normal 17 4 2 2 2 2 2" xfId="26185" xr:uid="{00000000-0005-0000-0000-000049660000}"/>
    <cellStyle name="Normal 17 4 2 2 2 2 3" xfId="26186" xr:uid="{00000000-0005-0000-0000-00004A660000}"/>
    <cellStyle name="Normal 17 4 2 2 2 3" xfId="26187" xr:uid="{00000000-0005-0000-0000-00004B660000}"/>
    <cellStyle name="Normal 17 4 2 2 2 4" xfId="26188" xr:uid="{00000000-0005-0000-0000-00004C660000}"/>
    <cellStyle name="Normal 17 4 2 2 3" xfId="26189" xr:uid="{00000000-0005-0000-0000-00004D660000}"/>
    <cellStyle name="Normal 17 4 2 2 3 2" xfId="26190" xr:uid="{00000000-0005-0000-0000-00004E660000}"/>
    <cellStyle name="Normal 17 4 2 2 3 3" xfId="26191" xr:uid="{00000000-0005-0000-0000-00004F660000}"/>
    <cellStyle name="Normal 17 4 2 2 4" xfId="26192" xr:uid="{00000000-0005-0000-0000-000050660000}"/>
    <cellStyle name="Normal 17 4 2 2 5" xfId="26193" xr:uid="{00000000-0005-0000-0000-000051660000}"/>
    <cellStyle name="Normal 17 4 2 3" xfId="26194" xr:uid="{00000000-0005-0000-0000-000052660000}"/>
    <cellStyle name="Normal 17 4 2 3 2" xfId="26195" xr:uid="{00000000-0005-0000-0000-000053660000}"/>
    <cellStyle name="Normal 17 4 2 3 2 2" xfId="26196" xr:uid="{00000000-0005-0000-0000-000054660000}"/>
    <cellStyle name="Normal 17 4 2 3 2 3" xfId="26197" xr:uid="{00000000-0005-0000-0000-000055660000}"/>
    <cellStyle name="Normal 17 4 2 3 3" xfId="26198" xr:uid="{00000000-0005-0000-0000-000056660000}"/>
    <cellStyle name="Normal 17 4 2 3 4" xfId="26199" xr:uid="{00000000-0005-0000-0000-000057660000}"/>
    <cellStyle name="Normal 17 4 2 4" xfId="26200" xr:uid="{00000000-0005-0000-0000-000058660000}"/>
    <cellStyle name="Normal 17 4 2 4 2" xfId="26201" xr:uid="{00000000-0005-0000-0000-000059660000}"/>
    <cellStyle name="Normal 17 4 2 4 3" xfId="26202" xr:uid="{00000000-0005-0000-0000-00005A660000}"/>
    <cellStyle name="Normal 17 4 2 5" xfId="26203" xr:uid="{00000000-0005-0000-0000-00005B660000}"/>
    <cellStyle name="Normal 17 4 2 6" xfId="26204" xr:uid="{00000000-0005-0000-0000-00005C660000}"/>
    <cellStyle name="Normal 17 4 3" xfId="26205" xr:uid="{00000000-0005-0000-0000-00005D660000}"/>
    <cellStyle name="Normal 17 4 3 2" xfId="26206" xr:uid="{00000000-0005-0000-0000-00005E660000}"/>
    <cellStyle name="Normal 17 4 3 2 2" xfId="26207" xr:uid="{00000000-0005-0000-0000-00005F660000}"/>
    <cellStyle name="Normal 17 4 3 2 2 2" xfId="26208" xr:uid="{00000000-0005-0000-0000-000060660000}"/>
    <cellStyle name="Normal 17 4 3 2 2 3" xfId="26209" xr:uid="{00000000-0005-0000-0000-000061660000}"/>
    <cellStyle name="Normal 17 4 3 2 3" xfId="26210" xr:uid="{00000000-0005-0000-0000-000062660000}"/>
    <cellStyle name="Normal 17 4 3 2 4" xfId="26211" xr:uid="{00000000-0005-0000-0000-000063660000}"/>
    <cellStyle name="Normal 17 4 3 3" xfId="26212" xr:uid="{00000000-0005-0000-0000-000064660000}"/>
    <cellStyle name="Normal 17 4 3 3 2" xfId="26213" xr:uid="{00000000-0005-0000-0000-000065660000}"/>
    <cellStyle name="Normal 17 4 3 3 3" xfId="26214" xr:uid="{00000000-0005-0000-0000-000066660000}"/>
    <cellStyle name="Normal 17 4 3 4" xfId="26215" xr:uid="{00000000-0005-0000-0000-000067660000}"/>
    <cellStyle name="Normal 17 4 3 5" xfId="26216" xr:uid="{00000000-0005-0000-0000-000068660000}"/>
    <cellStyle name="Normal 17 4 4" xfId="26217" xr:uid="{00000000-0005-0000-0000-000069660000}"/>
    <cellStyle name="Normal 17 4 4 2" xfId="26218" xr:uid="{00000000-0005-0000-0000-00006A660000}"/>
    <cellStyle name="Normal 17 4 4 2 2" xfId="26219" xr:uid="{00000000-0005-0000-0000-00006B660000}"/>
    <cellStyle name="Normal 17 4 4 2 3" xfId="26220" xr:uid="{00000000-0005-0000-0000-00006C660000}"/>
    <cellStyle name="Normal 17 4 4 3" xfId="26221" xr:uid="{00000000-0005-0000-0000-00006D660000}"/>
    <cellStyle name="Normal 17 4 4 4" xfId="26222" xr:uid="{00000000-0005-0000-0000-00006E660000}"/>
    <cellStyle name="Normal 17 4 5" xfId="26223" xr:uid="{00000000-0005-0000-0000-00006F660000}"/>
    <cellStyle name="Normal 17 4 5 2" xfId="26224" xr:uid="{00000000-0005-0000-0000-000070660000}"/>
    <cellStyle name="Normal 17 4 5 3" xfId="26225" xr:uid="{00000000-0005-0000-0000-000071660000}"/>
    <cellStyle name="Normal 17 4 6" xfId="26226" xr:uid="{00000000-0005-0000-0000-000072660000}"/>
    <cellStyle name="Normal 17 4 7" xfId="26227" xr:uid="{00000000-0005-0000-0000-000073660000}"/>
    <cellStyle name="Normal 17 5" xfId="26228" xr:uid="{00000000-0005-0000-0000-000074660000}"/>
    <cellStyle name="Normal 17 5 2" xfId="26229" xr:uid="{00000000-0005-0000-0000-000075660000}"/>
    <cellStyle name="Normal 17 5 2 2" xfId="26230" xr:uid="{00000000-0005-0000-0000-000076660000}"/>
    <cellStyle name="Normal 17 5 2 2 2" xfId="26231" xr:uid="{00000000-0005-0000-0000-000077660000}"/>
    <cellStyle name="Normal 17 5 2 2 2 2" xfId="26232" xr:uid="{00000000-0005-0000-0000-000078660000}"/>
    <cellStyle name="Normal 17 5 2 2 2 3" xfId="26233" xr:uid="{00000000-0005-0000-0000-000079660000}"/>
    <cellStyle name="Normal 17 5 2 2 3" xfId="26234" xr:uid="{00000000-0005-0000-0000-00007A660000}"/>
    <cellStyle name="Normal 17 5 2 2 4" xfId="26235" xr:uid="{00000000-0005-0000-0000-00007B660000}"/>
    <cellStyle name="Normal 17 5 2 3" xfId="26236" xr:uid="{00000000-0005-0000-0000-00007C660000}"/>
    <cellStyle name="Normal 17 5 2 3 2" xfId="26237" xr:uid="{00000000-0005-0000-0000-00007D660000}"/>
    <cellStyle name="Normal 17 5 2 3 3" xfId="26238" xr:uid="{00000000-0005-0000-0000-00007E660000}"/>
    <cellStyle name="Normal 17 5 2 4" xfId="26239" xr:uid="{00000000-0005-0000-0000-00007F660000}"/>
    <cellStyle name="Normal 17 5 2 5" xfId="26240" xr:uid="{00000000-0005-0000-0000-000080660000}"/>
    <cellStyle name="Normal 17 5 3" xfId="26241" xr:uid="{00000000-0005-0000-0000-000081660000}"/>
    <cellStyle name="Normal 17 5 3 2" xfId="26242" xr:uid="{00000000-0005-0000-0000-000082660000}"/>
    <cellStyle name="Normal 17 5 3 2 2" xfId="26243" xr:uid="{00000000-0005-0000-0000-000083660000}"/>
    <cellStyle name="Normal 17 5 3 2 3" xfId="26244" xr:uid="{00000000-0005-0000-0000-000084660000}"/>
    <cellStyle name="Normal 17 5 3 3" xfId="26245" xr:uid="{00000000-0005-0000-0000-000085660000}"/>
    <cellStyle name="Normal 17 5 3 4" xfId="26246" xr:uid="{00000000-0005-0000-0000-000086660000}"/>
    <cellStyle name="Normal 17 5 4" xfId="26247" xr:uid="{00000000-0005-0000-0000-000087660000}"/>
    <cellStyle name="Normal 17 5 4 2" xfId="26248" xr:uid="{00000000-0005-0000-0000-000088660000}"/>
    <cellStyle name="Normal 17 5 4 3" xfId="26249" xr:uid="{00000000-0005-0000-0000-000089660000}"/>
    <cellStyle name="Normal 17 5 5" xfId="26250" xr:uid="{00000000-0005-0000-0000-00008A660000}"/>
    <cellStyle name="Normal 17 5 6" xfId="26251" xr:uid="{00000000-0005-0000-0000-00008B660000}"/>
    <cellStyle name="Normal 17 6" xfId="26252" xr:uid="{00000000-0005-0000-0000-00008C660000}"/>
    <cellStyle name="Normal 17 6 2" xfId="26253" xr:uid="{00000000-0005-0000-0000-00008D660000}"/>
    <cellStyle name="Normal 17 6 2 2" xfId="26254" xr:uid="{00000000-0005-0000-0000-00008E660000}"/>
    <cellStyle name="Normal 17 6 2 2 2" xfId="26255" xr:uid="{00000000-0005-0000-0000-00008F660000}"/>
    <cellStyle name="Normal 17 6 2 2 3" xfId="26256" xr:uid="{00000000-0005-0000-0000-000090660000}"/>
    <cellStyle name="Normal 17 6 2 3" xfId="26257" xr:uid="{00000000-0005-0000-0000-000091660000}"/>
    <cellStyle name="Normal 17 6 2 4" xfId="26258" xr:uid="{00000000-0005-0000-0000-000092660000}"/>
    <cellStyle name="Normal 17 6 3" xfId="26259" xr:uid="{00000000-0005-0000-0000-000093660000}"/>
    <cellStyle name="Normal 17 6 3 2" xfId="26260" xr:uid="{00000000-0005-0000-0000-000094660000}"/>
    <cellStyle name="Normal 17 6 3 3" xfId="26261" xr:uid="{00000000-0005-0000-0000-000095660000}"/>
    <cellStyle name="Normal 17 6 4" xfId="26262" xr:uid="{00000000-0005-0000-0000-000096660000}"/>
    <cellStyle name="Normal 17 6 5" xfId="26263" xr:uid="{00000000-0005-0000-0000-000097660000}"/>
    <cellStyle name="Normal 17 7" xfId="26264" xr:uid="{00000000-0005-0000-0000-000098660000}"/>
    <cellStyle name="Normal 17 7 2" xfId="26265" xr:uid="{00000000-0005-0000-0000-000099660000}"/>
    <cellStyle name="Normal 17 7 2 2" xfId="26266" xr:uid="{00000000-0005-0000-0000-00009A660000}"/>
    <cellStyle name="Normal 17 7 2 3" xfId="26267" xr:uid="{00000000-0005-0000-0000-00009B660000}"/>
    <cellStyle name="Normal 17 7 3" xfId="26268" xr:uid="{00000000-0005-0000-0000-00009C660000}"/>
    <cellStyle name="Normal 17 7 4" xfId="26269" xr:uid="{00000000-0005-0000-0000-00009D660000}"/>
    <cellStyle name="Normal 17 8" xfId="26270" xr:uid="{00000000-0005-0000-0000-00009E660000}"/>
    <cellStyle name="Normal 17 8 2" xfId="26271" xr:uid="{00000000-0005-0000-0000-00009F660000}"/>
    <cellStyle name="Normal 17 8 3" xfId="26272" xr:uid="{00000000-0005-0000-0000-0000A0660000}"/>
    <cellStyle name="Normal 17 9" xfId="26273" xr:uid="{00000000-0005-0000-0000-0000A1660000}"/>
    <cellStyle name="Normal 18" xfId="26274" xr:uid="{00000000-0005-0000-0000-0000A2660000}"/>
    <cellStyle name="Normal 18 2" xfId="26275" xr:uid="{00000000-0005-0000-0000-0000A3660000}"/>
    <cellStyle name="Normal 18 2 2" xfId="26276" xr:uid="{00000000-0005-0000-0000-0000A4660000}"/>
    <cellStyle name="Normal 18 2 3" xfId="26277" xr:uid="{00000000-0005-0000-0000-0000A5660000}"/>
    <cellStyle name="Normal 18 3" xfId="26278" xr:uid="{00000000-0005-0000-0000-0000A6660000}"/>
    <cellStyle name="Normal 18 4" xfId="26279" xr:uid="{00000000-0005-0000-0000-0000A7660000}"/>
    <cellStyle name="Normal 19" xfId="26280" xr:uid="{00000000-0005-0000-0000-0000A8660000}"/>
    <cellStyle name="Normal 19 2" xfId="26281" xr:uid="{00000000-0005-0000-0000-0000A9660000}"/>
    <cellStyle name="Normal 19 2 2" xfId="26282" xr:uid="{00000000-0005-0000-0000-0000AA660000}"/>
    <cellStyle name="Normal 19 2 3" xfId="26283" xr:uid="{00000000-0005-0000-0000-0000AB660000}"/>
    <cellStyle name="Normal 19 3" xfId="26284" xr:uid="{00000000-0005-0000-0000-0000AC660000}"/>
    <cellStyle name="Normal 19 4" xfId="26285" xr:uid="{00000000-0005-0000-0000-0000AD660000}"/>
    <cellStyle name="Normal 2" xfId="13" xr:uid="{00000000-0005-0000-0000-00000D000000}"/>
    <cellStyle name="Normal 2 2" xfId="21" xr:uid="{00000000-0005-0000-0000-000015000000}"/>
    <cellStyle name="Normal 2 2 2" xfId="26286" xr:uid="{00000000-0005-0000-0000-0000AE660000}"/>
    <cellStyle name="Normal 2 2 2 2" xfId="26287" xr:uid="{00000000-0005-0000-0000-0000AF660000}"/>
    <cellStyle name="Normal 2 2 2 2 2" xfId="26288" xr:uid="{00000000-0005-0000-0000-0000B0660000}"/>
    <cellStyle name="Normal 2 2 2 2 2 2" xfId="26289" xr:uid="{00000000-0005-0000-0000-0000B1660000}"/>
    <cellStyle name="Normal 2 2 2 2 2 3" xfId="26290" xr:uid="{00000000-0005-0000-0000-0000B2660000}"/>
    <cellStyle name="Normal 2 2 2 2 3" xfId="26291" xr:uid="{00000000-0005-0000-0000-0000B3660000}"/>
    <cellStyle name="Normal 2 2 2 2 4" xfId="26292" xr:uid="{00000000-0005-0000-0000-0000B4660000}"/>
    <cellStyle name="Normal 2 2 2 3" xfId="26293" xr:uid="{00000000-0005-0000-0000-0000B5660000}"/>
    <cellStyle name="Normal 2 2 2 3 2" xfId="26294" xr:uid="{00000000-0005-0000-0000-0000B6660000}"/>
    <cellStyle name="Normal 2 2 2 3 3" xfId="26295" xr:uid="{00000000-0005-0000-0000-0000B7660000}"/>
    <cellStyle name="Normal 2 2 2 4" xfId="26296" xr:uid="{00000000-0005-0000-0000-0000B8660000}"/>
    <cellStyle name="Normal 2 2 2 5" xfId="26297" xr:uid="{00000000-0005-0000-0000-0000B9660000}"/>
    <cellStyle name="Normal 2 2 3" xfId="26298" xr:uid="{00000000-0005-0000-0000-0000BA660000}"/>
    <cellStyle name="Normal 2 3" xfId="26299" xr:uid="{00000000-0005-0000-0000-0000BB660000}"/>
    <cellStyle name="Normal 2 3 2" xfId="26300" xr:uid="{00000000-0005-0000-0000-0000BC660000}"/>
    <cellStyle name="Normal 2 3 2 2" xfId="26301" xr:uid="{00000000-0005-0000-0000-0000BD660000}"/>
    <cellStyle name="Normal 2 3 2 2 2" xfId="26302" xr:uid="{00000000-0005-0000-0000-0000BE660000}"/>
    <cellStyle name="Normal 2 3 2 2 2 2" xfId="26303" xr:uid="{00000000-0005-0000-0000-0000BF660000}"/>
    <cellStyle name="Normal 2 3 2 2 2 3" xfId="26304" xr:uid="{00000000-0005-0000-0000-0000C0660000}"/>
    <cellStyle name="Normal 2 3 2 2 3" xfId="26305" xr:uid="{00000000-0005-0000-0000-0000C1660000}"/>
    <cellStyle name="Normal 2 3 2 2 4" xfId="26306" xr:uid="{00000000-0005-0000-0000-0000C2660000}"/>
    <cellStyle name="Normal 2 3 2 3" xfId="26307" xr:uid="{00000000-0005-0000-0000-0000C3660000}"/>
    <cellStyle name="Normal 2 3 2 3 2" xfId="26308" xr:uid="{00000000-0005-0000-0000-0000C4660000}"/>
    <cellStyle name="Normal 2 3 2 3 3" xfId="26309" xr:uid="{00000000-0005-0000-0000-0000C5660000}"/>
    <cellStyle name="Normal 2 3 2 4" xfId="26310" xr:uid="{00000000-0005-0000-0000-0000C6660000}"/>
    <cellStyle name="Normal 2 3 2 5" xfId="26311" xr:uid="{00000000-0005-0000-0000-0000C7660000}"/>
    <cellStyle name="Normal 2 3 3" xfId="26312" xr:uid="{00000000-0005-0000-0000-0000C8660000}"/>
    <cellStyle name="Normal 2 4" xfId="26313" xr:uid="{00000000-0005-0000-0000-0000C9660000}"/>
    <cellStyle name="Normal 2 4 2" xfId="26314" xr:uid="{00000000-0005-0000-0000-0000CA660000}"/>
    <cellStyle name="Normal 2 4 2 2" xfId="26315" xr:uid="{00000000-0005-0000-0000-0000CB660000}"/>
    <cellStyle name="Normal 2 4 2 2 2" xfId="26316" xr:uid="{00000000-0005-0000-0000-0000CC660000}"/>
    <cellStyle name="Normal 2 4 2 2 2 2" xfId="26317" xr:uid="{00000000-0005-0000-0000-0000CD660000}"/>
    <cellStyle name="Normal 2 4 2 2 2 3" xfId="26318" xr:uid="{00000000-0005-0000-0000-0000CE660000}"/>
    <cellStyle name="Normal 2 4 2 2 3" xfId="26319" xr:uid="{00000000-0005-0000-0000-0000CF660000}"/>
    <cellStyle name="Normal 2 4 2 2 4" xfId="26320" xr:uid="{00000000-0005-0000-0000-0000D0660000}"/>
    <cellStyle name="Normal 2 4 2 3" xfId="26321" xr:uid="{00000000-0005-0000-0000-0000D1660000}"/>
    <cellStyle name="Normal 2 4 2 3 2" xfId="26322" xr:uid="{00000000-0005-0000-0000-0000D2660000}"/>
    <cellStyle name="Normal 2 4 2 3 3" xfId="26323" xr:uid="{00000000-0005-0000-0000-0000D3660000}"/>
    <cellStyle name="Normal 2 4 2 4" xfId="26324" xr:uid="{00000000-0005-0000-0000-0000D4660000}"/>
    <cellStyle name="Normal 2 4 2 5" xfId="26325" xr:uid="{00000000-0005-0000-0000-0000D5660000}"/>
    <cellStyle name="Normal 2 4 3" xfId="26326" xr:uid="{00000000-0005-0000-0000-0000D6660000}"/>
    <cellStyle name="Normal 2 5" xfId="26327" xr:uid="{00000000-0005-0000-0000-0000D7660000}"/>
    <cellStyle name="Normal 2 5 2" xfId="26328" xr:uid="{00000000-0005-0000-0000-0000D8660000}"/>
    <cellStyle name="Normal 2 5 2 2" xfId="26329" xr:uid="{00000000-0005-0000-0000-0000D9660000}"/>
    <cellStyle name="Normal 2 5 2 2 2" xfId="26330" xr:uid="{00000000-0005-0000-0000-0000DA660000}"/>
    <cellStyle name="Normal 2 5 2 2 2 2" xfId="26331" xr:uid="{00000000-0005-0000-0000-0000DB660000}"/>
    <cellStyle name="Normal 2 5 2 2 2 3" xfId="26332" xr:uid="{00000000-0005-0000-0000-0000DC660000}"/>
    <cellStyle name="Normal 2 5 2 2 3" xfId="26333" xr:uid="{00000000-0005-0000-0000-0000DD660000}"/>
    <cellStyle name="Normal 2 5 2 2 4" xfId="26334" xr:uid="{00000000-0005-0000-0000-0000DE660000}"/>
    <cellStyle name="Normal 2 5 2 3" xfId="26335" xr:uid="{00000000-0005-0000-0000-0000DF660000}"/>
    <cellStyle name="Normal 2 5 2 3 2" xfId="26336" xr:uid="{00000000-0005-0000-0000-0000E0660000}"/>
    <cellStyle name="Normal 2 5 2 3 3" xfId="26337" xr:uid="{00000000-0005-0000-0000-0000E1660000}"/>
    <cellStyle name="Normal 2 5 2 4" xfId="26338" xr:uid="{00000000-0005-0000-0000-0000E2660000}"/>
    <cellStyle name="Normal 2 5 2 5" xfId="26339" xr:uid="{00000000-0005-0000-0000-0000E3660000}"/>
    <cellStyle name="Normal 2 6" xfId="26340" xr:uid="{00000000-0005-0000-0000-0000E4660000}"/>
    <cellStyle name="Normal 2 6 2" xfId="26341" xr:uid="{00000000-0005-0000-0000-0000E5660000}"/>
    <cellStyle name="Normal 2 6 2 2" xfId="26342" xr:uid="{00000000-0005-0000-0000-0000E6660000}"/>
    <cellStyle name="Normal 2 6 2 2 2" xfId="26343" xr:uid="{00000000-0005-0000-0000-0000E7660000}"/>
    <cellStyle name="Normal 2 6 2 2 2 2" xfId="26344" xr:uid="{00000000-0005-0000-0000-0000E8660000}"/>
    <cellStyle name="Normal 2 6 2 2 2 3" xfId="26345" xr:uid="{00000000-0005-0000-0000-0000E9660000}"/>
    <cellStyle name="Normal 2 6 2 2 3" xfId="26346" xr:uid="{00000000-0005-0000-0000-0000EA660000}"/>
    <cellStyle name="Normal 2 6 2 2 4" xfId="26347" xr:uid="{00000000-0005-0000-0000-0000EB660000}"/>
    <cellStyle name="Normal 2 6 2 3" xfId="26348" xr:uid="{00000000-0005-0000-0000-0000EC660000}"/>
    <cellStyle name="Normal 2 6 2 3 2" xfId="26349" xr:uid="{00000000-0005-0000-0000-0000ED660000}"/>
    <cellStyle name="Normal 2 6 2 3 3" xfId="26350" xr:uid="{00000000-0005-0000-0000-0000EE660000}"/>
    <cellStyle name="Normal 2 6 2 4" xfId="26351" xr:uid="{00000000-0005-0000-0000-0000EF660000}"/>
    <cellStyle name="Normal 2 6 2 5" xfId="26352" xr:uid="{00000000-0005-0000-0000-0000F0660000}"/>
    <cellStyle name="Normal 2 7" xfId="26353" xr:uid="{00000000-0005-0000-0000-0000F1660000}"/>
    <cellStyle name="Normal 2 7 2" xfId="26354" xr:uid="{00000000-0005-0000-0000-0000F2660000}"/>
    <cellStyle name="Normal 2 7 2 2" xfId="26355" xr:uid="{00000000-0005-0000-0000-0000F3660000}"/>
    <cellStyle name="Normal 2 7 2 2 2" xfId="26356" xr:uid="{00000000-0005-0000-0000-0000F4660000}"/>
    <cellStyle name="Normal 2 7 2 2 3" xfId="26357" xr:uid="{00000000-0005-0000-0000-0000F5660000}"/>
    <cellStyle name="Normal 2 7 2 3" xfId="26358" xr:uid="{00000000-0005-0000-0000-0000F6660000}"/>
    <cellStyle name="Normal 2 7 2 4" xfId="26359" xr:uid="{00000000-0005-0000-0000-0000F7660000}"/>
    <cellStyle name="Normal 2 7 3" xfId="26360" xr:uid="{00000000-0005-0000-0000-0000F8660000}"/>
    <cellStyle name="Normal 2 7 3 2" xfId="26361" xr:uid="{00000000-0005-0000-0000-0000F9660000}"/>
    <cellStyle name="Normal 2 7 3 3" xfId="26362" xr:uid="{00000000-0005-0000-0000-0000FA660000}"/>
    <cellStyle name="Normal 2 7 4" xfId="26363" xr:uid="{00000000-0005-0000-0000-0000FB660000}"/>
    <cellStyle name="Normal 2 7 5" xfId="26364" xr:uid="{00000000-0005-0000-0000-0000FC660000}"/>
    <cellStyle name="Normal 2 8" xfId="26365" xr:uid="{00000000-0005-0000-0000-0000FD660000}"/>
    <cellStyle name="Normal 2 9" xfId="26366" xr:uid="{00000000-0005-0000-0000-0000FE660000}"/>
    <cellStyle name="Normal 2_Advance Tax EPIL December 09" xfId="26367" xr:uid="{00000000-0005-0000-0000-0000FF660000}"/>
    <cellStyle name="Normal 20" xfId="26368" xr:uid="{00000000-0005-0000-0000-000000670000}"/>
    <cellStyle name="Normal 20 2" xfId="26369" xr:uid="{00000000-0005-0000-0000-000001670000}"/>
    <cellStyle name="Normal 20 2 2" xfId="26370" xr:uid="{00000000-0005-0000-0000-000002670000}"/>
    <cellStyle name="Normal 20 2 3" xfId="26371" xr:uid="{00000000-0005-0000-0000-000003670000}"/>
    <cellStyle name="Normal 20 3" xfId="26372" xr:uid="{00000000-0005-0000-0000-000004670000}"/>
    <cellStyle name="Normal 20 4" xfId="26373" xr:uid="{00000000-0005-0000-0000-000005670000}"/>
    <cellStyle name="Normal 21" xfId="26374" xr:uid="{00000000-0005-0000-0000-000006670000}"/>
    <cellStyle name="Normal 21 2" xfId="26375" xr:uid="{00000000-0005-0000-0000-000007670000}"/>
    <cellStyle name="Normal 21 2 2" xfId="26376" xr:uid="{00000000-0005-0000-0000-000008670000}"/>
    <cellStyle name="Normal 21 2 2 2" xfId="26377" xr:uid="{00000000-0005-0000-0000-000009670000}"/>
    <cellStyle name="Normal 21 2 2 2 2" xfId="26378" xr:uid="{00000000-0005-0000-0000-00000A670000}"/>
    <cellStyle name="Normal 21 2 2 2 2 2" xfId="26379" xr:uid="{00000000-0005-0000-0000-00000B670000}"/>
    <cellStyle name="Normal 21 2 2 2 2 2 2" xfId="26380" xr:uid="{00000000-0005-0000-0000-00000C670000}"/>
    <cellStyle name="Normal 21 2 2 2 2 2 3" xfId="26381" xr:uid="{00000000-0005-0000-0000-00000D670000}"/>
    <cellStyle name="Normal 21 2 2 2 2 3" xfId="26382" xr:uid="{00000000-0005-0000-0000-00000E670000}"/>
    <cellStyle name="Normal 21 2 2 2 2 4" xfId="26383" xr:uid="{00000000-0005-0000-0000-00000F670000}"/>
    <cellStyle name="Normal 21 2 2 2 3" xfId="26384" xr:uid="{00000000-0005-0000-0000-000010670000}"/>
    <cellStyle name="Normal 21 2 2 2 3 2" xfId="26385" xr:uid="{00000000-0005-0000-0000-000011670000}"/>
    <cellStyle name="Normal 21 2 2 2 3 3" xfId="26386" xr:uid="{00000000-0005-0000-0000-000012670000}"/>
    <cellStyle name="Normal 21 2 2 2 4" xfId="26387" xr:uid="{00000000-0005-0000-0000-000013670000}"/>
    <cellStyle name="Normal 21 2 2 2 5" xfId="26388" xr:uid="{00000000-0005-0000-0000-000014670000}"/>
    <cellStyle name="Normal 21 2 2 3" xfId="26389" xr:uid="{00000000-0005-0000-0000-000015670000}"/>
    <cellStyle name="Normal 21 2 2 3 2" xfId="26390" xr:uid="{00000000-0005-0000-0000-000016670000}"/>
    <cellStyle name="Normal 21 2 2 3 2 2" xfId="26391" xr:uid="{00000000-0005-0000-0000-000017670000}"/>
    <cellStyle name="Normal 21 2 2 3 2 3" xfId="26392" xr:uid="{00000000-0005-0000-0000-000018670000}"/>
    <cellStyle name="Normal 21 2 2 3 3" xfId="26393" xr:uid="{00000000-0005-0000-0000-000019670000}"/>
    <cellStyle name="Normal 21 2 2 3 4" xfId="26394" xr:uid="{00000000-0005-0000-0000-00001A670000}"/>
    <cellStyle name="Normal 21 2 2 4" xfId="26395" xr:uid="{00000000-0005-0000-0000-00001B670000}"/>
    <cellStyle name="Normal 21 2 2 4 2" xfId="26396" xr:uid="{00000000-0005-0000-0000-00001C670000}"/>
    <cellStyle name="Normal 21 2 2 4 3" xfId="26397" xr:uid="{00000000-0005-0000-0000-00001D670000}"/>
    <cellStyle name="Normal 21 2 2 5" xfId="26398" xr:uid="{00000000-0005-0000-0000-00001E670000}"/>
    <cellStyle name="Normal 21 2 2 6" xfId="26399" xr:uid="{00000000-0005-0000-0000-00001F670000}"/>
    <cellStyle name="Normal 21 2 3" xfId="26400" xr:uid="{00000000-0005-0000-0000-000020670000}"/>
    <cellStyle name="Normal 21 2 3 2" xfId="26401" xr:uid="{00000000-0005-0000-0000-000021670000}"/>
    <cellStyle name="Normal 21 2 3 2 2" xfId="26402" xr:uid="{00000000-0005-0000-0000-000022670000}"/>
    <cellStyle name="Normal 21 2 3 2 2 2" xfId="26403" xr:uid="{00000000-0005-0000-0000-000023670000}"/>
    <cellStyle name="Normal 21 2 3 2 2 3" xfId="26404" xr:uid="{00000000-0005-0000-0000-000024670000}"/>
    <cellStyle name="Normal 21 2 3 2 3" xfId="26405" xr:uid="{00000000-0005-0000-0000-000025670000}"/>
    <cellStyle name="Normal 21 2 3 2 4" xfId="26406" xr:uid="{00000000-0005-0000-0000-000026670000}"/>
    <cellStyle name="Normal 21 2 3 3" xfId="26407" xr:uid="{00000000-0005-0000-0000-000027670000}"/>
    <cellStyle name="Normal 21 2 3 3 2" xfId="26408" xr:uid="{00000000-0005-0000-0000-000028670000}"/>
    <cellStyle name="Normal 21 2 3 3 3" xfId="26409" xr:uid="{00000000-0005-0000-0000-000029670000}"/>
    <cellStyle name="Normal 21 2 3 4" xfId="26410" xr:uid="{00000000-0005-0000-0000-00002A670000}"/>
    <cellStyle name="Normal 21 2 3 5" xfId="26411" xr:uid="{00000000-0005-0000-0000-00002B670000}"/>
    <cellStyle name="Normal 21 2 4" xfId="26412" xr:uid="{00000000-0005-0000-0000-00002C670000}"/>
    <cellStyle name="Normal 21 2 4 2" xfId="26413" xr:uid="{00000000-0005-0000-0000-00002D670000}"/>
    <cellStyle name="Normal 21 2 4 2 2" xfId="26414" xr:uid="{00000000-0005-0000-0000-00002E670000}"/>
    <cellStyle name="Normal 21 2 4 2 3" xfId="26415" xr:uid="{00000000-0005-0000-0000-00002F670000}"/>
    <cellStyle name="Normal 21 2 4 3" xfId="26416" xr:uid="{00000000-0005-0000-0000-000030670000}"/>
    <cellStyle name="Normal 21 2 4 4" xfId="26417" xr:uid="{00000000-0005-0000-0000-000031670000}"/>
    <cellStyle name="Normal 21 2 5" xfId="26418" xr:uid="{00000000-0005-0000-0000-000032670000}"/>
    <cellStyle name="Normal 21 2 5 2" xfId="26419" xr:uid="{00000000-0005-0000-0000-000033670000}"/>
    <cellStyle name="Normal 21 2 5 3" xfId="26420" xr:uid="{00000000-0005-0000-0000-000034670000}"/>
    <cellStyle name="Normal 21 2 6" xfId="26421" xr:uid="{00000000-0005-0000-0000-000035670000}"/>
    <cellStyle name="Normal 21 2 7" xfId="26422" xr:uid="{00000000-0005-0000-0000-000036670000}"/>
    <cellStyle name="Normal 21 3" xfId="26423" xr:uid="{00000000-0005-0000-0000-000037670000}"/>
    <cellStyle name="Normal 21 3 2" xfId="26424" xr:uid="{00000000-0005-0000-0000-000038670000}"/>
    <cellStyle name="Normal 21 3 2 2" xfId="26425" xr:uid="{00000000-0005-0000-0000-000039670000}"/>
    <cellStyle name="Normal 21 3 2 2 2" xfId="26426" xr:uid="{00000000-0005-0000-0000-00003A670000}"/>
    <cellStyle name="Normal 21 3 2 2 2 2" xfId="26427" xr:uid="{00000000-0005-0000-0000-00003B670000}"/>
    <cellStyle name="Normal 21 3 2 2 2 3" xfId="26428" xr:uid="{00000000-0005-0000-0000-00003C670000}"/>
    <cellStyle name="Normal 21 3 2 2 3" xfId="26429" xr:uid="{00000000-0005-0000-0000-00003D670000}"/>
    <cellStyle name="Normal 21 3 2 2 4" xfId="26430" xr:uid="{00000000-0005-0000-0000-00003E670000}"/>
    <cellStyle name="Normal 21 3 2 3" xfId="26431" xr:uid="{00000000-0005-0000-0000-00003F670000}"/>
    <cellStyle name="Normal 21 3 2 3 2" xfId="26432" xr:uid="{00000000-0005-0000-0000-000040670000}"/>
    <cellStyle name="Normal 21 3 2 3 3" xfId="26433" xr:uid="{00000000-0005-0000-0000-000041670000}"/>
    <cellStyle name="Normal 21 3 2 4" xfId="26434" xr:uid="{00000000-0005-0000-0000-000042670000}"/>
    <cellStyle name="Normal 21 3 2 5" xfId="26435" xr:uid="{00000000-0005-0000-0000-000043670000}"/>
    <cellStyle name="Normal 21 3 3" xfId="26436" xr:uid="{00000000-0005-0000-0000-000044670000}"/>
    <cellStyle name="Normal 21 3 3 2" xfId="26437" xr:uid="{00000000-0005-0000-0000-000045670000}"/>
    <cellStyle name="Normal 21 3 3 2 2" xfId="26438" xr:uid="{00000000-0005-0000-0000-000046670000}"/>
    <cellStyle name="Normal 21 3 3 2 3" xfId="26439" xr:uid="{00000000-0005-0000-0000-000047670000}"/>
    <cellStyle name="Normal 21 3 3 3" xfId="26440" xr:uid="{00000000-0005-0000-0000-000048670000}"/>
    <cellStyle name="Normal 21 3 3 4" xfId="26441" xr:uid="{00000000-0005-0000-0000-000049670000}"/>
    <cellStyle name="Normal 21 3 4" xfId="26442" xr:uid="{00000000-0005-0000-0000-00004A670000}"/>
    <cellStyle name="Normal 21 3 4 2" xfId="26443" xr:uid="{00000000-0005-0000-0000-00004B670000}"/>
    <cellStyle name="Normal 21 3 4 3" xfId="26444" xr:uid="{00000000-0005-0000-0000-00004C670000}"/>
    <cellStyle name="Normal 21 3 5" xfId="26445" xr:uid="{00000000-0005-0000-0000-00004D670000}"/>
    <cellStyle name="Normal 21 3 6" xfId="26446" xr:uid="{00000000-0005-0000-0000-00004E670000}"/>
    <cellStyle name="Normal 21 4" xfId="26447" xr:uid="{00000000-0005-0000-0000-00004F670000}"/>
    <cellStyle name="Normal 21 4 2" xfId="26448" xr:uid="{00000000-0005-0000-0000-000050670000}"/>
    <cellStyle name="Normal 21 4 2 2" xfId="26449" xr:uid="{00000000-0005-0000-0000-000051670000}"/>
    <cellStyle name="Normal 21 4 2 2 2" xfId="26450" xr:uid="{00000000-0005-0000-0000-000052670000}"/>
    <cellStyle name="Normal 21 4 2 2 3" xfId="26451" xr:uid="{00000000-0005-0000-0000-000053670000}"/>
    <cellStyle name="Normal 21 4 2 3" xfId="26452" xr:uid="{00000000-0005-0000-0000-000054670000}"/>
    <cellStyle name="Normal 21 4 2 4" xfId="26453" xr:uid="{00000000-0005-0000-0000-000055670000}"/>
    <cellStyle name="Normal 21 4 3" xfId="26454" xr:uid="{00000000-0005-0000-0000-000056670000}"/>
    <cellStyle name="Normal 21 4 3 2" xfId="26455" xr:uid="{00000000-0005-0000-0000-000057670000}"/>
    <cellStyle name="Normal 21 4 3 3" xfId="26456" xr:uid="{00000000-0005-0000-0000-000058670000}"/>
    <cellStyle name="Normal 21 4 4" xfId="26457" xr:uid="{00000000-0005-0000-0000-000059670000}"/>
    <cellStyle name="Normal 21 4 5" xfId="26458" xr:uid="{00000000-0005-0000-0000-00005A670000}"/>
    <cellStyle name="Normal 21 5" xfId="26459" xr:uid="{00000000-0005-0000-0000-00005B670000}"/>
    <cellStyle name="Normal 21 5 2" xfId="26460" xr:uid="{00000000-0005-0000-0000-00005C670000}"/>
    <cellStyle name="Normal 21 5 2 2" xfId="26461" xr:uid="{00000000-0005-0000-0000-00005D670000}"/>
    <cellStyle name="Normal 21 5 2 3" xfId="26462" xr:uid="{00000000-0005-0000-0000-00005E670000}"/>
    <cellStyle name="Normal 21 5 3" xfId="26463" xr:uid="{00000000-0005-0000-0000-00005F670000}"/>
    <cellStyle name="Normal 21 5 4" xfId="26464" xr:uid="{00000000-0005-0000-0000-000060670000}"/>
    <cellStyle name="Normal 21 6" xfId="26465" xr:uid="{00000000-0005-0000-0000-000061670000}"/>
    <cellStyle name="Normal 21 6 2" xfId="26466" xr:uid="{00000000-0005-0000-0000-000062670000}"/>
    <cellStyle name="Normal 21 6 3" xfId="26467" xr:uid="{00000000-0005-0000-0000-000063670000}"/>
    <cellStyle name="Normal 21 7" xfId="26468" xr:uid="{00000000-0005-0000-0000-000064670000}"/>
    <cellStyle name="Normal 21 8" xfId="26469" xr:uid="{00000000-0005-0000-0000-000065670000}"/>
    <cellStyle name="Normal 22" xfId="26470" xr:uid="{00000000-0005-0000-0000-000066670000}"/>
    <cellStyle name="Normal 22 2" xfId="26471" xr:uid="{00000000-0005-0000-0000-000067670000}"/>
    <cellStyle name="Normal 22 2 2" xfId="26472" xr:uid="{00000000-0005-0000-0000-000068670000}"/>
    <cellStyle name="Normal 22 2 2 2" xfId="26473" xr:uid="{00000000-0005-0000-0000-000069670000}"/>
    <cellStyle name="Normal 22 2 2 2 2" xfId="26474" xr:uid="{00000000-0005-0000-0000-00006A670000}"/>
    <cellStyle name="Normal 22 2 2 2 2 2" xfId="26475" xr:uid="{00000000-0005-0000-0000-00006B670000}"/>
    <cellStyle name="Normal 22 2 2 2 2 3" xfId="26476" xr:uid="{00000000-0005-0000-0000-00006C670000}"/>
    <cellStyle name="Normal 22 2 2 2 3" xfId="26477" xr:uid="{00000000-0005-0000-0000-00006D670000}"/>
    <cellStyle name="Normal 22 2 2 2 4" xfId="26478" xr:uid="{00000000-0005-0000-0000-00006E670000}"/>
    <cellStyle name="Normal 22 2 2 3" xfId="26479" xr:uid="{00000000-0005-0000-0000-00006F670000}"/>
    <cellStyle name="Normal 22 2 2 3 2" xfId="26480" xr:uid="{00000000-0005-0000-0000-000070670000}"/>
    <cellStyle name="Normal 22 2 2 3 3" xfId="26481" xr:uid="{00000000-0005-0000-0000-000071670000}"/>
    <cellStyle name="Normal 22 2 2 4" xfId="26482" xr:uid="{00000000-0005-0000-0000-000072670000}"/>
    <cellStyle name="Normal 22 2 2 5" xfId="26483" xr:uid="{00000000-0005-0000-0000-000073670000}"/>
    <cellStyle name="Normal 22 2 3" xfId="26484" xr:uid="{00000000-0005-0000-0000-000074670000}"/>
    <cellStyle name="Normal 22 2 3 2" xfId="26485" xr:uid="{00000000-0005-0000-0000-000075670000}"/>
    <cellStyle name="Normal 22 2 3 2 2" xfId="26486" xr:uid="{00000000-0005-0000-0000-000076670000}"/>
    <cellStyle name="Normal 22 2 3 2 3" xfId="26487" xr:uid="{00000000-0005-0000-0000-000077670000}"/>
    <cellStyle name="Normal 22 2 3 3" xfId="26488" xr:uid="{00000000-0005-0000-0000-000078670000}"/>
    <cellStyle name="Normal 22 2 3 4" xfId="26489" xr:uid="{00000000-0005-0000-0000-000079670000}"/>
    <cellStyle name="Normal 22 2 4" xfId="26490" xr:uid="{00000000-0005-0000-0000-00007A670000}"/>
    <cellStyle name="Normal 22 2 4 2" xfId="26491" xr:uid="{00000000-0005-0000-0000-00007B670000}"/>
    <cellStyle name="Normal 22 2 4 3" xfId="26492" xr:uid="{00000000-0005-0000-0000-00007C670000}"/>
    <cellStyle name="Normal 22 2 5" xfId="26493" xr:uid="{00000000-0005-0000-0000-00007D670000}"/>
    <cellStyle name="Normal 22 2 6" xfId="26494" xr:uid="{00000000-0005-0000-0000-00007E670000}"/>
    <cellStyle name="Normal 22 3" xfId="26495" xr:uid="{00000000-0005-0000-0000-00007F670000}"/>
    <cellStyle name="Normal 22 3 2" xfId="26496" xr:uid="{00000000-0005-0000-0000-000080670000}"/>
    <cellStyle name="Normal 22 3 2 2" xfId="26497" xr:uid="{00000000-0005-0000-0000-000081670000}"/>
    <cellStyle name="Normal 22 3 2 2 2" xfId="26498" xr:uid="{00000000-0005-0000-0000-000082670000}"/>
    <cellStyle name="Normal 22 3 2 2 2 2" xfId="26499" xr:uid="{00000000-0005-0000-0000-000083670000}"/>
    <cellStyle name="Normal 22 3 2 2 2 3" xfId="26500" xr:uid="{00000000-0005-0000-0000-000084670000}"/>
    <cellStyle name="Normal 22 3 2 2 3" xfId="26501" xr:uid="{00000000-0005-0000-0000-000085670000}"/>
    <cellStyle name="Normal 22 3 2 2 4" xfId="26502" xr:uid="{00000000-0005-0000-0000-000086670000}"/>
    <cellStyle name="Normal 22 3 2 3" xfId="26503" xr:uid="{00000000-0005-0000-0000-000087670000}"/>
    <cellStyle name="Normal 22 3 2 3 2" xfId="26504" xr:uid="{00000000-0005-0000-0000-000088670000}"/>
    <cellStyle name="Normal 22 3 2 3 3" xfId="26505" xr:uid="{00000000-0005-0000-0000-000089670000}"/>
    <cellStyle name="Normal 22 3 2 4" xfId="26506" xr:uid="{00000000-0005-0000-0000-00008A670000}"/>
    <cellStyle name="Normal 22 3 2 5" xfId="26507" xr:uid="{00000000-0005-0000-0000-00008B670000}"/>
    <cellStyle name="Normal 22 3 3" xfId="26508" xr:uid="{00000000-0005-0000-0000-00008C670000}"/>
    <cellStyle name="Normal 22 3 3 2" xfId="26509" xr:uid="{00000000-0005-0000-0000-00008D670000}"/>
    <cellStyle name="Normal 22 3 3 2 2" xfId="26510" xr:uid="{00000000-0005-0000-0000-00008E670000}"/>
    <cellStyle name="Normal 22 3 3 2 3" xfId="26511" xr:uid="{00000000-0005-0000-0000-00008F670000}"/>
    <cellStyle name="Normal 22 3 3 3" xfId="26512" xr:uid="{00000000-0005-0000-0000-000090670000}"/>
    <cellStyle name="Normal 22 3 3 4" xfId="26513" xr:uid="{00000000-0005-0000-0000-000091670000}"/>
    <cellStyle name="Normal 22 3 4" xfId="26514" xr:uid="{00000000-0005-0000-0000-000092670000}"/>
    <cellStyle name="Normal 22 3 4 2" xfId="26515" xr:uid="{00000000-0005-0000-0000-000093670000}"/>
    <cellStyle name="Normal 22 3 4 3" xfId="26516" xr:uid="{00000000-0005-0000-0000-000094670000}"/>
    <cellStyle name="Normal 22 3 5" xfId="26517" xr:uid="{00000000-0005-0000-0000-000095670000}"/>
    <cellStyle name="Normal 22 3 6" xfId="26518" xr:uid="{00000000-0005-0000-0000-000096670000}"/>
    <cellStyle name="Normal 22 4" xfId="26519" xr:uid="{00000000-0005-0000-0000-000097670000}"/>
    <cellStyle name="Normal 22 4 2" xfId="26520" xr:uid="{00000000-0005-0000-0000-000098670000}"/>
    <cellStyle name="Normal 22 4 2 2" xfId="26521" xr:uid="{00000000-0005-0000-0000-000099670000}"/>
    <cellStyle name="Normal 22 4 2 2 2" xfId="26522" xr:uid="{00000000-0005-0000-0000-00009A670000}"/>
    <cellStyle name="Normal 22 4 2 2 2 2" xfId="26523" xr:uid="{00000000-0005-0000-0000-00009B670000}"/>
    <cellStyle name="Normal 22 4 2 2 2 3" xfId="26524" xr:uid="{00000000-0005-0000-0000-00009C670000}"/>
    <cellStyle name="Normal 22 4 2 2 3" xfId="26525" xr:uid="{00000000-0005-0000-0000-00009D670000}"/>
    <cellStyle name="Normal 22 4 2 2 4" xfId="26526" xr:uid="{00000000-0005-0000-0000-00009E670000}"/>
    <cellStyle name="Normal 22 4 2 3" xfId="26527" xr:uid="{00000000-0005-0000-0000-00009F670000}"/>
    <cellStyle name="Normal 22 4 2 3 2" xfId="26528" xr:uid="{00000000-0005-0000-0000-0000A0670000}"/>
    <cellStyle name="Normal 22 4 2 3 3" xfId="26529" xr:uid="{00000000-0005-0000-0000-0000A1670000}"/>
    <cellStyle name="Normal 22 4 2 4" xfId="26530" xr:uid="{00000000-0005-0000-0000-0000A2670000}"/>
    <cellStyle name="Normal 22 4 2 5" xfId="26531" xr:uid="{00000000-0005-0000-0000-0000A3670000}"/>
    <cellStyle name="Normal 22 4 3" xfId="26532" xr:uid="{00000000-0005-0000-0000-0000A4670000}"/>
    <cellStyle name="Normal 22 4 3 2" xfId="26533" xr:uid="{00000000-0005-0000-0000-0000A5670000}"/>
    <cellStyle name="Normal 22 4 3 2 2" xfId="26534" xr:uid="{00000000-0005-0000-0000-0000A6670000}"/>
    <cellStyle name="Normal 22 4 3 2 3" xfId="26535" xr:uid="{00000000-0005-0000-0000-0000A7670000}"/>
    <cellStyle name="Normal 22 4 3 3" xfId="26536" xr:uid="{00000000-0005-0000-0000-0000A8670000}"/>
    <cellStyle name="Normal 22 4 3 4" xfId="26537" xr:uid="{00000000-0005-0000-0000-0000A9670000}"/>
    <cellStyle name="Normal 22 4 4" xfId="26538" xr:uid="{00000000-0005-0000-0000-0000AA670000}"/>
    <cellStyle name="Normal 22 4 4 2" xfId="26539" xr:uid="{00000000-0005-0000-0000-0000AB670000}"/>
    <cellStyle name="Normal 22 4 4 3" xfId="26540" xr:uid="{00000000-0005-0000-0000-0000AC670000}"/>
    <cellStyle name="Normal 22 4 5" xfId="26541" xr:uid="{00000000-0005-0000-0000-0000AD670000}"/>
    <cellStyle name="Normal 22 4 6" xfId="26542" xr:uid="{00000000-0005-0000-0000-0000AE670000}"/>
    <cellStyle name="Normal 22 5" xfId="26543" xr:uid="{00000000-0005-0000-0000-0000AF670000}"/>
    <cellStyle name="Normal 22 5 2" xfId="26544" xr:uid="{00000000-0005-0000-0000-0000B0670000}"/>
    <cellStyle name="Normal 22 5 2 2" xfId="26545" xr:uid="{00000000-0005-0000-0000-0000B1670000}"/>
    <cellStyle name="Normal 22 5 2 2 2" xfId="26546" xr:uid="{00000000-0005-0000-0000-0000B2670000}"/>
    <cellStyle name="Normal 22 5 2 2 2 2" xfId="26547" xr:uid="{00000000-0005-0000-0000-0000B3670000}"/>
    <cellStyle name="Normal 22 5 2 2 2 3" xfId="26548" xr:uid="{00000000-0005-0000-0000-0000B4670000}"/>
    <cellStyle name="Normal 22 5 2 2 3" xfId="26549" xr:uid="{00000000-0005-0000-0000-0000B5670000}"/>
    <cellStyle name="Normal 22 5 2 2 4" xfId="26550" xr:uid="{00000000-0005-0000-0000-0000B6670000}"/>
    <cellStyle name="Normal 22 5 2 3" xfId="26551" xr:uid="{00000000-0005-0000-0000-0000B7670000}"/>
    <cellStyle name="Normal 22 5 2 3 2" xfId="26552" xr:uid="{00000000-0005-0000-0000-0000B8670000}"/>
    <cellStyle name="Normal 22 5 2 3 3" xfId="26553" xr:uid="{00000000-0005-0000-0000-0000B9670000}"/>
    <cellStyle name="Normal 22 5 2 4" xfId="26554" xr:uid="{00000000-0005-0000-0000-0000BA670000}"/>
    <cellStyle name="Normal 22 5 2 5" xfId="26555" xr:uid="{00000000-0005-0000-0000-0000BB670000}"/>
    <cellStyle name="Normal 22 5 3" xfId="26556" xr:uid="{00000000-0005-0000-0000-0000BC670000}"/>
    <cellStyle name="Normal 22 5 3 2" xfId="26557" xr:uid="{00000000-0005-0000-0000-0000BD670000}"/>
    <cellStyle name="Normal 22 5 3 2 2" xfId="26558" xr:uid="{00000000-0005-0000-0000-0000BE670000}"/>
    <cellStyle name="Normal 22 5 3 2 3" xfId="26559" xr:uid="{00000000-0005-0000-0000-0000BF670000}"/>
    <cellStyle name="Normal 22 5 3 3" xfId="26560" xr:uid="{00000000-0005-0000-0000-0000C0670000}"/>
    <cellStyle name="Normal 22 5 3 4" xfId="26561" xr:uid="{00000000-0005-0000-0000-0000C1670000}"/>
    <cellStyle name="Normal 22 5 4" xfId="26562" xr:uid="{00000000-0005-0000-0000-0000C2670000}"/>
    <cellStyle name="Normal 22 5 4 2" xfId="26563" xr:uid="{00000000-0005-0000-0000-0000C3670000}"/>
    <cellStyle name="Normal 22 5 4 3" xfId="26564" xr:uid="{00000000-0005-0000-0000-0000C4670000}"/>
    <cellStyle name="Normal 22 5 5" xfId="26565" xr:uid="{00000000-0005-0000-0000-0000C5670000}"/>
    <cellStyle name="Normal 22 5 6" xfId="26566" xr:uid="{00000000-0005-0000-0000-0000C6670000}"/>
    <cellStyle name="Normal 22 6" xfId="26567" xr:uid="{00000000-0005-0000-0000-0000C7670000}"/>
    <cellStyle name="Normal 22 6 2" xfId="26568" xr:uid="{00000000-0005-0000-0000-0000C8670000}"/>
    <cellStyle name="Normal 22 6 2 2" xfId="26569" xr:uid="{00000000-0005-0000-0000-0000C9670000}"/>
    <cellStyle name="Normal 22 6 2 2 2" xfId="26570" xr:uid="{00000000-0005-0000-0000-0000CA670000}"/>
    <cellStyle name="Normal 22 6 2 2 2 2" xfId="26571" xr:uid="{00000000-0005-0000-0000-0000CB670000}"/>
    <cellStyle name="Normal 22 6 2 2 2 3" xfId="26572" xr:uid="{00000000-0005-0000-0000-0000CC670000}"/>
    <cellStyle name="Normal 22 6 2 2 3" xfId="26573" xr:uid="{00000000-0005-0000-0000-0000CD670000}"/>
    <cellStyle name="Normal 22 6 2 2 4" xfId="26574" xr:uid="{00000000-0005-0000-0000-0000CE670000}"/>
    <cellStyle name="Normal 22 6 2 3" xfId="26575" xr:uid="{00000000-0005-0000-0000-0000CF670000}"/>
    <cellStyle name="Normal 22 6 2 3 2" xfId="26576" xr:uid="{00000000-0005-0000-0000-0000D0670000}"/>
    <cellStyle name="Normal 22 6 2 3 3" xfId="26577" xr:uid="{00000000-0005-0000-0000-0000D1670000}"/>
    <cellStyle name="Normal 22 6 2 4" xfId="26578" xr:uid="{00000000-0005-0000-0000-0000D2670000}"/>
    <cellStyle name="Normal 22 6 2 5" xfId="26579" xr:uid="{00000000-0005-0000-0000-0000D3670000}"/>
    <cellStyle name="Normal 22 6 3" xfId="26580" xr:uid="{00000000-0005-0000-0000-0000D4670000}"/>
    <cellStyle name="Normal 22 6 3 2" xfId="26581" xr:uid="{00000000-0005-0000-0000-0000D5670000}"/>
    <cellStyle name="Normal 22 6 3 2 2" xfId="26582" xr:uid="{00000000-0005-0000-0000-0000D6670000}"/>
    <cellStyle name="Normal 22 6 3 2 3" xfId="26583" xr:uid="{00000000-0005-0000-0000-0000D7670000}"/>
    <cellStyle name="Normal 22 6 3 3" xfId="26584" xr:uid="{00000000-0005-0000-0000-0000D8670000}"/>
    <cellStyle name="Normal 22 6 3 4" xfId="26585" xr:uid="{00000000-0005-0000-0000-0000D9670000}"/>
    <cellStyle name="Normal 22 6 4" xfId="26586" xr:uid="{00000000-0005-0000-0000-0000DA670000}"/>
    <cellStyle name="Normal 22 6 4 2" xfId="26587" xr:uid="{00000000-0005-0000-0000-0000DB670000}"/>
    <cellStyle name="Normal 22 6 4 3" xfId="26588" xr:uid="{00000000-0005-0000-0000-0000DC670000}"/>
    <cellStyle name="Normal 22 6 5" xfId="26589" xr:uid="{00000000-0005-0000-0000-0000DD670000}"/>
    <cellStyle name="Normal 22 6 6" xfId="26590" xr:uid="{00000000-0005-0000-0000-0000DE670000}"/>
    <cellStyle name="Normal 22 7" xfId="26591" xr:uid="{00000000-0005-0000-0000-0000DF670000}"/>
    <cellStyle name="Normal 22 7 2" xfId="26592" xr:uid="{00000000-0005-0000-0000-0000E0670000}"/>
    <cellStyle name="Normal 22 7 2 2" xfId="26593" xr:uid="{00000000-0005-0000-0000-0000E1670000}"/>
    <cellStyle name="Normal 22 7 2 2 2" xfId="26594" xr:uid="{00000000-0005-0000-0000-0000E2670000}"/>
    <cellStyle name="Normal 22 7 2 2 2 2" xfId="26595" xr:uid="{00000000-0005-0000-0000-0000E3670000}"/>
    <cellStyle name="Normal 22 7 2 2 2 3" xfId="26596" xr:uid="{00000000-0005-0000-0000-0000E4670000}"/>
    <cellStyle name="Normal 22 7 2 2 3" xfId="26597" xr:uid="{00000000-0005-0000-0000-0000E5670000}"/>
    <cellStyle name="Normal 22 7 2 2 4" xfId="26598" xr:uid="{00000000-0005-0000-0000-0000E6670000}"/>
    <cellStyle name="Normal 22 7 2 3" xfId="26599" xr:uid="{00000000-0005-0000-0000-0000E7670000}"/>
    <cellStyle name="Normal 22 7 2 3 2" xfId="26600" xr:uid="{00000000-0005-0000-0000-0000E8670000}"/>
    <cellStyle name="Normal 22 7 2 3 3" xfId="26601" xr:uid="{00000000-0005-0000-0000-0000E9670000}"/>
    <cellStyle name="Normal 22 7 2 4" xfId="26602" xr:uid="{00000000-0005-0000-0000-0000EA670000}"/>
    <cellStyle name="Normal 22 7 2 5" xfId="26603" xr:uid="{00000000-0005-0000-0000-0000EB670000}"/>
    <cellStyle name="Normal 22 7 3" xfId="26604" xr:uid="{00000000-0005-0000-0000-0000EC670000}"/>
    <cellStyle name="Normal 22 7 3 2" xfId="26605" xr:uid="{00000000-0005-0000-0000-0000ED670000}"/>
    <cellStyle name="Normal 22 7 3 2 2" xfId="26606" xr:uid="{00000000-0005-0000-0000-0000EE670000}"/>
    <cellStyle name="Normal 22 7 3 2 3" xfId="26607" xr:uid="{00000000-0005-0000-0000-0000EF670000}"/>
    <cellStyle name="Normal 22 7 3 3" xfId="26608" xr:uid="{00000000-0005-0000-0000-0000F0670000}"/>
    <cellStyle name="Normal 22 7 3 4" xfId="26609" xr:uid="{00000000-0005-0000-0000-0000F1670000}"/>
    <cellStyle name="Normal 22 7 4" xfId="26610" xr:uid="{00000000-0005-0000-0000-0000F2670000}"/>
    <cellStyle name="Normal 22 7 4 2" xfId="26611" xr:uid="{00000000-0005-0000-0000-0000F3670000}"/>
    <cellStyle name="Normal 22 7 4 3" xfId="26612" xr:uid="{00000000-0005-0000-0000-0000F4670000}"/>
    <cellStyle name="Normal 22 7 5" xfId="26613" xr:uid="{00000000-0005-0000-0000-0000F5670000}"/>
    <cellStyle name="Normal 22 7 6" xfId="26614" xr:uid="{00000000-0005-0000-0000-0000F6670000}"/>
    <cellStyle name="Normal 22 8" xfId="26615" xr:uid="{00000000-0005-0000-0000-0000F7670000}"/>
    <cellStyle name="Normal 22 8 2" xfId="26616" xr:uid="{00000000-0005-0000-0000-0000F8670000}"/>
    <cellStyle name="Normal 22 8 2 2" xfId="26617" xr:uid="{00000000-0005-0000-0000-0000F9670000}"/>
    <cellStyle name="Normal 22 8 2 2 2" xfId="26618" xr:uid="{00000000-0005-0000-0000-0000FA670000}"/>
    <cellStyle name="Normal 22 8 2 2 2 2" xfId="26619" xr:uid="{00000000-0005-0000-0000-0000FB670000}"/>
    <cellStyle name="Normal 22 8 2 2 2 3" xfId="26620" xr:uid="{00000000-0005-0000-0000-0000FC670000}"/>
    <cellStyle name="Normal 22 8 2 2 3" xfId="26621" xr:uid="{00000000-0005-0000-0000-0000FD670000}"/>
    <cellStyle name="Normal 22 8 2 2 4" xfId="26622" xr:uid="{00000000-0005-0000-0000-0000FE670000}"/>
    <cellStyle name="Normal 22 8 2 3" xfId="26623" xr:uid="{00000000-0005-0000-0000-0000FF670000}"/>
    <cellStyle name="Normal 22 8 2 3 2" xfId="26624" xr:uid="{00000000-0005-0000-0000-000000680000}"/>
    <cellStyle name="Normal 22 8 2 3 3" xfId="26625" xr:uid="{00000000-0005-0000-0000-000001680000}"/>
    <cellStyle name="Normal 22 8 2 4" xfId="26626" xr:uid="{00000000-0005-0000-0000-000002680000}"/>
    <cellStyle name="Normal 22 8 2 5" xfId="26627" xr:uid="{00000000-0005-0000-0000-000003680000}"/>
    <cellStyle name="Normal 22 8 3" xfId="26628" xr:uid="{00000000-0005-0000-0000-000004680000}"/>
    <cellStyle name="Normal 22 8 3 2" xfId="26629" xr:uid="{00000000-0005-0000-0000-000005680000}"/>
    <cellStyle name="Normal 22 8 3 2 2" xfId="26630" xr:uid="{00000000-0005-0000-0000-000006680000}"/>
    <cellStyle name="Normal 22 8 3 2 3" xfId="26631" xr:uid="{00000000-0005-0000-0000-000007680000}"/>
    <cellStyle name="Normal 22 8 3 3" xfId="26632" xr:uid="{00000000-0005-0000-0000-000008680000}"/>
    <cellStyle name="Normal 22 8 3 4" xfId="26633" xr:uid="{00000000-0005-0000-0000-000009680000}"/>
    <cellStyle name="Normal 22 8 4" xfId="26634" xr:uid="{00000000-0005-0000-0000-00000A680000}"/>
    <cellStyle name="Normal 22 8 4 2" xfId="26635" xr:uid="{00000000-0005-0000-0000-00000B680000}"/>
    <cellStyle name="Normal 22 8 4 3" xfId="26636" xr:uid="{00000000-0005-0000-0000-00000C680000}"/>
    <cellStyle name="Normal 22 8 5" xfId="26637" xr:uid="{00000000-0005-0000-0000-00000D680000}"/>
    <cellStyle name="Normal 22 8 6" xfId="26638" xr:uid="{00000000-0005-0000-0000-00000E680000}"/>
    <cellStyle name="Normal 23" xfId="26639" xr:uid="{00000000-0005-0000-0000-00000F680000}"/>
    <cellStyle name="Normal 23 2" xfId="26640" xr:uid="{00000000-0005-0000-0000-000010680000}"/>
    <cellStyle name="Normal 23 2 2" xfId="26641" xr:uid="{00000000-0005-0000-0000-000011680000}"/>
    <cellStyle name="Normal 23 2 2 2" xfId="26642" xr:uid="{00000000-0005-0000-0000-000012680000}"/>
    <cellStyle name="Normal 23 2 2 2 2" xfId="26643" xr:uid="{00000000-0005-0000-0000-000013680000}"/>
    <cellStyle name="Normal 23 2 2 2 2 2" xfId="26644" xr:uid="{00000000-0005-0000-0000-000014680000}"/>
    <cellStyle name="Normal 23 2 2 2 2 3" xfId="26645" xr:uid="{00000000-0005-0000-0000-000015680000}"/>
    <cellStyle name="Normal 23 2 2 2 3" xfId="26646" xr:uid="{00000000-0005-0000-0000-000016680000}"/>
    <cellStyle name="Normal 23 2 2 2 4" xfId="26647" xr:uid="{00000000-0005-0000-0000-000017680000}"/>
    <cellStyle name="Normal 23 2 2 3" xfId="26648" xr:uid="{00000000-0005-0000-0000-000018680000}"/>
    <cellStyle name="Normal 23 2 2 3 2" xfId="26649" xr:uid="{00000000-0005-0000-0000-000019680000}"/>
    <cellStyle name="Normal 23 2 2 3 3" xfId="26650" xr:uid="{00000000-0005-0000-0000-00001A680000}"/>
    <cellStyle name="Normal 23 2 2 4" xfId="26651" xr:uid="{00000000-0005-0000-0000-00001B680000}"/>
    <cellStyle name="Normal 23 2 2 5" xfId="26652" xr:uid="{00000000-0005-0000-0000-00001C680000}"/>
    <cellStyle name="Normal 23 2 3" xfId="26653" xr:uid="{00000000-0005-0000-0000-00001D680000}"/>
    <cellStyle name="Normal 23 2 3 2" xfId="26654" xr:uid="{00000000-0005-0000-0000-00001E680000}"/>
    <cellStyle name="Normal 23 2 3 2 2" xfId="26655" xr:uid="{00000000-0005-0000-0000-00001F680000}"/>
    <cellStyle name="Normal 23 2 3 2 3" xfId="26656" xr:uid="{00000000-0005-0000-0000-000020680000}"/>
    <cellStyle name="Normal 23 2 3 3" xfId="26657" xr:uid="{00000000-0005-0000-0000-000021680000}"/>
    <cellStyle name="Normal 23 2 3 4" xfId="26658" xr:uid="{00000000-0005-0000-0000-000022680000}"/>
    <cellStyle name="Normal 23 2 4" xfId="26659" xr:uid="{00000000-0005-0000-0000-000023680000}"/>
    <cellStyle name="Normal 23 2 4 2" xfId="26660" xr:uid="{00000000-0005-0000-0000-000024680000}"/>
    <cellStyle name="Normal 23 2 4 3" xfId="26661" xr:uid="{00000000-0005-0000-0000-000025680000}"/>
    <cellStyle name="Normal 23 2 5" xfId="26662" xr:uid="{00000000-0005-0000-0000-000026680000}"/>
    <cellStyle name="Normal 23 2 6" xfId="26663" xr:uid="{00000000-0005-0000-0000-000027680000}"/>
    <cellStyle name="Normal 23 3" xfId="26664" xr:uid="{00000000-0005-0000-0000-000028680000}"/>
    <cellStyle name="Normal 23 3 2" xfId="26665" xr:uid="{00000000-0005-0000-0000-000029680000}"/>
    <cellStyle name="Normal 23 3 2 2" xfId="26666" xr:uid="{00000000-0005-0000-0000-00002A680000}"/>
    <cellStyle name="Normal 23 3 2 2 2" xfId="26667" xr:uid="{00000000-0005-0000-0000-00002B680000}"/>
    <cellStyle name="Normal 23 3 2 2 3" xfId="26668" xr:uid="{00000000-0005-0000-0000-00002C680000}"/>
    <cellStyle name="Normal 23 3 2 3" xfId="26669" xr:uid="{00000000-0005-0000-0000-00002D680000}"/>
    <cellStyle name="Normal 23 3 2 4" xfId="26670" xr:uid="{00000000-0005-0000-0000-00002E680000}"/>
    <cellStyle name="Normal 23 3 3" xfId="26671" xr:uid="{00000000-0005-0000-0000-00002F680000}"/>
    <cellStyle name="Normal 23 3 3 2" xfId="26672" xr:uid="{00000000-0005-0000-0000-000030680000}"/>
    <cellStyle name="Normal 23 3 3 3" xfId="26673" xr:uid="{00000000-0005-0000-0000-000031680000}"/>
    <cellStyle name="Normal 23 3 4" xfId="26674" xr:uid="{00000000-0005-0000-0000-000032680000}"/>
    <cellStyle name="Normal 23 3 5" xfId="26675" xr:uid="{00000000-0005-0000-0000-000033680000}"/>
    <cellStyle name="Normal 23 4" xfId="26676" xr:uid="{00000000-0005-0000-0000-000034680000}"/>
    <cellStyle name="Normal 23 4 2" xfId="26677" xr:uid="{00000000-0005-0000-0000-000035680000}"/>
    <cellStyle name="Normal 23 4 2 2" xfId="26678" xr:uid="{00000000-0005-0000-0000-000036680000}"/>
    <cellStyle name="Normal 23 4 2 3" xfId="26679" xr:uid="{00000000-0005-0000-0000-000037680000}"/>
    <cellStyle name="Normal 23 4 3" xfId="26680" xr:uid="{00000000-0005-0000-0000-000038680000}"/>
    <cellStyle name="Normal 23 4 4" xfId="26681" xr:uid="{00000000-0005-0000-0000-000039680000}"/>
    <cellStyle name="Normal 23 5" xfId="26682" xr:uid="{00000000-0005-0000-0000-00003A680000}"/>
    <cellStyle name="Normal 23 5 2" xfId="26683" xr:uid="{00000000-0005-0000-0000-00003B680000}"/>
    <cellStyle name="Normal 23 5 3" xfId="26684" xr:uid="{00000000-0005-0000-0000-00003C680000}"/>
    <cellStyle name="Normal 23 6" xfId="26685" xr:uid="{00000000-0005-0000-0000-00003D680000}"/>
    <cellStyle name="Normal 23 7" xfId="26686" xr:uid="{00000000-0005-0000-0000-00003E680000}"/>
    <cellStyle name="Normal 24" xfId="26687" xr:uid="{00000000-0005-0000-0000-00003F680000}"/>
    <cellStyle name="Normal 25" xfId="26688" xr:uid="{00000000-0005-0000-0000-000040680000}"/>
    <cellStyle name="Normal 25 2" xfId="26689" xr:uid="{00000000-0005-0000-0000-000041680000}"/>
    <cellStyle name="Normal 26" xfId="26690" xr:uid="{00000000-0005-0000-0000-000042680000}"/>
    <cellStyle name="Normal 27" xfId="26691" xr:uid="{00000000-0005-0000-0000-000043680000}"/>
    <cellStyle name="Normal 28" xfId="26692" xr:uid="{00000000-0005-0000-0000-000044680000}"/>
    <cellStyle name="Normal 29" xfId="26693" xr:uid="{00000000-0005-0000-0000-000045680000}"/>
    <cellStyle name="Normal 3" xfId="14" xr:uid="{00000000-0005-0000-0000-00000E000000}"/>
    <cellStyle name="Normal 3 2" xfId="26694" xr:uid="{00000000-0005-0000-0000-000046680000}"/>
    <cellStyle name="Normal 3 2 2" xfId="26695" xr:uid="{00000000-0005-0000-0000-000047680000}"/>
    <cellStyle name="Normal 3 2 2 2" xfId="26696" xr:uid="{00000000-0005-0000-0000-000048680000}"/>
    <cellStyle name="Normal 3 2 2 2 2" xfId="26697" xr:uid="{00000000-0005-0000-0000-000049680000}"/>
    <cellStyle name="Normal 3 2 2 2 2 2" xfId="26698" xr:uid="{00000000-0005-0000-0000-00004A680000}"/>
    <cellStyle name="Normal 3 2 2 2 2 3" xfId="26699" xr:uid="{00000000-0005-0000-0000-00004B680000}"/>
    <cellStyle name="Normal 3 2 2 2 3" xfId="26700" xr:uid="{00000000-0005-0000-0000-00004C680000}"/>
    <cellStyle name="Normal 3 2 2 2 4" xfId="26701" xr:uid="{00000000-0005-0000-0000-00004D680000}"/>
    <cellStyle name="Normal 3 2 2 3" xfId="26702" xr:uid="{00000000-0005-0000-0000-00004E680000}"/>
    <cellStyle name="Normal 3 2 2 3 2" xfId="26703" xr:uid="{00000000-0005-0000-0000-00004F680000}"/>
    <cellStyle name="Normal 3 2 2 3 3" xfId="26704" xr:uid="{00000000-0005-0000-0000-000050680000}"/>
    <cellStyle name="Normal 3 2 2 4" xfId="26705" xr:uid="{00000000-0005-0000-0000-000051680000}"/>
    <cellStyle name="Normal 3 2 2 5" xfId="26706" xr:uid="{00000000-0005-0000-0000-000052680000}"/>
    <cellStyle name="Normal 3 3" xfId="26707" xr:uid="{00000000-0005-0000-0000-000053680000}"/>
    <cellStyle name="Normal 3 3 2" xfId="26708" xr:uid="{00000000-0005-0000-0000-000054680000}"/>
    <cellStyle name="Normal 3 3 2 2" xfId="26709" xr:uid="{00000000-0005-0000-0000-000055680000}"/>
    <cellStyle name="Normal 3 3 2 2 2" xfId="26710" xr:uid="{00000000-0005-0000-0000-000056680000}"/>
    <cellStyle name="Normal 3 3 2 2 3" xfId="26711" xr:uid="{00000000-0005-0000-0000-000057680000}"/>
    <cellStyle name="Normal 3 3 2 3" xfId="26712" xr:uid="{00000000-0005-0000-0000-000058680000}"/>
    <cellStyle name="Normal 3 3 2 4" xfId="26713" xr:uid="{00000000-0005-0000-0000-000059680000}"/>
    <cellStyle name="Normal 3 3 3" xfId="26714" xr:uid="{00000000-0005-0000-0000-00005A680000}"/>
    <cellStyle name="Normal 3 3 3 2" xfId="26715" xr:uid="{00000000-0005-0000-0000-00005B680000}"/>
    <cellStyle name="Normal 3 3 3 3" xfId="26716" xr:uid="{00000000-0005-0000-0000-00005C680000}"/>
    <cellStyle name="Normal 3 3 4" xfId="26717" xr:uid="{00000000-0005-0000-0000-00005D680000}"/>
    <cellStyle name="Normal 3 3 5" xfId="26718" xr:uid="{00000000-0005-0000-0000-00005E680000}"/>
    <cellStyle name="Normal 3 4" xfId="26719" xr:uid="{00000000-0005-0000-0000-00005F680000}"/>
    <cellStyle name="Normal 3 5" xfId="26720" xr:uid="{00000000-0005-0000-0000-000060680000}"/>
    <cellStyle name="Normal 3 6" xfId="26721" xr:uid="{00000000-0005-0000-0000-000061680000}"/>
    <cellStyle name="Normal 3_IBFSL 30 Sep 11 V8" xfId="26722" xr:uid="{00000000-0005-0000-0000-000062680000}"/>
    <cellStyle name="Normal 30" xfId="26723" xr:uid="{00000000-0005-0000-0000-000063680000}"/>
    <cellStyle name="Normal 31" xfId="26724" xr:uid="{00000000-0005-0000-0000-000064680000}"/>
    <cellStyle name="Normal 32" xfId="26725" xr:uid="{00000000-0005-0000-0000-000065680000}"/>
    <cellStyle name="Normal 33" xfId="26726" xr:uid="{00000000-0005-0000-0000-000066680000}"/>
    <cellStyle name="Normal 34" xfId="26727" xr:uid="{00000000-0005-0000-0000-000067680000}"/>
    <cellStyle name="Normal 35" xfId="26728" xr:uid="{00000000-0005-0000-0000-000068680000}"/>
    <cellStyle name="Normal 35 2" xfId="26729" xr:uid="{00000000-0005-0000-0000-000069680000}"/>
    <cellStyle name="Normal 35 2 2" xfId="26730" xr:uid="{00000000-0005-0000-0000-00006A680000}"/>
    <cellStyle name="Normal 35 2 2 2" xfId="26731" xr:uid="{00000000-0005-0000-0000-00006B680000}"/>
    <cellStyle name="Normal 35 2 2 2 2" xfId="26732" xr:uid="{00000000-0005-0000-0000-00006C680000}"/>
    <cellStyle name="Normal 35 2 2 2 3" xfId="26733" xr:uid="{00000000-0005-0000-0000-00006D680000}"/>
    <cellStyle name="Normal 35 2 2 3" xfId="26734" xr:uid="{00000000-0005-0000-0000-00006E680000}"/>
    <cellStyle name="Normal 35 2 2 4" xfId="26735" xr:uid="{00000000-0005-0000-0000-00006F680000}"/>
    <cellStyle name="Normal 35 2 3" xfId="26736" xr:uid="{00000000-0005-0000-0000-000070680000}"/>
    <cellStyle name="Normal 35 2 3 2" xfId="26737" xr:uid="{00000000-0005-0000-0000-000071680000}"/>
    <cellStyle name="Normal 35 2 3 3" xfId="26738" xr:uid="{00000000-0005-0000-0000-000072680000}"/>
    <cellStyle name="Normal 35 2 4" xfId="26739" xr:uid="{00000000-0005-0000-0000-000073680000}"/>
    <cellStyle name="Normal 35 2 5" xfId="26740" xr:uid="{00000000-0005-0000-0000-000074680000}"/>
    <cellStyle name="Normal 36" xfId="26741" xr:uid="{00000000-0005-0000-0000-000075680000}"/>
    <cellStyle name="Normal 36 2" xfId="26742" xr:uid="{00000000-0005-0000-0000-000076680000}"/>
    <cellStyle name="Normal 36 2 2" xfId="26743" xr:uid="{00000000-0005-0000-0000-000077680000}"/>
    <cellStyle name="Normal 36 2 2 2" xfId="26744" xr:uid="{00000000-0005-0000-0000-000078680000}"/>
    <cellStyle name="Normal 36 2 2 2 2" xfId="26745" xr:uid="{00000000-0005-0000-0000-000079680000}"/>
    <cellStyle name="Normal 36 2 2 2 3" xfId="26746" xr:uid="{00000000-0005-0000-0000-00007A680000}"/>
    <cellStyle name="Normal 36 2 2 3" xfId="26747" xr:uid="{00000000-0005-0000-0000-00007B680000}"/>
    <cellStyle name="Normal 36 2 2 4" xfId="26748" xr:uid="{00000000-0005-0000-0000-00007C680000}"/>
    <cellStyle name="Normal 36 2 3" xfId="26749" xr:uid="{00000000-0005-0000-0000-00007D680000}"/>
    <cellStyle name="Normal 36 2 3 2" xfId="26750" xr:uid="{00000000-0005-0000-0000-00007E680000}"/>
    <cellStyle name="Normal 36 2 3 3" xfId="26751" xr:uid="{00000000-0005-0000-0000-00007F680000}"/>
    <cellStyle name="Normal 36 2 4" xfId="26752" xr:uid="{00000000-0005-0000-0000-000080680000}"/>
    <cellStyle name="Normal 36 2 5" xfId="26753" xr:uid="{00000000-0005-0000-0000-000081680000}"/>
    <cellStyle name="Normal 36 3" xfId="26754" xr:uid="{00000000-0005-0000-0000-000082680000}"/>
    <cellStyle name="Normal 36 3 2" xfId="26755" xr:uid="{00000000-0005-0000-0000-000083680000}"/>
    <cellStyle name="Normal 36 3 2 2" xfId="26756" xr:uid="{00000000-0005-0000-0000-000084680000}"/>
    <cellStyle name="Normal 36 3 2 3" xfId="26757" xr:uid="{00000000-0005-0000-0000-000085680000}"/>
    <cellStyle name="Normal 36 3 3" xfId="26758" xr:uid="{00000000-0005-0000-0000-000086680000}"/>
    <cellStyle name="Normal 36 3 4" xfId="26759" xr:uid="{00000000-0005-0000-0000-000087680000}"/>
    <cellStyle name="Normal 36 4" xfId="26760" xr:uid="{00000000-0005-0000-0000-000088680000}"/>
    <cellStyle name="Normal 36 4 2" xfId="26761" xr:uid="{00000000-0005-0000-0000-000089680000}"/>
    <cellStyle name="Normal 36 4 3" xfId="26762" xr:uid="{00000000-0005-0000-0000-00008A680000}"/>
    <cellStyle name="Normal 36 5" xfId="26763" xr:uid="{00000000-0005-0000-0000-00008B680000}"/>
    <cellStyle name="Normal 36 6" xfId="26764" xr:uid="{00000000-0005-0000-0000-00008C680000}"/>
    <cellStyle name="Normal 37" xfId="26765" xr:uid="{00000000-0005-0000-0000-00008D680000}"/>
    <cellStyle name="Normal 37 2" xfId="26766" xr:uid="{00000000-0005-0000-0000-00008E680000}"/>
    <cellStyle name="Normal 37 2 2" xfId="26767" xr:uid="{00000000-0005-0000-0000-00008F680000}"/>
    <cellStyle name="Normal 37 2 2 2" xfId="26768" xr:uid="{00000000-0005-0000-0000-000090680000}"/>
    <cellStyle name="Normal 37 2 2 2 2" xfId="26769" xr:uid="{00000000-0005-0000-0000-000091680000}"/>
    <cellStyle name="Normal 37 2 2 2 3" xfId="26770" xr:uid="{00000000-0005-0000-0000-000092680000}"/>
    <cellStyle name="Normal 37 2 2 3" xfId="26771" xr:uid="{00000000-0005-0000-0000-000093680000}"/>
    <cellStyle name="Normal 37 2 2 4" xfId="26772" xr:uid="{00000000-0005-0000-0000-000094680000}"/>
    <cellStyle name="Normal 37 2 3" xfId="26773" xr:uid="{00000000-0005-0000-0000-000095680000}"/>
    <cellStyle name="Normal 37 2 3 2" xfId="26774" xr:uid="{00000000-0005-0000-0000-000096680000}"/>
    <cellStyle name="Normal 37 2 3 3" xfId="26775" xr:uid="{00000000-0005-0000-0000-000097680000}"/>
    <cellStyle name="Normal 37 2 4" xfId="26776" xr:uid="{00000000-0005-0000-0000-000098680000}"/>
    <cellStyle name="Normal 37 2 5" xfId="26777" xr:uid="{00000000-0005-0000-0000-000099680000}"/>
    <cellStyle name="Normal 37 3" xfId="26778" xr:uid="{00000000-0005-0000-0000-00009A680000}"/>
    <cellStyle name="Normal 37 3 2" xfId="26779" xr:uid="{00000000-0005-0000-0000-00009B680000}"/>
    <cellStyle name="Normal 37 3 2 2" xfId="26780" xr:uid="{00000000-0005-0000-0000-00009C680000}"/>
    <cellStyle name="Normal 37 3 2 3" xfId="26781" xr:uid="{00000000-0005-0000-0000-00009D680000}"/>
    <cellStyle name="Normal 37 3 3" xfId="26782" xr:uid="{00000000-0005-0000-0000-00009E680000}"/>
    <cellStyle name="Normal 37 3 4" xfId="26783" xr:uid="{00000000-0005-0000-0000-00009F680000}"/>
    <cellStyle name="Normal 37 4" xfId="26784" xr:uid="{00000000-0005-0000-0000-0000A0680000}"/>
    <cellStyle name="Normal 37 4 2" xfId="26785" xr:uid="{00000000-0005-0000-0000-0000A1680000}"/>
    <cellStyle name="Normal 37 4 3" xfId="26786" xr:uid="{00000000-0005-0000-0000-0000A2680000}"/>
    <cellStyle name="Normal 37 5" xfId="26787" xr:uid="{00000000-0005-0000-0000-0000A3680000}"/>
    <cellStyle name="Normal 37 6" xfId="26788" xr:uid="{00000000-0005-0000-0000-0000A4680000}"/>
    <cellStyle name="Normal 38" xfId="26789" xr:uid="{00000000-0005-0000-0000-0000A5680000}"/>
    <cellStyle name="Normal 38 2" xfId="26790" xr:uid="{00000000-0005-0000-0000-0000A6680000}"/>
    <cellStyle name="Normal 38 2 2" xfId="26791" xr:uid="{00000000-0005-0000-0000-0000A7680000}"/>
    <cellStyle name="Normal 38 2 2 2" xfId="26792" xr:uid="{00000000-0005-0000-0000-0000A8680000}"/>
    <cellStyle name="Normal 38 2 2 2 2" xfId="26793" xr:uid="{00000000-0005-0000-0000-0000A9680000}"/>
    <cellStyle name="Normal 38 2 2 2 3" xfId="26794" xr:uid="{00000000-0005-0000-0000-0000AA680000}"/>
    <cellStyle name="Normal 38 2 2 3" xfId="26795" xr:uid="{00000000-0005-0000-0000-0000AB680000}"/>
    <cellStyle name="Normal 38 2 2 4" xfId="26796" xr:uid="{00000000-0005-0000-0000-0000AC680000}"/>
    <cellStyle name="Normal 38 2 3" xfId="26797" xr:uid="{00000000-0005-0000-0000-0000AD680000}"/>
    <cellStyle name="Normal 38 2 3 2" xfId="26798" xr:uid="{00000000-0005-0000-0000-0000AE680000}"/>
    <cellStyle name="Normal 38 2 3 3" xfId="26799" xr:uid="{00000000-0005-0000-0000-0000AF680000}"/>
    <cellStyle name="Normal 38 2 4" xfId="26800" xr:uid="{00000000-0005-0000-0000-0000B0680000}"/>
    <cellStyle name="Normal 38 2 5" xfId="26801" xr:uid="{00000000-0005-0000-0000-0000B1680000}"/>
    <cellStyle name="Normal 38 3" xfId="26802" xr:uid="{00000000-0005-0000-0000-0000B2680000}"/>
    <cellStyle name="Normal 38 3 2" xfId="26803" xr:uid="{00000000-0005-0000-0000-0000B3680000}"/>
    <cellStyle name="Normal 38 3 2 2" xfId="26804" xr:uid="{00000000-0005-0000-0000-0000B4680000}"/>
    <cellStyle name="Normal 38 3 2 3" xfId="26805" xr:uid="{00000000-0005-0000-0000-0000B5680000}"/>
    <cellStyle name="Normal 38 3 3" xfId="26806" xr:uid="{00000000-0005-0000-0000-0000B6680000}"/>
    <cellStyle name="Normal 38 3 4" xfId="26807" xr:uid="{00000000-0005-0000-0000-0000B7680000}"/>
    <cellStyle name="Normal 38 4" xfId="26808" xr:uid="{00000000-0005-0000-0000-0000B8680000}"/>
    <cellStyle name="Normal 38 4 2" xfId="26809" xr:uid="{00000000-0005-0000-0000-0000B9680000}"/>
    <cellStyle name="Normal 38 4 3" xfId="26810" xr:uid="{00000000-0005-0000-0000-0000BA680000}"/>
    <cellStyle name="Normal 38 5" xfId="26811" xr:uid="{00000000-0005-0000-0000-0000BB680000}"/>
    <cellStyle name="Normal 38 6" xfId="26812" xr:uid="{00000000-0005-0000-0000-0000BC680000}"/>
    <cellStyle name="Normal 39" xfId="26813" xr:uid="{00000000-0005-0000-0000-0000BD680000}"/>
    <cellStyle name="Normal 39 2" xfId="26814" xr:uid="{00000000-0005-0000-0000-0000BE680000}"/>
    <cellStyle name="Normal 39 2 2" xfId="26815" xr:uid="{00000000-0005-0000-0000-0000BF680000}"/>
    <cellStyle name="Normal 39 2 3" xfId="26816" xr:uid="{00000000-0005-0000-0000-0000C0680000}"/>
    <cellStyle name="Normal 39 3" xfId="26817" xr:uid="{00000000-0005-0000-0000-0000C1680000}"/>
    <cellStyle name="Normal 39 4" xfId="26818" xr:uid="{00000000-0005-0000-0000-0000C2680000}"/>
    <cellStyle name="Normal 4" xfId="9" xr:uid="{00000000-0005-0000-0000-000009000000}"/>
    <cellStyle name="Normal 4 10" xfId="26819" xr:uid="{00000000-0005-0000-0000-0000C3680000}"/>
    <cellStyle name="Normal 4 10 2" xfId="26820" xr:uid="{00000000-0005-0000-0000-0000C4680000}"/>
    <cellStyle name="Normal 4 10 3" xfId="26821" xr:uid="{00000000-0005-0000-0000-0000C5680000}"/>
    <cellStyle name="Normal 4 2" xfId="26822" xr:uid="{00000000-0005-0000-0000-0000C6680000}"/>
    <cellStyle name="Normal 4 2 2" xfId="26823" xr:uid="{00000000-0005-0000-0000-0000C7680000}"/>
    <cellStyle name="Normal 4 2 2 2" xfId="26824" xr:uid="{00000000-0005-0000-0000-0000C8680000}"/>
    <cellStyle name="Normal 4 2 2 2 2" xfId="26825" xr:uid="{00000000-0005-0000-0000-0000C9680000}"/>
    <cellStyle name="Normal 4 2 2 2 2 2" xfId="26826" xr:uid="{00000000-0005-0000-0000-0000CA680000}"/>
    <cellStyle name="Normal 4 2 2 2 2 3" xfId="26827" xr:uid="{00000000-0005-0000-0000-0000CB680000}"/>
    <cellStyle name="Normal 4 2 2 2 3" xfId="26828" xr:uid="{00000000-0005-0000-0000-0000CC680000}"/>
    <cellStyle name="Normal 4 2 2 2 4" xfId="26829" xr:uid="{00000000-0005-0000-0000-0000CD680000}"/>
    <cellStyle name="Normal 4 2 2 3" xfId="26830" xr:uid="{00000000-0005-0000-0000-0000CE680000}"/>
    <cellStyle name="Normal 4 2 2 3 2" xfId="26831" xr:uid="{00000000-0005-0000-0000-0000CF680000}"/>
    <cellStyle name="Normal 4 2 2 3 3" xfId="26832" xr:uid="{00000000-0005-0000-0000-0000D0680000}"/>
    <cellStyle name="Normal 4 2 2 4" xfId="26833" xr:uid="{00000000-0005-0000-0000-0000D1680000}"/>
    <cellStyle name="Normal 4 2 2 5" xfId="26834" xr:uid="{00000000-0005-0000-0000-0000D2680000}"/>
    <cellStyle name="Normal 4 2 3" xfId="26835" xr:uid="{00000000-0005-0000-0000-0000D3680000}"/>
    <cellStyle name="Normal 4 3" xfId="26836" xr:uid="{00000000-0005-0000-0000-0000D4680000}"/>
    <cellStyle name="Normal 4 3 2" xfId="26837" xr:uid="{00000000-0005-0000-0000-0000D5680000}"/>
    <cellStyle name="Normal 4 3 2 2" xfId="26838" xr:uid="{00000000-0005-0000-0000-0000D6680000}"/>
    <cellStyle name="Normal 4 3 2 2 2" xfId="26839" xr:uid="{00000000-0005-0000-0000-0000D7680000}"/>
    <cellStyle name="Normal 4 3 2 2 2 2" xfId="26840" xr:uid="{00000000-0005-0000-0000-0000D8680000}"/>
    <cellStyle name="Normal 4 3 2 2 2 3" xfId="26841" xr:uid="{00000000-0005-0000-0000-0000D9680000}"/>
    <cellStyle name="Normal 4 3 2 2 3" xfId="26842" xr:uid="{00000000-0005-0000-0000-0000DA680000}"/>
    <cellStyle name="Normal 4 3 2 2 4" xfId="26843" xr:uid="{00000000-0005-0000-0000-0000DB680000}"/>
    <cellStyle name="Normal 4 3 2 3" xfId="26844" xr:uid="{00000000-0005-0000-0000-0000DC680000}"/>
    <cellStyle name="Normal 4 3 2 3 2" xfId="26845" xr:uid="{00000000-0005-0000-0000-0000DD680000}"/>
    <cellStyle name="Normal 4 3 2 3 3" xfId="26846" xr:uid="{00000000-0005-0000-0000-0000DE680000}"/>
    <cellStyle name="Normal 4 3 2 4" xfId="26847" xr:uid="{00000000-0005-0000-0000-0000DF680000}"/>
    <cellStyle name="Normal 4 3 2 5" xfId="26848" xr:uid="{00000000-0005-0000-0000-0000E0680000}"/>
    <cellStyle name="Normal 4 3 3" xfId="26849" xr:uid="{00000000-0005-0000-0000-0000E1680000}"/>
    <cellStyle name="Normal 4 3 3 2" xfId="26850" xr:uid="{00000000-0005-0000-0000-0000E2680000}"/>
    <cellStyle name="Normal 4 3 3 2 2" xfId="26851" xr:uid="{00000000-0005-0000-0000-0000E3680000}"/>
    <cellStyle name="Normal 4 3 3 2 3" xfId="26852" xr:uid="{00000000-0005-0000-0000-0000E4680000}"/>
    <cellStyle name="Normal 4 3 3 3" xfId="26853" xr:uid="{00000000-0005-0000-0000-0000E5680000}"/>
    <cellStyle name="Normal 4 3 3 4" xfId="26854" xr:uid="{00000000-0005-0000-0000-0000E6680000}"/>
    <cellStyle name="Normal 4 3 4" xfId="26855" xr:uid="{00000000-0005-0000-0000-0000E7680000}"/>
    <cellStyle name="Normal 4 3 4 2" xfId="26856" xr:uid="{00000000-0005-0000-0000-0000E8680000}"/>
    <cellStyle name="Normal 4 3 4 3" xfId="26857" xr:uid="{00000000-0005-0000-0000-0000E9680000}"/>
    <cellStyle name="Normal 4 3 5" xfId="26858" xr:uid="{00000000-0005-0000-0000-0000EA680000}"/>
    <cellStyle name="Normal 4 3 6" xfId="26859" xr:uid="{00000000-0005-0000-0000-0000EB680000}"/>
    <cellStyle name="Normal 4 4" xfId="26860" xr:uid="{00000000-0005-0000-0000-0000EC680000}"/>
    <cellStyle name="Normal 4 4 2" xfId="26861" xr:uid="{00000000-0005-0000-0000-0000ED680000}"/>
    <cellStyle name="Normal 4 4 2 2" xfId="26862" xr:uid="{00000000-0005-0000-0000-0000EE680000}"/>
    <cellStyle name="Normal 4 4 2 2 2" xfId="26863" xr:uid="{00000000-0005-0000-0000-0000EF680000}"/>
    <cellStyle name="Normal 4 4 2 2 2 2" xfId="26864" xr:uid="{00000000-0005-0000-0000-0000F0680000}"/>
    <cellStyle name="Normal 4 4 2 2 2 3" xfId="26865" xr:uid="{00000000-0005-0000-0000-0000F1680000}"/>
    <cellStyle name="Normal 4 4 2 2 3" xfId="26866" xr:uid="{00000000-0005-0000-0000-0000F2680000}"/>
    <cellStyle name="Normal 4 4 2 2 4" xfId="26867" xr:uid="{00000000-0005-0000-0000-0000F3680000}"/>
    <cellStyle name="Normal 4 4 2 3" xfId="26868" xr:uid="{00000000-0005-0000-0000-0000F4680000}"/>
    <cellStyle name="Normal 4 4 2 3 2" xfId="26869" xr:uid="{00000000-0005-0000-0000-0000F5680000}"/>
    <cellStyle name="Normal 4 4 2 3 3" xfId="26870" xr:uid="{00000000-0005-0000-0000-0000F6680000}"/>
    <cellStyle name="Normal 4 4 2 4" xfId="26871" xr:uid="{00000000-0005-0000-0000-0000F7680000}"/>
    <cellStyle name="Normal 4 4 2 5" xfId="26872" xr:uid="{00000000-0005-0000-0000-0000F8680000}"/>
    <cellStyle name="Normal 4 4 3" xfId="26873" xr:uid="{00000000-0005-0000-0000-0000F9680000}"/>
    <cellStyle name="Normal 4 4 3 2" xfId="26874" xr:uid="{00000000-0005-0000-0000-0000FA680000}"/>
    <cellStyle name="Normal 4 4 3 2 2" xfId="26875" xr:uid="{00000000-0005-0000-0000-0000FB680000}"/>
    <cellStyle name="Normal 4 4 3 2 3" xfId="26876" xr:uid="{00000000-0005-0000-0000-0000FC680000}"/>
    <cellStyle name="Normal 4 4 3 3" xfId="26877" xr:uid="{00000000-0005-0000-0000-0000FD680000}"/>
    <cellStyle name="Normal 4 4 3 4" xfId="26878" xr:uid="{00000000-0005-0000-0000-0000FE680000}"/>
    <cellStyle name="Normal 4 4 4" xfId="26879" xr:uid="{00000000-0005-0000-0000-0000FF680000}"/>
    <cellStyle name="Normal 4 4 4 2" xfId="26880" xr:uid="{00000000-0005-0000-0000-000000690000}"/>
    <cellStyle name="Normal 4 4 4 3" xfId="26881" xr:uid="{00000000-0005-0000-0000-000001690000}"/>
    <cellStyle name="Normal 4 4 5" xfId="26882" xr:uid="{00000000-0005-0000-0000-000002690000}"/>
    <cellStyle name="Normal 4 4 6" xfId="26883" xr:uid="{00000000-0005-0000-0000-000003690000}"/>
    <cellStyle name="Normal 4 5" xfId="26884" xr:uid="{00000000-0005-0000-0000-000004690000}"/>
    <cellStyle name="Normal 4 5 2" xfId="26885" xr:uid="{00000000-0005-0000-0000-000005690000}"/>
    <cellStyle name="Normal 4 5 2 2" xfId="26886" xr:uid="{00000000-0005-0000-0000-000006690000}"/>
    <cellStyle name="Normal 4 5 2 2 2" xfId="26887" xr:uid="{00000000-0005-0000-0000-000007690000}"/>
    <cellStyle name="Normal 4 5 2 2 2 2" xfId="26888" xr:uid="{00000000-0005-0000-0000-000008690000}"/>
    <cellStyle name="Normal 4 5 2 2 2 3" xfId="26889" xr:uid="{00000000-0005-0000-0000-000009690000}"/>
    <cellStyle name="Normal 4 5 2 2 3" xfId="26890" xr:uid="{00000000-0005-0000-0000-00000A690000}"/>
    <cellStyle name="Normal 4 5 2 2 4" xfId="26891" xr:uid="{00000000-0005-0000-0000-00000B690000}"/>
    <cellStyle name="Normal 4 5 2 3" xfId="26892" xr:uid="{00000000-0005-0000-0000-00000C690000}"/>
    <cellStyle name="Normal 4 5 2 3 2" xfId="26893" xr:uid="{00000000-0005-0000-0000-00000D690000}"/>
    <cellStyle name="Normal 4 5 2 3 3" xfId="26894" xr:uid="{00000000-0005-0000-0000-00000E690000}"/>
    <cellStyle name="Normal 4 5 2 4" xfId="26895" xr:uid="{00000000-0005-0000-0000-00000F690000}"/>
    <cellStyle name="Normal 4 5 2 5" xfId="26896" xr:uid="{00000000-0005-0000-0000-000010690000}"/>
    <cellStyle name="Normal 4 5 3" xfId="26897" xr:uid="{00000000-0005-0000-0000-000011690000}"/>
    <cellStyle name="Normal 4 5 3 2" xfId="26898" xr:uid="{00000000-0005-0000-0000-000012690000}"/>
    <cellStyle name="Normal 4 5 3 2 2" xfId="26899" xr:uid="{00000000-0005-0000-0000-000013690000}"/>
    <cellStyle name="Normal 4 5 3 2 3" xfId="26900" xr:uid="{00000000-0005-0000-0000-000014690000}"/>
    <cellStyle name="Normal 4 5 3 3" xfId="26901" xr:uid="{00000000-0005-0000-0000-000015690000}"/>
    <cellStyle name="Normal 4 5 3 4" xfId="26902" xr:uid="{00000000-0005-0000-0000-000016690000}"/>
    <cellStyle name="Normal 4 5 4" xfId="26903" xr:uid="{00000000-0005-0000-0000-000017690000}"/>
    <cellStyle name="Normal 4 5 4 2" xfId="26904" xr:uid="{00000000-0005-0000-0000-000018690000}"/>
    <cellStyle name="Normal 4 5 4 3" xfId="26905" xr:uid="{00000000-0005-0000-0000-000019690000}"/>
    <cellStyle name="Normal 4 5 5" xfId="26906" xr:uid="{00000000-0005-0000-0000-00001A690000}"/>
    <cellStyle name="Normal 4 5 6" xfId="26907" xr:uid="{00000000-0005-0000-0000-00001B690000}"/>
    <cellStyle name="Normal 4 6" xfId="26908" xr:uid="{00000000-0005-0000-0000-00001C690000}"/>
    <cellStyle name="Normal 4 6 2" xfId="26909" xr:uid="{00000000-0005-0000-0000-00001D690000}"/>
    <cellStyle name="Normal 4 6 2 2" xfId="26910" xr:uid="{00000000-0005-0000-0000-00001E690000}"/>
    <cellStyle name="Normal 4 6 2 2 2" xfId="26911" xr:uid="{00000000-0005-0000-0000-00001F690000}"/>
    <cellStyle name="Normal 4 6 2 2 2 2" xfId="26912" xr:uid="{00000000-0005-0000-0000-000020690000}"/>
    <cellStyle name="Normal 4 6 2 2 2 3" xfId="26913" xr:uid="{00000000-0005-0000-0000-000021690000}"/>
    <cellStyle name="Normal 4 6 2 2 3" xfId="26914" xr:uid="{00000000-0005-0000-0000-000022690000}"/>
    <cellStyle name="Normal 4 6 2 2 4" xfId="26915" xr:uid="{00000000-0005-0000-0000-000023690000}"/>
    <cellStyle name="Normal 4 6 2 3" xfId="26916" xr:uid="{00000000-0005-0000-0000-000024690000}"/>
    <cellStyle name="Normal 4 6 2 3 2" xfId="26917" xr:uid="{00000000-0005-0000-0000-000025690000}"/>
    <cellStyle name="Normal 4 6 2 3 3" xfId="26918" xr:uid="{00000000-0005-0000-0000-000026690000}"/>
    <cellStyle name="Normal 4 6 2 4" xfId="26919" xr:uid="{00000000-0005-0000-0000-000027690000}"/>
    <cellStyle name="Normal 4 6 2 5" xfId="26920" xr:uid="{00000000-0005-0000-0000-000028690000}"/>
    <cellStyle name="Normal 4 6 3" xfId="26921" xr:uid="{00000000-0005-0000-0000-000029690000}"/>
    <cellStyle name="Normal 4 6 3 2" xfId="26922" xr:uid="{00000000-0005-0000-0000-00002A690000}"/>
    <cellStyle name="Normal 4 6 3 2 2" xfId="26923" xr:uid="{00000000-0005-0000-0000-00002B690000}"/>
    <cellStyle name="Normal 4 6 3 2 3" xfId="26924" xr:uid="{00000000-0005-0000-0000-00002C690000}"/>
    <cellStyle name="Normal 4 6 3 3" xfId="26925" xr:uid="{00000000-0005-0000-0000-00002D690000}"/>
    <cellStyle name="Normal 4 6 3 4" xfId="26926" xr:uid="{00000000-0005-0000-0000-00002E690000}"/>
    <cellStyle name="Normal 4 6 4" xfId="26927" xr:uid="{00000000-0005-0000-0000-00002F690000}"/>
    <cellStyle name="Normal 4 6 4 2" xfId="26928" xr:uid="{00000000-0005-0000-0000-000030690000}"/>
    <cellStyle name="Normal 4 6 4 3" xfId="26929" xr:uid="{00000000-0005-0000-0000-000031690000}"/>
    <cellStyle name="Normal 4 6 5" xfId="26930" xr:uid="{00000000-0005-0000-0000-000032690000}"/>
    <cellStyle name="Normal 4 6 6" xfId="26931" xr:uid="{00000000-0005-0000-0000-000033690000}"/>
    <cellStyle name="Normal 4 7" xfId="26932" xr:uid="{00000000-0005-0000-0000-000034690000}"/>
    <cellStyle name="Normal 4 7 2" xfId="26933" xr:uid="{00000000-0005-0000-0000-000035690000}"/>
    <cellStyle name="Normal 4 7 2 2" xfId="26934" xr:uid="{00000000-0005-0000-0000-000036690000}"/>
    <cellStyle name="Normal 4 7 2 2 2" xfId="26935" xr:uid="{00000000-0005-0000-0000-000037690000}"/>
    <cellStyle name="Normal 4 7 2 2 2 2" xfId="26936" xr:uid="{00000000-0005-0000-0000-000038690000}"/>
    <cellStyle name="Normal 4 7 2 2 2 3" xfId="26937" xr:uid="{00000000-0005-0000-0000-000039690000}"/>
    <cellStyle name="Normal 4 7 2 2 3" xfId="26938" xr:uid="{00000000-0005-0000-0000-00003A690000}"/>
    <cellStyle name="Normal 4 7 2 2 4" xfId="26939" xr:uid="{00000000-0005-0000-0000-00003B690000}"/>
    <cellStyle name="Normal 4 7 2 3" xfId="26940" xr:uid="{00000000-0005-0000-0000-00003C690000}"/>
    <cellStyle name="Normal 4 7 2 3 2" xfId="26941" xr:uid="{00000000-0005-0000-0000-00003D690000}"/>
    <cellStyle name="Normal 4 7 2 3 3" xfId="26942" xr:uid="{00000000-0005-0000-0000-00003E690000}"/>
    <cellStyle name="Normal 4 7 2 4" xfId="26943" xr:uid="{00000000-0005-0000-0000-00003F690000}"/>
    <cellStyle name="Normal 4 7 2 5" xfId="26944" xr:uid="{00000000-0005-0000-0000-000040690000}"/>
    <cellStyle name="Normal 4 7 3" xfId="26945" xr:uid="{00000000-0005-0000-0000-000041690000}"/>
    <cellStyle name="Normal 4 7 3 2" xfId="26946" xr:uid="{00000000-0005-0000-0000-000042690000}"/>
    <cellStyle name="Normal 4 7 3 2 2" xfId="26947" xr:uid="{00000000-0005-0000-0000-000043690000}"/>
    <cellStyle name="Normal 4 7 3 2 3" xfId="26948" xr:uid="{00000000-0005-0000-0000-000044690000}"/>
    <cellStyle name="Normal 4 7 3 3" xfId="26949" xr:uid="{00000000-0005-0000-0000-000045690000}"/>
    <cellStyle name="Normal 4 7 3 4" xfId="26950" xr:uid="{00000000-0005-0000-0000-000046690000}"/>
    <cellStyle name="Normal 4 7 4" xfId="26951" xr:uid="{00000000-0005-0000-0000-000047690000}"/>
    <cellStyle name="Normal 4 7 4 2" xfId="26952" xr:uid="{00000000-0005-0000-0000-000048690000}"/>
    <cellStyle name="Normal 4 7 4 3" xfId="26953" xr:uid="{00000000-0005-0000-0000-000049690000}"/>
    <cellStyle name="Normal 4 7 5" xfId="26954" xr:uid="{00000000-0005-0000-0000-00004A690000}"/>
    <cellStyle name="Normal 4 7 6" xfId="26955" xr:uid="{00000000-0005-0000-0000-00004B690000}"/>
    <cellStyle name="Normal 4 8" xfId="26956" xr:uid="{00000000-0005-0000-0000-00004C690000}"/>
    <cellStyle name="Normal 4 8 2" xfId="26957" xr:uid="{00000000-0005-0000-0000-00004D690000}"/>
    <cellStyle name="Normal 4 8 2 2" xfId="26958" xr:uid="{00000000-0005-0000-0000-00004E690000}"/>
    <cellStyle name="Normal 4 8 2 2 2" xfId="26959" xr:uid="{00000000-0005-0000-0000-00004F690000}"/>
    <cellStyle name="Normal 4 8 2 2 2 2" xfId="26960" xr:uid="{00000000-0005-0000-0000-000050690000}"/>
    <cellStyle name="Normal 4 8 2 2 2 3" xfId="26961" xr:uid="{00000000-0005-0000-0000-000051690000}"/>
    <cellStyle name="Normal 4 8 2 2 3" xfId="26962" xr:uid="{00000000-0005-0000-0000-000052690000}"/>
    <cellStyle name="Normal 4 8 2 2 4" xfId="26963" xr:uid="{00000000-0005-0000-0000-000053690000}"/>
    <cellStyle name="Normal 4 8 2 3" xfId="26964" xr:uid="{00000000-0005-0000-0000-000054690000}"/>
    <cellStyle name="Normal 4 8 2 3 2" xfId="26965" xr:uid="{00000000-0005-0000-0000-000055690000}"/>
    <cellStyle name="Normal 4 8 2 3 3" xfId="26966" xr:uid="{00000000-0005-0000-0000-000056690000}"/>
    <cellStyle name="Normal 4 8 2 4" xfId="26967" xr:uid="{00000000-0005-0000-0000-000057690000}"/>
    <cellStyle name="Normal 4 8 2 5" xfId="26968" xr:uid="{00000000-0005-0000-0000-000058690000}"/>
    <cellStyle name="Normal 4 9" xfId="26969" xr:uid="{00000000-0005-0000-0000-000059690000}"/>
    <cellStyle name="Normal 4 9 2" xfId="26970" xr:uid="{00000000-0005-0000-0000-00005A690000}"/>
    <cellStyle name="Normal 4 9 2 2" xfId="26971" xr:uid="{00000000-0005-0000-0000-00005B690000}"/>
    <cellStyle name="Normal 4 9 2 2 2" xfId="26972" xr:uid="{00000000-0005-0000-0000-00005C690000}"/>
    <cellStyle name="Normal 4 9 2 2 3" xfId="26973" xr:uid="{00000000-0005-0000-0000-00005D690000}"/>
    <cellStyle name="Normal 4 9 2 3" xfId="26974" xr:uid="{00000000-0005-0000-0000-00005E690000}"/>
    <cellStyle name="Normal 4 9 2 4" xfId="26975" xr:uid="{00000000-0005-0000-0000-00005F690000}"/>
    <cellStyle name="Normal 4 9 3" xfId="26976" xr:uid="{00000000-0005-0000-0000-000060690000}"/>
    <cellStyle name="Normal 4 9 3 2" xfId="26977" xr:uid="{00000000-0005-0000-0000-000061690000}"/>
    <cellStyle name="Normal 4 9 3 3" xfId="26978" xr:uid="{00000000-0005-0000-0000-000062690000}"/>
    <cellStyle name="Normal 4 9 4" xfId="26979" xr:uid="{00000000-0005-0000-0000-000063690000}"/>
    <cellStyle name="Normal 4 9 5" xfId="26980" xr:uid="{00000000-0005-0000-0000-000064690000}"/>
    <cellStyle name="Normal 4_IBFSL_Conso_March_10_11" xfId="26981" xr:uid="{00000000-0005-0000-0000-000065690000}"/>
    <cellStyle name="Normal 40" xfId="26982" xr:uid="{00000000-0005-0000-0000-000066690000}"/>
    <cellStyle name="Normal 40 2" xfId="26983" xr:uid="{00000000-0005-0000-0000-000067690000}"/>
    <cellStyle name="Normal 40 2 2" xfId="26984" xr:uid="{00000000-0005-0000-0000-000068690000}"/>
    <cellStyle name="Normal 40 2 3" xfId="26985" xr:uid="{00000000-0005-0000-0000-000069690000}"/>
    <cellStyle name="Normal 40 3" xfId="26986" xr:uid="{00000000-0005-0000-0000-00006A690000}"/>
    <cellStyle name="Normal 40 4" xfId="26987" xr:uid="{00000000-0005-0000-0000-00006B690000}"/>
    <cellStyle name="Normal 41" xfId="26988" xr:uid="{00000000-0005-0000-0000-00006C690000}"/>
    <cellStyle name="Normal 41 2" xfId="26989" xr:uid="{00000000-0005-0000-0000-00006D690000}"/>
    <cellStyle name="Normal 41 2 2" xfId="26990" xr:uid="{00000000-0005-0000-0000-00006E690000}"/>
    <cellStyle name="Normal 41 2 2 2" xfId="26991" xr:uid="{00000000-0005-0000-0000-00006F690000}"/>
    <cellStyle name="Normal 41 2 2 2 2" xfId="26992" xr:uid="{00000000-0005-0000-0000-000070690000}"/>
    <cellStyle name="Normal 41 2 2 2 3" xfId="26993" xr:uid="{00000000-0005-0000-0000-000071690000}"/>
    <cellStyle name="Normal 41 2 2 3" xfId="26994" xr:uid="{00000000-0005-0000-0000-000072690000}"/>
    <cellStyle name="Normal 41 2 2 4" xfId="26995" xr:uid="{00000000-0005-0000-0000-000073690000}"/>
    <cellStyle name="Normal 41 2 3" xfId="26996" xr:uid="{00000000-0005-0000-0000-000074690000}"/>
    <cellStyle name="Normal 41 2 3 2" xfId="26997" xr:uid="{00000000-0005-0000-0000-000075690000}"/>
    <cellStyle name="Normal 41 2 3 3" xfId="26998" xr:uid="{00000000-0005-0000-0000-000076690000}"/>
    <cellStyle name="Normal 41 2 4" xfId="26999" xr:uid="{00000000-0005-0000-0000-000077690000}"/>
    <cellStyle name="Normal 41 2 5" xfId="27000" xr:uid="{00000000-0005-0000-0000-000078690000}"/>
    <cellStyle name="Normal 41 3" xfId="27001" xr:uid="{00000000-0005-0000-0000-000079690000}"/>
    <cellStyle name="Normal 41 3 2" xfId="27002" xr:uid="{00000000-0005-0000-0000-00007A690000}"/>
    <cellStyle name="Normal 41 3 2 2" xfId="27003" xr:uid="{00000000-0005-0000-0000-00007B690000}"/>
    <cellStyle name="Normal 41 3 2 3" xfId="27004" xr:uid="{00000000-0005-0000-0000-00007C690000}"/>
    <cellStyle name="Normal 41 3 3" xfId="27005" xr:uid="{00000000-0005-0000-0000-00007D690000}"/>
    <cellStyle name="Normal 41 3 4" xfId="27006" xr:uid="{00000000-0005-0000-0000-00007E690000}"/>
    <cellStyle name="Normal 41 4" xfId="27007" xr:uid="{00000000-0005-0000-0000-00007F690000}"/>
    <cellStyle name="Normal 41 4 2" xfId="27008" xr:uid="{00000000-0005-0000-0000-000080690000}"/>
    <cellStyle name="Normal 41 4 3" xfId="27009" xr:uid="{00000000-0005-0000-0000-000081690000}"/>
    <cellStyle name="Normal 41 5" xfId="27010" xr:uid="{00000000-0005-0000-0000-000082690000}"/>
    <cellStyle name="Normal 41 6" xfId="27011" xr:uid="{00000000-0005-0000-0000-000083690000}"/>
    <cellStyle name="Normal 42" xfId="27012" xr:uid="{00000000-0005-0000-0000-000084690000}"/>
    <cellStyle name="Normal 42 2" xfId="27013" xr:uid="{00000000-0005-0000-0000-000085690000}"/>
    <cellStyle name="Normal 42 2 2" xfId="27014" xr:uid="{00000000-0005-0000-0000-000086690000}"/>
    <cellStyle name="Normal 42 2 2 2" xfId="27015" xr:uid="{00000000-0005-0000-0000-000087690000}"/>
    <cellStyle name="Normal 42 2 2 2 2" xfId="27016" xr:uid="{00000000-0005-0000-0000-000088690000}"/>
    <cellStyle name="Normal 42 2 2 2 3" xfId="27017" xr:uid="{00000000-0005-0000-0000-000089690000}"/>
    <cellStyle name="Normal 42 2 2 3" xfId="27018" xr:uid="{00000000-0005-0000-0000-00008A690000}"/>
    <cellStyle name="Normal 42 2 2 4" xfId="27019" xr:uid="{00000000-0005-0000-0000-00008B690000}"/>
    <cellStyle name="Normal 42 2 3" xfId="27020" xr:uid="{00000000-0005-0000-0000-00008C690000}"/>
    <cellStyle name="Normal 42 2 3 2" xfId="27021" xr:uid="{00000000-0005-0000-0000-00008D690000}"/>
    <cellStyle name="Normal 42 2 3 3" xfId="27022" xr:uid="{00000000-0005-0000-0000-00008E690000}"/>
    <cellStyle name="Normal 42 2 4" xfId="27023" xr:uid="{00000000-0005-0000-0000-00008F690000}"/>
    <cellStyle name="Normal 42 2 5" xfId="27024" xr:uid="{00000000-0005-0000-0000-000090690000}"/>
    <cellStyle name="Normal 42 3" xfId="27025" xr:uid="{00000000-0005-0000-0000-000091690000}"/>
    <cellStyle name="Normal 42 3 2" xfId="27026" xr:uid="{00000000-0005-0000-0000-000092690000}"/>
    <cellStyle name="Normal 42 3 2 2" xfId="27027" xr:uid="{00000000-0005-0000-0000-000093690000}"/>
    <cellStyle name="Normal 42 3 2 3" xfId="27028" xr:uid="{00000000-0005-0000-0000-000094690000}"/>
    <cellStyle name="Normal 42 3 3" xfId="27029" xr:uid="{00000000-0005-0000-0000-000095690000}"/>
    <cellStyle name="Normal 42 3 4" xfId="27030" xr:uid="{00000000-0005-0000-0000-000096690000}"/>
    <cellStyle name="Normal 42 4" xfId="27031" xr:uid="{00000000-0005-0000-0000-000097690000}"/>
    <cellStyle name="Normal 42 4 2" xfId="27032" xr:uid="{00000000-0005-0000-0000-000098690000}"/>
    <cellStyle name="Normal 42 4 3" xfId="27033" xr:uid="{00000000-0005-0000-0000-000099690000}"/>
    <cellStyle name="Normal 42 5" xfId="27034" xr:uid="{00000000-0005-0000-0000-00009A690000}"/>
    <cellStyle name="Normal 42 6" xfId="27035" xr:uid="{00000000-0005-0000-0000-00009B690000}"/>
    <cellStyle name="Normal 43" xfId="27036" xr:uid="{00000000-0005-0000-0000-00009C690000}"/>
    <cellStyle name="Normal 43 2" xfId="27037" xr:uid="{00000000-0005-0000-0000-00009D690000}"/>
    <cellStyle name="Normal 43 2 2" xfId="27038" xr:uid="{00000000-0005-0000-0000-00009E690000}"/>
    <cellStyle name="Normal 43 2 2 2" xfId="27039" xr:uid="{00000000-0005-0000-0000-00009F690000}"/>
    <cellStyle name="Normal 43 2 2 2 2" xfId="27040" xr:uid="{00000000-0005-0000-0000-0000A0690000}"/>
    <cellStyle name="Normal 43 2 2 2 3" xfId="27041" xr:uid="{00000000-0005-0000-0000-0000A1690000}"/>
    <cellStyle name="Normal 43 2 2 3" xfId="27042" xr:uid="{00000000-0005-0000-0000-0000A2690000}"/>
    <cellStyle name="Normal 43 2 2 4" xfId="27043" xr:uid="{00000000-0005-0000-0000-0000A3690000}"/>
    <cellStyle name="Normal 43 2 3" xfId="27044" xr:uid="{00000000-0005-0000-0000-0000A4690000}"/>
    <cellStyle name="Normal 43 2 3 2" xfId="27045" xr:uid="{00000000-0005-0000-0000-0000A5690000}"/>
    <cellStyle name="Normal 43 2 3 3" xfId="27046" xr:uid="{00000000-0005-0000-0000-0000A6690000}"/>
    <cellStyle name="Normal 43 2 4" xfId="27047" xr:uid="{00000000-0005-0000-0000-0000A7690000}"/>
    <cellStyle name="Normal 43 2 5" xfId="27048" xr:uid="{00000000-0005-0000-0000-0000A8690000}"/>
    <cellStyle name="Normal 43 3" xfId="27049" xr:uid="{00000000-0005-0000-0000-0000A9690000}"/>
    <cellStyle name="Normal 43 3 2" xfId="27050" xr:uid="{00000000-0005-0000-0000-0000AA690000}"/>
    <cellStyle name="Normal 43 3 2 2" xfId="27051" xr:uid="{00000000-0005-0000-0000-0000AB690000}"/>
    <cellStyle name="Normal 43 3 2 3" xfId="27052" xr:uid="{00000000-0005-0000-0000-0000AC690000}"/>
    <cellStyle name="Normal 43 3 3" xfId="27053" xr:uid="{00000000-0005-0000-0000-0000AD690000}"/>
    <cellStyle name="Normal 43 3 4" xfId="27054" xr:uid="{00000000-0005-0000-0000-0000AE690000}"/>
    <cellStyle name="Normal 43 4" xfId="27055" xr:uid="{00000000-0005-0000-0000-0000AF690000}"/>
    <cellStyle name="Normal 43 4 2" xfId="27056" xr:uid="{00000000-0005-0000-0000-0000B0690000}"/>
    <cellStyle name="Normal 43 4 3" xfId="27057" xr:uid="{00000000-0005-0000-0000-0000B1690000}"/>
    <cellStyle name="Normal 43 5" xfId="27058" xr:uid="{00000000-0005-0000-0000-0000B2690000}"/>
    <cellStyle name="Normal 43 6" xfId="27059" xr:uid="{00000000-0005-0000-0000-0000B3690000}"/>
    <cellStyle name="Normal 44" xfId="27060" xr:uid="{00000000-0005-0000-0000-0000B4690000}"/>
    <cellStyle name="Normal 44 2" xfId="27061" xr:uid="{00000000-0005-0000-0000-0000B5690000}"/>
    <cellStyle name="Normal 44 2 2" xfId="27062" xr:uid="{00000000-0005-0000-0000-0000B6690000}"/>
    <cellStyle name="Normal 44 2 2 2" xfId="27063" xr:uid="{00000000-0005-0000-0000-0000B7690000}"/>
    <cellStyle name="Normal 44 2 2 2 2" xfId="27064" xr:uid="{00000000-0005-0000-0000-0000B8690000}"/>
    <cellStyle name="Normal 44 2 2 2 3" xfId="27065" xr:uid="{00000000-0005-0000-0000-0000B9690000}"/>
    <cellStyle name="Normal 44 2 2 3" xfId="27066" xr:uid="{00000000-0005-0000-0000-0000BA690000}"/>
    <cellStyle name="Normal 44 2 2 4" xfId="27067" xr:uid="{00000000-0005-0000-0000-0000BB690000}"/>
    <cellStyle name="Normal 44 2 3" xfId="27068" xr:uid="{00000000-0005-0000-0000-0000BC690000}"/>
    <cellStyle name="Normal 44 2 3 2" xfId="27069" xr:uid="{00000000-0005-0000-0000-0000BD690000}"/>
    <cellStyle name="Normal 44 2 3 3" xfId="27070" xr:uid="{00000000-0005-0000-0000-0000BE690000}"/>
    <cellStyle name="Normal 44 2 4" xfId="27071" xr:uid="{00000000-0005-0000-0000-0000BF690000}"/>
    <cellStyle name="Normal 44 2 5" xfId="27072" xr:uid="{00000000-0005-0000-0000-0000C0690000}"/>
    <cellStyle name="Normal 44 3" xfId="27073" xr:uid="{00000000-0005-0000-0000-0000C1690000}"/>
    <cellStyle name="Normal 44 3 2" xfId="27074" xr:uid="{00000000-0005-0000-0000-0000C2690000}"/>
    <cellStyle name="Normal 44 3 2 2" xfId="27075" xr:uid="{00000000-0005-0000-0000-0000C3690000}"/>
    <cellStyle name="Normal 44 3 2 3" xfId="27076" xr:uid="{00000000-0005-0000-0000-0000C4690000}"/>
    <cellStyle name="Normal 44 3 3" xfId="27077" xr:uid="{00000000-0005-0000-0000-0000C5690000}"/>
    <cellStyle name="Normal 44 3 4" xfId="27078" xr:uid="{00000000-0005-0000-0000-0000C6690000}"/>
    <cellStyle name="Normal 44 4" xfId="27079" xr:uid="{00000000-0005-0000-0000-0000C7690000}"/>
    <cellStyle name="Normal 44 4 2" xfId="27080" xr:uid="{00000000-0005-0000-0000-0000C8690000}"/>
    <cellStyle name="Normal 44 4 3" xfId="27081" xr:uid="{00000000-0005-0000-0000-0000C9690000}"/>
    <cellStyle name="Normal 44 5" xfId="27082" xr:uid="{00000000-0005-0000-0000-0000CA690000}"/>
    <cellStyle name="Normal 44 6" xfId="27083" xr:uid="{00000000-0005-0000-0000-0000CB690000}"/>
    <cellStyle name="Normal 45" xfId="27084" xr:uid="{00000000-0005-0000-0000-0000CC690000}"/>
    <cellStyle name="Normal 45 2" xfId="27085" xr:uid="{00000000-0005-0000-0000-0000CD690000}"/>
    <cellStyle name="Normal 45 2 2" xfId="27086" xr:uid="{00000000-0005-0000-0000-0000CE690000}"/>
    <cellStyle name="Normal 45 2 2 2" xfId="27087" xr:uid="{00000000-0005-0000-0000-0000CF690000}"/>
    <cellStyle name="Normal 45 2 2 2 2" xfId="27088" xr:uid="{00000000-0005-0000-0000-0000D0690000}"/>
    <cellStyle name="Normal 45 2 2 2 3" xfId="27089" xr:uid="{00000000-0005-0000-0000-0000D1690000}"/>
    <cellStyle name="Normal 45 2 2 3" xfId="27090" xr:uid="{00000000-0005-0000-0000-0000D2690000}"/>
    <cellStyle name="Normal 45 2 2 4" xfId="27091" xr:uid="{00000000-0005-0000-0000-0000D3690000}"/>
    <cellStyle name="Normal 45 2 3" xfId="27092" xr:uid="{00000000-0005-0000-0000-0000D4690000}"/>
    <cellStyle name="Normal 45 2 3 2" xfId="27093" xr:uid="{00000000-0005-0000-0000-0000D5690000}"/>
    <cellStyle name="Normal 45 2 3 3" xfId="27094" xr:uid="{00000000-0005-0000-0000-0000D6690000}"/>
    <cellStyle name="Normal 45 2 4" xfId="27095" xr:uid="{00000000-0005-0000-0000-0000D7690000}"/>
    <cellStyle name="Normal 45 2 5" xfId="27096" xr:uid="{00000000-0005-0000-0000-0000D8690000}"/>
    <cellStyle name="Normal 45 3" xfId="27097" xr:uid="{00000000-0005-0000-0000-0000D9690000}"/>
    <cellStyle name="Normal 45 3 2" xfId="27098" xr:uid="{00000000-0005-0000-0000-0000DA690000}"/>
    <cellStyle name="Normal 45 3 2 2" xfId="27099" xr:uid="{00000000-0005-0000-0000-0000DB690000}"/>
    <cellStyle name="Normal 45 3 2 3" xfId="27100" xr:uid="{00000000-0005-0000-0000-0000DC690000}"/>
    <cellStyle name="Normal 45 3 3" xfId="27101" xr:uid="{00000000-0005-0000-0000-0000DD690000}"/>
    <cellStyle name="Normal 45 3 4" xfId="27102" xr:uid="{00000000-0005-0000-0000-0000DE690000}"/>
    <cellStyle name="Normal 45 4" xfId="27103" xr:uid="{00000000-0005-0000-0000-0000DF690000}"/>
    <cellStyle name="Normal 45 4 2" xfId="27104" xr:uid="{00000000-0005-0000-0000-0000E0690000}"/>
    <cellStyle name="Normal 45 4 3" xfId="27105" xr:uid="{00000000-0005-0000-0000-0000E1690000}"/>
    <cellStyle name="Normal 45 5" xfId="27106" xr:uid="{00000000-0005-0000-0000-0000E2690000}"/>
    <cellStyle name="Normal 45 6" xfId="27107" xr:uid="{00000000-0005-0000-0000-0000E3690000}"/>
    <cellStyle name="Normal 46" xfId="27108" xr:uid="{00000000-0005-0000-0000-0000E4690000}"/>
    <cellStyle name="Normal 46 2" xfId="27109" xr:uid="{00000000-0005-0000-0000-0000E5690000}"/>
    <cellStyle name="Normal 46 2 2" xfId="27110" xr:uid="{00000000-0005-0000-0000-0000E6690000}"/>
    <cellStyle name="Normal 46 2 2 2" xfId="27111" xr:uid="{00000000-0005-0000-0000-0000E7690000}"/>
    <cellStyle name="Normal 46 2 2 2 2" xfId="27112" xr:uid="{00000000-0005-0000-0000-0000E8690000}"/>
    <cellStyle name="Normal 46 2 2 2 3" xfId="27113" xr:uid="{00000000-0005-0000-0000-0000E9690000}"/>
    <cellStyle name="Normal 46 2 2 3" xfId="27114" xr:uid="{00000000-0005-0000-0000-0000EA690000}"/>
    <cellStyle name="Normal 46 2 2 4" xfId="27115" xr:uid="{00000000-0005-0000-0000-0000EB690000}"/>
    <cellStyle name="Normal 46 2 3" xfId="27116" xr:uid="{00000000-0005-0000-0000-0000EC690000}"/>
    <cellStyle name="Normal 46 2 3 2" xfId="27117" xr:uid="{00000000-0005-0000-0000-0000ED690000}"/>
    <cellStyle name="Normal 46 2 3 3" xfId="27118" xr:uid="{00000000-0005-0000-0000-0000EE690000}"/>
    <cellStyle name="Normal 46 2 4" xfId="27119" xr:uid="{00000000-0005-0000-0000-0000EF690000}"/>
    <cellStyle name="Normal 46 2 5" xfId="27120" xr:uid="{00000000-0005-0000-0000-0000F0690000}"/>
    <cellStyle name="Normal 46 3" xfId="27121" xr:uid="{00000000-0005-0000-0000-0000F1690000}"/>
    <cellStyle name="Normal 46 3 2" xfId="27122" xr:uid="{00000000-0005-0000-0000-0000F2690000}"/>
    <cellStyle name="Normal 46 3 2 2" xfId="27123" xr:uid="{00000000-0005-0000-0000-0000F3690000}"/>
    <cellStyle name="Normal 46 3 2 3" xfId="27124" xr:uid="{00000000-0005-0000-0000-0000F4690000}"/>
    <cellStyle name="Normal 46 3 3" xfId="27125" xr:uid="{00000000-0005-0000-0000-0000F5690000}"/>
    <cellStyle name="Normal 46 3 4" xfId="27126" xr:uid="{00000000-0005-0000-0000-0000F6690000}"/>
    <cellStyle name="Normal 46 4" xfId="27127" xr:uid="{00000000-0005-0000-0000-0000F7690000}"/>
    <cellStyle name="Normal 46 4 2" xfId="27128" xr:uid="{00000000-0005-0000-0000-0000F8690000}"/>
    <cellStyle name="Normal 46 4 3" xfId="27129" xr:uid="{00000000-0005-0000-0000-0000F9690000}"/>
    <cellStyle name="Normal 46 5" xfId="27130" xr:uid="{00000000-0005-0000-0000-0000FA690000}"/>
    <cellStyle name="Normal 46 6" xfId="27131" xr:uid="{00000000-0005-0000-0000-0000FB690000}"/>
    <cellStyle name="Normal 47" xfId="27132" xr:uid="{00000000-0005-0000-0000-0000FC690000}"/>
    <cellStyle name="Normal 47 2" xfId="27133" xr:uid="{00000000-0005-0000-0000-0000FD690000}"/>
    <cellStyle name="Normal 47 2 2" xfId="27134" xr:uid="{00000000-0005-0000-0000-0000FE690000}"/>
    <cellStyle name="Normal 47 2 2 2" xfId="27135" xr:uid="{00000000-0005-0000-0000-0000FF690000}"/>
    <cellStyle name="Normal 47 2 2 2 2" xfId="27136" xr:uid="{00000000-0005-0000-0000-0000006A0000}"/>
    <cellStyle name="Normal 47 2 2 2 3" xfId="27137" xr:uid="{00000000-0005-0000-0000-0000016A0000}"/>
    <cellStyle name="Normal 47 2 2 3" xfId="27138" xr:uid="{00000000-0005-0000-0000-0000026A0000}"/>
    <cellStyle name="Normal 47 2 2 4" xfId="27139" xr:uid="{00000000-0005-0000-0000-0000036A0000}"/>
    <cellStyle name="Normal 47 2 3" xfId="27140" xr:uid="{00000000-0005-0000-0000-0000046A0000}"/>
    <cellStyle name="Normal 47 2 3 2" xfId="27141" xr:uid="{00000000-0005-0000-0000-0000056A0000}"/>
    <cellStyle name="Normal 47 2 3 3" xfId="27142" xr:uid="{00000000-0005-0000-0000-0000066A0000}"/>
    <cellStyle name="Normal 47 2 4" xfId="27143" xr:uid="{00000000-0005-0000-0000-0000076A0000}"/>
    <cellStyle name="Normal 47 2 5" xfId="27144" xr:uid="{00000000-0005-0000-0000-0000086A0000}"/>
    <cellStyle name="Normal 47 3" xfId="27145" xr:uid="{00000000-0005-0000-0000-0000096A0000}"/>
    <cellStyle name="Normal 47 3 2" xfId="27146" xr:uid="{00000000-0005-0000-0000-00000A6A0000}"/>
    <cellStyle name="Normal 47 3 2 2" xfId="27147" xr:uid="{00000000-0005-0000-0000-00000B6A0000}"/>
    <cellStyle name="Normal 47 3 2 3" xfId="27148" xr:uid="{00000000-0005-0000-0000-00000C6A0000}"/>
    <cellStyle name="Normal 47 3 3" xfId="27149" xr:uid="{00000000-0005-0000-0000-00000D6A0000}"/>
    <cellStyle name="Normal 47 3 4" xfId="27150" xr:uid="{00000000-0005-0000-0000-00000E6A0000}"/>
    <cellStyle name="Normal 47 4" xfId="27151" xr:uid="{00000000-0005-0000-0000-00000F6A0000}"/>
    <cellStyle name="Normal 47 4 2" xfId="27152" xr:uid="{00000000-0005-0000-0000-0000106A0000}"/>
    <cellStyle name="Normal 47 4 3" xfId="27153" xr:uid="{00000000-0005-0000-0000-0000116A0000}"/>
    <cellStyle name="Normal 47 5" xfId="27154" xr:uid="{00000000-0005-0000-0000-0000126A0000}"/>
    <cellStyle name="Normal 47 6" xfId="27155" xr:uid="{00000000-0005-0000-0000-0000136A0000}"/>
    <cellStyle name="Normal 48" xfId="27156" xr:uid="{00000000-0005-0000-0000-0000146A0000}"/>
    <cellStyle name="Normal 48 2" xfId="27157" xr:uid="{00000000-0005-0000-0000-0000156A0000}"/>
    <cellStyle name="Normal 48 2 2" xfId="27158" xr:uid="{00000000-0005-0000-0000-0000166A0000}"/>
    <cellStyle name="Normal 48 2 2 2" xfId="27159" xr:uid="{00000000-0005-0000-0000-0000176A0000}"/>
    <cellStyle name="Normal 48 2 2 2 2" xfId="27160" xr:uid="{00000000-0005-0000-0000-0000186A0000}"/>
    <cellStyle name="Normal 48 2 2 2 3" xfId="27161" xr:uid="{00000000-0005-0000-0000-0000196A0000}"/>
    <cellStyle name="Normal 48 2 2 3" xfId="27162" xr:uid="{00000000-0005-0000-0000-00001A6A0000}"/>
    <cellStyle name="Normal 48 2 2 4" xfId="27163" xr:uid="{00000000-0005-0000-0000-00001B6A0000}"/>
    <cellStyle name="Normal 48 2 3" xfId="27164" xr:uid="{00000000-0005-0000-0000-00001C6A0000}"/>
    <cellStyle name="Normal 48 2 3 2" xfId="27165" xr:uid="{00000000-0005-0000-0000-00001D6A0000}"/>
    <cellStyle name="Normal 48 2 3 3" xfId="27166" xr:uid="{00000000-0005-0000-0000-00001E6A0000}"/>
    <cellStyle name="Normal 48 2 4" xfId="27167" xr:uid="{00000000-0005-0000-0000-00001F6A0000}"/>
    <cellStyle name="Normal 48 2 5" xfId="27168" xr:uid="{00000000-0005-0000-0000-0000206A0000}"/>
    <cellStyle name="Normal 48 3" xfId="27169" xr:uid="{00000000-0005-0000-0000-0000216A0000}"/>
    <cellStyle name="Normal 48 3 2" xfId="27170" xr:uid="{00000000-0005-0000-0000-0000226A0000}"/>
    <cellStyle name="Normal 48 3 2 2" xfId="27171" xr:uid="{00000000-0005-0000-0000-0000236A0000}"/>
    <cellStyle name="Normal 48 3 2 3" xfId="27172" xr:uid="{00000000-0005-0000-0000-0000246A0000}"/>
    <cellStyle name="Normal 48 3 3" xfId="27173" xr:uid="{00000000-0005-0000-0000-0000256A0000}"/>
    <cellStyle name="Normal 48 3 4" xfId="27174" xr:uid="{00000000-0005-0000-0000-0000266A0000}"/>
    <cellStyle name="Normal 48 4" xfId="27175" xr:uid="{00000000-0005-0000-0000-0000276A0000}"/>
    <cellStyle name="Normal 48 4 2" xfId="27176" xr:uid="{00000000-0005-0000-0000-0000286A0000}"/>
    <cellStyle name="Normal 48 4 3" xfId="27177" xr:uid="{00000000-0005-0000-0000-0000296A0000}"/>
    <cellStyle name="Normal 48 5" xfId="27178" xr:uid="{00000000-0005-0000-0000-00002A6A0000}"/>
    <cellStyle name="Normal 48 6" xfId="27179" xr:uid="{00000000-0005-0000-0000-00002B6A0000}"/>
    <cellStyle name="Normal 49" xfId="27180" xr:uid="{00000000-0005-0000-0000-00002C6A0000}"/>
    <cellStyle name="Normal 49 2" xfId="27181" xr:uid="{00000000-0005-0000-0000-00002D6A0000}"/>
    <cellStyle name="Normal 5" xfId="15" xr:uid="{00000000-0005-0000-0000-00000F000000}"/>
    <cellStyle name="Normal 5 2" xfId="27182" xr:uid="{00000000-0005-0000-0000-00002E6A0000}"/>
    <cellStyle name="Normal 5 2 2" xfId="27183" xr:uid="{00000000-0005-0000-0000-00002F6A0000}"/>
    <cellStyle name="Normal 5 2 2 2" xfId="27184" xr:uid="{00000000-0005-0000-0000-0000306A0000}"/>
    <cellStyle name="Normal 5 2 2 2 2" xfId="27185" xr:uid="{00000000-0005-0000-0000-0000316A0000}"/>
    <cellStyle name="Normal 5 2 2 2 2 2" xfId="27186" xr:uid="{00000000-0005-0000-0000-0000326A0000}"/>
    <cellStyle name="Normal 5 2 2 2 2 3" xfId="27187" xr:uid="{00000000-0005-0000-0000-0000336A0000}"/>
    <cellStyle name="Normal 5 2 2 2 3" xfId="27188" xr:uid="{00000000-0005-0000-0000-0000346A0000}"/>
    <cellStyle name="Normal 5 2 2 2 4" xfId="27189" xr:uid="{00000000-0005-0000-0000-0000356A0000}"/>
    <cellStyle name="Normal 5 2 2 3" xfId="27190" xr:uid="{00000000-0005-0000-0000-0000366A0000}"/>
    <cellStyle name="Normal 5 2 2 3 2" xfId="27191" xr:uid="{00000000-0005-0000-0000-0000376A0000}"/>
    <cellStyle name="Normal 5 2 2 3 3" xfId="27192" xr:uid="{00000000-0005-0000-0000-0000386A0000}"/>
    <cellStyle name="Normal 5 2 2 4" xfId="27193" xr:uid="{00000000-0005-0000-0000-0000396A0000}"/>
    <cellStyle name="Normal 5 2 2 5" xfId="27194" xr:uid="{00000000-0005-0000-0000-00003A6A0000}"/>
    <cellStyle name="Normal 5 3" xfId="27195" xr:uid="{00000000-0005-0000-0000-00003B6A0000}"/>
    <cellStyle name="Normal 5 3 2" xfId="27196" xr:uid="{00000000-0005-0000-0000-00003C6A0000}"/>
    <cellStyle name="Normal 5 3 2 2" xfId="27197" xr:uid="{00000000-0005-0000-0000-00003D6A0000}"/>
    <cellStyle name="Normal 5 3 2 2 2" xfId="27198" xr:uid="{00000000-0005-0000-0000-00003E6A0000}"/>
    <cellStyle name="Normal 5 3 2 2 3" xfId="27199" xr:uid="{00000000-0005-0000-0000-00003F6A0000}"/>
    <cellStyle name="Normal 5 3 2 3" xfId="27200" xr:uid="{00000000-0005-0000-0000-0000406A0000}"/>
    <cellStyle name="Normal 5 3 2 4" xfId="27201" xr:uid="{00000000-0005-0000-0000-0000416A0000}"/>
    <cellStyle name="Normal 5 3 3" xfId="27202" xr:uid="{00000000-0005-0000-0000-0000426A0000}"/>
    <cellStyle name="Normal 5 3 3 2" xfId="27203" xr:uid="{00000000-0005-0000-0000-0000436A0000}"/>
    <cellStyle name="Normal 5 3 3 3" xfId="27204" xr:uid="{00000000-0005-0000-0000-0000446A0000}"/>
    <cellStyle name="Normal 5 3 4" xfId="27205" xr:uid="{00000000-0005-0000-0000-0000456A0000}"/>
    <cellStyle name="Normal 5 3 5" xfId="27206" xr:uid="{00000000-0005-0000-0000-0000466A0000}"/>
    <cellStyle name="Normal 5_Projected Company wise till March 2011-Final_Ashish" xfId="27207" xr:uid="{00000000-0005-0000-0000-0000476A0000}"/>
    <cellStyle name="Normal 50" xfId="27208" xr:uid="{00000000-0005-0000-0000-0000486A0000}"/>
    <cellStyle name="Normal 50 2" xfId="27209" xr:uid="{00000000-0005-0000-0000-0000496A0000}"/>
    <cellStyle name="Normal 51" xfId="27210" xr:uid="{00000000-0005-0000-0000-00004A6A0000}"/>
    <cellStyle name="Normal 51 2" xfId="27211" xr:uid="{00000000-0005-0000-0000-00004B6A0000}"/>
    <cellStyle name="Normal 51 2 2" xfId="27212" xr:uid="{00000000-0005-0000-0000-00004C6A0000}"/>
    <cellStyle name="Normal 51 2 2 2" xfId="27213" xr:uid="{00000000-0005-0000-0000-00004D6A0000}"/>
    <cellStyle name="Normal 51 2 2 3" xfId="27214" xr:uid="{00000000-0005-0000-0000-00004E6A0000}"/>
    <cellStyle name="Normal 51 2 3" xfId="27215" xr:uid="{00000000-0005-0000-0000-00004F6A0000}"/>
    <cellStyle name="Normal 51 2 4" xfId="27216" xr:uid="{00000000-0005-0000-0000-0000506A0000}"/>
    <cellStyle name="Normal 51 3" xfId="27217" xr:uid="{00000000-0005-0000-0000-0000516A0000}"/>
    <cellStyle name="Normal 51 3 2" xfId="27218" xr:uid="{00000000-0005-0000-0000-0000526A0000}"/>
    <cellStyle name="Normal 51 3 3" xfId="27219" xr:uid="{00000000-0005-0000-0000-0000536A0000}"/>
    <cellStyle name="Normal 51 4" xfId="27220" xr:uid="{00000000-0005-0000-0000-0000546A0000}"/>
    <cellStyle name="Normal 51 5" xfId="27221" xr:uid="{00000000-0005-0000-0000-0000556A0000}"/>
    <cellStyle name="Normal 52" xfId="27222" xr:uid="{00000000-0005-0000-0000-0000566A0000}"/>
    <cellStyle name="Normal 52 2" xfId="27223" xr:uid="{00000000-0005-0000-0000-0000576A0000}"/>
    <cellStyle name="Normal 52 2 2" xfId="27224" xr:uid="{00000000-0005-0000-0000-0000586A0000}"/>
    <cellStyle name="Normal 52 2 2 2" xfId="27225" xr:uid="{00000000-0005-0000-0000-0000596A0000}"/>
    <cellStyle name="Normal 52 2 2 3" xfId="27226" xr:uid="{00000000-0005-0000-0000-00005A6A0000}"/>
    <cellStyle name="Normal 52 2 3" xfId="27227" xr:uid="{00000000-0005-0000-0000-00005B6A0000}"/>
    <cellStyle name="Normal 52 2 4" xfId="27228" xr:uid="{00000000-0005-0000-0000-00005C6A0000}"/>
    <cellStyle name="Normal 52 3" xfId="27229" xr:uid="{00000000-0005-0000-0000-00005D6A0000}"/>
    <cellStyle name="Normal 52 3 2" xfId="27230" xr:uid="{00000000-0005-0000-0000-00005E6A0000}"/>
    <cellStyle name="Normal 52 3 3" xfId="27231" xr:uid="{00000000-0005-0000-0000-00005F6A0000}"/>
    <cellStyle name="Normal 52 4" xfId="27232" xr:uid="{00000000-0005-0000-0000-0000606A0000}"/>
    <cellStyle name="Normal 52 5" xfId="27233" xr:uid="{00000000-0005-0000-0000-0000616A0000}"/>
    <cellStyle name="Normal 53" xfId="27234" xr:uid="{00000000-0005-0000-0000-0000626A0000}"/>
    <cellStyle name="Normal 53 2" xfId="27235" xr:uid="{00000000-0005-0000-0000-0000636A0000}"/>
    <cellStyle name="Normal 53 2 2" xfId="27236" xr:uid="{00000000-0005-0000-0000-0000646A0000}"/>
    <cellStyle name="Normal 53 2 2 2" xfId="27237" xr:uid="{00000000-0005-0000-0000-0000656A0000}"/>
    <cellStyle name="Normal 53 2 2 3" xfId="27238" xr:uid="{00000000-0005-0000-0000-0000666A0000}"/>
    <cellStyle name="Normal 53 2 3" xfId="27239" xr:uid="{00000000-0005-0000-0000-0000676A0000}"/>
    <cellStyle name="Normal 53 2 4" xfId="27240" xr:uid="{00000000-0005-0000-0000-0000686A0000}"/>
    <cellStyle name="Normal 53 3" xfId="27241" xr:uid="{00000000-0005-0000-0000-0000696A0000}"/>
    <cellStyle name="Normal 53 3 2" xfId="27242" xr:uid="{00000000-0005-0000-0000-00006A6A0000}"/>
    <cellStyle name="Normal 53 3 3" xfId="27243" xr:uid="{00000000-0005-0000-0000-00006B6A0000}"/>
    <cellStyle name="Normal 53 4" xfId="27244" xr:uid="{00000000-0005-0000-0000-00006C6A0000}"/>
    <cellStyle name="Normal 53 5" xfId="27245" xr:uid="{00000000-0005-0000-0000-00006D6A0000}"/>
    <cellStyle name="Normal 54" xfId="27246" xr:uid="{00000000-0005-0000-0000-00006E6A0000}"/>
    <cellStyle name="Normal 54 2" xfId="27247" xr:uid="{00000000-0005-0000-0000-00006F6A0000}"/>
    <cellStyle name="Normal 54 2 2" xfId="27248" xr:uid="{00000000-0005-0000-0000-0000706A0000}"/>
    <cellStyle name="Normal 54 2 3" xfId="27249" xr:uid="{00000000-0005-0000-0000-0000716A0000}"/>
    <cellStyle name="Normal 54 3" xfId="27250" xr:uid="{00000000-0005-0000-0000-0000726A0000}"/>
    <cellStyle name="Normal 54 4" xfId="27251" xr:uid="{00000000-0005-0000-0000-0000736A0000}"/>
    <cellStyle name="Normal 55" xfId="27252" xr:uid="{00000000-0005-0000-0000-0000746A0000}"/>
    <cellStyle name="Normal 55 2" xfId="27253" xr:uid="{00000000-0005-0000-0000-0000756A0000}"/>
    <cellStyle name="Normal 56" xfId="27254" xr:uid="{00000000-0005-0000-0000-0000766A0000}"/>
    <cellStyle name="Normal 56 2" xfId="27255" xr:uid="{00000000-0005-0000-0000-0000776A0000}"/>
    <cellStyle name="Normal 56 2 2" xfId="27256" xr:uid="{00000000-0005-0000-0000-0000786A0000}"/>
    <cellStyle name="Normal 56 2 3" xfId="27257" xr:uid="{00000000-0005-0000-0000-0000796A0000}"/>
    <cellStyle name="Normal 56 3" xfId="27258" xr:uid="{00000000-0005-0000-0000-00007A6A0000}"/>
    <cellStyle name="Normal 56 4" xfId="27259" xr:uid="{00000000-0005-0000-0000-00007B6A0000}"/>
    <cellStyle name="Normal 57" xfId="27260" xr:uid="{00000000-0005-0000-0000-00007C6A0000}"/>
    <cellStyle name="Normal 57 2" xfId="27261" xr:uid="{00000000-0005-0000-0000-00007D6A0000}"/>
    <cellStyle name="Normal 57 3" xfId="27262" xr:uid="{00000000-0005-0000-0000-00007E6A0000}"/>
    <cellStyle name="Normal 58" xfId="27263" xr:uid="{00000000-0005-0000-0000-00007F6A0000}"/>
    <cellStyle name="Normal 58 2" xfId="27264" xr:uid="{00000000-0005-0000-0000-0000806A0000}"/>
    <cellStyle name="Normal 58 3" xfId="27265" xr:uid="{00000000-0005-0000-0000-0000816A0000}"/>
    <cellStyle name="Normal 59" xfId="27266" xr:uid="{00000000-0005-0000-0000-0000826A0000}"/>
    <cellStyle name="Normal 59 2" xfId="27267" xr:uid="{00000000-0005-0000-0000-0000836A0000}"/>
    <cellStyle name="Normal 59 3" xfId="27268" xr:uid="{00000000-0005-0000-0000-0000846A0000}"/>
    <cellStyle name="Normal 6" xfId="16" xr:uid="{00000000-0005-0000-0000-000010000000}"/>
    <cellStyle name="Normal 6 2" xfId="27269" xr:uid="{00000000-0005-0000-0000-0000856A0000}"/>
    <cellStyle name="Normal 6 2 2" xfId="27270" xr:uid="{00000000-0005-0000-0000-0000866A0000}"/>
    <cellStyle name="Normal 6 2 2 2" xfId="27271" xr:uid="{00000000-0005-0000-0000-0000876A0000}"/>
    <cellStyle name="Normal 6 2 2 2 2" xfId="27272" xr:uid="{00000000-0005-0000-0000-0000886A0000}"/>
    <cellStyle name="Normal 6 2 2 2 2 2" xfId="27273" xr:uid="{00000000-0005-0000-0000-0000896A0000}"/>
    <cellStyle name="Normal 6 2 2 2 2 3" xfId="27274" xr:uid="{00000000-0005-0000-0000-00008A6A0000}"/>
    <cellStyle name="Normal 6 2 2 2 3" xfId="27275" xr:uid="{00000000-0005-0000-0000-00008B6A0000}"/>
    <cellStyle name="Normal 6 2 2 2 4" xfId="27276" xr:uid="{00000000-0005-0000-0000-00008C6A0000}"/>
    <cellStyle name="Normal 6 2 2 3" xfId="27277" xr:uid="{00000000-0005-0000-0000-00008D6A0000}"/>
    <cellStyle name="Normal 6 2 2 3 2" xfId="27278" xr:uid="{00000000-0005-0000-0000-00008E6A0000}"/>
    <cellStyle name="Normal 6 2 2 3 3" xfId="27279" xr:uid="{00000000-0005-0000-0000-00008F6A0000}"/>
    <cellStyle name="Normal 6 2 2 4" xfId="27280" xr:uid="{00000000-0005-0000-0000-0000906A0000}"/>
    <cellStyle name="Normal 6 2 2 5" xfId="27281" xr:uid="{00000000-0005-0000-0000-0000916A0000}"/>
    <cellStyle name="Normal 6 3" xfId="27282" xr:uid="{00000000-0005-0000-0000-0000926A0000}"/>
    <cellStyle name="Normal 6 3 2" xfId="27283" xr:uid="{00000000-0005-0000-0000-0000936A0000}"/>
    <cellStyle name="Normal 6 3 2 2" xfId="27284" xr:uid="{00000000-0005-0000-0000-0000946A0000}"/>
    <cellStyle name="Normal 6 3 2 2 2" xfId="27285" xr:uid="{00000000-0005-0000-0000-0000956A0000}"/>
    <cellStyle name="Normal 6 3 2 2 3" xfId="27286" xr:uid="{00000000-0005-0000-0000-0000966A0000}"/>
    <cellStyle name="Normal 6 3 2 3" xfId="27287" xr:uid="{00000000-0005-0000-0000-0000976A0000}"/>
    <cellStyle name="Normal 6 3 2 4" xfId="27288" xr:uid="{00000000-0005-0000-0000-0000986A0000}"/>
    <cellStyle name="Normal 6 3 3" xfId="27289" xr:uid="{00000000-0005-0000-0000-0000996A0000}"/>
    <cellStyle name="Normal 6 3 3 2" xfId="27290" xr:uid="{00000000-0005-0000-0000-00009A6A0000}"/>
    <cellStyle name="Normal 6 3 3 3" xfId="27291" xr:uid="{00000000-0005-0000-0000-00009B6A0000}"/>
    <cellStyle name="Normal 6 3 4" xfId="27292" xr:uid="{00000000-0005-0000-0000-00009C6A0000}"/>
    <cellStyle name="Normal 6 3 5" xfId="27293" xr:uid="{00000000-0005-0000-0000-00009D6A0000}"/>
    <cellStyle name="Normal 6 4" xfId="27294" xr:uid="{00000000-0005-0000-0000-00009E6A0000}"/>
    <cellStyle name="Normal 60" xfId="27295" xr:uid="{00000000-0005-0000-0000-00009F6A0000}"/>
    <cellStyle name="Normal 60 2" xfId="27296" xr:uid="{00000000-0005-0000-0000-0000A06A0000}"/>
    <cellStyle name="Normal 60 3" xfId="27297" xr:uid="{00000000-0005-0000-0000-0000A16A0000}"/>
    <cellStyle name="Normal 61" xfId="27298" xr:uid="{00000000-0005-0000-0000-0000A26A0000}"/>
    <cellStyle name="Normal 61 2" xfId="27299" xr:uid="{00000000-0005-0000-0000-0000A36A0000}"/>
    <cellStyle name="Normal 61 3" xfId="27300" xr:uid="{00000000-0005-0000-0000-0000A46A0000}"/>
    <cellStyle name="Normal 62" xfId="27301" xr:uid="{00000000-0005-0000-0000-0000A56A0000}"/>
    <cellStyle name="Normal 62 2" xfId="27302" xr:uid="{00000000-0005-0000-0000-0000A66A0000}"/>
    <cellStyle name="Normal 62 3" xfId="27303" xr:uid="{00000000-0005-0000-0000-0000A76A0000}"/>
    <cellStyle name="Normal 63" xfId="27304" xr:uid="{00000000-0005-0000-0000-0000A86A0000}"/>
    <cellStyle name="Normal 63 2" xfId="27305" xr:uid="{00000000-0005-0000-0000-0000A96A0000}"/>
    <cellStyle name="Normal 63 3" xfId="27306" xr:uid="{00000000-0005-0000-0000-0000AA6A0000}"/>
    <cellStyle name="Normal 64" xfId="27307" xr:uid="{00000000-0005-0000-0000-0000AB6A0000}"/>
    <cellStyle name="Normal 65" xfId="27308" xr:uid="{00000000-0005-0000-0000-0000AC6A0000}"/>
    <cellStyle name="Normal 65 2" xfId="27309" xr:uid="{00000000-0005-0000-0000-0000AD6A0000}"/>
    <cellStyle name="Normal 65 3" xfId="27310" xr:uid="{00000000-0005-0000-0000-0000AE6A0000}"/>
    <cellStyle name="Normal 66" xfId="27311" xr:uid="{00000000-0005-0000-0000-0000AF6A0000}"/>
    <cellStyle name="Normal 66 2" xfId="27312" xr:uid="{00000000-0005-0000-0000-0000B06A0000}"/>
    <cellStyle name="Normal 66 3" xfId="27313" xr:uid="{00000000-0005-0000-0000-0000B16A0000}"/>
    <cellStyle name="Normal 67" xfId="27314" xr:uid="{00000000-0005-0000-0000-0000B26A0000}"/>
    <cellStyle name="Normal 67 2" xfId="27315" xr:uid="{00000000-0005-0000-0000-0000B36A0000}"/>
    <cellStyle name="Normal 67 3" xfId="27316" xr:uid="{00000000-0005-0000-0000-0000B46A0000}"/>
    <cellStyle name="Normal 68" xfId="27317" xr:uid="{00000000-0005-0000-0000-0000B56A0000}"/>
    <cellStyle name="Normal 68 2" xfId="27318" xr:uid="{00000000-0005-0000-0000-0000B66A0000}"/>
    <cellStyle name="Normal 68 3" xfId="27319" xr:uid="{00000000-0005-0000-0000-0000B76A0000}"/>
    <cellStyle name="Normal 69" xfId="27320" xr:uid="{00000000-0005-0000-0000-0000B86A0000}"/>
    <cellStyle name="Normal 69 2" xfId="27321" xr:uid="{00000000-0005-0000-0000-0000B96A0000}"/>
    <cellStyle name="Normal 69 3" xfId="27322" xr:uid="{00000000-0005-0000-0000-0000BA6A0000}"/>
    <cellStyle name="Normal 7" xfId="17" xr:uid="{00000000-0005-0000-0000-000011000000}"/>
    <cellStyle name="Normal 7 2" xfId="27323" xr:uid="{00000000-0005-0000-0000-0000BB6A0000}"/>
    <cellStyle name="Normal 7 2 2" xfId="27324" xr:uid="{00000000-0005-0000-0000-0000BC6A0000}"/>
    <cellStyle name="Normal 7 2 3" xfId="27325" xr:uid="{00000000-0005-0000-0000-0000BD6A0000}"/>
    <cellStyle name="Normal 7 2 3 2" xfId="27326" xr:uid="{00000000-0005-0000-0000-0000BE6A0000}"/>
    <cellStyle name="Normal 7 2 3 2 2" xfId="27327" xr:uid="{00000000-0005-0000-0000-0000BF6A0000}"/>
    <cellStyle name="Normal 7 2 3 2 3" xfId="27328" xr:uid="{00000000-0005-0000-0000-0000C06A0000}"/>
    <cellStyle name="Normal 7 2 3 3" xfId="27329" xr:uid="{00000000-0005-0000-0000-0000C16A0000}"/>
    <cellStyle name="Normal 7 2 3 4" xfId="27330" xr:uid="{00000000-0005-0000-0000-0000C26A0000}"/>
    <cellStyle name="Normal 7 2 4" xfId="27331" xr:uid="{00000000-0005-0000-0000-0000C36A0000}"/>
    <cellStyle name="Normal 7 2 4 2" xfId="27332" xr:uid="{00000000-0005-0000-0000-0000C46A0000}"/>
    <cellStyle name="Normal 7 2 4 3" xfId="27333" xr:uid="{00000000-0005-0000-0000-0000C56A0000}"/>
    <cellStyle name="Normal 7 2 5" xfId="27334" xr:uid="{00000000-0005-0000-0000-0000C66A0000}"/>
    <cellStyle name="Normal 7 2 6" xfId="27335" xr:uid="{00000000-0005-0000-0000-0000C76A0000}"/>
    <cellStyle name="Normal 7 3" xfId="27336" xr:uid="{00000000-0005-0000-0000-0000C86A0000}"/>
    <cellStyle name="Normal 70" xfId="27337" xr:uid="{00000000-0005-0000-0000-0000C96A0000}"/>
    <cellStyle name="Normal 70 2" xfId="27338" xr:uid="{00000000-0005-0000-0000-0000CA6A0000}"/>
    <cellStyle name="Normal 70 3" xfId="27339" xr:uid="{00000000-0005-0000-0000-0000CB6A0000}"/>
    <cellStyle name="Normal 71" xfId="27340" xr:uid="{00000000-0005-0000-0000-0000CC6A0000}"/>
    <cellStyle name="Normal 71 2" xfId="27341" xr:uid="{00000000-0005-0000-0000-0000CD6A0000}"/>
    <cellStyle name="Normal 71 3" xfId="27342" xr:uid="{00000000-0005-0000-0000-0000CE6A0000}"/>
    <cellStyle name="Normal 72" xfId="27343" xr:uid="{00000000-0005-0000-0000-0000CF6A0000}"/>
    <cellStyle name="Normal 72 2" xfId="27344" xr:uid="{00000000-0005-0000-0000-0000D06A0000}"/>
    <cellStyle name="Normal 72 3" xfId="27345" xr:uid="{00000000-0005-0000-0000-0000D16A0000}"/>
    <cellStyle name="Normal 73" xfId="27346" xr:uid="{00000000-0005-0000-0000-0000D26A0000}"/>
    <cellStyle name="Normal 73 2" xfId="27347" xr:uid="{00000000-0005-0000-0000-0000D36A0000}"/>
    <cellStyle name="Normal 73 3" xfId="27348" xr:uid="{00000000-0005-0000-0000-0000D46A0000}"/>
    <cellStyle name="Normal 74" xfId="27349" xr:uid="{00000000-0005-0000-0000-0000D56A0000}"/>
    <cellStyle name="Normal 74 2" xfId="27350" xr:uid="{00000000-0005-0000-0000-0000D66A0000}"/>
    <cellStyle name="Normal 74 3" xfId="27351" xr:uid="{00000000-0005-0000-0000-0000D76A0000}"/>
    <cellStyle name="Normal 75" xfId="27352" xr:uid="{00000000-0005-0000-0000-0000D86A0000}"/>
    <cellStyle name="Normal 75 2" xfId="27353" xr:uid="{00000000-0005-0000-0000-0000D96A0000}"/>
    <cellStyle name="Normal 75 3" xfId="27354" xr:uid="{00000000-0005-0000-0000-0000DA6A0000}"/>
    <cellStyle name="Normal 76" xfId="27355" xr:uid="{00000000-0005-0000-0000-0000DB6A0000}"/>
    <cellStyle name="Normal 76 2" xfId="27356" xr:uid="{00000000-0005-0000-0000-0000DC6A0000}"/>
    <cellStyle name="Normal 76 3" xfId="27357" xr:uid="{00000000-0005-0000-0000-0000DD6A0000}"/>
    <cellStyle name="Normal 77" xfId="27358" xr:uid="{00000000-0005-0000-0000-0000DE6A0000}"/>
    <cellStyle name="Normal 77 2" xfId="27359" xr:uid="{00000000-0005-0000-0000-0000DF6A0000}"/>
    <cellStyle name="Normal 77 3" xfId="27360" xr:uid="{00000000-0005-0000-0000-0000E06A0000}"/>
    <cellStyle name="Normal 78" xfId="27361" xr:uid="{00000000-0005-0000-0000-0000E16A0000}"/>
    <cellStyle name="Normal 78 2" xfId="27362" xr:uid="{00000000-0005-0000-0000-0000E26A0000}"/>
    <cellStyle name="Normal 78 3" xfId="27363" xr:uid="{00000000-0005-0000-0000-0000E36A0000}"/>
    <cellStyle name="Normal 79" xfId="27364" xr:uid="{00000000-0005-0000-0000-0000E46A0000}"/>
    <cellStyle name="Normal 79 2" xfId="27365" xr:uid="{00000000-0005-0000-0000-0000E56A0000}"/>
    <cellStyle name="Normal 79 3" xfId="27366" xr:uid="{00000000-0005-0000-0000-0000E66A0000}"/>
    <cellStyle name="Normal 8" xfId="27367" xr:uid="{00000000-0005-0000-0000-0000E76A0000}"/>
    <cellStyle name="Normal 8 2" xfId="27368" xr:uid="{00000000-0005-0000-0000-0000E86A0000}"/>
    <cellStyle name="Normal 8 2 2" xfId="27369" xr:uid="{00000000-0005-0000-0000-0000E96A0000}"/>
    <cellStyle name="Normal 8 2 2 2" xfId="27370" xr:uid="{00000000-0005-0000-0000-0000EA6A0000}"/>
    <cellStyle name="Normal 8 2 2 2 2" xfId="27371" xr:uid="{00000000-0005-0000-0000-0000EB6A0000}"/>
    <cellStyle name="Normal 8 2 2 2 3" xfId="27372" xr:uid="{00000000-0005-0000-0000-0000EC6A0000}"/>
    <cellStyle name="Normal 8 2 2 3" xfId="27373" xr:uid="{00000000-0005-0000-0000-0000ED6A0000}"/>
    <cellStyle name="Normal 8 2 2 4" xfId="27374" xr:uid="{00000000-0005-0000-0000-0000EE6A0000}"/>
    <cellStyle name="Normal 8 2 3" xfId="27375" xr:uid="{00000000-0005-0000-0000-0000EF6A0000}"/>
    <cellStyle name="Normal 8 2 3 2" xfId="27376" xr:uid="{00000000-0005-0000-0000-0000F06A0000}"/>
    <cellStyle name="Normal 8 2 3 3" xfId="27377" xr:uid="{00000000-0005-0000-0000-0000F16A0000}"/>
    <cellStyle name="Normal 8 2 4" xfId="27378" xr:uid="{00000000-0005-0000-0000-0000F26A0000}"/>
    <cellStyle name="Normal 8 2 5" xfId="27379" xr:uid="{00000000-0005-0000-0000-0000F36A0000}"/>
    <cellStyle name="Normal 8 3" xfId="27380" xr:uid="{00000000-0005-0000-0000-0000F46A0000}"/>
    <cellStyle name="Normal 80" xfId="27381" xr:uid="{00000000-0005-0000-0000-0000F56A0000}"/>
    <cellStyle name="Normal 80 2" xfId="27382" xr:uid="{00000000-0005-0000-0000-0000F66A0000}"/>
    <cellStyle name="Normal 80 3" xfId="27383" xr:uid="{00000000-0005-0000-0000-0000F76A0000}"/>
    <cellStyle name="Normal 81" xfId="27384" xr:uid="{00000000-0005-0000-0000-0000F86A0000}"/>
    <cellStyle name="Normal 81 2" xfId="27385" xr:uid="{00000000-0005-0000-0000-0000F96A0000}"/>
    <cellStyle name="Normal 81 3" xfId="27386" xr:uid="{00000000-0005-0000-0000-0000FA6A0000}"/>
    <cellStyle name="Normal 82" xfId="27387" xr:uid="{00000000-0005-0000-0000-0000FB6A0000}"/>
    <cellStyle name="Normal 82 2" xfId="27388" xr:uid="{00000000-0005-0000-0000-0000FC6A0000}"/>
    <cellStyle name="Normal 82 3" xfId="27389" xr:uid="{00000000-0005-0000-0000-0000FD6A0000}"/>
    <cellStyle name="Normal 83" xfId="27390" xr:uid="{00000000-0005-0000-0000-0000FE6A0000}"/>
    <cellStyle name="Normal 83 2" xfId="27391" xr:uid="{00000000-0005-0000-0000-0000FF6A0000}"/>
    <cellStyle name="Normal 83 3" xfId="27392" xr:uid="{00000000-0005-0000-0000-0000006B0000}"/>
    <cellStyle name="Normal 84" xfId="27393" xr:uid="{00000000-0005-0000-0000-0000016B0000}"/>
    <cellStyle name="Normal 84 2" xfId="27394" xr:uid="{00000000-0005-0000-0000-0000026B0000}"/>
    <cellStyle name="Normal 84 3" xfId="27395" xr:uid="{00000000-0005-0000-0000-0000036B0000}"/>
    <cellStyle name="Normal 85" xfId="27396" xr:uid="{00000000-0005-0000-0000-0000046B0000}"/>
    <cellStyle name="Normal 85 2" xfId="27397" xr:uid="{00000000-0005-0000-0000-0000056B0000}"/>
    <cellStyle name="Normal 85 3" xfId="27398" xr:uid="{00000000-0005-0000-0000-0000066B0000}"/>
    <cellStyle name="Normal 86" xfId="27399" xr:uid="{00000000-0005-0000-0000-0000076B0000}"/>
    <cellStyle name="Normal 86 2" xfId="27400" xr:uid="{00000000-0005-0000-0000-0000086B0000}"/>
    <cellStyle name="Normal 86 3" xfId="27401" xr:uid="{00000000-0005-0000-0000-0000096B0000}"/>
    <cellStyle name="Normal 87" xfId="27402" xr:uid="{00000000-0005-0000-0000-00000A6B0000}"/>
    <cellStyle name="Normal 88" xfId="27403" xr:uid="{00000000-0005-0000-0000-00000B6B0000}"/>
    <cellStyle name="Normal 89" xfId="27404" xr:uid="{00000000-0005-0000-0000-00000C6B0000}"/>
    <cellStyle name="Normal 9" xfId="27405" xr:uid="{00000000-0005-0000-0000-00000D6B0000}"/>
    <cellStyle name="Normal 9 2" xfId="27406" xr:uid="{00000000-0005-0000-0000-00000E6B0000}"/>
    <cellStyle name="Normal 9 2 2" xfId="27407" xr:uid="{00000000-0005-0000-0000-00000F6B0000}"/>
    <cellStyle name="Normal 9 2 2 2" xfId="27408" xr:uid="{00000000-0005-0000-0000-0000106B0000}"/>
    <cellStyle name="Normal 9 2 2 2 2" xfId="27409" xr:uid="{00000000-0005-0000-0000-0000116B0000}"/>
    <cellStyle name="Normal 9 2 2 2 3" xfId="27410" xr:uid="{00000000-0005-0000-0000-0000126B0000}"/>
    <cellStyle name="Normal 9 2 2 3" xfId="27411" xr:uid="{00000000-0005-0000-0000-0000136B0000}"/>
    <cellStyle name="Normal 9 2 2 4" xfId="27412" xr:uid="{00000000-0005-0000-0000-0000146B0000}"/>
    <cellStyle name="Normal 9 2 3" xfId="27413" xr:uid="{00000000-0005-0000-0000-0000156B0000}"/>
    <cellStyle name="Normal 9 2 3 2" xfId="27414" xr:uid="{00000000-0005-0000-0000-0000166B0000}"/>
    <cellStyle name="Normal 9 2 3 3" xfId="27415" xr:uid="{00000000-0005-0000-0000-0000176B0000}"/>
    <cellStyle name="Normal 9 2 4" xfId="27416" xr:uid="{00000000-0005-0000-0000-0000186B0000}"/>
    <cellStyle name="Normal 9 2 5" xfId="27417" xr:uid="{00000000-0005-0000-0000-0000196B0000}"/>
    <cellStyle name="Normal 9 3" xfId="27418" xr:uid="{00000000-0005-0000-0000-00001A6B0000}"/>
    <cellStyle name="Normal 9 3 2" xfId="27419" xr:uid="{00000000-0005-0000-0000-00001B6B0000}"/>
    <cellStyle name="Normal 9 3 3" xfId="27420" xr:uid="{00000000-0005-0000-0000-00001C6B0000}"/>
    <cellStyle name="Normal 9 4" xfId="27421" xr:uid="{00000000-0005-0000-0000-00001D6B0000}"/>
    <cellStyle name="Normal 9 5" xfId="27422" xr:uid="{00000000-0005-0000-0000-00001E6B0000}"/>
    <cellStyle name="Normal 90" xfId="27423" xr:uid="{00000000-0005-0000-0000-00001F6B0000}"/>
    <cellStyle name="Normal 91" xfId="27424" xr:uid="{00000000-0005-0000-0000-0000206B0000}"/>
    <cellStyle name="Normal 92" xfId="27425" xr:uid="{00000000-0005-0000-0000-0000216B0000}"/>
    <cellStyle name="Normal 93" xfId="27426" xr:uid="{00000000-0005-0000-0000-0000226B0000}"/>
    <cellStyle name="Normal 94" xfId="27427" xr:uid="{00000000-0005-0000-0000-0000236B0000}"/>
    <cellStyle name="Normal 95" xfId="27428" xr:uid="{00000000-0005-0000-0000-0000246B0000}"/>
    <cellStyle name="Normal 96" xfId="27429" xr:uid="{00000000-0005-0000-0000-0000256B0000}"/>
    <cellStyle name="Normal 97" xfId="27430" xr:uid="{00000000-0005-0000-0000-0000266B0000}"/>
    <cellStyle name="Normal 98" xfId="27431" xr:uid="{00000000-0005-0000-0000-0000276B0000}"/>
    <cellStyle name="Normal 99" xfId="27432" xr:uid="{00000000-0005-0000-0000-0000286B0000}"/>
    <cellStyle name="Normal_Cash Flow template-TBI-05-06" xfId="34796" xr:uid="{00000000-0005-0000-0000-0000EC870000}"/>
    <cellStyle name="Normal_Sheet3" xfId="34797" xr:uid="{00000000-0005-0000-0000-0000ED870000}"/>
    <cellStyle name="Normal_Sheet3 2" xfId="34800" xr:uid="{00000000-0005-0000-0000-0000F0870000}"/>
    <cellStyle name="Note 10" xfId="27433" xr:uid="{00000000-0005-0000-0000-0000296B0000}"/>
    <cellStyle name="Note 10 2" xfId="27434" xr:uid="{00000000-0005-0000-0000-00002A6B0000}"/>
    <cellStyle name="Note 10 2 2" xfId="27435" xr:uid="{00000000-0005-0000-0000-00002B6B0000}"/>
    <cellStyle name="Note 10 2 2 2" xfId="27436" xr:uid="{00000000-0005-0000-0000-00002C6B0000}"/>
    <cellStyle name="Note 10 2 2 2 2" xfId="27437" xr:uid="{00000000-0005-0000-0000-00002D6B0000}"/>
    <cellStyle name="Note 10 2 2 2 2 2" xfId="27438" xr:uid="{00000000-0005-0000-0000-00002E6B0000}"/>
    <cellStyle name="Note 10 2 2 2 2 2 2" xfId="27439" xr:uid="{00000000-0005-0000-0000-00002F6B0000}"/>
    <cellStyle name="Note 10 2 2 2 2 2 3" xfId="27440" xr:uid="{00000000-0005-0000-0000-0000306B0000}"/>
    <cellStyle name="Note 10 2 2 2 2 3" xfId="27441" xr:uid="{00000000-0005-0000-0000-0000316B0000}"/>
    <cellStyle name="Note 10 2 2 2 2 4" xfId="27442" xr:uid="{00000000-0005-0000-0000-0000326B0000}"/>
    <cellStyle name="Note 10 2 2 2 3" xfId="27443" xr:uid="{00000000-0005-0000-0000-0000336B0000}"/>
    <cellStyle name="Note 10 2 2 2 3 2" xfId="27444" xr:uid="{00000000-0005-0000-0000-0000346B0000}"/>
    <cellStyle name="Note 10 2 2 2 3 3" xfId="27445" xr:uid="{00000000-0005-0000-0000-0000356B0000}"/>
    <cellStyle name="Note 10 2 2 2 4" xfId="27446" xr:uid="{00000000-0005-0000-0000-0000366B0000}"/>
    <cellStyle name="Note 10 2 2 2 5" xfId="27447" xr:uid="{00000000-0005-0000-0000-0000376B0000}"/>
    <cellStyle name="Note 10 2 3" xfId="27448" xr:uid="{00000000-0005-0000-0000-0000386B0000}"/>
    <cellStyle name="Note 10 2 3 2" xfId="27449" xr:uid="{00000000-0005-0000-0000-0000396B0000}"/>
    <cellStyle name="Note 10 2 3 2 2" xfId="27450" xr:uid="{00000000-0005-0000-0000-00003A6B0000}"/>
    <cellStyle name="Note 10 2 3 2 2 2" xfId="27451" xr:uid="{00000000-0005-0000-0000-00003B6B0000}"/>
    <cellStyle name="Note 10 2 3 2 2 3" xfId="27452" xr:uid="{00000000-0005-0000-0000-00003C6B0000}"/>
    <cellStyle name="Note 10 2 3 2 3" xfId="27453" xr:uid="{00000000-0005-0000-0000-00003D6B0000}"/>
    <cellStyle name="Note 10 2 3 2 4" xfId="27454" xr:uid="{00000000-0005-0000-0000-00003E6B0000}"/>
    <cellStyle name="Note 10 2 3 3" xfId="27455" xr:uid="{00000000-0005-0000-0000-00003F6B0000}"/>
    <cellStyle name="Note 10 2 3 3 2" xfId="27456" xr:uid="{00000000-0005-0000-0000-0000406B0000}"/>
    <cellStyle name="Note 10 2 3 3 3" xfId="27457" xr:uid="{00000000-0005-0000-0000-0000416B0000}"/>
    <cellStyle name="Note 10 2 3 4" xfId="27458" xr:uid="{00000000-0005-0000-0000-0000426B0000}"/>
    <cellStyle name="Note 10 2 3 5" xfId="27459" xr:uid="{00000000-0005-0000-0000-0000436B0000}"/>
    <cellStyle name="Note 10 3" xfId="27460" xr:uid="{00000000-0005-0000-0000-0000446B0000}"/>
    <cellStyle name="Note 10 3 2" xfId="27461" xr:uid="{00000000-0005-0000-0000-0000456B0000}"/>
    <cellStyle name="Note 10 3 2 2" xfId="27462" xr:uid="{00000000-0005-0000-0000-0000466B0000}"/>
    <cellStyle name="Note 10 3 2 2 2" xfId="27463" xr:uid="{00000000-0005-0000-0000-0000476B0000}"/>
    <cellStyle name="Note 10 3 2 2 2 2" xfId="27464" xr:uid="{00000000-0005-0000-0000-0000486B0000}"/>
    <cellStyle name="Note 10 3 2 2 2 2 2" xfId="27465" xr:uid="{00000000-0005-0000-0000-0000496B0000}"/>
    <cellStyle name="Note 10 3 2 2 2 2 3" xfId="27466" xr:uid="{00000000-0005-0000-0000-00004A6B0000}"/>
    <cellStyle name="Note 10 3 2 2 2 3" xfId="27467" xr:uid="{00000000-0005-0000-0000-00004B6B0000}"/>
    <cellStyle name="Note 10 3 2 2 2 4" xfId="27468" xr:uid="{00000000-0005-0000-0000-00004C6B0000}"/>
    <cellStyle name="Note 10 3 2 2 3" xfId="27469" xr:uid="{00000000-0005-0000-0000-00004D6B0000}"/>
    <cellStyle name="Note 10 3 2 2 3 2" xfId="27470" xr:uid="{00000000-0005-0000-0000-00004E6B0000}"/>
    <cellStyle name="Note 10 3 2 2 3 3" xfId="27471" xr:uid="{00000000-0005-0000-0000-00004F6B0000}"/>
    <cellStyle name="Note 10 3 2 2 4" xfId="27472" xr:uid="{00000000-0005-0000-0000-0000506B0000}"/>
    <cellStyle name="Note 10 3 2 2 5" xfId="27473" xr:uid="{00000000-0005-0000-0000-0000516B0000}"/>
    <cellStyle name="Note 10 3 3" xfId="27474" xr:uid="{00000000-0005-0000-0000-0000526B0000}"/>
    <cellStyle name="Note 10 3 3 2" xfId="27475" xr:uid="{00000000-0005-0000-0000-0000536B0000}"/>
    <cellStyle name="Note 10 3 3 2 2" xfId="27476" xr:uid="{00000000-0005-0000-0000-0000546B0000}"/>
    <cellStyle name="Note 10 3 3 2 2 2" xfId="27477" xr:uid="{00000000-0005-0000-0000-0000556B0000}"/>
    <cellStyle name="Note 10 3 3 2 2 3" xfId="27478" xr:uid="{00000000-0005-0000-0000-0000566B0000}"/>
    <cellStyle name="Note 10 3 3 2 3" xfId="27479" xr:uid="{00000000-0005-0000-0000-0000576B0000}"/>
    <cellStyle name="Note 10 3 3 2 4" xfId="27480" xr:uid="{00000000-0005-0000-0000-0000586B0000}"/>
    <cellStyle name="Note 10 3 3 3" xfId="27481" xr:uid="{00000000-0005-0000-0000-0000596B0000}"/>
    <cellStyle name="Note 10 3 3 3 2" xfId="27482" xr:uid="{00000000-0005-0000-0000-00005A6B0000}"/>
    <cellStyle name="Note 10 3 3 3 3" xfId="27483" xr:uid="{00000000-0005-0000-0000-00005B6B0000}"/>
    <cellStyle name="Note 10 3 3 4" xfId="27484" xr:uid="{00000000-0005-0000-0000-00005C6B0000}"/>
    <cellStyle name="Note 10 3 3 5" xfId="27485" xr:uid="{00000000-0005-0000-0000-00005D6B0000}"/>
    <cellStyle name="Note 10 4" xfId="27486" xr:uid="{00000000-0005-0000-0000-00005E6B0000}"/>
    <cellStyle name="Note 10 4 2" xfId="27487" xr:uid="{00000000-0005-0000-0000-00005F6B0000}"/>
    <cellStyle name="Note 10 4 2 2" xfId="27488" xr:uid="{00000000-0005-0000-0000-0000606B0000}"/>
    <cellStyle name="Note 10 4 2 2 2" xfId="27489" xr:uid="{00000000-0005-0000-0000-0000616B0000}"/>
    <cellStyle name="Note 10 4 2 2 2 2" xfId="27490" xr:uid="{00000000-0005-0000-0000-0000626B0000}"/>
    <cellStyle name="Note 10 4 2 2 2 2 2" xfId="27491" xr:uid="{00000000-0005-0000-0000-0000636B0000}"/>
    <cellStyle name="Note 10 4 2 2 2 2 3" xfId="27492" xr:uid="{00000000-0005-0000-0000-0000646B0000}"/>
    <cellStyle name="Note 10 4 2 2 2 3" xfId="27493" xr:uid="{00000000-0005-0000-0000-0000656B0000}"/>
    <cellStyle name="Note 10 4 2 2 2 4" xfId="27494" xr:uid="{00000000-0005-0000-0000-0000666B0000}"/>
    <cellStyle name="Note 10 4 2 2 3" xfId="27495" xr:uid="{00000000-0005-0000-0000-0000676B0000}"/>
    <cellStyle name="Note 10 4 2 2 3 2" xfId="27496" xr:uid="{00000000-0005-0000-0000-0000686B0000}"/>
    <cellStyle name="Note 10 4 2 2 3 3" xfId="27497" xr:uid="{00000000-0005-0000-0000-0000696B0000}"/>
    <cellStyle name="Note 10 4 2 2 4" xfId="27498" xr:uid="{00000000-0005-0000-0000-00006A6B0000}"/>
    <cellStyle name="Note 10 4 2 2 5" xfId="27499" xr:uid="{00000000-0005-0000-0000-00006B6B0000}"/>
    <cellStyle name="Note 10 4 3" xfId="27500" xr:uid="{00000000-0005-0000-0000-00006C6B0000}"/>
    <cellStyle name="Note 10 4 3 2" xfId="27501" xr:uid="{00000000-0005-0000-0000-00006D6B0000}"/>
    <cellStyle name="Note 10 4 3 2 2" xfId="27502" xr:uid="{00000000-0005-0000-0000-00006E6B0000}"/>
    <cellStyle name="Note 10 4 3 2 2 2" xfId="27503" xr:uid="{00000000-0005-0000-0000-00006F6B0000}"/>
    <cellStyle name="Note 10 4 3 2 2 3" xfId="27504" xr:uid="{00000000-0005-0000-0000-0000706B0000}"/>
    <cellStyle name="Note 10 4 3 2 3" xfId="27505" xr:uid="{00000000-0005-0000-0000-0000716B0000}"/>
    <cellStyle name="Note 10 4 3 2 4" xfId="27506" xr:uid="{00000000-0005-0000-0000-0000726B0000}"/>
    <cellStyle name="Note 10 4 3 3" xfId="27507" xr:uid="{00000000-0005-0000-0000-0000736B0000}"/>
    <cellStyle name="Note 10 4 3 3 2" xfId="27508" xr:uid="{00000000-0005-0000-0000-0000746B0000}"/>
    <cellStyle name="Note 10 4 3 3 3" xfId="27509" xr:uid="{00000000-0005-0000-0000-0000756B0000}"/>
    <cellStyle name="Note 10 4 3 4" xfId="27510" xr:uid="{00000000-0005-0000-0000-0000766B0000}"/>
    <cellStyle name="Note 10 4 3 5" xfId="27511" xr:uid="{00000000-0005-0000-0000-0000776B0000}"/>
    <cellStyle name="Note 10 5" xfId="27512" xr:uid="{00000000-0005-0000-0000-0000786B0000}"/>
    <cellStyle name="Note 10 5 2" xfId="27513" xr:uid="{00000000-0005-0000-0000-0000796B0000}"/>
    <cellStyle name="Note 10 5 2 2" xfId="27514" xr:uid="{00000000-0005-0000-0000-00007A6B0000}"/>
    <cellStyle name="Note 10 5 2 2 2" xfId="27515" xr:uid="{00000000-0005-0000-0000-00007B6B0000}"/>
    <cellStyle name="Note 10 5 2 2 2 2" xfId="27516" xr:uid="{00000000-0005-0000-0000-00007C6B0000}"/>
    <cellStyle name="Note 10 5 2 2 2 3" xfId="27517" xr:uid="{00000000-0005-0000-0000-00007D6B0000}"/>
    <cellStyle name="Note 10 5 2 2 3" xfId="27518" xr:uid="{00000000-0005-0000-0000-00007E6B0000}"/>
    <cellStyle name="Note 10 5 2 2 4" xfId="27519" xr:uid="{00000000-0005-0000-0000-00007F6B0000}"/>
    <cellStyle name="Note 10 5 2 3" xfId="27520" xr:uid="{00000000-0005-0000-0000-0000806B0000}"/>
    <cellStyle name="Note 10 5 2 3 2" xfId="27521" xr:uid="{00000000-0005-0000-0000-0000816B0000}"/>
    <cellStyle name="Note 10 5 2 3 3" xfId="27522" xr:uid="{00000000-0005-0000-0000-0000826B0000}"/>
    <cellStyle name="Note 10 5 2 4" xfId="27523" xr:uid="{00000000-0005-0000-0000-0000836B0000}"/>
    <cellStyle name="Note 10 5 2 5" xfId="27524" xr:uid="{00000000-0005-0000-0000-0000846B0000}"/>
    <cellStyle name="Note 10 6" xfId="27525" xr:uid="{00000000-0005-0000-0000-0000856B0000}"/>
    <cellStyle name="Note 10 6 2" xfId="27526" xr:uid="{00000000-0005-0000-0000-0000866B0000}"/>
    <cellStyle name="Note 10 6 2 2" xfId="27527" xr:uid="{00000000-0005-0000-0000-0000876B0000}"/>
    <cellStyle name="Note 10 6 2 2 2" xfId="27528" xr:uid="{00000000-0005-0000-0000-0000886B0000}"/>
    <cellStyle name="Note 10 6 2 2 2 2" xfId="27529" xr:uid="{00000000-0005-0000-0000-0000896B0000}"/>
    <cellStyle name="Note 10 6 2 2 2 3" xfId="27530" xr:uid="{00000000-0005-0000-0000-00008A6B0000}"/>
    <cellStyle name="Note 10 6 2 2 3" xfId="27531" xr:uid="{00000000-0005-0000-0000-00008B6B0000}"/>
    <cellStyle name="Note 10 6 2 2 4" xfId="27532" xr:uid="{00000000-0005-0000-0000-00008C6B0000}"/>
    <cellStyle name="Note 10 6 2 3" xfId="27533" xr:uid="{00000000-0005-0000-0000-00008D6B0000}"/>
    <cellStyle name="Note 10 6 2 3 2" xfId="27534" xr:uid="{00000000-0005-0000-0000-00008E6B0000}"/>
    <cellStyle name="Note 10 6 2 3 3" xfId="27535" xr:uid="{00000000-0005-0000-0000-00008F6B0000}"/>
    <cellStyle name="Note 10 6 2 4" xfId="27536" xr:uid="{00000000-0005-0000-0000-0000906B0000}"/>
    <cellStyle name="Note 10 6 2 5" xfId="27537" xr:uid="{00000000-0005-0000-0000-0000916B0000}"/>
    <cellStyle name="Note 10 7" xfId="27538" xr:uid="{00000000-0005-0000-0000-0000926B0000}"/>
    <cellStyle name="Note 10 7 2" xfId="27539" xr:uid="{00000000-0005-0000-0000-0000936B0000}"/>
    <cellStyle name="Note 10 7 2 2" xfId="27540" xr:uid="{00000000-0005-0000-0000-0000946B0000}"/>
    <cellStyle name="Note 10 7 2 2 2" xfId="27541" xr:uid="{00000000-0005-0000-0000-0000956B0000}"/>
    <cellStyle name="Note 10 7 2 2 2 2" xfId="27542" xr:uid="{00000000-0005-0000-0000-0000966B0000}"/>
    <cellStyle name="Note 10 7 2 2 2 3" xfId="27543" xr:uid="{00000000-0005-0000-0000-0000976B0000}"/>
    <cellStyle name="Note 10 7 2 2 3" xfId="27544" xr:uid="{00000000-0005-0000-0000-0000986B0000}"/>
    <cellStyle name="Note 10 7 2 2 4" xfId="27545" xr:uid="{00000000-0005-0000-0000-0000996B0000}"/>
    <cellStyle name="Note 10 7 2 3" xfId="27546" xr:uid="{00000000-0005-0000-0000-00009A6B0000}"/>
    <cellStyle name="Note 10 7 2 3 2" xfId="27547" xr:uid="{00000000-0005-0000-0000-00009B6B0000}"/>
    <cellStyle name="Note 10 7 2 3 3" xfId="27548" xr:uid="{00000000-0005-0000-0000-00009C6B0000}"/>
    <cellStyle name="Note 10 7 2 4" xfId="27549" xr:uid="{00000000-0005-0000-0000-00009D6B0000}"/>
    <cellStyle name="Note 10 7 2 5" xfId="27550" xr:uid="{00000000-0005-0000-0000-00009E6B0000}"/>
    <cellStyle name="Note 10 8" xfId="27551" xr:uid="{00000000-0005-0000-0000-00009F6B0000}"/>
    <cellStyle name="Note 10 8 2" xfId="27552" xr:uid="{00000000-0005-0000-0000-0000A06B0000}"/>
    <cellStyle name="Note 10 8 2 2" xfId="27553" xr:uid="{00000000-0005-0000-0000-0000A16B0000}"/>
    <cellStyle name="Note 10 8 2 2 2" xfId="27554" xr:uid="{00000000-0005-0000-0000-0000A26B0000}"/>
    <cellStyle name="Note 10 8 2 2 2 2" xfId="27555" xr:uid="{00000000-0005-0000-0000-0000A36B0000}"/>
    <cellStyle name="Note 10 8 2 2 2 3" xfId="27556" xr:uid="{00000000-0005-0000-0000-0000A46B0000}"/>
    <cellStyle name="Note 10 8 2 2 3" xfId="27557" xr:uid="{00000000-0005-0000-0000-0000A56B0000}"/>
    <cellStyle name="Note 10 8 2 2 4" xfId="27558" xr:uid="{00000000-0005-0000-0000-0000A66B0000}"/>
    <cellStyle name="Note 10 8 2 3" xfId="27559" xr:uid="{00000000-0005-0000-0000-0000A76B0000}"/>
    <cellStyle name="Note 10 8 2 3 2" xfId="27560" xr:uid="{00000000-0005-0000-0000-0000A86B0000}"/>
    <cellStyle name="Note 10 8 2 3 3" xfId="27561" xr:uid="{00000000-0005-0000-0000-0000A96B0000}"/>
    <cellStyle name="Note 10 8 2 4" xfId="27562" xr:uid="{00000000-0005-0000-0000-0000AA6B0000}"/>
    <cellStyle name="Note 10 8 2 5" xfId="27563" xr:uid="{00000000-0005-0000-0000-0000AB6B0000}"/>
    <cellStyle name="Note 10 9" xfId="27564" xr:uid="{00000000-0005-0000-0000-0000AC6B0000}"/>
    <cellStyle name="Note 10 9 2" xfId="27565" xr:uid="{00000000-0005-0000-0000-0000AD6B0000}"/>
    <cellStyle name="Note 10 9 2 2" xfId="27566" xr:uid="{00000000-0005-0000-0000-0000AE6B0000}"/>
    <cellStyle name="Note 10 9 2 2 2" xfId="27567" xr:uid="{00000000-0005-0000-0000-0000AF6B0000}"/>
    <cellStyle name="Note 10 9 2 2 3" xfId="27568" xr:uid="{00000000-0005-0000-0000-0000B06B0000}"/>
    <cellStyle name="Note 10 9 2 3" xfId="27569" xr:uid="{00000000-0005-0000-0000-0000B16B0000}"/>
    <cellStyle name="Note 10 9 2 4" xfId="27570" xr:uid="{00000000-0005-0000-0000-0000B26B0000}"/>
    <cellStyle name="Note 10 9 3" xfId="27571" xr:uid="{00000000-0005-0000-0000-0000B36B0000}"/>
    <cellStyle name="Note 10 9 3 2" xfId="27572" xr:uid="{00000000-0005-0000-0000-0000B46B0000}"/>
    <cellStyle name="Note 10 9 3 3" xfId="27573" xr:uid="{00000000-0005-0000-0000-0000B56B0000}"/>
    <cellStyle name="Note 10 9 4" xfId="27574" xr:uid="{00000000-0005-0000-0000-0000B66B0000}"/>
    <cellStyle name="Note 10 9 5" xfId="27575" xr:uid="{00000000-0005-0000-0000-0000B76B0000}"/>
    <cellStyle name="Note 11" xfId="27576" xr:uid="{00000000-0005-0000-0000-0000B86B0000}"/>
    <cellStyle name="Note 11 2" xfId="27577" xr:uid="{00000000-0005-0000-0000-0000B96B0000}"/>
    <cellStyle name="Note 11 2 2" xfId="27578" xr:uid="{00000000-0005-0000-0000-0000BA6B0000}"/>
    <cellStyle name="Note 11 2 2 2" xfId="27579" xr:uid="{00000000-0005-0000-0000-0000BB6B0000}"/>
    <cellStyle name="Note 11 2 2 2 2" xfId="27580" xr:uid="{00000000-0005-0000-0000-0000BC6B0000}"/>
    <cellStyle name="Note 11 2 2 2 2 2" xfId="27581" xr:uid="{00000000-0005-0000-0000-0000BD6B0000}"/>
    <cellStyle name="Note 11 2 2 2 2 2 2" xfId="27582" xr:uid="{00000000-0005-0000-0000-0000BE6B0000}"/>
    <cellStyle name="Note 11 2 2 2 2 2 3" xfId="27583" xr:uid="{00000000-0005-0000-0000-0000BF6B0000}"/>
    <cellStyle name="Note 11 2 2 2 2 3" xfId="27584" xr:uid="{00000000-0005-0000-0000-0000C06B0000}"/>
    <cellStyle name="Note 11 2 2 2 2 4" xfId="27585" xr:uid="{00000000-0005-0000-0000-0000C16B0000}"/>
    <cellStyle name="Note 11 2 2 2 3" xfId="27586" xr:uid="{00000000-0005-0000-0000-0000C26B0000}"/>
    <cellStyle name="Note 11 2 2 2 3 2" xfId="27587" xr:uid="{00000000-0005-0000-0000-0000C36B0000}"/>
    <cellStyle name="Note 11 2 2 2 3 3" xfId="27588" xr:uid="{00000000-0005-0000-0000-0000C46B0000}"/>
    <cellStyle name="Note 11 2 2 2 4" xfId="27589" xr:uid="{00000000-0005-0000-0000-0000C56B0000}"/>
    <cellStyle name="Note 11 2 2 2 5" xfId="27590" xr:uid="{00000000-0005-0000-0000-0000C66B0000}"/>
    <cellStyle name="Note 11 2 3" xfId="27591" xr:uid="{00000000-0005-0000-0000-0000C76B0000}"/>
    <cellStyle name="Note 11 2 3 2" xfId="27592" xr:uid="{00000000-0005-0000-0000-0000C86B0000}"/>
    <cellStyle name="Note 11 2 3 2 2" xfId="27593" xr:uid="{00000000-0005-0000-0000-0000C96B0000}"/>
    <cellStyle name="Note 11 2 3 2 2 2" xfId="27594" xr:uid="{00000000-0005-0000-0000-0000CA6B0000}"/>
    <cellStyle name="Note 11 2 3 2 2 3" xfId="27595" xr:uid="{00000000-0005-0000-0000-0000CB6B0000}"/>
    <cellStyle name="Note 11 2 3 2 3" xfId="27596" xr:uid="{00000000-0005-0000-0000-0000CC6B0000}"/>
    <cellStyle name="Note 11 2 3 2 4" xfId="27597" xr:uid="{00000000-0005-0000-0000-0000CD6B0000}"/>
    <cellStyle name="Note 11 2 3 3" xfId="27598" xr:uid="{00000000-0005-0000-0000-0000CE6B0000}"/>
    <cellStyle name="Note 11 2 3 3 2" xfId="27599" xr:uid="{00000000-0005-0000-0000-0000CF6B0000}"/>
    <cellStyle name="Note 11 2 3 3 3" xfId="27600" xr:uid="{00000000-0005-0000-0000-0000D06B0000}"/>
    <cellStyle name="Note 11 2 3 4" xfId="27601" xr:uid="{00000000-0005-0000-0000-0000D16B0000}"/>
    <cellStyle name="Note 11 2 3 5" xfId="27602" xr:uid="{00000000-0005-0000-0000-0000D26B0000}"/>
    <cellStyle name="Note 11 3" xfId="27603" xr:uid="{00000000-0005-0000-0000-0000D36B0000}"/>
    <cellStyle name="Note 11 3 2" xfId="27604" xr:uid="{00000000-0005-0000-0000-0000D46B0000}"/>
    <cellStyle name="Note 11 3 2 2" xfId="27605" xr:uid="{00000000-0005-0000-0000-0000D56B0000}"/>
    <cellStyle name="Note 11 3 2 2 2" xfId="27606" xr:uid="{00000000-0005-0000-0000-0000D66B0000}"/>
    <cellStyle name="Note 11 3 2 2 2 2" xfId="27607" xr:uid="{00000000-0005-0000-0000-0000D76B0000}"/>
    <cellStyle name="Note 11 3 2 2 2 2 2" xfId="27608" xr:uid="{00000000-0005-0000-0000-0000D86B0000}"/>
    <cellStyle name="Note 11 3 2 2 2 2 3" xfId="27609" xr:uid="{00000000-0005-0000-0000-0000D96B0000}"/>
    <cellStyle name="Note 11 3 2 2 2 3" xfId="27610" xr:uid="{00000000-0005-0000-0000-0000DA6B0000}"/>
    <cellStyle name="Note 11 3 2 2 2 4" xfId="27611" xr:uid="{00000000-0005-0000-0000-0000DB6B0000}"/>
    <cellStyle name="Note 11 3 2 2 3" xfId="27612" xr:uid="{00000000-0005-0000-0000-0000DC6B0000}"/>
    <cellStyle name="Note 11 3 2 2 3 2" xfId="27613" xr:uid="{00000000-0005-0000-0000-0000DD6B0000}"/>
    <cellStyle name="Note 11 3 2 2 3 3" xfId="27614" xr:uid="{00000000-0005-0000-0000-0000DE6B0000}"/>
    <cellStyle name="Note 11 3 2 2 4" xfId="27615" xr:uid="{00000000-0005-0000-0000-0000DF6B0000}"/>
    <cellStyle name="Note 11 3 2 2 5" xfId="27616" xr:uid="{00000000-0005-0000-0000-0000E06B0000}"/>
    <cellStyle name="Note 11 3 3" xfId="27617" xr:uid="{00000000-0005-0000-0000-0000E16B0000}"/>
    <cellStyle name="Note 11 3 3 2" xfId="27618" xr:uid="{00000000-0005-0000-0000-0000E26B0000}"/>
    <cellStyle name="Note 11 3 3 2 2" xfId="27619" xr:uid="{00000000-0005-0000-0000-0000E36B0000}"/>
    <cellStyle name="Note 11 3 3 2 2 2" xfId="27620" xr:uid="{00000000-0005-0000-0000-0000E46B0000}"/>
    <cellStyle name="Note 11 3 3 2 2 3" xfId="27621" xr:uid="{00000000-0005-0000-0000-0000E56B0000}"/>
    <cellStyle name="Note 11 3 3 2 3" xfId="27622" xr:uid="{00000000-0005-0000-0000-0000E66B0000}"/>
    <cellStyle name="Note 11 3 3 2 4" xfId="27623" xr:uid="{00000000-0005-0000-0000-0000E76B0000}"/>
    <cellStyle name="Note 11 3 3 3" xfId="27624" xr:uid="{00000000-0005-0000-0000-0000E86B0000}"/>
    <cellStyle name="Note 11 3 3 3 2" xfId="27625" xr:uid="{00000000-0005-0000-0000-0000E96B0000}"/>
    <cellStyle name="Note 11 3 3 3 3" xfId="27626" xr:uid="{00000000-0005-0000-0000-0000EA6B0000}"/>
    <cellStyle name="Note 11 3 3 4" xfId="27627" xr:uid="{00000000-0005-0000-0000-0000EB6B0000}"/>
    <cellStyle name="Note 11 3 3 5" xfId="27628" xr:uid="{00000000-0005-0000-0000-0000EC6B0000}"/>
    <cellStyle name="Note 11 4" xfId="27629" xr:uid="{00000000-0005-0000-0000-0000ED6B0000}"/>
    <cellStyle name="Note 11 4 2" xfId="27630" xr:uid="{00000000-0005-0000-0000-0000EE6B0000}"/>
    <cellStyle name="Note 11 4 2 2" xfId="27631" xr:uid="{00000000-0005-0000-0000-0000EF6B0000}"/>
    <cellStyle name="Note 11 4 2 2 2" xfId="27632" xr:uid="{00000000-0005-0000-0000-0000F06B0000}"/>
    <cellStyle name="Note 11 4 2 2 2 2" xfId="27633" xr:uid="{00000000-0005-0000-0000-0000F16B0000}"/>
    <cellStyle name="Note 11 4 2 2 2 2 2" xfId="27634" xr:uid="{00000000-0005-0000-0000-0000F26B0000}"/>
    <cellStyle name="Note 11 4 2 2 2 2 3" xfId="27635" xr:uid="{00000000-0005-0000-0000-0000F36B0000}"/>
    <cellStyle name="Note 11 4 2 2 2 3" xfId="27636" xr:uid="{00000000-0005-0000-0000-0000F46B0000}"/>
    <cellStyle name="Note 11 4 2 2 2 4" xfId="27637" xr:uid="{00000000-0005-0000-0000-0000F56B0000}"/>
    <cellStyle name="Note 11 4 2 2 3" xfId="27638" xr:uid="{00000000-0005-0000-0000-0000F66B0000}"/>
    <cellStyle name="Note 11 4 2 2 3 2" xfId="27639" xr:uid="{00000000-0005-0000-0000-0000F76B0000}"/>
    <cellStyle name="Note 11 4 2 2 3 3" xfId="27640" xr:uid="{00000000-0005-0000-0000-0000F86B0000}"/>
    <cellStyle name="Note 11 4 2 2 4" xfId="27641" xr:uid="{00000000-0005-0000-0000-0000F96B0000}"/>
    <cellStyle name="Note 11 4 2 2 5" xfId="27642" xr:uid="{00000000-0005-0000-0000-0000FA6B0000}"/>
    <cellStyle name="Note 11 4 3" xfId="27643" xr:uid="{00000000-0005-0000-0000-0000FB6B0000}"/>
    <cellStyle name="Note 11 4 3 2" xfId="27644" xr:uid="{00000000-0005-0000-0000-0000FC6B0000}"/>
    <cellStyle name="Note 11 4 3 2 2" xfId="27645" xr:uid="{00000000-0005-0000-0000-0000FD6B0000}"/>
    <cellStyle name="Note 11 4 3 2 2 2" xfId="27646" xr:uid="{00000000-0005-0000-0000-0000FE6B0000}"/>
    <cellStyle name="Note 11 4 3 2 2 3" xfId="27647" xr:uid="{00000000-0005-0000-0000-0000FF6B0000}"/>
    <cellStyle name="Note 11 4 3 2 3" xfId="27648" xr:uid="{00000000-0005-0000-0000-0000006C0000}"/>
    <cellStyle name="Note 11 4 3 2 4" xfId="27649" xr:uid="{00000000-0005-0000-0000-0000016C0000}"/>
    <cellStyle name="Note 11 4 3 3" xfId="27650" xr:uid="{00000000-0005-0000-0000-0000026C0000}"/>
    <cellStyle name="Note 11 4 3 3 2" xfId="27651" xr:uid="{00000000-0005-0000-0000-0000036C0000}"/>
    <cellStyle name="Note 11 4 3 3 3" xfId="27652" xr:uid="{00000000-0005-0000-0000-0000046C0000}"/>
    <cellStyle name="Note 11 4 3 4" xfId="27653" xr:uid="{00000000-0005-0000-0000-0000056C0000}"/>
    <cellStyle name="Note 11 4 3 5" xfId="27654" xr:uid="{00000000-0005-0000-0000-0000066C0000}"/>
    <cellStyle name="Note 11 5" xfId="27655" xr:uid="{00000000-0005-0000-0000-0000076C0000}"/>
    <cellStyle name="Note 11 5 2" xfId="27656" xr:uid="{00000000-0005-0000-0000-0000086C0000}"/>
    <cellStyle name="Note 11 5 2 2" xfId="27657" xr:uid="{00000000-0005-0000-0000-0000096C0000}"/>
    <cellStyle name="Note 11 5 2 2 2" xfId="27658" xr:uid="{00000000-0005-0000-0000-00000A6C0000}"/>
    <cellStyle name="Note 11 5 2 2 2 2" xfId="27659" xr:uid="{00000000-0005-0000-0000-00000B6C0000}"/>
    <cellStyle name="Note 11 5 2 2 2 3" xfId="27660" xr:uid="{00000000-0005-0000-0000-00000C6C0000}"/>
    <cellStyle name="Note 11 5 2 2 3" xfId="27661" xr:uid="{00000000-0005-0000-0000-00000D6C0000}"/>
    <cellStyle name="Note 11 5 2 2 4" xfId="27662" xr:uid="{00000000-0005-0000-0000-00000E6C0000}"/>
    <cellStyle name="Note 11 5 2 3" xfId="27663" xr:uid="{00000000-0005-0000-0000-00000F6C0000}"/>
    <cellStyle name="Note 11 5 2 3 2" xfId="27664" xr:uid="{00000000-0005-0000-0000-0000106C0000}"/>
    <cellStyle name="Note 11 5 2 3 3" xfId="27665" xr:uid="{00000000-0005-0000-0000-0000116C0000}"/>
    <cellStyle name="Note 11 5 2 4" xfId="27666" xr:uid="{00000000-0005-0000-0000-0000126C0000}"/>
    <cellStyle name="Note 11 5 2 5" xfId="27667" xr:uid="{00000000-0005-0000-0000-0000136C0000}"/>
    <cellStyle name="Note 11 6" xfId="27668" xr:uid="{00000000-0005-0000-0000-0000146C0000}"/>
    <cellStyle name="Note 11 6 2" xfId="27669" xr:uid="{00000000-0005-0000-0000-0000156C0000}"/>
    <cellStyle name="Note 11 6 2 2" xfId="27670" xr:uid="{00000000-0005-0000-0000-0000166C0000}"/>
    <cellStyle name="Note 11 6 2 2 2" xfId="27671" xr:uid="{00000000-0005-0000-0000-0000176C0000}"/>
    <cellStyle name="Note 11 6 2 2 2 2" xfId="27672" xr:uid="{00000000-0005-0000-0000-0000186C0000}"/>
    <cellStyle name="Note 11 6 2 2 2 3" xfId="27673" xr:uid="{00000000-0005-0000-0000-0000196C0000}"/>
    <cellStyle name="Note 11 6 2 2 3" xfId="27674" xr:uid="{00000000-0005-0000-0000-00001A6C0000}"/>
    <cellStyle name="Note 11 6 2 2 4" xfId="27675" xr:uid="{00000000-0005-0000-0000-00001B6C0000}"/>
    <cellStyle name="Note 11 6 2 3" xfId="27676" xr:uid="{00000000-0005-0000-0000-00001C6C0000}"/>
    <cellStyle name="Note 11 6 2 3 2" xfId="27677" xr:uid="{00000000-0005-0000-0000-00001D6C0000}"/>
    <cellStyle name="Note 11 6 2 3 3" xfId="27678" xr:uid="{00000000-0005-0000-0000-00001E6C0000}"/>
    <cellStyle name="Note 11 6 2 4" xfId="27679" xr:uid="{00000000-0005-0000-0000-00001F6C0000}"/>
    <cellStyle name="Note 11 6 2 5" xfId="27680" xr:uid="{00000000-0005-0000-0000-0000206C0000}"/>
    <cellStyle name="Note 11 7" xfId="27681" xr:uid="{00000000-0005-0000-0000-0000216C0000}"/>
    <cellStyle name="Note 11 7 2" xfId="27682" xr:uid="{00000000-0005-0000-0000-0000226C0000}"/>
    <cellStyle name="Note 11 7 2 2" xfId="27683" xr:uid="{00000000-0005-0000-0000-0000236C0000}"/>
    <cellStyle name="Note 11 7 2 2 2" xfId="27684" xr:uid="{00000000-0005-0000-0000-0000246C0000}"/>
    <cellStyle name="Note 11 7 2 2 2 2" xfId="27685" xr:uid="{00000000-0005-0000-0000-0000256C0000}"/>
    <cellStyle name="Note 11 7 2 2 2 3" xfId="27686" xr:uid="{00000000-0005-0000-0000-0000266C0000}"/>
    <cellStyle name="Note 11 7 2 2 3" xfId="27687" xr:uid="{00000000-0005-0000-0000-0000276C0000}"/>
    <cellStyle name="Note 11 7 2 2 4" xfId="27688" xr:uid="{00000000-0005-0000-0000-0000286C0000}"/>
    <cellStyle name="Note 11 7 2 3" xfId="27689" xr:uid="{00000000-0005-0000-0000-0000296C0000}"/>
    <cellStyle name="Note 11 7 2 3 2" xfId="27690" xr:uid="{00000000-0005-0000-0000-00002A6C0000}"/>
    <cellStyle name="Note 11 7 2 3 3" xfId="27691" xr:uid="{00000000-0005-0000-0000-00002B6C0000}"/>
    <cellStyle name="Note 11 7 2 4" xfId="27692" xr:uid="{00000000-0005-0000-0000-00002C6C0000}"/>
    <cellStyle name="Note 11 7 2 5" xfId="27693" xr:uid="{00000000-0005-0000-0000-00002D6C0000}"/>
    <cellStyle name="Note 11 8" xfId="27694" xr:uid="{00000000-0005-0000-0000-00002E6C0000}"/>
    <cellStyle name="Note 11 8 2" xfId="27695" xr:uid="{00000000-0005-0000-0000-00002F6C0000}"/>
    <cellStyle name="Note 11 8 2 2" xfId="27696" xr:uid="{00000000-0005-0000-0000-0000306C0000}"/>
    <cellStyle name="Note 11 8 2 2 2" xfId="27697" xr:uid="{00000000-0005-0000-0000-0000316C0000}"/>
    <cellStyle name="Note 11 8 2 2 2 2" xfId="27698" xr:uid="{00000000-0005-0000-0000-0000326C0000}"/>
    <cellStyle name="Note 11 8 2 2 2 3" xfId="27699" xr:uid="{00000000-0005-0000-0000-0000336C0000}"/>
    <cellStyle name="Note 11 8 2 2 3" xfId="27700" xr:uid="{00000000-0005-0000-0000-0000346C0000}"/>
    <cellStyle name="Note 11 8 2 2 4" xfId="27701" xr:uid="{00000000-0005-0000-0000-0000356C0000}"/>
    <cellStyle name="Note 11 8 2 3" xfId="27702" xr:uid="{00000000-0005-0000-0000-0000366C0000}"/>
    <cellStyle name="Note 11 8 2 3 2" xfId="27703" xr:uid="{00000000-0005-0000-0000-0000376C0000}"/>
    <cellStyle name="Note 11 8 2 3 3" xfId="27704" xr:uid="{00000000-0005-0000-0000-0000386C0000}"/>
    <cellStyle name="Note 11 8 2 4" xfId="27705" xr:uid="{00000000-0005-0000-0000-0000396C0000}"/>
    <cellStyle name="Note 11 8 2 5" xfId="27706" xr:uid="{00000000-0005-0000-0000-00003A6C0000}"/>
    <cellStyle name="Note 11 9" xfId="27707" xr:uid="{00000000-0005-0000-0000-00003B6C0000}"/>
    <cellStyle name="Note 11 9 2" xfId="27708" xr:uid="{00000000-0005-0000-0000-00003C6C0000}"/>
    <cellStyle name="Note 11 9 2 2" xfId="27709" xr:uid="{00000000-0005-0000-0000-00003D6C0000}"/>
    <cellStyle name="Note 11 9 2 2 2" xfId="27710" xr:uid="{00000000-0005-0000-0000-00003E6C0000}"/>
    <cellStyle name="Note 11 9 2 2 3" xfId="27711" xr:uid="{00000000-0005-0000-0000-00003F6C0000}"/>
    <cellStyle name="Note 11 9 2 3" xfId="27712" xr:uid="{00000000-0005-0000-0000-0000406C0000}"/>
    <cellStyle name="Note 11 9 2 4" xfId="27713" xr:uid="{00000000-0005-0000-0000-0000416C0000}"/>
    <cellStyle name="Note 11 9 3" xfId="27714" xr:uid="{00000000-0005-0000-0000-0000426C0000}"/>
    <cellStyle name="Note 11 9 3 2" xfId="27715" xr:uid="{00000000-0005-0000-0000-0000436C0000}"/>
    <cellStyle name="Note 11 9 3 3" xfId="27716" xr:uid="{00000000-0005-0000-0000-0000446C0000}"/>
    <cellStyle name="Note 11 9 4" xfId="27717" xr:uid="{00000000-0005-0000-0000-0000456C0000}"/>
    <cellStyle name="Note 11 9 5" xfId="27718" xr:uid="{00000000-0005-0000-0000-0000466C0000}"/>
    <cellStyle name="Note 12" xfId="27719" xr:uid="{00000000-0005-0000-0000-0000476C0000}"/>
    <cellStyle name="Note 12 2" xfId="27720" xr:uid="{00000000-0005-0000-0000-0000486C0000}"/>
    <cellStyle name="Note 12 2 2" xfId="27721" xr:uid="{00000000-0005-0000-0000-0000496C0000}"/>
    <cellStyle name="Note 12 2 2 2" xfId="27722" xr:uid="{00000000-0005-0000-0000-00004A6C0000}"/>
    <cellStyle name="Note 12 2 2 2 2" xfId="27723" xr:uid="{00000000-0005-0000-0000-00004B6C0000}"/>
    <cellStyle name="Note 12 2 2 2 2 2" xfId="27724" xr:uid="{00000000-0005-0000-0000-00004C6C0000}"/>
    <cellStyle name="Note 12 2 2 2 2 2 2" xfId="27725" xr:uid="{00000000-0005-0000-0000-00004D6C0000}"/>
    <cellStyle name="Note 12 2 2 2 2 2 3" xfId="27726" xr:uid="{00000000-0005-0000-0000-00004E6C0000}"/>
    <cellStyle name="Note 12 2 2 2 2 3" xfId="27727" xr:uid="{00000000-0005-0000-0000-00004F6C0000}"/>
    <cellStyle name="Note 12 2 2 2 2 4" xfId="27728" xr:uid="{00000000-0005-0000-0000-0000506C0000}"/>
    <cellStyle name="Note 12 2 2 2 3" xfId="27729" xr:uid="{00000000-0005-0000-0000-0000516C0000}"/>
    <cellStyle name="Note 12 2 2 2 3 2" xfId="27730" xr:uid="{00000000-0005-0000-0000-0000526C0000}"/>
    <cellStyle name="Note 12 2 2 2 3 3" xfId="27731" xr:uid="{00000000-0005-0000-0000-0000536C0000}"/>
    <cellStyle name="Note 12 2 2 2 4" xfId="27732" xr:uid="{00000000-0005-0000-0000-0000546C0000}"/>
    <cellStyle name="Note 12 2 2 2 5" xfId="27733" xr:uid="{00000000-0005-0000-0000-0000556C0000}"/>
    <cellStyle name="Note 12 2 3" xfId="27734" xr:uid="{00000000-0005-0000-0000-0000566C0000}"/>
    <cellStyle name="Note 12 2 3 2" xfId="27735" xr:uid="{00000000-0005-0000-0000-0000576C0000}"/>
    <cellStyle name="Note 12 2 3 2 2" xfId="27736" xr:uid="{00000000-0005-0000-0000-0000586C0000}"/>
    <cellStyle name="Note 12 2 3 2 2 2" xfId="27737" xr:uid="{00000000-0005-0000-0000-0000596C0000}"/>
    <cellStyle name="Note 12 2 3 2 2 3" xfId="27738" xr:uid="{00000000-0005-0000-0000-00005A6C0000}"/>
    <cellStyle name="Note 12 2 3 2 3" xfId="27739" xr:uid="{00000000-0005-0000-0000-00005B6C0000}"/>
    <cellStyle name="Note 12 2 3 2 4" xfId="27740" xr:uid="{00000000-0005-0000-0000-00005C6C0000}"/>
    <cellStyle name="Note 12 2 3 3" xfId="27741" xr:uid="{00000000-0005-0000-0000-00005D6C0000}"/>
    <cellStyle name="Note 12 2 3 3 2" xfId="27742" xr:uid="{00000000-0005-0000-0000-00005E6C0000}"/>
    <cellStyle name="Note 12 2 3 3 3" xfId="27743" xr:uid="{00000000-0005-0000-0000-00005F6C0000}"/>
    <cellStyle name="Note 12 2 3 4" xfId="27744" xr:uid="{00000000-0005-0000-0000-0000606C0000}"/>
    <cellStyle name="Note 12 2 3 5" xfId="27745" xr:uid="{00000000-0005-0000-0000-0000616C0000}"/>
    <cellStyle name="Note 12 3" xfId="27746" xr:uid="{00000000-0005-0000-0000-0000626C0000}"/>
    <cellStyle name="Note 12 3 2" xfId="27747" xr:uid="{00000000-0005-0000-0000-0000636C0000}"/>
    <cellStyle name="Note 12 3 2 2" xfId="27748" xr:uid="{00000000-0005-0000-0000-0000646C0000}"/>
    <cellStyle name="Note 12 3 2 2 2" xfId="27749" xr:uid="{00000000-0005-0000-0000-0000656C0000}"/>
    <cellStyle name="Note 12 3 2 2 2 2" xfId="27750" xr:uid="{00000000-0005-0000-0000-0000666C0000}"/>
    <cellStyle name="Note 12 3 2 2 2 2 2" xfId="27751" xr:uid="{00000000-0005-0000-0000-0000676C0000}"/>
    <cellStyle name="Note 12 3 2 2 2 2 3" xfId="27752" xr:uid="{00000000-0005-0000-0000-0000686C0000}"/>
    <cellStyle name="Note 12 3 2 2 2 3" xfId="27753" xr:uid="{00000000-0005-0000-0000-0000696C0000}"/>
    <cellStyle name="Note 12 3 2 2 2 4" xfId="27754" xr:uid="{00000000-0005-0000-0000-00006A6C0000}"/>
    <cellStyle name="Note 12 3 2 2 3" xfId="27755" xr:uid="{00000000-0005-0000-0000-00006B6C0000}"/>
    <cellStyle name="Note 12 3 2 2 3 2" xfId="27756" xr:uid="{00000000-0005-0000-0000-00006C6C0000}"/>
    <cellStyle name="Note 12 3 2 2 3 3" xfId="27757" xr:uid="{00000000-0005-0000-0000-00006D6C0000}"/>
    <cellStyle name="Note 12 3 2 2 4" xfId="27758" xr:uid="{00000000-0005-0000-0000-00006E6C0000}"/>
    <cellStyle name="Note 12 3 2 2 5" xfId="27759" xr:uid="{00000000-0005-0000-0000-00006F6C0000}"/>
    <cellStyle name="Note 12 3 3" xfId="27760" xr:uid="{00000000-0005-0000-0000-0000706C0000}"/>
    <cellStyle name="Note 12 3 3 2" xfId="27761" xr:uid="{00000000-0005-0000-0000-0000716C0000}"/>
    <cellStyle name="Note 12 3 3 2 2" xfId="27762" xr:uid="{00000000-0005-0000-0000-0000726C0000}"/>
    <cellStyle name="Note 12 3 3 2 2 2" xfId="27763" xr:uid="{00000000-0005-0000-0000-0000736C0000}"/>
    <cellStyle name="Note 12 3 3 2 2 3" xfId="27764" xr:uid="{00000000-0005-0000-0000-0000746C0000}"/>
    <cellStyle name="Note 12 3 3 2 3" xfId="27765" xr:uid="{00000000-0005-0000-0000-0000756C0000}"/>
    <cellStyle name="Note 12 3 3 2 4" xfId="27766" xr:uid="{00000000-0005-0000-0000-0000766C0000}"/>
    <cellStyle name="Note 12 3 3 3" xfId="27767" xr:uid="{00000000-0005-0000-0000-0000776C0000}"/>
    <cellStyle name="Note 12 3 3 3 2" xfId="27768" xr:uid="{00000000-0005-0000-0000-0000786C0000}"/>
    <cellStyle name="Note 12 3 3 3 3" xfId="27769" xr:uid="{00000000-0005-0000-0000-0000796C0000}"/>
    <cellStyle name="Note 12 3 3 4" xfId="27770" xr:uid="{00000000-0005-0000-0000-00007A6C0000}"/>
    <cellStyle name="Note 12 3 3 5" xfId="27771" xr:uid="{00000000-0005-0000-0000-00007B6C0000}"/>
    <cellStyle name="Note 12 4" xfId="27772" xr:uid="{00000000-0005-0000-0000-00007C6C0000}"/>
    <cellStyle name="Note 12 4 2" xfId="27773" xr:uid="{00000000-0005-0000-0000-00007D6C0000}"/>
    <cellStyle name="Note 12 4 2 2" xfId="27774" xr:uid="{00000000-0005-0000-0000-00007E6C0000}"/>
    <cellStyle name="Note 12 4 2 2 2" xfId="27775" xr:uid="{00000000-0005-0000-0000-00007F6C0000}"/>
    <cellStyle name="Note 12 4 2 2 2 2" xfId="27776" xr:uid="{00000000-0005-0000-0000-0000806C0000}"/>
    <cellStyle name="Note 12 4 2 2 2 2 2" xfId="27777" xr:uid="{00000000-0005-0000-0000-0000816C0000}"/>
    <cellStyle name="Note 12 4 2 2 2 2 3" xfId="27778" xr:uid="{00000000-0005-0000-0000-0000826C0000}"/>
    <cellStyle name="Note 12 4 2 2 2 3" xfId="27779" xr:uid="{00000000-0005-0000-0000-0000836C0000}"/>
    <cellStyle name="Note 12 4 2 2 2 4" xfId="27780" xr:uid="{00000000-0005-0000-0000-0000846C0000}"/>
    <cellStyle name="Note 12 4 2 2 3" xfId="27781" xr:uid="{00000000-0005-0000-0000-0000856C0000}"/>
    <cellStyle name="Note 12 4 2 2 3 2" xfId="27782" xr:uid="{00000000-0005-0000-0000-0000866C0000}"/>
    <cellStyle name="Note 12 4 2 2 3 3" xfId="27783" xr:uid="{00000000-0005-0000-0000-0000876C0000}"/>
    <cellStyle name="Note 12 4 2 2 4" xfId="27784" xr:uid="{00000000-0005-0000-0000-0000886C0000}"/>
    <cellStyle name="Note 12 4 2 2 5" xfId="27785" xr:uid="{00000000-0005-0000-0000-0000896C0000}"/>
    <cellStyle name="Note 12 4 3" xfId="27786" xr:uid="{00000000-0005-0000-0000-00008A6C0000}"/>
    <cellStyle name="Note 12 4 3 2" xfId="27787" xr:uid="{00000000-0005-0000-0000-00008B6C0000}"/>
    <cellStyle name="Note 12 4 3 2 2" xfId="27788" xr:uid="{00000000-0005-0000-0000-00008C6C0000}"/>
    <cellStyle name="Note 12 4 3 2 2 2" xfId="27789" xr:uid="{00000000-0005-0000-0000-00008D6C0000}"/>
    <cellStyle name="Note 12 4 3 2 2 3" xfId="27790" xr:uid="{00000000-0005-0000-0000-00008E6C0000}"/>
    <cellStyle name="Note 12 4 3 2 3" xfId="27791" xr:uid="{00000000-0005-0000-0000-00008F6C0000}"/>
    <cellStyle name="Note 12 4 3 2 4" xfId="27792" xr:uid="{00000000-0005-0000-0000-0000906C0000}"/>
    <cellStyle name="Note 12 4 3 3" xfId="27793" xr:uid="{00000000-0005-0000-0000-0000916C0000}"/>
    <cellStyle name="Note 12 4 3 3 2" xfId="27794" xr:uid="{00000000-0005-0000-0000-0000926C0000}"/>
    <cellStyle name="Note 12 4 3 3 3" xfId="27795" xr:uid="{00000000-0005-0000-0000-0000936C0000}"/>
    <cellStyle name="Note 12 4 3 4" xfId="27796" xr:uid="{00000000-0005-0000-0000-0000946C0000}"/>
    <cellStyle name="Note 12 4 3 5" xfId="27797" xr:uid="{00000000-0005-0000-0000-0000956C0000}"/>
    <cellStyle name="Note 12 5" xfId="27798" xr:uid="{00000000-0005-0000-0000-0000966C0000}"/>
    <cellStyle name="Note 12 5 2" xfId="27799" xr:uid="{00000000-0005-0000-0000-0000976C0000}"/>
    <cellStyle name="Note 12 5 2 2" xfId="27800" xr:uid="{00000000-0005-0000-0000-0000986C0000}"/>
    <cellStyle name="Note 12 5 2 2 2" xfId="27801" xr:uid="{00000000-0005-0000-0000-0000996C0000}"/>
    <cellStyle name="Note 12 5 2 2 2 2" xfId="27802" xr:uid="{00000000-0005-0000-0000-00009A6C0000}"/>
    <cellStyle name="Note 12 5 2 2 2 3" xfId="27803" xr:uid="{00000000-0005-0000-0000-00009B6C0000}"/>
    <cellStyle name="Note 12 5 2 2 3" xfId="27804" xr:uid="{00000000-0005-0000-0000-00009C6C0000}"/>
    <cellStyle name="Note 12 5 2 2 4" xfId="27805" xr:uid="{00000000-0005-0000-0000-00009D6C0000}"/>
    <cellStyle name="Note 12 5 2 3" xfId="27806" xr:uid="{00000000-0005-0000-0000-00009E6C0000}"/>
    <cellStyle name="Note 12 5 2 3 2" xfId="27807" xr:uid="{00000000-0005-0000-0000-00009F6C0000}"/>
    <cellStyle name="Note 12 5 2 3 3" xfId="27808" xr:uid="{00000000-0005-0000-0000-0000A06C0000}"/>
    <cellStyle name="Note 12 5 2 4" xfId="27809" xr:uid="{00000000-0005-0000-0000-0000A16C0000}"/>
    <cellStyle name="Note 12 5 2 5" xfId="27810" xr:uid="{00000000-0005-0000-0000-0000A26C0000}"/>
    <cellStyle name="Note 12 6" xfId="27811" xr:uid="{00000000-0005-0000-0000-0000A36C0000}"/>
    <cellStyle name="Note 12 6 2" xfId="27812" xr:uid="{00000000-0005-0000-0000-0000A46C0000}"/>
    <cellStyle name="Note 12 6 2 2" xfId="27813" xr:uid="{00000000-0005-0000-0000-0000A56C0000}"/>
    <cellStyle name="Note 12 6 2 2 2" xfId="27814" xr:uid="{00000000-0005-0000-0000-0000A66C0000}"/>
    <cellStyle name="Note 12 6 2 2 2 2" xfId="27815" xr:uid="{00000000-0005-0000-0000-0000A76C0000}"/>
    <cellStyle name="Note 12 6 2 2 2 3" xfId="27816" xr:uid="{00000000-0005-0000-0000-0000A86C0000}"/>
    <cellStyle name="Note 12 6 2 2 3" xfId="27817" xr:uid="{00000000-0005-0000-0000-0000A96C0000}"/>
    <cellStyle name="Note 12 6 2 2 4" xfId="27818" xr:uid="{00000000-0005-0000-0000-0000AA6C0000}"/>
    <cellStyle name="Note 12 6 2 3" xfId="27819" xr:uid="{00000000-0005-0000-0000-0000AB6C0000}"/>
    <cellStyle name="Note 12 6 2 3 2" xfId="27820" xr:uid="{00000000-0005-0000-0000-0000AC6C0000}"/>
    <cellStyle name="Note 12 6 2 3 3" xfId="27821" xr:uid="{00000000-0005-0000-0000-0000AD6C0000}"/>
    <cellStyle name="Note 12 6 2 4" xfId="27822" xr:uid="{00000000-0005-0000-0000-0000AE6C0000}"/>
    <cellStyle name="Note 12 6 2 5" xfId="27823" xr:uid="{00000000-0005-0000-0000-0000AF6C0000}"/>
    <cellStyle name="Note 12 7" xfId="27824" xr:uid="{00000000-0005-0000-0000-0000B06C0000}"/>
    <cellStyle name="Note 12 7 2" xfId="27825" xr:uid="{00000000-0005-0000-0000-0000B16C0000}"/>
    <cellStyle name="Note 12 7 2 2" xfId="27826" xr:uid="{00000000-0005-0000-0000-0000B26C0000}"/>
    <cellStyle name="Note 12 7 2 2 2" xfId="27827" xr:uid="{00000000-0005-0000-0000-0000B36C0000}"/>
    <cellStyle name="Note 12 7 2 2 2 2" xfId="27828" xr:uid="{00000000-0005-0000-0000-0000B46C0000}"/>
    <cellStyle name="Note 12 7 2 2 2 3" xfId="27829" xr:uid="{00000000-0005-0000-0000-0000B56C0000}"/>
    <cellStyle name="Note 12 7 2 2 3" xfId="27830" xr:uid="{00000000-0005-0000-0000-0000B66C0000}"/>
    <cellStyle name="Note 12 7 2 2 4" xfId="27831" xr:uid="{00000000-0005-0000-0000-0000B76C0000}"/>
    <cellStyle name="Note 12 7 2 3" xfId="27832" xr:uid="{00000000-0005-0000-0000-0000B86C0000}"/>
    <cellStyle name="Note 12 7 2 3 2" xfId="27833" xr:uid="{00000000-0005-0000-0000-0000B96C0000}"/>
    <cellStyle name="Note 12 7 2 3 3" xfId="27834" xr:uid="{00000000-0005-0000-0000-0000BA6C0000}"/>
    <cellStyle name="Note 12 7 2 4" xfId="27835" xr:uid="{00000000-0005-0000-0000-0000BB6C0000}"/>
    <cellStyle name="Note 12 7 2 5" xfId="27836" xr:uid="{00000000-0005-0000-0000-0000BC6C0000}"/>
    <cellStyle name="Note 12 8" xfId="27837" xr:uid="{00000000-0005-0000-0000-0000BD6C0000}"/>
    <cellStyle name="Note 12 8 2" xfId="27838" xr:uid="{00000000-0005-0000-0000-0000BE6C0000}"/>
    <cellStyle name="Note 12 8 2 2" xfId="27839" xr:uid="{00000000-0005-0000-0000-0000BF6C0000}"/>
    <cellStyle name="Note 12 8 2 2 2" xfId="27840" xr:uid="{00000000-0005-0000-0000-0000C06C0000}"/>
    <cellStyle name="Note 12 8 2 2 2 2" xfId="27841" xr:uid="{00000000-0005-0000-0000-0000C16C0000}"/>
    <cellStyle name="Note 12 8 2 2 2 3" xfId="27842" xr:uid="{00000000-0005-0000-0000-0000C26C0000}"/>
    <cellStyle name="Note 12 8 2 2 3" xfId="27843" xr:uid="{00000000-0005-0000-0000-0000C36C0000}"/>
    <cellStyle name="Note 12 8 2 2 4" xfId="27844" xr:uid="{00000000-0005-0000-0000-0000C46C0000}"/>
    <cellStyle name="Note 12 8 2 3" xfId="27845" xr:uid="{00000000-0005-0000-0000-0000C56C0000}"/>
    <cellStyle name="Note 12 8 2 3 2" xfId="27846" xr:uid="{00000000-0005-0000-0000-0000C66C0000}"/>
    <cellStyle name="Note 12 8 2 3 3" xfId="27847" xr:uid="{00000000-0005-0000-0000-0000C76C0000}"/>
    <cellStyle name="Note 12 8 2 4" xfId="27848" xr:uid="{00000000-0005-0000-0000-0000C86C0000}"/>
    <cellStyle name="Note 12 8 2 5" xfId="27849" xr:uid="{00000000-0005-0000-0000-0000C96C0000}"/>
    <cellStyle name="Note 12 9" xfId="27850" xr:uid="{00000000-0005-0000-0000-0000CA6C0000}"/>
    <cellStyle name="Note 12 9 2" xfId="27851" xr:uid="{00000000-0005-0000-0000-0000CB6C0000}"/>
    <cellStyle name="Note 12 9 2 2" xfId="27852" xr:uid="{00000000-0005-0000-0000-0000CC6C0000}"/>
    <cellStyle name="Note 12 9 2 2 2" xfId="27853" xr:uid="{00000000-0005-0000-0000-0000CD6C0000}"/>
    <cellStyle name="Note 12 9 2 2 3" xfId="27854" xr:uid="{00000000-0005-0000-0000-0000CE6C0000}"/>
    <cellStyle name="Note 12 9 2 3" xfId="27855" xr:uid="{00000000-0005-0000-0000-0000CF6C0000}"/>
    <cellStyle name="Note 12 9 2 4" xfId="27856" xr:uid="{00000000-0005-0000-0000-0000D06C0000}"/>
    <cellStyle name="Note 12 9 3" xfId="27857" xr:uid="{00000000-0005-0000-0000-0000D16C0000}"/>
    <cellStyle name="Note 12 9 3 2" xfId="27858" xr:uid="{00000000-0005-0000-0000-0000D26C0000}"/>
    <cellStyle name="Note 12 9 3 3" xfId="27859" xr:uid="{00000000-0005-0000-0000-0000D36C0000}"/>
    <cellStyle name="Note 12 9 4" xfId="27860" xr:uid="{00000000-0005-0000-0000-0000D46C0000}"/>
    <cellStyle name="Note 12 9 5" xfId="27861" xr:uid="{00000000-0005-0000-0000-0000D56C0000}"/>
    <cellStyle name="Note 13" xfId="27862" xr:uid="{00000000-0005-0000-0000-0000D66C0000}"/>
    <cellStyle name="Note 13 2" xfId="27863" xr:uid="{00000000-0005-0000-0000-0000D76C0000}"/>
    <cellStyle name="Note 13 2 2" xfId="27864" xr:uid="{00000000-0005-0000-0000-0000D86C0000}"/>
    <cellStyle name="Note 13 2 2 2" xfId="27865" xr:uid="{00000000-0005-0000-0000-0000D96C0000}"/>
    <cellStyle name="Note 13 2 2 2 2" xfId="27866" xr:uid="{00000000-0005-0000-0000-0000DA6C0000}"/>
    <cellStyle name="Note 13 2 2 2 2 2" xfId="27867" xr:uid="{00000000-0005-0000-0000-0000DB6C0000}"/>
    <cellStyle name="Note 13 2 2 2 2 2 2" xfId="27868" xr:uid="{00000000-0005-0000-0000-0000DC6C0000}"/>
    <cellStyle name="Note 13 2 2 2 2 2 3" xfId="27869" xr:uid="{00000000-0005-0000-0000-0000DD6C0000}"/>
    <cellStyle name="Note 13 2 2 2 2 3" xfId="27870" xr:uid="{00000000-0005-0000-0000-0000DE6C0000}"/>
    <cellStyle name="Note 13 2 2 2 2 4" xfId="27871" xr:uid="{00000000-0005-0000-0000-0000DF6C0000}"/>
    <cellStyle name="Note 13 2 2 2 3" xfId="27872" xr:uid="{00000000-0005-0000-0000-0000E06C0000}"/>
    <cellStyle name="Note 13 2 2 2 3 2" xfId="27873" xr:uid="{00000000-0005-0000-0000-0000E16C0000}"/>
    <cellStyle name="Note 13 2 2 2 3 3" xfId="27874" xr:uid="{00000000-0005-0000-0000-0000E26C0000}"/>
    <cellStyle name="Note 13 2 2 2 4" xfId="27875" xr:uid="{00000000-0005-0000-0000-0000E36C0000}"/>
    <cellStyle name="Note 13 2 2 2 5" xfId="27876" xr:uid="{00000000-0005-0000-0000-0000E46C0000}"/>
    <cellStyle name="Note 13 2 3" xfId="27877" xr:uid="{00000000-0005-0000-0000-0000E56C0000}"/>
    <cellStyle name="Note 13 2 3 2" xfId="27878" xr:uid="{00000000-0005-0000-0000-0000E66C0000}"/>
    <cellStyle name="Note 13 2 3 2 2" xfId="27879" xr:uid="{00000000-0005-0000-0000-0000E76C0000}"/>
    <cellStyle name="Note 13 2 3 2 2 2" xfId="27880" xr:uid="{00000000-0005-0000-0000-0000E86C0000}"/>
    <cellStyle name="Note 13 2 3 2 2 3" xfId="27881" xr:uid="{00000000-0005-0000-0000-0000E96C0000}"/>
    <cellStyle name="Note 13 2 3 2 3" xfId="27882" xr:uid="{00000000-0005-0000-0000-0000EA6C0000}"/>
    <cellStyle name="Note 13 2 3 2 4" xfId="27883" xr:uid="{00000000-0005-0000-0000-0000EB6C0000}"/>
    <cellStyle name="Note 13 2 3 3" xfId="27884" xr:uid="{00000000-0005-0000-0000-0000EC6C0000}"/>
    <cellStyle name="Note 13 2 3 3 2" xfId="27885" xr:uid="{00000000-0005-0000-0000-0000ED6C0000}"/>
    <cellStyle name="Note 13 2 3 3 3" xfId="27886" xr:uid="{00000000-0005-0000-0000-0000EE6C0000}"/>
    <cellStyle name="Note 13 2 3 4" xfId="27887" xr:uid="{00000000-0005-0000-0000-0000EF6C0000}"/>
    <cellStyle name="Note 13 2 3 5" xfId="27888" xr:uid="{00000000-0005-0000-0000-0000F06C0000}"/>
    <cellStyle name="Note 13 3" xfId="27889" xr:uid="{00000000-0005-0000-0000-0000F16C0000}"/>
    <cellStyle name="Note 13 3 2" xfId="27890" xr:uid="{00000000-0005-0000-0000-0000F26C0000}"/>
    <cellStyle name="Note 13 3 2 2" xfId="27891" xr:uid="{00000000-0005-0000-0000-0000F36C0000}"/>
    <cellStyle name="Note 13 3 2 2 2" xfId="27892" xr:uid="{00000000-0005-0000-0000-0000F46C0000}"/>
    <cellStyle name="Note 13 3 2 2 2 2" xfId="27893" xr:uid="{00000000-0005-0000-0000-0000F56C0000}"/>
    <cellStyle name="Note 13 3 2 2 2 2 2" xfId="27894" xr:uid="{00000000-0005-0000-0000-0000F66C0000}"/>
    <cellStyle name="Note 13 3 2 2 2 2 3" xfId="27895" xr:uid="{00000000-0005-0000-0000-0000F76C0000}"/>
    <cellStyle name="Note 13 3 2 2 2 3" xfId="27896" xr:uid="{00000000-0005-0000-0000-0000F86C0000}"/>
    <cellStyle name="Note 13 3 2 2 2 4" xfId="27897" xr:uid="{00000000-0005-0000-0000-0000F96C0000}"/>
    <cellStyle name="Note 13 3 2 2 3" xfId="27898" xr:uid="{00000000-0005-0000-0000-0000FA6C0000}"/>
    <cellStyle name="Note 13 3 2 2 3 2" xfId="27899" xr:uid="{00000000-0005-0000-0000-0000FB6C0000}"/>
    <cellStyle name="Note 13 3 2 2 3 3" xfId="27900" xr:uid="{00000000-0005-0000-0000-0000FC6C0000}"/>
    <cellStyle name="Note 13 3 2 2 4" xfId="27901" xr:uid="{00000000-0005-0000-0000-0000FD6C0000}"/>
    <cellStyle name="Note 13 3 2 2 5" xfId="27902" xr:uid="{00000000-0005-0000-0000-0000FE6C0000}"/>
    <cellStyle name="Note 13 3 3" xfId="27903" xr:uid="{00000000-0005-0000-0000-0000FF6C0000}"/>
    <cellStyle name="Note 13 3 3 2" xfId="27904" xr:uid="{00000000-0005-0000-0000-0000006D0000}"/>
    <cellStyle name="Note 13 3 3 2 2" xfId="27905" xr:uid="{00000000-0005-0000-0000-0000016D0000}"/>
    <cellStyle name="Note 13 3 3 2 2 2" xfId="27906" xr:uid="{00000000-0005-0000-0000-0000026D0000}"/>
    <cellStyle name="Note 13 3 3 2 2 3" xfId="27907" xr:uid="{00000000-0005-0000-0000-0000036D0000}"/>
    <cellStyle name="Note 13 3 3 2 3" xfId="27908" xr:uid="{00000000-0005-0000-0000-0000046D0000}"/>
    <cellStyle name="Note 13 3 3 2 4" xfId="27909" xr:uid="{00000000-0005-0000-0000-0000056D0000}"/>
    <cellStyle name="Note 13 3 3 3" xfId="27910" xr:uid="{00000000-0005-0000-0000-0000066D0000}"/>
    <cellStyle name="Note 13 3 3 3 2" xfId="27911" xr:uid="{00000000-0005-0000-0000-0000076D0000}"/>
    <cellStyle name="Note 13 3 3 3 3" xfId="27912" xr:uid="{00000000-0005-0000-0000-0000086D0000}"/>
    <cellStyle name="Note 13 3 3 4" xfId="27913" xr:uid="{00000000-0005-0000-0000-0000096D0000}"/>
    <cellStyle name="Note 13 3 3 5" xfId="27914" xr:uid="{00000000-0005-0000-0000-00000A6D0000}"/>
    <cellStyle name="Note 13 4" xfId="27915" xr:uid="{00000000-0005-0000-0000-00000B6D0000}"/>
    <cellStyle name="Note 13 4 2" xfId="27916" xr:uid="{00000000-0005-0000-0000-00000C6D0000}"/>
    <cellStyle name="Note 13 4 2 2" xfId="27917" xr:uid="{00000000-0005-0000-0000-00000D6D0000}"/>
    <cellStyle name="Note 13 4 2 2 2" xfId="27918" xr:uid="{00000000-0005-0000-0000-00000E6D0000}"/>
    <cellStyle name="Note 13 4 2 2 2 2" xfId="27919" xr:uid="{00000000-0005-0000-0000-00000F6D0000}"/>
    <cellStyle name="Note 13 4 2 2 2 2 2" xfId="27920" xr:uid="{00000000-0005-0000-0000-0000106D0000}"/>
    <cellStyle name="Note 13 4 2 2 2 2 3" xfId="27921" xr:uid="{00000000-0005-0000-0000-0000116D0000}"/>
    <cellStyle name="Note 13 4 2 2 2 3" xfId="27922" xr:uid="{00000000-0005-0000-0000-0000126D0000}"/>
    <cellStyle name="Note 13 4 2 2 2 4" xfId="27923" xr:uid="{00000000-0005-0000-0000-0000136D0000}"/>
    <cellStyle name="Note 13 4 2 2 3" xfId="27924" xr:uid="{00000000-0005-0000-0000-0000146D0000}"/>
    <cellStyle name="Note 13 4 2 2 3 2" xfId="27925" xr:uid="{00000000-0005-0000-0000-0000156D0000}"/>
    <cellStyle name="Note 13 4 2 2 3 3" xfId="27926" xr:uid="{00000000-0005-0000-0000-0000166D0000}"/>
    <cellStyle name="Note 13 4 2 2 4" xfId="27927" xr:uid="{00000000-0005-0000-0000-0000176D0000}"/>
    <cellStyle name="Note 13 4 2 2 5" xfId="27928" xr:uid="{00000000-0005-0000-0000-0000186D0000}"/>
    <cellStyle name="Note 13 4 3" xfId="27929" xr:uid="{00000000-0005-0000-0000-0000196D0000}"/>
    <cellStyle name="Note 13 4 3 2" xfId="27930" xr:uid="{00000000-0005-0000-0000-00001A6D0000}"/>
    <cellStyle name="Note 13 4 3 2 2" xfId="27931" xr:uid="{00000000-0005-0000-0000-00001B6D0000}"/>
    <cellStyle name="Note 13 4 3 2 2 2" xfId="27932" xr:uid="{00000000-0005-0000-0000-00001C6D0000}"/>
    <cellStyle name="Note 13 4 3 2 2 3" xfId="27933" xr:uid="{00000000-0005-0000-0000-00001D6D0000}"/>
    <cellStyle name="Note 13 4 3 2 3" xfId="27934" xr:uid="{00000000-0005-0000-0000-00001E6D0000}"/>
    <cellStyle name="Note 13 4 3 2 4" xfId="27935" xr:uid="{00000000-0005-0000-0000-00001F6D0000}"/>
    <cellStyle name="Note 13 4 3 3" xfId="27936" xr:uid="{00000000-0005-0000-0000-0000206D0000}"/>
    <cellStyle name="Note 13 4 3 3 2" xfId="27937" xr:uid="{00000000-0005-0000-0000-0000216D0000}"/>
    <cellStyle name="Note 13 4 3 3 3" xfId="27938" xr:uid="{00000000-0005-0000-0000-0000226D0000}"/>
    <cellStyle name="Note 13 4 3 4" xfId="27939" xr:uid="{00000000-0005-0000-0000-0000236D0000}"/>
    <cellStyle name="Note 13 4 3 5" xfId="27940" xr:uid="{00000000-0005-0000-0000-0000246D0000}"/>
    <cellStyle name="Note 13 5" xfId="27941" xr:uid="{00000000-0005-0000-0000-0000256D0000}"/>
    <cellStyle name="Note 13 5 2" xfId="27942" xr:uid="{00000000-0005-0000-0000-0000266D0000}"/>
    <cellStyle name="Note 13 5 2 2" xfId="27943" xr:uid="{00000000-0005-0000-0000-0000276D0000}"/>
    <cellStyle name="Note 13 5 2 2 2" xfId="27944" xr:uid="{00000000-0005-0000-0000-0000286D0000}"/>
    <cellStyle name="Note 13 5 2 2 2 2" xfId="27945" xr:uid="{00000000-0005-0000-0000-0000296D0000}"/>
    <cellStyle name="Note 13 5 2 2 2 3" xfId="27946" xr:uid="{00000000-0005-0000-0000-00002A6D0000}"/>
    <cellStyle name="Note 13 5 2 2 3" xfId="27947" xr:uid="{00000000-0005-0000-0000-00002B6D0000}"/>
    <cellStyle name="Note 13 5 2 2 4" xfId="27948" xr:uid="{00000000-0005-0000-0000-00002C6D0000}"/>
    <cellStyle name="Note 13 5 2 3" xfId="27949" xr:uid="{00000000-0005-0000-0000-00002D6D0000}"/>
    <cellStyle name="Note 13 5 2 3 2" xfId="27950" xr:uid="{00000000-0005-0000-0000-00002E6D0000}"/>
    <cellStyle name="Note 13 5 2 3 3" xfId="27951" xr:uid="{00000000-0005-0000-0000-00002F6D0000}"/>
    <cellStyle name="Note 13 5 2 4" xfId="27952" xr:uid="{00000000-0005-0000-0000-0000306D0000}"/>
    <cellStyle name="Note 13 5 2 5" xfId="27953" xr:uid="{00000000-0005-0000-0000-0000316D0000}"/>
    <cellStyle name="Note 13 6" xfId="27954" xr:uid="{00000000-0005-0000-0000-0000326D0000}"/>
    <cellStyle name="Note 13 6 2" xfId="27955" xr:uid="{00000000-0005-0000-0000-0000336D0000}"/>
    <cellStyle name="Note 13 6 2 2" xfId="27956" xr:uid="{00000000-0005-0000-0000-0000346D0000}"/>
    <cellStyle name="Note 13 6 2 2 2" xfId="27957" xr:uid="{00000000-0005-0000-0000-0000356D0000}"/>
    <cellStyle name="Note 13 6 2 2 2 2" xfId="27958" xr:uid="{00000000-0005-0000-0000-0000366D0000}"/>
    <cellStyle name="Note 13 6 2 2 2 3" xfId="27959" xr:uid="{00000000-0005-0000-0000-0000376D0000}"/>
    <cellStyle name="Note 13 6 2 2 3" xfId="27960" xr:uid="{00000000-0005-0000-0000-0000386D0000}"/>
    <cellStyle name="Note 13 6 2 2 4" xfId="27961" xr:uid="{00000000-0005-0000-0000-0000396D0000}"/>
    <cellStyle name="Note 13 6 2 3" xfId="27962" xr:uid="{00000000-0005-0000-0000-00003A6D0000}"/>
    <cellStyle name="Note 13 6 2 3 2" xfId="27963" xr:uid="{00000000-0005-0000-0000-00003B6D0000}"/>
    <cellStyle name="Note 13 6 2 3 3" xfId="27964" xr:uid="{00000000-0005-0000-0000-00003C6D0000}"/>
    <cellStyle name="Note 13 6 2 4" xfId="27965" xr:uid="{00000000-0005-0000-0000-00003D6D0000}"/>
    <cellStyle name="Note 13 6 2 5" xfId="27966" xr:uid="{00000000-0005-0000-0000-00003E6D0000}"/>
    <cellStyle name="Note 13 7" xfId="27967" xr:uid="{00000000-0005-0000-0000-00003F6D0000}"/>
    <cellStyle name="Note 13 7 2" xfId="27968" xr:uid="{00000000-0005-0000-0000-0000406D0000}"/>
    <cellStyle name="Note 13 7 2 2" xfId="27969" xr:uid="{00000000-0005-0000-0000-0000416D0000}"/>
    <cellStyle name="Note 13 7 2 2 2" xfId="27970" xr:uid="{00000000-0005-0000-0000-0000426D0000}"/>
    <cellStyle name="Note 13 7 2 2 2 2" xfId="27971" xr:uid="{00000000-0005-0000-0000-0000436D0000}"/>
    <cellStyle name="Note 13 7 2 2 2 3" xfId="27972" xr:uid="{00000000-0005-0000-0000-0000446D0000}"/>
    <cellStyle name="Note 13 7 2 2 3" xfId="27973" xr:uid="{00000000-0005-0000-0000-0000456D0000}"/>
    <cellStyle name="Note 13 7 2 2 4" xfId="27974" xr:uid="{00000000-0005-0000-0000-0000466D0000}"/>
    <cellStyle name="Note 13 7 2 3" xfId="27975" xr:uid="{00000000-0005-0000-0000-0000476D0000}"/>
    <cellStyle name="Note 13 7 2 3 2" xfId="27976" xr:uid="{00000000-0005-0000-0000-0000486D0000}"/>
    <cellStyle name="Note 13 7 2 3 3" xfId="27977" xr:uid="{00000000-0005-0000-0000-0000496D0000}"/>
    <cellStyle name="Note 13 7 2 4" xfId="27978" xr:uid="{00000000-0005-0000-0000-00004A6D0000}"/>
    <cellStyle name="Note 13 7 2 5" xfId="27979" xr:uid="{00000000-0005-0000-0000-00004B6D0000}"/>
    <cellStyle name="Note 13 8" xfId="27980" xr:uid="{00000000-0005-0000-0000-00004C6D0000}"/>
    <cellStyle name="Note 13 8 2" xfId="27981" xr:uid="{00000000-0005-0000-0000-00004D6D0000}"/>
    <cellStyle name="Note 13 8 2 2" xfId="27982" xr:uid="{00000000-0005-0000-0000-00004E6D0000}"/>
    <cellStyle name="Note 13 8 2 2 2" xfId="27983" xr:uid="{00000000-0005-0000-0000-00004F6D0000}"/>
    <cellStyle name="Note 13 8 2 2 2 2" xfId="27984" xr:uid="{00000000-0005-0000-0000-0000506D0000}"/>
    <cellStyle name="Note 13 8 2 2 2 3" xfId="27985" xr:uid="{00000000-0005-0000-0000-0000516D0000}"/>
    <cellStyle name="Note 13 8 2 2 3" xfId="27986" xr:uid="{00000000-0005-0000-0000-0000526D0000}"/>
    <cellStyle name="Note 13 8 2 2 4" xfId="27987" xr:uid="{00000000-0005-0000-0000-0000536D0000}"/>
    <cellStyle name="Note 13 8 2 3" xfId="27988" xr:uid="{00000000-0005-0000-0000-0000546D0000}"/>
    <cellStyle name="Note 13 8 2 3 2" xfId="27989" xr:uid="{00000000-0005-0000-0000-0000556D0000}"/>
    <cellStyle name="Note 13 8 2 3 3" xfId="27990" xr:uid="{00000000-0005-0000-0000-0000566D0000}"/>
    <cellStyle name="Note 13 8 2 4" xfId="27991" xr:uid="{00000000-0005-0000-0000-0000576D0000}"/>
    <cellStyle name="Note 13 8 2 5" xfId="27992" xr:uid="{00000000-0005-0000-0000-0000586D0000}"/>
    <cellStyle name="Note 13 9" xfId="27993" xr:uid="{00000000-0005-0000-0000-0000596D0000}"/>
    <cellStyle name="Note 13 9 2" xfId="27994" xr:uid="{00000000-0005-0000-0000-00005A6D0000}"/>
    <cellStyle name="Note 13 9 2 2" xfId="27995" xr:uid="{00000000-0005-0000-0000-00005B6D0000}"/>
    <cellStyle name="Note 13 9 2 2 2" xfId="27996" xr:uid="{00000000-0005-0000-0000-00005C6D0000}"/>
    <cellStyle name="Note 13 9 2 2 3" xfId="27997" xr:uid="{00000000-0005-0000-0000-00005D6D0000}"/>
    <cellStyle name="Note 13 9 2 3" xfId="27998" xr:uid="{00000000-0005-0000-0000-00005E6D0000}"/>
    <cellStyle name="Note 13 9 2 4" xfId="27999" xr:uid="{00000000-0005-0000-0000-00005F6D0000}"/>
    <cellStyle name="Note 13 9 3" xfId="28000" xr:uid="{00000000-0005-0000-0000-0000606D0000}"/>
    <cellStyle name="Note 13 9 3 2" xfId="28001" xr:uid="{00000000-0005-0000-0000-0000616D0000}"/>
    <cellStyle name="Note 13 9 3 3" xfId="28002" xr:uid="{00000000-0005-0000-0000-0000626D0000}"/>
    <cellStyle name="Note 13 9 4" xfId="28003" xr:uid="{00000000-0005-0000-0000-0000636D0000}"/>
    <cellStyle name="Note 13 9 5" xfId="28004" xr:uid="{00000000-0005-0000-0000-0000646D0000}"/>
    <cellStyle name="Note 14" xfId="28005" xr:uid="{00000000-0005-0000-0000-0000656D0000}"/>
    <cellStyle name="Note 14 2" xfId="28006" xr:uid="{00000000-0005-0000-0000-0000666D0000}"/>
    <cellStyle name="Note 14 2 2" xfId="28007" xr:uid="{00000000-0005-0000-0000-0000676D0000}"/>
    <cellStyle name="Note 14 2 2 2" xfId="28008" xr:uid="{00000000-0005-0000-0000-0000686D0000}"/>
    <cellStyle name="Note 14 2 2 2 2" xfId="28009" xr:uid="{00000000-0005-0000-0000-0000696D0000}"/>
    <cellStyle name="Note 14 2 2 2 2 2" xfId="28010" xr:uid="{00000000-0005-0000-0000-00006A6D0000}"/>
    <cellStyle name="Note 14 2 2 2 2 2 2" xfId="28011" xr:uid="{00000000-0005-0000-0000-00006B6D0000}"/>
    <cellStyle name="Note 14 2 2 2 2 2 3" xfId="28012" xr:uid="{00000000-0005-0000-0000-00006C6D0000}"/>
    <cellStyle name="Note 14 2 2 2 2 3" xfId="28013" xr:uid="{00000000-0005-0000-0000-00006D6D0000}"/>
    <cellStyle name="Note 14 2 2 2 2 4" xfId="28014" xr:uid="{00000000-0005-0000-0000-00006E6D0000}"/>
    <cellStyle name="Note 14 2 2 2 3" xfId="28015" xr:uid="{00000000-0005-0000-0000-00006F6D0000}"/>
    <cellStyle name="Note 14 2 2 2 3 2" xfId="28016" xr:uid="{00000000-0005-0000-0000-0000706D0000}"/>
    <cellStyle name="Note 14 2 2 2 3 3" xfId="28017" xr:uid="{00000000-0005-0000-0000-0000716D0000}"/>
    <cellStyle name="Note 14 2 2 2 4" xfId="28018" xr:uid="{00000000-0005-0000-0000-0000726D0000}"/>
    <cellStyle name="Note 14 2 2 2 5" xfId="28019" xr:uid="{00000000-0005-0000-0000-0000736D0000}"/>
    <cellStyle name="Note 14 2 3" xfId="28020" xr:uid="{00000000-0005-0000-0000-0000746D0000}"/>
    <cellStyle name="Note 14 2 3 2" xfId="28021" xr:uid="{00000000-0005-0000-0000-0000756D0000}"/>
    <cellStyle name="Note 14 2 3 2 2" xfId="28022" xr:uid="{00000000-0005-0000-0000-0000766D0000}"/>
    <cellStyle name="Note 14 2 3 2 2 2" xfId="28023" xr:uid="{00000000-0005-0000-0000-0000776D0000}"/>
    <cellStyle name="Note 14 2 3 2 2 3" xfId="28024" xr:uid="{00000000-0005-0000-0000-0000786D0000}"/>
    <cellStyle name="Note 14 2 3 2 3" xfId="28025" xr:uid="{00000000-0005-0000-0000-0000796D0000}"/>
    <cellStyle name="Note 14 2 3 2 4" xfId="28026" xr:uid="{00000000-0005-0000-0000-00007A6D0000}"/>
    <cellStyle name="Note 14 2 3 3" xfId="28027" xr:uid="{00000000-0005-0000-0000-00007B6D0000}"/>
    <cellStyle name="Note 14 2 3 3 2" xfId="28028" xr:uid="{00000000-0005-0000-0000-00007C6D0000}"/>
    <cellStyle name="Note 14 2 3 3 3" xfId="28029" xr:uid="{00000000-0005-0000-0000-00007D6D0000}"/>
    <cellStyle name="Note 14 2 3 4" xfId="28030" xr:uid="{00000000-0005-0000-0000-00007E6D0000}"/>
    <cellStyle name="Note 14 2 3 5" xfId="28031" xr:uid="{00000000-0005-0000-0000-00007F6D0000}"/>
    <cellStyle name="Note 14 3" xfId="28032" xr:uid="{00000000-0005-0000-0000-0000806D0000}"/>
    <cellStyle name="Note 14 3 2" xfId="28033" xr:uid="{00000000-0005-0000-0000-0000816D0000}"/>
    <cellStyle name="Note 14 3 2 2" xfId="28034" xr:uid="{00000000-0005-0000-0000-0000826D0000}"/>
    <cellStyle name="Note 14 3 2 2 2" xfId="28035" xr:uid="{00000000-0005-0000-0000-0000836D0000}"/>
    <cellStyle name="Note 14 3 2 2 2 2" xfId="28036" xr:uid="{00000000-0005-0000-0000-0000846D0000}"/>
    <cellStyle name="Note 14 3 2 2 2 2 2" xfId="28037" xr:uid="{00000000-0005-0000-0000-0000856D0000}"/>
    <cellStyle name="Note 14 3 2 2 2 2 3" xfId="28038" xr:uid="{00000000-0005-0000-0000-0000866D0000}"/>
    <cellStyle name="Note 14 3 2 2 2 3" xfId="28039" xr:uid="{00000000-0005-0000-0000-0000876D0000}"/>
    <cellStyle name="Note 14 3 2 2 2 4" xfId="28040" xr:uid="{00000000-0005-0000-0000-0000886D0000}"/>
    <cellStyle name="Note 14 3 2 2 3" xfId="28041" xr:uid="{00000000-0005-0000-0000-0000896D0000}"/>
    <cellStyle name="Note 14 3 2 2 3 2" xfId="28042" xr:uid="{00000000-0005-0000-0000-00008A6D0000}"/>
    <cellStyle name="Note 14 3 2 2 3 3" xfId="28043" xr:uid="{00000000-0005-0000-0000-00008B6D0000}"/>
    <cellStyle name="Note 14 3 2 2 4" xfId="28044" xr:uid="{00000000-0005-0000-0000-00008C6D0000}"/>
    <cellStyle name="Note 14 3 2 2 5" xfId="28045" xr:uid="{00000000-0005-0000-0000-00008D6D0000}"/>
    <cellStyle name="Note 14 3 3" xfId="28046" xr:uid="{00000000-0005-0000-0000-00008E6D0000}"/>
    <cellStyle name="Note 14 3 3 2" xfId="28047" xr:uid="{00000000-0005-0000-0000-00008F6D0000}"/>
    <cellStyle name="Note 14 3 3 2 2" xfId="28048" xr:uid="{00000000-0005-0000-0000-0000906D0000}"/>
    <cellStyle name="Note 14 3 3 2 2 2" xfId="28049" xr:uid="{00000000-0005-0000-0000-0000916D0000}"/>
    <cellStyle name="Note 14 3 3 2 2 3" xfId="28050" xr:uid="{00000000-0005-0000-0000-0000926D0000}"/>
    <cellStyle name="Note 14 3 3 2 3" xfId="28051" xr:uid="{00000000-0005-0000-0000-0000936D0000}"/>
    <cellStyle name="Note 14 3 3 2 4" xfId="28052" xr:uid="{00000000-0005-0000-0000-0000946D0000}"/>
    <cellStyle name="Note 14 3 3 3" xfId="28053" xr:uid="{00000000-0005-0000-0000-0000956D0000}"/>
    <cellStyle name="Note 14 3 3 3 2" xfId="28054" xr:uid="{00000000-0005-0000-0000-0000966D0000}"/>
    <cellStyle name="Note 14 3 3 3 3" xfId="28055" xr:uid="{00000000-0005-0000-0000-0000976D0000}"/>
    <cellStyle name="Note 14 3 3 4" xfId="28056" xr:uid="{00000000-0005-0000-0000-0000986D0000}"/>
    <cellStyle name="Note 14 3 3 5" xfId="28057" xr:uid="{00000000-0005-0000-0000-0000996D0000}"/>
    <cellStyle name="Note 14 4" xfId="28058" xr:uid="{00000000-0005-0000-0000-00009A6D0000}"/>
    <cellStyle name="Note 14 4 2" xfId="28059" xr:uid="{00000000-0005-0000-0000-00009B6D0000}"/>
    <cellStyle name="Note 14 4 2 2" xfId="28060" xr:uid="{00000000-0005-0000-0000-00009C6D0000}"/>
    <cellStyle name="Note 14 4 2 2 2" xfId="28061" xr:uid="{00000000-0005-0000-0000-00009D6D0000}"/>
    <cellStyle name="Note 14 4 2 2 2 2" xfId="28062" xr:uid="{00000000-0005-0000-0000-00009E6D0000}"/>
    <cellStyle name="Note 14 4 2 2 2 2 2" xfId="28063" xr:uid="{00000000-0005-0000-0000-00009F6D0000}"/>
    <cellStyle name="Note 14 4 2 2 2 2 3" xfId="28064" xr:uid="{00000000-0005-0000-0000-0000A06D0000}"/>
    <cellStyle name="Note 14 4 2 2 2 3" xfId="28065" xr:uid="{00000000-0005-0000-0000-0000A16D0000}"/>
    <cellStyle name="Note 14 4 2 2 2 4" xfId="28066" xr:uid="{00000000-0005-0000-0000-0000A26D0000}"/>
    <cellStyle name="Note 14 4 2 2 3" xfId="28067" xr:uid="{00000000-0005-0000-0000-0000A36D0000}"/>
    <cellStyle name="Note 14 4 2 2 3 2" xfId="28068" xr:uid="{00000000-0005-0000-0000-0000A46D0000}"/>
    <cellStyle name="Note 14 4 2 2 3 3" xfId="28069" xr:uid="{00000000-0005-0000-0000-0000A56D0000}"/>
    <cellStyle name="Note 14 4 2 2 4" xfId="28070" xr:uid="{00000000-0005-0000-0000-0000A66D0000}"/>
    <cellStyle name="Note 14 4 2 2 5" xfId="28071" xr:uid="{00000000-0005-0000-0000-0000A76D0000}"/>
    <cellStyle name="Note 14 4 3" xfId="28072" xr:uid="{00000000-0005-0000-0000-0000A86D0000}"/>
    <cellStyle name="Note 14 4 3 2" xfId="28073" xr:uid="{00000000-0005-0000-0000-0000A96D0000}"/>
    <cellStyle name="Note 14 4 3 2 2" xfId="28074" xr:uid="{00000000-0005-0000-0000-0000AA6D0000}"/>
    <cellStyle name="Note 14 4 3 2 2 2" xfId="28075" xr:uid="{00000000-0005-0000-0000-0000AB6D0000}"/>
    <cellStyle name="Note 14 4 3 2 2 3" xfId="28076" xr:uid="{00000000-0005-0000-0000-0000AC6D0000}"/>
    <cellStyle name="Note 14 4 3 2 3" xfId="28077" xr:uid="{00000000-0005-0000-0000-0000AD6D0000}"/>
    <cellStyle name="Note 14 4 3 2 4" xfId="28078" xr:uid="{00000000-0005-0000-0000-0000AE6D0000}"/>
    <cellStyle name="Note 14 4 3 3" xfId="28079" xr:uid="{00000000-0005-0000-0000-0000AF6D0000}"/>
    <cellStyle name="Note 14 4 3 3 2" xfId="28080" xr:uid="{00000000-0005-0000-0000-0000B06D0000}"/>
    <cellStyle name="Note 14 4 3 3 3" xfId="28081" xr:uid="{00000000-0005-0000-0000-0000B16D0000}"/>
    <cellStyle name="Note 14 4 3 4" xfId="28082" xr:uid="{00000000-0005-0000-0000-0000B26D0000}"/>
    <cellStyle name="Note 14 4 3 5" xfId="28083" xr:uid="{00000000-0005-0000-0000-0000B36D0000}"/>
    <cellStyle name="Note 14 5" xfId="28084" xr:uid="{00000000-0005-0000-0000-0000B46D0000}"/>
    <cellStyle name="Note 14 5 2" xfId="28085" xr:uid="{00000000-0005-0000-0000-0000B56D0000}"/>
    <cellStyle name="Note 14 5 2 2" xfId="28086" xr:uid="{00000000-0005-0000-0000-0000B66D0000}"/>
    <cellStyle name="Note 14 5 2 2 2" xfId="28087" xr:uid="{00000000-0005-0000-0000-0000B76D0000}"/>
    <cellStyle name="Note 14 5 2 2 2 2" xfId="28088" xr:uid="{00000000-0005-0000-0000-0000B86D0000}"/>
    <cellStyle name="Note 14 5 2 2 2 3" xfId="28089" xr:uid="{00000000-0005-0000-0000-0000B96D0000}"/>
    <cellStyle name="Note 14 5 2 2 3" xfId="28090" xr:uid="{00000000-0005-0000-0000-0000BA6D0000}"/>
    <cellStyle name="Note 14 5 2 2 4" xfId="28091" xr:uid="{00000000-0005-0000-0000-0000BB6D0000}"/>
    <cellStyle name="Note 14 5 2 3" xfId="28092" xr:uid="{00000000-0005-0000-0000-0000BC6D0000}"/>
    <cellStyle name="Note 14 5 2 3 2" xfId="28093" xr:uid="{00000000-0005-0000-0000-0000BD6D0000}"/>
    <cellStyle name="Note 14 5 2 3 3" xfId="28094" xr:uid="{00000000-0005-0000-0000-0000BE6D0000}"/>
    <cellStyle name="Note 14 5 2 4" xfId="28095" xr:uid="{00000000-0005-0000-0000-0000BF6D0000}"/>
    <cellStyle name="Note 14 5 2 5" xfId="28096" xr:uid="{00000000-0005-0000-0000-0000C06D0000}"/>
    <cellStyle name="Note 14 6" xfId="28097" xr:uid="{00000000-0005-0000-0000-0000C16D0000}"/>
    <cellStyle name="Note 14 6 2" xfId="28098" xr:uid="{00000000-0005-0000-0000-0000C26D0000}"/>
    <cellStyle name="Note 14 6 2 2" xfId="28099" xr:uid="{00000000-0005-0000-0000-0000C36D0000}"/>
    <cellStyle name="Note 14 6 2 2 2" xfId="28100" xr:uid="{00000000-0005-0000-0000-0000C46D0000}"/>
    <cellStyle name="Note 14 6 2 2 2 2" xfId="28101" xr:uid="{00000000-0005-0000-0000-0000C56D0000}"/>
    <cellStyle name="Note 14 6 2 2 2 3" xfId="28102" xr:uid="{00000000-0005-0000-0000-0000C66D0000}"/>
    <cellStyle name="Note 14 6 2 2 3" xfId="28103" xr:uid="{00000000-0005-0000-0000-0000C76D0000}"/>
    <cellStyle name="Note 14 6 2 2 4" xfId="28104" xr:uid="{00000000-0005-0000-0000-0000C86D0000}"/>
    <cellStyle name="Note 14 6 2 3" xfId="28105" xr:uid="{00000000-0005-0000-0000-0000C96D0000}"/>
    <cellStyle name="Note 14 6 2 3 2" xfId="28106" xr:uid="{00000000-0005-0000-0000-0000CA6D0000}"/>
    <cellStyle name="Note 14 6 2 3 3" xfId="28107" xr:uid="{00000000-0005-0000-0000-0000CB6D0000}"/>
    <cellStyle name="Note 14 6 2 4" xfId="28108" xr:uid="{00000000-0005-0000-0000-0000CC6D0000}"/>
    <cellStyle name="Note 14 6 2 5" xfId="28109" xr:uid="{00000000-0005-0000-0000-0000CD6D0000}"/>
    <cellStyle name="Note 14 7" xfId="28110" xr:uid="{00000000-0005-0000-0000-0000CE6D0000}"/>
    <cellStyle name="Note 14 7 2" xfId="28111" xr:uid="{00000000-0005-0000-0000-0000CF6D0000}"/>
    <cellStyle name="Note 14 7 2 2" xfId="28112" xr:uid="{00000000-0005-0000-0000-0000D06D0000}"/>
    <cellStyle name="Note 14 7 2 2 2" xfId="28113" xr:uid="{00000000-0005-0000-0000-0000D16D0000}"/>
    <cellStyle name="Note 14 7 2 2 2 2" xfId="28114" xr:uid="{00000000-0005-0000-0000-0000D26D0000}"/>
    <cellStyle name="Note 14 7 2 2 2 3" xfId="28115" xr:uid="{00000000-0005-0000-0000-0000D36D0000}"/>
    <cellStyle name="Note 14 7 2 2 3" xfId="28116" xr:uid="{00000000-0005-0000-0000-0000D46D0000}"/>
    <cellStyle name="Note 14 7 2 2 4" xfId="28117" xr:uid="{00000000-0005-0000-0000-0000D56D0000}"/>
    <cellStyle name="Note 14 7 2 3" xfId="28118" xr:uid="{00000000-0005-0000-0000-0000D66D0000}"/>
    <cellStyle name="Note 14 7 2 3 2" xfId="28119" xr:uid="{00000000-0005-0000-0000-0000D76D0000}"/>
    <cellStyle name="Note 14 7 2 3 3" xfId="28120" xr:uid="{00000000-0005-0000-0000-0000D86D0000}"/>
    <cellStyle name="Note 14 7 2 4" xfId="28121" xr:uid="{00000000-0005-0000-0000-0000D96D0000}"/>
    <cellStyle name="Note 14 7 2 5" xfId="28122" xr:uid="{00000000-0005-0000-0000-0000DA6D0000}"/>
    <cellStyle name="Note 14 8" xfId="28123" xr:uid="{00000000-0005-0000-0000-0000DB6D0000}"/>
    <cellStyle name="Note 14 8 2" xfId="28124" xr:uid="{00000000-0005-0000-0000-0000DC6D0000}"/>
    <cellStyle name="Note 14 8 2 2" xfId="28125" xr:uid="{00000000-0005-0000-0000-0000DD6D0000}"/>
    <cellStyle name="Note 14 8 2 2 2" xfId="28126" xr:uid="{00000000-0005-0000-0000-0000DE6D0000}"/>
    <cellStyle name="Note 14 8 2 2 2 2" xfId="28127" xr:uid="{00000000-0005-0000-0000-0000DF6D0000}"/>
    <cellStyle name="Note 14 8 2 2 2 3" xfId="28128" xr:uid="{00000000-0005-0000-0000-0000E06D0000}"/>
    <cellStyle name="Note 14 8 2 2 3" xfId="28129" xr:uid="{00000000-0005-0000-0000-0000E16D0000}"/>
    <cellStyle name="Note 14 8 2 2 4" xfId="28130" xr:uid="{00000000-0005-0000-0000-0000E26D0000}"/>
    <cellStyle name="Note 14 8 2 3" xfId="28131" xr:uid="{00000000-0005-0000-0000-0000E36D0000}"/>
    <cellStyle name="Note 14 8 2 3 2" xfId="28132" xr:uid="{00000000-0005-0000-0000-0000E46D0000}"/>
    <cellStyle name="Note 14 8 2 3 3" xfId="28133" xr:uid="{00000000-0005-0000-0000-0000E56D0000}"/>
    <cellStyle name="Note 14 8 2 4" xfId="28134" xr:uid="{00000000-0005-0000-0000-0000E66D0000}"/>
    <cellStyle name="Note 14 8 2 5" xfId="28135" xr:uid="{00000000-0005-0000-0000-0000E76D0000}"/>
    <cellStyle name="Note 14 9" xfId="28136" xr:uid="{00000000-0005-0000-0000-0000E86D0000}"/>
    <cellStyle name="Note 14 9 2" xfId="28137" xr:uid="{00000000-0005-0000-0000-0000E96D0000}"/>
    <cellStyle name="Note 14 9 2 2" xfId="28138" xr:uid="{00000000-0005-0000-0000-0000EA6D0000}"/>
    <cellStyle name="Note 14 9 2 2 2" xfId="28139" xr:uid="{00000000-0005-0000-0000-0000EB6D0000}"/>
    <cellStyle name="Note 14 9 2 2 3" xfId="28140" xr:uid="{00000000-0005-0000-0000-0000EC6D0000}"/>
    <cellStyle name="Note 14 9 2 3" xfId="28141" xr:uid="{00000000-0005-0000-0000-0000ED6D0000}"/>
    <cellStyle name="Note 14 9 2 4" xfId="28142" xr:uid="{00000000-0005-0000-0000-0000EE6D0000}"/>
    <cellStyle name="Note 14 9 3" xfId="28143" xr:uid="{00000000-0005-0000-0000-0000EF6D0000}"/>
    <cellStyle name="Note 14 9 3 2" xfId="28144" xr:uid="{00000000-0005-0000-0000-0000F06D0000}"/>
    <cellStyle name="Note 14 9 3 3" xfId="28145" xr:uid="{00000000-0005-0000-0000-0000F16D0000}"/>
    <cellStyle name="Note 14 9 4" xfId="28146" xr:uid="{00000000-0005-0000-0000-0000F26D0000}"/>
    <cellStyle name="Note 14 9 5" xfId="28147" xr:uid="{00000000-0005-0000-0000-0000F36D0000}"/>
    <cellStyle name="Note 15" xfId="28148" xr:uid="{00000000-0005-0000-0000-0000F46D0000}"/>
    <cellStyle name="Note 15 2" xfId="28149" xr:uid="{00000000-0005-0000-0000-0000F56D0000}"/>
    <cellStyle name="Note 15 2 2" xfId="28150" xr:uid="{00000000-0005-0000-0000-0000F66D0000}"/>
    <cellStyle name="Note 15 2 2 2" xfId="28151" xr:uid="{00000000-0005-0000-0000-0000F76D0000}"/>
    <cellStyle name="Note 15 2 2 2 2" xfId="28152" xr:uid="{00000000-0005-0000-0000-0000F86D0000}"/>
    <cellStyle name="Note 15 2 2 2 2 2" xfId="28153" xr:uid="{00000000-0005-0000-0000-0000F96D0000}"/>
    <cellStyle name="Note 15 2 2 2 2 2 2" xfId="28154" xr:uid="{00000000-0005-0000-0000-0000FA6D0000}"/>
    <cellStyle name="Note 15 2 2 2 2 2 3" xfId="28155" xr:uid="{00000000-0005-0000-0000-0000FB6D0000}"/>
    <cellStyle name="Note 15 2 2 2 2 3" xfId="28156" xr:uid="{00000000-0005-0000-0000-0000FC6D0000}"/>
    <cellStyle name="Note 15 2 2 2 2 4" xfId="28157" xr:uid="{00000000-0005-0000-0000-0000FD6D0000}"/>
    <cellStyle name="Note 15 2 2 2 3" xfId="28158" xr:uid="{00000000-0005-0000-0000-0000FE6D0000}"/>
    <cellStyle name="Note 15 2 2 2 3 2" xfId="28159" xr:uid="{00000000-0005-0000-0000-0000FF6D0000}"/>
    <cellStyle name="Note 15 2 2 2 3 3" xfId="28160" xr:uid="{00000000-0005-0000-0000-0000006E0000}"/>
    <cellStyle name="Note 15 2 2 2 4" xfId="28161" xr:uid="{00000000-0005-0000-0000-0000016E0000}"/>
    <cellStyle name="Note 15 2 2 2 5" xfId="28162" xr:uid="{00000000-0005-0000-0000-0000026E0000}"/>
    <cellStyle name="Note 15 2 3" xfId="28163" xr:uid="{00000000-0005-0000-0000-0000036E0000}"/>
    <cellStyle name="Note 15 2 3 2" xfId="28164" xr:uid="{00000000-0005-0000-0000-0000046E0000}"/>
    <cellStyle name="Note 15 2 3 2 2" xfId="28165" xr:uid="{00000000-0005-0000-0000-0000056E0000}"/>
    <cellStyle name="Note 15 2 3 2 2 2" xfId="28166" xr:uid="{00000000-0005-0000-0000-0000066E0000}"/>
    <cellStyle name="Note 15 2 3 2 2 3" xfId="28167" xr:uid="{00000000-0005-0000-0000-0000076E0000}"/>
    <cellStyle name="Note 15 2 3 2 3" xfId="28168" xr:uid="{00000000-0005-0000-0000-0000086E0000}"/>
    <cellStyle name="Note 15 2 3 2 4" xfId="28169" xr:uid="{00000000-0005-0000-0000-0000096E0000}"/>
    <cellStyle name="Note 15 2 3 3" xfId="28170" xr:uid="{00000000-0005-0000-0000-00000A6E0000}"/>
    <cellStyle name="Note 15 2 3 3 2" xfId="28171" xr:uid="{00000000-0005-0000-0000-00000B6E0000}"/>
    <cellStyle name="Note 15 2 3 3 3" xfId="28172" xr:uid="{00000000-0005-0000-0000-00000C6E0000}"/>
    <cellStyle name="Note 15 2 3 4" xfId="28173" xr:uid="{00000000-0005-0000-0000-00000D6E0000}"/>
    <cellStyle name="Note 15 2 3 5" xfId="28174" xr:uid="{00000000-0005-0000-0000-00000E6E0000}"/>
    <cellStyle name="Note 15 3" xfId="28175" xr:uid="{00000000-0005-0000-0000-00000F6E0000}"/>
    <cellStyle name="Note 15 3 2" xfId="28176" xr:uid="{00000000-0005-0000-0000-0000106E0000}"/>
    <cellStyle name="Note 15 3 2 2" xfId="28177" xr:uid="{00000000-0005-0000-0000-0000116E0000}"/>
    <cellStyle name="Note 15 3 2 2 2" xfId="28178" xr:uid="{00000000-0005-0000-0000-0000126E0000}"/>
    <cellStyle name="Note 15 3 2 2 2 2" xfId="28179" xr:uid="{00000000-0005-0000-0000-0000136E0000}"/>
    <cellStyle name="Note 15 3 2 2 2 2 2" xfId="28180" xr:uid="{00000000-0005-0000-0000-0000146E0000}"/>
    <cellStyle name="Note 15 3 2 2 2 2 3" xfId="28181" xr:uid="{00000000-0005-0000-0000-0000156E0000}"/>
    <cellStyle name="Note 15 3 2 2 2 3" xfId="28182" xr:uid="{00000000-0005-0000-0000-0000166E0000}"/>
    <cellStyle name="Note 15 3 2 2 2 4" xfId="28183" xr:uid="{00000000-0005-0000-0000-0000176E0000}"/>
    <cellStyle name="Note 15 3 2 2 3" xfId="28184" xr:uid="{00000000-0005-0000-0000-0000186E0000}"/>
    <cellStyle name="Note 15 3 2 2 3 2" xfId="28185" xr:uid="{00000000-0005-0000-0000-0000196E0000}"/>
    <cellStyle name="Note 15 3 2 2 3 3" xfId="28186" xr:uid="{00000000-0005-0000-0000-00001A6E0000}"/>
    <cellStyle name="Note 15 3 2 2 4" xfId="28187" xr:uid="{00000000-0005-0000-0000-00001B6E0000}"/>
    <cellStyle name="Note 15 3 2 2 5" xfId="28188" xr:uid="{00000000-0005-0000-0000-00001C6E0000}"/>
    <cellStyle name="Note 15 3 3" xfId="28189" xr:uid="{00000000-0005-0000-0000-00001D6E0000}"/>
    <cellStyle name="Note 15 3 3 2" xfId="28190" xr:uid="{00000000-0005-0000-0000-00001E6E0000}"/>
    <cellStyle name="Note 15 3 3 2 2" xfId="28191" xr:uid="{00000000-0005-0000-0000-00001F6E0000}"/>
    <cellStyle name="Note 15 3 3 2 2 2" xfId="28192" xr:uid="{00000000-0005-0000-0000-0000206E0000}"/>
    <cellStyle name="Note 15 3 3 2 2 3" xfId="28193" xr:uid="{00000000-0005-0000-0000-0000216E0000}"/>
    <cellStyle name="Note 15 3 3 2 3" xfId="28194" xr:uid="{00000000-0005-0000-0000-0000226E0000}"/>
    <cellStyle name="Note 15 3 3 2 4" xfId="28195" xr:uid="{00000000-0005-0000-0000-0000236E0000}"/>
    <cellStyle name="Note 15 3 3 3" xfId="28196" xr:uid="{00000000-0005-0000-0000-0000246E0000}"/>
    <cellStyle name="Note 15 3 3 3 2" xfId="28197" xr:uid="{00000000-0005-0000-0000-0000256E0000}"/>
    <cellStyle name="Note 15 3 3 3 3" xfId="28198" xr:uid="{00000000-0005-0000-0000-0000266E0000}"/>
    <cellStyle name="Note 15 3 3 4" xfId="28199" xr:uid="{00000000-0005-0000-0000-0000276E0000}"/>
    <cellStyle name="Note 15 3 3 5" xfId="28200" xr:uid="{00000000-0005-0000-0000-0000286E0000}"/>
    <cellStyle name="Note 15 4" xfId="28201" xr:uid="{00000000-0005-0000-0000-0000296E0000}"/>
    <cellStyle name="Note 15 4 2" xfId="28202" xr:uid="{00000000-0005-0000-0000-00002A6E0000}"/>
    <cellStyle name="Note 15 4 2 2" xfId="28203" xr:uid="{00000000-0005-0000-0000-00002B6E0000}"/>
    <cellStyle name="Note 15 4 2 2 2" xfId="28204" xr:uid="{00000000-0005-0000-0000-00002C6E0000}"/>
    <cellStyle name="Note 15 4 2 2 2 2" xfId="28205" xr:uid="{00000000-0005-0000-0000-00002D6E0000}"/>
    <cellStyle name="Note 15 4 2 2 2 2 2" xfId="28206" xr:uid="{00000000-0005-0000-0000-00002E6E0000}"/>
    <cellStyle name="Note 15 4 2 2 2 2 3" xfId="28207" xr:uid="{00000000-0005-0000-0000-00002F6E0000}"/>
    <cellStyle name="Note 15 4 2 2 2 3" xfId="28208" xr:uid="{00000000-0005-0000-0000-0000306E0000}"/>
    <cellStyle name="Note 15 4 2 2 2 4" xfId="28209" xr:uid="{00000000-0005-0000-0000-0000316E0000}"/>
    <cellStyle name="Note 15 4 2 2 3" xfId="28210" xr:uid="{00000000-0005-0000-0000-0000326E0000}"/>
    <cellStyle name="Note 15 4 2 2 3 2" xfId="28211" xr:uid="{00000000-0005-0000-0000-0000336E0000}"/>
    <cellStyle name="Note 15 4 2 2 3 3" xfId="28212" xr:uid="{00000000-0005-0000-0000-0000346E0000}"/>
    <cellStyle name="Note 15 4 2 2 4" xfId="28213" xr:uid="{00000000-0005-0000-0000-0000356E0000}"/>
    <cellStyle name="Note 15 4 2 2 5" xfId="28214" xr:uid="{00000000-0005-0000-0000-0000366E0000}"/>
    <cellStyle name="Note 15 4 3" xfId="28215" xr:uid="{00000000-0005-0000-0000-0000376E0000}"/>
    <cellStyle name="Note 15 4 3 2" xfId="28216" xr:uid="{00000000-0005-0000-0000-0000386E0000}"/>
    <cellStyle name="Note 15 4 3 2 2" xfId="28217" xr:uid="{00000000-0005-0000-0000-0000396E0000}"/>
    <cellStyle name="Note 15 4 3 2 2 2" xfId="28218" xr:uid="{00000000-0005-0000-0000-00003A6E0000}"/>
    <cellStyle name="Note 15 4 3 2 2 3" xfId="28219" xr:uid="{00000000-0005-0000-0000-00003B6E0000}"/>
    <cellStyle name="Note 15 4 3 2 3" xfId="28220" xr:uid="{00000000-0005-0000-0000-00003C6E0000}"/>
    <cellStyle name="Note 15 4 3 2 4" xfId="28221" xr:uid="{00000000-0005-0000-0000-00003D6E0000}"/>
    <cellStyle name="Note 15 4 3 3" xfId="28222" xr:uid="{00000000-0005-0000-0000-00003E6E0000}"/>
    <cellStyle name="Note 15 4 3 3 2" xfId="28223" xr:uid="{00000000-0005-0000-0000-00003F6E0000}"/>
    <cellStyle name="Note 15 4 3 3 3" xfId="28224" xr:uid="{00000000-0005-0000-0000-0000406E0000}"/>
    <cellStyle name="Note 15 4 3 4" xfId="28225" xr:uid="{00000000-0005-0000-0000-0000416E0000}"/>
    <cellStyle name="Note 15 4 3 5" xfId="28226" xr:uid="{00000000-0005-0000-0000-0000426E0000}"/>
    <cellStyle name="Note 15 5" xfId="28227" xr:uid="{00000000-0005-0000-0000-0000436E0000}"/>
    <cellStyle name="Note 15 5 2" xfId="28228" xr:uid="{00000000-0005-0000-0000-0000446E0000}"/>
    <cellStyle name="Note 15 5 2 2" xfId="28229" xr:uid="{00000000-0005-0000-0000-0000456E0000}"/>
    <cellStyle name="Note 15 5 2 2 2" xfId="28230" xr:uid="{00000000-0005-0000-0000-0000466E0000}"/>
    <cellStyle name="Note 15 5 2 2 2 2" xfId="28231" xr:uid="{00000000-0005-0000-0000-0000476E0000}"/>
    <cellStyle name="Note 15 5 2 2 2 3" xfId="28232" xr:uid="{00000000-0005-0000-0000-0000486E0000}"/>
    <cellStyle name="Note 15 5 2 2 3" xfId="28233" xr:uid="{00000000-0005-0000-0000-0000496E0000}"/>
    <cellStyle name="Note 15 5 2 2 4" xfId="28234" xr:uid="{00000000-0005-0000-0000-00004A6E0000}"/>
    <cellStyle name="Note 15 5 2 3" xfId="28235" xr:uid="{00000000-0005-0000-0000-00004B6E0000}"/>
    <cellStyle name="Note 15 5 2 3 2" xfId="28236" xr:uid="{00000000-0005-0000-0000-00004C6E0000}"/>
    <cellStyle name="Note 15 5 2 3 3" xfId="28237" xr:uid="{00000000-0005-0000-0000-00004D6E0000}"/>
    <cellStyle name="Note 15 5 2 4" xfId="28238" xr:uid="{00000000-0005-0000-0000-00004E6E0000}"/>
    <cellStyle name="Note 15 5 2 5" xfId="28239" xr:uid="{00000000-0005-0000-0000-00004F6E0000}"/>
    <cellStyle name="Note 15 6" xfId="28240" xr:uid="{00000000-0005-0000-0000-0000506E0000}"/>
    <cellStyle name="Note 15 6 2" xfId="28241" xr:uid="{00000000-0005-0000-0000-0000516E0000}"/>
    <cellStyle name="Note 15 6 2 2" xfId="28242" xr:uid="{00000000-0005-0000-0000-0000526E0000}"/>
    <cellStyle name="Note 15 6 2 2 2" xfId="28243" xr:uid="{00000000-0005-0000-0000-0000536E0000}"/>
    <cellStyle name="Note 15 6 2 2 2 2" xfId="28244" xr:uid="{00000000-0005-0000-0000-0000546E0000}"/>
    <cellStyle name="Note 15 6 2 2 2 3" xfId="28245" xr:uid="{00000000-0005-0000-0000-0000556E0000}"/>
    <cellStyle name="Note 15 6 2 2 3" xfId="28246" xr:uid="{00000000-0005-0000-0000-0000566E0000}"/>
    <cellStyle name="Note 15 6 2 2 4" xfId="28247" xr:uid="{00000000-0005-0000-0000-0000576E0000}"/>
    <cellStyle name="Note 15 6 2 3" xfId="28248" xr:uid="{00000000-0005-0000-0000-0000586E0000}"/>
    <cellStyle name="Note 15 6 2 3 2" xfId="28249" xr:uid="{00000000-0005-0000-0000-0000596E0000}"/>
    <cellStyle name="Note 15 6 2 3 3" xfId="28250" xr:uid="{00000000-0005-0000-0000-00005A6E0000}"/>
    <cellStyle name="Note 15 6 2 4" xfId="28251" xr:uid="{00000000-0005-0000-0000-00005B6E0000}"/>
    <cellStyle name="Note 15 6 2 5" xfId="28252" xr:uid="{00000000-0005-0000-0000-00005C6E0000}"/>
    <cellStyle name="Note 15 7" xfId="28253" xr:uid="{00000000-0005-0000-0000-00005D6E0000}"/>
    <cellStyle name="Note 15 7 2" xfId="28254" xr:uid="{00000000-0005-0000-0000-00005E6E0000}"/>
    <cellStyle name="Note 15 7 2 2" xfId="28255" xr:uid="{00000000-0005-0000-0000-00005F6E0000}"/>
    <cellStyle name="Note 15 7 2 2 2" xfId="28256" xr:uid="{00000000-0005-0000-0000-0000606E0000}"/>
    <cellStyle name="Note 15 7 2 2 2 2" xfId="28257" xr:uid="{00000000-0005-0000-0000-0000616E0000}"/>
    <cellStyle name="Note 15 7 2 2 2 3" xfId="28258" xr:uid="{00000000-0005-0000-0000-0000626E0000}"/>
    <cellStyle name="Note 15 7 2 2 3" xfId="28259" xr:uid="{00000000-0005-0000-0000-0000636E0000}"/>
    <cellStyle name="Note 15 7 2 2 4" xfId="28260" xr:uid="{00000000-0005-0000-0000-0000646E0000}"/>
    <cellStyle name="Note 15 7 2 3" xfId="28261" xr:uid="{00000000-0005-0000-0000-0000656E0000}"/>
    <cellStyle name="Note 15 7 2 3 2" xfId="28262" xr:uid="{00000000-0005-0000-0000-0000666E0000}"/>
    <cellStyle name="Note 15 7 2 3 3" xfId="28263" xr:uid="{00000000-0005-0000-0000-0000676E0000}"/>
    <cellStyle name="Note 15 7 2 4" xfId="28264" xr:uid="{00000000-0005-0000-0000-0000686E0000}"/>
    <cellStyle name="Note 15 7 2 5" xfId="28265" xr:uid="{00000000-0005-0000-0000-0000696E0000}"/>
    <cellStyle name="Note 15 8" xfId="28266" xr:uid="{00000000-0005-0000-0000-00006A6E0000}"/>
    <cellStyle name="Note 15 8 2" xfId="28267" xr:uid="{00000000-0005-0000-0000-00006B6E0000}"/>
    <cellStyle name="Note 15 8 2 2" xfId="28268" xr:uid="{00000000-0005-0000-0000-00006C6E0000}"/>
    <cellStyle name="Note 15 8 2 2 2" xfId="28269" xr:uid="{00000000-0005-0000-0000-00006D6E0000}"/>
    <cellStyle name="Note 15 8 2 2 2 2" xfId="28270" xr:uid="{00000000-0005-0000-0000-00006E6E0000}"/>
    <cellStyle name="Note 15 8 2 2 2 3" xfId="28271" xr:uid="{00000000-0005-0000-0000-00006F6E0000}"/>
    <cellStyle name="Note 15 8 2 2 3" xfId="28272" xr:uid="{00000000-0005-0000-0000-0000706E0000}"/>
    <cellStyle name="Note 15 8 2 2 4" xfId="28273" xr:uid="{00000000-0005-0000-0000-0000716E0000}"/>
    <cellStyle name="Note 15 8 2 3" xfId="28274" xr:uid="{00000000-0005-0000-0000-0000726E0000}"/>
    <cellStyle name="Note 15 8 2 3 2" xfId="28275" xr:uid="{00000000-0005-0000-0000-0000736E0000}"/>
    <cellStyle name="Note 15 8 2 3 3" xfId="28276" xr:uid="{00000000-0005-0000-0000-0000746E0000}"/>
    <cellStyle name="Note 15 8 2 4" xfId="28277" xr:uid="{00000000-0005-0000-0000-0000756E0000}"/>
    <cellStyle name="Note 15 8 2 5" xfId="28278" xr:uid="{00000000-0005-0000-0000-0000766E0000}"/>
    <cellStyle name="Note 15 9" xfId="28279" xr:uid="{00000000-0005-0000-0000-0000776E0000}"/>
    <cellStyle name="Note 15 9 2" xfId="28280" xr:uid="{00000000-0005-0000-0000-0000786E0000}"/>
    <cellStyle name="Note 15 9 2 2" xfId="28281" xr:uid="{00000000-0005-0000-0000-0000796E0000}"/>
    <cellStyle name="Note 15 9 2 2 2" xfId="28282" xr:uid="{00000000-0005-0000-0000-00007A6E0000}"/>
    <cellStyle name="Note 15 9 2 2 3" xfId="28283" xr:uid="{00000000-0005-0000-0000-00007B6E0000}"/>
    <cellStyle name="Note 15 9 2 3" xfId="28284" xr:uid="{00000000-0005-0000-0000-00007C6E0000}"/>
    <cellStyle name="Note 15 9 2 4" xfId="28285" xr:uid="{00000000-0005-0000-0000-00007D6E0000}"/>
    <cellStyle name="Note 15 9 3" xfId="28286" xr:uid="{00000000-0005-0000-0000-00007E6E0000}"/>
    <cellStyle name="Note 15 9 3 2" xfId="28287" xr:uid="{00000000-0005-0000-0000-00007F6E0000}"/>
    <cellStyle name="Note 15 9 3 3" xfId="28288" xr:uid="{00000000-0005-0000-0000-0000806E0000}"/>
    <cellStyle name="Note 15 9 4" xfId="28289" xr:uid="{00000000-0005-0000-0000-0000816E0000}"/>
    <cellStyle name="Note 15 9 5" xfId="28290" xr:uid="{00000000-0005-0000-0000-0000826E0000}"/>
    <cellStyle name="Note 16" xfId="28291" xr:uid="{00000000-0005-0000-0000-0000836E0000}"/>
    <cellStyle name="Note 16 2" xfId="28292" xr:uid="{00000000-0005-0000-0000-0000846E0000}"/>
    <cellStyle name="Note 16 2 2" xfId="28293" xr:uid="{00000000-0005-0000-0000-0000856E0000}"/>
    <cellStyle name="Note 16 2 2 2" xfId="28294" xr:uid="{00000000-0005-0000-0000-0000866E0000}"/>
    <cellStyle name="Note 16 2 2 2 2" xfId="28295" xr:uid="{00000000-0005-0000-0000-0000876E0000}"/>
    <cellStyle name="Note 16 2 2 2 2 2" xfId="28296" xr:uid="{00000000-0005-0000-0000-0000886E0000}"/>
    <cellStyle name="Note 16 2 2 2 2 2 2" xfId="28297" xr:uid="{00000000-0005-0000-0000-0000896E0000}"/>
    <cellStyle name="Note 16 2 2 2 2 2 3" xfId="28298" xr:uid="{00000000-0005-0000-0000-00008A6E0000}"/>
    <cellStyle name="Note 16 2 2 2 2 3" xfId="28299" xr:uid="{00000000-0005-0000-0000-00008B6E0000}"/>
    <cellStyle name="Note 16 2 2 2 2 4" xfId="28300" xr:uid="{00000000-0005-0000-0000-00008C6E0000}"/>
    <cellStyle name="Note 16 2 2 2 3" xfId="28301" xr:uid="{00000000-0005-0000-0000-00008D6E0000}"/>
    <cellStyle name="Note 16 2 2 2 3 2" xfId="28302" xr:uid="{00000000-0005-0000-0000-00008E6E0000}"/>
    <cellStyle name="Note 16 2 2 2 3 3" xfId="28303" xr:uid="{00000000-0005-0000-0000-00008F6E0000}"/>
    <cellStyle name="Note 16 2 2 2 4" xfId="28304" xr:uid="{00000000-0005-0000-0000-0000906E0000}"/>
    <cellStyle name="Note 16 2 2 2 5" xfId="28305" xr:uid="{00000000-0005-0000-0000-0000916E0000}"/>
    <cellStyle name="Note 16 2 3" xfId="28306" xr:uid="{00000000-0005-0000-0000-0000926E0000}"/>
    <cellStyle name="Note 16 2 3 2" xfId="28307" xr:uid="{00000000-0005-0000-0000-0000936E0000}"/>
    <cellStyle name="Note 16 2 3 2 2" xfId="28308" xr:uid="{00000000-0005-0000-0000-0000946E0000}"/>
    <cellStyle name="Note 16 2 3 2 2 2" xfId="28309" xr:uid="{00000000-0005-0000-0000-0000956E0000}"/>
    <cellStyle name="Note 16 2 3 2 2 3" xfId="28310" xr:uid="{00000000-0005-0000-0000-0000966E0000}"/>
    <cellStyle name="Note 16 2 3 2 3" xfId="28311" xr:uid="{00000000-0005-0000-0000-0000976E0000}"/>
    <cellStyle name="Note 16 2 3 2 4" xfId="28312" xr:uid="{00000000-0005-0000-0000-0000986E0000}"/>
    <cellStyle name="Note 16 2 3 3" xfId="28313" xr:uid="{00000000-0005-0000-0000-0000996E0000}"/>
    <cellStyle name="Note 16 2 3 3 2" xfId="28314" xr:uid="{00000000-0005-0000-0000-00009A6E0000}"/>
    <cellStyle name="Note 16 2 3 3 3" xfId="28315" xr:uid="{00000000-0005-0000-0000-00009B6E0000}"/>
    <cellStyle name="Note 16 2 3 4" xfId="28316" xr:uid="{00000000-0005-0000-0000-00009C6E0000}"/>
    <cellStyle name="Note 16 2 3 5" xfId="28317" xr:uid="{00000000-0005-0000-0000-00009D6E0000}"/>
    <cellStyle name="Note 16 3" xfId="28318" xr:uid="{00000000-0005-0000-0000-00009E6E0000}"/>
    <cellStyle name="Note 16 3 2" xfId="28319" xr:uid="{00000000-0005-0000-0000-00009F6E0000}"/>
    <cellStyle name="Note 16 3 2 2" xfId="28320" xr:uid="{00000000-0005-0000-0000-0000A06E0000}"/>
    <cellStyle name="Note 16 3 2 2 2" xfId="28321" xr:uid="{00000000-0005-0000-0000-0000A16E0000}"/>
    <cellStyle name="Note 16 3 2 2 2 2" xfId="28322" xr:uid="{00000000-0005-0000-0000-0000A26E0000}"/>
    <cellStyle name="Note 16 3 2 2 2 2 2" xfId="28323" xr:uid="{00000000-0005-0000-0000-0000A36E0000}"/>
    <cellStyle name="Note 16 3 2 2 2 2 3" xfId="28324" xr:uid="{00000000-0005-0000-0000-0000A46E0000}"/>
    <cellStyle name="Note 16 3 2 2 2 3" xfId="28325" xr:uid="{00000000-0005-0000-0000-0000A56E0000}"/>
    <cellStyle name="Note 16 3 2 2 2 4" xfId="28326" xr:uid="{00000000-0005-0000-0000-0000A66E0000}"/>
    <cellStyle name="Note 16 3 2 2 3" xfId="28327" xr:uid="{00000000-0005-0000-0000-0000A76E0000}"/>
    <cellStyle name="Note 16 3 2 2 3 2" xfId="28328" xr:uid="{00000000-0005-0000-0000-0000A86E0000}"/>
    <cellStyle name="Note 16 3 2 2 3 3" xfId="28329" xr:uid="{00000000-0005-0000-0000-0000A96E0000}"/>
    <cellStyle name="Note 16 3 2 2 4" xfId="28330" xr:uid="{00000000-0005-0000-0000-0000AA6E0000}"/>
    <cellStyle name="Note 16 3 2 2 5" xfId="28331" xr:uid="{00000000-0005-0000-0000-0000AB6E0000}"/>
    <cellStyle name="Note 16 3 3" xfId="28332" xr:uid="{00000000-0005-0000-0000-0000AC6E0000}"/>
    <cellStyle name="Note 16 3 3 2" xfId="28333" xr:uid="{00000000-0005-0000-0000-0000AD6E0000}"/>
    <cellStyle name="Note 16 3 3 2 2" xfId="28334" xr:uid="{00000000-0005-0000-0000-0000AE6E0000}"/>
    <cellStyle name="Note 16 3 3 2 2 2" xfId="28335" xr:uid="{00000000-0005-0000-0000-0000AF6E0000}"/>
    <cellStyle name="Note 16 3 3 2 2 3" xfId="28336" xr:uid="{00000000-0005-0000-0000-0000B06E0000}"/>
    <cellStyle name="Note 16 3 3 2 3" xfId="28337" xr:uid="{00000000-0005-0000-0000-0000B16E0000}"/>
    <cellStyle name="Note 16 3 3 2 4" xfId="28338" xr:uid="{00000000-0005-0000-0000-0000B26E0000}"/>
    <cellStyle name="Note 16 3 3 3" xfId="28339" xr:uid="{00000000-0005-0000-0000-0000B36E0000}"/>
    <cellStyle name="Note 16 3 3 3 2" xfId="28340" xr:uid="{00000000-0005-0000-0000-0000B46E0000}"/>
    <cellStyle name="Note 16 3 3 3 3" xfId="28341" xr:uid="{00000000-0005-0000-0000-0000B56E0000}"/>
    <cellStyle name="Note 16 3 3 4" xfId="28342" xr:uid="{00000000-0005-0000-0000-0000B66E0000}"/>
    <cellStyle name="Note 16 3 3 5" xfId="28343" xr:uid="{00000000-0005-0000-0000-0000B76E0000}"/>
    <cellStyle name="Note 16 4" xfId="28344" xr:uid="{00000000-0005-0000-0000-0000B86E0000}"/>
    <cellStyle name="Note 16 4 2" xfId="28345" xr:uid="{00000000-0005-0000-0000-0000B96E0000}"/>
    <cellStyle name="Note 16 4 2 2" xfId="28346" xr:uid="{00000000-0005-0000-0000-0000BA6E0000}"/>
    <cellStyle name="Note 16 4 2 2 2" xfId="28347" xr:uid="{00000000-0005-0000-0000-0000BB6E0000}"/>
    <cellStyle name="Note 16 4 2 2 2 2" xfId="28348" xr:uid="{00000000-0005-0000-0000-0000BC6E0000}"/>
    <cellStyle name="Note 16 4 2 2 2 2 2" xfId="28349" xr:uid="{00000000-0005-0000-0000-0000BD6E0000}"/>
    <cellStyle name="Note 16 4 2 2 2 2 3" xfId="28350" xr:uid="{00000000-0005-0000-0000-0000BE6E0000}"/>
    <cellStyle name="Note 16 4 2 2 2 3" xfId="28351" xr:uid="{00000000-0005-0000-0000-0000BF6E0000}"/>
    <cellStyle name="Note 16 4 2 2 2 4" xfId="28352" xr:uid="{00000000-0005-0000-0000-0000C06E0000}"/>
    <cellStyle name="Note 16 4 2 2 3" xfId="28353" xr:uid="{00000000-0005-0000-0000-0000C16E0000}"/>
    <cellStyle name="Note 16 4 2 2 3 2" xfId="28354" xr:uid="{00000000-0005-0000-0000-0000C26E0000}"/>
    <cellStyle name="Note 16 4 2 2 3 3" xfId="28355" xr:uid="{00000000-0005-0000-0000-0000C36E0000}"/>
    <cellStyle name="Note 16 4 2 2 4" xfId="28356" xr:uid="{00000000-0005-0000-0000-0000C46E0000}"/>
    <cellStyle name="Note 16 4 2 2 5" xfId="28357" xr:uid="{00000000-0005-0000-0000-0000C56E0000}"/>
    <cellStyle name="Note 16 4 3" xfId="28358" xr:uid="{00000000-0005-0000-0000-0000C66E0000}"/>
    <cellStyle name="Note 16 4 3 2" xfId="28359" xr:uid="{00000000-0005-0000-0000-0000C76E0000}"/>
    <cellStyle name="Note 16 4 3 2 2" xfId="28360" xr:uid="{00000000-0005-0000-0000-0000C86E0000}"/>
    <cellStyle name="Note 16 4 3 2 2 2" xfId="28361" xr:uid="{00000000-0005-0000-0000-0000C96E0000}"/>
    <cellStyle name="Note 16 4 3 2 2 3" xfId="28362" xr:uid="{00000000-0005-0000-0000-0000CA6E0000}"/>
    <cellStyle name="Note 16 4 3 2 3" xfId="28363" xr:uid="{00000000-0005-0000-0000-0000CB6E0000}"/>
    <cellStyle name="Note 16 4 3 2 4" xfId="28364" xr:uid="{00000000-0005-0000-0000-0000CC6E0000}"/>
    <cellStyle name="Note 16 4 3 3" xfId="28365" xr:uid="{00000000-0005-0000-0000-0000CD6E0000}"/>
    <cellStyle name="Note 16 4 3 3 2" xfId="28366" xr:uid="{00000000-0005-0000-0000-0000CE6E0000}"/>
    <cellStyle name="Note 16 4 3 3 3" xfId="28367" xr:uid="{00000000-0005-0000-0000-0000CF6E0000}"/>
    <cellStyle name="Note 16 4 3 4" xfId="28368" xr:uid="{00000000-0005-0000-0000-0000D06E0000}"/>
    <cellStyle name="Note 16 4 3 5" xfId="28369" xr:uid="{00000000-0005-0000-0000-0000D16E0000}"/>
    <cellStyle name="Note 16 5" xfId="28370" xr:uid="{00000000-0005-0000-0000-0000D26E0000}"/>
    <cellStyle name="Note 16 5 2" xfId="28371" xr:uid="{00000000-0005-0000-0000-0000D36E0000}"/>
    <cellStyle name="Note 16 5 2 2" xfId="28372" xr:uid="{00000000-0005-0000-0000-0000D46E0000}"/>
    <cellStyle name="Note 16 5 2 2 2" xfId="28373" xr:uid="{00000000-0005-0000-0000-0000D56E0000}"/>
    <cellStyle name="Note 16 5 2 2 2 2" xfId="28374" xr:uid="{00000000-0005-0000-0000-0000D66E0000}"/>
    <cellStyle name="Note 16 5 2 2 2 3" xfId="28375" xr:uid="{00000000-0005-0000-0000-0000D76E0000}"/>
    <cellStyle name="Note 16 5 2 2 3" xfId="28376" xr:uid="{00000000-0005-0000-0000-0000D86E0000}"/>
    <cellStyle name="Note 16 5 2 2 4" xfId="28377" xr:uid="{00000000-0005-0000-0000-0000D96E0000}"/>
    <cellStyle name="Note 16 5 2 3" xfId="28378" xr:uid="{00000000-0005-0000-0000-0000DA6E0000}"/>
    <cellStyle name="Note 16 5 2 3 2" xfId="28379" xr:uid="{00000000-0005-0000-0000-0000DB6E0000}"/>
    <cellStyle name="Note 16 5 2 3 3" xfId="28380" xr:uid="{00000000-0005-0000-0000-0000DC6E0000}"/>
    <cellStyle name="Note 16 5 2 4" xfId="28381" xr:uid="{00000000-0005-0000-0000-0000DD6E0000}"/>
    <cellStyle name="Note 16 5 2 5" xfId="28382" xr:uid="{00000000-0005-0000-0000-0000DE6E0000}"/>
    <cellStyle name="Note 16 6" xfId="28383" xr:uid="{00000000-0005-0000-0000-0000DF6E0000}"/>
    <cellStyle name="Note 16 6 2" xfId="28384" xr:uid="{00000000-0005-0000-0000-0000E06E0000}"/>
    <cellStyle name="Note 16 6 2 2" xfId="28385" xr:uid="{00000000-0005-0000-0000-0000E16E0000}"/>
    <cellStyle name="Note 16 6 2 2 2" xfId="28386" xr:uid="{00000000-0005-0000-0000-0000E26E0000}"/>
    <cellStyle name="Note 16 6 2 2 2 2" xfId="28387" xr:uid="{00000000-0005-0000-0000-0000E36E0000}"/>
    <cellStyle name="Note 16 6 2 2 2 3" xfId="28388" xr:uid="{00000000-0005-0000-0000-0000E46E0000}"/>
    <cellStyle name="Note 16 6 2 2 3" xfId="28389" xr:uid="{00000000-0005-0000-0000-0000E56E0000}"/>
    <cellStyle name="Note 16 6 2 2 4" xfId="28390" xr:uid="{00000000-0005-0000-0000-0000E66E0000}"/>
    <cellStyle name="Note 16 6 2 3" xfId="28391" xr:uid="{00000000-0005-0000-0000-0000E76E0000}"/>
    <cellStyle name="Note 16 6 2 3 2" xfId="28392" xr:uid="{00000000-0005-0000-0000-0000E86E0000}"/>
    <cellStyle name="Note 16 6 2 3 3" xfId="28393" xr:uid="{00000000-0005-0000-0000-0000E96E0000}"/>
    <cellStyle name="Note 16 6 2 4" xfId="28394" xr:uid="{00000000-0005-0000-0000-0000EA6E0000}"/>
    <cellStyle name="Note 16 6 2 5" xfId="28395" xr:uid="{00000000-0005-0000-0000-0000EB6E0000}"/>
    <cellStyle name="Note 16 7" xfId="28396" xr:uid="{00000000-0005-0000-0000-0000EC6E0000}"/>
    <cellStyle name="Note 16 7 2" xfId="28397" xr:uid="{00000000-0005-0000-0000-0000ED6E0000}"/>
    <cellStyle name="Note 16 7 2 2" xfId="28398" xr:uid="{00000000-0005-0000-0000-0000EE6E0000}"/>
    <cellStyle name="Note 16 7 2 2 2" xfId="28399" xr:uid="{00000000-0005-0000-0000-0000EF6E0000}"/>
    <cellStyle name="Note 16 7 2 2 2 2" xfId="28400" xr:uid="{00000000-0005-0000-0000-0000F06E0000}"/>
    <cellStyle name="Note 16 7 2 2 2 3" xfId="28401" xr:uid="{00000000-0005-0000-0000-0000F16E0000}"/>
    <cellStyle name="Note 16 7 2 2 3" xfId="28402" xr:uid="{00000000-0005-0000-0000-0000F26E0000}"/>
    <cellStyle name="Note 16 7 2 2 4" xfId="28403" xr:uid="{00000000-0005-0000-0000-0000F36E0000}"/>
    <cellStyle name="Note 16 7 2 3" xfId="28404" xr:uid="{00000000-0005-0000-0000-0000F46E0000}"/>
    <cellStyle name="Note 16 7 2 3 2" xfId="28405" xr:uid="{00000000-0005-0000-0000-0000F56E0000}"/>
    <cellStyle name="Note 16 7 2 3 3" xfId="28406" xr:uid="{00000000-0005-0000-0000-0000F66E0000}"/>
    <cellStyle name="Note 16 7 2 4" xfId="28407" xr:uid="{00000000-0005-0000-0000-0000F76E0000}"/>
    <cellStyle name="Note 16 7 2 5" xfId="28408" xr:uid="{00000000-0005-0000-0000-0000F86E0000}"/>
    <cellStyle name="Note 16 8" xfId="28409" xr:uid="{00000000-0005-0000-0000-0000F96E0000}"/>
    <cellStyle name="Note 16 8 2" xfId="28410" xr:uid="{00000000-0005-0000-0000-0000FA6E0000}"/>
    <cellStyle name="Note 16 8 2 2" xfId="28411" xr:uid="{00000000-0005-0000-0000-0000FB6E0000}"/>
    <cellStyle name="Note 16 8 2 2 2" xfId="28412" xr:uid="{00000000-0005-0000-0000-0000FC6E0000}"/>
    <cellStyle name="Note 16 8 2 2 2 2" xfId="28413" xr:uid="{00000000-0005-0000-0000-0000FD6E0000}"/>
    <cellStyle name="Note 16 8 2 2 2 3" xfId="28414" xr:uid="{00000000-0005-0000-0000-0000FE6E0000}"/>
    <cellStyle name="Note 16 8 2 2 3" xfId="28415" xr:uid="{00000000-0005-0000-0000-0000FF6E0000}"/>
    <cellStyle name="Note 16 8 2 2 4" xfId="28416" xr:uid="{00000000-0005-0000-0000-0000006F0000}"/>
    <cellStyle name="Note 16 8 2 3" xfId="28417" xr:uid="{00000000-0005-0000-0000-0000016F0000}"/>
    <cellStyle name="Note 16 8 2 3 2" xfId="28418" xr:uid="{00000000-0005-0000-0000-0000026F0000}"/>
    <cellStyle name="Note 16 8 2 3 3" xfId="28419" xr:uid="{00000000-0005-0000-0000-0000036F0000}"/>
    <cellStyle name="Note 16 8 2 4" xfId="28420" xr:uid="{00000000-0005-0000-0000-0000046F0000}"/>
    <cellStyle name="Note 16 8 2 5" xfId="28421" xr:uid="{00000000-0005-0000-0000-0000056F0000}"/>
    <cellStyle name="Note 16 9" xfId="28422" xr:uid="{00000000-0005-0000-0000-0000066F0000}"/>
    <cellStyle name="Note 16 9 2" xfId="28423" xr:uid="{00000000-0005-0000-0000-0000076F0000}"/>
    <cellStyle name="Note 16 9 2 2" xfId="28424" xr:uid="{00000000-0005-0000-0000-0000086F0000}"/>
    <cellStyle name="Note 16 9 2 2 2" xfId="28425" xr:uid="{00000000-0005-0000-0000-0000096F0000}"/>
    <cellStyle name="Note 16 9 2 2 3" xfId="28426" xr:uid="{00000000-0005-0000-0000-00000A6F0000}"/>
    <cellStyle name="Note 16 9 2 3" xfId="28427" xr:uid="{00000000-0005-0000-0000-00000B6F0000}"/>
    <cellStyle name="Note 16 9 2 4" xfId="28428" xr:uid="{00000000-0005-0000-0000-00000C6F0000}"/>
    <cellStyle name="Note 16 9 3" xfId="28429" xr:uid="{00000000-0005-0000-0000-00000D6F0000}"/>
    <cellStyle name="Note 16 9 3 2" xfId="28430" xr:uid="{00000000-0005-0000-0000-00000E6F0000}"/>
    <cellStyle name="Note 16 9 3 3" xfId="28431" xr:uid="{00000000-0005-0000-0000-00000F6F0000}"/>
    <cellStyle name="Note 16 9 4" xfId="28432" xr:uid="{00000000-0005-0000-0000-0000106F0000}"/>
    <cellStyle name="Note 16 9 5" xfId="28433" xr:uid="{00000000-0005-0000-0000-0000116F0000}"/>
    <cellStyle name="Note 17" xfId="28434" xr:uid="{00000000-0005-0000-0000-0000126F0000}"/>
    <cellStyle name="Note 17 2" xfId="28435" xr:uid="{00000000-0005-0000-0000-0000136F0000}"/>
    <cellStyle name="Note 17 2 2" xfId="28436" xr:uid="{00000000-0005-0000-0000-0000146F0000}"/>
    <cellStyle name="Note 17 2 2 2" xfId="28437" xr:uid="{00000000-0005-0000-0000-0000156F0000}"/>
    <cellStyle name="Note 17 2 2 2 2" xfId="28438" xr:uid="{00000000-0005-0000-0000-0000166F0000}"/>
    <cellStyle name="Note 17 2 2 2 2 2" xfId="28439" xr:uid="{00000000-0005-0000-0000-0000176F0000}"/>
    <cellStyle name="Note 17 2 2 2 2 2 2" xfId="28440" xr:uid="{00000000-0005-0000-0000-0000186F0000}"/>
    <cellStyle name="Note 17 2 2 2 2 2 3" xfId="28441" xr:uid="{00000000-0005-0000-0000-0000196F0000}"/>
    <cellStyle name="Note 17 2 2 2 2 3" xfId="28442" xr:uid="{00000000-0005-0000-0000-00001A6F0000}"/>
    <cellStyle name="Note 17 2 2 2 2 4" xfId="28443" xr:uid="{00000000-0005-0000-0000-00001B6F0000}"/>
    <cellStyle name="Note 17 2 2 2 3" xfId="28444" xr:uid="{00000000-0005-0000-0000-00001C6F0000}"/>
    <cellStyle name="Note 17 2 2 2 3 2" xfId="28445" xr:uid="{00000000-0005-0000-0000-00001D6F0000}"/>
    <cellStyle name="Note 17 2 2 2 3 3" xfId="28446" xr:uid="{00000000-0005-0000-0000-00001E6F0000}"/>
    <cellStyle name="Note 17 2 2 2 4" xfId="28447" xr:uid="{00000000-0005-0000-0000-00001F6F0000}"/>
    <cellStyle name="Note 17 2 2 2 5" xfId="28448" xr:uid="{00000000-0005-0000-0000-0000206F0000}"/>
    <cellStyle name="Note 17 2 3" xfId="28449" xr:uid="{00000000-0005-0000-0000-0000216F0000}"/>
    <cellStyle name="Note 17 2 3 2" xfId="28450" xr:uid="{00000000-0005-0000-0000-0000226F0000}"/>
    <cellStyle name="Note 17 2 3 2 2" xfId="28451" xr:uid="{00000000-0005-0000-0000-0000236F0000}"/>
    <cellStyle name="Note 17 2 3 2 2 2" xfId="28452" xr:uid="{00000000-0005-0000-0000-0000246F0000}"/>
    <cellStyle name="Note 17 2 3 2 2 3" xfId="28453" xr:uid="{00000000-0005-0000-0000-0000256F0000}"/>
    <cellStyle name="Note 17 2 3 2 3" xfId="28454" xr:uid="{00000000-0005-0000-0000-0000266F0000}"/>
    <cellStyle name="Note 17 2 3 2 4" xfId="28455" xr:uid="{00000000-0005-0000-0000-0000276F0000}"/>
    <cellStyle name="Note 17 2 3 3" xfId="28456" xr:uid="{00000000-0005-0000-0000-0000286F0000}"/>
    <cellStyle name="Note 17 2 3 3 2" xfId="28457" xr:uid="{00000000-0005-0000-0000-0000296F0000}"/>
    <cellStyle name="Note 17 2 3 3 3" xfId="28458" xr:uid="{00000000-0005-0000-0000-00002A6F0000}"/>
    <cellStyle name="Note 17 2 3 4" xfId="28459" xr:uid="{00000000-0005-0000-0000-00002B6F0000}"/>
    <cellStyle name="Note 17 2 3 5" xfId="28460" xr:uid="{00000000-0005-0000-0000-00002C6F0000}"/>
    <cellStyle name="Note 17 3" xfId="28461" xr:uid="{00000000-0005-0000-0000-00002D6F0000}"/>
    <cellStyle name="Note 17 3 2" xfId="28462" xr:uid="{00000000-0005-0000-0000-00002E6F0000}"/>
    <cellStyle name="Note 17 3 2 2" xfId="28463" xr:uid="{00000000-0005-0000-0000-00002F6F0000}"/>
    <cellStyle name="Note 17 3 2 2 2" xfId="28464" xr:uid="{00000000-0005-0000-0000-0000306F0000}"/>
    <cellStyle name="Note 17 3 2 2 2 2" xfId="28465" xr:uid="{00000000-0005-0000-0000-0000316F0000}"/>
    <cellStyle name="Note 17 3 2 2 2 2 2" xfId="28466" xr:uid="{00000000-0005-0000-0000-0000326F0000}"/>
    <cellStyle name="Note 17 3 2 2 2 2 3" xfId="28467" xr:uid="{00000000-0005-0000-0000-0000336F0000}"/>
    <cellStyle name="Note 17 3 2 2 2 3" xfId="28468" xr:uid="{00000000-0005-0000-0000-0000346F0000}"/>
    <cellStyle name="Note 17 3 2 2 2 4" xfId="28469" xr:uid="{00000000-0005-0000-0000-0000356F0000}"/>
    <cellStyle name="Note 17 3 2 2 3" xfId="28470" xr:uid="{00000000-0005-0000-0000-0000366F0000}"/>
    <cellStyle name="Note 17 3 2 2 3 2" xfId="28471" xr:uid="{00000000-0005-0000-0000-0000376F0000}"/>
    <cellStyle name="Note 17 3 2 2 3 3" xfId="28472" xr:uid="{00000000-0005-0000-0000-0000386F0000}"/>
    <cellStyle name="Note 17 3 2 2 4" xfId="28473" xr:uid="{00000000-0005-0000-0000-0000396F0000}"/>
    <cellStyle name="Note 17 3 2 2 5" xfId="28474" xr:uid="{00000000-0005-0000-0000-00003A6F0000}"/>
    <cellStyle name="Note 17 3 3" xfId="28475" xr:uid="{00000000-0005-0000-0000-00003B6F0000}"/>
    <cellStyle name="Note 17 3 3 2" xfId="28476" xr:uid="{00000000-0005-0000-0000-00003C6F0000}"/>
    <cellStyle name="Note 17 3 3 2 2" xfId="28477" xr:uid="{00000000-0005-0000-0000-00003D6F0000}"/>
    <cellStyle name="Note 17 3 3 2 2 2" xfId="28478" xr:uid="{00000000-0005-0000-0000-00003E6F0000}"/>
    <cellStyle name="Note 17 3 3 2 2 3" xfId="28479" xr:uid="{00000000-0005-0000-0000-00003F6F0000}"/>
    <cellStyle name="Note 17 3 3 2 3" xfId="28480" xr:uid="{00000000-0005-0000-0000-0000406F0000}"/>
    <cellStyle name="Note 17 3 3 2 4" xfId="28481" xr:uid="{00000000-0005-0000-0000-0000416F0000}"/>
    <cellStyle name="Note 17 3 3 3" xfId="28482" xr:uid="{00000000-0005-0000-0000-0000426F0000}"/>
    <cellStyle name="Note 17 3 3 3 2" xfId="28483" xr:uid="{00000000-0005-0000-0000-0000436F0000}"/>
    <cellStyle name="Note 17 3 3 3 3" xfId="28484" xr:uid="{00000000-0005-0000-0000-0000446F0000}"/>
    <cellStyle name="Note 17 3 3 4" xfId="28485" xr:uid="{00000000-0005-0000-0000-0000456F0000}"/>
    <cellStyle name="Note 17 3 3 5" xfId="28486" xr:uid="{00000000-0005-0000-0000-0000466F0000}"/>
    <cellStyle name="Note 17 4" xfId="28487" xr:uid="{00000000-0005-0000-0000-0000476F0000}"/>
    <cellStyle name="Note 17 4 2" xfId="28488" xr:uid="{00000000-0005-0000-0000-0000486F0000}"/>
    <cellStyle name="Note 17 4 2 2" xfId="28489" xr:uid="{00000000-0005-0000-0000-0000496F0000}"/>
    <cellStyle name="Note 17 4 2 2 2" xfId="28490" xr:uid="{00000000-0005-0000-0000-00004A6F0000}"/>
    <cellStyle name="Note 17 4 2 2 2 2" xfId="28491" xr:uid="{00000000-0005-0000-0000-00004B6F0000}"/>
    <cellStyle name="Note 17 4 2 2 2 2 2" xfId="28492" xr:uid="{00000000-0005-0000-0000-00004C6F0000}"/>
    <cellStyle name="Note 17 4 2 2 2 2 3" xfId="28493" xr:uid="{00000000-0005-0000-0000-00004D6F0000}"/>
    <cellStyle name="Note 17 4 2 2 2 3" xfId="28494" xr:uid="{00000000-0005-0000-0000-00004E6F0000}"/>
    <cellStyle name="Note 17 4 2 2 2 4" xfId="28495" xr:uid="{00000000-0005-0000-0000-00004F6F0000}"/>
    <cellStyle name="Note 17 4 2 2 3" xfId="28496" xr:uid="{00000000-0005-0000-0000-0000506F0000}"/>
    <cellStyle name="Note 17 4 2 2 3 2" xfId="28497" xr:uid="{00000000-0005-0000-0000-0000516F0000}"/>
    <cellStyle name="Note 17 4 2 2 3 3" xfId="28498" xr:uid="{00000000-0005-0000-0000-0000526F0000}"/>
    <cellStyle name="Note 17 4 2 2 4" xfId="28499" xr:uid="{00000000-0005-0000-0000-0000536F0000}"/>
    <cellStyle name="Note 17 4 2 2 5" xfId="28500" xr:uid="{00000000-0005-0000-0000-0000546F0000}"/>
    <cellStyle name="Note 17 4 3" xfId="28501" xr:uid="{00000000-0005-0000-0000-0000556F0000}"/>
    <cellStyle name="Note 17 4 3 2" xfId="28502" xr:uid="{00000000-0005-0000-0000-0000566F0000}"/>
    <cellStyle name="Note 17 4 3 2 2" xfId="28503" xr:uid="{00000000-0005-0000-0000-0000576F0000}"/>
    <cellStyle name="Note 17 4 3 2 2 2" xfId="28504" xr:uid="{00000000-0005-0000-0000-0000586F0000}"/>
    <cellStyle name="Note 17 4 3 2 2 3" xfId="28505" xr:uid="{00000000-0005-0000-0000-0000596F0000}"/>
    <cellStyle name="Note 17 4 3 2 3" xfId="28506" xr:uid="{00000000-0005-0000-0000-00005A6F0000}"/>
    <cellStyle name="Note 17 4 3 2 4" xfId="28507" xr:uid="{00000000-0005-0000-0000-00005B6F0000}"/>
    <cellStyle name="Note 17 4 3 3" xfId="28508" xr:uid="{00000000-0005-0000-0000-00005C6F0000}"/>
    <cellStyle name="Note 17 4 3 3 2" xfId="28509" xr:uid="{00000000-0005-0000-0000-00005D6F0000}"/>
    <cellStyle name="Note 17 4 3 3 3" xfId="28510" xr:uid="{00000000-0005-0000-0000-00005E6F0000}"/>
    <cellStyle name="Note 17 4 3 4" xfId="28511" xr:uid="{00000000-0005-0000-0000-00005F6F0000}"/>
    <cellStyle name="Note 17 4 3 5" xfId="28512" xr:uid="{00000000-0005-0000-0000-0000606F0000}"/>
    <cellStyle name="Note 17 5" xfId="28513" xr:uid="{00000000-0005-0000-0000-0000616F0000}"/>
    <cellStyle name="Note 17 5 2" xfId="28514" xr:uid="{00000000-0005-0000-0000-0000626F0000}"/>
    <cellStyle name="Note 17 5 2 2" xfId="28515" xr:uid="{00000000-0005-0000-0000-0000636F0000}"/>
    <cellStyle name="Note 17 5 2 2 2" xfId="28516" xr:uid="{00000000-0005-0000-0000-0000646F0000}"/>
    <cellStyle name="Note 17 5 2 2 2 2" xfId="28517" xr:uid="{00000000-0005-0000-0000-0000656F0000}"/>
    <cellStyle name="Note 17 5 2 2 2 3" xfId="28518" xr:uid="{00000000-0005-0000-0000-0000666F0000}"/>
    <cellStyle name="Note 17 5 2 2 3" xfId="28519" xr:uid="{00000000-0005-0000-0000-0000676F0000}"/>
    <cellStyle name="Note 17 5 2 2 4" xfId="28520" xr:uid="{00000000-0005-0000-0000-0000686F0000}"/>
    <cellStyle name="Note 17 5 2 3" xfId="28521" xr:uid="{00000000-0005-0000-0000-0000696F0000}"/>
    <cellStyle name="Note 17 5 2 3 2" xfId="28522" xr:uid="{00000000-0005-0000-0000-00006A6F0000}"/>
    <cellStyle name="Note 17 5 2 3 3" xfId="28523" xr:uid="{00000000-0005-0000-0000-00006B6F0000}"/>
    <cellStyle name="Note 17 5 2 4" xfId="28524" xr:uid="{00000000-0005-0000-0000-00006C6F0000}"/>
    <cellStyle name="Note 17 5 2 5" xfId="28525" xr:uid="{00000000-0005-0000-0000-00006D6F0000}"/>
    <cellStyle name="Note 17 6" xfId="28526" xr:uid="{00000000-0005-0000-0000-00006E6F0000}"/>
    <cellStyle name="Note 17 6 2" xfId="28527" xr:uid="{00000000-0005-0000-0000-00006F6F0000}"/>
    <cellStyle name="Note 17 6 2 2" xfId="28528" xr:uid="{00000000-0005-0000-0000-0000706F0000}"/>
    <cellStyle name="Note 17 6 2 2 2" xfId="28529" xr:uid="{00000000-0005-0000-0000-0000716F0000}"/>
    <cellStyle name="Note 17 6 2 2 2 2" xfId="28530" xr:uid="{00000000-0005-0000-0000-0000726F0000}"/>
    <cellStyle name="Note 17 6 2 2 2 3" xfId="28531" xr:uid="{00000000-0005-0000-0000-0000736F0000}"/>
    <cellStyle name="Note 17 6 2 2 3" xfId="28532" xr:uid="{00000000-0005-0000-0000-0000746F0000}"/>
    <cellStyle name="Note 17 6 2 2 4" xfId="28533" xr:uid="{00000000-0005-0000-0000-0000756F0000}"/>
    <cellStyle name="Note 17 6 2 3" xfId="28534" xr:uid="{00000000-0005-0000-0000-0000766F0000}"/>
    <cellStyle name="Note 17 6 2 3 2" xfId="28535" xr:uid="{00000000-0005-0000-0000-0000776F0000}"/>
    <cellStyle name="Note 17 6 2 3 3" xfId="28536" xr:uid="{00000000-0005-0000-0000-0000786F0000}"/>
    <cellStyle name="Note 17 6 2 4" xfId="28537" xr:uid="{00000000-0005-0000-0000-0000796F0000}"/>
    <cellStyle name="Note 17 6 2 5" xfId="28538" xr:uid="{00000000-0005-0000-0000-00007A6F0000}"/>
    <cellStyle name="Note 17 7" xfId="28539" xr:uid="{00000000-0005-0000-0000-00007B6F0000}"/>
    <cellStyle name="Note 17 7 2" xfId="28540" xr:uid="{00000000-0005-0000-0000-00007C6F0000}"/>
    <cellStyle name="Note 17 7 2 2" xfId="28541" xr:uid="{00000000-0005-0000-0000-00007D6F0000}"/>
    <cellStyle name="Note 17 7 2 2 2" xfId="28542" xr:uid="{00000000-0005-0000-0000-00007E6F0000}"/>
    <cellStyle name="Note 17 7 2 2 2 2" xfId="28543" xr:uid="{00000000-0005-0000-0000-00007F6F0000}"/>
    <cellStyle name="Note 17 7 2 2 2 3" xfId="28544" xr:uid="{00000000-0005-0000-0000-0000806F0000}"/>
    <cellStyle name="Note 17 7 2 2 3" xfId="28545" xr:uid="{00000000-0005-0000-0000-0000816F0000}"/>
    <cellStyle name="Note 17 7 2 2 4" xfId="28546" xr:uid="{00000000-0005-0000-0000-0000826F0000}"/>
    <cellStyle name="Note 17 7 2 3" xfId="28547" xr:uid="{00000000-0005-0000-0000-0000836F0000}"/>
    <cellStyle name="Note 17 7 2 3 2" xfId="28548" xr:uid="{00000000-0005-0000-0000-0000846F0000}"/>
    <cellStyle name="Note 17 7 2 3 3" xfId="28549" xr:uid="{00000000-0005-0000-0000-0000856F0000}"/>
    <cellStyle name="Note 17 7 2 4" xfId="28550" xr:uid="{00000000-0005-0000-0000-0000866F0000}"/>
    <cellStyle name="Note 17 7 2 5" xfId="28551" xr:uid="{00000000-0005-0000-0000-0000876F0000}"/>
    <cellStyle name="Note 17 8" xfId="28552" xr:uid="{00000000-0005-0000-0000-0000886F0000}"/>
    <cellStyle name="Note 17 8 2" xfId="28553" xr:uid="{00000000-0005-0000-0000-0000896F0000}"/>
    <cellStyle name="Note 17 8 2 2" xfId="28554" xr:uid="{00000000-0005-0000-0000-00008A6F0000}"/>
    <cellStyle name="Note 17 8 2 2 2" xfId="28555" xr:uid="{00000000-0005-0000-0000-00008B6F0000}"/>
    <cellStyle name="Note 17 8 2 2 2 2" xfId="28556" xr:uid="{00000000-0005-0000-0000-00008C6F0000}"/>
    <cellStyle name="Note 17 8 2 2 2 3" xfId="28557" xr:uid="{00000000-0005-0000-0000-00008D6F0000}"/>
    <cellStyle name="Note 17 8 2 2 3" xfId="28558" xr:uid="{00000000-0005-0000-0000-00008E6F0000}"/>
    <cellStyle name="Note 17 8 2 2 4" xfId="28559" xr:uid="{00000000-0005-0000-0000-00008F6F0000}"/>
    <cellStyle name="Note 17 8 2 3" xfId="28560" xr:uid="{00000000-0005-0000-0000-0000906F0000}"/>
    <cellStyle name="Note 17 8 2 3 2" xfId="28561" xr:uid="{00000000-0005-0000-0000-0000916F0000}"/>
    <cellStyle name="Note 17 8 2 3 3" xfId="28562" xr:uid="{00000000-0005-0000-0000-0000926F0000}"/>
    <cellStyle name="Note 17 8 2 4" xfId="28563" xr:uid="{00000000-0005-0000-0000-0000936F0000}"/>
    <cellStyle name="Note 17 8 2 5" xfId="28564" xr:uid="{00000000-0005-0000-0000-0000946F0000}"/>
    <cellStyle name="Note 17 9" xfId="28565" xr:uid="{00000000-0005-0000-0000-0000956F0000}"/>
    <cellStyle name="Note 17 9 2" xfId="28566" xr:uid="{00000000-0005-0000-0000-0000966F0000}"/>
    <cellStyle name="Note 17 9 2 2" xfId="28567" xr:uid="{00000000-0005-0000-0000-0000976F0000}"/>
    <cellStyle name="Note 17 9 2 2 2" xfId="28568" xr:uid="{00000000-0005-0000-0000-0000986F0000}"/>
    <cellStyle name="Note 17 9 2 2 3" xfId="28569" xr:uid="{00000000-0005-0000-0000-0000996F0000}"/>
    <cellStyle name="Note 17 9 2 3" xfId="28570" xr:uid="{00000000-0005-0000-0000-00009A6F0000}"/>
    <cellStyle name="Note 17 9 2 4" xfId="28571" xr:uid="{00000000-0005-0000-0000-00009B6F0000}"/>
    <cellStyle name="Note 17 9 3" xfId="28572" xr:uid="{00000000-0005-0000-0000-00009C6F0000}"/>
    <cellStyle name="Note 17 9 3 2" xfId="28573" xr:uid="{00000000-0005-0000-0000-00009D6F0000}"/>
    <cellStyle name="Note 17 9 3 3" xfId="28574" xr:uid="{00000000-0005-0000-0000-00009E6F0000}"/>
    <cellStyle name="Note 17 9 4" xfId="28575" xr:uid="{00000000-0005-0000-0000-00009F6F0000}"/>
    <cellStyle name="Note 17 9 5" xfId="28576" xr:uid="{00000000-0005-0000-0000-0000A06F0000}"/>
    <cellStyle name="Note 18" xfId="28577" xr:uid="{00000000-0005-0000-0000-0000A16F0000}"/>
    <cellStyle name="Note 18 2" xfId="28578" xr:uid="{00000000-0005-0000-0000-0000A26F0000}"/>
    <cellStyle name="Note 18 2 2" xfId="28579" xr:uid="{00000000-0005-0000-0000-0000A36F0000}"/>
    <cellStyle name="Note 18 2 2 2" xfId="28580" xr:uid="{00000000-0005-0000-0000-0000A46F0000}"/>
    <cellStyle name="Note 18 2 2 2 2" xfId="28581" xr:uid="{00000000-0005-0000-0000-0000A56F0000}"/>
    <cellStyle name="Note 18 2 2 2 2 2" xfId="28582" xr:uid="{00000000-0005-0000-0000-0000A66F0000}"/>
    <cellStyle name="Note 18 2 2 2 2 2 2" xfId="28583" xr:uid="{00000000-0005-0000-0000-0000A76F0000}"/>
    <cellStyle name="Note 18 2 2 2 2 2 3" xfId="28584" xr:uid="{00000000-0005-0000-0000-0000A86F0000}"/>
    <cellStyle name="Note 18 2 2 2 2 3" xfId="28585" xr:uid="{00000000-0005-0000-0000-0000A96F0000}"/>
    <cellStyle name="Note 18 2 2 2 2 4" xfId="28586" xr:uid="{00000000-0005-0000-0000-0000AA6F0000}"/>
    <cellStyle name="Note 18 2 2 2 3" xfId="28587" xr:uid="{00000000-0005-0000-0000-0000AB6F0000}"/>
    <cellStyle name="Note 18 2 2 2 3 2" xfId="28588" xr:uid="{00000000-0005-0000-0000-0000AC6F0000}"/>
    <cellStyle name="Note 18 2 2 2 3 3" xfId="28589" xr:uid="{00000000-0005-0000-0000-0000AD6F0000}"/>
    <cellStyle name="Note 18 2 2 2 4" xfId="28590" xr:uid="{00000000-0005-0000-0000-0000AE6F0000}"/>
    <cellStyle name="Note 18 2 2 2 5" xfId="28591" xr:uid="{00000000-0005-0000-0000-0000AF6F0000}"/>
    <cellStyle name="Note 18 2 3" xfId="28592" xr:uid="{00000000-0005-0000-0000-0000B06F0000}"/>
    <cellStyle name="Note 18 2 3 2" xfId="28593" xr:uid="{00000000-0005-0000-0000-0000B16F0000}"/>
    <cellStyle name="Note 18 2 3 2 2" xfId="28594" xr:uid="{00000000-0005-0000-0000-0000B26F0000}"/>
    <cellStyle name="Note 18 2 3 2 2 2" xfId="28595" xr:uid="{00000000-0005-0000-0000-0000B36F0000}"/>
    <cellStyle name="Note 18 2 3 2 2 3" xfId="28596" xr:uid="{00000000-0005-0000-0000-0000B46F0000}"/>
    <cellStyle name="Note 18 2 3 2 3" xfId="28597" xr:uid="{00000000-0005-0000-0000-0000B56F0000}"/>
    <cellStyle name="Note 18 2 3 2 4" xfId="28598" xr:uid="{00000000-0005-0000-0000-0000B66F0000}"/>
    <cellStyle name="Note 18 2 3 3" xfId="28599" xr:uid="{00000000-0005-0000-0000-0000B76F0000}"/>
    <cellStyle name="Note 18 2 3 3 2" xfId="28600" xr:uid="{00000000-0005-0000-0000-0000B86F0000}"/>
    <cellStyle name="Note 18 2 3 3 3" xfId="28601" xr:uid="{00000000-0005-0000-0000-0000B96F0000}"/>
    <cellStyle name="Note 18 2 3 4" xfId="28602" xr:uid="{00000000-0005-0000-0000-0000BA6F0000}"/>
    <cellStyle name="Note 18 2 3 5" xfId="28603" xr:uid="{00000000-0005-0000-0000-0000BB6F0000}"/>
    <cellStyle name="Note 18 3" xfId="28604" xr:uid="{00000000-0005-0000-0000-0000BC6F0000}"/>
    <cellStyle name="Note 18 3 2" xfId="28605" xr:uid="{00000000-0005-0000-0000-0000BD6F0000}"/>
    <cellStyle name="Note 18 3 2 2" xfId="28606" xr:uid="{00000000-0005-0000-0000-0000BE6F0000}"/>
    <cellStyle name="Note 18 3 2 2 2" xfId="28607" xr:uid="{00000000-0005-0000-0000-0000BF6F0000}"/>
    <cellStyle name="Note 18 3 2 2 2 2" xfId="28608" xr:uid="{00000000-0005-0000-0000-0000C06F0000}"/>
    <cellStyle name="Note 18 3 2 2 2 2 2" xfId="28609" xr:uid="{00000000-0005-0000-0000-0000C16F0000}"/>
    <cellStyle name="Note 18 3 2 2 2 2 3" xfId="28610" xr:uid="{00000000-0005-0000-0000-0000C26F0000}"/>
    <cellStyle name="Note 18 3 2 2 2 3" xfId="28611" xr:uid="{00000000-0005-0000-0000-0000C36F0000}"/>
    <cellStyle name="Note 18 3 2 2 2 4" xfId="28612" xr:uid="{00000000-0005-0000-0000-0000C46F0000}"/>
    <cellStyle name="Note 18 3 2 2 3" xfId="28613" xr:uid="{00000000-0005-0000-0000-0000C56F0000}"/>
    <cellStyle name="Note 18 3 2 2 3 2" xfId="28614" xr:uid="{00000000-0005-0000-0000-0000C66F0000}"/>
    <cellStyle name="Note 18 3 2 2 3 3" xfId="28615" xr:uid="{00000000-0005-0000-0000-0000C76F0000}"/>
    <cellStyle name="Note 18 3 2 2 4" xfId="28616" xr:uid="{00000000-0005-0000-0000-0000C86F0000}"/>
    <cellStyle name="Note 18 3 2 2 5" xfId="28617" xr:uid="{00000000-0005-0000-0000-0000C96F0000}"/>
    <cellStyle name="Note 18 3 3" xfId="28618" xr:uid="{00000000-0005-0000-0000-0000CA6F0000}"/>
    <cellStyle name="Note 18 3 3 2" xfId="28619" xr:uid="{00000000-0005-0000-0000-0000CB6F0000}"/>
    <cellStyle name="Note 18 3 3 2 2" xfId="28620" xr:uid="{00000000-0005-0000-0000-0000CC6F0000}"/>
    <cellStyle name="Note 18 3 3 2 2 2" xfId="28621" xr:uid="{00000000-0005-0000-0000-0000CD6F0000}"/>
    <cellStyle name="Note 18 3 3 2 2 3" xfId="28622" xr:uid="{00000000-0005-0000-0000-0000CE6F0000}"/>
    <cellStyle name="Note 18 3 3 2 3" xfId="28623" xr:uid="{00000000-0005-0000-0000-0000CF6F0000}"/>
    <cellStyle name="Note 18 3 3 2 4" xfId="28624" xr:uid="{00000000-0005-0000-0000-0000D06F0000}"/>
    <cellStyle name="Note 18 3 3 3" xfId="28625" xr:uid="{00000000-0005-0000-0000-0000D16F0000}"/>
    <cellStyle name="Note 18 3 3 3 2" xfId="28626" xr:uid="{00000000-0005-0000-0000-0000D26F0000}"/>
    <cellStyle name="Note 18 3 3 3 3" xfId="28627" xr:uid="{00000000-0005-0000-0000-0000D36F0000}"/>
    <cellStyle name="Note 18 3 3 4" xfId="28628" xr:uid="{00000000-0005-0000-0000-0000D46F0000}"/>
    <cellStyle name="Note 18 3 3 5" xfId="28629" xr:uid="{00000000-0005-0000-0000-0000D56F0000}"/>
    <cellStyle name="Note 18 4" xfId="28630" xr:uid="{00000000-0005-0000-0000-0000D66F0000}"/>
    <cellStyle name="Note 18 4 2" xfId="28631" xr:uid="{00000000-0005-0000-0000-0000D76F0000}"/>
    <cellStyle name="Note 18 4 2 2" xfId="28632" xr:uid="{00000000-0005-0000-0000-0000D86F0000}"/>
    <cellStyle name="Note 18 4 2 2 2" xfId="28633" xr:uid="{00000000-0005-0000-0000-0000D96F0000}"/>
    <cellStyle name="Note 18 4 2 2 2 2" xfId="28634" xr:uid="{00000000-0005-0000-0000-0000DA6F0000}"/>
    <cellStyle name="Note 18 4 2 2 2 2 2" xfId="28635" xr:uid="{00000000-0005-0000-0000-0000DB6F0000}"/>
    <cellStyle name="Note 18 4 2 2 2 2 3" xfId="28636" xr:uid="{00000000-0005-0000-0000-0000DC6F0000}"/>
    <cellStyle name="Note 18 4 2 2 2 3" xfId="28637" xr:uid="{00000000-0005-0000-0000-0000DD6F0000}"/>
    <cellStyle name="Note 18 4 2 2 2 4" xfId="28638" xr:uid="{00000000-0005-0000-0000-0000DE6F0000}"/>
    <cellStyle name="Note 18 4 2 2 3" xfId="28639" xr:uid="{00000000-0005-0000-0000-0000DF6F0000}"/>
    <cellStyle name="Note 18 4 2 2 3 2" xfId="28640" xr:uid="{00000000-0005-0000-0000-0000E06F0000}"/>
    <cellStyle name="Note 18 4 2 2 3 3" xfId="28641" xr:uid="{00000000-0005-0000-0000-0000E16F0000}"/>
    <cellStyle name="Note 18 4 2 2 4" xfId="28642" xr:uid="{00000000-0005-0000-0000-0000E26F0000}"/>
    <cellStyle name="Note 18 4 2 2 5" xfId="28643" xr:uid="{00000000-0005-0000-0000-0000E36F0000}"/>
    <cellStyle name="Note 18 4 3" xfId="28644" xr:uid="{00000000-0005-0000-0000-0000E46F0000}"/>
    <cellStyle name="Note 18 4 3 2" xfId="28645" xr:uid="{00000000-0005-0000-0000-0000E56F0000}"/>
    <cellStyle name="Note 18 4 3 2 2" xfId="28646" xr:uid="{00000000-0005-0000-0000-0000E66F0000}"/>
    <cellStyle name="Note 18 4 3 2 2 2" xfId="28647" xr:uid="{00000000-0005-0000-0000-0000E76F0000}"/>
    <cellStyle name="Note 18 4 3 2 2 3" xfId="28648" xr:uid="{00000000-0005-0000-0000-0000E86F0000}"/>
    <cellStyle name="Note 18 4 3 2 3" xfId="28649" xr:uid="{00000000-0005-0000-0000-0000E96F0000}"/>
    <cellStyle name="Note 18 4 3 2 4" xfId="28650" xr:uid="{00000000-0005-0000-0000-0000EA6F0000}"/>
    <cellStyle name="Note 18 4 3 3" xfId="28651" xr:uid="{00000000-0005-0000-0000-0000EB6F0000}"/>
    <cellStyle name="Note 18 4 3 3 2" xfId="28652" xr:uid="{00000000-0005-0000-0000-0000EC6F0000}"/>
    <cellStyle name="Note 18 4 3 3 3" xfId="28653" xr:uid="{00000000-0005-0000-0000-0000ED6F0000}"/>
    <cellStyle name="Note 18 4 3 4" xfId="28654" xr:uid="{00000000-0005-0000-0000-0000EE6F0000}"/>
    <cellStyle name="Note 18 4 3 5" xfId="28655" xr:uid="{00000000-0005-0000-0000-0000EF6F0000}"/>
    <cellStyle name="Note 18 5" xfId="28656" xr:uid="{00000000-0005-0000-0000-0000F06F0000}"/>
    <cellStyle name="Note 18 5 2" xfId="28657" xr:uid="{00000000-0005-0000-0000-0000F16F0000}"/>
    <cellStyle name="Note 18 5 2 2" xfId="28658" xr:uid="{00000000-0005-0000-0000-0000F26F0000}"/>
    <cellStyle name="Note 18 5 2 2 2" xfId="28659" xr:uid="{00000000-0005-0000-0000-0000F36F0000}"/>
    <cellStyle name="Note 18 5 2 2 2 2" xfId="28660" xr:uid="{00000000-0005-0000-0000-0000F46F0000}"/>
    <cellStyle name="Note 18 5 2 2 2 3" xfId="28661" xr:uid="{00000000-0005-0000-0000-0000F56F0000}"/>
    <cellStyle name="Note 18 5 2 2 3" xfId="28662" xr:uid="{00000000-0005-0000-0000-0000F66F0000}"/>
    <cellStyle name="Note 18 5 2 2 4" xfId="28663" xr:uid="{00000000-0005-0000-0000-0000F76F0000}"/>
    <cellStyle name="Note 18 5 2 3" xfId="28664" xr:uid="{00000000-0005-0000-0000-0000F86F0000}"/>
    <cellStyle name="Note 18 5 2 3 2" xfId="28665" xr:uid="{00000000-0005-0000-0000-0000F96F0000}"/>
    <cellStyle name="Note 18 5 2 3 3" xfId="28666" xr:uid="{00000000-0005-0000-0000-0000FA6F0000}"/>
    <cellStyle name="Note 18 5 2 4" xfId="28667" xr:uid="{00000000-0005-0000-0000-0000FB6F0000}"/>
    <cellStyle name="Note 18 5 2 5" xfId="28668" xr:uid="{00000000-0005-0000-0000-0000FC6F0000}"/>
    <cellStyle name="Note 18 6" xfId="28669" xr:uid="{00000000-0005-0000-0000-0000FD6F0000}"/>
    <cellStyle name="Note 18 6 2" xfId="28670" xr:uid="{00000000-0005-0000-0000-0000FE6F0000}"/>
    <cellStyle name="Note 18 6 2 2" xfId="28671" xr:uid="{00000000-0005-0000-0000-0000FF6F0000}"/>
    <cellStyle name="Note 18 6 2 2 2" xfId="28672" xr:uid="{00000000-0005-0000-0000-000000700000}"/>
    <cellStyle name="Note 18 6 2 2 2 2" xfId="28673" xr:uid="{00000000-0005-0000-0000-000001700000}"/>
    <cellStyle name="Note 18 6 2 2 2 3" xfId="28674" xr:uid="{00000000-0005-0000-0000-000002700000}"/>
    <cellStyle name="Note 18 6 2 2 3" xfId="28675" xr:uid="{00000000-0005-0000-0000-000003700000}"/>
    <cellStyle name="Note 18 6 2 2 4" xfId="28676" xr:uid="{00000000-0005-0000-0000-000004700000}"/>
    <cellStyle name="Note 18 6 2 3" xfId="28677" xr:uid="{00000000-0005-0000-0000-000005700000}"/>
    <cellStyle name="Note 18 6 2 3 2" xfId="28678" xr:uid="{00000000-0005-0000-0000-000006700000}"/>
    <cellStyle name="Note 18 6 2 3 3" xfId="28679" xr:uid="{00000000-0005-0000-0000-000007700000}"/>
    <cellStyle name="Note 18 6 2 4" xfId="28680" xr:uid="{00000000-0005-0000-0000-000008700000}"/>
    <cellStyle name="Note 18 6 2 5" xfId="28681" xr:uid="{00000000-0005-0000-0000-000009700000}"/>
    <cellStyle name="Note 18 7" xfId="28682" xr:uid="{00000000-0005-0000-0000-00000A700000}"/>
    <cellStyle name="Note 18 7 2" xfId="28683" xr:uid="{00000000-0005-0000-0000-00000B700000}"/>
    <cellStyle name="Note 18 7 2 2" xfId="28684" xr:uid="{00000000-0005-0000-0000-00000C700000}"/>
    <cellStyle name="Note 18 7 2 2 2" xfId="28685" xr:uid="{00000000-0005-0000-0000-00000D700000}"/>
    <cellStyle name="Note 18 7 2 2 2 2" xfId="28686" xr:uid="{00000000-0005-0000-0000-00000E700000}"/>
    <cellStyle name="Note 18 7 2 2 2 3" xfId="28687" xr:uid="{00000000-0005-0000-0000-00000F700000}"/>
    <cellStyle name="Note 18 7 2 2 3" xfId="28688" xr:uid="{00000000-0005-0000-0000-000010700000}"/>
    <cellStyle name="Note 18 7 2 2 4" xfId="28689" xr:uid="{00000000-0005-0000-0000-000011700000}"/>
    <cellStyle name="Note 18 7 2 3" xfId="28690" xr:uid="{00000000-0005-0000-0000-000012700000}"/>
    <cellStyle name="Note 18 7 2 3 2" xfId="28691" xr:uid="{00000000-0005-0000-0000-000013700000}"/>
    <cellStyle name="Note 18 7 2 3 3" xfId="28692" xr:uid="{00000000-0005-0000-0000-000014700000}"/>
    <cellStyle name="Note 18 7 2 4" xfId="28693" xr:uid="{00000000-0005-0000-0000-000015700000}"/>
    <cellStyle name="Note 18 7 2 5" xfId="28694" xr:uid="{00000000-0005-0000-0000-000016700000}"/>
    <cellStyle name="Note 18 8" xfId="28695" xr:uid="{00000000-0005-0000-0000-000017700000}"/>
    <cellStyle name="Note 18 8 2" xfId="28696" xr:uid="{00000000-0005-0000-0000-000018700000}"/>
    <cellStyle name="Note 18 8 2 2" xfId="28697" xr:uid="{00000000-0005-0000-0000-000019700000}"/>
    <cellStyle name="Note 18 8 2 2 2" xfId="28698" xr:uid="{00000000-0005-0000-0000-00001A700000}"/>
    <cellStyle name="Note 18 8 2 2 2 2" xfId="28699" xr:uid="{00000000-0005-0000-0000-00001B700000}"/>
    <cellStyle name="Note 18 8 2 2 2 3" xfId="28700" xr:uid="{00000000-0005-0000-0000-00001C700000}"/>
    <cellStyle name="Note 18 8 2 2 3" xfId="28701" xr:uid="{00000000-0005-0000-0000-00001D700000}"/>
    <cellStyle name="Note 18 8 2 2 4" xfId="28702" xr:uid="{00000000-0005-0000-0000-00001E700000}"/>
    <cellStyle name="Note 18 8 2 3" xfId="28703" xr:uid="{00000000-0005-0000-0000-00001F700000}"/>
    <cellStyle name="Note 18 8 2 3 2" xfId="28704" xr:uid="{00000000-0005-0000-0000-000020700000}"/>
    <cellStyle name="Note 18 8 2 3 3" xfId="28705" xr:uid="{00000000-0005-0000-0000-000021700000}"/>
    <cellStyle name="Note 18 8 2 4" xfId="28706" xr:uid="{00000000-0005-0000-0000-000022700000}"/>
    <cellStyle name="Note 18 8 2 5" xfId="28707" xr:uid="{00000000-0005-0000-0000-000023700000}"/>
    <cellStyle name="Note 18 9" xfId="28708" xr:uid="{00000000-0005-0000-0000-000024700000}"/>
    <cellStyle name="Note 18 9 2" xfId="28709" xr:uid="{00000000-0005-0000-0000-000025700000}"/>
    <cellStyle name="Note 18 9 2 2" xfId="28710" xr:uid="{00000000-0005-0000-0000-000026700000}"/>
    <cellStyle name="Note 18 9 2 2 2" xfId="28711" xr:uid="{00000000-0005-0000-0000-000027700000}"/>
    <cellStyle name="Note 18 9 2 2 3" xfId="28712" xr:uid="{00000000-0005-0000-0000-000028700000}"/>
    <cellStyle name="Note 18 9 2 3" xfId="28713" xr:uid="{00000000-0005-0000-0000-000029700000}"/>
    <cellStyle name="Note 18 9 2 4" xfId="28714" xr:uid="{00000000-0005-0000-0000-00002A700000}"/>
    <cellStyle name="Note 18 9 3" xfId="28715" xr:uid="{00000000-0005-0000-0000-00002B700000}"/>
    <cellStyle name="Note 18 9 3 2" xfId="28716" xr:uid="{00000000-0005-0000-0000-00002C700000}"/>
    <cellStyle name="Note 18 9 3 3" xfId="28717" xr:uid="{00000000-0005-0000-0000-00002D700000}"/>
    <cellStyle name="Note 18 9 4" xfId="28718" xr:uid="{00000000-0005-0000-0000-00002E700000}"/>
    <cellStyle name="Note 18 9 5" xfId="28719" xr:uid="{00000000-0005-0000-0000-00002F700000}"/>
    <cellStyle name="Note 19" xfId="28720" xr:uid="{00000000-0005-0000-0000-000030700000}"/>
    <cellStyle name="Note 19 2" xfId="28721" xr:uid="{00000000-0005-0000-0000-000031700000}"/>
    <cellStyle name="Note 19 2 2" xfId="28722" xr:uid="{00000000-0005-0000-0000-000032700000}"/>
    <cellStyle name="Note 19 2 2 2" xfId="28723" xr:uid="{00000000-0005-0000-0000-000033700000}"/>
    <cellStyle name="Note 19 2 2 2 2" xfId="28724" xr:uid="{00000000-0005-0000-0000-000034700000}"/>
    <cellStyle name="Note 19 2 2 2 2 2" xfId="28725" xr:uid="{00000000-0005-0000-0000-000035700000}"/>
    <cellStyle name="Note 19 2 2 2 2 2 2" xfId="28726" xr:uid="{00000000-0005-0000-0000-000036700000}"/>
    <cellStyle name="Note 19 2 2 2 2 2 3" xfId="28727" xr:uid="{00000000-0005-0000-0000-000037700000}"/>
    <cellStyle name="Note 19 2 2 2 2 3" xfId="28728" xr:uid="{00000000-0005-0000-0000-000038700000}"/>
    <cellStyle name="Note 19 2 2 2 2 4" xfId="28729" xr:uid="{00000000-0005-0000-0000-000039700000}"/>
    <cellStyle name="Note 19 2 2 2 3" xfId="28730" xr:uid="{00000000-0005-0000-0000-00003A700000}"/>
    <cellStyle name="Note 19 2 2 2 3 2" xfId="28731" xr:uid="{00000000-0005-0000-0000-00003B700000}"/>
    <cellStyle name="Note 19 2 2 2 3 3" xfId="28732" xr:uid="{00000000-0005-0000-0000-00003C700000}"/>
    <cellStyle name="Note 19 2 2 2 4" xfId="28733" xr:uid="{00000000-0005-0000-0000-00003D700000}"/>
    <cellStyle name="Note 19 2 2 2 5" xfId="28734" xr:uid="{00000000-0005-0000-0000-00003E700000}"/>
    <cellStyle name="Note 19 2 3" xfId="28735" xr:uid="{00000000-0005-0000-0000-00003F700000}"/>
    <cellStyle name="Note 19 2 3 2" xfId="28736" xr:uid="{00000000-0005-0000-0000-000040700000}"/>
    <cellStyle name="Note 19 2 3 2 2" xfId="28737" xr:uid="{00000000-0005-0000-0000-000041700000}"/>
    <cellStyle name="Note 19 2 3 2 2 2" xfId="28738" xr:uid="{00000000-0005-0000-0000-000042700000}"/>
    <cellStyle name="Note 19 2 3 2 2 3" xfId="28739" xr:uid="{00000000-0005-0000-0000-000043700000}"/>
    <cellStyle name="Note 19 2 3 2 3" xfId="28740" xr:uid="{00000000-0005-0000-0000-000044700000}"/>
    <cellStyle name="Note 19 2 3 2 4" xfId="28741" xr:uid="{00000000-0005-0000-0000-000045700000}"/>
    <cellStyle name="Note 19 2 3 3" xfId="28742" xr:uid="{00000000-0005-0000-0000-000046700000}"/>
    <cellStyle name="Note 19 2 3 3 2" xfId="28743" xr:uid="{00000000-0005-0000-0000-000047700000}"/>
    <cellStyle name="Note 19 2 3 3 3" xfId="28744" xr:uid="{00000000-0005-0000-0000-000048700000}"/>
    <cellStyle name="Note 19 2 3 4" xfId="28745" xr:uid="{00000000-0005-0000-0000-000049700000}"/>
    <cellStyle name="Note 19 2 3 5" xfId="28746" xr:uid="{00000000-0005-0000-0000-00004A700000}"/>
    <cellStyle name="Note 19 3" xfId="28747" xr:uid="{00000000-0005-0000-0000-00004B700000}"/>
    <cellStyle name="Note 19 3 2" xfId="28748" xr:uid="{00000000-0005-0000-0000-00004C700000}"/>
    <cellStyle name="Note 19 3 2 2" xfId="28749" xr:uid="{00000000-0005-0000-0000-00004D700000}"/>
    <cellStyle name="Note 19 3 2 2 2" xfId="28750" xr:uid="{00000000-0005-0000-0000-00004E700000}"/>
    <cellStyle name="Note 19 3 2 2 2 2" xfId="28751" xr:uid="{00000000-0005-0000-0000-00004F700000}"/>
    <cellStyle name="Note 19 3 2 2 2 2 2" xfId="28752" xr:uid="{00000000-0005-0000-0000-000050700000}"/>
    <cellStyle name="Note 19 3 2 2 2 2 3" xfId="28753" xr:uid="{00000000-0005-0000-0000-000051700000}"/>
    <cellStyle name="Note 19 3 2 2 2 3" xfId="28754" xr:uid="{00000000-0005-0000-0000-000052700000}"/>
    <cellStyle name="Note 19 3 2 2 2 4" xfId="28755" xr:uid="{00000000-0005-0000-0000-000053700000}"/>
    <cellStyle name="Note 19 3 2 2 3" xfId="28756" xr:uid="{00000000-0005-0000-0000-000054700000}"/>
    <cellStyle name="Note 19 3 2 2 3 2" xfId="28757" xr:uid="{00000000-0005-0000-0000-000055700000}"/>
    <cellStyle name="Note 19 3 2 2 3 3" xfId="28758" xr:uid="{00000000-0005-0000-0000-000056700000}"/>
    <cellStyle name="Note 19 3 2 2 4" xfId="28759" xr:uid="{00000000-0005-0000-0000-000057700000}"/>
    <cellStyle name="Note 19 3 2 2 5" xfId="28760" xr:uid="{00000000-0005-0000-0000-000058700000}"/>
    <cellStyle name="Note 19 3 3" xfId="28761" xr:uid="{00000000-0005-0000-0000-000059700000}"/>
    <cellStyle name="Note 19 3 3 2" xfId="28762" xr:uid="{00000000-0005-0000-0000-00005A700000}"/>
    <cellStyle name="Note 19 3 3 2 2" xfId="28763" xr:uid="{00000000-0005-0000-0000-00005B700000}"/>
    <cellStyle name="Note 19 3 3 2 2 2" xfId="28764" xr:uid="{00000000-0005-0000-0000-00005C700000}"/>
    <cellStyle name="Note 19 3 3 2 2 3" xfId="28765" xr:uid="{00000000-0005-0000-0000-00005D700000}"/>
    <cellStyle name="Note 19 3 3 2 3" xfId="28766" xr:uid="{00000000-0005-0000-0000-00005E700000}"/>
    <cellStyle name="Note 19 3 3 2 4" xfId="28767" xr:uid="{00000000-0005-0000-0000-00005F700000}"/>
    <cellStyle name="Note 19 3 3 3" xfId="28768" xr:uid="{00000000-0005-0000-0000-000060700000}"/>
    <cellStyle name="Note 19 3 3 3 2" xfId="28769" xr:uid="{00000000-0005-0000-0000-000061700000}"/>
    <cellStyle name="Note 19 3 3 3 3" xfId="28770" xr:uid="{00000000-0005-0000-0000-000062700000}"/>
    <cellStyle name="Note 19 3 3 4" xfId="28771" xr:uid="{00000000-0005-0000-0000-000063700000}"/>
    <cellStyle name="Note 19 3 3 5" xfId="28772" xr:uid="{00000000-0005-0000-0000-000064700000}"/>
    <cellStyle name="Note 19 4" xfId="28773" xr:uid="{00000000-0005-0000-0000-000065700000}"/>
    <cellStyle name="Note 19 4 2" xfId="28774" xr:uid="{00000000-0005-0000-0000-000066700000}"/>
    <cellStyle name="Note 19 4 2 2" xfId="28775" xr:uid="{00000000-0005-0000-0000-000067700000}"/>
    <cellStyle name="Note 19 4 2 2 2" xfId="28776" xr:uid="{00000000-0005-0000-0000-000068700000}"/>
    <cellStyle name="Note 19 4 2 2 2 2" xfId="28777" xr:uid="{00000000-0005-0000-0000-000069700000}"/>
    <cellStyle name="Note 19 4 2 2 2 2 2" xfId="28778" xr:uid="{00000000-0005-0000-0000-00006A700000}"/>
    <cellStyle name="Note 19 4 2 2 2 2 3" xfId="28779" xr:uid="{00000000-0005-0000-0000-00006B700000}"/>
    <cellStyle name="Note 19 4 2 2 2 3" xfId="28780" xr:uid="{00000000-0005-0000-0000-00006C700000}"/>
    <cellStyle name="Note 19 4 2 2 2 4" xfId="28781" xr:uid="{00000000-0005-0000-0000-00006D700000}"/>
    <cellStyle name="Note 19 4 2 2 3" xfId="28782" xr:uid="{00000000-0005-0000-0000-00006E700000}"/>
    <cellStyle name="Note 19 4 2 2 3 2" xfId="28783" xr:uid="{00000000-0005-0000-0000-00006F700000}"/>
    <cellStyle name="Note 19 4 2 2 3 3" xfId="28784" xr:uid="{00000000-0005-0000-0000-000070700000}"/>
    <cellStyle name="Note 19 4 2 2 4" xfId="28785" xr:uid="{00000000-0005-0000-0000-000071700000}"/>
    <cellStyle name="Note 19 4 2 2 5" xfId="28786" xr:uid="{00000000-0005-0000-0000-000072700000}"/>
    <cellStyle name="Note 19 4 3" xfId="28787" xr:uid="{00000000-0005-0000-0000-000073700000}"/>
    <cellStyle name="Note 19 4 3 2" xfId="28788" xr:uid="{00000000-0005-0000-0000-000074700000}"/>
    <cellStyle name="Note 19 4 3 2 2" xfId="28789" xr:uid="{00000000-0005-0000-0000-000075700000}"/>
    <cellStyle name="Note 19 4 3 2 2 2" xfId="28790" xr:uid="{00000000-0005-0000-0000-000076700000}"/>
    <cellStyle name="Note 19 4 3 2 2 3" xfId="28791" xr:uid="{00000000-0005-0000-0000-000077700000}"/>
    <cellStyle name="Note 19 4 3 2 3" xfId="28792" xr:uid="{00000000-0005-0000-0000-000078700000}"/>
    <cellStyle name="Note 19 4 3 2 4" xfId="28793" xr:uid="{00000000-0005-0000-0000-000079700000}"/>
    <cellStyle name="Note 19 4 3 3" xfId="28794" xr:uid="{00000000-0005-0000-0000-00007A700000}"/>
    <cellStyle name="Note 19 4 3 3 2" xfId="28795" xr:uid="{00000000-0005-0000-0000-00007B700000}"/>
    <cellStyle name="Note 19 4 3 3 3" xfId="28796" xr:uid="{00000000-0005-0000-0000-00007C700000}"/>
    <cellStyle name="Note 19 4 3 4" xfId="28797" xr:uid="{00000000-0005-0000-0000-00007D700000}"/>
    <cellStyle name="Note 19 4 3 5" xfId="28798" xr:uid="{00000000-0005-0000-0000-00007E700000}"/>
    <cellStyle name="Note 19 5" xfId="28799" xr:uid="{00000000-0005-0000-0000-00007F700000}"/>
    <cellStyle name="Note 19 5 2" xfId="28800" xr:uid="{00000000-0005-0000-0000-000080700000}"/>
    <cellStyle name="Note 19 5 2 2" xfId="28801" xr:uid="{00000000-0005-0000-0000-000081700000}"/>
    <cellStyle name="Note 19 5 2 2 2" xfId="28802" xr:uid="{00000000-0005-0000-0000-000082700000}"/>
    <cellStyle name="Note 19 5 2 2 2 2" xfId="28803" xr:uid="{00000000-0005-0000-0000-000083700000}"/>
    <cellStyle name="Note 19 5 2 2 2 3" xfId="28804" xr:uid="{00000000-0005-0000-0000-000084700000}"/>
    <cellStyle name="Note 19 5 2 2 3" xfId="28805" xr:uid="{00000000-0005-0000-0000-000085700000}"/>
    <cellStyle name="Note 19 5 2 2 4" xfId="28806" xr:uid="{00000000-0005-0000-0000-000086700000}"/>
    <cellStyle name="Note 19 5 2 3" xfId="28807" xr:uid="{00000000-0005-0000-0000-000087700000}"/>
    <cellStyle name="Note 19 5 2 3 2" xfId="28808" xr:uid="{00000000-0005-0000-0000-000088700000}"/>
    <cellStyle name="Note 19 5 2 3 3" xfId="28809" xr:uid="{00000000-0005-0000-0000-000089700000}"/>
    <cellStyle name="Note 19 5 2 4" xfId="28810" xr:uid="{00000000-0005-0000-0000-00008A700000}"/>
    <cellStyle name="Note 19 5 2 5" xfId="28811" xr:uid="{00000000-0005-0000-0000-00008B700000}"/>
    <cellStyle name="Note 19 6" xfId="28812" xr:uid="{00000000-0005-0000-0000-00008C700000}"/>
    <cellStyle name="Note 19 6 2" xfId="28813" xr:uid="{00000000-0005-0000-0000-00008D700000}"/>
    <cellStyle name="Note 19 6 2 2" xfId="28814" xr:uid="{00000000-0005-0000-0000-00008E700000}"/>
    <cellStyle name="Note 19 6 2 2 2" xfId="28815" xr:uid="{00000000-0005-0000-0000-00008F700000}"/>
    <cellStyle name="Note 19 6 2 2 2 2" xfId="28816" xr:uid="{00000000-0005-0000-0000-000090700000}"/>
    <cellStyle name="Note 19 6 2 2 2 3" xfId="28817" xr:uid="{00000000-0005-0000-0000-000091700000}"/>
    <cellStyle name="Note 19 6 2 2 3" xfId="28818" xr:uid="{00000000-0005-0000-0000-000092700000}"/>
    <cellStyle name="Note 19 6 2 2 4" xfId="28819" xr:uid="{00000000-0005-0000-0000-000093700000}"/>
    <cellStyle name="Note 19 6 2 3" xfId="28820" xr:uid="{00000000-0005-0000-0000-000094700000}"/>
    <cellStyle name="Note 19 6 2 3 2" xfId="28821" xr:uid="{00000000-0005-0000-0000-000095700000}"/>
    <cellStyle name="Note 19 6 2 3 3" xfId="28822" xr:uid="{00000000-0005-0000-0000-000096700000}"/>
    <cellStyle name="Note 19 6 2 4" xfId="28823" xr:uid="{00000000-0005-0000-0000-000097700000}"/>
    <cellStyle name="Note 19 6 2 5" xfId="28824" xr:uid="{00000000-0005-0000-0000-000098700000}"/>
    <cellStyle name="Note 19 7" xfId="28825" xr:uid="{00000000-0005-0000-0000-000099700000}"/>
    <cellStyle name="Note 19 7 2" xfId="28826" xr:uid="{00000000-0005-0000-0000-00009A700000}"/>
    <cellStyle name="Note 19 7 2 2" xfId="28827" xr:uid="{00000000-0005-0000-0000-00009B700000}"/>
    <cellStyle name="Note 19 7 2 2 2" xfId="28828" xr:uid="{00000000-0005-0000-0000-00009C700000}"/>
    <cellStyle name="Note 19 7 2 2 2 2" xfId="28829" xr:uid="{00000000-0005-0000-0000-00009D700000}"/>
    <cellStyle name="Note 19 7 2 2 2 3" xfId="28830" xr:uid="{00000000-0005-0000-0000-00009E700000}"/>
    <cellStyle name="Note 19 7 2 2 3" xfId="28831" xr:uid="{00000000-0005-0000-0000-00009F700000}"/>
    <cellStyle name="Note 19 7 2 2 4" xfId="28832" xr:uid="{00000000-0005-0000-0000-0000A0700000}"/>
    <cellStyle name="Note 19 7 2 3" xfId="28833" xr:uid="{00000000-0005-0000-0000-0000A1700000}"/>
    <cellStyle name="Note 19 7 2 3 2" xfId="28834" xr:uid="{00000000-0005-0000-0000-0000A2700000}"/>
    <cellStyle name="Note 19 7 2 3 3" xfId="28835" xr:uid="{00000000-0005-0000-0000-0000A3700000}"/>
    <cellStyle name="Note 19 7 2 4" xfId="28836" xr:uid="{00000000-0005-0000-0000-0000A4700000}"/>
    <cellStyle name="Note 19 7 2 5" xfId="28837" xr:uid="{00000000-0005-0000-0000-0000A5700000}"/>
    <cellStyle name="Note 19 8" xfId="28838" xr:uid="{00000000-0005-0000-0000-0000A6700000}"/>
    <cellStyle name="Note 19 8 2" xfId="28839" xr:uid="{00000000-0005-0000-0000-0000A7700000}"/>
    <cellStyle name="Note 19 8 2 2" xfId="28840" xr:uid="{00000000-0005-0000-0000-0000A8700000}"/>
    <cellStyle name="Note 19 8 2 2 2" xfId="28841" xr:uid="{00000000-0005-0000-0000-0000A9700000}"/>
    <cellStyle name="Note 19 8 2 2 2 2" xfId="28842" xr:uid="{00000000-0005-0000-0000-0000AA700000}"/>
    <cellStyle name="Note 19 8 2 2 2 3" xfId="28843" xr:uid="{00000000-0005-0000-0000-0000AB700000}"/>
    <cellStyle name="Note 19 8 2 2 3" xfId="28844" xr:uid="{00000000-0005-0000-0000-0000AC700000}"/>
    <cellStyle name="Note 19 8 2 2 4" xfId="28845" xr:uid="{00000000-0005-0000-0000-0000AD700000}"/>
    <cellStyle name="Note 19 8 2 3" xfId="28846" xr:uid="{00000000-0005-0000-0000-0000AE700000}"/>
    <cellStyle name="Note 19 8 2 3 2" xfId="28847" xr:uid="{00000000-0005-0000-0000-0000AF700000}"/>
    <cellStyle name="Note 19 8 2 3 3" xfId="28848" xr:uid="{00000000-0005-0000-0000-0000B0700000}"/>
    <cellStyle name="Note 19 8 2 4" xfId="28849" xr:uid="{00000000-0005-0000-0000-0000B1700000}"/>
    <cellStyle name="Note 19 8 2 5" xfId="28850" xr:uid="{00000000-0005-0000-0000-0000B2700000}"/>
    <cellStyle name="Note 19 9" xfId="28851" xr:uid="{00000000-0005-0000-0000-0000B3700000}"/>
    <cellStyle name="Note 19 9 2" xfId="28852" xr:uid="{00000000-0005-0000-0000-0000B4700000}"/>
    <cellStyle name="Note 19 9 2 2" xfId="28853" xr:uid="{00000000-0005-0000-0000-0000B5700000}"/>
    <cellStyle name="Note 19 9 2 2 2" xfId="28854" xr:uid="{00000000-0005-0000-0000-0000B6700000}"/>
    <cellStyle name="Note 19 9 2 2 3" xfId="28855" xr:uid="{00000000-0005-0000-0000-0000B7700000}"/>
    <cellStyle name="Note 19 9 2 3" xfId="28856" xr:uid="{00000000-0005-0000-0000-0000B8700000}"/>
    <cellStyle name="Note 19 9 2 4" xfId="28857" xr:uid="{00000000-0005-0000-0000-0000B9700000}"/>
    <cellStyle name="Note 19 9 3" xfId="28858" xr:uid="{00000000-0005-0000-0000-0000BA700000}"/>
    <cellStyle name="Note 19 9 3 2" xfId="28859" xr:uid="{00000000-0005-0000-0000-0000BB700000}"/>
    <cellStyle name="Note 19 9 3 3" xfId="28860" xr:uid="{00000000-0005-0000-0000-0000BC700000}"/>
    <cellStyle name="Note 19 9 4" xfId="28861" xr:uid="{00000000-0005-0000-0000-0000BD700000}"/>
    <cellStyle name="Note 19 9 5" xfId="28862" xr:uid="{00000000-0005-0000-0000-0000BE700000}"/>
    <cellStyle name="Note 2" xfId="28863" xr:uid="{00000000-0005-0000-0000-0000BF700000}"/>
    <cellStyle name="Note 2 10" xfId="28864" xr:uid="{00000000-0005-0000-0000-0000C0700000}"/>
    <cellStyle name="Note 2 10 2" xfId="28865" xr:uid="{00000000-0005-0000-0000-0000C1700000}"/>
    <cellStyle name="Note 2 10 2 2" xfId="28866" xr:uid="{00000000-0005-0000-0000-0000C2700000}"/>
    <cellStyle name="Note 2 10 2 2 2" xfId="28867" xr:uid="{00000000-0005-0000-0000-0000C3700000}"/>
    <cellStyle name="Note 2 10 2 2 2 2" xfId="28868" xr:uid="{00000000-0005-0000-0000-0000C4700000}"/>
    <cellStyle name="Note 2 10 2 2 2 2 2" xfId="28869" xr:uid="{00000000-0005-0000-0000-0000C5700000}"/>
    <cellStyle name="Note 2 10 2 2 2 2 3" xfId="28870" xr:uid="{00000000-0005-0000-0000-0000C6700000}"/>
    <cellStyle name="Note 2 10 2 2 2 3" xfId="28871" xr:uid="{00000000-0005-0000-0000-0000C7700000}"/>
    <cellStyle name="Note 2 10 2 2 2 4" xfId="28872" xr:uid="{00000000-0005-0000-0000-0000C8700000}"/>
    <cellStyle name="Note 2 10 2 2 3" xfId="28873" xr:uid="{00000000-0005-0000-0000-0000C9700000}"/>
    <cellStyle name="Note 2 10 2 2 3 2" xfId="28874" xr:uid="{00000000-0005-0000-0000-0000CA700000}"/>
    <cellStyle name="Note 2 10 2 2 3 3" xfId="28875" xr:uid="{00000000-0005-0000-0000-0000CB700000}"/>
    <cellStyle name="Note 2 10 2 2 4" xfId="28876" xr:uid="{00000000-0005-0000-0000-0000CC700000}"/>
    <cellStyle name="Note 2 10 2 2 5" xfId="28877" xr:uid="{00000000-0005-0000-0000-0000CD700000}"/>
    <cellStyle name="Note 2 10 3" xfId="28878" xr:uid="{00000000-0005-0000-0000-0000CE700000}"/>
    <cellStyle name="Note 2 10 3 2" xfId="28879" xr:uid="{00000000-0005-0000-0000-0000CF700000}"/>
    <cellStyle name="Note 2 10 3 2 2" xfId="28880" xr:uid="{00000000-0005-0000-0000-0000D0700000}"/>
    <cellStyle name="Note 2 10 3 2 2 2" xfId="28881" xr:uid="{00000000-0005-0000-0000-0000D1700000}"/>
    <cellStyle name="Note 2 10 3 2 2 3" xfId="28882" xr:uid="{00000000-0005-0000-0000-0000D2700000}"/>
    <cellStyle name="Note 2 10 3 2 3" xfId="28883" xr:uid="{00000000-0005-0000-0000-0000D3700000}"/>
    <cellStyle name="Note 2 10 3 2 4" xfId="28884" xr:uid="{00000000-0005-0000-0000-0000D4700000}"/>
    <cellStyle name="Note 2 10 3 3" xfId="28885" xr:uid="{00000000-0005-0000-0000-0000D5700000}"/>
    <cellStyle name="Note 2 10 3 3 2" xfId="28886" xr:uid="{00000000-0005-0000-0000-0000D6700000}"/>
    <cellStyle name="Note 2 10 3 3 3" xfId="28887" xr:uid="{00000000-0005-0000-0000-0000D7700000}"/>
    <cellStyle name="Note 2 10 3 4" xfId="28888" xr:uid="{00000000-0005-0000-0000-0000D8700000}"/>
    <cellStyle name="Note 2 10 3 5" xfId="28889" xr:uid="{00000000-0005-0000-0000-0000D9700000}"/>
    <cellStyle name="Note 2 11" xfId="28890" xr:uid="{00000000-0005-0000-0000-0000DA700000}"/>
    <cellStyle name="Note 2 11 2" xfId="28891" xr:uid="{00000000-0005-0000-0000-0000DB700000}"/>
    <cellStyle name="Note 2 11 2 2" xfId="28892" xr:uid="{00000000-0005-0000-0000-0000DC700000}"/>
    <cellStyle name="Note 2 11 2 2 2" xfId="28893" xr:uid="{00000000-0005-0000-0000-0000DD700000}"/>
    <cellStyle name="Note 2 11 2 2 2 2" xfId="28894" xr:uid="{00000000-0005-0000-0000-0000DE700000}"/>
    <cellStyle name="Note 2 11 2 2 2 2 2" xfId="28895" xr:uid="{00000000-0005-0000-0000-0000DF700000}"/>
    <cellStyle name="Note 2 11 2 2 2 2 3" xfId="28896" xr:uid="{00000000-0005-0000-0000-0000E0700000}"/>
    <cellStyle name="Note 2 11 2 2 2 3" xfId="28897" xr:uid="{00000000-0005-0000-0000-0000E1700000}"/>
    <cellStyle name="Note 2 11 2 2 2 4" xfId="28898" xr:uid="{00000000-0005-0000-0000-0000E2700000}"/>
    <cellStyle name="Note 2 11 2 2 3" xfId="28899" xr:uid="{00000000-0005-0000-0000-0000E3700000}"/>
    <cellStyle name="Note 2 11 2 2 3 2" xfId="28900" xr:uid="{00000000-0005-0000-0000-0000E4700000}"/>
    <cellStyle name="Note 2 11 2 2 3 3" xfId="28901" xr:uid="{00000000-0005-0000-0000-0000E5700000}"/>
    <cellStyle name="Note 2 11 2 2 4" xfId="28902" xr:uid="{00000000-0005-0000-0000-0000E6700000}"/>
    <cellStyle name="Note 2 11 2 2 5" xfId="28903" xr:uid="{00000000-0005-0000-0000-0000E7700000}"/>
    <cellStyle name="Note 2 11 3" xfId="28904" xr:uid="{00000000-0005-0000-0000-0000E8700000}"/>
    <cellStyle name="Note 2 11 3 2" xfId="28905" xr:uid="{00000000-0005-0000-0000-0000E9700000}"/>
    <cellStyle name="Note 2 11 3 2 2" xfId="28906" xr:uid="{00000000-0005-0000-0000-0000EA700000}"/>
    <cellStyle name="Note 2 11 3 2 2 2" xfId="28907" xr:uid="{00000000-0005-0000-0000-0000EB700000}"/>
    <cellStyle name="Note 2 11 3 2 2 3" xfId="28908" xr:uid="{00000000-0005-0000-0000-0000EC700000}"/>
    <cellStyle name="Note 2 11 3 2 3" xfId="28909" xr:uid="{00000000-0005-0000-0000-0000ED700000}"/>
    <cellStyle name="Note 2 11 3 2 4" xfId="28910" xr:uid="{00000000-0005-0000-0000-0000EE700000}"/>
    <cellStyle name="Note 2 11 3 3" xfId="28911" xr:uid="{00000000-0005-0000-0000-0000EF700000}"/>
    <cellStyle name="Note 2 11 3 3 2" xfId="28912" xr:uid="{00000000-0005-0000-0000-0000F0700000}"/>
    <cellStyle name="Note 2 11 3 3 3" xfId="28913" xr:uid="{00000000-0005-0000-0000-0000F1700000}"/>
    <cellStyle name="Note 2 11 3 4" xfId="28914" xr:uid="{00000000-0005-0000-0000-0000F2700000}"/>
    <cellStyle name="Note 2 11 3 5" xfId="28915" xr:uid="{00000000-0005-0000-0000-0000F3700000}"/>
    <cellStyle name="Note 2 12" xfId="28916" xr:uid="{00000000-0005-0000-0000-0000F4700000}"/>
    <cellStyle name="Note 2 12 2" xfId="28917" xr:uid="{00000000-0005-0000-0000-0000F5700000}"/>
    <cellStyle name="Note 2 12 2 2" xfId="28918" xr:uid="{00000000-0005-0000-0000-0000F6700000}"/>
    <cellStyle name="Note 2 12 2 2 2" xfId="28919" xr:uid="{00000000-0005-0000-0000-0000F7700000}"/>
    <cellStyle name="Note 2 12 2 2 2 2" xfId="28920" xr:uid="{00000000-0005-0000-0000-0000F8700000}"/>
    <cellStyle name="Note 2 12 2 2 2 2 2" xfId="28921" xr:uid="{00000000-0005-0000-0000-0000F9700000}"/>
    <cellStyle name="Note 2 12 2 2 2 2 3" xfId="28922" xr:uid="{00000000-0005-0000-0000-0000FA700000}"/>
    <cellStyle name="Note 2 12 2 2 2 3" xfId="28923" xr:uid="{00000000-0005-0000-0000-0000FB700000}"/>
    <cellStyle name="Note 2 12 2 2 2 4" xfId="28924" xr:uid="{00000000-0005-0000-0000-0000FC700000}"/>
    <cellStyle name="Note 2 12 2 2 3" xfId="28925" xr:uid="{00000000-0005-0000-0000-0000FD700000}"/>
    <cellStyle name="Note 2 12 2 2 3 2" xfId="28926" xr:uid="{00000000-0005-0000-0000-0000FE700000}"/>
    <cellStyle name="Note 2 12 2 2 3 3" xfId="28927" xr:uid="{00000000-0005-0000-0000-0000FF700000}"/>
    <cellStyle name="Note 2 12 2 2 4" xfId="28928" xr:uid="{00000000-0005-0000-0000-000000710000}"/>
    <cellStyle name="Note 2 12 2 2 5" xfId="28929" xr:uid="{00000000-0005-0000-0000-000001710000}"/>
    <cellStyle name="Note 2 12 3" xfId="28930" xr:uid="{00000000-0005-0000-0000-000002710000}"/>
    <cellStyle name="Note 2 12 3 2" xfId="28931" xr:uid="{00000000-0005-0000-0000-000003710000}"/>
    <cellStyle name="Note 2 12 3 2 2" xfId="28932" xr:uid="{00000000-0005-0000-0000-000004710000}"/>
    <cellStyle name="Note 2 12 3 2 2 2" xfId="28933" xr:uid="{00000000-0005-0000-0000-000005710000}"/>
    <cellStyle name="Note 2 12 3 2 2 3" xfId="28934" xr:uid="{00000000-0005-0000-0000-000006710000}"/>
    <cellStyle name="Note 2 12 3 2 3" xfId="28935" xr:uid="{00000000-0005-0000-0000-000007710000}"/>
    <cellStyle name="Note 2 12 3 2 4" xfId="28936" xr:uid="{00000000-0005-0000-0000-000008710000}"/>
    <cellStyle name="Note 2 12 3 3" xfId="28937" xr:uid="{00000000-0005-0000-0000-000009710000}"/>
    <cellStyle name="Note 2 12 3 3 2" xfId="28938" xr:uid="{00000000-0005-0000-0000-00000A710000}"/>
    <cellStyle name="Note 2 12 3 3 3" xfId="28939" xr:uid="{00000000-0005-0000-0000-00000B710000}"/>
    <cellStyle name="Note 2 12 3 4" xfId="28940" xr:uid="{00000000-0005-0000-0000-00000C710000}"/>
    <cellStyle name="Note 2 12 3 5" xfId="28941" xr:uid="{00000000-0005-0000-0000-00000D710000}"/>
    <cellStyle name="Note 2 13" xfId="28942" xr:uid="{00000000-0005-0000-0000-00000E710000}"/>
    <cellStyle name="Note 2 13 2" xfId="28943" xr:uid="{00000000-0005-0000-0000-00000F710000}"/>
    <cellStyle name="Note 2 13 2 2" xfId="28944" xr:uid="{00000000-0005-0000-0000-000010710000}"/>
    <cellStyle name="Note 2 13 2 2 2" xfId="28945" xr:uid="{00000000-0005-0000-0000-000011710000}"/>
    <cellStyle name="Note 2 13 2 2 2 2" xfId="28946" xr:uid="{00000000-0005-0000-0000-000012710000}"/>
    <cellStyle name="Note 2 13 2 2 2 2 2" xfId="28947" xr:uid="{00000000-0005-0000-0000-000013710000}"/>
    <cellStyle name="Note 2 13 2 2 2 2 3" xfId="28948" xr:uid="{00000000-0005-0000-0000-000014710000}"/>
    <cellStyle name="Note 2 13 2 2 2 3" xfId="28949" xr:uid="{00000000-0005-0000-0000-000015710000}"/>
    <cellStyle name="Note 2 13 2 2 2 4" xfId="28950" xr:uid="{00000000-0005-0000-0000-000016710000}"/>
    <cellStyle name="Note 2 13 2 2 3" xfId="28951" xr:uid="{00000000-0005-0000-0000-000017710000}"/>
    <cellStyle name="Note 2 13 2 2 3 2" xfId="28952" xr:uid="{00000000-0005-0000-0000-000018710000}"/>
    <cellStyle name="Note 2 13 2 2 3 3" xfId="28953" xr:uid="{00000000-0005-0000-0000-000019710000}"/>
    <cellStyle name="Note 2 13 2 2 4" xfId="28954" xr:uid="{00000000-0005-0000-0000-00001A710000}"/>
    <cellStyle name="Note 2 13 2 2 5" xfId="28955" xr:uid="{00000000-0005-0000-0000-00001B710000}"/>
    <cellStyle name="Note 2 13 3" xfId="28956" xr:uid="{00000000-0005-0000-0000-00001C710000}"/>
    <cellStyle name="Note 2 13 3 2" xfId="28957" xr:uid="{00000000-0005-0000-0000-00001D710000}"/>
    <cellStyle name="Note 2 13 3 2 2" xfId="28958" xr:uid="{00000000-0005-0000-0000-00001E710000}"/>
    <cellStyle name="Note 2 13 3 2 2 2" xfId="28959" xr:uid="{00000000-0005-0000-0000-00001F710000}"/>
    <cellStyle name="Note 2 13 3 2 2 3" xfId="28960" xr:uid="{00000000-0005-0000-0000-000020710000}"/>
    <cellStyle name="Note 2 13 3 2 3" xfId="28961" xr:uid="{00000000-0005-0000-0000-000021710000}"/>
    <cellStyle name="Note 2 13 3 2 4" xfId="28962" xr:uid="{00000000-0005-0000-0000-000022710000}"/>
    <cellStyle name="Note 2 13 3 3" xfId="28963" xr:uid="{00000000-0005-0000-0000-000023710000}"/>
    <cellStyle name="Note 2 13 3 3 2" xfId="28964" xr:uid="{00000000-0005-0000-0000-000024710000}"/>
    <cellStyle name="Note 2 13 3 3 3" xfId="28965" xr:uid="{00000000-0005-0000-0000-000025710000}"/>
    <cellStyle name="Note 2 13 3 4" xfId="28966" xr:uid="{00000000-0005-0000-0000-000026710000}"/>
    <cellStyle name="Note 2 13 3 5" xfId="28967" xr:uid="{00000000-0005-0000-0000-000027710000}"/>
    <cellStyle name="Note 2 14" xfId="28968" xr:uid="{00000000-0005-0000-0000-000028710000}"/>
    <cellStyle name="Note 2 14 2" xfId="28969" xr:uid="{00000000-0005-0000-0000-000029710000}"/>
    <cellStyle name="Note 2 14 2 2" xfId="28970" xr:uid="{00000000-0005-0000-0000-00002A710000}"/>
    <cellStyle name="Note 2 14 2 2 2" xfId="28971" xr:uid="{00000000-0005-0000-0000-00002B710000}"/>
    <cellStyle name="Note 2 14 2 2 2 2" xfId="28972" xr:uid="{00000000-0005-0000-0000-00002C710000}"/>
    <cellStyle name="Note 2 14 2 2 2 2 2" xfId="28973" xr:uid="{00000000-0005-0000-0000-00002D710000}"/>
    <cellStyle name="Note 2 14 2 2 2 2 3" xfId="28974" xr:uid="{00000000-0005-0000-0000-00002E710000}"/>
    <cellStyle name="Note 2 14 2 2 2 3" xfId="28975" xr:uid="{00000000-0005-0000-0000-00002F710000}"/>
    <cellStyle name="Note 2 14 2 2 2 4" xfId="28976" xr:uid="{00000000-0005-0000-0000-000030710000}"/>
    <cellStyle name="Note 2 14 2 2 3" xfId="28977" xr:uid="{00000000-0005-0000-0000-000031710000}"/>
    <cellStyle name="Note 2 14 2 2 3 2" xfId="28978" xr:uid="{00000000-0005-0000-0000-000032710000}"/>
    <cellStyle name="Note 2 14 2 2 3 3" xfId="28979" xr:uid="{00000000-0005-0000-0000-000033710000}"/>
    <cellStyle name="Note 2 14 2 2 4" xfId="28980" xr:uid="{00000000-0005-0000-0000-000034710000}"/>
    <cellStyle name="Note 2 14 2 2 5" xfId="28981" xr:uid="{00000000-0005-0000-0000-000035710000}"/>
    <cellStyle name="Note 2 14 3" xfId="28982" xr:uid="{00000000-0005-0000-0000-000036710000}"/>
    <cellStyle name="Note 2 14 3 2" xfId="28983" xr:uid="{00000000-0005-0000-0000-000037710000}"/>
    <cellStyle name="Note 2 14 3 2 2" xfId="28984" xr:uid="{00000000-0005-0000-0000-000038710000}"/>
    <cellStyle name="Note 2 14 3 2 2 2" xfId="28985" xr:uid="{00000000-0005-0000-0000-000039710000}"/>
    <cellStyle name="Note 2 14 3 2 2 3" xfId="28986" xr:uid="{00000000-0005-0000-0000-00003A710000}"/>
    <cellStyle name="Note 2 14 3 2 3" xfId="28987" xr:uid="{00000000-0005-0000-0000-00003B710000}"/>
    <cellStyle name="Note 2 14 3 2 4" xfId="28988" xr:uid="{00000000-0005-0000-0000-00003C710000}"/>
    <cellStyle name="Note 2 14 3 3" xfId="28989" xr:uid="{00000000-0005-0000-0000-00003D710000}"/>
    <cellStyle name="Note 2 14 3 3 2" xfId="28990" xr:uid="{00000000-0005-0000-0000-00003E710000}"/>
    <cellStyle name="Note 2 14 3 3 3" xfId="28991" xr:uid="{00000000-0005-0000-0000-00003F710000}"/>
    <cellStyle name="Note 2 14 3 4" xfId="28992" xr:uid="{00000000-0005-0000-0000-000040710000}"/>
    <cellStyle name="Note 2 14 3 5" xfId="28993" xr:uid="{00000000-0005-0000-0000-000041710000}"/>
    <cellStyle name="Note 2 15" xfId="28994" xr:uid="{00000000-0005-0000-0000-000042710000}"/>
    <cellStyle name="Note 2 15 2" xfId="28995" xr:uid="{00000000-0005-0000-0000-000043710000}"/>
    <cellStyle name="Note 2 15 2 2" xfId="28996" xr:uid="{00000000-0005-0000-0000-000044710000}"/>
    <cellStyle name="Note 2 15 2 2 2" xfId="28997" xr:uid="{00000000-0005-0000-0000-000045710000}"/>
    <cellStyle name="Note 2 15 2 2 2 2" xfId="28998" xr:uid="{00000000-0005-0000-0000-000046710000}"/>
    <cellStyle name="Note 2 15 2 2 2 2 2" xfId="28999" xr:uid="{00000000-0005-0000-0000-000047710000}"/>
    <cellStyle name="Note 2 15 2 2 2 2 3" xfId="29000" xr:uid="{00000000-0005-0000-0000-000048710000}"/>
    <cellStyle name="Note 2 15 2 2 2 3" xfId="29001" xr:uid="{00000000-0005-0000-0000-000049710000}"/>
    <cellStyle name="Note 2 15 2 2 2 4" xfId="29002" xr:uid="{00000000-0005-0000-0000-00004A710000}"/>
    <cellStyle name="Note 2 15 2 2 3" xfId="29003" xr:uid="{00000000-0005-0000-0000-00004B710000}"/>
    <cellStyle name="Note 2 15 2 2 3 2" xfId="29004" xr:uid="{00000000-0005-0000-0000-00004C710000}"/>
    <cellStyle name="Note 2 15 2 2 3 3" xfId="29005" xr:uid="{00000000-0005-0000-0000-00004D710000}"/>
    <cellStyle name="Note 2 15 2 2 4" xfId="29006" xr:uid="{00000000-0005-0000-0000-00004E710000}"/>
    <cellStyle name="Note 2 15 2 2 5" xfId="29007" xr:uid="{00000000-0005-0000-0000-00004F710000}"/>
    <cellStyle name="Note 2 15 3" xfId="29008" xr:uid="{00000000-0005-0000-0000-000050710000}"/>
    <cellStyle name="Note 2 15 3 2" xfId="29009" xr:uid="{00000000-0005-0000-0000-000051710000}"/>
    <cellStyle name="Note 2 15 3 2 2" xfId="29010" xr:uid="{00000000-0005-0000-0000-000052710000}"/>
    <cellStyle name="Note 2 15 3 2 2 2" xfId="29011" xr:uid="{00000000-0005-0000-0000-000053710000}"/>
    <cellStyle name="Note 2 15 3 2 2 3" xfId="29012" xr:uid="{00000000-0005-0000-0000-000054710000}"/>
    <cellStyle name="Note 2 15 3 2 3" xfId="29013" xr:uid="{00000000-0005-0000-0000-000055710000}"/>
    <cellStyle name="Note 2 15 3 2 4" xfId="29014" xr:uid="{00000000-0005-0000-0000-000056710000}"/>
    <cellStyle name="Note 2 15 3 3" xfId="29015" xr:uid="{00000000-0005-0000-0000-000057710000}"/>
    <cellStyle name="Note 2 15 3 3 2" xfId="29016" xr:uid="{00000000-0005-0000-0000-000058710000}"/>
    <cellStyle name="Note 2 15 3 3 3" xfId="29017" xr:uid="{00000000-0005-0000-0000-000059710000}"/>
    <cellStyle name="Note 2 15 3 4" xfId="29018" xr:uid="{00000000-0005-0000-0000-00005A710000}"/>
    <cellStyle name="Note 2 15 3 5" xfId="29019" xr:uid="{00000000-0005-0000-0000-00005B710000}"/>
    <cellStyle name="Note 2 16" xfId="29020" xr:uid="{00000000-0005-0000-0000-00005C710000}"/>
    <cellStyle name="Note 2 16 2" xfId="29021" xr:uid="{00000000-0005-0000-0000-00005D710000}"/>
    <cellStyle name="Note 2 16 2 2" xfId="29022" xr:uid="{00000000-0005-0000-0000-00005E710000}"/>
    <cellStyle name="Note 2 16 2 2 2" xfId="29023" xr:uid="{00000000-0005-0000-0000-00005F710000}"/>
    <cellStyle name="Note 2 16 2 2 2 2" xfId="29024" xr:uid="{00000000-0005-0000-0000-000060710000}"/>
    <cellStyle name="Note 2 16 2 2 2 2 2" xfId="29025" xr:uid="{00000000-0005-0000-0000-000061710000}"/>
    <cellStyle name="Note 2 16 2 2 2 2 3" xfId="29026" xr:uid="{00000000-0005-0000-0000-000062710000}"/>
    <cellStyle name="Note 2 16 2 2 2 3" xfId="29027" xr:uid="{00000000-0005-0000-0000-000063710000}"/>
    <cellStyle name="Note 2 16 2 2 2 4" xfId="29028" xr:uid="{00000000-0005-0000-0000-000064710000}"/>
    <cellStyle name="Note 2 16 2 2 3" xfId="29029" xr:uid="{00000000-0005-0000-0000-000065710000}"/>
    <cellStyle name="Note 2 16 2 2 3 2" xfId="29030" xr:uid="{00000000-0005-0000-0000-000066710000}"/>
    <cellStyle name="Note 2 16 2 2 3 3" xfId="29031" xr:uid="{00000000-0005-0000-0000-000067710000}"/>
    <cellStyle name="Note 2 16 2 2 4" xfId="29032" xr:uid="{00000000-0005-0000-0000-000068710000}"/>
    <cellStyle name="Note 2 16 2 2 5" xfId="29033" xr:uid="{00000000-0005-0000-0000-000069710000}"/>
    <cellStyle name="Note 2 16 3" xfId="29034" xr:uid="{00000000-0005-0000-0000-00006A710000}"/>
    <cellStyle name="Note 2 16 3 2" xfId="29035" xr:uid="{00000000-0005-0000-0000-00006B710000}"/>
    <cellStyle name="Note 2 16 3 2 2" xfId="29036" xr:uid="{00000000-0005-0000-0000-00006C710000}"/>
    <cellStyle name="Note 2 16 3 2 2 2" xfId="29037" xr:uid="{00000000-0005-0000-0000-00006D710000}"/>
    <cellStyle name="Note 2 16 3 2 2 3" xfId="29038" xr:uid="{00000000-0005-0000-0000-00006E710000}"/>
    <cellStyle name="Note 2 16 3 2 3" xfId="29039" xr:uid="{00000000-0005-0000-0000-00006F710000}"/>
    <cellStyle name="Note 2 16 3 2 4" xfId="29040" xr:uid="{00000000-0005-0000-0000-000070710000}"/>
    <cellStyle name="Note 2 16 3 3" xfId="29041" xr:uid="{00000000-0005-0000-0000-000071710000}"/>
    <cellStyle name="Note 2 16 3 3 2" xfId="29042" xr:uid="{00000000-0005-0000-0000-000072710000}"/>
    <cellStyle name="Note 2 16 3 3 3" xfId="29043" xr:uid="{00000000-0005-0000-0000-000073710000}"/>
    <cellStyle name="Note 2 16 3 4" xfId="29044" xr:uid="{00000000-0005-0000-0000-000074710000}"/>
    <cellStyle name="Note 2 16 3 5" xfId="29045" xr:uid="{00000000-0005-0000-0000-000075710000}"/>
    <cellStyle name="Note 2 17" xfId="29046" xr:uid="{00000000-0005-0000-0000-000076710000}"/>
    <cellStyle name="Note 2 17 2" xfId="29047" xr:uid="{00000000-0005-0000-0000-000077710000}"/>
    <cellStyle name="Note 2 17 2 2" xfId="29048" xr:uid="{00000000-0005-0000-0000-000078710000}"/>
    <cellStyle name="Note 2 17 2 2 2" xfId="29049" xr:uid="{00000000-0005-0000-0000-000079710000}"/>
    <cellStyle name="Note 2 17 2 2 2 2" xfId="29050" xr:uid="{00000000-0005-0000-0000-00007A710000}"/>
    <cellStyle name="Note 2 17 2 2 2 2 2" xfId="29051" xr:uid="{00000000-0005-0000-0000-00007B710000}"/>
    <cellStyle name="Note 2 17 2 2 2 2 3" xfId="29052" xr:uid="{00000000-0005-0000-0000-00007C710000}"/>
    <cellStyle name="Note 2 17 2 2 2 3" xfId="29053" xr:uid="{00000000-0005-0000-0000-00007D710000}"/>
    <cellStyle name="Note 2 17 2 2 2 4" xfId="29054" xr:uid="{00000000-0005-0000-0000-00007E710000}"/>
    <cellStyle name="Note 2 17 2 2 3" xfId="29055" xr:uid="{00000000-0005-0000-0000-00007F710000}"/>
    <cellStyle name="Note 2 17 2 2 3 2" xfId="29056" xr:uid="{00000000-0005-0000-0000-000080710000}"/>
    <cellStyle name="Note 2 17 2 2 3 3" xfId="29057" xr:uid="{00000000-0005-0000-0000-000081710000}"/>
    <cellStyle name="Note 2 17 2 2 4" xfId="29058" xr:uid="{00000000-0005-0000-0000-000082710000}"/>
    <cellStyle name="Note 2 17 2 2 5" xfId="29059" xr:uid="{00000000-0005-0000-0000-000083710000}"/>
    <cellStyle name="Note 2 17 3" xfId="29060" xr:uid="{00000000-0005-0000-0000-000084710000}"/>
    <cellStyle name="Note 2 17 3 2" xfId="29061" xr:uid="{00000000-0005-0000-0000-000085710000}"/>
    <cellStyle name="Note 2 17 3 2 2" xfId="29062" xr:uid="{00000000-0005-0000-0000-000086710000}"/>
    <cellStyle name="Note 2 17 3 2 2 2" xfId="29063" xr:uid="{00000000-0005-0000-0000-000087710000}"/>
    <cellStyle name="Note 2 17 3 2 2 3" xfId="29064" xr:uid="{00000000-0005-0000-0000-000088710000}"/>
    <cellStyle name="Note 2 17 3 2 3" xfId="29065" xr:uid="{00000000-0005-0000-0000-000089710000}"/>
    <cellStyle name="Note 2 17 3 2 4" xfId="29066" xr:uid="{00000000-0005-0000-0000-00008A710000}"/>
    <cellStyle name="Note 2 17 3 3" xfId="29067" xr:uid="{00000000-0005-0000-0000-00008B710000}"/>
    <cellStyle name="Note 2 17 3 3 2" xfId="29068" xr:uid="{00000000-0005-0000-0000-00008C710000}"/>
    <cellStyle name="Note 2 17 3 3 3" xfId="29069" xr:uid="{00000000-0005-0000-0000-00008D710000}"/>
    <cellStyle name="Note 2 17 3 4" xfId="29070" xr:uid="{00000000-0005-0000-0000-00008E710000}"/>
    <cellStyle name="Note 2 17 3 5" xfId="29071" xr:uid="{00000000-0005-0000-0000-00008F710000}"/>
    <cellStyle name="Note 2 18" xfId="29072" xr:uid="{00000000-0005-0000-0000-000090710000}"/>
    <cellStyle name="Note 2 18 2" xfId="29073" xr:uid="{00000000-0005-0000-0000-000091710000}"/>
    <cellStyle name="Note 2 18 2 2" xfId="29074" xr:uid="{00000000-0005-0000-0000-000092710000}"/>
    <cellStyle name="Note 2 18 2 2 2" xfId="29075" xr:uid="{00000000-0005-0000-0000-000093710000}"/>
    <cellStyle name="Note 2 18 2 2 2 2" xfId="29076" xr:uid="{00000000-0005-0000-0000-000094710000}"/>
    <cellStyle name="Note 2 18 2 2 2 2 2" xfId="29077" xr:uid="{00000000-0005-0000-0000-000095710000}"/>
    <cellStyle name="Note 2 18 2 2 2 2 3" xfId="29078" xr:uid="{00000000-0005-0000-0000-000096710000}"/>
    <cellStyle name="Note 2 18 2 2 2 3" xfId="29079" xr:uid="{00000000-0005-0000-0000-000097710000}"/>
    <cellStyle name="Note 2 18 2 2 2 4" xfId="29080" xr:uid="{00000000-0005-0000-0000-000098710000}"/>
    <cellStyle name="Note 2 18 2 2 3" xfId="29081" xr:uid="{00000000-0005-0000-0000-000099710000}"/>
    <cellStyle name="Note 2 18 2 2 3 2" xfId="29082" xr:uid="{00000000-0005-0000-0000-00009A710000}"/>
    <cellStyle name="Note 2 18 2 2 3 3" xfId="29083" xr:uid="{00000000-0005-0000-0000-00009B710000}"/>
    <cellStyle name="Note 2 18 2 2 4" xfId="29084" xr:uid="{00000000-0005-0000-0000-00009C710000}"/>
    <cellStyle name="Note 2 18 2 2 5" xfId="29085" xr:uid="{00000000-0005-0000-0000-00009D710000}"/>
    <cellStyle name="Note 2 18 3" xfId="29086" xr:uid="{00000000-0005-0000-0000-00009E710000}"/>
    <cellStyle name="Note 2 18 3 2" xfId="29087" xr:uid="{00000000-0005-0000-0000-00009F710000}"/>
    <cellStyle name="Note 2 18 3 2 2" xfId="29088" xr:uid="{00000000-0005-0000-0000-0000A0710000}"/>
    <cellStyle name="Note 2 18 3 2 2 2" xfId="29089" xr:uid="{00000000-0005-0000-0000-0000A1710000}"/>
    <cellStyle name="Note 2 18 3 2 2 3" xfId="29090" xr:uid="{00000000-0005-0000-0000-0000A2710000}"/>
    <cellStyle name="Note 2 18 3 2 3" xfId="29091" xr:uid="{00000000-0005-0000-0000-0000A3710000}"/>
    <cellStyle name="Note 2 18 3 2 4" xfId="29092" xr:uid="{00000000-0005-0000-0000-0000A4710000}"/>
    <cellStyle name="Note 2 18 3 3" xfId="29093" xr:uid="{00000000-0005-0000-0000-0000A5710000}"/>
    <cellStyle name="Note 2 18 3 3 2" xfId="29094" xr:uid="{00000000-0005-0000-0000-0000A6710000}"/>
    <cellStyle name="Note 2 18 3 3 3" xfId="29095" xr:uid="{00000000-0005-0000-0000-0000A7710000}"/>
    <cellStyle name="Note 2 18 3 4" xfId="29096" xr:uid="{00000000-0005-0000-0000-0000A8710000}"/>
    <cellStyle name="Note 2 18 3 5" xfId="29097" xr:uid="{00000000-0005-0000-0000-0000A9710000}"/>
    <cellStyle name="Note 2 19" xfId="29098" xr:uid="{00000000-0005-0000-0000-0000AA710000}"/>
    <cellStyle name="Note 2 19 2" xfId="29099" xr:uid="{00000000-0005-0000-0000-0000AB710000}"/>
    <cellStyle name="Note 2 19 2 2" xfId="29100" xr:uid="{00000000-0005-0000-0000-0000AC710000}"/>
    <cellStyle name="Note 2 19 2 2 2" xfId="29101" xr:uid="{00000000-0005-0000-0000-0000AD710000}"/>
    <cellStyle name="Note 2 19 2 2 2 2" xfId="29102" xr:uid="{00000000-0005-0000-0000-0000AE710000}"/>
    <cellStyle name="Note 2 19 2 2 2 2 2" xfId="29103" xr:uid="{00000000-0005-0000-0000-0000AF710000}"/>
    <cellStyle name="Note 2 19 2 2 2 2 3" xfId="29104" xr:uid="{00000000-0005-0000-0000-0000B0710000}"/>
    <cellStyle name="Note 2 19 2 2 2 3" xfId="29105" xr:uid="{00000000-0005-0000-0000-0000B1710000}"/>
    <cellStyle name="Note 2 19 2 2 2 4" xfId="29106" xr:uid="{00000000-0005-0000-0000-0000B2710000}"/>
    <cellStyle name="Note 2 19 2 2 3" xfId="29107" xr:uid="{00000000-0005-0000-0000-0000B3710000}"/>
    <cellStyle name="Note 2 19 2 2 3 2" xfId="29108" xr:uid="{00000000-0005-0000-0000-0000B4710000}"/>
    <cellStyle name="Note 2 19 2 2 3 3" xfId="29109" xr:uid="{00000000-0005-0000-0000-0000B5710000}"/>
    <cellStyle name="Note 2 19 2 2 4" xfId="29110" xr:uid="{00000000-0005-0000-0000-0000B6710000}"/>
    <cellStyle name="Note 2 19 2 2 5" xfId="29111" xr:uid="{00000000-0005-0000-0000-0000B7710000}"/>
    <cellStyle name="Note 2 19 3" xfId="29112" xr:uid="{00000000-0005-0000-0000-0000B8710000}"/>
    <cellStyle name="Note 2 19 3 2" xfId="29113" xr:uid="{00000000-0005-0000-0000-0000B9710000}"/>
    <cellStyle name="Note 2 19 3 2 2" xfId="29114" xr:uid="{00000000-0005-0000-0000-0000BA710000}"/>
    <cellStyle name="Note 2 19 3 2 2 2" xfId="29115" xr:uid="{00000000-0005-0000-0000-0000BB710000}"/>
    <cellStyle name="Note 2 19 3 2 2 3" xfId="29116" xr:uid="{00000000-0005-0000-0000-0000BC710000}"/>
    <cellStyle name="Note 2 19 3 2 3" xfId="29117" xr:uid="{00000000-0005-0000-0000-0000BD710000}"/>
    <cellStyle name="Note 2 19 3 2 4" xfId="29118" xr:uid="{00000000-0005-0000-0000-0000BE710000}"/>
    <cellStyle name="Note 2 19 3 3" xfId="29119" xr:uid="{00000000-0005-0000-0000-0000BF710000}"/>
    <cellStyle name="Note 2 19 3 3 2" xfId="29120" xr:uid="{00000000-0005-0000-0000-0000C0710000}"/>
    <cellStyle name="Note 2 19 3 3 3" xfId="29121" xr:uid="{00000000-0005-0000-0000-0000C1710000}"/>
    <cellStyle name="Note 2 19 3 4" xfId="29122" xr:uid="{00000000-0005-0000-0000-0000C2710000}"/>
    <cellStyle name="Note 2 19 3 5" xfId="29123" xr:uid="{00000000-0005-0000-0000-0000C3710000}"/>
    <cellStyle name="Note 2 2" xfId="29124" xr:uid="{00000000-0005-0000-0000-0000C4710000}"/>
    <cellStyle name="Note 2 2 2" xfId="29125" xr:uid="{00000000-0005-0000-0000-0000C5710000}"/>
    <cellStyle name="Note 2 2 2 2" xfId="29126" xr:uid="{00000000-0005-0000-0000-0000C6710000}"/>
    <cellStyle name="Note 2 2 2 2 2" xfId="29127" xr:uid="{00000000-0005-0000-0000-0000C7710000}"/>
    <cellStyle name="Note 2 2 2 2 2 2" xfId="29128" xr:uid="{00000000-0005-0000-0000-0000C8710000}"/>
    <cellStyle name="Note 2 2 2 2 2 2 2" xfId="29129" xr:uid="{00000000-0005-0000-0000-0000C9710000}"/>
    <cellStyle name="Note 2 2 2 2 2 2 3" xfId="29130" xr:uid="{00000000-0005-0000-0000-0000CA710000}"/>
    <cellStyle name="Note 2 2 2 2 2 3" xfId="29131" xr:uid="{00000000-0005-0000-0000-0000CB710000}"/>
    <cellStyle name="Note 2 2 2 2 2 4" xfId="29132" xr:uid="{00000000-0005-0000-0000-0000CC710000}"/>
    <cellStyle name="Note 2 2 2 2 3" xfId="29133" xr:uid="{00000000-0005-0000-0000-0000CD710000}"/>
    <cellStyle name="Note 2 2 2 2 3 2" xfId="29134" xr:uid="{00000000-0005-0000-0000-0000CE710000}"/>
    <cellStyle name="Note 2 2 2 2 3 3" xfId="29135" xr:uid="{00000000-0005-0000-0000-0000CF710000}"/>
    <cellStyle name="Note 2 2 2 2 4" xfId="29136" xr:uid="{00000000-0005-0000-0000-0000D0710000}"/>
    <cellStyle name="Note 2 2 2 2 5" xfId="29137" xr:uid="{00000000-0005-0000-0000-0000D1710000}"/>
    <cellStyle name="Note 2 2 3" xfId="29138" xr:uid="{00000000-0005-0000-0000-0000D2710000}"/>
    <cellStyle name="Note 2 2 3 2" xfId="29139" xr:uid="{00000000-0005-0000-0000-0000D3710000}"/>
    <cellStyle name="Note 2 2 3 2 2" xfId="29140" xr:uid="{00000000-0005-0000-0000-0000D4710000}"/>
    <cellStyle name="Note 2 2 3 2 2 2" xfId="29141" xr:uid="{00000000-0005-0000-0000-0000D5710000}"/>
    <cellStyle name="Note 2 2 3 2 2 3" xfId="29142" xr:uid="{00000000-0005-0000-0000-0000D6710000}"/>
    <cellStyle name="Note 2 2 3 2 3" xfId="29143" xr:uid="{00000000-0005-0000-0000-0000D7710000}"/>
    <cellStyle name="Note 2 2 3 2 4" xfId="29144" xr:uid="{00000000-0005-0000-0000-0000D8710000}"/>
    <cellStyle name="Note 2 2 3 3" xfId="29145" xr:uid="{00000000-0005-0000-0000-0000D9710000}"/>
    <cellStyle name="Note 2 2 3 3 2" xfId="29146" xr:uid="{00000000-0005-0000-0000-0000DA710000}"/>
    <cellStyle name="Note 2 2 3 3 3" xfId="29147" xr:uid="{00000000-0005-0000-0000-0000DB710000}"/>
    <cellStyle name="Note 2 2 3 4" xfId="29148" xr:uid="{00000000-0005-0000-0000-0000DC710000}"/>
    <cellStyle name="Note 2 2 3 5" xfId="29149" xr:uid="{00000000-0005-0000-0000-0000DD710000}"/>
    <cellStyle name="Note 2 20" xfId="29150" xr:uid="{00000000-0005-0000-0000-0000DE710000}"/>
    <cellStyle name="Note 2 20 2" xfId="29151" xr:uid="{00000000-0005-0000-0000-0000DF710000}"/>
    <cellStyle name="Note 2 20 2 2" xfId="29152" xr:uid="{00000000-0005-0000-0000-0000E0710000}"/>
    <cellStyle name="Note 2 20 2 2 2" xfId="29153" xr:uid="{00000000-0005-0000-0000-0000E1710000}"/>
    <cellStyle name="Note 2 20 2 2 2 2" xfId="29154" xr:uid="{00000000-0005-0000-0000-0000E2710000}"/>
    <cellStyle name="Note 2 20 2 2 2 3" xfId="29155" xr:uid="{00000000-0005-0000-0000-0000E3710000}"/>
    <cellStyle name="Note 2 20 2 2 3" xfId="29156" xr:uid="{00000000-0005-0000-0000-0000E4710000}"/>
    <cellStyle name="Note 2 20 2 2 4" xfId="29157" xr:uid="{00000000-0005-0000-0000-0000E5710000}"/>
    <cellStyle name="Note 2 20 2 3" xfId="29158" xr:uid="{00000000-0005-0000-0000-0000E6710000}"/>
    <cellStyle name="Note 2 20 2 3 2" xfId="29159" xr:uid="{00000000-0005-0000-0000-0000E7710000}"/>
    <cellStyle name="Note 2 20 2 3 3" xfId="29160" xr:uid="{00000000-0005-0000-0000-0000E8710000}"/>
    <cellStyle name="Note 2 20 2 4" xfId="29161" xr:uid="{00000000-0005-0000-0000-0000E9710000}"/>
    <cellStyle name="Note 2 20 2 5" xfId="29162" xr:uid="{00000000-0005-0000-0000-0000EA710000}"/>
    <cellStyle name="Note 2 21" xfId="29163" xr:uid="{00000000-0005-0000-0000-0000EB710000}"/>
    <cellStyle name="Note 2 21 2" xfId="29164" xr:uid="{00000000-0005-0000-0000-0000EC710000}"/>
    <cellStyle name="Note 2 21 2 2" xfId="29165" xr:uid="{00000000-0005-0000-0000-0000ED710000}"/>
    <cellStyle name="Note 2 21 2 2 2" xfId="29166" xr:uid="{00000000-0005-0000-0000-0000EE710000}"/>
    <cellStyle name="Note 2 21 2 2 2 2" xfId="29167" xr:uid="{00000000-0005-0000-0000-0000EF710000}"/>
    <cellStyle name="Note 2 21 2 2 2 3" xfId="29168" xr:uid="{00000000-0005-0000-0000-0000F0710000}"/>
    <cellStyle name="Note 2 21 2 2 3" xfId="29169" xr:uid="{00000000-0005-0000-0000-0000F1710000}"/>
    <cellStyle name="Note 2 21 2 2 4" xfId="29170" xr:uid="{00000000-0005-0000-0000-0000F2710000}"/>
    <cellStyle name="Note 2 21 2 3" xfId="29171" xr:uid="{00000000-0005-0000-0000-0000F3710000}"/>
    <cellStyle name="Note 2 21 2 3 2" xfId="29172" xr:uid="{00000000-0005-0000-0000-0000F4710000}"/>
    <cellStyle name="Note 2 21 2 3 3" xfId="29173" xr:uid="{00000000-0005-0000-0000-0000F5710000}"/>
    <cellStyle name="Note 2 21 2 4" xfId="29174" xr:uid="{00000000-0005-0000-0000-0000F6710000}"/>
    <cellStyle name="Note 2 21 2 5" xfId="29175" xr:uid="{00000000-0005-0000-0000-0000F7710000}"/>
    <cellStyle name="Note 2 22" xfId="29176" xr:uid="{00000000-0005-0000-0000-0000F8710000}"/>
    <cellStyle name="Note 2 22 2" xfId="29177" xr:uid="{00000000-0005-0000-0000-0000F9710000}"/>
    <cellStyle name="Note 2 22 2 2" xfId="29178" xr:uid="{00000000-0005-0000-0000-0000FA710000}"/>
    <cellStyle name="Note 2 22 2 2 2" xfId="29179" xr:uid="{00000000-0005-0000-0000-0000FB710000}"/>
    <cellStyle name="Note 2 22 2 2 2 2" xfId="29180" xr:uid="{00000000-0005-0000-0000-0000FC710000}"/>
    <cellStyle name="Note 2 22 2 2 2 3" xfId="29181" xr:uid="{00000000-0005-0000-0000-0000FD710000}"/>
    <cellStyle name="Note 2 22 2 2 3" xfId="29182" xr:uid="{00000000-0005-0000-0000-0000FE710000}"/>
    <cellStyle name="Note 2 22 2 2 4" xfId="29183" xr:uid="{00000000-0005-0000-0000-0000FF710000}"/>
    <cellStyle name="Note 2 22 2 3" xfId="29184" xr:uid="{00000000-0005-0000-0000-000000720000}"/>
    <cellStyle name="Note 2 22 2 3 2" xfId="29185" xr:uid="{00000000-0005-0000-0000-000001720000}"/>
    <cellStyle name="Note 2 22 2 3 3" xfId="29186" xr:uid="{00000000-0005-0000-0000-000002720000}"/>
    <cellStyle name="Note 2 22 2 4" xfId="29187" xr:uid="{00000000-0005-0000-0000-000003720000}"/>
    <cellStyle name="Note 2 22 2 5" xfId="29188" xr:uid="{00000000-0005-0000-0000-000004720000}"/>
    <cellStyle name="Note 2 23" xfId="29189" xr:uid="{00000000-0005-0000-0000-000005720000}"/>
    <cellStyle name="Note 2 23 2" xfId="29190" xr:uid="{00000000-0005-0000-0000-000006720000}"/>
    <cellStyle name="Note 2 23 2 2" xfId="29191" xr:uid="{00000000-0005-0000-0000-000007720000}"/>
    <cellStyle name="Note 2 23 2 2 2" xfId="29192" xr:uid="{00000000-0005-0000-0000-000008720000}"/>
    <cellStyle name="Note 2 23 2 2 2 2" xfId="29193" xr:uid="{00000000-0005-0000-0000-000009720000}"/>
    <cellStyle name="Note 2 23 2 2 2 3" xfId="29194" xr:uid="{00000000-0005-0000-0000-00000A720000}"/>
    <cellStyle name="Note 2 23 2 2 3" xfId="29195" xr:uid="{00000000-0005-0000-0000-00000B720000}"/>
    <cellStyle name="Note 2 23 2 2 4" xfId="29196" xr:uid="{00000000-0005-0000-0000-00000C720000}"/>
    <cellStyle name="Note 2 23 2 3" xfId="29197" xr:uid="{00000000-0005-0000-0000-00000D720000}"/>
    <cellStyle name="Note 2 23 2 3 2" xfId="29198" xr:uid="{00000000-0005-0000-0000-00000E720000}"/>
    <cellStyle name="Note 2 23 2 3 3" xfId="29199" xr:uid="{00000000-0005-0000-0000-00000F720000}"/>
    <cellStyle name="Note 2 23 2 4" xfId="29200" xr:uid="{00000000-0005-0000-0000-000010720000}"/>
    <cellStyle name="Note 2 23 2 5" xfId="29201" xr:uid="{00000000-0005-0000-0000-000011720000}"/>
    <cellStyle name="Note 2 24" xfId="29202" xr:uid="{00000000-0005-0000-0000-000012720000}"/>
    <cellStyle name="Note 2 24 2" xfId="29203" xr:uid="{00000000-0005-0000-0000-000013720000}"/>
    <cellStyle name="Note 2 24 2 2" xfId="29204" xr:uid="{00000000-0005-0000-0000-000014720000}"/>
    <cellStyle name="Note 2 24 2 2 2" xfId="29205" xr:uid="{00000000-0005-0000-0000-000015720000}"/>
    <cellStyle name="Note 2 24 2 2 2 2" xfId="29206" xr:uid="{00000000-0005-0000-0000-000016720000}"/>
    <cellStyle name="Note 2 24 2 2 2 3" xfId="29207" xr:uid="{00000000-0005-0000-0000-000017720000}"/>
    <cellStyle name="Note 2 24 2 2 3" xfId="29208" xr:uid="{00000000-0005-0000-0000-000018720000}"/>
    <cellStyle name="Note 2 24 2 2 4" xfId="29209" xr:uid="{00000000-0005-0000-0000-000019720000}"/>
    <cellStyle name="Note 2 24 2 3" xfId="29210" xr:uid="{00000000-0005-0000-0000-00001A720000}"/>
    <cellStyle name="Note 2 24 2 3 2" xfId="29211" xr:uid="{00000000-0005-0000-0000-00001B720000}"/>
    <cellStyle name="Note 2 24 2 3 3" xfId="29212" xr:uid="{00000000-0005-0000-0000-00001C720000}"/>
    <cellStyle name="Note 2 24 2 4" xfId="29213" xr:uid="{00000000-0005-0000-0000-00001D720000}"/>
    <cellStyle name="Note 2 24 2 5" xfId="29214" xr:uid="{00000000-0005-0000-0000-00001E720000}"/>
    <cellStyle name="Note 2 25" xfId="29215" xr:uid="{00000000-0005-0000-0000-00001F720000}"/>
    <cellStyle name="Note 2 25 2" xfId="29216" xr:uid="{00000000-0005-0000-0000-000020720000}"/>
    <cellStyle name="Note 2 25 2 2" xfId="29217" xr:uid="{00000000-0005-0000-0000-000021720000}"/>
    <cellStyle name="Note 2 25 2 2 2" xfId="29218" xr:uid="{00000000-0005-0000-0000-000022720000}"/>
    <cellStyle name="Note 2 25 2 2 3" xfId="29219" xr:uid="{00000000-0005-0000-0000-000023720000}"/>
    <cellStyle name="Note 2 25 2 3" xfId="29220" xr:uid="{00000000-0005-0000-0000-000024720000}"/>
    <cellStyle name="Note 2 25 2 4" xfId="29221" xr:uid="{00000000-0005-0000-0000-000025720000}"/>
    <cellStyle name="Note 2 25 3" xfId="29222" xr:uid="{00000000-0005-0000-0000-000026720000}"/>
    <cellStyle name="Note 2 25 3 2" xfId="29223" xr:uid="{00000000-0005-0000-0000-000027720000}"/>
    <cellStyle name="Note 2 25 3 3" xfId="29224" xr:uid="{00000000-0005-0000-0000-000028720000}"/>
    <cellStyle name="Note 2 25 4" xfId="29225" xr:uid="{00000000-0005-0000-0000-000029720000}"/>
    <cellStyle name="Note 2 25 5" xfId="29226" xr:uid="{00000000-0005-0000-0000-00002A720000}"/>
    <cellStyle name="Note 2 3" xfId="29227" xr:uid="{00000000-0005-0000-0000-00002B720000}"/>
    <cellStyle name="Note 2 3 2" xfId="29228" xr:uid="{00000000-0005-0000-0000-00002C720000}"/>
    <cellStyle name="Note 2 3 2 2" xfId="29229" xr:uid="{00000000-0005-0000-0000-00002D720000}"/>
    <cellStyle name="Note 2 3 2 2 2" xfId="29230" xr:uid="{00000000-0005-0000-0000-00002E720000}"/>
    <cellStyle name="Note 2 3 2 2 2 2" xfId="29231" xr:uid="{00000000-0005-0000-0000-00002F720000}"/>
    <cellStyle name="Note 2 3 2 2 2 2 2" xfId="29232" xr:uid="{00000000-0005-0000-0000-000030720000}"/>
    <cellStyle name="Note 2 3 2 2 2 2 3" xfId="29233" xr:uid="{00000000-0005-0000-0000-000031720000}"/>
    <cellStyle name="Note 2 3 2 2 2 3" xfId="29234" xr:uid="{00000000-0005-0000-0000-000032720000}"/>
    <cellStyle name="Note 2 3 2 2 2 4" xfId="29235" xr:uid="{00000000-0005-0000-0000-000033720000}"/>
    <cellStyle name="Note 2 3 2 2 3" xfId="29236" xr:uid="{00000000-0005-0000-0000-000034720000}"/>
    <cellStyle name="Note 2 3 2 2 3 2" xfId="29237" xr:uid="{00000000-0005-0000-0000-000035720000}"/>
    <cellStyle name="Note 2 3 2 2 3 3" xfId="29238" xr:uid="{00000000-0005-0000-0000-000036720000}"/>
    <cellStyle name="Note 2 3 2 2 4" xfId="29239" xr:uid="{00000000-0005-0000-0000-000037720000}"/>
    <cellStyle name="Note 2 3 2 2 5" xfId="29240" xr:uid="{00000000-0005-0000-0000-000038720000}"/>
    <cellStyle name="Note 2 3 3" xfId="29241" xr:uid="{00000000-0005-0000-0000-000039720000}"/>
    <cellStyle name="Note 2 3 3 2" xfId="29242" xr:uid="{00000000-0005-0000-0000-00003A720000}"/>
    <cellStyle name="Note 2 3 3 2 2" xfId="29243" xr:uid="{00000000-0005-0000-0000-00003B720000}"/>
    <cellStyle name="Note 2 3 3 2 2 2" xfId="29244" xr:uid="{00000000-0005-0000-0000-00003C720000}"/>
    <cellStyle name="Note 2 3 3 2 2 3" xfId="29245" xr:uid="{00000000-0005-0000-0000-00003D720000}"/>
    <cellStyle name="Note 2 3 3 2 3" xfId="29246" xr:uid="{00000000-0005-0000-0000-00003E720000}"/>
    <cellStyle name="Note 2 3 3 2 4" xfId="29247" xr:uid="{00000000-0005-0000-0000-00003F720000}"/>
    <cellStyle name="Note 2 3 3 3" xfId="29248" xr:uid="{00000000-0005-0000-0000-000040720000}"/>
    <cellStyle name="Note 2 3 3 3 2" xfId="29249" xr:uid="{00000000-0005-0000-0000-000041720000}"/>
    <cellStyle name="Note 2 3 3 3 3" xfId="29250" xr:uid="{00000000-0005-0000-0000-000042720000}"/>
    <cellStyle name="Note 2 3 3 4" xfId="29251" xr:uid="{00000000-0005-0000-0000-000043720000}"/>
    <cellStyle name="Note 2 3 3 5" xfId="29252" xr:uid="{00000000-0005-0000-0000-000044720000}"/>
    <cellStyle name="Note 2 4" xfId="29253" xr:uid="{00000000-0005-0000-0000-000045720000}"/>
    <cellStyle name="Note 2 4 2" xfId="29254" xr:uid="{00000000-0005-0000-0000-000046720000}"/>
    <cellStyle name="Note 2 4 2 2" xfId="29255" xr:uid="{00000000-0005-0000-0000-000047720000}"/>
    <cellStyle name="Note 2 4 2 2 2" xfId="29256" xr:uid="{00000000-0005-0000-0000-000048720000}"/>
    <cellStyle name="Note 2 4 2 2 2 2" xfId="29257" xr:uid="{00000000-0005-0000-0000-000049720000}"/>
    <cellStyle name="Note 2 4 2 2 2 2 2" xfId="29258" xr:uid="{00000000-0005-0000-0000-00004A720000}"/>
    <cellStyle name="Note 2 4 2 2 2 2 3" xfId="29259" xr:uid="{00000000-0005-0000-0000-00004B720000}"/>
    <cellStyle name="Note 2 4 2 2 2 3" xfId="29260" xr:uid="{00000000-0005-0000-0000-00004C720000}"/>
    <cellStyle name="Note 2 4 2 2 2 4" xfId="29261" xr:uid="{00000000-0005-0000-0000-00004D720000}"/>
    <cellStyle name="Note 2 4 2 2 3" xfId="29262" xr:uid="{00000000-0005-0000-0000-00004E720000}"/>
    <cellStyle name="Note 2 4 2 2 3 2" xfId="29263" xr:uid="{00000000-0005-0000-0000-00004F720000}"/>
    <cellStyle name="Note 2 4 2 2 3 3" xfId="29264" xr:uid="{00000000-0005-0000-0000-000050720000}"/>
    <cellStyle name="Note 2 4 2 2 4" xfId="29265" xr:uid="{00000000-0005-0000-0000-000051720000}"/>
    <cellStyle name="Note 2 4 2 2 5" xfId="29266" xr:uid="{00000000-0005-0000-0000-000052720000}"/>
    <cellStyle name="Note 2 4 3" xfId="29267" xr:uid="{00000000-0005-0000-0000-000053720000}"/>
    <cellStyle name="Note 2 4 3 2" xfId="29268" xr:uid="{00000000-0005-0000-0000-000054720000}"/>
    <cellStyle name="Note 2 4 3 2 2" xfId="29269" xr:uid="{00000000-0005-0000-0000-000055720000}"/>
    <cellStyle name="Note 2 4 3 2 2 2" xfId="29270" xr:uid="{00000000-0005-0000-0000-000056720000}"/>
    <cellStyle name="Note 2 4 3 2 2 3" xfId="29271" xr:uid="{00000000-0005-0000-0000-000057720000}"/>
    <cellStyle name="Note 2 4 3 2 3" xfId="29272" xr:uid="{00000000-0005-0000-0000-000058720000}"/>
    <cellStyle name="Note 2 4 3 2 4" xfId="29273" xr:uid="{00000000-0005-0000-0000-000059720000}"/>
    <cellStyle name="Note 2 4 3 3" xfId="29274" xr:uid="{00000000-0005-0000-0000-00005A720000}"/>
    <cellStyle name="Note 2 4 3 3 2" xfId="29275" xr:uid="{00000000-0005-0000-0000-00005B720000}"/>
    <cellStyle name="Note 2 4 3 3 3" xfId="29276" xr:uid="{00000000-0005-0000-0000-00005C720000}"/>
    <cellStyle name="Note 2 4 3 4" xfId="29277" xr:uid="{00000000-0005-0000-0000-00005D720000}"/>
    <cellStyle name="Note 2 4 3 5" xfId="29278" xr:uid="{00000000-0005-0000-0000-00005E720000}"/>
    <cellStyle name="Note 2 5" xfId="29279" xr:uid="{00000000-0005-0000-0000-00005F720000}"/>
    <cellStyle name="Note 2 5 2" xfId="29280" xr:uid="{00000000-0005-0000-0000-000060720000}"/>
    <cellStyle name="Note 2 5 2 2" xfId="29281" xr:uid="{00000000-0005-0000-0000-000061720000}"/>
    <cellStyle name="Note 2 5 2 2 2" xfId="29282" xr:uid="{00000000-0005-0000-0000-000062720000}"/>
    <cellStyle name="Note 2 5 2 2 2 2" xfId="29283" xr:uid="{00000000-0005-0000-0000-000063720000}"/>
    <cellStyle name="Note 2 5 2 2 2 2 2" xfId="29284" xr:uid="{00000000-0005-0000-0000-000064720000}"/>
    <cellStyle name="Note 2 5 2 2 2 2 3" xfId="29285" xr:uid="{00000000-0005-0000-0000-000065720000}"/>
    <cellStyle name="Note 2 5 2 2 2 3" xfId="29286" xr:uid="{00000000-0005-0000-0000-000066720000}"/>
    <cellStyle name="Note 2 5 2 2 2 4" xfId="29287" xr:uid="{00000000-0005-0000-0000-000067720000}"/>
    <cellStyle name="Note 2 5 2 2 3" xfId="29288" xr:uid="{00000000-0005-0000-0000-000068720000}"/>
    <cellStyle name="Note 2 5 2 2 3 2" xfId="29289" xr:uid="{00000000-0005-0000-0000-000069720000}"/>
    <cellStyle name="Note 2 5 2 2 3 3" xfId="29290" xr:uid="{00000000-0005-0000-0000-00006A720000}"/>
    <cellStyle name="Note 2 5 2 2 4" xfId="29291" xr:uid="{00000000-0005-0000-0000-00006B720000}"/>
    <cellStyle name="Note 2 5 2 2 5" xfId="29292" xr:uid="{00000000-0005-0000-0000-00006C720000}"/>
    <cellStyle name="Note 2 5 3" xfId="29293" xr:uid="{00000000-0005-0000-0000-00006D720000}"/>
    <cellStyle name="Note 2 5 3 2" xfId="29294" xr:uid="{00000000-0005-0000-0000-00006E720000}"/>
    <cellStyle name="Note 2 5 3 2 2" xfId="29295" xr:uid="{00000000-0005-0000-0000-00006F720000}"/>
    <cellStyle name="Note 2 5 3 2 2 2" xfId="29296" xr:uid="{00000000-0005-0000-0000-000070720000}"/>
    <cellStyle name="Note 2 5 3 2 2 3" xfId="29297" xr:uid="{00000000-0005-0000-0000-000071720000}"/>
    <cellStyle name="Note 2 5 3 2 3" xfId="29298" xr:uid="{00000000-0005-0000-0000-000072720000}"/>
    <cellStyle name="Note 2 5 3 2 4" xfId="29299" xr:uid="{00000000-0005-0000-0000-000073720000}"/>
    <cellStyle name="Note 2 5 3 3" xfId="29300" xr:uid="{00000000-0005-0000-0000-000074720000}"/>
    <cellStyle name="Note 2 5 3 3 2" xfId="29301" xr:uid="{00000000-0005-0000-0000-000075720000}"/>
    <cellStyle name="Note 2 5 3 3 3" xfId="29302" xr:uid="{00000000-0005-0000-0000-000076720000}"/>
    <cellStyle name="Note 2 5 3 4" xfId="29303" xr:uid="{00000000-0005-0000-0000-000077720000}"/>
    <cellStyle name="Note 2 5 3 5" xfId="29304" xr:uid="{00000000-0005-0000-0000-000078720000}"/>
    <cellStyle name="Note 2 6" xfId="29305" xr:uid="{00000000-0005-0000-0000-000079720000}"/>
    <cellStyle name="Note 2 6 2" xfId="29306" xr:uid="{00000000-0005-0000-0000-00007A720000}"/>
    <cellStyle name="Note 2 6 2 2" xfId="29307" xr:uid="{00000000-0005-0000-0000-00007B720000}"/>
    <cellStyle name="Note 2 6 2 2 2" xfId="29308" xr:uid="{00000000-0005-0000-0000-00007C720000}"/>
    <cellStyle name="Note 2 6 2 2 2 2" xfId="29309" xr:uid="{00000000-0005-0000-0000-00007D720000}"/>
    <cellStyle name="Note 2 6 2 2 2 2 2" xfId="29310" xr:uid="{00000000-0005-0000-0000-00007E720000}"/>
    <cellStyle name="Note 2 6 2 2 2 2 3" xfId="29311" xr:uid="{00000000-0005-0000-0000-00007F720000}"/>
    <cellStyle name="Note 2 6 2 2 2 3" xfId="29312" xr:uid="{00000000-0005-0000-0000-000080720000}"/>
    <cellStyle name="Note 2 6 2 2 2 4" xfId="29313" xr:uid="{00000000-0005-0000-0000-000081720000}"/>
    <cellStyle name="Note 2 6 2 2 3" xfId="29314" xr:uid="{00000000-0005-0000-0000-000082720000}"/>
    <cellStyle name="Note 2 6 2 2 3 2" xfId="29315" xr:uid="{00000000-0005-0000-0000-000083720000}"/>
    <cellStyle name="Note 2 6 2 2 3 3" xfId="29316" xr:uid="{00000000-0005-0000-0000-000084720000}"/>
    <cellStyle name="Note 2 6 2 2 4" xfId="29317" xr:uid="{00000000-0005-0000-0000-000085720000}"/>
    <cellStyle name="Note 2 6 2 2 5" xfId="29318" xr:uid="{00000000-0005-0000-0000-000086720000}"/>
    <cellStyle name="Note 2 6 3" xfId="29319" xr:uid="{00000000-0005-0000-0000-000087720000}"/>
    <cellStyle name="Note 2 6 3 2" xfId="29320" xr:uid="{00000000-0005-0000-0000-000088720000}"/>
    <cellStyle name="Note 2 6 3 2 2" xfId="29321" xr:uid="{00000000-0005-0000-0000-000089720000}"/>
    <cellStyle name="Note 2 6 3 2 2 2" xfId="29322" xr:uid="{00000000-0005-0000-0000-00008A720000}"/>
    <cellStyle name="Note 2 6 3 2 2 3" xfId="29323" xr:uid="{00000000-0005-0000-0000-00008B720000}"/>
    <cellStyle name="Note 2 6 3 2 3" xfId="29324" xr:uid="{00000000-0005-0000-0000-00008C720000}"/>
    <cellStyle name="Note 2 6 3 2 4" xfId="29325" xr:uid="{00000000-0005-0000-0000-00008D720000}"/>
    <cellStyle name="Note 2 6 3 3" xfId="29326" xr:uid="{00000000-0005-0000-0000-00008E720000}"/>
    <cellStyle name="Note 2 6 3 3 2" xfId="29327" xr:uid="{00000000-0005-0000-0000-00008F720000}"/>
    <cellStyle name="Note 2 6 3 3 3" xfId="29328" xr:uid="{00000000-0005-0000-0000-000090720000}"/>
    <cellStyle name="Note 2 6 3 4" xfId="29329" xr:uid="{00000000-0005-0000-0000-000091720000}"/>
    <cellStyle name="Note 2 6 3 5" xfId="29330" xr:uid="{00000000-0005-0000-0000-000092720000}"/>
    <cellStyle name="Note 2 7" xfId="29331" xr:uid="{00000000-0005-0000-0000-000093720000}"/>
    <cellStyle name="Note 2 7 2" xfId="29332" xr:uid="{00000000-0005-0000-0000-000094720000}"/>
    <cellStyle name="Note 2 7 2 2" xfId="29333" xr:uid="{00000000-0005-0000-0000-000095720000}"/>
    <cellStyle name="Note 2 7 2 2 2" xfId="29334" xr:uid="{00000000-0005-0000-0000-000096720000}"/>
    <cellStyle name="Note 2 7 2 2 2 2" xfId="29335" xr:uid="{00000000-0005-0000-0000-000097720000}"/>
    <cellStyle name="Note 2 7 2 2 2 2 2" xfId="29336" xr:uid="{00000000-0005-0000-0000-000098720000}"/>
    <cellStyle name="Note 2 7 2 2 2 2 3" xfId="29337" xr:uid="{00000000-0005-0000-0000-000099720000}"/>
    <cellStyle name="Note 2 7 2 2 2 3" xfId="29338" xr:uid="{00000000-0005-0000-0000-00009A720000}"/>
    <cellStyle name="Note 2 7 2 2 2 4" xfId="29339" xr:uid="{00000000-0005-0000-0000-00009B720000}"/>
    <cellStyle name="Note 2 7 2 2 3" xfId="29340" xr:uid="{00000000-0005-0000-0000-00009C720000}"/>
    <cellStyle name="Note 2 7 2 2 3 2" xfId="29341" xr:uid="{00000000-0005-0000-0000-00009D720000}"/>
    <cellStyle name="Note 2 7 2 2 3 3" xfId="29342" xr:uid="{00000000-0005-0000-0000-00009E720000}"/>
    <cellStyle name="Note 2 7 2 2 4" xfId="29343" xr:uid="{00000000-0005-0000-0000-00009F720000}"/>
    <cellStyle name="Note 2 7 2 2 5" xfId="29344" xr:uid="{00000000-0005-0000-0000-0000A0720000}"/>
    <cellStyle name="Note 2 7 3" xfId="29345" xr:uid="{00000000-0005-0000-0000-0000A1720000}"/>
    <cellStyle name="Note 2 7 3 2" xfId="29346" xr:uid="{00000000-0005-0000-0000-0000A2720000}"/>
    <cellStyle name="Note 2 7 3 2 2" xfId="29347" xr:uid="{00000000-0005-0000-0000-0000A3720000}"/>
    <cellStyle name="Note 2 7 3 2 2 2" xfId="29348" xr:uid="{00000000-0005-0000-0000-0000A4720000}"/>
    <cellStyle name="Note 2 7 3 2 2 3" xfId="29349" xr:uid="{00000000-0005-0000-0000-0000A5720000}"/>
    <cellStyle name="Note 2 7 3 2 3" xfId="29350" xr:uid="{00000000-0005-0000-0000-0000A6720000}"/>
    <cellStyle name="Note 2 7 3 2 4" xfId="29351" xr:uid="{00000000-0005-0000-0000-0000A7720000}"/>
    <cellStyle name="Note 2 7 3 3" xfId="29352" xr:uid="{00000000-0005-0000-0000-0000A8720000}"/>
    <cellStyle name="Note 2 7 3 3 2" xfId="29353" xr:uid="{00000000-0005-0000-0000-0000A9720000}"/>
    <cellStyle name="Note 2 7 3 3 3" xfId="29354" xr:uid="{00000000-0005-0000-0000-0000AA720000}"/>
    <cellStyle name="Note 2 7 3 4" xfId="29355" xr:uid="{00000000-0005-0000-0000-0000AB720000}"/>
    <cellStyle name="Note 2 7 3 5" xfId="29356" xr:uid="{00000000-0005-0000-0000-0000AC720000}"/>
    <cellStyle name="Note 2 8" xfId="29357" xr:uid="{00000000-0005-0000-0000-0000AD720000}"/>
    <cellStyle name="Note 2 8 2" xfId="29358" xr:uid="{00000000-0005-0000-0000-0000AE720000}"/>
    <cellStyle name="Note 2 8 2 2" xfId="29359" xr:uid="{00000000-0005-0000-0000-0000AF720000}"/>
    <cellStyle name="Note 2 8 2 2 2" xfId="29360" xr:uid="{00000000-0005-0000-0000-0000B0720000}"/>
    <cellStyle name="Note 2 8 2 2 2 2" xfId="29361" xr:uid="{00000000-0005-0000-0000-0000B1720000}"/>
    <cellStyle name="Note 2 8 2 2 2 2 2" xfId="29362" xr:uid="{00000000-0005-0000-0000-0000B2720000}"/>
    <cellStyle name="Note 2 8 2 2 2 2 3" xfId="29363" xr:uid="{00000000-0005-0000-0000-0000B3720000}"/>
    <cellStyle name="Note 2 8 2 2 2 3" xfId="29364" xr:uid="{00000000-0005-0000-0000-0000B4720000}"/>
    <cellStyle name="Note 2 8 2 2 2 4" xfId="29365" xr:uid="{00000000-0005-0000-0000-0000B5720000}"/>
    <cellStyle name="Note 2 8 2 2 3" xfId="29366" xr:uid="{00000000-0005-0000-0000-0000B6720000}"/>
    <cellStyle name="Note 2 8 2 2 3 2" xfId="29367" xr:uid="{00000000-0005-0000-0000-0000B7720000}"/>
    <cellStyle name="Note 2 8 2 2 3 3" xfId="29368" xr:uid="{00000000-0005-0000-0000-0000B8720000}"/>
    <cellStyle name="Note 2 8 2 2 4" xfId="29369" xr:uid="{00000000-0005-0000-0000-0000B9720000}"/>
    <cellStyle name="Note 2 8 2 2 5" xfId="29370" xr:uid="{00000000-0005-0000-0000-0000BA720000}"/>
    <cellStyle name="Note 2 8 3" xfId="29371" xr:uid="{00000000-0005-0000-0000-0000BB720000}"/>
    <cellStyle name="Note 2 8 3 2" xfId="29372" xr:uid="{00000000-0005-0000-0000-0000BC720000}"/>
    <cellStyle name="Note 2 8 3 2 2" xfId="29373" xr:uid="{00000000-0005-0000-0000-0000BD720000}"/>
    <cellStyle name="Note 2 8 3 2 2 2" xfId="29374" xr:uid="{00000000-0005-0000-0000-0000BE720000}"/>
    <cellStyle name="Note 2 8 3 2 2 3" xfId="29375" xr:uid="{00000000-0005-0000-0000-0000BF720000}"/>
    <cellStyle name="Note 2 8 3 2 3" xfId="29376" xr:uid="{00000000-0005-0000-0000-0000C0720000}"/>
    <cellStyle name="Note 2 8 3 2 4" xfId="29377" xr:uid="{00000000-0005-0000-0000-0000C1720000}"/>
    <cellStyle name="Note 2 8 3 3" xfId="29378" xr:uid="{00000000-0005-0000-0000-0000C2720000}"/>
    <cellStyle name="Note 2 8 3 3 2" xfId="29379" xr:uid="{00000000-0005-0000-0000-0000C3720000}"/>
    <cellStyle name="Note 2 8 3 3 3" xfId="29380" xr:uid="{00000000-0005-0000-0000-0000C4720000}"/>
    <cellStyle name="Note 2 8 3 4" xfId="29381" xr:uid="{00000000-0005-0000-0000-0000C5720000}"/>
    <cellStyle name="Note 2 8 3 5" xfId="29382" xr:uid="{00000000-0005-0000-0000-0000C6720000}"/>
    <cellStyle name="Note 2 9" xfId="29383" xr:uid="{00000000-0005-0000-0000-0000C7720000}"/>
    <cellStyle name="Note 2 9 2" xfId="29384" xr:uid="{00000000-0005-0000-0000-0000C8720000}"/>
    <cellStyle name="Note 2 9 2 2" xfId="29385" xr:uid="{00000000-0005-0000-0000-0000C9720000}"/>
    <cellStyle name="Note 2 9 2 2 2" xfId="29386" xr:uid="{00000000-0005-0000-0000-0000CA720000}"/>
    <cellStyle name="Note 2 9 2 2 2 2" xfId="29387" xr:uid="{00000000-0005-0000-0000-0000CB720000}"/>
    <cellStyle name="Note 2 9 2 2 2 2 2" xfId="29388" xr:uid="{00000000-0005-0000-0000-0000CC720000}"/>
    <cellStyle name="Note 2 9 2 2 2 2 3" xfId="29389" xr:uid="{00000000-0005-0000-0000-0000CD720000}"/>
    <cellStyle name="Note 2 9 2 2 2 3" xfId="29390" xr:uid="{00000000-0005-0000-0000-0000CE720000}"/>
    <cellStyle name="Note 2 9 2 2 2 4" xfId="29391" xr:uid="{00000000-0005-0000-0000-0000CF720000}"/>
    <cellStyle name="Note 2 9 2 2 3" xfId="29392" xr:uid="{00000000-0005-0000-0000-0000D0720000}"/>
    <cellStyle name="Note 2 9 2 2 3 2" xfId="29393" xr:uid="{00000000-0005-0000-0000-0000D1720000}"/>
    <cellStyle name="Note 2 9 2 2 3 3" xfId="29394" xr:uid="{00000000-0005-0000-0000-0000D2720000}"/>
    <cellStyle name="Note 2 9 2 2 4" xfId="29395" xr:uid="{00000000-0005-0000-0000-0000D3720000}"/>
    <cellStyle name="Note 2 9 2 2 5" xfId="29396" xr:uid="{00000000-0005-0000-0000-0000D4720000}"/>
    <cellStyle name="Note 2 9 3" xfId="29397" xr:uid="{00000000-0005-0000-0000-0000D5720000}"/>
    <cellStyle name="Note 2 9 3 2" xfId="29398" xr:uid="{00000000-0005-0000-0000-0000D6720000}"/>
    <cellStyle name="Note 2 9 3 2 2" xfId="29399" xr:uid="{00000000-0005-0000-0000-0000D7720000}"/>
    <cellStyle name="Note 2 9 3 2 2 2" xfId="29400" xr:uid="{00000000-0005-0000-0000-0000D8720000}"/>
    <cellStyle name="Note 2 9 3 2 2 3" xfId="29401" xr:uid="{00000000-0005-0000-0000-0000D9720000}"/>
    <cellStyle name="Note 2 9 3 2 3" xfId="29402" xr:uid="{00000000-0005-0000-0000-0000DA720000}"/>
    <cellStyle name="Note 2 9 3 2 4" xfId="29403" xr:uid="{00000000-0005-0000-0000-0000DB720000}"/>
    <cellStyle name="Note 2 9 3 3" xfId="29404" xr:uid="{00000000-0005-0000-0000-0000DC720000}"/>
    <cellStyle name="Note 2 9 3 3 2" xfId="29405" xr:uid="{00000000-0005-0000-0000-0000DD720000}"/>
    <cellStyle name="Note 2 9 3 3 3" xfId="29406" xr:uid="{00000000-0005-0000-0000-0000DE720000}"/>
    <cellStyle name="Note 2 9 3 4" xfId="29407" xr:uid="{00000000-0005-0000-0000-0000DF720000}"/>
    <cellStyle name="Note 2 9 3 5" xfId="29408" xr:uid="{00000000-0005-0000-0000-0000E0720000}"/>
    <cellStyle name="Note 2_provisions q3" xfId="29409" xr:uid="{00000000-0005-0000-0000-0000E1720000}"/>
    <cellStyle name="Note 20" xfId="29410" xr:uid="{00000000-0005-0000-0000-0000E2720000}"/>
    <cellStyle name="Note 20 2" xfId="29411" xr:uid="{00000000-0005-0000-0000-0000E3720000}"/>
    <cellStyle name="Note 20 2 2" xfId="29412" xr:uid="{00000000-0005-0000-0000-0000E4720000}"/>
    <cellStyle name="Note 20 2 2 2" xfId="29413" xr:uid="{00000000-0005-0000-0000-0000E5720000}"/>
    <cellStyle name="Note 20 2 2 2 2" xfId="29414" xr:uid="{00000000-0005-0000-0000-0000E6720000}"/>
    <cellStyle name="Note 20 2 2 2 2 2" xfId="29415" xr:uid="{00000000-0005-0000-0000-0000E7720000}"/>
    <cellStyle name="Note 20 2 2 2 2 2 2" xfId="29416" xr:uid="{00000000-0005-0000-0000-0000E8720000}"/>
    <cellStyle name="Note 20 2 2 2 2 2 3" xfId="29417" xr:uid="{00000000-0005-0000-0000-0000E9720000}"/>
    <cellStyle name="Note 20 2 2 2 2 3" xfId="29418" xr:uid="{00000000-0005-0000-0000-0000EA720000}"/>
    <cellStyle name="Note 20 2 2 2 2 4" xfId="29419" xr:uid="{00000000-0005-0000-0000-0000EB720000}"/>
    <cellStyle name="Note 20 2 2 2 3" xfId="29420" xr:uid="{00000000-0005-0000-0000-0000EC720000}"/>
    <cellStyle name="Note 20 2 2 2 3 2" xfId="29421" xr:uid="{00000000-0005-0000-0000-0000ED720000}"/>
    <cellStyle name="Note 20 2 2 2 3 3" xfId="29422" xr:uid="{00000000-0005-0000-0000-0000EE720000}"/>
    <cellStyle name="Note 20 2 2 2 4" xfId="29423" xr:uid="{00000000-0005-0000-0000-0000EF720000}"/>
    <cellStyle name="Note 20 2 2 2 5" xfId="29424" xr:uid="{00000000-0005-0000-0000-0000F0720000}"/>
    <cellStyle name="Note 20 2 3" xfId="29425" xr:uid="{00000000-0005-0000-0000-0000F1720000}"/>
    <cellStyle name="Note 20 2 3 2" xfId="29426" xr:uid="{00000000-0005-0000-0000-0000F2720000}"/>
    <cellStyle name="Note 20 2 3 2 2" xfId="29427" xr:uid="{00000000-0005-0000-0000-0000F3720000}"/>
    <cellStyle name="Note 20 2 3 2 2 2" xfId="29428" xr:uid="{00000000-0005-0000-0000-0000F4720000}"/>
    <cellStyle name="Note 20 2 3 2 2 3" xfId="29429" xr:uid="{00000000-0005-0000-0000-0000F5720000}"/>
    <cellStyle name="Note 20 2 3 2 3" xfId="29430" xr:uid="{00000000-0005-0000-0000-0000F6720000}"/>
    <cellStyle name="Note 20 2 3 2 4" xfId="29431" xr:uid="{00000000-0005-0000-0000-0000F7720000}"/>
    <cellStyle name="Note 20 2 3 3" xfId="29432" xr:uid="{00000000-0005-0000-0000-0000F8720000}"/>
    <cellStyle name="Note 20 2 3 3 2" xfId="29433" xr:uid="{00000000-0005-0000-0000-0000F9720000}"/>
    <cellStyle name="Note 20 2 3 3 3" xfId="29434" xr:uid="{00000000-0005-0000-0000-0000FA720000}"/>
    <cellStyle name="Note 20 2 3 4" xfId="29435" xr:uid="{00000000-0005-0000-0000-0000FB720000}"/>
    <cellStyle name="Note 20 2 3 5" xfId="29436" xr:uid="{00000000-0005-0000-0000-0000FC720000}"/>
    <cellStyle name="Note 20 3" xfId="29437" xr:uid="{00000000-0005-0000-0000-0000FD720000}"/>
    <cellStyle name="Note 20 3 2" xfId="29438" xr:uid="{00000000-0005-0000-0000-0000FE720000}"/>
    <cellStyle name="Note 20 3 2 2" xfId="29439" xr:uid="{00000000-0005-0000-0000-0000FF720000}"/>
    <cellStyle name="Note 20 3 2 2 2" xfId="29440" xr:uid="{00000000-0005-0000-0000-000000730000}"/>
    <cellStyle name="Note 20 3 2 2 2 2" xfId="29441" xr:uid="{00000000-0005-0000-0000-000001730000}"/>
    <cellStyle name="Note 20 3 2 2 2 2 2" xfId="29442" xr:uid="{00000000-0005-0000-0000-000002730000}"/>
    <cellStyle name="Note 20 3 2 2 2 2 3" xfId="29443" xr:uid="{00000000-0005-0000-0000-000003730000}"/>
    <cellStyle name="Note 20 3 2 2 2 3" xfId="29444" xr:uid="{00000000-0005-0000-0000-000004730000}"/>
    <cellStyle name="Note 20 3 2 2 2 4" xfId="29445" xr:uid="{00000000-0005-0000-0000-000005730000}"/>
    <cellStyle name="Note 20 3 2 2 3" xfId="29446" xr:uid="{00000000-0005-0000-0000-000006730000}"/>
    <cellStyle name="Note 20 3 2 2 3 2" xfId="29447" xr:uid="{00000000-0005-0000-0000-000007730000}"/>
    <cellStyle name="Note 20 3 2 2 3 3" xfId="29448" xr:uid="{00000000-0005-0000-0000-000008730000}"/>
    <cellStyle name="Note 20 3 2 2 4" xfId="29449" xr:uid="{00000000-0005-0000-0000-000009730000}"/>
    <cellStyle name="Note 20 3 2 2 5" xfId="29450" xr:uid="{00000000-0005-0000-0000-00000A730000}"/>
    <cellStyle name="Note 20 3 3" xfId="29451" xr:uid="{00000000-0005-0000-0000-00000B730000}"/>
    <cellStyle name="Note 20 3 3 2" xfId="29452" xr:uid="{00000000-0005-0000-0000-00000C730000}"/>
    <cellStyle name="Note 20 3 3 2 2" xfId="29453" xr:uid="{00000000-0005-0000-0000-00000D730000}"/>
    <cellStyle name="Note 20 3 3 2 2 2" xfId="29454" xr:uid="{00000000-0005-0000-0000-00000E730000}"/>
    <cellStyle name="Note 20 3 3 2 2 3" xfId="29455" xr:uid="{00000000-0005-0000-0000-00000F730000}"/>
    <cellStyle name="Note 20 3 3 2 3" xfId="29456" xr:uid="{00000000-0005-0000-0000-000010730000}"/>
    <cellStyle name="Note 20 3 3 2 4" xfId="29457" xr:uid="{00000000-0005-0000-0000-000011730000}"/>
    <cellStyle name="Note 20 3 3 3" xfId="29458" xr:uid="{00000000-0005-0000-0000-000012730000}"/>
    <cellStyle name="Note 20 3 3 3 2" xfId="29459" xr:uid="{00000000-0005-0000-0000-000013730000}"/>
    <cellStyle name="Note 20 3 3 3 3" xfId="29460" xr:uid="{00000000-0005-0000-0000-000014730000}"/>
    <cellStyle name="Note 20 3 3 4" xfId="29461" xr:uid="{00000000-0005-0000-0000-000015730000}"/>
    <cellStyle name="Note 20 3 3 5" xfId="29462" xr:uid="{00000000-0005-0000-0000-000016730000}"/>
    <cellStyle name="Note 20 4" xfId="29463" xr:uid="{00000000-0005-0000-0000-000017730000}"/>
    <cellStyle name="Note 20 4 2" xfId="29464" xr:uid="{00000000-0005-0000-0000-000018730000}"/>
    <cellStyle name="Note 20 4 2 2" xfId="29465" xr:uid="{00000000-0005-0000-0000-000019730000}"/>
    <cellStyle name="Note 20 4 2 2 2" xfId="29466" xr:uid="{00000000-0005-0000-0000-00001A730000}"/>
    <cellStyle name="Note 20 4 2 2 2 2" xfId="29467" xr:uid="{00000000-0005-0000-0000-00001B730000}"/>
    <cellStyle name="Note 20 4 2 2 2 2 2" xfId="29468" xr:uid="{00000000-0005-0000-0000-00001C730000}"/>
    <cellStyle name="Note 20 4 2 2 2 2 3" xfId="29469" xr:uid="{00000000-0005-0000-0000-00001D730000}"/>
    <cellStyle name="Note 20 4 2 2 2 3" xfId="29470" xr:uid="{00000000-0005-0000-0000-00001E730000}"/>
    <cellStyle name="Note 20 4 2 2 2 4" xfId="29471" xr:uid="{00000000-0005-0000-0000-00001F730000}"/>
    <cellStyle name="Note 20 4 2 2 3" xfId="29472" xr:uid="{00000000-0005-0000-0000-000020730000}"/>
    <cellStyle name="Note 20 4 2 2 3 2" xfId="29473" xr:uid="{00000000-0005-0000-0000-000021730000}"/>
    <cellStyle name="Note 20 4 2 2 3 3" xfId="29474" xr:uid="{00000000-0005-0000-0000-000022730000}"/>
    <cellStyle name="Note 20 4 2 2 4" xfId="29475" xr:uid="{00000000-0005-0000-0000-000023730000}"/>
    <cellStyle name="Note 20 4 2 2 5" xfId="29476" xr:uid="{00000000-0005-0000-0000-000024730000}"/>
    <cellStyle name="Note 20 4 3" xfId="29477" xr:uid="{00000000-0005-0000-0000-000025730000}"/>
    <cellStyle name="Note 20 4 3 2" xfId="29478" xr:uid="{00000000-0005-0000-0000-000026730000}"/>
    <cellStyle name="Note 20 4 3 2 2" xfId="29479" xr:uid="{00000000-0005-0000-0000-000027730000}"/>
    <cellStyle name="Note 20 4 3 2 2 2" xfId="29480" xr:uid="{00000000-0005-0000-0000-000028730000}"/>
    <cellStyle name="Note 20 4 3 2 2 3" xfId="29481" xr:uid="{00000000-0005-0000-0000-000029730000}"/>
    <cellStyle name="Note 20 4 3 2 3" xfId="29482" xr:uid="{00000000-0005-0000-0000-00002A730000}"/>
    <cellStyle name="Note 20 4 3 2 4" xfId="29483" xr:uid="{00000000-0005-0000-0000-00002B730000}"/>
    <cellStyle name="Note 20 4 3 3" xfId="29484" xr:uid="{00000000-0005-0000-0000-00002C730000}"/>
    <cellStyle name="Note 20 4 3 3 2" xfId="29485" xr:uid="{00000000-0005-0000-0000-00002D730000}"/>
    <cellStyle name="Note 20 4 3 3 3" xfId="29486" xr:uid="{00000000-0005-0000-0000-00002E730000}"/>
    <cellStyle name="Note 20 4 3 4" xfId="29487" xr:uid="{00000000-0005-0000-0000-00002F730000}"/>
    <cellStyle name="Note 20 4 3 5" xfId="29488" xr:uid="{00000000-0005-0000-0000-000030730000}"/>
    <cellStyle name="Note 20 5" xfId="29489" xr:uid="{00000000-0005-0000-0000-000031730000}"/>
    <cellStyle name="Note 20 5 2" xfId="29490" xr:uid="{00000000-0005-0000-0000-000032730000}"/>
    <cellStyle name="Note 20 5 2 2" xfId="29491" xr:uid="{00000000-0005-0000-0000-000033730000}"/>
    <cellStyle name="Note 20 5 2 2 2" xfId="29492" xr:uid="{00000000-0005-0000-0000-000034730000}"/>
    <cellStyle name="Note 20 5 2 2 2 2" xfId="29493" xr:uid="{00000000-0005-0000-0000-000035730000}"/>
    <cellStyle name="Note 20 5 2 2 2 3" xfId="29494" xr:uid="{00000000-0005-0000-0000-000036730000}"/>
    <cellStyle name="Note 20 5 2 2 3" xfId="29495" xr:uid="{00000000-0005-0000-0000-000037730000}"/>
    <cellStyle name="Note 20 5 2 2 4" xfId="29496" xr:uid="{00000000-0005-0000-0000-000038730000}"/>
    <cellStyle name="Note 20 5 2 3" xfId="29497" xr:uid="{00000000-0005-0000-0000-000039730000}"/>
    <cellStyle name="Note 20 5 2 3 2" xfId="29498" xr:uid="{00000000-0005-0000-0000-00003A730000}"/>
    <cellStyle name="Note 20 5 2 3 3" xfId="29499" xr:uid="{00000000-0005-0000-0000-00003B730000}"/>
    <cellStyle name="Note 20 5 2 4" xfId="29500" xr:uid="{00000000-0005-0000-0000-00003C730000}"/>
    <cellStyle name="Note 20 5 2 5" xfId="29501" xr:uid="{00000000-0005-0000-0000-00003D730000}"/>
    <cellStyle name="Note 20 6" xfId="29502" xr:uid="{00000000-0005-0000-0000-00003E730000}"/>
    <cellStyle name="Note 20 6 2" xfId="29503" xr:uid="{00000000-0005-0000-0000-00003F730000}"/>
    <cellStyle name="Note 20 6 2 2" xfId="29504" xr:uid="{00000000-0005-0000-0000-000040730000}"/>
    <cellStyle name="Note 20 6 2 2 2" xfId="29505" xr:uid="{00000000-0005-0000-0000-000041730000}"/>
    <cellStyle name="Note 20 6 2 2 2 2" xfId="29506" xr:uid="{00000000-0005-0000-0000-000042730000}"/>
    <cellStyle name="Note 20 6 2 2 2 3" xfId="29507" xr:uid="{00000000-0005-0000-0000-000043730000}"/>
    <cellStyle name="Note 20 6 2 2 3" xfId="29508" xr:uid="{00000000-0005-0000-0000-000044730000}"/>
    <cellStyle name="Note 20 6 2 2 4" xfId="29509" xr:uid="{00000000-0005-0000-0000-000045730000}"/>
    <cellStyle name="Note 20 6 2 3" xfId="29510" xr:uid="{00000000-0005-0000-0000-000046730000}"/>
    <cellStyle name="Note 20 6 2 3 2" xfId="29511" xr:uid="{00000000-0005-0000-0000-000047730000}"/>
    <cellStyle name="Note 20 6 2 3 3" xfId="29512" xr:uid="{00000000-0005-0000-0000-000048730000}"/>
    <cellStyle name="Note 20 6 2 4" xfId="29513" xr:uid="{00000000-0005-0000-0000-000049730000}"/>
    <cellStyle name="Note 20 6 2 5" xfId="29514" xr:uid="{00000000-0005-0000-0000-00004A730000}"/>
    <cellStyle name="Note 20 7" xfId="29515" xr:uid="{00000000-0005-0000-0000-00004B730000}"/>
    <cellStyle name="Note 20 7 2" xfId="29516" xr:uid="{00000000-0005-0000-0000-00004C730000}"/>
    <cellStyle name="Note 20 7 2 2" xfId="29517" xr:uid="{00000000-0005-0000-0000-00004D730000}"/>
    <cellStyle name="Note 20 7 2 2 2" xfId="29518" xr:uid="{00000000-0005-0000-0000-00004E730000}"/>
    <cellStyle name="Note 20 7 2 2 2 2" xfId="29519" xr:uid="{00000000-0005-0000-0000-00004F730000}"/>
    <cellStyle name="Note 20 7 2 2 2 3" xfId="29520" xr:uid="{00000000-0005-0000-0000-000050730000}"/>
    <cellStyle name="Note 20 7 2 2 3" xfId="29521" xr:uid="{00000000-0005-0000-0000-000051730000}"/>
    <cellStyle name="Note 20 7 2 2 4" xfId="29522" xr:uid="{00000000-0005-0000-0000-000052730000}"/>
    <cellStyle name="Note 20 7 2 3" xfId="29523" xr:uid="{00000000-0005-0000-0000-000053730000}"/>
    <cellStyle name="Note 20 7 2 3 2" xfId="29524" xr:uid="{00000000-0005-0000-0000-000054730000}"/>
    <cellStyle name="Note 20 7 2 3 3" xfId="29525" xr:uid="{00000000-0005-0000-0000-000055730000}"/>
    <cellStyle name="Note 20 7 2 4" xfId="29526" xr:uid="{00000000-0005-0000-0000-000056730000}"/>
    <cellStyle name="Note 20 7 2 5" xfId="29527" xr:uid="{00000000-0005-0000-0000-000057730000}"/>
    <cellStyle name="Note 20 8" xfId="29528" xr:uid="{00000000-0005-0000-0000-000058730000}"/>
    <cellStyle name="Note 20 8 2" xfId="29529" xr:uid="{00000000-0005-0000-0000-000059730000}"/>
    <cellStyle name="Note 20 8 2 2" xfId="29530" xr:uid="{00000000-0005-0000-0000-00005A730000}"/>
    <cellStyle name="Note 20 8 2 2 2" xfId="29531" xr:uid="{00000000-0005-0000-0000-00005B730000}"/>
    <cellStyle name="Note 20 8 2 2 2 2" xfId="29532" xr:uid="{00000000-0005-0000-0000-00005C730000}"/>
    <cellStyle name="Note 20 8 2 2 2 3" xfId="29533" xr:uid="{00000000-0005-0000-0000-00005D730000}"/>
    <cellStyle name="Note 20 8 2 2 3" xfId="29534" xr:uid="{00000000-0005-0000-0000-00005E730000}"/>
    <cellStyle name="Note 20 8 2 2 4" xfId="29535" xr:uid="{00000000-0005-0000-0000-00005F730000}"/>
    <cellStyle name="Note 20 8 2 3" xfId="29536" xr:uid="{00000000-0005-0000-0000-000060730000}"/>
    <cellStyle name="Note 20 8 2 3 2" xfId="29537" xr:uid="{00000000-0005-0000-0000-000061730000}"/>
    <cellStyle name="Note 20 8 2 3 3" xfId="29538" xr:uid="{00000000-0005-0000-0000-000062730000}"/>
    <cellStyle name="Note 20 8 2 4" xfId="29539" xr:uid="{00000000-0005-0000-0000-000063730000}"/>
    <cellStyle name="Note 20 8 2 5" xfId="29540" xr:uid="{00000000-0005-0000-0000-000064730000}"/>
    <cellStyle name="Note 20 9" xfId="29541" xr:uid="{00000000-0005-0000-0000-000065730000}"/>
    <cellStyle name="Note 20 9 2" xfId="29542" xr:uid="{00000000-0005-0000-0000-000066730000}"/>
    <cellStyle name="Note 20 9 2 2" xfId="29543" xr:uid="{00000000-0005-0000-0000-000067730000}"/>
    <cellStyle name="Note 20 9 2 2 2" xfId="29544" xr:uid="{00000000-0005-0000-0000-000068730000}"/>
    <cellStyle name="Note 20 9 2 2 3" xfId="29545" xr:uid="{00000000-0005-0000-0000-000069730000}"/>
    <cellStyle name="Note 20 9 2 3" xfId="29546" xr:uid="{00000000-0005-0000-0000-00006A730000}"/>
    <cellStyle name="Note 20 9 2 4" xfId="29547" xr:uid="{00000000-0005-0000-0000-00006B730000}"/>
    <cellStyle name="Note 20 9 3" xfId="29548" xr:uid="{00000000-0005-0000-0000-00006C730000}"/>
    <cellStyle name="Note 20 9 3 2" xfId="29549" xr:uid="{00000000-0005-0000-0000-00006D730000}"/>
    <cellStyle name="Note 20 9 3 3" xfId="29550" xr:uid="{00000000-0005-0000-0000-00006E730000}"/>
    <cellStyle name="Note 20 9 4" xfId="29551" xr:uid="{00000000-0005-0000-0000-00006F730000}"/>
    <cellStyle name="Note 20 9 5" xfId="29552" xr:uid="{00000000-0005-0000-0000-000070730000}"/>
    <cellStyle name="Note 21" xfId="29553" xr:uid="{00000000-0005-0000-0000-000071730000}"/>
    <cellStyle name="Note 21 2" xfId="29554" xr:uid="{00000000-0005-0000-0000-000072730000}"/>
    <cellStyle name="Note 21 2 2" xfId="29555" xr:uid="{00000000-0005-0000-0000-000073730000}"/>
    <cellStyle name="Note 21 2 2 2" xfId="29556" xr:uid="{00000000-0005-0000-0000-000074730000}"/>
    <cellStyle name="Note 21 2 2 2 2" xfId="29557" xr:uid="{00000000-0005-0000-0000-000075730000}"/>
    <cellStyle name="Note 21 2 2 2 2 2" xfId="29558" xr:uid="{00000000-0005-0000-0000-000076730000}"/>
    <cellStyle name="Note 21 2 2 2 2 2 2" xfId="29559" xr:uid="{00000000-0005-0000-0000-000077730000}"/>
    <cellStyle name="Note 21 2 2 2 2 2 3" xfId="29560" xr:uid="{00000000-0005-0000-0000-000078730000}"/>
    <cellStyle name="Note 21 2 2 2 2 3" xfId="29561" xr:uid="{00000000-0005-0000-0000-000079730000}"/>
    <cellStyle name="Note 21 2 2 2 2 4" xfId="29562" xr:uid="{00000000-0005-0000-0000-00007A730000}"/>
    <cellStyle name="Note 21 2 2 2 3" xfId="29563" xr:uid="{00000000-0005-0000-0000-00007B730000}"/>
    <cellStyle name="Note 21 2 2 2 3 2" xfId="29564" xr:uid="{00000000-0005-0000-0000-00007C730000}"/>
    <cellStyle name="Note 21 2 2 2 3 3" xfId="29565" xr:uid="{00000000-0005-0000-0000-00007D730000}"/>
    <cellStyle name="Note 21 2 2 2 4" xfId="29566" xr:uid="{00000000-0005-0000-0000-00007E730000}"/>
    <cellStyle name="Note 21 2 2 2 5" xfId="29567" xr:uid="{00000000-0005-0000-0000-00007F730000}"/>
    <cellStyle name="Note 21 2 3" xfId="29568" xr:uid="{00000000-0005-0000-0000-000080730000}"/>
    <cellStyle name="Note 21 2 3 2" xfId="29569" xr:uid="{00000000-0005-0000-0000-000081730000}"/>
    <cellStyle name="Note 21 2 3 2 2" xfId="29570" xr:uid="{00000000-0005-0000-0000-000082730000}"/>
    <cellStyle name="Note 21 2 3 2 2 2" xfId="29571" xr:uid="{00000000-0005-0000-0000-000083730000}"/>
    <cellStyle name="Note 21 2 3 2 2 3" xfId="29572" xr:uid="{00000000-0005-0000-0000-000084730000}"/>
    <cellStyle name="Note 21 2 3 2 3" xfId="29573" xr:uid="{00000000-0005-0000-0000-000085730000}"/>
    <cellStyle name="Note 21 2 3 2 4" xfId="29574" xr:uid="{00000000-0005-0000-0000-000086730000}"/>
    <cellStyle name="Note 21 2 3 3" xfId="29575" xr:uid="{00000000-0005-0000-0000-000087730000}"/>
    <cellStyle name="Note 21 2 3 3 2" xfId="29576" xr:uid="{00000000-0005-0000-0000-000088730000}"/>
    <cellStyle name="Note 21 2 3 3 3" xfId="29577" xr:uid="{00000000-0005-0000-0000-000089730000}"/>
    <cellStyle name="Note 21 2 3 4" xfId="29578" xr:uid="{00000000-0005-0000-0000-00008A730000}"/>
    <cellStyle name="Note 21 2 3 5" xfId="29579" xr:uid="{00000000-0005-0000-0000-00008B730000}"/>
    <cellStyle name="Note 21 3" xfId="29580" xr:uid="{00000000-0005-0000-0000-00008C730000}"/>
    <cellStyle name="Note 21 3 2" xfId="29581" xr:uid="{00000000-0005-0000-0000-00008D730000}"/>
    <cellStyle name="Note 21 3 2 2" xfId="29582" xr:uid="{00000000-0005-0000-0000-00008E730000}"/>
    <cellStyle name="Note 21 3 2 2 2" xfId="29583" xr:uid="{00000000-0005-0000-0000-00008F730000}"/>
    <cellStyle name="Note 21 3 2 2 2 2" xfId="29584" xr:uid="{00000000-0005-0000-0000-000090730000}"/>
    <cellStyle name="Note 21 3 2 2 2 2 2" xfId="29585" xr:uid="{00000000-0005-0000-0000-000091730000}"/>
    <cellStyle name="Note 21 3 2 2 2 2 3" xfId="29586" xr:uid="{00000000-0005-0000-0000-000092730000}"/>
    <cellStyle name="Note 21 3 2 2 2 3" xfId="29587" xr:uid="{00000000-0005-0000-0000-000093730000}"/>
    <cellStyle name="Note 21 3 2 2 2 4" xfId="29588" xr:uid="{00000000-0005-0000-0000-000094730000}"/>
    <cellStyle name="Note 21 3 2 2 3" xfId="29589" xr:uid="{00000000-0005-0000-0000-000095730000}"/>
    <cellStyle name="Note 21 3 2 2 3 2" xfId="29590" xr:uid="{00000000-0005-0000-0000-000096730000}"/>
    <cellStyle name="Note 21 3 2 2 3 3" xfId="29591" xr:uid="{00000000-0005-0000-0000-000097730000}"/>
    <cellStyle name="Note 21 3 2 2 4" xfId="29592" xr:uid="{00000000-0005-0000-0000-000098730000}"/>
    <cellStyle name="Note 21 3 2 2 5" xfId="29593" xr:uid="{00000000-0005-0000-0000-000099730000}"/>
    <cellStyle name="Note 21 3 3" xfId="29594" xr:uid="{00000000-0005-0000-0000-00009A730000}"/>
    <cellStyle name="Note 21 3 3 2" xfId="29595" xr:uid="{00000000-0005-0000-0000-00009B730000}"/>
    <cellStyle name="Note 21 3 3 2 2" xfId="29596" xr:uid="{00000000-0005-0000-0000-00009C730000}"/>
    <cellStyle name="Note 21 3 3 2 2 2" xfId="29597" xr:uid="{00000000-0005-0000-0000-00009D730000}"/>
    <cellStyle name="Note 21 3 3 2 2 3" xfId="29598" xr:uid="{00000000-0005-0000-0000-00009E730000}"/>
    <cellStyle name="Note 21 3 3 2 3" xfId="29599" xr:uid="{00000000-0005-0000-0000-00009F730000}"/>
    <cellStyle name="Note 21 3 3 2 4" xfId="29600" xr:uid="{00000000-0005-0000-0000-0000A0730000}"/>
    <cellStyle name="Note 21 3 3 3" xfId="29601" xr:uid="{00000000-0005-0000-0000-0000A1730000}"/>
    <cellStyle name="Note 21 3 3 3 2" xfId="29602" xr:uid="{00000000-0005-0000-0000-0000A2730000}"/>
    <cellStyle name="Note 21 3 3 3 3" xfId="29603" xr:uid="{00000000-0005-0000-0000-0000A3730000}"/>
    <cellStyle name="Note 21 3 3 4" xfId="29604" xr:uid="{00000000-0005-0000-0000-0000A4730000}"/>
    <cellStyle name="Note 21 3 3 5" xfId="29605" xr:uid="{00000000-0005-0000-0000-0000A5730000}"/>
    <cellStyle name="Note 21 4" xfId="29606" xr:uid="{00000000-0005-0000-0000-0000A6730000}"/>
    <cellStyle name="Note 21 4 2" xfId="29607" xr:uid="{00000000-0005-0000-0000-0000A7730000}"/>
    <cellStyle name="Note 21 4 2 2" xfId="29608" xr:uid="{00000000-0005-0000-0000-0000A8730000}"/>
    <cellStyle name="Note 21 4 2 2 2" xfId="29609" xr:uid="{00000000-0005-0000-0000-0000A9730000}"/>
    <cellStyle name="Note 21 4 2 2 2 2" xfId="29610" xr:uid="{00000000-0005-0000-0000-0000AA730000}"/>
    <cellStyle name="Note 21 4 2 2 2 2 2" xfId="29611" xr:uid="{00000000-0005-0000-0000-0000AB730000}"/>
    <cellStyle name="Note 21 4 2 2 2 2 3" xfId="29612" xr:uid="{00000000-0005-0000-0000-0000AC730000}"/>
    <cellStyle name="Note 21 4 2 2 2 3" xfId="29613" xr:uid="{00000000-0005-0000-0000-0000AD730000}"/>
    <cellStyle name="Note 21 4 2 2 2 4" xfId="29614" xr:uid="{00000000-0005-0000-0000-0000AE730000}"/>
    <cellStyle name="Note 21 4 2 2 3" xfId="29615" xr:uid="{00000000-0005-0000-0000-0000AF730000}"/>
    <cellStyle name="Note 21 4 2 2 3 2" xfId="29616" xr:uid="{00000000-0005-0000-0000-0000B0730000}"/>
    <cellStyle name="Note 21 4 2 2 3 3" xfId="29617" xr:uid="{00000000-0005-0000-0000-0000B1730000}"/>
    <cellStyle name="Note 21 4 2 2 4" xfId="29618" xr:uid="{00000000-0005-0000-0000-0000B2730000}"/>
    <cellStyle name="Note 21 4 2 2 5" xfId="29619" xr:uid="{00000000-0005-0000-0000-0000B3730000}"/>
    <cellStyle name="Note 21 4 3" xfId="29620" xr:uid="{00000000-0005-0000-0000-0000B4730000}"/>
    <cellStyle name="Note 21 4 3 2" xfId="29621" xr:uid="{00000000-0005-0000-0000-0000B5730000}"/>
    <cellStyle name="Note 21 4 3 2 2" xfId="29622" xr:uid="{00000000-0005-0000-0000-0000B6730000}"/>
    <cellStyle name="Note 21 4 3 2 2 2" xfId="29623" xr:uid="{00000000-0005-0000-0000-0000B7730000}"/>
    <cellStyle name="Note 21 4 3 2 2 3" xfId="29624" xr:uid="{00000000-0005-0000-0000-0000B8730000}"/>
    <cellStyle name="Note 21 4 3 2 3" xfId="29625" xr:uid="{00000000-0005-0000-0000-0000B9730000}"/>
    <cellStyle name="Note 21 4 3 2 4" xfId="29626" xr:uid="{00000000-0005-0000-0000-0000BA730000}"/>
    <cellStyle name="Note 21 4 3 3" xfId="29627" xr:uid="{00000000-0005-0000-0000-0000BB730000}"/>
    <cellStyle name="Note 21 4 3 3 2" xfId="29628" xr:uid="{00000000-0005-0000-0000-0000BC730000}"/>
    <cellStyle name="Note 21 4 3 3 3" xfId="29629" xr:uid="{00000000-0005-0000-0000-0000BD730000}"/>
    <cellStyle name="Note 21 4 3 4" xfId="29630" xr:uid="{00000000-0005-0000-0000-0000BE730000}"/>
    <cellStyle name="Note 21 4 3 5" xfId="29631" xr:uid="{00000000-0005-0000-0000-0000BF730000}"/>
    <cellStyle name="Note 21 5" xfId="29632" xr:uid="{00000000-0005-0000-0000-0000C0730000}"/>
    <cellStyle name="Note 21 5 2" xfId="29633" xr:uid="{00000000-0005-0000-0000-0000C1730000}"/>
    <cellStyle name="Note 21 5 2 2" xfId="29634" xr:uid="{00000000-0005-0000-0000-0000C2730000}"/>
    <cellStyle name="Note 21 5 2 2 2" xfId="29635" xr:uid="{00000000-0005-0000-0000-0000C3730000}"/>
    <cellStyle name="Note 21 5 2 2 2 2" xfId="29636" xr:uid="{00000000-0005-0000-0000-0000C4730000}"/>
    <cellStyle name="Note 21 5 2 2 2 3" xfId="29637" xr:uid="{00000000-0005-0000-0000-0000C5730000}"/>
    <cellStyle name="Note 21 5 2 2 3" xfId="29638" xr:uid="{00000000-0005-0000-0000-0000C6730000}"/>
    <cellStyle name="Note 21 5 2 2 4" xfId="29639" xr:uid="{00000000-0005-0000-0000-0000C7730000}"/>
    <cellStyle name="Note 21 5 2 3" xfId="29640" xr:uid="{00000000-0005-0000-0000-0000C8730000}"/>
    <cellStyle name="Note 21 5 2 3 2" xfId="29641" xr:uid="{00000000-0005-0000-0000-0000C9730000}"/>
    <cellStyle name="Note 21 5 2 3 3" xfId="29642" xr:uid="{00000000-0005-0000-0000-0000CA730000}"/>
    <cellStyle name="Note 21 5 2 4" xfId="29643" xr:uid="{00000000-0005-0000-0000-0000CB730000}"/>
    <cellStyle name="Note 21 5 2 5" xfId="29644" xr:uid="{00000000-0005-0000-0000-0000CC730000}"/>
    <cellStyle name="Note 21 6" xfId="29645" xr:uid="{00000000-0005-0000-0000-0000CD730000}"/>
    <cellStyle name="Note 21 6 2" xfId="29646" xr:uid="{00000000-0005-0000-0000-0000CE730000}"/>
    <cellStyle name="Note 21 6 2 2" xfId="29647" xr:uid="{00000000-0005-0000-0000-0000CF730000}"/>
    <cellStyle name="Note 21 6 2 2 2" xfId="29648" xr:uid="{00000000-0005-0000-0000-0000D0730000}"/>
    <cellStyle name="Note 21 6 2 2 2 2" xfId="29649" xr:uid="{00000000-0005-0000-0000-0000D1730000}"/>
    <cellStyle name="Note 21 6 2 2 2 3" xfId="29650" xr:uid="{00000000-0005-0000-0000-0000D2730000}"/>
    <cellStyle name="Note 21 6 2 2 3" xfId="29651" xr:uid="{00000000-0005-0000-0000-0000D3730000}"/>
    <cellStyle name="Note 21 6 2 2 4" xfId="29652" xr:uid="{00000000-0005-0000-0000-0000D4730000}"/>
    <cellStyle name="Note 21 6 2 3" xfId="29653" xr:uid="{00000000-0005-0000-0000-0000D5730000}"/>
    <cellStyle name="Note 21 6 2 3 2" xfId="29654" xr:uid="{00000000-0005-0000-0000-0000D6730000}"/>
    <cellStyle name="Note 21 6 2 3 3" xfId="29655" xr:uid="{00000000-0005-0000-0000-0000D7730000}"/>
    <cellStyle name="Note 21 6 2 4" xfId="29656" xr:uid="{00000000-0005-0000-0000-0000D8730000}"/>
    <cellStyle name="Note 21 6 2 5" xfId="29657" xr:uid="{00000000-0005-0000-0000-0000D9730000}"/>
    <cellStyle name="Note 21 7" xfId="29658" xr:uid="{00000000-0005-0000-0000-0000DA730000}"/>
    <cellStyle name="Note 21 7 2" xfId="29659" xr:uid="{00000000-0005-0000-0000-0000DB730000}"/>
    <cellStyle name="Note 21 7 2 2" xfId="29660" xr:uid="{00000000-0005-0000-0000-0000DC730000}"/>
    <cellStyle name="Note 21 7 2 2 2" xfId="29661" xr:uid="{00000000-0005-0000-0000-0000DD730000}"/>
    <cellStyle name="Note 21 7 2 2 2 2" xfId="29662" xr:uid="{00000000-0005-0000-0000-0000DE730000}"/>
    <cellStyle name="Note 21 7 2 2 2 3" xfId="29663" xr:uid="{00000000-0005-0000-0000-0000DF730000}"/>
    <cellStyle name="Note 21 7 2 2 3" xfId="29664" xr:uid="{00000000-0005-0000-0000-0000E0730000}"/>
    <cellStyle name="Note 21 7 2 2 4" xfId="29665" xr:uid="{00000000-0005-0000-0000-0000E1730000}"/>
    <cellStyle name="Note 21 7 2 3" xfId="29666" xr:uid="{00000000-0005-0000-0000-0000E2730000}"/>
    <cellStyle name="Note 21 7 2 3 2" xfId="29667" xr:uid="{00000000-0005-0000-0000-0000E3730000}"/>
    <cellStyle name="Note 21 7 2 3 3" xfId="29668" xr:uid="{00000000-0005-0000-0000-0000E4730000}"/>
    <cellStyle name="Note 21 7 2 4" xfId="29669" xr:uid="{00000000-0005-0000-0000-0000E5730000}"/>
    <cellStyle name="Note 21 7 2 5" xfId="29670" xr:uid="{00000000-0005-0000-0000-0000E6730000}"/>
    <cellStyle name="Note 21 8" xfId="29671" xr:uid="{00000000-0005-0000-0000-0000E7730000}"/>
    <cellStyle name="Note 21 8 2" xfId="29672" xr:uid="{00000000-0005-0000-0000-0000E8730000}"/>
    <cellStyle name="Note 21 8 2 2" xfId="29673" xr:uid="{00000000-0005-0000-0000-0000E9730000}"/>
    <cellStyle name="Note 21 8 2 2 2" xfId="29674" xr:uid="{00000000-0005-0000-0000-0000EA730000}"/>
    <cellStyle name="Note 21 8 2 2 2 2" xfId="29675" xr:uid="{00000000-0005-0000-0000-0000EB730000}"/>
    <cellStyle name="Note 21 8 2 2 2 3" xfId="29676" xr:uid="{00000000-0005-0000-0000-0000EC730000}"/>
    <cellStyle name="Note 21 8 2 2 3" xfId="29677" xr:uid="{00000000-0005-0000-0000-0000ED730000}"/>
    <cellStyle name="Note 21 8 2 2 4" xfId="29678" xr:uid="{00000000-0005-0000-0000-0000EE730000}"/>
    <cellStyle name="Note 21 8 2 3" xfId="29679" xr:uid="{00000000-0005-0000-0000-0000EF730000}"/>
    <cellStyle name="Note 21 8 2 3 2" xfId="29680" xr:uid="{00000000-0005-0000-0000-0000F0730000}"/>
    <cellStyle name="Note 21 8 2 3 3" xfId="29681" xr:uid="{00000000-0005-0000-0000-0000F1730000}"/>
    <cellStyle name="Note 21 8 2 4" xfId="29682" xr:uid="{00000000-0005-0000-0000-0000F2730000}"/>
    <cellStyle name="Note 21 8 2 5" xfId="29683" xr:uid="{00000000-0005-0000-0000-0000F3730000}"/>
    <cellStyle name="Note 21 9" xfId="29684" xr:uid="{00000000-0005-0000-0000-0000F4730000}"/>
    <cellStyle name="Note 21 9 2" xfId="29685" xr:uid="{00000000-0005-0000-0000-0000F5730000}"/>
    <cellStyle name="Note 21 9 2 2" xfId="29686" xr:uid="{00000000-0005-0000-0000-0000F6730000}"/>
    <cellStyle name="Note 21 9 2 2 2" xfId="29687" xr:uid="{00000000-0005-0000-0000-0000F7730000}"/>
    <cellStyle name="Note 21 9 2 2 3" xfId="29688" xr:uid="{00000000-0005-0000-0000-0000F8730000}"/>
    <cellStyle name="Note 21 9 2 3" xfId="29689" xr:uid="{00000000-0005-0000-0000-0000F9730000}"/>
    <cellStyle name="Note 21 9 2 4" xfId="29690" xr:uid="{00000000-0005-0000-0000-0000FA730000}"/>
    <cellStyle name="Note 21 9 3" xfId="29691" xr:uid="{00000000-0005-0000-0000-0000FB730000}"/>
    <cellStyle name="Note 21 9 3 2" xfId="29692" xr:uid="{00000000-0005-0000-0000-0000FC730000}"/>
    <cellStyle name="Note 21 9 3 3" xfId="29693" xr:uid="{00000000-0005-0000-0000-0000FD730000}"/>
    <cellStyle name="Note 21 9 4" xfId="29694" xr:uid="{00000000-0005-0000-0000-0000FE730000}"/>
    <cellStyle name="Note 21 9 5" xfId="29695" xr:uid="{00000000-0005-0000-0000-0000FF730000}"/>
    <cellStyle name="Note 22" xfId="29696" xr:uid="{00000000-0005-0000-0000-000000740000}"/>
    <cellStyle name="Note 22 2" xfId="29697" xr:uid="{00000000-0005-0000-0000-000001740000}"/>
    <cellStyle name="Note 22 2 2" xfId="29698" xr:uid="{00000000-0005-0000-0000-000002740000}"/>
    <cellStyle name="Note 22 2 2 2" xfId="29699" xr:uid="{00000000-0005-0000-0000-000003740000}"/>
    <cellStyle name="Note 22 2 2 2 2" xfId="29700" xr:uid="{00000000-0005-0000-0000-000004740000}"/>
    <cellStyle name="Note 22 2 2 2 2 2" xfId="29701" xr:uid="{00000000-0005-0000-0000-000005740000}"/>
    <cellStyle name="Note 22 2 2 2 2 2 2" xfId="29702" xr:uid="{00000000-0005-0000-0000-000006740000}"/>
    <cellStyle name="Note 22 2 2 2 2 2 3" xfId="29703" xr:uid="{00000000-0005-0000-0000-000007740000}"/>
    <cellStyle name="Note 22 2 2 2 2 3" xfId="29704" xr:uid="{00000000-0005-0000-0000-000008740000}"/>
    <cellStyle name="Note 22 2 2 2 2 4" xfId="29705" xr:uid="{00000000-0005-0000-0000-000009740000}"/>
    <cellStyle name="Note 22 2 2 2 3" xfId="29706" xr:uid="{00000000-0005-0000-0000-00000A740000}"/>
    <cellStyle name="Note 22 2 2 2 3 2" xfId="29707" xr:uid="{00000000-0005-0000-0000-00000B740000}"/>
    <cellStyle name="Note 22 2 2 2 3 3" xfId="29708" xr:uid="{00000000-0005-0000-0000-00000C740000}"/>
    <cellStyle name="Note 22 2 2 2 4" xfId="29709" xr:uid="{00000000-0005-0000-0000-00000D740000}"/>
    <cellStyle name="Note 22 2 2 2 5" xfId="29710" xr:uid="{00000000-0005-0000-0000-00000E740000}"/>
    <cellStyle name="Note 22 2 3" xfId="29711" xr:uid="{00000000-0005-0000-0000-00000F740000}"/>
    <cellStyle name="Note 22 2 3 2" xfId="29712" xr:uid="{00000000-0005-0000-0000-000010740000}"/>
    <cellStyle name="Note 22 2 3 2 2" xfId="29713" xr:uid="{00000000-0005-0000-0000-000011740000}"/>
    <cellStyle name="Note 22 2 3 2 2 2" xfId="29714" xr:uid="{00000000-0005-0000-0000-000012740000}"/>
    <cellStyle name="Note 22 2 3 2 2 3" xfId="29715" xr:uid="{00000000-0005-0000-0000-000013740000}"/>
    <cellStyle name="Note 22 2 3 2 3" xfId="29716" xr:uid="{00000000-0005-0000-0000-000014740000}"/>
    <cellStyle name="Note 22 2 3 2 4" xfId="29717" xr:uid="{00000000-0005-0000-0000-000015740000}"/>
    <cellStyle name="Note 22 2 3 3" xfId="29718" xr:uid="{00000000-0005-0000-0000-000016740000}"/>
    <cellStyle name="Note 22 2 3 3 2" xfId="29719" xr:uid="{00000000-0005-0000-0000-000017740000}"/>
    <cellStyle name="Note 22 2 3 3 3" xfId="29720" xr:uid="{00000000-0005-0000-0000-000018740000}"/>
    <cellStyle name="Note 22 2 3 4" xfId="29721" xr:uid="{00000000-0005-0000-0000-000019740000}"/>
    <cellStyle name="Note 22 2 3 5" xfId="29722" xr:uid="{00000000-0005-0000-0000-00001A740000}"/>
    <cellStyle name="Note 22 3" xfId="29723" xr:uid="{00000000-0005-0000-0000-00001B740000}"/>
    <cellStyle name="Note 22 3 2" xfId="29724" xr:uid="{00000000-0005-0000-0000-00001C740000}"/>
    <cellStyle name="Note 22 3 2 2" xfId="29725" xr:uid="{00000000-0005-0000-0000-00001D740000}"/>
    <cellStyle name="Note 22 3 2 2 2" xfId="29726" xr:uid="{00000000-0005-0000-0000-00001E740000}"/>
    <cellStyle name="Note 22 3 2 2 2 2" xfId="29727" xr:uid="{00000000-0005-0000-0000-00001F740000}"/>
    <cellStyle name="Note 22 3 2 2 2 2 2" xfId="29728" xr:uid="{00000000-0005-0000-0000-000020740000}"/>
    <cellStyle name="Note 22 3 2 2 2 2 3" xfId="29729" xr:uid="{00000000-0005-0000-0000-000021740000}"/>
    <cellStyle name="Note 22 3 2 2 2 3" xfId="29730" xr:uid="{00000000-0005-0000-0000-000022740000}"/>
    <cellStyle name="Note 22 3 2 2 2 4" xfId="29731" xr:uid="{00000000-0005-0000-0000-000023740000}"/>
    <cellStyle name="Note 22 3 2 2 3" xfId="29732" xr:uid="{00000000-0005-0000-0000-000024740000}"/>
    <cellStyle name="Note 22 3 2 2 3 2" xfId="29733" xr:uid="{00000000-0005-0000-0000-000025740000}"/>
    <cellStyle name="Note 22 3 2 2 3 3" xfId="29734" xr:uid="{00000000-0005-0000-0000-000026740000}"/>
    <cellStyle name="Note 22 3 2 2 4" xfId="29735" xr:uid="{00000000-0005-0000-0000-000027740000}"/>
    <cellStyle name="Note 22 3 2 2 5" xfId="29736" xr:uid="{00000000-0005-0000-0000-000028740000}"/>
    <cellStyle name="Note 22 3 3" xfId="29737" xr:uid="{00000000-0005-0000-0000-000029740000}"/>
    <cellStyle name="Note 22 3 3 2" xfId="29738" xr:uid="{00000000-0005-0000-0000-00002A740000}"/>
    <cellStyle name="Note 22 3 3 2 2" xfId="29739" xr:uid="{00000000-0005-0000-0000-00002B740000}"/>
    <cellStyle name="Note 22 3 3 2 2 2" xfId="29740" xr:uid="{00000000-0005-0000-0000-00002C740000}"/>
    <cellStyle name="Note 22 3 3 2 2 3" xfId="29741" xr:uid="{00000000-0005-0000-0000-00002D740000}"/>
    <cellStyle name="Note 22 3 3 2 3" xfId="29742" xr:uid="{00000000-0005-0000-0000-00002E740000}"/>
    <cellStyle name="Note 22 3 3 2 4" xfId="29743" xr:uid="{00000000-0005-0000-0000-00002F740000}"/>
    <cellStyle name="Note 22 3 3 3" xfId="29744" xr:uid="{00000000-0005-0000-0000-000030740000}"/>
    <cellStyle name="Note 22 3 3 3 2" xfId="29745" xr:uid="{00000000-0005-0000-0000-000031740000}"/>
    <cellStyle name="Note 22 3 3 3 3" xfId="29746" xr:uid="{00000000-0005-0000-0000-000032740000}"/>
    <cellStyle name="Note 22 3 3 4" xfId="29747" xr:uid="{00000000-0005-0000-0000-000033740000}"/>
    <cellStyle name="Note 22 3 3 5" xfId="29748" xr:uid="{00000000-0005-0000-0000-000034740000}"/>
    <cellStyle name="Note 22 4" xfId="29749" xr:uid="{00000000-0005-0000-0000-000035740000}"/>
    <cellStyle name="Note 22 4 2" xfId="29750" xr:uid="{00000000-0005-0000-0000-000036740000}"/>
    <cellStyle name="Note 22 4 2 2" xfId="29751" xr:uid="{00000000-0005-0000-0000-000037740000}"/>
    <cellStyle name="Note 22 4 2 2 2" xfId="29752" xr:uid="{00000000-0005-0000-0000-000038740000}"/>
    <cellStyle name="Note 22 4 2 2 2 2" xfId="29753" xr:uid="{00000000-0005-0000-0000-000039740000}"/>
    <cellStyle name="Note 22 4 2 2 2 3" xfId="29754" xr:uid="{00000000-0005-0000-0000-00003A740000}"/>
    <cellStyle name="Note 22 4 2 2 3" xfId="29755" xr:uid="{00000000-0005-0000-0000-00003B740000}"/>
    <cellStyle name="Note 22 4 2 2 4" xfId="29756" xr:uid="{00000000-0005-0000-0000-00003C740000}"/>
    <cellStyle name="Note 22 4 2 3" xfId="29757" xr:uid="{00000000-0005-0000-0000-00003D740000}"/>
    <cellStyle name="Note 22 4 2 3 2" xfId="29758" xr:uid="{00000000-0005-0000-0000-00003E740000}"/>
    <cellStyle name="Note 22 4 2 3 3" xfId="29759" xr:uid="{00000000-0005-0000-0000-00003F740000}"/>
    <cellStyle name="Note 22 4 2 4" xfId="29760" xr:uid="{00000000-0005-0000-0000-000040740000}"/>
    <cellStyle name="Note 22 4 2 5" xfId="29761" xr:uid="{00000000-0005-0000-0000-000041740000}"/>
    <cellStyle name="Note 22 5" xfId="29762" xr:uid="{00000000-0005-0000-0000-000042740000}"/>
    <cellStyle name="Note 22 5 2" xfId="29763" xr:uid="{00000000-0005-0000-0000-000043740000}"/>
    <cellStyle name="Note 22 5 2 2" xfId="29764" xr:uid="{00000000-0005-0000-0000-000044740000}"/>
    <cellStyle name="Note 22 5 2 2 2" xfId="29765" xr:uid="{00000000-0005-0000-0000-000045740000}"/>
    <cellStyle name="Note 22 5 2 2 3" xfId="29766" xr:uid="{00000000-0005-0000-0000-000046740000}"/>
    <cellStyle name="Note 22 5 2 3" xfId="29767" xr:uid="{00000000-0005-0000-0000-000047740000}"/>
    <cellStyle name="Note 22 5 2 4" xfId="29768" xr:uid="{00000000-0005-0000-0000-000048740000}"/>
    <cellStyle name="Note 22 5 3" xfId="29769" xr:uid="{00000000-0005-0000-0000-000049740000}"/>
    <cellStyle name="Note 22 5 3 2" xfId="29770" xr:uid="{00000000-0005-0000-0000-00004A740000}"/>
    <cellStyle name="Note 22 5 3 3" xfId="29771" xr:uid="{00000000-0005-0000-0000-00004B740000}"/>
    <cellStyle name="Note 22 5 4" xfId="29772" xr:uid="{00000000-0005-0000-0000-00004C740000}"/>
    <cellStyle name="Note 22 5 5" xfId="29773" xr:uid="{00000000-0005-0000-0000-00004D740000}"/>
    <cellStyle name="Note 23" xfId="29774" xr:uid="{00000000-0005-0000-0000-00004E740000}"/>
    <cellStyle name="Note 23 2" xfId="29775" xr:uid="{00000000-0005-0000-0000-00004F740000}"/>
    <cellStyle name="Note 23 2 2" xfId="29776" xr:uid="{00000000-0005-0000-0000-000050740000}"/>
    <cellStyle name="Note 23 2 2 2" xfId="29777" xr:uid="{00000000-0005-0000-0000-000051740000}"/>
    <cellStyle name="Note 23 2 2 2 2" xfId="29778" xr:uid="{00000000-0005-0000-0000-000052740000}"/>
    <cellStyle name="Note 23 2 2 2 2 2" xfId="29779" xr:uid="{00000000-0005-0000-0000-000053740000}"/>
    <cellStyle name="Note 23 2 2 2 2 3" xfId="29780" xr:uid="{00000000-0005-0000-0000-000054740000}"/>
    <cellStyle name="Note 23 2 2 2 3" xfId="29781" xr:uid="{00000000-0005-0000-0000-000055740000}"/>
    <cellStyle name="Note 23 2 2 2 4" xfId="29782" xr:uid="{00000000-0005-0000-0000-000056740000}"/>
    <cellStyle name="Note 23 2 2 3" xfId="29783" xr:uid="{00000000-0005-0000-0000-000057740000}"/>
    <cellStyle name="Note 23 2 2 3 2" xfId="29784" xr:uid="{00000000-0005-0000-0000-000058740000}"/>
    <cellStyle name="Note 23 2 2 3 3" xfId="29785" xr:uid="{00000000-0005-0000-0000-000059740000}"/>
    <cellStyle name="Note 23 2 2 4" xfId="29786" xr:uid="{00000000-0005-0000-0000-00005A740000}"/>
    <cellStyle name="Note 23 2 2 5" xfId="29787" xr:uid="{00000000-0005-0000-0000-00005B740000}"/>
    <cellStyle name="Note 23 3" xfId="29788" xr:uid="{00000000-0005-0000-0000-00005C740000}"/>
    <cellStyle name="Note 23 3 2" xfId="29789" xr:uid="{00000000-0005-0000-0000-00005D740000}"/>
    <cellStyle name="Note 23 3 2 2" xfId="29790" xr:uid="{00000000-0005-0000-0000-00005E740000}"/>
    <cellStyle name="Note 23 3 2 2 2" xfId="29791" xr:uid="{00000000-0005-0000-0000-00005F740000}"/>
    <cellStyle name="Note 23 3 2 2 3" xfId="29792" xr:uid="{00000000-0005-0000-0000-000060740000}"/>
    <cellStyle name="Note 23 3 2 3" xfId="29793" xr:uid="{00000000-0005-0000-0000-000061740000}"/>
    <cellStyle name="Note 23 3 2 4" xfId="29794" xr:uid="{00000000-0005-0000-0000-000062740000}"/>
    <cellStyle name="Note 23 3 3" xfId="29795" xr:uid="{00000000-0005-0000-0000-000063740000}"/>
    <cellStyle name="Note 23 3 3 2" xfId="29796" xr:uid="{00000000-0005-0000-0000-000064740000}"/>
    <cellStyle name="Note 23 3 3 3" xfId="29797" xr:uid="{00000000-0005-0000-0000-000065740000}"/>
    <cellStyle name="Note 23 3 4" xfId="29798" xr:uid="{00000000-0005-0000-0000-000066740000}"/>
    <cellStyle name="Note 23 3 5" xfId="29799" xr:uid="{00000000-0005-0000-0000-000067740000}"/>
    <cellStyle name="Note 24" xfId="29800" xr:uid="{00000000-0005-0000-0000-000068740000}"/>
    <cellStyle name="Note 24 2" xfId="29801" xr:uid="{00000000-0005-0000-0000-000069740000}"/>
    <cellStyle name="Note 24 2 2" xfId="29802" xr:uid="{00000000-0005-0000-0000-00006A740000}"/>
    <cellStyle name="Note 24 2 2 2" xfId="29803" xr:uid="{00000000-0005-0000-0000-00006B740000}"/>
    <cellStyle name="Note 24 2 2 2 2" xfId="29804" xr:uid="{00000000-0005-0000-0000-00006C740000}"/>
    <cellStyle name="Note 24 2 2 2 2 2" xfId="29805" xr:uid="{00000000-0005-0000-0000-00006D740000}"/>
    <cellStyle name="Note 24 2 2 2 2 3" xfId="29806" xr:uid="{00000000-0005-0000-0000-00006E740000}"/>
    <cellStyle name="Note 24 2 2 2 3" xfId="29807" xr:uid="{00000000-0005-0000-0000-00006F740000}"/>
    <cellStyle name="Note 24 2 2 2 4" xfId="29808" xr:uid="{00000000-0005-0000-0000-000070740000}"/>
    <cellStyle name="Note 24 2 2 3" xfId="29809" xr:uid="{00000000-0005-0000-0000-000071740000}"/>
    <cellStyle name="Note 24 2 2 3 2" xfId="29810" xr:uid="{00000000-0005-0000-0000-000072740000}"/>
    <cellStyle name="Note 24 2 2 3 3" xfId="29811" xr:uid="{00000000-0005-0000-0000-000073740000}"/>
    <cellStyle name="Note 24 2 2 4" xfId="29812" xr:uid="{00000000-0005-0000-0000-000074740000}"/>
    <cellStyle name="Note 24 2 2 5" xfId="29813" xr:uid="{00000000-0005-0000-0000-000075740000}"/>
    <cellStyle name="Note 24 3" xfId="29814" xr:uid="{00000000-0005-0000-0000-000076740000}"/>
    <cellStyle name="Note 24 3 2" xfId="29815" xr:uid="{00000000-0005-0000-0000-000077740000}"/>
    <cellStyle name="Note 24 3 2 2" xfId="29816" xr:uid="{00000000-0005-0000-0000-000078740000}"/>
    <cellStyle name="Note 24 3 2 2 2" xfId="29817" xr:uid="{00000000-0005-0000-0000-000079740000}"/>
    <cellStyle name="Note 24 3 2 2 3" xfId="29818" xr:uid="{00000000-0005-0000-0000-00007A740000}"/>
    <cellStyle name="Note 24 3 2 3" xfId="29819" xr:uid="{00000000-0005-0000-0000-00007B740000}"/>
    <cellStyle name="Note 24 3 2 4" xfId="29820" xr:uid="{00000000-0005-0000-0000-00007C740000}"/>
    <cellStyle name="Note 24 3 3" xfId="29821" xr:uid="{00000000-0005-0000-0000-00007D740000}"/>
    <cellStyle name="Note 24 3 3 2" xfId="29822" xr:uid="{00000000-0005-0000-0000-00007E740000}"/>
    <cellStyle name="Note 24 3 3 3" xfId="29823" xr:uid="{00000000-0005-0000-0000-00007F740000}"/>
    <cellStyle name="Note 24 3 4" xfId="29824" xr:uid="{00000000-0005-0000-0000-000080740000}"/>
    <cellStyle name="Note 24 3 5" xfId="29825" xr:uid="{00000000-0005-0000-0000-000081740000}"/>
    <cellStyle name="Note 25" xfId="29826" xr:uid="{00000000-0005-0000-0000-000082740000}"/>
    <cellStyle name="Note 25 2" xfId="29827" xr:uid="{00000000-0005-0000-0000-000083740000}"/>
    <cellStyle name="Note 25 2 2" xfId="29828" xr:uid="{00000000-0005-0000-0000-000084740000}"/>
    <cellStyle name="Note 25 2 2 2" xfId="29829" xr:uid="{00000000-0005-0000-0000-000085740000}"/>
    <cellStyle name="Note 25 2 2 2 2" xfId="29830" xr:uid="{00000000-0005-0000-0000-000086740000}"/>
    <cellStyle name="Note 25 2 2 2 2 2" xfId="29831" xr:uid="{00000000-0005-0000-0000-000087740000}"/>
    <cellStyle name="Note 25 2 2 2 2 3" xfId="29832" xr:uid="{00000000-0005-0000-0000-000088740000}"/>
    <cellStyle name="Note 25 2 2 2 3" xfId="29833" xr:uid="{00000000-0005-0000-0000-000089740000}"/>
    <cellStyle name="Note 25 2 2 2 4" xfId="29834" xr:uid="{00000000-0005-0000-0000-00008A740000}"/>
    <cellStyle name="Note 25 2 2 3" xfId="29835" xr:uid="{00000000-0005-0000-0000-00008B740000}"/>
    <cellStyle name="Note 25 2 2 3 2" xfId="29836" xr:uid="{00000000-0005-0000-0000-00008C740000}"/>
    <cellStyle name="Note 25 2 2 3 3" xfId="29837" xr:uid="{00000000-0005-0000-0000-00008D740000}"/>
    <cellStyle name="Note 25 2 2 4" xfId="29838" xr:uid="{00000000-0005-0000-0000-00008E740000}"/>
    <cellStyle name="Note 25 2 2 5" xfId="29839" xr:uid="{00000000-0005-0000-0000-00008F740000}"/>
    <cellStyle name="Note 25 3" xfId="29840" xr:uid="{00000000-0005-0000-0000-000090740000}"/>
    <cellStyle name="Note 25 3 2" xfId="29841" xr:uid="{00000000-0005-0000-0000-000091740000}"/>
    <cellStyle name="Note 25 3 2 2" xfId="29842" xr:uid="{00000000-0005-0000-0000-000092740000}"/>
    <cellStyle name="Note 25 3 2 2 2" xfId="29843" xr:uid="{00000000-0005-0000-0000-000093740000}"/>
    <cellStyle name="Note 25 3 2 2 3" xfId="29844" xr:uid="{00000000-0005-0000-0000-000094740000}"/>
    <cellStyle name="Note 25 3 2 3" xfId="29845" xr:uid="{00000000-0005-0000-0000-000095740000}"/>
    <cellStyle name="Note 25 3 2 4" xfId="29846" xr:uid="{00000000-0005-0000-0000-000096740000}"/>
    <cellStyle name="Note 25 3 3" xfId="29847" xr:uid="{00000000-0005-0000-0000-000097740000}"/>
    <cellStyle name="Note 25 3 3 2" xfId="29848" xr:uid="{00000000-0005-0000-0000-000098740000}"/>
    <cellStyle name="Note 25 3 3 3" xfId="29849" xr:uid="{00000000-0005-0000-0000-000099740000}"/>
    <cellStyle name="Note 25 3 4" xfId="29850" xr:uid="{00000000-0005-0000-0000-00009A740000}"/>
    <cellStyle name="Note 25 3 5" xfId="29851" xr:uid="{00000000-0005-0000-0000-00009B740000}"/>
    <cellStyle name="Note 26" xfId="29852" xr:uid="{00000000-0005-0000-0000-00009C740000}"/>
    <cellStyle name="Note 26 2" xfId="29853" xr:uid="{00000000-0005-0000-0000-00009D740000}"/>
    <cellStyle name="Note 26 2 2" xfId="29854" xr:uid="{00000000-0005-0000-0000-00009E740000}"/>
    <cellStyle name="Note 26 2 2 2" xfId="29855" xr:uid="{00000000-0005-0000-0000-00009F740000}"/>
    <cellStyle name="Note 26 2 2 2 2" xfId="29856" xr:uid="{00000000-0005-0000-0000-0000A0740000}"/>
    <cellStyle name="Note 26 2 2 2 2 2" xfId="29857" xr:uid="{00000000-0005-0000-0000-0000A1740000}"/>
    <cellStyle name="Note 26 2 2 2 2 3" xfId="29858" xr:uid="{00000000-0005-0000-0000-0000A2740000}"/>
    <cellStyle name="Note 26 2 2 2 3" xfId="29859" xr:uid="{00000000-0005-0000-0000-0000A3740000}"/>
    <cellStyle name="Note 26 2 2 2 4" xfId="29860" xr:uid="{00000000-0005-0000-0000-0000A4740000}"/>
    <cellStyle name="Note 26 2 2 3" xfId="29861" xr:uid="{00000000-0005-0000-0000-0000A5740000}"/>
    <cellStyle name="Note 26 2 2 3 2" xfId="29862" xr:uid="{00000000-0005-0000-0000-0000A6740000}"/>
    <cellStyle name="Note 26 2 2 3 3" xfId="29863" xr:uid="{00000000-0005-0000-0000-0000A7740000}"/>
    <cellStyle name="Note 26 2 2 4" xfId="29864" xr:uid="{00000000-0005-0000-0000-0000A8740000}"/>
    <cellStyle name="Note 26 2 2 5" xfId="29865" xr:uid="{00000000-0005-0000-0000-0000A9740000}"/>
    <cellStyle name="Note 26 3" xfId="29866" xr:uid="{00000000-0005-0000-0000-0000AA740000}"/>
    <cellStyle name="Note 26 3 2" xfId="29867" xr:uid="{00000000-0005-0000-0000-0000AB740000}"/>
    <cellStyle name="Note 26 3 2 2" xfId="29868" xr:uid="{00000000-0005-0000-0000-0000AC740000}"/>
    <cellStyle name="Note 26 3 2 2 2" xfId="29869" xr:uid="{00000000-0005-0000-0000-0000AD740000}"/>
    <cellStyle name="Note 26 3 2 2 3" xfId="29870" xr:uid="{00000000-0005-0000-0000-0000AE740000}"/>
    <cellStyle name="Note 26 3 2 3" xfId="29871" xr:uid="{00000000-0005-0000-0000-0000AF740000}"/>
    <cellStyle name="Note 26 3 2 4" xfId="29872" xr:uid="{00000000-0005-0000-0000-0000B0740000}"/>
    <cellStyle name="Note 26 3 3" xfId="29873" xr:uid="{00000000-0005-0000-0000-0000B1740000}"/>
    <cellStyle name="Note 26 3 3 2" xfId="29874" xr:uid="{00000000-0005-0000-0000-0000B2740000}"/>
    <cellStyle name="Note 26 3 3 3" xfId="29875" xr:uid="{00000000-0005-0000-0000-0000B3740000}"/>
    <cellStyle name="Note 26 3 4" xfId="29876" xr:uid="{00000000-0005-0000-0000-0000B4740000}"/>
    <cellStyle name="Note 26 3 5" xfId="29877" xr:uid="{00000000-0005-0000-0000-0000B5740000}"/>
    <cellStyle name="Note 27" xfId="29878" xr:uid="{00000000-0005-0000-0000-0000B6740000}"/>
    <cellStyle name="Note 27 2" xfId="29879" xr:uid="{00000000-0005-0000-0000-0000B7740000}"/>
    <cellStyle name="Note 27 2 2" xfId="29880" xr:uid="{00000000-0005-0000-0000-0000B8740000}"/>
    <cellStyle name="Note 27 2 2 2" xfId="29881" xr:uid="{00000000-0005-0000-0000-0000B9740000}"/>
    <cellStyle name="Note 27 2 2 2 2" xfId="29882" xr:uid="{00000000-0005-0000-0000-0000BA740000}"/>
    <cellStyle name="Note 27 2 2 2 2 2" xfId="29883" xr:uid="{00000000-0005-0000-0000-0000BB740000}"/>
    <cellStyle name="Note 27 2 2 2 2 3" xfId="29884" xr:uid="{00000000-0005-0000-0000-0000BC740000}"/>
    <cellStyle name="Note 27 2 2 2 3" xfId="29885" xr:uid="{00000000-0005-0000-0000-0000BD740000}"/>
    <cellStyle name="Note 27 2 2 2 4" xfId="29886" xr:uid="{00000000-0005-0000-0000-0000BE740000}"/>
    <cellStyle name="Note 27 2 2 3" xfId="29887" xr:uid="{00000000-0005-0000-0000-0000BF740000}"/>
    <cellStyle name="Note 27 2 2 3 2" xfId="29888" xr:uid="{00000000-0005-0000-0000-0000C0740000}"/>
    <cellStyle name="Note 27 2 2 3 3" xfId="29889" xr:uid="{00000000-0005-0000-0000-0000C1740000}"/>
    <cellStyle name="Note 27 2 2 4" xfId="29890" xr:uid="{00000000-0005-0000-0000-0000C2740000}"/>
    <cellStyle name="Note 27 2 2 5" xfId="29891" xr:uid="{00000000-0005-0000-0000-0000C3740000}"/>
    <cellStyle name="Note 27 3" xfId="29892" xr:uid="{00000000-0005-0000-0000-0000C4740000}"/>
    <cellStyle name="Note 27 3 2" xfId="29893" xr:uid="{00000000-0005-0000-0000-0000C5740000}"/>
    <cellStyle name="Note 27 3 2 2" xfId="29894" xr:uid="{00000000-0005-0000-0000-0000C6740000}"/>
    <cellStyle name="Note 27 3 2 2 2" xfId="29895" xr:uid="{00000000-0005-0000-0000-0000C7740000}"/>
    <cellStyle name="Note 27 3 2 2 3" xfId="29896" xr:uid="{00000000-0005-0000-0000-0000C8740000}"/>
    <cellStyle name="Note 27 3 2 3" xfId="29897" xr:uid="{00000000-0005-0000-0000-0000C9740000}"/>
    <cellStyle name="Note 27 3 2 4" xfId="29898" xr:uid="{00000000-0005-0000-0000-0000CA740000}"/>
    <cellStyle name="Note 27 3 3" xfId="29899" xr:uid="{00000000-0005-0000-0000-0000CB740000}"/>
    <cellStyle name="Note 27 3 3 2" xfId="29900" xr:uid="{00000000-0005-0000-0000-0000CC740000}"/>
    <cellStyle name="Note 27 3 3 3" xfId="29901" xr:uid="{00000000-0005-0000-0000-0000CD740000}"/>
    <cellStyle name="Note 27 3 4" xfId="29902" xr:uid="{00000000-0005-0000-0000-0000CE740000}"/>
    <cellStyle name="Note 27 3 5" xfId="29903" xr:uid="{00000000-0005-0000-0000-0000CF740000}"/>
    <cellStyle name="Note 28" xfId="29904" xr:uid="{00000000-0005-0000-0000-0000D0740000}"/>
    <cellStyle name="Note 28 2" xfId="29905" xr:uid="{00000000-0005-0000-0000-0000D1740000}"/>
    <cellStyle name="Note 28 2 2" xfId="29906" xr:uid="{00000000-0005-0000-0000-0000D2740000}"/>
    <cellStyle name="Note 28 2 2 2" xfId="29907" xr:uid="{00000000-0005-0000-0000-0000D3740000}"/>
    <cellStyle name="Note 28 2 2 2 2" xfId="29908" xr:uid="{00000000-0005-0000-0000-0000D4740000}"/>
    <cellStyle name="Note 28 2 2 2 2 2" xfId="29909" xr:uid="{00000000-0005-0000-0000-0000D5740000}"/>
    <cellStyle name="Note 28 2 2 2 2 3" xfId="29910" xr:uid="{00000000-0005-0000-0000-0000D6740000}"/>
    <cellStyle name="Note 28 2 2 2 3" xfId="29911" xr:uid="{00000000-0005-0000-0000-0000D7740000}"/>
    <cellStyle name="Note 28 2 2 2 4" xfId="29912" xr:uid="{00000000-0005-0000-0000-0000D8740000}"/>
    <cellStyle name="Note 28 2 2 3" xfId="29913" xr:uid="{00000000-0005-0000-0000-0000D9740000}"/>
    <cellStyle name="Note 28 2 2 3 2" xfId="29914" xr:uid="{00000000-0005-0000-0000-0000DA740000}"/>
    <cellStyle name="Note 28 2 2 3 3" xfId="29915" xr:uid="{00000000-0005-0000-0000-0000DB740000}"/>
    <cellStyle name="Note 28 2 2 4" xfId="29916" xr:uid="{00000000-0005-0000-0000-0000DC740000}"/>
    <cellStyle name="Note 28 2 2 5" xfId="29917" xr:uid="{00000000-0005-0000-0000-0000DD740000}"/>
    <cellStyle name="Note 28 3" xfId="29918" xr:uid="{00000000-0005-0000-0000-0000DE740000}"/>
    <cellStyle name="Note 28 3 2" xfId="29919" xr:uid="{00000000-0005-0000-0000-0000DF740000}"/>
    <cellStyle name="Note 28 3 2 2" xfId="29920" xr:uid="{00000000-0005-0000-0000-0000E0740000}"/>
    <cellStyle name="Note 28 3 2 2 2" xfId="29921" xr:uid="{00000000-0005-0000-0000-0000E1740000}"/>
    <cellStyle name="Note 28 3 2 2 3" xfId="29922" xr:uid="{00000000-0005-0000-0000-0000E2740000}"/>
    <cellStyle name="Note 28 3 2 3" xfId="29923" xr:uid="{00000000-0005-0000-0000-0000E3740000}"/>
    <cellStyle name="Note 28 3 2 4" xfId="29924" xr:uid="{00000000-0005-0000-0000-0000E4740000}"/>
    <cellStyle name="Note 28 3 3" xfId="29925" xr:uid="{00000000-0005-0000-0000-0000E5740000}"/>
    <cellStyle name="Note 28 3 3 2" xfId="29926" xr:uid="{00000000-0005-0000-0000-0000E6740000}"/>
    <cellStyle name="Note 28 3 3 3" xfId="29927" xr:uid="{00000000-0005-0000-0000-0000E7740000}"/>
    <cellStyle name="Note 28 3 4" xfId="29928" xr:uid="{00000000-0005-0000-0000-0000E8740000}"/>
    <cellStyle name="Note 28 3 5" xfId="29929" xr:uid="{00000000-0005-0000-0000-0000E9740000}"/>
    <cellStyle name="Note 29" xfId="29930" xr:uid="{00000000-0005-0000-0000-0000EA740000}"/>
    <cellStyle name="Note 29 2" xfId="29931" xr:uid="{00000000-0005-0000-0000-0000EB740000}"/>
    <cellStyle name="Note 29 2 2" xfId="29932" xr:uid="{00000000-0005-0000-0000-0000EC740000}"/>
    <cellStyle name="Note 29 2 2 2" xfId="29933" xr:uid="{00000000-0005-0000-0000-0000ED740000}"/>
    <cellStyle name="Note 29 2 2 2 2" xfId="29934" xr:uid="{00000000-0005-0000-0000-0000EE740000}"/>
    <cellStyle name="Note 29 2 2 2 2 2" xfId="29935" xr:uid="{00000000-0005-0000-0000-0000EF740000}"/>
    <cellStyle name="Note 29 2 2 2 2 3" xfId="29936" xr:uid="{00000000-0005-0000-0000-0000F0740000}"/>
    <cellStyle name="Note 29 2 2 2 3" xfId="29937" xr:uid="{00000000-0005-0000-0000-0000F1740000}"/>
    <cellStyle name="Note 29 2 2 2 4" xfId="29938" xr:uid="{00000000-0005-0000-0000-0000F2740000}"/>
    <cellStyle name="Note 29 2 2 3" xfId="29939" xr:uid="{00000000-0005-0000-0000-0000F3740000}"/>
    <cellStyle name="Note 29 2 2 3 2" xfId="29940" xr:uid="{00000000-0005-0000-0000-0000F4740000}"/>
    <cellStyle name="Note 29 2 2 3 3" xfId="29941" xr:uid="{00000000-0005-0000-0000-0000F5740000}"/>
    <cellStyle name="Note 29 2 2 4" xfId="29942" xr:uid="{00000000-0005-0000-0000-0000F6740000}"/>
    <cellStyle name="Note 29 2 2 5" xfId="29943" xr:uid="{00000000-0005-0000-0000-0000F7740000}"/>
    <cellStyle name="Note 29 3" xfId="29944" xr:uid="{00000000-0005-0000-0000-0000F8740000}"/>
    <cellStyle name="Note 29 3 2" xfId="29945" xr:uid="{00000000-0005-0000-0000-0000F9740000}"/>
    <cellStyle name="Note 29 3 2 2" xfId="29946" xr:uid="{00000000-0005-0000-0000-0000FA740000}"/>
    <cellStyle name="Note 29 3 2 2 2" xfId="29947" xr:uid="{00000000-0005-0000-0000-0000FB740000}"/>
    <cellStyle name="Note 29 3 2 2 3" xfId="29948" xr:uid="{00000000-0005-0000-0000-0000FC740000}"/>
    <cellStyle name="Note 29 3 2 3" xfId="29949" xr:uid="{00000000-0005-0000-0000-0000FD740000}"/>
    <cellStyle name="Note 29 3 2 4" xfId="29950" xr:uid="{00000000-0005-0000-0000-0000FE740000}"/>
    <cellStyle name="Note 29 3 3" xfId="29951" xr:uid="{00000000-0005-0000-0000-0000FF740000}"/>
    <cellStyle name="Note 29 3 3 2" xfId="29952" xr:uid="{00000000-0005-0000-0000-000000750000}"/>
    <cellStyle name="Note 29 3 3 3" xfId="29953" xr:uid="{00000000-0005-0000-0000-000001750000}"/>
    <cellStyle name="Note 29 3 4" xfId="29954" xr:uid="{00000000-0005-0000-0000-000002750000}"/>
    <cellStyle name="Note 29 3 5" xfId="29955" xr:uid="{00000000-0005-0000-0000-000003750000}"/>
    <cellStyle name="Note 3" xfId="29956" xr:uid="{00000000-0005-0000-0000-000004750000}"/>
    <cellStyle name="Note 3 10" xfId="29957" xr:uid="{00000000-0005-0000-0000-000005750000}"/>
    <cellStyle name="Note 3 10 2" xfId="29958" xr:uid="{00000000-0005-0000-0000-000006750000}"/>
    <cellStyle name="Note 3 10 2 2" xfId="29959" xr:uid="{00000000-0005-0000-0000-000007750000}"/>
    <cellStyle name="Note 3 10 2 2 2" xfId="29960" xr:uid="{00000000-0005-0000-0000-000008750000}"/>
    <cellStyle name="Note 3 10 2 2 2 2" xfId="29961" xr:uid="{00000000-0005-0000-0000-000009750000}"/>
    <cellStyle name="Note 3 10 2 2 2 2 2" xfId="29962" xr:uid="{00000000-0005-0000-0000-00000A750000}"/>
    <cellStyle name="Note 3 10 2 2 2 2 3" xfId="29963" xr:uid="{00000000-0005-0000-0000-00000B750000}"/>
    <cellStyle name="Note 3 10 2 2 2 3" xfId="29964" xr:uid="{00000000-0005-0000-0000-00000C750000}"/>
    <cellStyle name="Note 3 10 2 2 2 4" xfId="29965" xr:uid="{00000000-0005-0000-0000-00000D750000}"/>
    <cellStyle name="Note 3 10 2 2 3" xfId="29966" xr:uid="{00000000-0005-0000-0000-00000E750000}"/>
    <cellStyle name="Note 3 10 2 2 3 2" xfId="29967" xr:uid="{00000000-0005-0000-0000-00000F750000}"/>
    <cellStyle name="Note 3 10 2 2 3 3" xfId="29968" xr:uid="{00000000-0005-0000-0000-000010750000}"/>
    <cellStyle name="Note 3 10 2 2 4" xfId="29969" xr:uid="{00000000-0005-0000-0000-000011750000}"/>
    <cellStyle name="Note 3 10 2 2 5" xfId="29970" xr:uid="{00000000-0005-0000-0000-000012750000}"/>
    <cellStyle name="Note 3 10 3" xfId="29971" xr:uid="{00000000-0005-0000-0000-000013750000}"/>
    <cellStyle name="Note 3 10 3 2" xfId="29972" xr:uid="{00000000-0005-0000-0000-000014750000}"/>
    <cellStyle name="Note 3 10 3 2 2" xfId="29973" xr:uid="{00000000-0005-0000-0000-000015750000}"/>
    <cellStyle name="Note 3 10 3 2 2 2" xfId="29974" xr:uid="{00000000-0005-0000-0000-000016750000}"/>
    <cellStyle name="Note 3 10 3 2 2 3" xfId="29975" xr:uid="{00000000-0005-0000-0000-000017750000}"/>
    <cellStyle name="Note 3 10 3 2 3" xfId="29976" xr:uid="{00000000-0005-0000-0000-000018750000}"/>
    <cellStyle name="Note 3 10 3 2 4" xfId="29977" xr:uid="{00000000-0005-0000-0000-000019750000}"/>
    <cellStyle name="Note 3 10 3 3" xfId="29978" xr:uid="{00000000-0005-0000-0000-00001A750000}"/>
    <cellStyle name="Note 3 10 3 3 2" xfId="29979" xr:uid="{00000000-0005-0000-0000-00001B750000}"/>
    <cellStyle name="Note 3 10 3 3 3" xfId="29980" xr:uid="{00000000-0005-0000-0000-00001C750000}"/>
    <cellStyle name="Note 3 10 3 4" xfId="29981" xr:uid="{00000000-0005-0000-0000-00001D750000}"/>
    <cellStyle name="Note 3 10 3 5" xfId="29982" xr:uid="{00000000-0005-0000-0000-00001E750000}"/>
    <cellStyle name="Note 3 11" xfId="29983" xr:uid="{00000000-0005-0000-0000-00001F750000}"/>
    <cellStyle name="Note 3 11 2" xfId="29984" xr:uid="{00000000-0005-0000-0000-000020750000}"/>
    <cellStyle name="Note 3 11 2 2" xfId="29985" xr:uid="{00000000-0005-0000-0000-000021750000}"/>
    <cellStyle name="Note 3 11 2 2 2" xfId="29986" xr:uid="{00000000-0005-0000-0000-000022750000}"/>
    <cellStyle name="Note 3 11 2 2 2 2" xfId="29987" xr:uid="{00000000-0005-0000-0000-000023750000}"/>
    <cellStyle name="Note 3 11 2 2 2 2 2" xfId="29988" xr:uid="{00000000-0005-0000-0000-000024750000}"/>
    <cellStyle name="Note 3 11 2 2 2 2 3" xfId="29989" xr:uid="{00000000-0005-0000-0000-000025750000}"/>
    <cellStyle name="Note 3 11 2 2 2 3" xfId="29990" xr:uid="{00000000-0005-0000-0000-000026750000}"/>
    <cellStyle name="Note 3 11 2 2 2 4" xfId="29991" xr:uid="{00000000-0005-0000-0000-000027750000}"/>
    <cellStyle name="Note 3 11 2 2 3" xfId="29992" xr:uid="{00000000-0005-0000-0000-000028750000}"/>
    <cellStyle name="Note 3 11 2 2 3 2" xfId="29993" xr:uid="{00000000-0005-0000-0000-000029750000}"/>
    <cellStyle name="Note 3 11 2 2 3 3" xfId="29994" xr:uid="{00000000-0005-0000-0000-00002A750000}"/>
    <cellStyle name="Note 3 11 2 2 4" xfId="29995" xr:uid="{00000000-0005-0000-0000-00002B750000}"/>
    <cellStyle name="Note 3 11 2 2 5" xfId="29996" xr:uid="{00000000-0005-0000-0000-00002C750000}"/>
    <cellStyle name="Note 3 11 3" xfId="29997" xr:uid="{00000000-0005-0000-0000-00002D750000}"/>
    <cellStyle name="Note 3 11 3 2" xfId="29998" xr:uid="{00000000-0005-0000-0000-00002E750000}"/>
    <cellStyle name="Note 3 11 3 2 2" xfId="29999" xr:uid="{00000000-0005-0000-0000-00002F750000}"/>
    <cellStyle name="Note 3 11 3 2 2 2" xfId="30000" xr:uid="{00000000-0005-0000-0000-000030750000}"/>
    <cellStyle name="Note 3 11 3 2 2 3" xfId="30001" xr:uid="{00000000-0005-0000-0000-000031750000}"/>
    <cellStyle name="Note 3 11 3 2 3" xfId="30002" xr:uid="{00000000-0005-0000-0000-000032750000}"/>
    <cellStyle name="Note 3 11 3 2 4" xfId="30003" xr:uid="{00000000-0005-0000-0000-000033750000}"/>
    <cellStyle name="Note 3 11 3 3" xfId="30004" xr:uid="{00000000-0005-0000-0000-000034750000}"/>
    <cellStyle name="Note 3 11 3 3 2" xfId="30005" xr:uid="{00000000-0005-0000-0000-000035750000}"/>
    <cellStyle name="Note 3 11 3 3 3" xfId="30006" xr:uid="{00000000-0005-0000-0000-000036750000}"/>
    <cellStyle name="Note 3 11 3 4" xfId="30007" xr:uid="{00000000-0005-0000-0000-000037750000}"/>
    <cellStyle name="Note 3 11 3 5" xfId="30008" xr:uid="{00000000-0005-0000-0000-000038750000}"/>
    <cellStyle name="Note 3 12" xfId="30009" xr:uid="{00000000-0005-0000-0000-000039750000}"/>
    <cellStyle name="Note 3 12 2" xfId="30010" xr:uid="{00000000-0005-0000-0000-00003A750000}"/>
    <cellStyle name="Note 3 12 2 2" xfId="30011" xr:uid="{00000000-0005-0000-0000-00003B750000}"/>
    <cellStyle name="Note 3 12 2 2 2" xfId="30012" xr:uid="{00000000-0005-0000-0000-00003C750000}"/>
    <cellStyle name="Note 3 12 2 2 2 2" xfId="30013" xr:uid="{00000000-0005-0000-0000-00003D750000}"/>
    <cellStyle name="Note 3 12 2 2 2 2 2" xfId="30014" xr:uid="{00000000-0005-0000-0000-00003E750000}"/>
    <cellStyle name="Note 3 12 2 2 2 2 3" xfId="30015" xr:uid="{00000000-0005-0000-0000-00003F750000}"/>
    <cellStyle name="Note 3 12 2 2 2 3" xfId="30016" xr:uid="{00000000-0005-0000-0000-000040750000}"/>
    <cellStyle name="Note 3 12 2 2 2 4" xfId="30017" xr:uid="{00000000-0005-0000-0000-000041750000}"/>
    <cellStyle name="Note 3 12 2 2 3" xfId="30018" xr:uid="{00000000-0005-0000-0000-000042750000}"/>
    <cellStyle name="Note 3 12 2 2 3 2" xfId="30019" xr:uid="{00000000-0005-0000-0000-000043750000}"/>
    <cellStyle name="Note 3 12 2 2 3 3" xfId="30020" xr:uid="{00000000-0005-0000-0000-000044750000}"/>
    <cellStyle name="Note 3 12 2 2 4" xfId="30021" xr:uid="{00000000-0005-0000-0000-000045750000}"/>
    <cellStyle name="Note 3 12 2 2 5" xfId="30022" xr:uid="{00000000-0005-0000-0000-000046750000}"/>
    <cellStyle name="Note 3 12 3" xfId="30023" xr:uid="{00000000-0005-0000-0000-000047750000}"/>
    <cellStyle name="Note 3 12 3 2" xfId="30024" xr:uid="{00000000-0005-0000-0000-000048750000}"/>
    <cellStyle name="Note 3 12 3 2 2" xfId="30025" xr:uid="{00000000-0005-0000-0000-000049750000}"/>
    <cellStyle name="Note 3 12 3 2 2 2" xfId="30026" xr:uid="{00000000-0005-0000-0000-00004A750000}"/>
    <cellStyle name="Note 3 12 3 2 2 3" xfId="30027" xr:uid="{00000000-0005-0000-0000-00004B750000}"/>
    <cellStyle name="Note 3 12 3 2 3" xfId="30028" xr:uid="{00000000-0005-0000-0000-00004C750000}"/>
    <cellStyle name="Note 3 12 3 2 4" xfId="30029" xr:uid="{00000000-0005-0000-0000-00004D750000}"/>
    <cellStyle name="Note 3 12 3 3" xfId="30030" xr:uid="{00000000-0005-0000-0000-00004E750000}"/>
    <cellStyle name="Note 3 12 3 3 2" xfId="30031" xr:uid="{00000000-0005-0000-0000-00004F750000}"/>
    <cellStyle name="Note 3 12 3 3 3" xfId="30032" xr:uid="{00000000-0005-0000-0000-000050750000}"/>
    <cellStyle name="Note 3 12 3 4" xfId="30033" xr:uid="{00000000-0005-0000-0000-000051750000}"/>
    <cellStyle name="Note 3 12 3 5" xfId="30034" xr:uid="{00000000-0005-0000-0000-000052750000}"/>
    <cellStyle name="Note 3 13" xfId="30035" xr:uid="{00000000-0005-0000-0000-000053750000}"/>
    <cellStyle name="Note 3 13 2" xfId="30036" xr:uid="{00000000-0005-0000-0000-000054750000}"/>
    <cellStyle name="Note 3 13 2 2" xfId="30037" xr:uid="{00000000-0005-0000-0000-000055750000}"/>
    <cellStyle name="Note 3 13 2 2 2" xfId="30038" xr:uid="{00000000-0005-0000-0000-000056750000}"/>
    <cellStyle name="Note 3 13 2 2 2 2" xfId="30039" xr:uid="{00000000-0005-0000-0000-000057750000}"/>
    <cellStyle name="Note 3 13 2 2 2 2 2" xfId="30040" xr:uid="{00000000-0005-0000-0000-000058750000}"/>
    <cellStyle name="Note 3 13 2 2 2 2 3" xfId="30041" xr:uid="{00000000-0005-0000-0000-000059750000}"/>
    <cellStyle name="Note 3 13 2 2 2 3" xfId="30042" xr:uid="{00000000-0005-0000-0000-00005A750000}"/>
    <cellStyle name="Note 3 13 2 2 2 4" xfId="30043" xr:uid="{00000000-0005-0000-0000-00005B750000}"/>
    <cellStyle name="Note 3 13 2 2 3" xfId="30044" xr:uid="{00000000-0005-0000-0000-00005C750000}"/>
    <cellStyle name="Note 3 13 2 2 3 2" xfId="30045" xr:uid="{00000000-0005-0000-0000-00005D750000}"/>
    <cellStyle name="Note 3 13 2 2 3 3" xfId="30046" xr:uid="{00000000-0005-0000-0000-00005E750000}"/>
    <cellStyle name="Note 3 13 2 2 4" xfId="30047" xr:uid="{00000000-0005-0000-0000-00005F750000}"/>
    <cellStyle name="Note 3 13 2 2 5" xfId="30048" xr:uid="{00000000-0005-0000-0000-000060750000}"/>
    <cellStyle name="Note 3 13 3" xfId="30049" xr:uid="{00000000-0005-0000-0000-000061750000}"/>
    <cellStyle name="Note 3 13 3 2" xfId="30050" xr:uid="{00000000-0005-0000-0000-000062750000}"/>
    <cellStyle name="Note 3 13 3 2 2" xfId="30051" xr:uid="{00000000-0005-0000-0000-000063750000}"/>
    <cellStyle name="Note 3 13 3 2 2 2" xfId="30052" xr:uid="{00000000-0005-0000-0000-000064750000}"/>
    <cellStyle name="Note 3 13 3 2 2 3" xfId="30053" xr:uid="{00000000-0005-0000-0000-000065750000}"/>
    <cellStyle name="Note 3 13 3 2 3" xfId="30054" xr:uid="{00000000-0005-0000-0000-000066750000}"/>
    <cellStyle name="Note 3 13 3 2 4" xfId="30055" xr:uid="{00000000-0005-0000-0000-000067750000}"/>
    <cellStyle name="Note 3 13 3 3" xfId="30056" xr:uid="{00000000-0005-0000-0000-000068750000}"/>
    <cellStyle name="Note 3 13 3 3 2" xfId="30057" xr:uid="{00000000-0005-0000-0000-000069750000}"/>
    <cellStyle name="Note 3 13 3 3 3" xfId="30058" xr:uid="{00000000-0005-0000-0000-00006A750000}"/>
    <cellStyle name="Note 3 13 3 4" xfId="30059" xr:uid="{00000000-0005-0000-0000-00006B750000}"/>
    <cellStyle name="Note 3 13 3 5" xfId="30060" xr:uid="{00000000-0005-0000-0000-00006C750000}"/>
    <cellStyle name="Note 3 14" xfId="30061" xr:uid="{00000000-0005-0000-0000-00006D750000}"/>
    <cellStyle name="Note 3 14 2" xfId="30062" xr:uid="{00000000-0005-0000-0000-00006E750000}"/>
    <cellStyle name="Note 3 14 2 2" xfId="30063" xr:uid="{00000000-0005-0000-0000-00006F750000}"/>
    <cellStyle name="Note 3 14 2 2 2" xfId="30064" xr:uid="{00000000-0005-0000-0000-000070750000}"/>
    <cellStyle name="Note 3 14 2 2 2 2" xfId="30065" xr:uid="{00000000-0005-0000-0000-000071750000}"/>
    <cellStyle name="Note 3 14 2 2 2 2 2" xfId="30066" xr:uid="{00000000-0005-0000-0000-000072750000}"/>
    <cellStyle name="Note 3 14 2 2 2 2 3" xfId="30067" xr:uid="{00000000-0005-0000-0000-000073750000}"/>
    <cellStyle name="Note 3 14 2 2 2 3" xfId="30068" xr:uid="{00000000-0005-0000-0000-000074750000}"/>
    <cellStyle name="Note 3 14 2 2 2 4" xfId="30069" xr:uid="{00000000-0005-0000-0000-000075750000}"/>
    <cellStyle name="Note 3 14 2 2 3" xfId="30070" xr:uid="{00000000-0005-0000-0000-000076750000}"/>
    <cellStyle name="Note 3 14 2 2 3 2" xfId="30071" xr:uid="{00000000-0005-0000-0000-000077750000}"/>
    <cellStyle name="Note 3 14 2 2 3 3" xfId="30072" xr:uid="{00000000-0005-0000-0000-000078750000}"/>
    <cellStyle name="Note 3 14 2 2 4" xfId="30073" xr:uid="{00000000-0005-0000-0000-000079750000}"/>
    <cellStyle name="Note 3 14 2 2 5" xfId="30074" xr:uid="{00000000-0005-0000-0000-00007A750000}"/>
    <cellStyle name="Note 3 14 3" xfId="30075" xr:uid="{00000000-0005-0000-0000-00007B750000}"/>
    <cellStyle name="Note 3 14 3 2" xfId="30076" xr:uid="{00000000-0005-0000-0000-00007C750000}"/>
    <cellStyle name="Note 3 14 3 2 2" xfId="30077" xr:uid="{00000000-0005-0000-0000-00007D750000}"/>
    <cellStyle name="Note 3 14 3 2 2 2" xfId="30078" xr:uid="{00000000-0005-0000-0000-00007E750000}"/>
    <cellStyle name="Note 3 14 3 2 2 3" xfId="30079" xr:uid="{00000000-0005-0000-0000-00007F750000}"/>
    <cellStyle name="Note 3 14 3 2 3" xfId="30080" xr:uid="{00000000-0005-0000-0000-000080750000}"/>
    <cellStyle name="Note 3 14 3 2 4" xfId="30081" xr:uid="{00000000-0005-0000-0000-000081750000}"/>
    <cellStyle name="Note 3 14 3 3" xfId="30082" xr:uid="{00000000-0005-0000-0000-000082750000}"/>
    <cellStyle name="Note 3 14 3 3 2" xfId="30083" xr:uid="{00000000-0005-0000-0000-000083750000}"/>
    <cellStyle name="Note 3 14 3 3 3" xfId="30084" xr:uid="{00000000-0005-0000-0000-000084750000}"/>
    <cellStyle name="Note 3 14 3 4" xfId="30085" xr:uid="{00000000-0005-0000-0000-000085750000}"/>
    <cellStyle name="Note 3 14 3 5" xfId="30086" xr:uid="{00000000-0005-0000-0000-000086750000}"/>
    <cellStyle name="Note 3 15" xfId="30087" xr:uid="{00000000-0005-0000-0000-000087750000}"/>
    <cellStyle name="Note 3 15 2" xfId="30088" xr:uid="{00000000-0005-0000-0000-000088750000}"/>
    <cellStyle name="Note 3 15 2 2" xfId="30089" xr:uid="{00000000-0005-0000-0000-000089750000}"/>
    <cellStyle name="Note 3 15 2 2 2" xfId="30090" xr:uid="{00000000-0005-0000-0000-00008A750000}"/>
    <cellStyle name="Note 3 15 2 2 2 2" xfId="30091" xr:uid="{00000000-0005-0000-0000-00008B750000}"/>
    <cellStyle name="Note 3 15 2 2 2 2 2" xfId="30092" xr:uid="{00000000-0005-0000-0000-00008C750000}"/>
    <cellStyle name="Note 3 15 2 2 2 2 3" xfId="30093" xr:uid="{00000000-0005-0000-0000-00008D750000}"/>
    <cellStyle name="Note 3 15 2 2 2 3" xfId="30094" xr:uid="{00000000-0005-0000-0000-00008E750000}"/>
    <cellStyle name="Note 3 15 2 2 2 4" xfId="30095" xr:uid="{00000000-0005-0000-0000-00008F750000}"/>
    <cellStyle name="Note 3 15 2 2 3" xfId="30096" xr:uid="{00000000-0005-0000-0000-000090750000}"/>
    <cellStyle name="Note 3 15 2 2 3 2" xfId="30097" xr:uid="{00000000-0005-0000-0000-000091750000}"/>
    <cellStyle name="Note 3 15 2 2 3 3" xfId="30098" xr:uid="{00000000-0005-0000-0000-000092750000}"/>
    <cellStyle name="Note 3 15 2 2 4" xfId="30099" xr:uid="{00000000-0005-0000-0000-000093750000}"/>
    <cellStyle name="Note 3 15 2 2 5" xfId="30100" xr:uid="{00000000-0005-0000-0000-000094750000}"/>
    <cellStyle name="Note 3 15 3" xfId="30101" xr:uid="{00000000-0005-0000-0000-000095750000}"/>
    <cellStyle name="Note 3 15 3 2" xfId="30102" xr:uid="{00000000-0005-0000-0000-000096750000}"/>
    <cellStyle name="Note 3 15 3 2 2" xfId="30103" xr:uid="{00000000-0005-0000-0000-000097750000}"/>
    <cellStyle name="Note 3 15 3 2 2 2" xfId="30104" xr:uid="{00000000-0005-0000-0000-000098750000}"/>
    <cellStyle name="Note 3 15 3 2 2 3" xfId="30105" xr:uid="{00000000-0005-0000-0000-000099750000}"/>
    <cellStyle name="Note 3 15 3 2 3" xfId="30106" xr:uid="{00000000-0005-0000-0000-00009A750000}"/>
    <cellStyle name="Note 3 15 3 2 4" xfId="30107" xr:uid="{00000000-0005-0000-0000-00009B750000}"/>
    <cellStyle name="Note 3 15 3 3" xfId="30108" xr:uid="{00000000-0005-0000-0000-00009C750000}"/>
    <cellStyle name="Note 3 15 3 3 2" xfId="30109" xr:uid="{00000000-0005-0000-0000-00009D750000}"/>
    <cellStyle name="Note 3 15 3 3 3" xfId="30110" xr:uid="{00000000-0005-0000-0000-00009E750000}"/>
    <cellStyle name="Note 3 15 3 4" xfId="30111" xr:uid="{00000000-0005-0000-0000-00009F750000}"/>
    <cellStyle name="Note 3 15 3 5" xfId="30112" xr:uid="{00000000-0005-0000-0000-0000A0750000}"/>
    <cellStyle name="Note 3 16" xfId="30113" xr:uid="{00000000-0005-0000-0000-0000A1750000}"/>
    <cellStyle name="Note 3 16 2" xfId="30114" xr:uid="{00000000-0005-0000-0000-0000A2750000}"/>
    <cellStyle name="Note 3 16 2 2" xfId="30115" xr:uid="{00000000-0005-0000-0000-0000A3750000}"/>
    <cellStyle name="Note 3 16 2 2 2" xfId="30116" xr:uid="{00000000-0005-0000-0000-0000A4750000}"/>
    <cellStyle name="Note 3 16 2 2 2 2" xfId="30117" xr:uid="{00000000-0005-0000-0000-0000A5750000}"/>
    <cellStyle name="Note 3 16 2 2 2 2 2" xfId="30118" xr:uid="{00000000-0005-0000-0000-0000A6750000}"/>
    <cellStyle name="Note 3 16 2 2 2 2 3" xfId="30119" xr:uid="{00000000-0005-0000-0000-0000A7750000}"/>
    <cellStyle name="Note 3 16 2 2 2 3" xfId="30120" xr:uid="{00000000-0005-0000-0000-0000A8750000}"/>
    <cellStyle name="Note 3 16 2 2 2 4" xfId="30121" xr:uid="{00000000-0005-0000-0000-0000A9750000}"/>
    <cellStyle name="Note 3 16 2 2 3" xfId="30122" xr:uid="{00000000-0005-0000-0000-0000AA750000}"/>
    <cellStyle name="Note 3 16 2 2 3 2" xfId="30123" xr:uid="{00000000-0005-0000-0000-0000AB750000}"/>
    <cellStyle name="Note 3 16 2 2 3 3" xfId="30124" xr:uid="{00000000-0005-0000-0000-0000AC750000}"/>
    <cellStyle name="Note 3 16 2 2 4" xfId="30125" xr:uid="{00000000-0005-0000-0000-0000AD750000}"/>
    <cellStyle name="Note 3 16 2 2 5" xfId="30126" xr:uid="{00000000-0005-0000-0000-0000AE750000}"/>
    <cellStyle name="Note 3 16 3" xfId="30127" xr:uid="{00000000-0005-0000-0000-0000AF750000}"/>
    <cellStyle name="Note 3 16 3 2" xfId="30128" xr:uid="{00000000-0005-0000-0000-0000B0750000}"/>
    <cellStyle name="Note 3 16 3 2 2" xfId="30129" xr:uid="{00000000-0005-0000-0000-0000B1750000}"/>
    <cellStyle name="Note 3 16 3 2 2 2" xfId="30130" xr:uid="{00000000-0005-0000-0000-0000B2750000}"/>
    <cellStyle name="Note 3 16 3 2 2 3" xfId="30131" xr:uid="{00000000-0005-0000-0000-0000B3750000}"/>
    <cellStyle name="Note 3 16 3 2 3" xfId="30132" xr:uid="{00000000-0005-0000-0000-0000B4750000}"/>
    <cellStyle name="Note 3 16 3 2 4" xfId="30133" xr:uid="{00000000-0005-0000-0000-0000B5750000}"/>
    <cellStyle name="Note 3 16 3 3" xfId="30134" xr:uid="{00000000-0005-0000-0000-0000B6750000}"/>
    <cellStyle name="Note 3 16 3 3 2" xfId="30135" xr:uid="{00000000-0005-0000-0000-0000B7750000}"/>
    <cellStyle name="Note 3 16 3 3 3" xfId="30136" xr:uid="{00000000-0005-0000-0000-0000B8750000}"/>
    <cellStyle name="Note 3 16 3 4" xfId="30137" xr:uid="{00000000-0005-0000-0000-0000B9750000}"/>
    <cellStyle name="Note 3 16 3 5" xfId="30138" xr:uid="{00000000-0005-0000-0000-0000BA750000}"/>
    <cellStyle name="Note 3 17" xfId="30139" xr:uid="{00000000-0005-0000-0000-0000BB750000}"/>
    <cellStyle name="Note 3 17 2" xfId="30140" xr:uid="{00000000-0005-0000-0000-0000BC750000}"/>
    <cellStyle name="Note 3 17 2 2" xfId="30141" xr:uid="{00000000-0005-0000-0000-0000BD750000}"/>
    <cellStyle name="Note 3 17 2 2 2" xfId="30142" xr:uid="{00000000-0005-0000-0000-0000BE750000}"/>
    <cellStyle name="Note 3 17 2 2 2 2" xfId="30143" xr:uid="{00000000-0005-0000-0000-0000BF750000}"/>
    <cellStyle name="Note 3 17 2 2 2 2 2" xfId="30144" xr:uid="{00000000-0005-0000-0000-0000C0750000}"/>
    <cellStyle name="Note 3 17 2 2 2 2 3" xfId="30145" xr:uid="{00000000-0005-0000-0000-0000C1750000}"/>
    <cellStyle name="Note 3 17 2 2 2 3" xfId="30146" xr:uid="{00000000-0005-0000-0000-0000C2750000}"/>
    <cellStyle name="Note 3 17 2 2 2 4" xfId="30147" xr:uid="{00000000-0005-0000-0000-0000C3750000}"/>
    <cellStyle name="Note 3 17 2 2 3" xfId="30148" xr:uid="{00000000-0005-0000-0000-0000C4750000}"/>
    <cellStyle name="Note 3 17 2 2 3 2" xfId="30149" xr:uid="{00000000-0005-0000-0000-0000C5750000}"/>
    <cellStyle name="Note 3 17 2 2 3 3" xfId="30150" xr:uid="{00000000-0005-0000-0000-0000C6750000}"/>
    <cellStyle name="Note 3 17 2 2 4" xfId="30151" xr:uid="{00000000-0005-0000-0000-0000C7750000}"/>
    <cellStyle name="Note 3 17 2 2 5" xfId="30152" xr:uid="{00000000-0005-0000-0000-0000C8750000}"/>
    <cellStyle name="Note 3 17 3" xfId="30153" xr:uid="{00000000-0005-0000-0000-0000C9750000}"/>
    <cellStyle name="Note 3 17 3 2" xfId="30154" xr:uid="{00000000-0005-0000-0000-0000CA750000}"/>
    <cellStyle name="Note 3 17 3 2 2" xfId="30155" xr:uid="{00000000-0005-0000-0000-0000CB750000}"/>
    <cellStyle name="Note 3 17 3 2 2 2" xfId="30156" xr:uid="{00000000-0005-0000-0000-0000CC750000}"/>
    <cellStyle name="Note 3 17 3 2 2 3" xfId="30157" xr:uid="{00000000-0005-0000-0000-0000CD750000}"/>
    <cellStyle name="Note 3 17 3 2 3" xfId="30158" xr:uid="{00000000-0005-0000-0000-0000CE750000}"/>
    <cellStyle name="Note 3 17 3 2 4" xfId="30159" xr:uid="{00000000-0005-0000-0000-0000CF750000}"/>
    <cellStyle name="Note 3 17 3 3" xfId="30160" xr:uid="{00000000-0005-0000-0000-0000D0750000}"/>
    <cellStyle name="Note 3 17 3 3 2" xfId="30161" xr:uid="{00000000-0005-0000-0000-0000D1750000}"/>
    <cellStyle name="Note 3 17 3 3 3" xfId="30162" xr:uid="{00000000-0005-0000-0000-0000D2750000}"/>
    <cellStyle name="Note 3 17 3 4" xfId="30163" xr:uid="{00000000-0005-0000-0000-0000D3750000}"/>
    <cellStyle name="Note 3 17 3 5" xfId="30164" xr:uid="{00000000-0005-0000-0000-0000D4750000}"/>
    <cellStyle name="Note 3 18" xfId="30165" xr:uid="{00000000-0005-0000-0000-0000D5750000}"/>
    <cellStyle name="Note 3 18 2" xfId="30166" xr:uid="{00000000-0005-0000-0000-0000D6750000}"/>
    <cellStyle name="Note 3 18 2 2" xfId="30167" xr:uid="{00000000-0005-0000-0000-0000D7750000}"/>
    <cellStyle name="Note 3 18 2 2 2" xfId="30168" xr:uid="{00000000-0005-0000-0000-0000D8750000}"/>
    <cellStyle name="Note 3 18 2 2 2 2" xfId="30169" xr:uid="{00000000-0005-0000-0000-0000D9750000}"/>
    <cellStyle name="Note 3 18 2 2 2 2 2" xfId="30170" xr:uid="{00000000-0005-0000-0000-0000DA750000}"/>
    <cellStyle name="Note 3 18 2 2 2 2 3" xfId="30171" xr:uid="{00000000-0005-0000-0000-0000DB750000}"/>
    <cellStyle name="Note 3 18 2 2 2 3" xfId="30172" xr:uid="{00000000-0005-0000-0000-0000DC750000}"/>
    <cellStyle name="Note 3 18 2 2 2 4" xfId="30173" xr:uid="{00000000-0005-0000-0000-0000DD750000}"/>
    <cellStyle name="Note 3 18 2 2 3" xfId="30174" xr:uid="{00000000-0005-0000-0000-0000DE750000}"/>
    <cellStyle name="Note 3 18 2 2 3 2" xfId="30175" xr:uid="{00000000-0005-0000-0000-0000DF750000}"/>
    <cellStyle name="Note 3 18 2 2 3 3" xfId="30176" xr:uid="{00000000-0005-0000-0000-0000E0750000}"/>
    <cellStyle name="Note 3 18 2 2 4" xfId="30177" xr:uid="{00000000-0005-0000-0000-0000E1750000}"/>
    <cellStyle name="Note 3 18 2 2 5" xfId="30178" xr:uid="{00000000-0005-0000-0000-0000E2750000}"/>
    <cellStyle name="Note 3 18 3" xfId="30179" xr:uid="{00000000-0005-0000-0000-0000E3750000}"/>
    <cellStyle name="Note 3 18 3 2" xfId="30180" xr:uid="{00000000-0005-0000-0000-0000E4750000}"/>
    <cellStyle name="Note 3 18 3 2 2" xfId="30181" xr:uid="{00000000-0005-0000-0000-0000E5750000}"/>
    <cellStyle name="Note 3 18 3 2 2 2" xfId="30182" xr:uid="{00000000-0005-0000-0000-0000E6750000}"/>
    <cellStyle name="Note 3 18 3 2 2 3" xfId="30183" xr:uid="{00000000-0005-0000-0000-0000E7750000}"/>
    <cellStyle name="Note 3 18 3 2 3" xfId="30184" xr:uid="{00000000-0005-0000-0000-0000E8750000}"/>
    <cellStyle name="Note 3 18 3 2 4" xfId="30185" xr:uid="{00000000-0005-0000-0000-0000E9750000}"/>
    <cellStyle name="Note 3 18 3 3" xfId="30186" xr:uid="{00000000-0005-0000-0000-0000EA750000}"/>
    <cellStyle name="Note 3 18 3 3 2" xfId="30187" xr:uid="{00000000-0005-0000-0000-0000EB750000}"/>
    <cellStyle name="Note 3 18 3 3 3" xfId="30188" xr:uid="{00000000-0005-0000-0000-0000EC750000}"/>
    <cellStyle name="Note 3 18 3 4" xfId="30189" xr:uid="{00000000-0005-0000-0000-0000ED750000}"/>
    <cellStyle name="Note 3 18 3 5" xfId="30190" xr:uid="{00000000-0005-0000-0000-0000EE750000}"/>
    <cellStyle name="Note 3 19" xfId="30191" xr:uid="{00000000-0005-0000-0000-0000EF750000}"/>
    <cellStyle name="Note 3 19 2" xfId="30192" xr:uid="{00000000-0005-0000-0000-0000F0750000}"/>
    <cellStyle name="Note 3 19 2 2" xfId="30193" xr:uid="{00000000-0005-0000-0000-0000F1750000}"/>
    <cellStyle name="Note 3 19 2 2 2" xfId="30194" xr:uid="{00000000-0005-0000-0000-0000F2750000}"/>
    <cellStyle name="Note 3 19 2 2 2 2" xfId="30195" xr:uid="{00000000-0005-0000-0000-0000F3750000}"/>
    <cellStyle name="Note 3 19 2 2 2 2 2" xfId="30196" xr:uid="{00000000-0005-0000-0000-0000F4750000}"/>
    <cellStyle name="Note 3 19 2 2 2 2 3" xfId="30197" xr:uid="{00000000-0005-0000-0000-0000F5750000}"/>
    <cellStyle name="Note 3 19 2 2 2 3" xfId="30198" xr:uid="{00000000-0005-0000-0000-0000F6750000}"/>
    <cellStyle name="Note 3 19 2 2 2 4" xfId="30199" xr:uid="{00000000-0005-0000-0000-0000F7750000}"/>
    <cellStyle name="Note 3 19 2 2 3" xfId="30200" xr:uid="{00000000-0005-0000-0000-0000F8750000}"/>
    <cellStyle name="Note 3 19 2 2 3 2" xfId="30201" xr:uid="{00000000-0005-0000-0000-0000F9750000}"/>
    <cellStyle name="Note 3 19 2 2 3 3" xfId="30202" xr:uid="{00000000-0005-0000-0000-0000FA750000}"/>
    <cellStyle name="Note 3 19 2 2 4" xfId="30203" xr:uid="{00000000-0005-0000-0000-0000FB750000}"/>
    <cellStyle name="Note 3 19 2 2 5" xfId="30204" xr:uid="{00000000-0005-0000-0000-0000FC750000}"/>
    <cellStyle name="Note 3 19 3" xfId="30205" xr:uid="{00000000-0005-0000-0000-0000FD750000}"/>
    <cellStyle name="Note 3 19 3 2" xfId="30206" xr:uid="{00000000-0005-0000-0000-0000FE750000}"/>
    <cellStyle name="Note 3 19 3 2 2" xfId="30207" xr:uid="{00000000-0005-0000-0000-0000FF750000}"/>
    <cellStyle name="Note 3 19 3 2 2 2" xfId="30208" xr:uid="{00000000-0005-0000-0000-000000760000}"/>
    <cellStyle name="Note 3 19 3 2 2 3" xfId="30209" xr:uid="{00000000-0005-0000-0000-000001760000}"/>
    <cellStyle name="Note 3 19 3 2 3" xfId="30210" xr:uid="{00000000-0005-0000-0000-000002760000}"/>
    <cellStyle name="Note 3 19 3 2 4" xfId="30211" xr:uid="{00000000-0005-0000-0000-000003760000}"/>
    <cellStyle name="Note 3 19 3 3" xfId="30212" xr:uid="{00000000-0005-0000-0000-000004760000}"/>
    <cellStyle name="Note 3 19 3 3 2" xfId="30213" xr:uid="{00000000-0005-0000-0000-000005760000}"/>
    <cellStyle name="Note 3 19 3 3 3" xfId="30214" xr:uid="{00000000-0005-0000-0000-000006760000}"/>
    <cellStyle name="Note 3 19 3 4" xfId="30215" xr:uid="{00000000-0005-0000-0000-000007760000}"/>
    <cellStyle name="Note 3 19 3 5" xfId="30216" xr:uid="{00000000-0005-0000-0000-000008760000}"/>
    <cellStyle name="Note 3 2" xfId="30217" xr:uid="{00000000-0005-0000-0000-000009760000}"/>
    <cellStyle name="Note 3 2 2" xfId="30218" xr:uid="{00000000-0005-0000-0000-00000A760000}"/>
    <cellStyle name="Note 3 2 2 2" xfId="30219" xr:uid="{00000000-0005-0000-0000-00000B760000}"/>
    <cellStyle name="Note 3 2 2 2 2" xfId="30220" xr:uid="{00000000-0005-0000-0000-00000C760000}"/>
    <cellStyle name="Note 3 2 2 2 2 2" xfId="30221" xr:uid="{00000000-0005-0000-0000-00000D760000}"/>
    <cellStyle name="Note 3 2 2 2 2 2 2" xfId="30222" xr:uid="{00000000-0005-0000-0000-00000E760000}"/>
    <cellStyle name="Note 3 2 2 2 2 2 3" xfId="30223" xr:uid="{00000000-0005-0000-0000-00000F760000}"/>
    <cellStyle name="Note 3 2 2 2 2 3" xfId="30224" xr:uid="{00000000-0005-0000-0000-000010760000}"/>
    <cellStyle name="Note 3 2 2 2 2 4" xfId="30225" xr:uid="{00000000-0005-0000-0000-000011760000}"/>
    <cellStyle name="Note 3 2 2 2 3" xfId="30226" xr:uid="{00000000-0005-0000-0000-000012760000}"/>
    <cellStyle name="Note 3 2 2 2 3 2" xfId="30227" xr:uid="{00000000-0005-0000-0000-000013760000}"/>
    <cellStyle name="Note 3 2 2 2 3 3" xfId="30228" xr:uid="{00000000-0005-0000-0000-000014760000}"/>
    <cellStyle name="Note 3 2 2 2 4" xfId="30229" xr:uid="{00000000-0005-0000-0000-000015760000}"/>
    <cellStyle name="Note 3 2 2 2 5" xfId="30230" xr:uid="{00000000-0005-0000-0000-000016760000}"/>
    <cellStyle name="Note 3 2 3" xfId="30231" xr:uid="{00000000-0005-0000-0000-000017760000}"/>
    <cellStyle name="Note 3 2 3 2" xfId="30232" xr:uid="{00000000-0005-0000-0000-000018760000}"/>
    <cellStyle name="Note 3 2 3 2 2" xfId="30233" xr:uid="{00000000-0005-0000-0000-000019760000}"/>
    <cellStyle name="Note 3 2 3 2 2 2" xfId="30234" xr:uid="{00000000-0005-0000-0000-00001A760000}"/>
    <cellStyle name="Note 3 2 3 2 2 3" xfId="30235" xr:uid="{00000000-0005-0000-0000-00001B760000}"/>
    <cellStyle name="Note 3 2 3 2 3" xfId="30236" xr:uid="{00000000-0005-0000-0000-00001C760000}"/>
    <cellStyle name="Note 3 2 3 2 4" xfId="30237" xr:uid="{00000000-0005-0000-0000-00001D760000}"/>
    <cellStyle name="Note 3 2 3 3" xfId="30238" xr:uid="{00000000-0005-0000-0000-00001E760000}"/>
    <cellStyle name="Note 3 2 3 3 2" xfId="30239" xr:uid="{00000000-0005-0000-0000-00001F760000}"/>
    <cellStyle name="Note 3 2 3 3 3" xfId="30240" xr:uid="{00000000-0005-0000-0000-000020760000}"/>
    <cellStyle name="Note 3 2 3 4" xfId="30241" xr:uid="{00000000-0005-0000-0000-000021760000}"/>
    <cellStyle name="Note 3 2 3 5" xfId="30242" xr:uid="{00000000-0005-0000-0000-000022760000}"/>
    <cellStyle name="Note 3 20" xfId="30243" xr:uid="{00000000-0005-0000-0000-000023760000}"/>
    <cellStyle name="Note 3 20 2" xfId="30244" xr:uid="{00000000-0005-0000-0000-000024760000}"/>
    <cellStyle name="Note 3 20 2 2" xfId="30245" xr:uid="{00000000-0005-0000-0000-000025760000}"/>
    <cellStyle name="Note 3 20 2 2 2" xfId="30246" xr:uid="{00000000-0005-0000-0000-000026760000}"/>
    <cellStyle name="Note 3 20 2 2 2 2" xfId="30247" xr:uid="{00000000-0005-0000-0000-000027760000}"/>
    <cellStyle name="Note 3 20 2 2 2 3" xfId="30248" xr:uid="{00000000-0005-0000-0000-000028760000}"/>
    <cellStyle name="Note 3 20 2 2 3" xfId="30249" xr:uid="{00000000-0005-0000-0000-000029760000}"/>
    <cellStyle name="Note 3 20 2 2 4" xfId="30250" xr:uid="{00000000-0005-0000-0000-00002A760000}"/>
    <cellStyle name="Note 3 20 2 3" xfId="30251" xr:uid="{00000000-0005-0000-0000-00002B760000}"/>
    <cellStyle name="Note 3 20 2 3 2" xfId="30252" xr:uid="{00000000-0005-0000-0000-00002C760000}"/>
    <cellStyle name="Note 3 20 2 3 3" xfId="30253" xr:uid="{00000000-0005-0000-0000-00002D760000}"/>
    <cellStyle name="Note 3 20 2 4" xfId="30254" xr:uid="{00000000-0005-0000-0000-00002E760000}"/>
    <cellStyle name="Note 3 20 2 5" xfId="30255" xr:uid="{00000000-0005-0000-0000-00002F760000}"/>
    <cellStyle name="Note 3 21" xfId="30256" xr:uid="{00000000-0005-0000-0000-000030760000}"/>
    <cellStyle name="Note 3 21 2" xfId="30257" xr:uid="{00000000-0005-0000-0000-000031760000}"/>
    <cellStyle name="Note 3 21 2 2" xfId="30258" xr:uid="{00000000-0005-0000-0000-000032760000}"/>
    <cellStyle name="Note 3 21 2 2 2" xfId="30259" xr:uid="{00000000-0005-0000-0000-000033760000}"/>
    <cellStyle name="Note 3 21 2 2 2 2" xfId="30260" xr:uid="{00000000-0005-0000-0000-000034760000}"/>
    <cellStyle name="Note 3 21 2 2 2 3" xfId="30261" xr:uid="{00000000-0005-0000-0000-000035760000}"/>
    <cellStyle name="Note 3 21 2 2 3" xfId="30262" xr:uid="{00000000-0005-0000-0000-000036760000}"/>
    <cellStyle name="Note 3 21 2 2 4" xfId="30263" xr:uid="{00000000-0005-0000-0000-000037760000}"/>
    <cellStyle name="Note 3 21 2 3" xfId="30264" xr:uid="{00000000-0005-0000-0000-000038760000}"/>
    <cellStyle name="Note 3 21 2 3 2" xfId="30265" xr:uid="{00000000-0005-0000-0000-000039760000}"/>
    <cellStyle name="Note 3 21 2 3 3" xfId="30266" xr:uid="{00000000-0005-0000-0000-00003A760000}"/>
    <cellStyle name="Note 3 21 2 4" xfId="30267" xr:uid="{00000000-0005-0000-0000-00003B760000}"/>
    <cellStyle name="Note 3 21 2 5" xfId="30268" xr:uid="{00000000-0005-0000-0000-00003C760000}"/>
    <cellStyle name="Note 3 22" xfId="30269" xr:uid="{00000000-0005-0000-0000-00003D760000}"/>
    <cellStyle name="Note 3 22 2" xfId="30270" xr:uid="{00000000-0005-0000-0000-00003E760000}"/>
    <cellStyle name="Note 3 22 2 2" xfId="30271" xr:uid="{00000000-0005-0000-0000-00003F760000}"/>
    <cellStyle name="Note 3 22 2 2 2" xfId="30272" xr:uid="{00000000-0005-0000-0000-000040760000}"/>
    <cellStyle name="Note 3 22 2 2 2 2" xfId="30273" xr:uid="{00000000-0005-0000-0000-000041760000}"/>
    <cellStyle name="Note 3 22 2 2 2 3" xfId="30274" xr:uid="{00000000-0005-0000-0000-000042760000}"/>
    <cellStyle name="Note 3 22 2 2 3" xfId="30275" xr:uid="{00000000-0005-0000-0000-000043760000}"/>
    <cellStyle name="Note 3 22 2 2 4" xfId="30276" xr:uid="{00000000-0005-0000-0000-000044760000}"/>
    <cellStyle name="Note 3 22 2 3" xfId="30277" xr:uid="{00000000-0005-0000-0000-000045760000}"/>
    <cellStyle name="Note 3 22 2 3 2" xfId="30278" xr:uid="{00000000-0005-0000-0000-000046760000}"/>
    <cellStyle name="Note 3 22 2 3 3" xfId="30279" xr:uid="{00000000-0005-0000-0000-000047760000}"/>
    <cellStyle name="Note 3 22 2 4" xfId="30280" xr:uid="{00000000-0005-0000-0000-000048760000}"/>
    <cellStyle name="Note 3 22 2 5" xfId="30281" xr:uid="{00000000-0005-0000-0000-000049760000}"/>
    <cellStyle name="Note 3 23" xfId="30282" xr:uid="{00000000-0005-0000-0000-00004A760000}"/>
    <cellStyle name="Note 3 23 2" xfId="30283" xr:uid="{00000000-0005-0000-0000-00004B760000}"/>
    <cellStyle name="Note 3 23 2 2" xfId="30284" xr:uid="{00000000-0005-0000-0000-00004C760000}"/>
    <cellStyle name="Note 3 23 2 2 2" xfId="30285" xr:uid="{00000000-0005-0000-0000-00004D760000}"/>
    <cellStyle name="Note 3 23 2 2 2 2" xfId="30286" xr:uid="{00000000-0005-0000-0000-00004E760000}"/>
    <cellStyle name="Note 3 23 2 2 2 3" xfId="30287" xr:uid="{00000000-0005-0000-0000-00004F760000}"/>
    <cellStyle name="Note 3 23 2 2 3" xfId="30288" xr:uid="{00000000-0005-0000-0000-000050760000}"/>
    <cellStyle name="Note 3 23 2 2 4" xfId="30289" xr:uid="{00000000-0005-0000-0000-000051760000}"/>
    <cellStyle name="Note 3 23 2 3" xfId="30290" xr:uid="{00000000-0005-0000-0000-000052760000}"/>
    <cellStyle name="Note 3 23 2 3 2" xfId="30291" xr:uid="{00000000-0005-0000-0000-000053760000}"/>
    <cellStyle name="Note 3 23 2 3 3" xfId="30292" xr:uid="{00000000-0005-0000-0000-000054760000}"/>
    <cellStyle name="Note 3 23 2 4" xfId="30293" xr:uid="{00000000-0005-0000-0000-000055760000}"/>
    <cellStyle name="Note 3 23 2 5" xfId="30294" xr:uid="{00000000-0005-0000-0000-000056760000}"/>
    <cellStyle name="Note 3 24" xfId="30295" xr:uid="{00000000-0005-0000-0000-000057760000}"/>
    <cellStyle name="Note 3 24 2" xfId="30296" xr:uid="{00000000-0005-0000-0000-000058760000}"/>
    <cellStyle name="Note 3 24 2 2" xfId="30297" xr:uid="{00000000-0005-0000-0000-000059760000}"/>
    <cellStyle name="Note 3 24 2 2 2" xfId="30298" xr:uid="{00000000-0005-0000-0000-00005A760000}"/>
    <cellStyle name="Note 3 24 2 2 2 2" xfId="30299" xr:uid="{00000000-0005-0000-0000-00005B760000}"/>
    <cellStyle name="Note 3 24 2 2 2 3" xfId="30300" xr:uid="{00000000-0005-0000-0000-00005C760000}"/>
    <cellStyle name="Note 3 24 2 2 3" xfId="30301" xr:uid="{00000000-0005-0000-0000-00005D760000}"/>
    <cellStyle name="Note 3 24 2 2 4" xfId="30302" xr:uid="{00000000-0005-0000-0000-00005E760000}"/>
    <cellStyle name="Note 3 24 2 3" xfId="30303" xr:uid="{00000000-0005-0000-0000-00005F760000}"/>
    <cellStyle name="Note 3 24 2 3 2" xfId="30304" xr:uid="{00000000-0005-0000-0000-000060760000}"/>
    <cellStyle name="Note 3 24 2 3 3" xfId="30305" xr:uid="{00000000-0005-0000-0000-000061760000}"/>
    <cellStyle name="Note 3 24 2 4" xfId="30306" xr:uid="{00000000-0005-0000-0000-000062760000}"/>
    <cellStyle name="Note 3 24 2 5" xfId="30307" xr:uid="{00000000-0005-0000-0000-000063760000}"/>
    <cellStyle name="Note 3 25" xfId="30308" xr:uid="{00000000-0005-0000-0000-000064760000}"/>
    <cellStyle name="Note 3 25 2" xfId="30309" xr:uid="{00000000-0005-0000-0000-000065760000}"/>
    <cellStyle name="Note 3 25 2 2" xfId="30310" xr:uid="{00000000-0005-0000-0000-000066760000}"/>
    <cellStyle name="Note 3 25 2 2 2" xfId="30311" xr:uid="{00000000-0005-0000-0000-000067760000}"/>
    <cellStyle name="Note 3 25 2 2 3" xfId="30312" xr:uid="{00000000-0005-0000-0000-000068760000}"/>
    <cellStyle name="Note 3 25 2 3" xfId="30313" xr:uid="{00000000-0005-0000-0000-000069760000}"/>
    <cellStyle name="Note 3 25 2 4" xfId="30314" xr:uid="{00000000-0005-0000-0000-00006A760000}"/>
    <cellStyle name="Note 3 25 3" xfId="30315" xr:uid="{00000000-0005-0000-0000-00006B760000}"/>
    <cellStyle name="Note 3 25 3 2" xfId="30316" xr:uid="{00000000-0005-0000-0000-00006C760000}"/>
    <cellStyle name="Note 3 25 3 3" xfId="30317" xr:uid="{00000000-0005-0000-0000-00006D760000}"/>
    <cellStyle name="Note 3 25 4" xfId="30318" xr:uid="{00000000-0005-0000-0000-00006E760000}"/>
    <cellStyle name="Note 3 25 5" xfId="30319" xr:uid="{00000000-0005-0000-0000-00006F760000}"/>
    <cellStyle name="Note 3 3" xfId="30320" xr:uid="{00000000-0005-0000-0000-000070760000}"/>
    <cellStyle name="Note 3 3 2" xfId="30321" xr:uid="{00000000-0005-0000-0000-000071760000}"/>
    <cellStyle name="Note 3 3 2 2" xfId="30322" xr:uid="{00000000-0005-0000-0000-000072760000}"/>
    <cellStyle name="Note 3 3 2 2 2" xfId="30323" xr:uid="{00000000-0005-0000-0000-000073760000}"/>
    <cellStyle name="Note 3 3 2 2 2 2" xfId="30324" xr:uid="{00000000-0005-0000-0000-000074760000}"/>
    <cellStyle name="Note 3 3 2 2 2 2 2" xfId="30325" xr:uid="{00000000-0005-0000-0000-000075760000}"/>
    <cellStyle name="Note 3 3 2 2 2 2 3" xfId="30326" xr:uid="{00000000-0005-0000-0000-000076760000}"/>
    <cellStyle name="Note 3 3 2 2 2 3" xfId="30327" xr:uid="{00000000-0005-0000-0000-000077760000}"/>
    <cellStyle name="Note 3 3 2 2 2 4" xfId="30328" xr:uid="{00000000-0005-0000-0000-000078760000}"/>
    <cellStyle name="Note 3 3 2 2 3" xfId="30329" xr:uid="{00000000-0005-0000-0000-000079760000}"/>
    <cellStyle name="Note 3 3 2 2 3 2" xfId="30330" xr:uid="{00000000-0005-0000-0000-00007A760000}"/>
    <cellStyle name="Note 3 3 2 2 3 3" xfId="30331" xr:uid="{00000000-0005-0000-0000-00007B760000}"/>
    <cellStyle name="Note 3 3 2 2 4" xfId="30332" xr:uid="{00000000-0005-0000-0000-00007C760000}"/>
    <cellStyle name="Note 3 3 2 2 5" xfId="30333" xr:uid="{00000000-0005-0000-0000-00007D760000}"/>
    <cellStyle name="Note 3 3 3" xfId="30334" xr:uid="{00000000-0005-0000-0000-00007E760000}"/>
    <cellStyle name="Note 3 3 3 2" xfId="30335" xr:uid="{00000000-0005-0000-0000-00007F760000}"/>
    <cellStyle name="Note 3 3 3 2 2" xfId="30336" xr:uid="{00000000-0005-0000-0000-000080760000}"/>
    <cellStyle name="Note 3 3 3 2 2 2" xfId="30337" xr:uid="{00000000-0005-0000-0000-000081760000}"/>
    <cellStyle name="Note 3 3 3 2 2 3" xfId="30338" xr:uid="{00000000-0005-0000-0000-000082760000}"/>
    <cellStyle name="Note 3 3 3 2 3" xfId="30339" xr:uid="{00000000-0005-0000-0000-000083760000}"/>
    <cellStyle name="Note 3 3 3 2 4" xfId="30340" xr:uid="{00000000-0005-0000-0000-000084760000}"/>
    <cellStyle name="Note 3 3 3 3" xfId="30341" xr:uid="{00000000-0005-0000-0000-000085760000}"/>
    <cellStyle name="Note 3 3 3 3 2" xfId="30342" xr:uid="{00000000-0005-0000-0000-000086760000}"/>
    <cellStyle name="Note 3 3 3 3 3" xfId="30343" xr:uid="{00000000-0005-0000-0000-000087760000}"/>
    <cellStyle name="Note 3 3 3 4" xfId="30344" xr:uid="{00000000-0005-0000-0000-000088760000}"/>
    <cellStyle name="Note 3 3 3 5" xfId="30345" xr:uid="{00000000-0005-0000-0000-000089760000}"/>
    <cellStyle name="Note 3 4" xfId="30346" xr:uid="{00000000-0005-0000-0000-00008A760000}"/>
    <cellStyle name="Note 3 4 2" xfId="30347" xr:uid="{00000000-0005-0000-0000-00008B760000}"/>
    <cellStyle name="Note 3 4 2 2" xfId="30348" xr:uid="{00000000-0005-0000-0000-00008C760000}"/>
    <cellStyle name="Note 3 4 2 2 2" xfId="30349" xr:uid="{00000000-0005-0000-0000-00008D760000}"/>
    <cellStyle name="Note 3 4 2 2 2 2" xfId="30350" xr:uid="{00000000-0005-0000-0000-00008E760000}"/>
    <cellStyle name="Note 3 4 2 2 2 2 2" xfId="30351" xr:uid="{00000000-0005-0000-0000-00008F760000}"/>
    <cellStyle name="Note 3 4 2 2 2 2 3" xfId="30352" xr:uid="{00000000-0005-0000-0000-000090760000}"/>
    <cellStyle name="Note 3 4 2 2 2 3" xfId="30353" xr:uid="{00000000-0005-0000-0000-000091760000}"/>
    <cellStyle name="Note 3 4 2 2 2 4" xfId="30354" xr:uid="{00000000-0005-0000-0000-000092760000}"/>
    <cellStyle name="Note 3 4 2 2 3" xfId="30355" xr:uid="{00000000-0005-0000-0000-000093760000}"/>
    <cellStyle name="Note 3 4 2 2 3 2" xfId="30356" xr:uid="{00000000-0005-0000-0000-000094760000}"/>
    <cellStyle name="Note 3 4 2 2 3 3" xfId="30357" xr:uid="{00000000-0005-0000-0000-000095760000}"/>
    <cellStyle name="Note 3 4 2 2 4" xfId="30358" xr:uid="{00000000-0005-0000-0000-000096760000}"/>
    <cellStyle name="Note 3 4 2 2 5" xfId="30359" xr:uid="{00000000-0005-0000-0000-000097760000}"/>
    <cellStyle name="Note 3 4 3" xfId="30360" xr:uid="{00000000-0005-0000-0000-000098760000}"/>
    <cellStyle name="Note 3 4 3 2" xfId="30361" xr:uid="{00000000-0005-0000-0000-000099760000}"/>
    <cellStyle name="Note 3 4 3 2 2" xfId="30362" xr:uid="{00000000-0005-0000-0000-00009A760000}"/>
    <cellStyle name="Note 3 4 3 2 2 2" xfId="30363" xr:uid="{00000000-0005-0000-0000-00009B760000}"/>
    <cellStyle name="Note 3 4 3 2 2 3" xfId="30364" xr:uid="{00000000-0005-0000-0000-00009C760000}"/>
    <cellStyle name="Note 3 4 3 2 3" xfId="30365" xr:uid="{00000000-0005-0000-0000-00009D760000}"/>
    <cellStyle name="Note 3 4 3 2 4" xfId="30366" xr:uid="{00000000-0005-0000-0000-00009E760000}"/>
    <cellStyle name="Note 3 4 3 3" xfId="30367" xr:uid="{00000000-0005-0000-0000-00009F760000}"/>
    <cellStyle name="Note 3 4 3 3 2" xfId="30368" xr:uid="{00000000-0005-0000-0000-0000A0760000}"/>
    <cellStyle name="Note 3 4 3 3 3" xfId="30369" xr:uid="{00000000-0005-0000-0000-0000A1760000}"/>
    <cellStyle name="Note 3 4 3 4" xfId="30370" xr:uid="{00000000-0005-0000-0000-0000A2760000}"/>
    <cellStyle name="Note 3 4 3 5" xfId="30371" xr:uid="{00000000-0005-0000-0000-0000A3760000}"/>
    <cellStyle name="Note 3 5" xfId="30372" xr:uid="{00000000-0005-0000-0000-0000A4760000}"/>
    <cellStyle name="Note 3 5 2" xfId="30373" xr:uid="{00000000-0005-0000-0000-0000A5760000}"/>
    <cellStyle name="Note 3 5 2 2" xfId="30374" xr:uid="{00000000-0005-0000-0000-0000A6760000}"/>
    <cellStyle name="Note 3 5 2 2 2" xfId="30375" xr:uid="{00000000-0005-0000-0000-0000A7760000}"/>
    <cellStyle name="Note 3 5 2 2 2 2" xfId="30376" xr:uid="{00000000-0005-0000-0000-0000A8760000}"/>
    <cellStyle name="Note 3 5 2 2 2 2 2" xfId="30377" xr:uid="{00000000-0005-0000-0000-0000A9760000}"/>
    <cellStyle name="Note 3 5 2 2 2 2 3" xfId="30378" xr:uid="{00000000-0005-0000-0000-0000AA760000}"/>
    <cellStyle name="Note 3 5 2 2 2 3" xfId="30379" xr:uid="{00000000-0005-0000-0000-0000AB760000}"/>
    <cellStyle name="Note 3 5 2 2 2 4" xfId="30380" xr:uid="{00000000-0005-0000-0000-0000AC760000}"/>
    <cellStyle name="Note 3 5 2 2 3" xfId="30381" xr:uid="{00000000-0005-0000-0000-0000AD760000}"/>
    <cellStyle name="Note 3 5 2 2 3 2" xfId="30382" xr:uid="{00000000-0005-0000-0000-0000AE760000}"/>
    <cellStyle name="Note 3 5 2 2 3 3" xfId="30383" xr:uid="{00000000-0005-0000-0000-0000AF760000}"/>
    <cellStyle name="Note 3 5 2 2 4" xfId="30384" xr:uid="{00000000-0005-0000-0000-0000B0760000}"/>
    <cellStyle name="Note 3 5 2 2 5" xfId="30385" xr:uid="{00000000-0005-0000-0000-0000B1760000}"/>
    <cellStyle name="Note 3 5 3" xfId="30386" xr:uid="{00000000-0005-0000-0000-0000B2760000}"/>
    <cellStyle name="Note 3 5 3 2" xfId="30387" xr:uid="{00000000-0005-0000-0000-0000B3760000}"/>
    <cellStyle name="Note 3 5 3 2 2" xfId="30388" xr:uid="{00000000-0005-0000-0000-0000B4760000}"/>
    <cellStyle name="Note 3 5 3 2 2 2" xfId="30389" xr:uid="{00000000-0005-0000-0000-0000B5760000}"/>
    <cellStyle name="Note 3 5 3 2 2 3" xfId="30390" xr:uid="{00000000-0005-0000-0000-0000B6760000}"/>
    <cellStyle name="Note 3 5 3 2 3" xfId="30391" xr:uid="{00000000-0005-0000-0000-0000B7760000}"/>
    <cellStyle name="Note 3 5 3 2 4" xfId="30392" xr:uid="{00000000-0005-0000-0000-0000B8760000}"/>
    <cellStyle name="Note 3 5 3 3" xfId="30393" xr:uid="{00000000-0005-0000-0000-0000B9760000}"/>
    <cellStyle name="Note 3 5 3 3 2" xfId="30394" xr:uid="{00000000-0005-0000-0000-0000BA760000}"/>
    <cellStyle name="Note 3 5 3 3 3" xfId="30395" xr:uid="{00000000-0005-0000-0000-0000BB760000}"/>
    <cellStyle name="Note 3 5 3 4" xfId="30396" xr:uid="{00000000-0005-0000-0000-0000BC760000}"/>
    <cellStyle name="Note 3 5 3 5" xfId="30397" xr:uid="{00000000-0005-0000-0000-0000BD760000}"/>
    <cellStyle name="Note 3 6" xfId="30398" xr:uid="{00000000-0005-0000-0000-0000BE760000}"/>
    <cellStyle name="Note 3 6 2" xfId="30399" xr:uid="{00000000-0005-0000-0000-0000BF760000}"/>
    <cellStyle name="Note 3 6 2 2" xfId="30400" xr:uid="{00000000-0005-0000-0000-0000C0760000}"/>
    <cellStyle name="Note 3 6 2 2 2" xfId="30401" xr:uid="{00000000-0005-0000-0000-0000C1760000}"/>
    <cellStyle name="Note 3 6 2 2 2 2" xfId="30402" xr:uid="{00000000-0005-0000-0000-0000C2760000}"/>
    <cellStyle name="Note 3 6 2 2 2 2 2" xfId="30403" xr:uid="{00000000-0005-0000-0000-0000C3760000}"/>
    <cellStyle name="Note 3 6 2 2 2 2 3" xfId="30404" xr:uid="{00000000-0005-0000-0000-0000C4760000}"/>
    <cellStyle name="Note 3 6 2 2 2 3" xfId="30405" xr:uid="{00000000-0005-0000-0000-0000C5760000}"/>
    <cellStyle name="Note 3 6 2 2 2 4" xfId="30406" xr:uid="{00000000-0005-0000-0000-0000C6760000}"/>
    <cellStyle name="Note 3 6 2 2 3" xfId="30407" xr:uid="{00000000-0005-0000-0000-0000C7760000}"/>
    <cellStyle name="Note 3 6 2 2 3 2" xfId="30408" xr:uid="{00000000-0005-0000-0000-0000C8760000}"/>
    <cellStyle name="Note 3 6 2 2 3 3" xfId="30409" xr:uid="{00000000-0005-0000-0000-0000C9760000}"/>
    <cellStyle name="Note 3 6 2 2 4" xfId="30410" xr:uid="{00000000-0005-0000-0000-0000CA760000}"/>
    <cellStyle name="Note 3 6 2 2 5" xfId="30411" xr:uid="{00000000-0005-0000-0000-0000CB760000}"/>
    <cellStyle name="Note 3 6 3" xfId="30412" xr:uid="{00000000-0005-0000-0000-0000CC760000}"/>
    <cellStyle name="Note 3 6 3 2" xfId="30413" xr:uid="{00000000-0005-0000-0000-0000CD760000}"/>
    <cellStyle name="Note 3 6 3 2 2" xfId="30414" xr:uid="{00000000-0005-0000-0000-0000CE760000}"/>
    <cellStyle name="Note 3 6 3 2 2 2" xfId="30415" xr:uid="{00000000-0005-0000-0000-0000CF760000}"/>
    <cellStyle name="Note 3 6 3 2 2 3" xfId="30416" xr:uid="{00000000-0005-0000-0000-0000D0760000}"/>
    <cellStyle name="Note 3 6 3 2 3" xfId="30417" xr:uid="{00000000-0005-0000-0000-0000D1760000}"/>
    <cellStyle name="Note 3 6 3 2 4" xfId="30418" xr:uid="{00000000-0005-0000-0000-0000D2760000}"/>
    <cellStyle name="Note 3 6 3 3" xfId="30419" xr:uid="{00000000-0005-0000-0000-0000D3760000}"/>
    <cellStyle name="Note 3 6 3 3 2" xfId="30420" xr:uid="{00000000-0005-0000-0000-0000D4760000}"/>
    <cellStyle name="Note 3 6 3 3 3" xfId="30421" xr:uid="{00000000-0005-0000-0000-0000D5760000}"/>
    <cellStyle name="Note 3 6 3 4" xfId="30422" xr:uid="{00000000-0005-0000-0000-0000D6760000}"/>
    <cellStyle name="Note 3 6 3 5" xfId="30423" xr:uid="{00000000-0005-0000-0000-0000D7760000}"/>
    <cellStyle name="Note 3 7" xfId="30424" xr:uid="{00000000-0005-0000-0000-0000D8760000}"/>
    <cellStyle name="Note 3 7 2" xfId="30425" xr:uid="{00000000-0005-0000-0000-0000D9760000}"/>
    <cellStyle name="Note 3 7 2 2" xfId="30426" xr:uid="{00000000-0005-0000-0000-0000DA760000}"/>
    <cellStyle name="Note 3 7 2 2 2" xfId="30427" xr:uid="{00000000-0005-0000-0000-0000DB760000}"/>
    <cellStyle name="Note 3 7 2 2 2 2" xfId="30428" xr:uid="{00000000-0005-0000-0000-0000DC760000}"/>
    <cellStyle name="Note 3 7 2 2 2 2 2" xfId="30429" xr:uid="{00000000-0005-0000-0000-0000DD760000}"/>
    <cellStyle name="Note 3 7 2 2 2 2 3" xfId="30430" xr:uid="{00000000-0005-0000-0000-0000DE760000}"/>
    <cellStyle name="Note 3 7 2 2 2 3" xfId="30431" xr:uid="{00000000-0005-0000-0000-0000DF760000}"/>
    <cellStyle name="Note 3 7 2 2 2 4" xfId="30432" xr:uid="{00000000-0005-0000-0000-0000E0760000}"/>
    <cellStyle name="Note 3 7 2 2 3" xfId="30433" xr:uid="{00000000-0005-0000-0000-0000E1760000}"/>
    <cellStyle name="Note 3 7 2 2 3 2" xfId="30434" xr:uid="{00000000-0005-0000-0000-0000E2760000}"/>
    <cellStyle name="Note 3 7 2 2 3 3" xfId="30435" xr:uid="{00000000-0005-0000-0000-0000E3760000}"/>
    <cellStyle name="Note 3 7 2 2 4" xfId="30436" xr:uid="{00000000-0005-0000-0000-0000E4760000}"/>
    <cellStyle name="Note 3 7 2 2 5" xfId="30437" xr:uid="{00000000-0005-0000-0000-0000E5760000}"/>
    <cellStyle name="Note 3 7 3" xfId="30438" xr:uid="{00000000-0005-0000-0000-0000E6760000}"/>
    <cellStyle name="Note 3 7 3 2" xfId="30439" xr:uid="{00000000-0005-0000-0000-0000E7760000}"/>
    <cellStyle name="Note 3 7 3 2 2" xfId="30440" xr:uid="{00000000-0005-0000-0000-0000E8760000}"/>
    <cellStyle name="Note 3 7 3 2 2 2" xfId="30441" xr:uid="{00000000-0005-0000-0000-0000E9760000}"/>
    <cellStyle name="Note 3 7 3 2 2 3" xfId="30442" xr:uid="{00000000-0005-0000-0000-0000EA760000}"/>
    <cellStyle name="Note 3 7 3 2 3" xfId="30443" xr:uid="{00000000-0005-0000-0000-0000EB760000}"/>
    <cellStyle name="Note 3 7 3 2 4" xfId="30444" xr:uid="{00000000-0005-0000-0000-0000EC760000}"/>
    <cellStyle name="Note 3 7 3 3" xfId="30445" xr:uid="{00000000-0005-0000-0000-0000ED760000}"/>
    <cellStyle name="Note 3 7 3 3 2" xfId="30446" xr:uid="{00000000-0005-0000-0000-0000EE760000}"/>
    <cellStyle name="Note 3 7 3 3 3" xfId="30447" xr:uid="{00000000-0005-0000-0000-0000EF760000}"/>
    <cellStyle name="Note 3 7 3 4" xfId="30448" xr:uid="{00000000-0005-0000-0000-0000F0760000}"/>
    <cellStyle name="Note 3 7 3 5" xfId="30449" xr:uid="{00000000-0005-0000-0000-0000F1760000}"/>
    <cellStyle name="Note 3 8" xfId="30450" xr:uid="{00000000-0005-0000-0000-0000F2760000}"/>
    <cellStyle name="Note 3 8 2" xfId="30451" xr:uid="{00000000-0005-0000-0000-0000F3760000}"/>
    <cellStyle name="Note 3 8 2 2" xfId="30452" xr:uid="{00000000-0005-0000-0000-0000F4760000}"/>
    <cellStyle name="Note 3 8 2 2 2" xfId="30453" xr:uid="{00000000-0005-0000-0000-0000F5760000}"/>
    <cellStyle name="Note 3 8 2 2 2 2" xfId="30454" xr:uid="{00000000-0005-0000-0000-0000F6760000}"/>
    <cellStyle name="Note 3 8 2 2 2 2 2" xfId="30455" xr:uid="{00000000-0005-0000-0000-0000F7760000}"/>
    <cellStyle name="Note 3 8 2 2 2 2 3" xfId="30456" xr:uid="{00000000-0005-0000-0000-0000F8760000}"/>
    <cellStyle name="Note 3 8 2 2 2 3" xfId="30457" xr:uid="{00000000-0005-0000-0000-0000F9760000}"/>
    <cellStyle name="Note 3 8 2 2 2 4" xfId="30458" xr:uid="{00000000-0005-0000-0000-0000FA760000}"/>
    <cellStyle name="Note 3 8 2 2 3" xfId="30459" xr:uid="{00000000-0005-0000-0000-0000FB760000}"/>
    <cellStyle name="Note 3 8 2 2 3 2" xfId="30460" xr:uid="{00000000-0005-0000-0000-0000FC760000}"/>
    <cellStyle name="Note 3 8 2 2 3 3" xfId="30461" xr:uid="{00000000-0005-0000-0000-0000FD760000}"/>
    <cellStyle name="Note 3 8 2 2 4" xfId="30462" xr:uid="{00000000-0005-0000-0000-0000FE760000}"/>
    <cellStyle name="Note 3 8 2 2 5" xfId="30463" xr:uid="{00000000-0005-0000-0000-0000FF760000}"/>
    <cellStyle name="Note 3 8 3" xfId="30464" xr:uid="{00000000-0005-0000-0000-000000770000}"/>
    <cellStyle name="Note 3 8 3 2" xfId="30465" xr:uid="{00000000-0005-0000-0000-000001770000}"/>
    <cellStyle name="Note 3 8 3 2 2" xfId="30466" xr:uid="{00000000-0005-0000-0000-000002770000}"/>
    <cellStyle name="Note 3 8 3 2 2 2" xfId="30467" xr:uid="{00000000-0005-0000-0000-000003770000}"/>
    <cellStyle name="Note 3 8 3 2 2 3" xfId="30468" xr:uid="{00000000-0005-0000-0000-000004770000}"/>
    <cellStyle name="Note 3 8 3 2 3" xfId="30469" xr:uid="{00000000-0005-0000-0000-000005770000}"/>
    <cellStyle name="Note 3 8 3 2 4" xfId="30470" xr:uid="{00000000-0005-0000-0000-000006770000}"/>
    <cellStyle name="Note 3 8 3 3" xfId="30471" xr:uid="{00000000-0005-0000-0000-000007770000}"/>
    <cellStyle name="Note 3 8 3 3 2" xfId="30472" xr:uid="{00000000-0005-0000-0000-000008770000}"/>
    <cellStyle name="Note 3 8 3 3 3" xfId="30473" xr:uid="{00000000-0005-0000-0000-000009770000}"/>
    <cellStyle name="Note 3 8 3 4" xfId="30474" xr:uid="{00000000-0005-0000-0000-00000A770000}"/>
    <cellStyle name="Note 3 8 3 5" xfId="30475" xr:uid="{00000000-0005-0000-0000-00000B770000}"/>
    <cellStyle name="Note 3 9" xfId="30476" xr:uid="{00000000-0005-0000-0000-00000C770000}"/>
    <cellStyle name="Note 3 9 2" xfId="30477" xr:uid="{00000000-0005-0000-0000-00000D770000}"/>
    <cellStyle name="Note 3 9 2 2" xfId="30478" xr:uid="{00000000-0005-0000-0000-00000E770000}"/>
    <cellStyle name="Note 3 9 2 2 2" xfId="30479" xr:uid="{00000000-0005-0000-0000-00000F770000}"/>
    <cellStyle name="Note 3 9 2 2 2 2" xfId="30480" xr:uid="{00000000-0005-0000-0000-000010770000}"/>
    <cellStyle name="Note 3 9 2 2 2 2 2" xfId="30481" xr:uid="{00000000-0005-0000-0000-000011770000}"/>
    <cellStyle name="Note 3 9 2 2 2 2 3" xfId="30482" xr:uid="{00000000-0005-0000-0000-000012770000}"/>
    <cellStyle name="Note 3 9 2 2 2 3" xfId="30483" xr:uid="{00000000-0005-0000-0000-000013770000}"/>
    <cellStyle name="Note 3 9 2 2 2 4" xfId="30484" xr:uid="{00000000-0005-0000-0000-000014770000}"/>
    <cellStyle name="Note 3 9 2 2 3" xfId="30485" xr:uid="{00000000-0005-0000-0000-000015770000}"/>
    <cellStyle name="Note 3 9 2 2 3 2" xfId="30486" xr:uid="{00000000-0005-0000-0000-000016770000}"/>
    <cellStyle name="Note 3 9 2 2 3 3" xfId="30487" xr:uid="{00000000-0005-0000-0000-000017770000}"/>
    <cellStyle name="Note 3 9 2 2 4" xfId="30488" xr:uid="{00000000-0005-0000-0000-000018770000}"/>
    <cellStyle name="Note 3 9 2 2 5" xfId="30489" xr:uid="{00000000-0005-0000-0000-000019770000}"/>
    <cellStyle name="Note 3 9 3" xfId="30490" xr:uid="{00000000-0005-0000-0000-00001A770000}"/>
    <cellStyle name="Note 3 9 3 2" xfId="30491" xr:uid="{00000000-0005-0000-0000-00001B770000}"/>
    <cellStyle name="Note 3 9 3 2 2" xfId="30492" xr:uid="{00000000-0005-0000-0000-00001C770000}"/>
    <cellStyle name="Note 3 9 3 2 2 2" xfId="30493" xr:uid="{00000000-0005-0000-0000-00001D770000}"/>
    <cellStyle name="Note 3 9 3 2 2 3" xfId="30494" xr:uid="{00000000-0005-0000-0000-00001E770000}"/>
    <cellStyle name="Note 3 9 3 2 3" xfId="30495" xr:uid="{00000000-0005-0000-0000-00001F770000}"/>
    <cellStyle name="Note 3 9 3 2 4" xfId="30496" xr:uid="{00000000-0005-0000-0000-000020770000}"/>
    <cellStyle name="Note 3 9 3 3" xfId="30497" xr:uid="{00000000-0005-0000-0000-000021770000}"/>
    <cellStyle name="Note 3 9 3 3 2" xfId="30498" xr:uid="{00000000-0005-0000-0000-000022770000}"/>
    <cellStyle name="Note 3 9 3 3 3" xfId="30499" xr:uid="{00000000-0005-0000-0000-000023770000}"/>
    <cellStyle name="Note 3 9 3 4" xfId="30500" xr:uid="{00000000-0005-0000-0000-000024770000}"/>
    <cellStyle name="Note 3 9 3 5" xfId="30501" xr:uid="{00000000-0005-0000-0000-000025770000}"/>
    <cellStyle name="Note 3_provisions q3" xfId="30502" xr:uid="{00000000-0005-0000-0000-000026770000}"/>
    <cellStyle name="Note 30" xfId="30503" xr:uid="{00000000-0005-0000-0000-000027770000}"/>
    <cellStyle name="Note 30 2" xfId="30504" xr:uid="{00000000-0005-0000-0000-000028770000}"/>
    <cellStyle name="Note 30 2 2" xfId="30505" xr:uid="{00000000-0005-0000-0000-000029770000}"/>
    <cellStyle name="Note 30 2 2 2" xfId="30506" xr:uid="{00000000-0005-0000-0000-00002A770000}"/>
    <cellStyle name="Note 30 2 2 2 2" xfId="30507" xr:uid="{00000000-0005-0000-0000-00002B770000}"/>
    <cellStyle name="Note 30 2 2 2 2 2" xfId="30508" xr:uid="{00000000-0005-0000-0000-00002C770000}"/>
    <cellStyle name="Note 30 2 2 2 2 3" xfId="30509" xr:uid="{00000000-0005-0000-0000-00002D770000}"/>
    <cellStyle name="Note 30 2 2 2 3" xfId="30510" xr:uid="{00000000-0005-0000-0000-00002E770000}"/>
    <cellStyle name="Note 30 2 2 2 4" xfId="30511" xr:uid="{00000000-0005-0000-0000-00002F770000}"/>
    <cellStyle name="Note 30 2 2 3" xfId="30512" xr:uid="{00000000-0005-0000-0000-000030770000}"/>
    <cellStyle name="Note 30 2 2 3 2" xfId="30513" xr:uid="{00000000-0005-0000-0000-000031770000}"/>
    <cellStyle name="Note 30 2 2 3 3" xfId="30514" xr:uid="{00000000-0005-0000-0000-000032770000}"/>
    <cellStyle name="Note 30 2 2 4" xfId="30515" xr:uid="{00000000-0005-0000-0000-000033770000}"/>
    <cellStyle name="Note 30 2 2 5" xfId="30516" xr:uid="{00000000-0005-0000-0000-000034770000}"/>
    <cellStyle name="Note 30 3" xfId="30517" xr:uid="{00000000-0005-0000-0000-000035770000}"/>
    <cellStyle name="Note 30 3 2" xfId="30518" xr:uid="{00000000-0005-0000-0000-000036770000}"/>
    <cellStyle name="Note 30 3 2 2" xfId="30519" xr:uid="{00000000-0005-0000-0000-000037770000}"/>
    <cellStyle name="Note 30 3 2 2 2" xfId="30520" xr:uid="{00000000-0005-0000-0000-000038770000}"/>
    <cellStyle name="Note 30 3 2 2 3" xfId="30521" xr:uid="{00000000-0005-0000-0000-000039770000}"/>
    <cellStyle name="Note 30 3 2 3" xfId="30522" xr:uid="{00000000-0005-0000-0000-00003A770000}"/>
    <cellStyle name="Note 30 3 2 4" xfId="30523" xr:uid="{00000000-0005-0000-0000-00003B770000}"/>
    <cellStyle name="Note 30 3 3" xfId="30524" xr:uid="{00000000-0005-0000-0000-00003C770000}"/>
    <cellStyle name="Note 30 3 3 2" xfId="30525" xr:uid="{00000000-0005-0000-0000-00003D770000}"/>
    <cellStyle name="Note 30 3 3 3" xfId="30526" xr:uid="{00000000-0005-0000-0000-00003E770000}"/>
    <cellStyle name="Note 30 3 4" xfId="30527" xr:uid="{00000000-0005-0000-0000-00003F770000}"/>
    <cellStyle name="Note 30 3 5" xfId="30528" xr:uid="{00000000-0005-0000-0000-000040770000}"/>
    <cellStyle name="Note 31" xfId="30529" xr:uid="{00000000-0005-0000-0000-000041770000}"/>
    <cellStyle name="Note 31 2" xfId="30530" xr:uid="{00000000-0005-0000-0000-000042770000}"/>
    <cellStyle name="Note 31 2 2" xfId="30531" xr:uid="{00000000-0005-0000-0000-000043770000}"/>
    <cellStyle name="Note 31 2 2 2" xfId="30532" xr:uid="{00000000-0005-0000-0000-000044770000}"/>
    <cellStyle name="Note 31 2 2 2 2" xfId="30533" xr:uid="{00000000-0005-0000-0000-000045770000}"/>
    <cellStyle name="Note 31 2 2 2 2 2" xfId="30534" xr:uid="{00000000-0005-0000-0000-000046770000}"/>
    <cellStyle name="Note 31 2 2 2 2 3" xfId="30535" xr:uid="{00000000-0005-0000-0000-000047770000}"/>
    <cellStyle name="Note 31 2 2 2 3" xfId="30536" xr:uid="{00000000-0005-0000-0000-000048770000}"/>
    <cellStyle name="Note 31 2 2 2 4" xfId="30537" xr:uid="{00000000-0005-0000-0000-000049770000}"/>
    <cellStyle name="Note 31 2 2 3" xfId="30538" xr:uid="{00000000-0005-0000-0000-00004A770000}"/>
    <cellStyle name="Note 31 2 2 3 2" xfId="30539" xr:uid="{00000000-0005-0000-0000-00004B770000}"/>
    <cellStyle name="Note 31 2 2 3 3" xfId="30540" xr:uid="{00000000-0005-0000-0000-00004C770000}"/>
    <cellStyle name="Note 31 2 2 4" xfId="30541" xr:uid="{00000000-0005-0000-0000-00004D770000}"/>
    <cellStyle name="Note 31 2 2 5" xfId="30542" xr:uid="{00000000-0005-0000-0000-00004E770000}"/>
    <cellStyle name="Note 31 3" xfId="30543" xr:uid="{00000000-0005-0000-0000-00004F770000}"/>
    <cellStyle name="Note 31 3 2" xfId="30544" xr:uid="{00000000-0005-0000-0000-000050770000}"/>
    <cellStyle name="Note 31 3 2 2" xfId="30545" xr:uid="{00000000-0005-0000-0000-000051770000}"/>
    <cellStyle name="Note 31 3 2 2 2" xfId="30546" xr:uid="{00000000-0005-0000-0000-000052770000}"/>
    <cellStyle name="Note 31 3 2 2 3" xfId="30547" xr:uid="{00000000-0005-0000-0000-000053770000}"/>
    <cellStyle name="Note 31 3 2 3" xfId="30548" xr:uid="{00000000-0005-0000-0000-000054770000}"/>
    <cellStyle name="Note 31 3 2 4" xfId="30549" xr:uid="{00000000-0005-0000-0000-000055770000}"/>
    <cellStyle name="Note 31 3 3" xfId="30550" xr:uid="{00000000-0005-0000-0000-000056770000}"/>
    <cellStyle name="Note 31 3 3 2" xfId="30551" xr:uid="{00000000-0005-0000-0000-000057770000}"/>
    <cellStyle name="Note 31 3 3 3" xfId="30552" xr:uid="{00000000-0005-0000-0000-000058770000}"/>
    <cellStyle name="Note 31 3 4" xfId="30553" xr:uid="{00000000-0005-0000-0000-000059770000}"/>
    <cellStyle name="Note 31 3 5" xfId="30554" xr:uid="{00000000-0005-0000-0000-00005A770000}"/>
    <cellStyle name="Note 32" xfId="30555" xr:uid="{00000000-0005-0000-0000-00005B770000}"/>
    <cellStyle name="Note 32 2" xfId="30556" xr:uid="{00000000-0005-0000-0000-00005C770000}"/>
    <cellStyle name="Note 32 2 2" xfId="30557" xr:uid="{00000000-0005-0000-0000-00005D770000}"/>
    <cellStyle name="Note 32 2 3" xfId="30558" xr:uid="{00000000-0005-0000-0000-00005E770000}"/>
    <cellStyle name="Note 32 3" xfId="30559" xr:uid="{00000000-0005-0000-0000-00005F770000}"/>
    <cellStyle name="Note 32 4" xfId="30560" xr:uid="{00000000-0005-0000-0000-000060770000}"/>
    <cellStyle name="Note 33" xfId="30561" xr:uid="{00000000-0005-0000-0000-000061770000}"/>
    <cellStyle name="Note 33 2" xfId="30562" xr:uid="{00000000-0005-0000-0000-000062770000}"/>
    <cellStyle name="Note 33 2 2" xfId="30563" xr:uid="{00000000-0005-0000-0000-000063770000}"/>
    <cellStyle name="Note 33 2 3" xfId="30564" xr:uid="{00000000-0005-0000-0000-000064770000}"/>
    <cellStyle name="Note 33 3" xfId="30565" xr:uid="{00000000-0005-0000-0000-000065770000}"/>
    <cellStyle name="Note 33 4" xfId="30566" xr:uid="{00000000-0005-0000-0000-000066770000}"/>
    <cellStyle name="Note 34" xfId="30567" xr:uid="{00000000-0005-0000-0000-000067770000}"/>
    <cellStyle name="Note 34 2" xfId="30568" xr:uid="{00000000-0005-0000-0000-000068770000}"/>
    <cellStyle name="Note 34 2 2" xfId="30569" xr:uid="{00000000-0005-0000-0000-000069770000}"/>
    <cellStyle name="Note 34 2 3" xfId="30570" xr:uid="{00000000-0005-0000-0000-00006A770000}"/>
    <cellStyle name="Note 34 3" xfId="30571" xr:uid="{00000000-0005-0000-0000-00006B770000}"/>
    <cellStyle name="Note 34 4" xfId="30572" xr:uid="{00000000-0005-0000-0000-00006C770000}"/>
    <cellStyle name="Note 35" xfId="30573" xr:uid="{00000000-0005-0000-0000-00006D770000}"/>
    <cellStyle name="Note 35 2" xfId="30574" xr:uid="{00000000-0005-0000-0000-00006E770000}"/>
    <cellStyle name="Note 35 2 2" xfId="30575" xr:uid="{00000000-0005-0000-0000-00006F770000}"/>
    <cellStyle name="Note 35 2 3" xfId="30576" xr:uid="{00000000-0005-0000-0000-000070770000}"/>
    <cellStyle name="Note 35 3" xfId="30577" xr:uid="{00000000-0005-0000-0000-000071770000}"/>
    <cellStyle name="Note 35 4" xfId="30578" xr:uid="{00000000-0005-0000-0000-000072770000}"/>
    <cellStyle name="Note 36" xfId="30579" xr:uid="{00000000-0005-0000-0000-000073770000}"/>
    <cellStyle name="Note 36 2" xfId="30580" xr:uid="{00000000-0005-0000-0000-000074770000}"/>
    <cellStyle name="Note 36 2 2" xfId="30581" xr:uid="{00000000-0005-0000-0000-000075770000}"/>
    <cellStyle name="Note 36 2 3" xfId="30582" xr:uid="{00000000-0005-0000-0000-000076770000}"/>
    <cellStyle name="Note 36 3" xfId="30583" xr:uid="{00000000-0005-0000-0000-000077770000}"/>
    <cellStyle name="Note 36 4" xfId="30584" xr:uid="{00000000-0005-0000-0000-000078770000}"/>
    <cellStyle name="Note 37" xfId="30585" xr:uid="{00000000-0005-0000-0000-000079770000}"/>
    <cellStyle name="Note 37 2" xfId="30586" xr:uid="{00000000-0005-0000-0000-00007A770000}"/>
    <cellStyle name="Note 37 2 2" xfId="30587" xr:uid="{00000000-0005-0000-0000-00007B770000}"/>
    <cellStyle name="Note 37 2 3" xfId="30588" xr:uid="{00000000-0005-0000-0000-00007C770000}"/>
    <cellStyle name="Note 37 3" xfId="30589" xr:uid="{00000000-0005-0000-0000-00007D770000}"/>
    <cellStyle name="Note 37 4" xfId="30590" xr:uid="{00000000-0005-0000-0000-00007E770000}"/>
    <cellStyle name="Note 38" xfId="30591" xr:uid="{00000000-0005-0000-0000-00007F770000}"/>
    <cellStyle name="Note 38 2" xfId="30592" xr:uid="{00000000-0005-0000-0000-000080770000}"/>
    <cellStyle name="Note 38 2 2" xfId="30593" xr:uid="{00000000-0005-0000-0000-000081770000}"/>
    <cellStyle name="Note 38 2 3" xfId="30594" xr:uid="{00000000-0005-0000-0000-000082770000}"/>
    <cellStyle name="Note 38 3" xfId="30595" xr:uid="{00000000-0005-0000-0000-000083770000}"/>
    <cellStyle name="Note 38 4" xfId="30596" xr:uid="{00000000-0005-0000-0000-000084770000}"/>
    <cellStyle name="Note 39" xfId="30597" xr:uid="{00000000-0005-0000-0000-000085770000}"/>
    <cellStyle name="Note 39 2" xfId="30598" xr:uid="{00000000-0005-0000-0000-000086770000}"/>
    <cellStyle name="Note 39 3" xfId="30599" xr:uid="{00000000-0005-0000-0000-000087770000}"/>
    <cellStyle name="Note 4" xfId="30600" xr:uid="{00000000-0005-0000-0000-000088770000}"/>
    <cellStyle name="Note 4 10" xfId="30601" xr:uid="{00000000-0005-0000-0000-000089770000}"/>
    <cellStyle name="Note 4 10 2" xfId="30602" xr:uid="{00000000-0005-0000-0000-00008A770000}"/>
    <cellStyle name="Note 4 10 2 2" xfId="30603" xr:uid="{00000000-0005-0000-0000-00008B770000}"/>
    <cellStyle name="Note 4 10 2 2 2" xfId="30604" xr:uid="{00000000-0005-0000-0000-00008C770000}"/>
    <cellStyle name="Note 4 10 2 2 2 2" xfId="30605" xr:uid="{00000000-0005-0000-0000-00008D770000}"/>
    <cellStyle name="Note 4 10 2 2 2 2 2" xfId="30606" xr:uid="{00000000-0005-0000-0000-00008E770000}"/>
    <cellStyle name="Note 4 10 2 2 2 2 3" xfId="30607" xr:uid="{00000000-0005-0000-0000-00008F770000}"/>
    <cellStyle name="Note 4 10 2 2 2 3" xfId="30608" xr:uid="{00000000-0005-0000-0000-000090770000}"/>
    <cellStyle name="Note 4 10 2 2 2 4" xfId="30609" xr:uid="{00000000-0005-0000-0000-000091770000}"/>
    <cellStyle name="Note 4 10 2 2 3" xfId="30610" xr:uid="{00000000-0005-0000-0000-000092770000}"/>
    <cellStyle name="Note 4 10 2 2 3 2" xfId="30611" xr:uid="{00000000-0005-0000-0000-000093770000}"/>
    <cellStyle name="Note 4 10 2 2 3 3" xfId="30612" xr:uid="{00000000-0005-0000-0000-000094770000}"/>
    <cellStyle name="Note 4 10 2 2 4" xfId="30613" xr:uid="{00000000-0005-0000-0000-000095770000}"/>
    <cellStyle name="Note 4 10 2 2 5" xfId="30614" xr:uid="{00000000-0005-0000-0000-000096770000}"/>
    <cellStyle name="Note 4 10 3" xfId="30615" xr:uid="{00000000-0005-0000-0000-000097770000}"/>
    <cellStyle name="Note 4 10 3 2" xfId="30616" xr:uid="{00000000-0005-0000-0000-000098770000}"/>
    <cellStyle name="Note 4 10 3 2 2" xfId="30617" xr:uid="{00000000-0005-0000-0000-000099770000}"/>
    <cellStyle name="Note 4 10 3 2 2 2" xfId="30618" xr:uid="{00000000-0005-0000-0000-00009A770000}"/>
    <cellStyle name="Note 4 10 3 2 2 3" xfId="30619" xr:uid="{00000000-0005-0000-0000-00009B770000}"/>
    <cellStyle name="Note 4 10 3 2 3" xfId="30620" xr:uid="{00000000-0005-0000-0000-00009C770000}"/>
    <cellStyle name="Note 4 10 3 2 4" xfId="30621" xr:uid="{00000000-0005-0000-0000-00009D770000}"/>
    <cellStyle name="Note 4 10 3 3" xfId="30622" xr:uid="{00000000-0005-0000-0000-00009E770000}"/>
    <cellStyle name="Note 4 10 3 3 2" xfId="30623" xr:uid="{00000000-0005-0000-0000-00009F770000}"/>
    <cellStyle name="Note 4 10 3 3 3" xfId="30624" xr:uid="{00000000-0005-0000-0000-0000A0770000}"/>
    <cellStyle name="Note 4 10 3 4" xfId="30625" xr:uid="{00000000-0005-0000-0000-0000A1770000}"/>
    <cellStyle name="Note 4 10 3 5" xfId="30626" xr:uid="{00000000-0005-0000-0000-0000A2770000}"/>
    <cellStyle name="Note 4 11" xfId="30627" xr:uid="{00000000-0005-0000-0000-0000A3770000}"/>
    <cellStyle name="Note 4 11 2" xfId="30628" xr:uid="{00000000-0005-0000-0000-0000A4770000}"/>
    <cellStyle name="Note 4 11 2 2" xfId="30629" xr:uid="{00000000-0005-0000-0000-0000A5770000}"/>
    <cellStyle name="Note 4 11 2 2 2" xfId="30630" xr:uid="{00000000-0005-0000-0000-0000A6770000}"/>
    <cellStyle name="Note 4 11 2 2 2 2" xfId="30631" xr:uid="{00000000-0005-0000-0000-0000A7770000}"/>
    <cellStyle name="Note 4 11 2 2 2 2 2" xfId="30632" xr:uid="{00000000-0005-0000-0000-0000A8770000}"/>
    <cellStyle name="Note 4 11 2 2 2 2 3" xfId="30633" xr:uid="{00000000-0005-0000-0000-0000A9770000}"/>
    <cellStyle name="Note 4 11 2 2 2 3" xfId="30634" xr:uid="{00000000-0005-0000-0000-0000AA770000}"/>
    <cellStyle name="Note 4 11 2 2 2 4" xfId="30635" xr:uid="{00000000-0005-0000-0000-0000AB770000}"/>
    <cellStyle name="Note 4 11 2 2 3" xfId="30636" xr:uid="{00000000-0005-0000-0000-0000AC770000}"/>
    <cellStyle name="Note 4 11 2 2 3 2" xfId="30637" xr:uid="{00000000-0005-0000-0000-0000AD770000}"/>
    <cellStyle name="Note 4 11 2 2 3 3" xfId="30638" xr:uid="{00000000-0005-0000-0000-0000AE770000}"/>
    <cellStyle name="Note 4 11 2 2 4" xfId="30639" xr:uid="{00000000-0005-0000-0000-0000AF770000}"/>
    <cellStyle name="Note 4 11 2 2 5" xfId="30640" xr:uid="{00000000-0005-0000-0000-0000B0770000}"/>
    <cellStyle name="Note 4 11 3" xfId="30641" xr:uid="{00000000-0005-0000-0000-0000B1770000}"/>
    <cellStyle name="Note 4 11 3 2" xfId="30642" xr:uid="{00000000-0005-0000-0000-0000B2770000}"/>
    <cellStyle name="Note 4 11 3 2 2" xfId="30643" xr:uid="{00000000-0005-0000-0000-0000B3770000}"/>
    <cellStyle name="Note 4 11 3 2 2 2" xfId="30644" xr:uid="{00000000-0005-0000-0000-0000B4770000}"/>
    <cellStyle name="Note 4 11 3 2 2 3" xfId="30645" xr:uid="{00000000-0005-0000-0000-0000B5770000}"/>
    <cellStyle name="Note 4 11 3 2 3" xfId="30646" xr:uid="{00000000-0005-0000-0000-0000B6770000}"/>
    <cellStyle name="Note 4 11 3 2 4" xfId="30647" xr:uid="{00000000-0005-0000-0000-0000B7770000}"/>
    <cellStyle name="Note 4 11 3 3" xfId="30648" xr:uid="{00000000-0005-0000-0000-0000B8770000}"/>
    <cellStyle name="Note 4 11 3 3 2" xfId="30649" xr:uid="{00000000-0005-0000-0000-0000B9770000}"/>
    <cellStyle name="Note 4 11 3 3 3" xfId="30650" xr:uid="{00000000-0005-0000-0000-0000BA770000}"/>
    <cellStyle name="Note 4 11 3 4" xfId="30651" xr:uid="{00000000-0005-0000-0000-0000BB770000}"/>
    <cellStyle name="Note 4 11 3 5" xfId="30652" xr:uid="{00000000-0005-0000-0000-0000BC770000}"/>
    <cellStyle name="Note 4 12" xfId="30653" xr:uid="{00000000-0005-0000-0000-0000BD770000}"/>
    <cellStyle name="Note 4 12 2" xfId="30654" xr:uid="{00000000-0005-0000-0000-0000BE770000}"/>
    <cellStyle name="Note 4 12 2 2" xfId="30655" xr:uid="{00000000-0005-0000-0000-0000BF770000}"/>
    <cellStyle name="Note 4 12 2 2 2" xfId="30656" xr:uid="{00000000-0005-0000-0000-0000C0770000}"/>
    <cellStyle name="Note 4 12 2 2 2 2" xfId="30657" xr:uid="{00000000-0005-0000-0000-0000C1770000}"/>
    <cellStyle name="Note 4 12 2 2 2 2 2" xfId="30658" xr:uid="{00000000-0005-0000-0000-0000C2770000}"/>
    <cellStyle name="Note 4 12 2 2 2 2 3" xfId="30659" xr:uid="{00000000-0005-0000-0000-0000C3770000}"/>
    <cellStyle name="Note 4 12 2 2 2 3" xfId="30660" xr:uid="{00000000-0005-0000-0000-0000C4770000}"/>
    <cellStyle name="Note 4 12 2 2 2 4" xfId="30661" xr:uid="{00000000-0005-0000-0000-0000C5770000}"/>
    <cellStyle name="Note 4 12 2 2 3" xfId="30662" xr:uid="{00000000-0005-0000-0000-0000C6770000}"/>
    <cellStyle name="Note 4 12 2 2 3 2" xfId="30663" xr:uid="{00000000-0005-0000-0000-0000C7770000}"/>
    <cellStyle name="Note 4 12 2 2 3 3" xfId="30664" xr:uid="{00000000-0005-0000-0000-0000C8770000}"/>
    <cellStyle name="Note 4 12 2 2 4" xfId="30665" xr:uid="{00000000-0005-0000-0000-0000C9770000}"/>
    <cellStyle name="Note 4 12 2 2 5" xfId="30666" xr:uid="{00000000-0005-0000-0000-0000CA770000}"/>
    <cellStyle name="Note 4 12 3" xfId="30667" xr:uid="{00000000-0005-0000-0000-0000CB770000}"/>
    <cellStyle name="Note 4 12 3 2" xfId="30668" xr:uid="{00000000-0005-0000-0000-0000CC770000}"/>
    <cellStyle name="Note 4 12 3 2 2" xfId="30669" xr:uid="{00000000-0005-0000-0000-0000CD770000}"/>
    <cellStyle name="Note 4 12 3 2 2 2" xfId="30670" xr:uid="{00000000-0005-0000-0000-0000CE770000}"/>
    <cellStyle name="Note 4 12 3 2 2 3" xfId="30671" xr:uid="{00000000-0005-0000-0000-0000CF770000}"/>
    <cellStyle name="Note 4 12 3 2 3" xfId="30672" xr:uid="{00000000-0005-0000-0000-0000D0770000}"/>
    <cellStyle name="Note 4 12 3 2 4" xfId="30673" xr:uid="{00000000-0005-0000-0000-0000D1770000}"/>
    <cellStyle name="Note 4 12 3 3" xfId="30674" xr:uid="{00000000-0005-0000-0000-0000D2770000}"/>
    <cellStyle name="Note 4 12 3 3 2" xfId="30675" xr:uid="{00000000-0005-0000-0000-0000D3770000}"/>
    <cellStyle name="Note 4 12 3 3 3" xfId="30676" xr:uid="{00000000-0005-0000-0000-0000D4770000}"/>
    <cellStyle name="Note 4 12 3 4" xfId="30677" xr:uid="{00000000-0005-0000-0000-0000D5770000}"/>
    <cellStyle name="Note 4 12 3 5" xfId="30678" xr:uid="{00000000-0005-0000-0000-0000D6770000}"/>
    <cellStyle name="Note 4 13" xfId="30679" xr:uid="{00000000-0005-0000-0000-0000D7770000}"/>
    <cellStyle name="Note 4 13 2" xfId="30680" xr:uid="{00000000-0005-0000-0000-0000D8770000}"/>
    <cellStyle name="Note 4 13 2 2" xfId="30681" xr:uid="{00000000-0005-0000-0000-0000D9770000}"/>
    <cellStyle name="Note 4 13 2 2 2" xfId="30682" xr:uid="{00000000-0005-0000-0000-0000DA770000}"/>
    <cellStyle name="Note 4 13 2 2 2 2" xfId="30683" xr:uid="{00000000-0005-0000-0000-0000DB770000}"/>
    <cellStyle name="Note 4 13 2 2 2 2 2" xfId="30684" xr:uid="{00000000-0005-0000-0000-0000DC770000}"/>
    <cellStyle name="Note 4 13 2 2 2 2 3" xfId="30685" xr:uid="{00000000-0005-0000-0000-0000DD770000}"/>
    <cellStyle name="Note 4 13 2 2 2 3" xfId="30686" xr:uid="{00000000-0005-0000-0000-0000DE770000}"/>
    <cellStyle name="Note 4 13 2 2 2 4" xfId="30687" xr:uid="{00000000-0005-0000-0000-0000DF770000}"/>
    <cellStyle name="Note 4 13 2 2 3" xfId="30688" xr:uid="{00000000-0005-0000-0000-0000E0770000}"/>
    <cellStyle name="Note 4 13 2 2 3 2" xfId="30689" xr:uid="{00000000-0005-0000-0000-0000E1770000}"/>
    <cellStyle name="Note 4 13 2 2 3 3" xfId="30690" xr:uid="{00000000-0005-0000-0000-0000E2770000}"/>
    <cellStyle name="Note 4 13 2 2 4" xfId="30691" xr:uid="{00000000-0005-0000-0000-0000E3770000}"/>
    <cellStyle name="Note 4 13 2 2 5" xfId="30692" xr:uid="{00000000-0005-0000-0000-0000E4770000}"/>
    <cellStyle name="Note 4 13 3" xfId="30693" xr:uid="{00000000-0005-0000-0000-0000E5770000}"/>
    <cellStyle name="Note 4 13 3 2" xfId="30694" xr:uid="{00000000-0005-0000-0000-0000E6770000}"/>
    <cellStyle name="Note 4 13 3 2 2" xfId="30695" xr:uid="{00000000-0005-0000-0000-0000E7770000}"/>
    <cellStyle name="Note 4 13 3 2 2 2" xfId="30696" xr:uid="{00000000-0005-0000-0000-0000E8770000}"/>
    <cellStyle name="Note 4 13 3 2 2 3" xfId="30697" xr:uid="{00000000-0005-0000-0000-0000E9770000}"/>
    <cellStyle name="Note 4 13 3 2 3" xfId="30698" xr:uid="{00000000-0005-0000-0000-0000EA770000}"/>
    <cellStyle name="Note 4 13 3 2 4" xfId="30699" xr:uid="{00000000-0005-0000-0000-0000EB770000}"/>
    <cellStyle name="Note 4 13 3 3" xfId="30700" xr:uid="{00000000-0005-0000-0000-0000EC770000}"/>
    <cellStyle name="Note 4 13 3 3 2" xfId="30701" xr:uid="{00000000-0005-0000-0000-0000ED770000}"/>
    <cellStyle name="Note 4 13 3 3 3" xfId="30702" xr:uid="{00000000-0005-0000-0000-0000EE770000}"/>
    <cellStyle name="Note 4 13 3 4" xfId="30703" xr:uid="{00000000-0005-0000-0000-0000EF770000}"/>
    <cellStyle name="Note 4 13 3 5" xfId="30704" xr:uid="{00000000-0005-0000-0000-0000F0770000}"/>
    <cellStyle name="Note 4 14" xfId="30705" xr:uid="{00000000-0005-0000-0000-0000F1770000}"/>
    <cellStyle name="Note 4 14 2" xfId="30706" xr:uid="{00000000-0005-0000-0000-0000F2770000}"/>
    <cellStyle name="Note 4 14 2 2" xfId="30707" xr:uid="{00000000-0005-0000-0000-0000F3770000}"/>
    <cellStyle name="Note 4 14 2 2 2" xfId="30708" xr:uid="{00000000-0005-0000-0000-0000F4770000}"/>
    <cellStyle name="Note 4 14 2 2 2 2" xfId="30709" xr:uid="{00000000-0005-0000-0000-0000F5770000}"/>
    <cellStyle name="Note 4 14 2 2 2 2 2" xfId="30710" xr:uid="{00000000-0005-0000-0000-0000F6770000}"/>
    <cellStyle name="Note 4 14 2 2 2 2 3" xfId="30711" xr:uid="{00000000-0005-0000-0000-0000F7770000}"/>
    <cellStyle name="Note 4 14 2 2 2 3" xfId="30712" xr:uid="{00000000-0005-0000-0000-0000F8770000}"/>
    <cellStyle name="Note 4 14 2 2 2 4" xfId="30713" xr:uid="{00000000-0005-0000-0000-0000F9770000}"/>
    <cellStyle name="Note 4 14 2 2 3" xfId="30714" xr:uid="{00000000-0005-0000-0000-0000FA770000}"/>
    <cellStyle name="Note 4 14 2 2 3 2" xfId="30715" xr:uid="{00000000-0005-0000-0000-0000FB770000}"/>
    <cellStyle name="Note 4 14 2 2 3 3" xfId="30716" xr:uid="{00000000-0005-0000-0000-0000FC770000}"/>
    <cellStyle name="Note 4 14 2 2 4" xfId="30717" xr:uid="{00000000-0005-0000-0000-0000FD770000}"/>
    <cellStyle name="Note 4 14 2 2 5" xfId="30718" xr:uid="{00000000-0005-0000-0000-0000FE770000}"/>
    <cellStyle name="Note 4 14 3" xfId="30719" xr:uid="{00000000-0005-0000-0000-0000FF770000}"/>
    <cellStyle name="Note 4 14 3 2" xfId="30720" xr:uid="{00000000-0005-0000-0000-000000780000}"/>
    <cellStyle name="Note 4 14 3 2 2" xfId="30721" xr:uid="{00000000-0005-0000-0000-000001780000}"/>
    <cellStyle name="Note 4 14 3 2 2 2" xfId="30722" xr:uid="{00000000-0005-0000-0000-000002780000}"/>
    <cellStyle name="Note 4 14 3 2 2 3" xfId="30723" xr:uid="{00000000-0005-0000-0000-000003780000}"/>
    <cellStyle name="Note 4 14 3 2 3" xfId="30724" xr:uid="{00000000-0005-0000-0000-000004780000}"/>
    <cellStyle name="Note 4 14 3 2 4" xfId="30725" xr:uid="{00000000-0005-0000-0000-000005780000}"/>
    <cellStyle name="Note 4 14 3 3" xfId="30726" xr:uid="{00000000-0005-0000-0000-000006780000}"/>
    <cellStyle name="Note 4 14 3 3 2" xfId="30727" xr:uid="{00000000-0005-0000-0000-000007780000}"/>
    <cellStyle name="Note 4 14 3 3 3" xfId="30728" xr:uid="{00000000-0005-0000-0000-000008780000}"/>
    <cellStyle name="Note 4 14 3 4" xfId="30729" xr:uid="{00000000-0005-0000-0000-000009780000}"/>
    <cellStyle name="Note 4 14 3 5" xfId="30730" xr:uid="{00000000-0005-0000-0000-00000A780000}"/>
    <cellStyle name="Note 4 15" xfId="30731" xr:uid="{00000000-0005-0000-0000-00000B780000}"/>
    <cellStyle name="Note 4 15 2" xfId="30732" xr:uid="{00000000-0005-0000-0000-00000C780000}"/>
    <cellStyle name="Note 4 15 2 2" xfId="30733" xr:uid="{00000000-0005-0000-0000-00000D780000}"/>
    <cellStyle name="Note 4 15 2 2 2" xfId="30734" xr:uid="{00000000-0005-0000-0000-00000E780000}"/>
    <cellStyle name="Note 4 15 2 2 2 2" xfId="30735" xr:uid="{00000000-0005-0000-0000-00000F780000}"/>
    <cellStyle name="Note 4 15 2 2 2 2 2" xfId="30736" xr:uid="{00000000-0005-0000-0000-000010780000}"/>
    <cellStyle name="Note 4 15 2 2 2 2 3" xfId="30737" xr:uid="{00000000-0005-0000-0000-000011780000}"/>
    <cellStyle name="Note 4 15 2 2 2 3" xfId="30738" xr:uid="{00000000-0005-0000-0000-000012780000}"/>
    <cellStyle name="Note 4 15 2 2 2 4" xfId="30739" xr:uid="{00000000-0005-0000-0000-000013780000}"/>
    <cellStyle name="Note 4 15 2 2 3" xfId="30740" xr:uid="{00000000-0005-0000-0000-000014780000}"/>
    <cellStyle name="Note 4 15 2 2 3 2" xfId="30741" xr:uid="{00000000-0005-0000-0000-000015780000}"/>
    <cellStyle name="Note 4 15 2 2 3 3" xfId="30742" xr:uid="{00000000-0005-0000-0000-000016780000}"/>
    <cellStyle name="Note 4 15 2 2 4" xfId="30743" xr:uid="{00000000-0005-0000-0000-000017780000}"/>
    <cellStyle name="Note 4 15 2 2 5" xfId="30744" xr:uid="{00000000-0005-0000-0000-000018780000}"/>
    <cellStyle name="Note 4 15 3" xfId="30745" xr:uid="{00000000-0005-0000-0000-000019780000}"/>
    <cellStyle name="Note 4 15 3 2" xfId="30746" xr:uid="{00000000-0005-0000-0000-00001A780000}"/>
    <cellStyle name="Note 4 15 3 2 2" xfId="30747" xr:uid="{00000000-0005-0000-0000-00001B780000}"/>
    <cellStyle name="Note 4 15 3 2 2 2" xfId="30748" xr:uid="{00000000-0005-0000-0000-00001C780000}"/>
    <cellStyle name="Note 4 15 3 2 2 3" xfId="30749" xr:uid="{00000000-0005-0000-0000-00001D780000}"/>
    <cellStyle name="Note 4 15 3 2 3" xfId="30750" xr:uid="{00000000-0005-0000-0000-00001E780000}"/>
    <cellStyle name="Note 4 15 3 2 4" xfId="30751" xr:uid="{00000000-0005-0000-0000-00001F780000}"/>
    <cellStyle name="Note 4 15 3 3" xfId="30752" xr:uid="{00000000-0005-0000-0000-000020780000}"/>
    <cellStyle name="Note 4 15 3 3 2" xfId="30753" xr:uid="{00000000-0005-0000-0000-000021780000}"/>
    <cellStyle name="Note 4 15 3 3 3" xfId="30754" xr:uid="{00000000-0005-0000-0000-000022780000}"/>
    <cellStyle name="Note 4 15 3 4" xfId="30755" xr:uid="{00000000-0005-0000-0000-000023780000}"/>
    <cellStyle name="Note 4 15 3 5" xfId="30756" xr:uid="{00000000-0005-0000-0000-000024780000}"/>
    <cellStyle name="Note 4 16" xfId="30757" xr:uid="{00000000-0005-0000-0000-000025780000}"/>
    <cellStyle name="Note 4 16 2" xfId="30758" xr:uid="{00000000-0005-0000-0000-000026780000}"/>
    <cellStyle name="Note 4 16 2 2" xfId="30759" xr:uid="{00000000-0005-0000-0000-000027780000}"/>
    <cellStyle name="Note 4 16 2 2 2" xfId="30760" xr:uid="{00000000-0005-0000-0000-000028780000}"/>
    <cellStyle name="Note 4 16 2 2 2 2" xfId="30761" xr:uid="{00000000-0005-0000-0000-000029780000}"/>
    <cellStyle name="Note 4 16 2 2 2 2 2" xfId="30762" xr:uid="{00000000-0005-0000-0000-00002A780000}"/>
    <cellStyle name="Note 4 16 2 2 2 2 3" xfId="30763" xr:uid="{00000000-0005-0000-0000-00002B780000}"/>
    <cellStyle name="Note 4 16 2 2 2 3" xfId="30764" xr:uid="{00000000-0005-0000-0000-00002C780000}"/>
    <cellStyle name="Note 4 16 2 2 2 4" xfId="30765" xr:uid="{00000000-0005-0000-0000-00002D780000}"/>
    <cellStyle name="Note 4 16 2 2 3" xfId="30766" xr:uid="{00000000-0005-0000-0000-00002E780000}"/>
    <cellStyle name="Note 4 16 2 2 3 2" xfId="30767" xr:uid="{00000000-0005-0000-0000-00002F780000}"/>
    <cellStyle name="Note 4 16 2 2 3 3" xfId="30768" xr:uid="{00000000-0005-0000-0000-000030780000}"/>
    <cellStyle name="Note 4 16 2 2 4" xfId="30769" xr:uid="{00000000-0005-0000-0000-000031780000}"/>
    <cellStyle name="Note 4 16 2 2 5" xfId="30770" xr:uid="{00000000-0005-0000-0000-000032780000}"/>
    <cellStyle name="Note 4 16 3" xfId="30771" xr:uid="{00000000-0005-0000-0000-000033780000}"/>
    <cellStyle name="Note 4 16 3 2" xfId="30772" xr:uid="{00000000-0005-0000-0000-000034780000}"/>
    <cellStyle name="Note 4 16 3 2 2" xfId="30773" xr:uid="{00000000-0005-0000-0000-000035780000}"/>
    <cellStyle name="Note 4 16 3 2 2 2" xfId="30774" xr:uid="{00000000-0005-0000-0000-000036780000}"/>
    <cellStyle name="Note 4 16 3 2 2 3" xfId="30775" xr:uid="{00000000-0005-0000-0000-000037780000}"/>
    <cellStyle name="Note 4 16 3 2 3" xfId="30776" xr:uid="{00000000-0005-0000-0000-000038780000}"/>
    <cellStyle name="Note 4 16 3 2 4" xfId="30777" xr:uid="{00000000-0005-0000-0000-000039780000}"/>
    <cellStyle name="Note 4 16 3 3" xfId="30778" xr:uid="{00000000-0005-0000-0000-00003A780000}"/>
    <cellStyle name="Note 4 16 3 3 2" xfId="30779" xr:uid="{00000000-0005-0000-0000-00003B780000}"/>
    <cellStyle name="Note 4 16 3 3 3" xfId="30780" xr:uid="{00000000-0005-0000-0000-00003C780000}"/>
    <cellStyle name="Note 4 16 3 4" xfId="30781" xr:uid="{00000000-0005-0000-0000-00003D780000}"/>
    <cellStyle name="Note 4 16 3 5" xfId="30782" xr:uid="{00000000-0005-0000-0000-00003E780000}"/>
    <cellStyle name="Note 4 17" xfId="30783" xr:uid="{00000000-0005-0000-0000-00003F780000}"/>
    <cellStyle name="Note 4 17 2" xfId="30784" xr:uid="{00000000-0005-0000-0000-000040780000}"/>
    <cellStyle name="Note 4 17 2 2" xfId="30785" xr:uid="{00000000-0005-0000-0000-000041780000}"/>
    <cellStyle name="Note 4 17 2 2 2" xfId="30786" xr:uid="{00000000-0005-0000-0000-000042780000}"/>
    <cellStyle name="Note 4 17 2 2 2 2" xfId="30787" xr:uid="{00000000-0005-0000-0000-000043780000}"/>
    <cellStyle name="Note 4 17 2 2 2 2 2" xfId="30788" xr:uid="{00000000-0005-0000-0000-000044780000}"/>
    <cellStyle name="Note 4 17 2 2 2 2 3" xfId="30789" xr:uid="{00000000-0005-0000-0000-000045780000}"/>
    <cellStyle name="Note 4 17 2 2 2 3" xfId="30790" xr:uid="{00000000-0005-0000-0000-000046780000}"/>
    <cellStyle name="Note 4 17 2 2 2 4" xfId="30791" xr:uid="{00000000-0005-0000-0000-000047780000}"/>
    <cellStyle name="Note 4 17 2 2 3" xfId="30792" xr:uid="{00000000-0005-0000-0000-000048780000}"/>
    <cellStyle name="Note 4 17 2 2 3 2" xfId="30793" xr:uid="{00000000-0005-0000-0000-000049780000}"/>
    <cellStyle name="Note 4 17 2 2 3 3" xfId="30794" xr:uid="{00000000-0005-0000-0000-00004A780000}"/>
    <cellStyle name="Note 4 17 2 2 4" xfId="30795" xr:uid="{00000000-0005-0000-0000-00004B780000}"/>
    <cellStyle name="Note 4 17 2 2 5" xfId="30796" xr:uid="{00000000-0005-0000-0000-00004C780000}"/>
    <cellStyle name="Note 4 17 3" xfId="30797" xr:uid="{00000000-0005-0000-0000-00004D780000}"/>
    <cellStyle name="Note 4 17 3 2" xfId="30798" xr:uid="{00000000-0005-0000-0000-00004E780000}"/>
    <cellStyle name="Note 4 17 3 2 2" xfId="30799" xr:uid="{00000000-0005-0000-0000-00004F780000}"/>
    <cellStyle name="Note 4 17 3 2 2 2" xfId="30800" xr:uid="{00000000-0005-0000-0000-000050780000}"/>
    <cellStyle name="Note 4 17 3 2 2 3" xfId="30801" xr:uid="{00000000-0005-0000-0000-000051780000}"/>
    <cellStyle name="Note 4 17 3 2 3" xfId="30802" xr:uid="{00000000-0005-0000-0000-000052780000}"/>
    <cellStyle name="Note 4 17 3 2 4" xfId="30803" xr:uid="{00000000-0005-0000-0000-000053780000}"/>
    <cellStyle name="Note 4 17 3 3" xfId="30804" xr:uid="{00000000-0005-0000-0000-000054780000}"/>
    <cellStyle name="Note 4 17 3 3 2" xfId="30805" xr:uid="{00000000-0005-0000-0000-000055780000}"/>
    <cellStyle name="Note 4 17 3 3 3" xfId="30806" xr:uid="{00000000-0005-0000-0000-000056780000}"/>
    <cellStyle name="Note 4 17 3 4" xfId="30807" xr:uid="{00000000-0005-0000-0000-000057780000}"/>
    <cellStyle name="Note 4 17 3 5" xfId="30808" xr:uid="{00000000-0005-0000-0000-000058780000}"/>
    <cellStyle name="Note 4 18" xfId="30809" xr:uid="{00000000-0005-0000-0000-000059780000}"/>
    <cellStyle name="Note 4 18 2" xfId="30810" xr:uid="{00000000-0005-0000-0000-00005A780000}"/>
    <cellStyle name="Note 4 18 2 2" xfId="30811" xr:uid="{00000000-0005-0000-0000-00005B780000}"/>
    <cellStyle name="Note 4 18 2 2 2" xfId="30812" xr:uid="{00000000-0005-0000-0000-00005C780000}"/>
    <cellStyle name="Note 4 18 2 2 2 2" xfId="30813" xr:uid="{00000000-0005-0000-0000-00005D780000}"/>
    <cellStyle name="Note 4 18 2 2 2 2 2" xfId="30814" xr:uid="{00000000-0005-0000-0000-00005E780000}"/>
    <cellStyle name="Note 4 18 2 2 2 2 3" xfId="30815" xr:uid="{00000000-0005-0000-0000-00005F780000}"/>
    <cellStyle name="Note 4 18 2 2 2 3" xfId="30816" xr:uid="{00000000-0005-0000-0000-000060780000}"/>
    <cellStyle name="Note 4 18 2 2 2 4" xfId="30817" xr:uid="{00000000-0005-0000-0000-000061780000}"/>
    <cellStyle name="Note 4 18 2 2 3" xfId="30818" xr:uid="{00000000-0005-0000-0000-000062780000}"/>
    <cellStyle name="Note 4 18 2 2 3 2" xfId="30819" xr:uid="{00000000-0005-0000-0000-000063780000}"/>
    <cellStyle name="Note 4 18 2 2 3 3" xfId="30820" xr:uid="{00000000-0005-0000-0000-000064780000}"/>
    <cellStyle name="Note 4 18 2 2 4" xfId="30821" xr:uid="{00000000-0005-0000-0000-000065780000}"/>
    <cellStyle name="Note 4 18 2 2 5" xfId="30822" xr:uid="{00000000-0005-0000-0000-000066780000}"/>
    <cellStyle name="Note 4 18 3" xfId="30823" xr:uid="{00000000-0005-0000-0000-000067780000}"/>
    <cellStyle name="Note 4 18 3 2" xfId="30824" xr:uid="{00000000-0005-0000-0000-000068780000}"/>
    <cellStyle name="Note 4 18 3 2 2" xfId="30825" xr:uid="{00000000-0005-0000-0000-000069780000}"/>
    <cellStyle name="Note 4 18 3 2 2 2" xfId="30826" xr:uid="{00000000-0005-0000-0000-00006A780000}"/>
    <cellStyle name="Note 4 18 3 2 2 3" xfId="30827" xr:uid="{00000000-0005-0000-0000-00006B780000}"/>
    <cellStyle name="Note 4 18 3 2 3" xfId="30828" xr:uid="{00000000-0005-0000-0000-00006C780000}"/>
    <cellStyle name="Note 4 18 3 2 4" xfId="30829" xr:uid="{00000000-0005-0000-0000-00006D780000}"/>
    <cellStyle name="Note 4 18 3 3" xfId="30830" xr:uid="{00000000-0005-0000-0000-00006E780000}"/>
    <cellStyle name="Note 4 18 3 3 2" xfId="30831" xr:uid="{00000000-0005-0000-0000-00006F780000}"/>
    <cellStyle name="Note 4 18 3 3 3" xfId="30832" xr:uid="{00000000-0005-0000-0000-000070780000}"/>
    <cellStyle name="Note 4 18 3 4" xfId="30833" xr:uid="{00000000-0005-0000-0000-000071780000}"/>
    <cellStyle name="Note 4 18 3 5" xfId="30834" xr:uid="{00000000-0005-0000-0000-000072780000}"/>
    <cellStyle name="Note 4 19" xfId="30835" xr:uid="{00000000-0005-0000-0000-000073780000}"/>
    <cellStyle name="Note 4 19 2" xfId="30836" xr:uid="{00000000-0005-0000-0000-000074780000}"/>
    <cellStyle name="Note 4 19 2 2" xfId="30837" xr:uid="{00000000-0005-0000-0000-000075780000}"/>
    <cellStyle name="Note 4 19 2 2 2" xfId="30838" xr:uid="{00000000-0005-0000-0000-000076780000}"/>
    <cellStyle name="Note 4 19 2 2 2 2" xfId="30839" xr:uid="{00000000-0005-0000-0000-000077780000}"/>
    <cellStyle name="Note 4 19 2 2 2 2 2" xfId="30840" xr:uid="{00000000-0005-0000-0000-000078780000}"/>
    <cellStyle name="Note 4 19 2 2 2 2 3" xfId="30841" xr:uid="{00000000-0005-0000-0000-000079780000}"/>
    <cellStyle name="Note 4 19 2 2 2 3" xfId="30842" xr:uid="{00000000-0005-0000-0000-00007A780000}"/>
    <cellStyle name="Note 4 19 2 2 2 4" xfId="30843" xr:uid="{00000000-0005-0000-0000-00007B780000}"/>
    <cellStyle name="Note 4 19 2 2 3" xfId="30844" xr:uid="{00000000-0005-0000-0000-00007C780000}"/>
    <cellStyle name="Note 4 19 2 2 3 2" xfId="30845" xr:uid="{00000000-0005-0000-0000-00007D780000}"/>
    <cellStyle name="Note 4 19 2 2 3 3" xfId="30846" xr:uid="{00000000-0005-0000-0000-00007E780000}"/>
    <cellStyle name="Note 4 19 2 2 4" xfId="30847" xr:uid="{00000000-0005-0000-0000-00007F780000}"/>
    <cellStyle name="Note 4 19 2 2 5" xfId="30848" xr:uid="{00000000-0005-0000-0000-000080780000}"/>
    <cellStyle name="Note 4 19 3" xfId="30849" xr:uid="{00000000-0005-0000-0000-000081780000}"/>
    <cellStyle name="Note 4 19 3 2" xfId="30850" xr:uid="{00000000-0005-0000-0000-000082780000}"/>
    <cellStyle name="Note 4 19 3 2 2" xfId="30851" xr:uid="{00000000-0005-0000-0000-000083780000}"/>
    <cellStyle name="Note 4 19 3 2 2 2" xfId="30852" xr:uid="{00000000-0005-0000-0000-000084780000}"/>
    <cellStyle name="Note 4 19 3 2 2 3" xfId="30853" xr:uid="{00000000-0005-0000-0000-000085780000}"/>
    <cellStyle name="Note 4 19 3 2 3" xfId="30854" xr:uid="{00000000-0005-0000-0000-000086780000}"/>
    <cellStyle name="Note 4 19 3 2 4" xfId="30855" xr:uid="{00000000-0005-0000-0000-000087780000}"/>
    <cellStyle name="Note 4 19 3 3" xfId="30856" xr:uid="{00000000-0005-0000-0000-000088780000}"/>
    <cellStyle name="Note 4 19 3 3 2" xfId="30857" xr:uid="{00000000-0005-0000-0000-000089780000}"/>
    <cellStyle name="Note 4 19 3 3 3" xfId="30858" xr:uid="{00000000-0005-0000-0000-00008A780000}"/>
    <cellStyle name="Note 4 19 3 4" xfId="30859" xr:uid="{00000000-0005-0000-0000-00008B780000}"/>
    <cellStyle name="Note 4 19 3 5" xfId="30860" xr:uid="{00000000-0005-0000-0000-00008C780000}"/>
    <cellStyle name="Note 4 2" xfId="30861" xr:uid="{00000000-0005-0000-0000-00008D780000}"/>
    <cellStyle name="Note 4 2 2" xfId="30862" xr:uid="{00000000-0005-0000-0000-00008E780000}"/>
    <cellStyle name="Note 4 2 2 2" xfId="30863" xr:uid="{00000000-0005-0000-0000-00008F780000}"/>
    <cellStyle name="Note 4 2 2 2 2" xfId="30864" xr:uid="{00000000-0005-0000-0000-000090780000}"/>
    <cellStyle name="Note 4 2 2 2 2 2" xfId="30865" xr:uid="{00000000-0005-0000-0000-000091780000}"/>
    <cellStyle name="Note 4 2 2 2 2 2 2" xfId="30866" xr:uid="{00000000-0005-0000-0000-000092780000}"/>
    <cellStyle name="Note 4 2 2 2 2 2 3" xfId="30867" xr:uid="{00000000-0005-0000-0000-000093780000}"/>
    <cellStyle name="Note 4 2 2 2 2 3" xfId="30868" xr:uid="{00000000-0005-0000-0000-000094780000}"/>
    <cellStyle name="Note 4 2 2 2 2 4" xfId="30869" xr:uid="{00000000-0005-0000-0000-000095780000}"/>
    <cellStyle name="Note 4 2 2 2 3" xfId="30870" xr:uid="{00000000-0005-0000-0000-000096780000}"/>
    <cellStyle name="Note 4 2 2 2 3 2" xfId="30871" xr:uid="{00000000-0005-0000-0000-000097780000}"/>
    <cellStyle name="Note 4 2 2 2 3 3" xfId="30872" xr:uid="{00000000-0005-0000-0000-000098780000}"/>
    <cellStyle name="Note 4 2 2 2 4" xfId="30873" xr:uid="{00000000-0005-0000-0000-000099780000}"/>
    <cellStyle name="Note 4 2 2 2 5" xfId="30874" xr:uid="{00000000-0005-0000-0000-00009A780000}"/>
    <cellStyle name="Note 4 2 3" xfId="30875" xr:uid="{00000000-0005-0000-0000-00009B780000}"/>
    <cellStyle name="Note 4 2 3 2" xfId="30876" xr:uid="{00000000-0005-0000-0000-00009C780000}"/>
    <cellStyle name="Note 4 2 3 2 2" xfId="30877" xr:uid="{00000000-0005-0000-0000-00009D780000}"/>
    <cellStyle name="Note 4 2 3 2 2 2" xfId="30878" xr:uid="{00000000-0005-0000-0000-00009E780000}"/>
    <cellStyle name="Note 4 2 3 2 2 3" xfId="30879" xr:uid="{00000000-0005-0000-0000-00009F780000}"/>
    <cellStyle name="Note 4 2 3 2 3" xfId="30880" xr:uid="{00000000-0005-0000-0000-0000A0780000}"/>
    <cellStyle name="Note 4 2 3 2 4" xfId="30881" xr:uid="{00000000-0005-0000-0000-0000A1780000}"/>
    <cellStyle name="Note 4 2 3 3" xfId="30882" xr:uid="{00000000-0005-0000-0000-0000A2780000}"/>
    <cellStyle name="Note 4 2 3 3 2" xfId="30883" xr:uid="{00000000-0005-0000-0000-0000A3780000}"/>
    <cellStyle name="Note 4 2 3 3 3" xfId="30884" xr:uid="{00000000-0005-0000-0000-0000A4780000}"/>
    <cellStyle name="Note 4 2 3 4" xfId="30885" xr:uid="{00000000-0005-0000-0000-0000A5780000}"/>
    <cellStyle name="Note 4 2 3 5" xfId="30886" xr:uid="{00000000-0005-0000-0000-0000A6780000}"/>
    <cellStyle name="Note 4 20" xfId="30887" xr:uid="{00000000-0005-0000-0000-0000A7780000}"/>
    <cellStyle name="Note 4 20 2" xfId="30888" xr:uid="{00000000-0005-0000-0000-0000A8780000}"/>
    <cellStyle name="Note 4 20 2 2" xfId="30889" xr:uid="{00000000-0005-0000-0000-0000A9780000}"/>
    <cellStyle name="Note 4 20 2 2 2" xfId="30890" xr:uid="{00000000-0005-0000-0000-0000AA780000}"/>
    <cellStyle name="Note 4 20 2 2 2 2" xfId="30891" xr:uid="{00000000-0005-0000-0000-0000AB780000}"/>
    <cellStyle name="Note 4 20 2 2 2 3" xfId="30892" xr:uid="{00000000-0005-0000-0000-0000AC780000}"/>
    <cellStyle name="Note 4 20 2 2 3" xfId="30893" xr:uid="{00000000-0005-0000-0000-0000AD780000}"/>
    <cellStyle name="Note 4 20 2 2 4" xfId="30894" xr:uid="{00000000-0005-0000-0000-0000AE780000}"/>
    <cellStyle name="Note 4 20 2 3" xfId="30895" xr:uid="{00000000-0005-0000-0000-0000AF780000}"/>
    <cellStyle name="Note 4 20 2 3 2" xfId="30896" xr:uid="{00000000-0005-0000-0000-0000B0780000}"/>
    <cellStyle name="Note 4 20 2 3 3" xfId="30897" xr:uid="{00000000-0005-0000-0000-0000B1780000}"/>
    <cellStyle name="Note 4 20 2 4" xfId="30898" xr:uid="{00000000-0005-0000-0000-0000B2780000}"/>
    <cellStyle name="Note 4 20 2 5" xfId="30899" xr:uid="{00000000-0005-0000-0000-0000B3780000}"/>
    <cellStyle name="Note 4 21" xfId="30900" xr:uid="{00000000-0005-0000-0000-0000B4780000}"/>
    <cellStyle name="Note 4 21 2" xfId="30901" xr:uid="{00000000-0005-0000-0000-0000B5780000}"/>
    <cellStyle name="Note 4 21 2 2" xfId="30902" xr:uid="{00000000-0005-0000-0000-0000B6780000}"/>
    <cellStyle name="Note 4 21 2 2 2" xfId="30903" xr:uid="{00000000-0005-0000-0000-0000B7780000}"/>
    <cellStyle name="Note 4 21 2 2 2 2" xfId="30904" xr:uid="{00000000-0005-0000-0000-0000B8780000}"/>
    <cellStyle name="Note 4 21 2 2 2 3" xfId="30905" xr:uid="{00000000-0005-0000-0000-0000B9780000}"/>
    <cellStyle name="Note 4 21 2 2 3" xfId="30906" xr:uid="{00000000-0005-0000-0000-0000BA780000}"/>
    <cellStyle name="Note 4 21 2 2 4" xfId="30907" xr:uid="{00000000-0005-0000-0000-0000BB780000}"/>
    <cellStyle name="Note 4 21 2 3" xfId="30908" xr:uid="{00000000-0005-0000-0000-0000BC780000}"/>
    <cellStyle name="Note 4 21 2 3 2" xfId="30909" xr:uid="{00000000-0005-0000-0000-0000BD780000}"/>
    <cellStyle name="Note 4 21 2 3 3" xfId="30910" xr:uid="{00000000-0005-0000-0000-0000BE780000}"/>
    <cellStyle name="Note 4 21 2 4" xfId="30911" xr:uid="{00000000-0005-0000-0000-0000BF780000}"/>
    <cellStyle name="Note 4 21 2 5" xfId="30912" xr:uid="{00000000-0005-0000-0000-0000C0780000}"/>
    <cellStyle name="Note 4 22" xfId="30913" xr:uid="{00000000-0005-0000-0000-0000C1780000}"/>
    <cellStyle name="Note 4 22 2" xfId="30914" xr:uid="{00000000-0005-0000-0000-0000C2780000}"/>
    <cellStyle name="Note 4 22 2 2" xfId="30915" xr:uid="{00000000-0005-0000-0000-0000C3780000}"/>
    <cellStyle name="Note 4 22 2 2 2" xfId="30916" xr:uid="{00000000-0005-0000-0000-0000C4780000}"/>
    <cellStyle name="Note 4 22 2 2 2 2" xfId="30917" xr:uid="{00000000-0005-0000-0000-0000C5780000}"/>
    <cellStyle name="Note 4 22 2 2 2 3" xfId="30918" xr:uid="{00000000-0005-0000-0000-0000C6780000}"/>
    <cellStyle name="Note 4 22 2 2 3" xfId="30919" xr:uid="{00000000-0005-0000-0000-0000C7780000}"/>
    <cellStyle name="Note 4 22 2 2 4" xfId="30920" xr:uid="{00000000-0005-0000-0000-0000C8780000}"/>
    <cellStyle name="Note 4 22 2 3" xfId="30921" xr:uid="{00000000-0005-0000-0000-0000C9780000}"/>
    <cellStyle name="Note 4 22 2 3 2" xfId="30922" xr:uid="{00000000-0005-0000-0000-0000CA780000}"/>
    <cellStyle name="Note 4 22 2 3 3" xfId="30923" xr:uid="{00000000-0005-0000-0000-0000CB780000}"/>
    <cellStyle name="Note 4 22 2 4" xfId="30924" xr:uid="{00000000-0005-0000-0000-0000CC780000}"/>
    <cellStyle name="Note 4 22 2 5" xfId="30925" xr:uid="{00000000-0005-0000-0000-0000CD780000}"/>
    <cellStyle name="Note 4 23" xfId="30926" xr:uid="{00000000-0005-0000-0000-0000CE780000}"/>
    <cellStyle name="Note 4 23 2" xfId="30927" xr:uid="{00000000-0005-0000-0000-0000CF780000}"/>
    <cellStyle name="Note 4 23 2 2" xfId="30928" xr:uid="{00000000-0005-0000-0000-0000D0780000}"/>
    <cellStyle name="Note 4 23 2 2 2" xfId="30929" xr:uid="{00000000-0005-0000-0000-0000D1780000}"/>
    <cellStyle name="Note 4 23 2 2 2 2" xfId="30930" xr:uid="{00000000-0005-0000-0000-0000D2780000}"/>
    <cellStyle name="Note 4 23 2 2 2 3" xfId="30931" xr:uid="{00000000-0005-0000-0000-0000D3780000}"/>
    <cellStyle name="Note 4 23 2 2 3" xfId="30932" xr:uid="{00000000-0005-0000-0000-0000D4780000}"/>
    <cellStyle name="Note 4 23 2 2 4" xfId="30933" xr:uid="{00000000-0005-0000-0000-0000D5780000}"/>
    <cellStyle name="Note 4 23 2 3" xfId="30934" xr:uid="{00000000-0005-0000-0000-0000D6780000}"/>
    <cellStyle name="Note 4 23 2 3 2" xfId="30935" xr:uid="{00000000-0005-0000-0000-0000D7780000}"/>
    <cellStyle name="Note 4 23 2 3 3" xfId="30936" xr:uid="{00000000-0005-0000-0000-0000D8780000}"/>
    <cellStyle name="Note 4 23 2 4" xfId="30937" xr:uid="{00000000-0005-0000-0000-0000D9780000}"/>
    <cellStyle name="Note 4 23 2 5" xfId="30938" xr:uid="{00000000-0005-0000-0000-0000DA780000}"/>
    <cellStyle name="Note 4 24" xfId="30939" xr:uid="{00000000-0005-0000-0000-0000DB780000}"/>
    <cellStyle name="Note 4 24 2" xfId="30940" xr:uid="{00000000-0005-0000-0000-0000DC780000}"/>
    <cellStyle name="Note 4 24 2 2" xfId="30941" xr:uid="{00000000-0005-0000-0000-0000DD780000}"/>
    <cellStyle name="Note 4 24 2 2 2" xfId="30942" xr:uid="{00000000-0005-0000-0000-0000DE780000}"/>
    <cellStyle name="Note 4 24 2 2 3" xfId="30943" xr:uid="{00000000-0005-0000-0000-0000DF780000}"/>
    <cellStyle name="Note 4 24 2 3" xfId="30944" xr:uid="{00000000-0005-0000-0000-0000E0780000}"/>
    <cellStyle name="Note 4 24 2 4" xfId="30945" xr:uid="{00000000-0005-0000-0000-0000E1780000}"/>
    <cellStyle name="Note 4 24 3" xfId="30946" xr:uid="{00000000-0005-0000-0000-0000E2780000}"/>
    <cellStyle name="Note 4 24 3 2" xfId="30947" xr:uid="{00000000-0005-0000-0000-0000E3780000}"/>
    <cellStyle name="Note 4 24 3 3" xfId="30948" xr:uid="{00000000-0005-0000-0000-0000E4780000}"/>
    <cellStyle name="Note 4 24 4" xfId="30949" xr:uid="{00000000-0005-0000-0000-0000E5780000}"/>
    <cellStyle name="Note 4 24 5" xfId="30950" xr:uid="{00000000-0005-0000-0000-0000E6780000}"/>
    <cellStyle name="Note 4 3" xfId="30951" xr:uid="{00000000-0005-0000-0000-0000E7780000}"/>
    <cellStyle name="Note 4 3 2" xfId="30952" xr:uid="{00000000-0005-0000-0000-0000E8780000}"/>
    <cellStyle name="Note 4 3 2 2" xfId="30953" xr:uid="{00000000-0005-0000-0000-0000E9780000}"/>
    <cellStyle name="Note 4 3 2 2 2" xfId="30954" xr:uid="{00000000-0005-0000-0000-0000EA780000}"/>
    <cellStyle name="Note 4 3 2 2 2 2" xfId="30955" xr:uid="{00000000-0005-0000-0000-0000EB780000}"/>
    <cellStyle name="Note 4 3 2 2 2 2 2" xfId="30956" xr:uid="{00000000-0005-0000-0000-0000EC780000}"/>
    <cellStyle name="Note 4 3 2 2 2 2 3" xfId="30957" xr:uid="{00000000-0005-0000-0000-0000ED780000}"/>
    <cellStyle name="Note 4 3 2 2 2 3" xfId="30958" xr:uid="{00000000-0005-0000-0000-0000EE780000}"/>
    <cellStyle name="Note 4 3 2 2 2 4" xfId="30959" xr:uid="{00000000-0005-0000-0000-0000EF780000}"/>
    <cellStyle name="Note 4 3 2 2 3" xfId="30960" xr:uid="{00000000-0005-0000-0000-0000F0780000}"/>
    <cellStyle name="Note 4 3 2 2 3 2" xfId="30961" xr:uid="{00000000-0005-0000-0000-0000F1780000}"/>
    <cellStyle name="Note 4 3 2 2 3 3" xfId="30962" xr:uid="{00000000-0005-0000-0000-0000F2780000}"/>
    <cellStyle name="Note 4 3 2 2 4" xfId="30963" xr:uid="{00000000-0005-0000-0000-0000F3780000}"/>
    <cellStyle name="Note 4 3 2 2 5" xfId="30964" xr:uid="{00000000-0005-0000-0000-0000F4780000}"/>
    <cellStyle name="Note 4 3 3" xfId="30965" xr:uid="{00000000-0005-0000-0000-0000F5780000}"/>
    <cellStyle name="Note 4 3 3 2" xfId="30966" xr:uid="{00000000-0005-0000-0000-0000F6780000}"/>
    <cellStyle name="Note 4 3 3 2 2" xfId="30967" xr:uid="{00000000-0005-0000-0000-0000F7780000}"/>
    <cellStyle name="Note 4 3 3 2 2 2" xfId="30968" xr:uid="{00000000-0005-0000-0000-0000F8780000}"/>
    <cellStyle name="Note 4 3 3 2 2 3" xfId="30969" xr:uid="{00000000-0005-0000-0000-0000F9780000}"/>
    <cellStyle name="Note 4 3 3 2 3" xfId="30970" xr:uid="{00000000-0005-0000-0000-0000FA780000}"/>
    <cellStyle name="Note 4 3 3 2 4" xfId="30971" xr:uid="{00000000-0005-0000-0000-0000FB780000}"/>
    <cellStyle name="Note 4 3 3 3" xfId="30972" xr:uid="{00000000-0005-0000-0000-0000FC780000}"/>
    <cellStyle name="Note 4 3 3 3 2" xfId="30973" xr:uid="{00000000-0005-0000-0000-0000FD780000}"/>
    <cellStyle name="Note 4 3 3 3 3" xfId="30974" xr:uid="{00000000-0005-0000-0000-0000FE780000}"/>
    <cellStyle name="Note 4 3 3 4" xfId="30975" xr:uid="{00000000-0005-0000-0000-0000FF780000}"/>
    <cellStyle name="Note 4 3 3 5" xfId="30976" xr:uid="{00000000-0005-0000-0000-000000790000}"/>
    <cellStyle name="Note 4 4" xfId="30977" xr:uid="{00000000-0005-0000-0000-000001790000}"/>
    <cellStyle name="Note 4 4 2" xfId="30978" xr:uid="{00000000-0005-0000-0000-000002790000}"/>
    <cellStyle name="Note 4 4 2 2" xfId="30979" xr:uid="{00000000-0005-0000-0000-000003790000}"/>
    <cellStyle name="Note 4 4 2 2 2" xfId="30980" xr:uid="{00000000-0005-0000-0000-000004790000}"/>
    <cellStyle name="Note 4 4 2 2 2 2" xfId="30981" xr:uid="{00000000-0005-0000-0000-000005790000}"/>
    <cellStyle name="Note 4 4 2 2 2 2 2" xfId="30982" xr:uid="{00000000-0005-0000-0000-000006790000}"/>
    <cellStyle name="Note 4 4 2 2 2 2 3" xfId="30983" xr:uid="{00000000-0005-0000-0000-000007790000}"/>
    <cellStyle name="Note 4 4 2 2 2 3" xfId="30984" xr:uid="{00000000-0005-0000-0000-000008790000}"/>
    <cellStyle name="Note 4 4 2 2 2 4" xfId="30985" xr:uid="{00000000-0005-0000-0000-000009790000}"/>
    <cellStyle name="Note 4 4 2 2 3" xfId="30986" xr:uid="{00000000-0005-0000-0000-00000A790000}"/>
    <cellStyle name="Note 4 4 2 2 3 2" xfId="30987" xr:uid="{00000000-0005-0000-0000-00000B790000}"/>
    <cellStyle name="Note 4 4 2 2 3 3" xfId="30988" xr:uid="{00000000-0005-0000-0000-00000C790000}"/>
    <cellStyle name="Note 4 4 2 2 4" xfId="30989" xr:uid="{00000000-0005-0000-0000-00000D790000}"/>
    <cellStyle name="Note 4 4 2 2 5" xfId="30990" xr:uid="{00000000-0005-0000-0000-00000E790000}"/>
    <cellStyle name="Note 4 4 3" xfId="30991" xr:uid="{00000000-0005-0000-0000-00000F790000}"/>
    <cellStyle name="Note 4 4 3 2" xfId="30992" xr:uid="{00000000-0005-0000-0000-000010790000}"/>
    <cellStyle name="Note 4 4 3 2 2" xfId="30993" xr:uid="{00000000-0005-0000-0000-000011790000}"/>
    <cellStyle name="Note 4 4 3 2 2 2" xfId="30994" xr:uid="{00000000-0005-0000-0000-000012790000}"/>
    <cellStyle name="Note 4 4 3 2 2 3" xfId="30995" xr:uid="{00000000-0005-0000-0000-000013790000}"/>
    <cellStyle name="Note 4 4 3 2 3" xfId="30996" xr:uid="{00000000-0005-0000-0000-000014790000}"/>
    <cellStyle name="Note 4 4 3 2 4" xfId="30997" xr:uid="{00000000-0005-0000-0000-000015790000}"/>
    <cellStyle name="Note 4 4 3 3" xfId="30998" xr:uid="{00000000-0005-0000-0000-000016790000}"/>
    <cellStyle name="Note 4 4 3 3 2" xfId="30999" xr:uid="{00000000-0005-0000-0000-000017790000}"/>
    <cellStyle name="Note 4 4 3 3 3" xfId="31000" xr:uid="{00000000-0005-0000-0000-000018790000}"/>
    <cellStyle name="Note 4 4 3 4" xfId="31001" xr:uid="{00000000-0005-0000-0000-000019790000}"/>
    <cellStyle name="Note 4 4 3 5" xfId="31002" xr:uid="{00000000-0005-0000-0000-00001A790000}"/>
    <cellStyle name="Note 4 5" xfId="31003" xr:uid="{00000000-0005-0000-0000-00001B790000}"/>
    <cellStyle name="Note 4 5 2" xfId="31004" xr:uid="{00000000-0005-0000-0000-00001C790000}"/>
    <cellStyle name="Note 4 5 2 2" xfId="31005" xr:uid="{00000000-0005-0000-0000-00001D790000}"/>
    <cellStyle name="Note 4 5 2 2 2" xfId="31006" xr:uid="{00000000-0005-0000-0000-00001E790000}"/>
    <cellStyle name="Note 4 5 2 2 2 2" xfId="31007" xr:uid="{00000000-0005-0000-0000-00001F790000}"/>
    <cellStyle name="Note 4 5 2 2 2 2 2" xfId="31008" xr:uid="{00000000-0005-0000-0000-000020790000}"/>
    <cellStyle name="Note 4 5 2 2 2 2 3" xfId="31009" xr:uid="{00000000-0005-0000-0000-000021790000}"/>
    <cellStyle name="Note 4 5 2 2 2 3" xfId="31010" xr:uid="{00000000-0005-0000-0000-000022790000}"/>
    <cellStyle name="Note 4 5 2 2 2 4" xfId="31011" xr:uid="{00000000-0005-0000-0000-000023790000}"/>
    <cellStyle name="Note 4 5 2 2 3" xfId="31012" xr:uid="{00000000-0005-0000-0000-000024790000}"/>
    <cellStyle name="Note 4 5 2 2 3 2" xfId="31013" xr:uid="{00000000-0005-0000-0000-000025790000}"/>
    <cellStyle name="Note 4 5 2 2 3 3" xfId="31014" xr:uid="{00000000-0005-0000-0000-000026790000}"/>
    <cellStyle name="Note 4 5 2 2 4" xfId="31015" xr:uid="{00000000-0005-0000-0000-000027790000}"/>
    <cellStyle name="Note 4 5 2 2 5" xfId="31016" xr:uid="{00000000-0005-0000-0000-000028790000}"/>
    <cellStyle name="Note 4 5 3" xfId="31017" xr:uid="{00000000-0005-0000-0000-000029790000}"/>
    <cellStyle name="Note 4 5 3 2" xfId="31018" xr:uid="{00000000-0005-0000-0000-00002A790000}"/>
    <cellStyle name="Note 4 5 3 2 2" xfId="31019" xr:uid="{00000000-0005-0000-0000-00002B790000}"/>
    <cellStyle name="Note 4 5 3 2 2 2" xfId="31020" xr:uid="{00000000-0005-0000-0000-00002C790000}"/>
    <cellStyle name="Note 4 5 3 2 2 3" xfId="31021" xr:uid="{00000000-0005-0000-0000-00002D790000}"/>
    <cellStyle name="Note 4 5 3 2 3" xfId="31022" xr:uid="{00000000-0005-0000-0000-00002E790000}"/>
    <cellStyle name="Note 4 5 3 2 4" xfId="31023" xr:uid="{00000000-0005-0000-0000-00002F790000}"/>
    <cellStyle name="Note 4 5 3 3" xfId="31024" xr:uid="{00000000-0005-0000-0000-000030790000}"/>
    <cellStyle name="Note 4 5 3 3 2" xfId="31025" xr:uid="{00000000-0005-0000-0000-000031790000}"/>
    <cellStyle name="Note 4 5 3 3 3" xfId="31026" xr:uid="{00000000-0005-0000-0000-000032790000}"/>
    <cellStyle name="Note 4 5 3 4" xfId="31027" xr:uid="{00000000-0005-0000-0000-000033790000}"/>
    <cellStyle name="Note 4 5 3 5" xfId="31028" xr:uid="{00000000-0005-0000-0000-000034790000}"/>
    <cellStyle name="Note 4 6" xfId="31029" xr:uid="{00000000-0005-0000-0000-000035790000}"/>
    <cellStyle name="Note 4 6 2" xfId="31030" xr:uid="{00000000-0005-0000-0000-000036790000}"/>
    <cellStyle name="Note 4 6 2 2" xfId="31031" xr:uid="{00000000-0005-0000-0000-000037790000}"/>
    <cellStyle name="Note 4 6 2 2 2" xfId="31032" xr:uid="{00000000-0005-0000-0000-000038790000}"/>
    <cellStyle name="Note 4 6 2 2 2 2" xfId="31033" xr:uid="{00000000-0005-0000-0000-000039790000}"/>
    <cellStyle name="Note 4 6 2 2 2 2 2" xfId="31034" xr:uid="{00000000-0005-0000-0000-00003A790000}"/>
    <cellStyle name="Note 4 6 2 2 2 2 3" xfId="31035" xr:uid="{00000000-0005-0000-0000-00003B790000}"/>
    <cellStyle name="Note 4 6 2 2 2 3" xfId="31036" xr:uid="{00000000-0005-0000-0000-00003C790000}"/>
    <cellStyle name="Note 4 6 2 2 2 4" xfId="31037" xr:uid="{00000000-0005-0000-0000-00003D790000}"/>
    <cellStyle name="Note 4 6 2 2 3" xfId="31038" xr:uid="{00000000-0005-0000-0000-00003E790000}"/>
    <cellStyle name="Note 4 6 2 2 3 2" xfId="31039" xr:uid="{00000000-0005-0000-0000-00003F790000}"/>
    <cellStyle name="Note 4 6 2 2 3 3" xfId="31040" xr:uid="{00000000-0005-0000-0000-000040790000}"/>
    <cellStyle name="Note 4 6 2 2 4" xfId="31041" xr:uid="{00000000-0005-0000-0000-000041790000}"/>
    <cellStyle name="Note 4 6 2 2 5" xfId="31042" xr:uid="{00000000-0005-0000-0000-000042790000}"/>
    <cellStyle name="Note 4 6 3" xfId="31043" xr:uid="{00000000-0005-0000-0000-000043790000}"/>
    <cellStyle name="Note 4 6 3 2" xfId="31044" xr:uid="{00000000-0005-0000-0000-000044790000}"/>
    <cellStyle name="Note 4 6 3 2 2" xfId="31045" xr:uid="{00000000-0005-0000-0000-000045790000}"/>
    <cellStyle name="Note 4 6 3 2 2 2" xfId="31046" xr:uid="{00000000-0005-0000-0000-000046790000}"/>
    <cellStyle name="Note 4 6 3 2 2 3" xfId="31047" xr:uid="{00000000-0005-0000-0000-000047790000}"/>
    <cellStyle name="Note 4 6 3 2 3" xfId="31048" xr:uid="{00000000-0005-0000-0000-000048790000}"/>
    <cellStyle name="Note 4 6 3 2 4" xfId="31049" xr:uid="{00000000-0005-0000-0000-000049790000}"/>
    <cellStyle name="Note 4 6 3 3" xfId="31050" xr:uid="{00000000-0005-0000-0000-00004A790000}"/>
    <cellStyle name="Note 4 6 3 3 2" xfId="31051" xr:uid="{00000000-0005-0000-0000-00004B790000}"/>
    <cellStyle name="Note 4 6 3 3 3" xfId="31052" xr:uid="{00000000-0005-0000-0000-00004C790000}"/>
    <cellStyle name="Note 4 6 3 4" xfId="31053" xr:uid="{00000000-0005-0000-0000-00004D790000}"/>
    <cellStyle name="Note 4 6 3 5" xfId="31054" xr:uid="{00000000-0005-0000-0000-00004E790000}"/>
    <cellStyle name="Note 4 7" xfId="31055" xr:uid="{00000000-0005-0000-0000-00004F790000}"/>
    <cellStyle name="Note 4 7 2" xfId="31056" xr:uid="{00000000-0005-0000-0000-000050790000}"/>
    <cellStyle name="Note 4 7 2 2" xfId="31057" xr:uid="{00000000-0005-0000-0000-000051790000}"/>
    <cellStyle name="Note 4 7 2 2 2" xfId="31058" xr:uid="{00000000-0005-0000-0000-000052790000}"/>
    <cellStyle name="Note 4 7 2 2 2 2" xfId="31059" xr:uid="{00000000-0005-0000-0000-000053790000}"/>
    <cellStyle name="Note 4 7 2 2 2 2 2" xfId="31060" xr:uid="{00000000-0005-0000-0000-000054790000}"/>
    <cellStyle name="Note 4 7 2 2 2 2 3" xfId="31061" xr:uid="{00000000-0005-0000-0000-000055790000}"/>
    <cellStyle name="Note 4 7 2 2 2 3" xfId="31062" xr:uid="{00000000-0005-0000-0000-000056790000}"/>
    <cellStyle name="Note 4 7 2 2 2 4" xfId="31063" xr:uid="{00000000-0005-0000-0000-000057790000}"/>
    <cellStyle name="Note 4 7 2 2 3" xfId="31064" xr:uid="{00000000-0005-0000-0000-000058790000}"/>
    <cellStyle name="Note 4 7 2 2 3 2" xfId="31065" xr:uid="{00000000-0005-0000-0000-000059790000}"/>
    <cellStyle name="Note 4 7 2 2 3 3" xfId="31066" xr:uid="{00000000-0005-0000-0000-00005A790000}"/>
    <cellStyle name="Note 4 7 2 2 4" xfId="31067" xr:uid="{00000000-0005-0000-0000-00005B790000}"/>
    <cellStyle name="Note 4 7 2 2 5" xfId="31068" xr:uid="{00000000-0005-0000-0000-00005C790000}"/>
    <cellStyle name="Note 4 7 3" xfId="31069" xr:uid="{00000000-0005-0000-0000-00005D790000}"/>
    <cellStyle name="Note 4 7 3 2" xfId="31070" xr:uid="{00000000-0005-0000-0000-00005E790000}"/>
    <cellStyle name="Note 4 7 3 2 2" xfId="31071" xr:uid="{00000000-0005-0000-0000-00005F790000}"/>
    <cellStyle name="Note 4 7 3 2 2 2" xfId="31072" xr:uid="{00000000-0005-0000-0000-000060790000}"/>
    <cellStyle name="Note 4 7 3 2 2 3" xfId="31073" xr:uid="{00000000-0005-0000-0000-000061790000}"/>
    <cellStyle name="Note 4 7 3 2 3" xfId="31074" xr:uid="{00000000-0005-0000-0000-000062790000}"/>
    <cellStyle name="Note 4 7 3 2 4" xfId="31075" xr:uid="{00000000-0005-0000-0000-000063790000}"/>
    <cellStyle name="Note 4 7 3 3" xfId="31076" xr:uid="{00000000-0005-0000-0000-000064790000}"/>
    <cellStyle name="Note 4 7 3 3 2" xfId="31077" xr:uid="{00000000-0005-0000-0000-000065790000}"/>
    <cellStyle name="Note 4 7 3 3 3" xfId="31078" xr:uid="{00000000-0005-0000-0000-000066790000}"/>
    <cellStyle name="Note 4 7 3 4" xfId="31079" xr:uid="{00000000-0005-0000-0000-000067790000}"/>
    <cellStyle name="Note 4 7 3 5" xfId="31080" xr:uid="{00000000-0005-0000-0000-000068790000}"/>
    <cellStyle name="Note 4 8" xfId="31081" xr:uid="{00000000-0005-0000-0000-000069790000}"/>
    <cellStyle name="Note 4 8 2" xfId="31082" xr:uid="{00000000-0005-0000-0000-00006A790000}"/>
    <cellStyle name="Note 4 8 2 2" xfId="31083" xr:uid="{00000000-0005-0000-0000-00006B790000}"/>
    <cellStyle name="Note 4 8 2 2 2" xfId="31084" xr:uid="{00000000-0005-0000-0000-00006C790000}"/>
    <cellStyle name="Note 4 8 2 2 2 2" xfId="31085" xr:uid="{00000000-0005-0000-0000-00006D790000}"/>
    <cellStyle name="Note 4 8 2 2 2 2 2" xfId="31086" xr:uid="{00000000-0005-0000-0000-00006E790000}"/>
    <cellStyle name="Note 4 8 2 2 2 2 3" xfId="31087" xr:uid="{00000000-0005-0000-0000-00006F790000}"/>
    <cellStyle name="Note 4 8 2 2 2 3" xfId="31088" xr:uid="{00000000-0005-0000-0000-000070790000}"/>
    <cellStyle name="Note 4 8 2 2 2 4" xfId="31089" xr:uid="{00000000-0005-0000-0000-000071790000}"/>
    <cellStyle name="Note 4 8 2 2 3" xfId="31090" xr:uid="{00000000-0005-0000-0000-000072790000}"/>
    <cellStyle name="Note 4 8 2 2 3 2" xfId="31091" xr:uid="{00000000-0005-0000-0000-000073790000}"/>
    <cellStyle name="Note 4 8 2 2 3 3" xfId="31092" xr:uid="{00000000-0005-0000-0000-000074790000}"/>
    <cellStyle name="Note 4 8 2 2 4" xfId="31093" xr:uid="{00000000-0005-0000-0000-000075790000}"/>
    <cellStyle name="Note 4 8 2 2 5" xfId="31094" xr:uid="{00000000-0005-0000-0000-000076790000}"/>
    <cellStyle name="Note 4 8 3" xfId="31095" xr:uid="{00000000-0005-0000-0000-000077790000}"/>
    <cellStyle name="Note 4 8 3 2" xfId="31096" xr:uid="{00000000-0005-0000-0000-000078790000}"/>
    <cellStyle name="Note 4 8 3 2 2" xfId="31097" xr:uid="{00000000-0005-0000-0000-000079790000}"/>
    <cellStyle name="Note 4 8 3 2 2 2" xfId="31098" xr:uid="{00000000-0005-0000-0000-00007A790000}"/>
    <cellStyle name="Note 4 8 3 2 2 3" xfId="31099" xr:uid="{00000000-0005-0000-0000-00007B790000}"/>
    <cellStyle name="Note 4 8 3 2 3" xfId="31100" xr:uid="{00000000-0005-0000-0000-00007C790000}"/>
    <cellStyle name="Note 4 8 3 2 4" xfId="31101" xr:uid="{00000000-0005-0000-0000-00007D790000}"/>
    <cellStyle name="Note 4 8 3 3" xfId="31102" xr:uid="{00000000-0005-0000-0000-00007E790000}"/>
    <cellStyle name="Note 4 8 3 3 2" xfId="31103" xr:uid="{00000000-0005-0000-0000-00007F790000}"/>
    <cellStyle name="Note 4 8 3 3 3" xfId="31104" xr:uid="{00000000-0005-0000-0000-000080790000}"/>
    <cellStyle name="Note 4 8 3 4" xfId="31105" xr:uid="{00000000-0005-0000-0000-000081790000}"/>
    <cellStyle name="Note 4 8 3 5" xfId="31106" xr:uid="{00000000-0005-0000-0000-000082790000}"/>
    <cellStyle name="Note 4 9" xfId="31107" xr:uid="{00000000-0005-0000-0000-000083790000}"/>
    <cellStyle name="Note 4 9 2" xfId="31108" xr:uid="{00000000-0005-0000-0000-000084790000}"/>
    <cellStyle name="Note 4 9 2 2" xfId="31109" xr:uid="{00000000-0005-0000-0000-000085790000}"/>
    <cellStyle name="Note 4 9 2 2 2" xfId="31110" xr:uid="{00000000-0005-0000-0000-000086790000}"/>
    <cellStyle name="Note 4 9 2 2 2 2" xfId="31111" xr:uid="{00000000-0005-0000-0000-000087790000}"/>
    <cellStyle name="Note 4 9 2 2 2 2 2" xfId="31112" xr:uid="{00000000-0005-0000-0000-000088790000}"/>
    <cellStyle name="Note 4 9 2 2 2 2 3" xfId="31113" xr:uid="{00000000-0005-0000-0000-000089790000}"/>
    <cellStyle name="Note 4 9 2 2 2 3" xfId="31114" xr:uid="{00000000-0005-0000-0000-00008A790000}"/>
    <cellStyle name="Note 4 9 2 2 2 4" xfId="31115" xr:uid="{00000000-0005-0000-0000-00008B790000}"/>
    <cellStyle name="Note 4 9 2 2 3" xfId="31116" xr:uid="{00000000-0005-0000-0000-00008C790000}"/>
    <cellStyle name="Note 4 9 2 2 3 2" xfId="31117" xr:uid="{00000000-0005-0000-0000-00008D790000}"/>
    <cellStyle name="Note 4 9 2 2 3 3" xfId="31118" xr:uid="{00000000-0005-0000-0000-00008E790000}"/>
    <cellStyle name="Note 4 9 2 2 4" xfId="31119" xr:uid="{00000000-0005-0000-0000-00008F790000}"/>
    <cellStyle name="Note 4 9 2 2 5" xfId="31120" xr:uid="{00000000-0005-0000-0000-000090790000}"/>
    <cellStyle name="Note 4 9 3" xfId="31121" xr:uid="{00000000-0005-0000-0000-000091790000}"/>
    <cellStyle name="Note 4 9 3 2" xfId="31122" xr:uid="{00000000-0005-0000-0000-000092790000}"/>
    <cellStyle name="Note 4 9 3 2 2" xfId="31123" xr:uid="{00000000-0005-0000-0000-000093790000}"/>
    <cellStyle name="Note 4 9 3 2 2 2" xfId="31124" xr:uid="{00000000-0005-0000-0000-000094790000}"/>
    <cellStyle name="Note 4 9 3 2 2 3" xfId="31125" xr:uid="{00000000-0005-0000-0000-000095790000}"/>
    <cellStyle name="Note 4 9 3 2 3" xfId="31126" xr:uid="{00000000-0005-0000-0000-000096790000}"/>
    <cellStyle name="Note 4 9 3 2 4" xfId="31127" xr:uid="{00000000-0005-0000-0000-000097790000}"/>
    <cellStyle name="Note 4 9 3 3" xfId="31128" xr:uid="{00000000-0005-0000-0000-000098790000}"/>
    <cellStyle name="Note 4 9 3 3 2" xfId="31129" xr:uid="{00000000-0005-0000-0000-000099790000}"/>
    <cellStyle name="Note 4 9 3 3 3" xfId="31130" xr:uid="{00000000-0005-0000-0000-00009A790000}"/>
    <cellStyle name="Note 4 9 3 4" xfId="31131" xr:uid="{00000000-0005-0000-0000-00009B790000}"/>
    <cellStyle name="Note 4 9 3 5" xfId="31132" xr:uid="{00000000-0005-0000-0000-00009C790000}"/>
    <cellStyle name="Note 4_provisions q3" xfId="31133" xr:uid="{00000000-0005-0000-0000-00009D790000}"/>
    <cellStyle name="Note 40" xfId="31134" xr:uid="{00000000-0005-0000-0000-00009E790000}"/>
    <cellStyle name="Note 40 2" xfId="31135" xr:uid="{00000000-0005-0000-0000-00009F790000}"/>
    <cellStyle name="Note 40 3" xfId="31136" xr:uid="{00000000-0005-0000-0000-0000A0790000}"/>
    <cellStyle name="Note 41" xfId="31137" xr:uid="{00000000-0005-0000-0000-0000A1790000}"/>
    <cellStyle name="Note 41 2" xfId="31138" xr:uid="{00000000-0005-0000-0000-0000A2790000}"/>
    <cellStyle name="Note 41 3" xfId="31139" xr:uid="{00000000-0005-0000-0000-0000A3790000}"/>
    <cellStyle name="Note 42" xfId="31140" xr:uid="{00000000-0005-0000-0000-0000A4790000}"/>
    <cellStyle name="Note 42 2" xfId="31141" xr:uid="{00000000-0005-0000-0000-0000A5790000}"/>
    <cellStyle name="Note 42 3" xfId="31142" xr:uid="{00000000-0005-0000-0000-0000A6790000}"/>
    <cellStyle name="Note 43" xfId="31143" xr:uid="{00000000-0005-0000-0000-0000A7790000}"/>
    <cellStyle name="Note 43 2" xfId="31144" xr:uid="{00000000-0005-0000-0000-0000A8790000}"/>
    <cellStyle name="Note 43 3" xfId="31145" xr:uid="{00000000-0005-0000-0000-0000A9790000}"/>
    <cellStyle name="Note 44" xfId="31146" xr:uid="{00000000-0005-0000-0000-0000AA790000}"/>
    <cellStyle name="Note 44 2" xfId="31147" xr:uid="{00000000-0005-0000-0000-0000AB790000}"/>
    <cellStyle name="Note 44 3" xfId="31148" xr:uid="{00000000-0005-0000-0000-0000AC790000}"/>
    <cellStyle name="Note 45" xfId="31149" xr:uid="{00000000-0005-0000-0000-0000AD790000}"/>
    <cellStyle name="Note 45 2" xfId="31150" xr:uid="{00000000-0005-0000-0000-0000AE790000}"/>
    <cellStyle name="Note 45 3" xfId="31151" xr:uid="{00000000-0005-0000-0000-0000AF790000}"/>
    <cellStyle name="Note 46" xfId="31152" xr:uid="{00000000-0005-0000-0000-0000B0790000}"/>
    <cellStyle name="Note 46 2" xfId="31153" xr:uid="{00000000-0005-0000-0000-0000B1790000}"/>
    <cellStyle name="Note 46 3" xfId="31154" xr:uid="{00000000-0005-0000-0000-0000B2790000}"/>
    <cellStyle name="Note 47" xfId="31155" xr:uid="{00000000-0005-0000-0000-0000B3790000}"/>
    <cellStyle name="Note 48" xfId="31156" xr:uid="{00000000-0005-0000-0000-0000B4790000}"/>
    <cellStyle name="Note 49" xfId="31157" xr:uid="{00000000-0005-0000-0000-0000B5790000}"/>
    <cellStyle name="Note 5" xfId="31158" xr:uid="{00000000-0005-0000-0000-0000B6790000}"/>
    <cellStyle name="Note 5 10" xfId="31159" xr:uid="{00000000-0005-0000-0000-0000B7790000}"/>
    <cellStyle name="Note 5 10 2" xfId="31160" xr:uid="{00000000-0005-0000-0000-0000B8790000}"/>
    <cellStyle name="Note 5 10 2 2" xfId="31161" xr:uid="{00000000-0005-0000-0000-0000B9790000}"/>
    <cellStyle name="Note 5 10 2 2 2" xfId="31162" xr:uid="{00000000-0005-0000-0000-0000BA790000}"/>
    <cellStyle name="Note 5 10 2 2 2 2" xfId="31163" xr:uid="{00000000-0005-0000-0000-0000BB790000}"/>
    <cellStyle name="Note 5 10 2 2 2 2 2" xfId="31164" xr:uid="{00000000-0005-0000-0000-0000BC790000}"/>
    <cellStyle name="Note 5 10 2 2 2 2 3" xfId="31165" xr:uid="{00000000-0005-0000-0000-0000BD790000}"/>
    <cellStyle name="Note 5 10 2 2 2 3" xfId="31166" xr:uid="{00000000-0005-0000-0000-0000BE790000}"/>
    <cellStyle name="Note 5 10 2 2 2 4" xfId="31167" xr:uid="{00000000-0005-0000-0000-0000BF790000}"/>
    <cellStyle name="Note 5 10 2 2 3" xfId="31168" xr:uid="{00000000-0005-0000-0000-0000C0790000}"/>
    <cellStyle name="Note 5 10 2 2 3 2" xfId="31169" xr:uid="{00000000-0005-0000-0000-0000C1790000}"/>
    <cellStyle name="Note 5 10 2 2 3 3" xfId="31170" xr:uid="{00000000-0005-0000-0000-0000C2790000}"/>
    <cellStyle name="Note 5 10 2 2 4" xfId="31171" xr:uid="{00000000-0005-0000-0000-0000C3790000}"/>
    <cellStyle name="Note 5 10 2 2 5" xfId="31172" xr:uid="{00000000-0005-0000-0000-0000C4790000}"/>
    <cellStyle name="Note 5 10 3" xfId="31173" xr:uid="{00000000-0005-0000-0000-0000C5790000}"/>
    <cellStyle name="Note 5 10 3 2" xfId="31174" xr:uid="{00000000-0005-0000-0000-0000C6790000}"/>
    <cellStyle name="Note 5 10 3 2 2" xfId="31175" xr:uid="{00000000-0005-0000-0000-0000C7790000}"/>
    <cellStyle name="Note 5 10 3 2 2 2" xfId="31176" xr:uid="{00000000-0005-0000-0000-0000C8790000}"/>
    <cellStyle name="Note 5 10 3 2 2 3" xfId="31177" xr:uid="{00000000-0005-0000-0000-0000C9790000}"/>
    <cellStyle name="Note 5 10 3 2 3" xfId="31178" xr:uid="{00000000-0005-0000-0000-0000CA790000}"/>
    <cellStyle name="Note 5 10 3 2 4" xfId="31179" xr:uid="{00000000-0005-0000-0000-0000CB790000}"/>
    <cellStyle name="Note 5 10 3 3" xfId="31180" xr:uid="{00000000-0005-0000-0000-0000CC790000}"/>
    <cellStyle name="Note 5 10 3 3 2" xfId="31181" xr:uid="{00000000-0005-0000-0000-0000CD790000}"/>
    <cellStyle name="Note 5 10 3 3 3" xfId="31182" xr:uid="{00000000-0005-0000-0000-0000CE790000}"/>
    <cellStyle name="Note 5 10 3 4" xfId="31183" xr:uid="{00000000-0005-0000-0000-0000CF790000}"/>
    <cellStyle name="Note 5 10 3 5" xfId="31184" xr:uid="{00000000-0005-0000-0000-0000D0790000}"/>
    <cellStyle name="Note 5 11" xfId="31185" xr:uid="{00000000-0005-0000-0000-0000D1790000}"/>
    <cellStyle name="Note 5 11 2" xfId="31186" xr:uid="{00000000-0005-0000-0000-0000D2790000}"/>
    <cellStyle name="Note 5 11 2 2" xfId="31187" xr:uid="{00000000-0005-0000-0000-0000D3790000}"/>
    <cellStyle name="Note 5 11 2 2 2" xfId="31188" xr:uid="{00000000-0005-0000-0000-0000D4790000}"/>
    <cellStyle name="Note 5 11 2 2 2 2" xfId="31189" xr:uid="{00000000-0005-0000-0000-0000D5790000}"/>
    <cellStyle name="Note 5 11 2 2 2 3" xfId="31190" xr:uid="{00000000-0005-0000-0000-0000D6790000}"/>
    <cellStyle name="Note 5 11 2 2 3" xfId="31191" xr:uid="{00000000-0005-0000-0000-0000D7790000}"/>
    <cellStyle name="Note 5 11 2 2 4" xfId="31192" xr:uid="{00000000-0005-0000-0000-0000D8790000}"/>
    <cellStyle name="Note 5 11 2 3" xfId="31193" xr:uid="{00000000-0005-0000-0000-0000D9790000}"/>
    <cellStyle name="Note 5 11 2 3 2" xfId="31194" xr:uid="{00000000-0005-0000-0000-0000DA790000}"/>
    <cellStyle name="Note 5 11 2 3 3" xfId="31195" xr:uid="{00000000-0005-0000-0000-0000DB790000}"/>
    <cellStyle name="Note 5 11 2 4" xfId="31196" xr:uid="{00000000-0005-0000-0000-0000DC790000}"/>
    <cellStyle name="Note 5 11 2 5" xfId="31197" xr:uid="{00000000-0005-0000-0000-0000DD790000}"/>
    <cellStyle name="Note 5 12" xfId="31198" xr:uid="{00000000-0005-0000-0000-0000DE790000}"/>
    <cellStyle name="Note 5 12 2" xfId="31199" xr:uid="{00000000-0005-0000-0000-0000DF790000}"/>
    <cellStyle name="Note 5 12 2 2" xfId="31200" xr:uid="{00000000-0005-0000-0000-0000E0790000}"/>
    <cellStyle name="Note 5 12 2 2 2" xfId="31201" xr:uid="{00000000-0005-0000-0000-0000E1790000}"/>
    <cellStyle name="Note 5 12 2 2 2 2" xfId="31202" xr:uid="{00000000-0005-0000-0000-0000E2790000}"/>
    <cellStyle name="Note 5 12 2 2 2 3" xfId="31203" xr:uid="{00000000-0005-0000-0000-0000E3790000}"/>
    <cellStyle name="Note 5 12 2 2 3" xfId="31204" xr:uid="{00000000-0005-0000-0000-0000E4790000}"/>
    <cellStyle name="Note 5 12 2 2 4" xfId="31205" xr:uid="{00000000-0005-0000-0000-0000E5790000}"/>
    <cellStyle name="Note 5 12 2 3" xfId="31206" xr:uid="{00000000-0005-0000-0000-0000E6790000}"/>
    <cellStyle name="Note 5 12 2 3 2" xfId="31207" xr:uid="{00000000-0005-0000-0000-0000E7790000}"/>
    <cellStyle name="Note 5 12 2 3 3" xfId="31208" xr:uid="{00000000-0005-0000-0000-0000E8790000}"/>
    <cellStyle name="Note 5 12 2 4" xfId="31209" xr:uid="{00000000-0005-0000-0000-0000E9790000}"/>
    <cellStyle name="Note 5 12 2 5" xfId="31210" xr:uid="{00000000-0005-0000-0000-0000EA790000}"/>
    <cellStyle name="Note 5 13" xfId="31211" xr:uid="{00000000-0005-0000-0000-0000EB790000}"/>
    <cellStyle name="Note 5 13 2" xfId="31212" xr:uid="{00000000-0005-0000-0000-0000EC790000}"/>
    <cellStyle name="Note 5 13 2 2" xfId="31213" xr:uid="{00000000-0005-0000-0000-0000ED790000}"/>
    <cellStyle name="Note 5 13 2 2 2" xfId="31214" xr:uid="{00000000-0005-0000-0000-0000EE790000}"/>
    <cellStyle name="Note 5 13 2 2 2 2" xfId="31215" xr:uid="{00000000-0005-0000-0000-0000EF790000}"/>
    <cellStyle name="Note 5 13 2 2 2 3" xfId="31216" xr:uid="{00000000-0005-0000-0000-0000F0790000}"/>
    <cellStyle name="Note 5 13 2 2 3" xfId="31217" xr:uid="{00000000-0005-0000-0000-0000F1790000}"/>
    <cellStyle name="Note 5 13 2 2 4" xfId="31218" xr:uid="{00000000-0005-0000-0000-0000F2790000}"/>
    <cellStyle name="Note 5 13 2 3" xfId="31219" xr:uid="{00000000-0005-0000-0000-0000F3790000}"/>
    <cellStyle name="Note 5 13 2 3 2" xfId="31220" xr:uid="{00000000-0005-0000-0000-0000F4790000}"/>
    <cellStyle name="Note 5 13 2 3 3" xfId="31221" xr:uid="{00000000-0005-0000-0000-0000F5790000}"/>
    <cellStyle name="Note 5 13 2 4" xfId="31222" xr:uid="{00000000-0005-0000-0000-0000F6790000}"/>
    <cellStyle name="Note 5 13 2 5" xfId="31223" xr:uid="{00000000-0005-0000-0000-0000F7790000}"/>
    <cellStyle name="Note 5 14" xfId="31224" xr:uid="{00000000-0005-0000-0000-0000F8790000}"/>
    <cellStyle name="Note 5 14 2" xfId="31225" xr:uid="{00000000-0005-0000-0000-0000F9790000}"/>
    <cellStyle name="Note 5 14 2 2" xfId="31226" xr:uid="{00000000-0005-0000-0000-0000FA790000}"/>
    <cellStyle name="Note 5 14 2 2 2" xfId="31227" xr:uid="{00000000-0005-0000-0000-0000FB790000}"/>
    <cellStyle name="Note 5 14 2 2 2 2" xfId="31228" xr:uid="{00000000-0005-0000-0000-0000FC790000}"/>
    <cellStyle name="Note 5 14 2 2 2 3" xfId="31229" xr:uid="{00000000-0005-0000-0000-0000FD790000}"/>
    <cellStyle name="Note 5 14 2 2 3" xfId="31230" xr:uid="{00000000-0005-0000-0000-0000FE790000}"/>
    <cellStyle name="Note 5 14 2 2 4" xfId="31231" xr:uid="{00000000-0005-0000-0000-0000FF790000}"/>
    <cellStyle name="Note 5 14 2 3" xfId="31232" xr:uid="{00000000-0005-0000-0000-0000007A0000}"/>
    <cellStyle name="Note 5 14 2 3 2" xfId="31233" xr:uid="{00000000-0005-0000-0000-0000017A0000}"/>
    <cellStyle name="Note 5 14 2 3 3" xfId="31234" xr:uid="{00000000-0005-0000-0000-0000027A0000}"/>
    <cellStyle name="Note 5 14 2 4" xfId="31235" xr:uid="{00000000-0005-0000-0000-0000037A0000}"/>
    <cellStyle name="Note 5 14 2 5" xfId="31236" xr:uid="{00000000-0005-0000-0000-0000047A0000}"/>
    <cellStyle name="Note 5 15" xfId="31237" xr:uid="{00000000-0005-0000-0000-0000057A0000}"/>
    <cellStyle name="Note 5 15 2" xfId="31238" xr:uid="{00000000-0005-0000-0000-0000067A0000}"/>
    <cellStyle name="Note 5 15 2 2" xfId="31239" xr:uid="{00000000-0005-0000-0000-0000077A0000}"/>
    <cellStyle name="Note 5 15 2 2 2" xfId="31240" xr:uid="{00000000-0005-0000-0000-0000087A0000}"/>
    <cellStyle name="Note 5 15 2 2 3" xfId="31241" xr:uid="{00000000-0005-0000-0000-0000097A0000}"/>
    <cellStyle name="Note 5 15 2 3" xfId="31242" xr:uid="{00000000-0005-0000-0000-00000A7A0000}"/>
    <cellStyle name="Note 5 15 2 4" xfId="31243" xr:uid="{00000000-0005-0000-0000-00000B7A0000}"/>
    <cellStyle name="Note 5 15 3" xfId="31244" xr:uid="{00000000-0005-0000-0000-00000C7A0000}"/>
    <cellStyle name="Note 5 15 3 2" xfId="31245" xr:uid="{00000000-0005-0000-0000-00000D7A0000}"/>
    <cellStyle name="Note 5 15 3 3" xfId="31246" xr:uid="{00000000-0005-0000-0000-00000E7A0000}"/>
    <cellStyle name="Note 5 15 4" xfId="31247" xr:uid="{00000000-0005-0000-0000-00000F7A0000}"/>
    <cellStyle name="Note 5 15 5" xfId="31248" xr:uid="{00000000-0005-0000-0000-0000107A0000}"/>
    <cellStyle name="Note 5 16" xfId="31249" xr:uid="{00000000-0005-0000-0000-0000117A0000}"/>
    <cellStyle name="Note 5 2" xfId="31250" xr:uid="{00000000-0005-0000-0000-0000127A0000}"/>
    <cellStyle name="Note 5 2 2" xfId="31251" xr:uid="{00000000-0005-0000-0000-0000137A0000}"/>
    <cellStyle name="Note 5 2 2 2" xfId="31252" xr:uid="{00000000-0005-0000-0000-0000147A0000}"/>
    <cellStyle name="Note 5 2 2 2 2" xfId="31253" xr:uid="{00000000-0005-0000-0000-0000157A0000}"/>
    <cellStyle name="Note 5 2 2 2 2 2" xfId="31254" xr:uid="{00000000-0005-0000-0000-0000167A0000}"/>
    <cellStyle name="Note 5 2 2 2 2 2 2" xfId="31255" xr:uid="{00000000-0005-0000-0000-0000177A0000}"/>
    <cellStyle name="Note 5 2 2 2 2 2 2 2" xfId="31256" xr:uid="{00000000-0005-0000-0000-0000187A0000}"/>
    <cellStyle name="Note 5 2 2 2 2 2 2 3" xfId="31257" xr:uid="{00000000-0005-0000-0000-0000197A0000}"/>
    <cellStyle name="Note 5 2 2 2 2 2 3" xfId="31258" xr:uid="{00000000-0005-0000-0000-00001A7A0000}"/>
    <cellStyle name="Note 5 2 2 2 2 2 4" xfId="31259" xr:uid="{00000000-0005-0000-0000-00001B7A0000}"/>
    <cellStyle name="Note 5 2 2 2 2 3" xfId="31260" xr:uid="{00000000-0005-0000-0000-00001C7A0000}"/>
    <cellStyle name="Note 5 2 2 2 2 3 2" xfId="31261" xr:uid="{00000000-0005-0000-0000-00001D7A0000}"/>
    <cellStyle name="Note 5 2 2 2 2 3 3" xfId="31262" xr:uid="{00000000-0005-0000-0000-00001E7A0000}"/>
    <cellStyle name="Note 5 2 2 2 2 4" xfId="31263" xr:uid="{00000000-0005-0000-0000-00001F7A0000}"/>
    <cellStyle name="Note 5 2 2 2 2 5" xfId="31264" xr:uid="{00000000-0005-0000-0000-0000207A0000}"/>
    <cellStyle name="Note 5 2 2 3" xfId="31265" xr:uid="{00000000-0005-0000-0000-0000217A0000}"/>
    <cellStyle name="Note 5 2 2 3 2" xfId="31266" xr:uid="{00000000-0005-0000-0000-0000227A0000}"/>
    <cellStyle name="Note 5 2 2 3 2 2" xfId="31267" xr:uid="{00000000-0005-0000-0000-0000237A0000}"/>
    <cellStyle name="Note 5 2 2 3 2 2 2" xfId="31268" xr:uid="{00000000-0005-0000-0000-0000247A0000}"/>
    <cellStyle name="Note 5 2 2 3 2 2 3" xfId="31269" xr:uid="{00000000-0005-0000-0000-0000257A0000}"/>
    <cellStyle name="Note 5 2 2 3 2 3" xfId="31270" xr:uid="{00000000-0005-0000-0000-0000267A0000}"/>
    <cellStyle name="Note 5 2 2 3 2 4" xfId="31271" xr:uid="{00000000-0005-0000-0000-0000277A0000}"/>
    <cellStyle name="Note 5 2 2 3 3" xfId="31272" xr:uid="{00000000-0005-0000-0000-0000287A0000}"/>
    <cellStyle name="Note 5 2 2 3 3 2" xfId="31273" xr:uid="{00000000-0005-0000-0000-0000297A0000}"/>
    <cellStyle name="Note 5 2 2 3 3 3" xfId="31274" xr:uid="{00000000-0005-0000-0000-00002A7A0000}"/>
    <cellStyle name="Note 5 2 2 3 4" xfId="31275" xr:uid="{00000000-0005-0000-0000-00002B7A0000}"/>
    <cellStyle name="Note 5 2 2 3 5" xfId="31276" xr:uid="{00000000-0005-0000-0000-00002C7A0000}"/>
    <cellStyle name="Note 5 2 3" xfId="31277" xr:uid="{00000000-0005-0000-0000-00002D7A0000}"/>
    <cellStyle name="Note 5 2 3 2" xfId="31278" xr:uid="{00000000-0005-0000-0000-00002E7A0000}"/>
    <cellStyle name="Note 5 2 3 2 2" xfId="31279" xr:uid="{00000000-0005-0000-0000-00002F7A0000}"/>
    <cellStyle name="Note 5 2 3 2 2 2" xfId="31280" xr:uid="{00000000-0005-0000-0000-0000307A0000}"/>
    <cellStyle name="Note 5 2 3 2 2 2 2" xfId="31281" xr:uid="{00000000-0005-0000-0000-0000317A0000}"/>
    <cellStyle name="Note 5 2 3 2 2 2 2 2" xfId="31282" xr:uid="{00000000-0005-0000-0000-0000327A0000}"/>
    <cellStyle name="Note 5 2 3 2 2 2 2 3" xfId="31283" xr:uid="{00000000-0005-0000-0000-0000337A0000}"/>
    <cellStyle name="Note 5 2 3 2 2 2 3" xfId="31284" xr:uid="{00000000-0005-0000-0000-0000347A0000}"/>
    <cellStyle name="Note 5 2 3 2 2 2 4" xfId="31285" xr:uid="{00000000-0005-0000-0000-0000357A0000}"/>
    <cellStyle name="Note 5 2 3 2 2 3" xfId="31286" xr:uid="{00000000-0005-0000-0000-0000367A0000}"/>
    <cellStyle name="Note 5 2 3 2 2 3 2" xfId="31287" xr:uid="{00000000-0005-0000-0000-0000377A0000}"/>
    <cellStyle name="Note 5 2 3 2 2 3 3" xfId="31288" xr:uid="{00000000-0005-0000-0000-0000387A0000}"/>
    <cellStyle name="Note 5 2 3 2 2 4" xfId="31289" xr:uid="{00000000-0005-0000-0000-0000397A0000}"/>
    <cellStyle name="Note 5 2 3 2 2 5" xfId="31290" xr:uid="{00000000-0005-0000-0000-00003A7A0000}"/>
    <cellStyle name="Note 5 2 3 3" xfId="31291" xr:uid="{00000000-0005-0000-0000-00003B7A0000}"/>
    <cellStyle name="Note 5 2 3 3 2" xfId="31292" xr:uid="{00000000-0005-0000-0000-00003C7A0000}"/>
    <cellStyle name="Note 5 2 3 3 2 2" xfId="31293" xr:uid="{00000000-0005-0000-0000-00003D7A0000}"/>
    <cellStyle name="Note 5 2 3 3 2 2 2" xfId="31294" xr:uid="{00000000-0005-0000-0000-00003E7A0000}"/>
    <cellStyle name="Note 5 2 3 3 2 2 3" xfId="31295" xr:uid="{00000000-0005-0000-0000-00003F7A0000}"/>
    <cellStyle name="Note 5 2 3 3 2 3" xfId="31296" xr:uid="{00000000-0005-0000-0000-0000407A0000}"/>
    <cellStyle name="Note 5 2 3 3 2 4" xfId="31297" xr:uid="{00000000-0005-0000-0000-0000417A0000}"/>
    <cellStyle name="Note 5 2 3 3 3" xfId="31298" xr:uid="{00000000-0005-0000-0000-0000427A0000}"/>
    <cellStyle name="Note 5 2 3 3 3 2" xfId="31299" xr:uid="{00000000-0005-0000-0000-0000437A0000}"/>
    <cellStyle name="Note 5 2 3 3 3 3" xfId="31300" xr:uid="{00000000-0005-0000-0000-0000447A0000}"/>
    <cellStyle name="Note 5 2 3 3 4" xfId="31301" xr:uid="{00000000-0005-0000-0000-0000457A0000}"/>
    <cellStyle name="Note 5 2 3 3 5" xfId="31302" xr:uid="{00000000-0005-0000-0000-0000467A0000}"/>
    <cellStyle name="Note 5 2 4" xfId="31303" xr:uid="{00000000-0005-0000-0000-0000477A0000}"/>
    <cellStyle name="Note 5 2 4 2" xfId="31304" xr:uid="{00000000-0005-0000-0000-0000487A0000}"/>
    <cellStyle name="Note 5 2 4 2 2" xfId="31305" xr:uid="{00000000-0005-0000-0000-0000497A0000}"/>
    <cellStyle name="Note 5 2 4 2 2 2" xfId="31306" xr:uid="{00000000-0005-0000-0000-00004A7A0000}"/>
    <cellStyle name="Note 5 2 4 2 2 2 2" xfId="31307" xr:uid="{00000000-0005-0000-0000-00004B7A0000}"/>
    <cellStyle name="Note 5 2 4 2 2 2 2 2" xfId="31308" xr:uid="{00000000-0005-0000-0000-00004C7A0000}"/>
    <cellStyle name="Note 5 2 4 2 2 2 2 3" xfId="31309" xr:uid="{00000000-0005-0000-0000-00004D7A0000}"/>
    <cellStyle name="Note 5 2 4 2 2 2 3" xfId="31310" xr:uid="{00000000-0005-0000-0000-00004E7A0000}"/>
    <cellStyle name="Note 5 2 4 2 2 2 4" xfId="31311" xr:uid="{00000000-0005-0000-0000-00004F7A0000}"/>
    <cellStyle name="Note 5 2 4 2 2 3" xfId="31312" xr:uid="{00000000-0005-0000-0000-0000507A0000}"/>
    <cellStyle name="Note 5 2 4 2 2 3 2" xfId="31313" xr:uid="{00000000-0005-0000-0000-0000517A0000}"/>
    <cellStyle name="Note 5 2 4 2 2 3 3" xfId="31314" xr:uid="{00000000-0005-0000-0000-0000527A0000}"/>
    <cellStyle name="Note 5 2 4 2 2 4" xfId="31315" xr:uid="{00000000-0005-0000-0000-0000537A0000}"/>
    <cellStyle name="Note 5 2 4 2 2 5" xfId="31316" xr:uid="{00000000-0005-0000-0000-0000547A0000}"/>
    <cellStyle name="Note 5 2 4 3" xfId="31317" xr:uid="{00000000-0005-0000-0000-0000557A0000}"/>
    <cellStyle name="Note 5 2 4 3 2" xfId="31318" xr:uid="{00000000-0005-0000-0000-0000567A0000}"/>
    <cellStyle name="Note 5 2 4 3 2 2" xfId="31319" xr:uid="{00000000-0005-0000-0000-0000577A0000}"/>
    <cellStyle name="Note 5 2 4 3 2 2 2" xfId="31320" xr:uid="{00000000-0005-0000-0000-0000587A0000}"/>
    <cellStyle name="Note 5 2 4 3 2 2 3" xfId="31321" xr:uid="{00000000-0005-0000-0000-0000597A0000}"/>
    <cellStyle name="Note 5 2 4 3 2 3" xfId="31322" xr:uid="{00000000-0005-0000-0000-00005A7A0000}"/>
    <cellStyle name="Note 5 2 4 3 2 4" xfId="31323" xr:uid="{00000000-0005-0000-0000-00005B7A0000}"/>
    <cellStyle name="Note 5 2 4 3 3" xfId="31324" xr:uid="{00000000-0005-0000-0000-00005C7A0000}"/>
    <cellStyle name="Note 5 2 4 3 3 2" xfId="31325" xr:uid="{00000000-0005-0000-0000-00005D7A0000}"/>
    <cellStyle name="Note 5 2 4 3 3 3" xfId="31326" xr:uid="{00000000-0005-0000-0000-00005E7A0000}"/>
    <cellStyle name="Note 5 2 4 3 4" xfId="31327" xr:uid="{00000000-0005-0000-0000-00005F7A0000}"/>
    <cellStyle name="Note 5 2 4 3 5" xfId="31328" xr:uid="{00000000-0005-0000-0000-0000607A0000}"/>
    <cellStyle name="Note 5 2 5" xfId="31329" xr:uid="{00000000-0005-0000-0000-0000617A0000}"/>
    <cellStyle name="Note 5 2 5 2" xfId="31330" xr:uid="{00000000-0005-0000-0000-0000627A0000}"/>
    <cellStyle name="Note 5 2 5 2 2" xfId="31331" xr:uid="{00000000-0005-0000-0000-0000637A0000}"/>
    <cellStyle name="Note 5 2 5 2 2 2" xfId="31332" xr:uid="{00000000-0005-0000-0000-0000647A0000}"/>
    <cellStyle name="Note 5 2 5 2 2 2 2" xfId="31333" xr:uid="{00000000-0005-0000-0000-0000657A0000}"/>
    <cellStyle name="Note 5 2 5 2 2 2 3" xfId="31334" xr:uid="{00000000-0005-0000-0000-0000667A0000}"/>
    <cellStyle name="Note 5 2 5 2 2 3" xfId="31335" xr:uid="{00000000-0005-0000-0000-0000677A0000}"/>
    <cellStyle name="Note 5 2 5 2 2 4" xfId="31336" xr:uid="{00000000-0005-0000-0000-0000687A0000}"/>
    <cellStyle name="Note 5 2 5 2 3" xfId="31337" xr:uid="{00000000-0005-0000-0000-0000697A0000}"/>
    <cellStyle name="Note 5 2 5 2 3 2" xfId="31338" xr:uid="{00000000-0005-0000-0000-00006A7A0000}"/>
    <cellStyle name="Note 5 2 5 2 3 3" xfId="31339" xr:uid="{00000000-0005-0000-0000-00006B7A0000}"/>
    <cellStyle name="Note 5 2 5 2 4" xfId="31340" xr:uid="{00000000-0005-0000-0000-00006C7A0000}"/>
    <cellStyle name="Note 5 2 5 2 5" xfId="31341" xr:uid="{00000000-0005-0000-0000-00006D7A0000}"/>
    <cellStyle name="Note 5 2 6" xfId="31342" xr:uid="{00000000-0005-0000-0000-00006E7A0000}"/>
    <cellStyle name="Note 5 2 6 2" xfId="31343" xr:uid="{00000000-0005-0000-0000-00006F7A0000}"/>
    <cellStyle name="Note 5 2 6 2 2" xfId="31344" xr:uid="{00000000-0005-0000-0000-0000707A0000}"/>
    <cellStyle name="Note 5 2 6 2 2 2" xfId="31345" xr:uid="{00000000-0005-0000-0000-0000717A0000}"/>
    <cellStyle name="Note 5 2 6 2 2 2 2" xfId="31346" xr:uid="{00000000-0005-0000-0000-0000727A0000}"/>
    <cellStyle name="Note 5 2 6 2 2 2 3" xfId="31347" xr:uid="{00000000-0005-0000-0000-0000737A0000}"/>
    <cellStyle name="Note 5 2 6 2 2 3" xfId="31348" xr:uid="{00000000-0005-0000-0000-0000747A0000}"/>
    <cellStyle name="Note 5 2 6 2 2 4" xfId="31349" xr:uid="{00000000-0005-0000-0000-0000757A0000}"/>
    <cellStyle name="Note 5 2 6 2 3" xfId="31350" xr:uid="{00000000-0005-0000-0000-0000767A0000}"/>
    <cellStyle name="Note 5 2 6 2 3 2" xfId="31351" xr:uid="{00000000-0005-0000-0000-0000777A0000}"/>
    <cellStyle name="Note 5 2 6 2 3 3" xfId="31352" xr:uid="{00000000-0005-0000-0000-0000787A0000}"/>
    <cellStyle name="Note 5 2 6 2 4" xfId="31353" xr:uid="{00000000-0005-0000-0000-0000797A0000}"/>
    <cellStyle name="Note 5 2 6 2 5" xfId="31354" xr:uid="{00000000-0005-0000-0000-00007A7A0000}"/>
    <cellStyle name="Note 5 2 7" xfId="31355" xr:uid="{00000000-0005-0000-0000-00007B7A0000}"/>
    <cellStyle name="Note 5 2 7 2" xfId="31356" xr:uid="{00000000-0005-0000-0000-00007C7A0000}"/>
    <cellStyle name="Note 5 2 7 2 2" xfId="31357" xr:uid="{00000000-0005-0000-0000-00007D7A0000}"/>
    <cellStyle name="Note 5 2 7 2 2 2" xfId="31358" xr:uid="{00000000-0005-0000-0000-00007E7A0000}"/>
    <cellStyle name="Note 5 2 7 2 2 2 2" xfId="31359" xr:uid="{00000000-0005-0000-0000-00007F7A0000}"/>
    <cellStyle name="Note 5 2 7 2 2 2 3" xfId="31360" xr:uid="{00000000-0005-0000-0000-0000807A0000}"/>
    <cellStyle name="Note 5 2 7 2 2 3" xfId="31361" xr:uid="{00000000-0005-0000-0000-0000817A0000}"/>
    <cellStyle name="Note 5 2 7 2 2 4" xfId="31362" xr:uid="{00000000-0005-0000-0000-0000827A0000}"/>
    <cellStyle name="Note 5 2 7 2 3" xfId="31363" xr:uid="{00000000-0005-0000-0000-0000837A0000}"/>
    <cellStyle name="Note 5 2 7 2 3 2" xfId="31364" xr:uid="{00000000-0005-0000-0000-0000847A0000}"/>
    <cellStyle name="Note 5 2 7 2 3 3" xfId="31365" xr:uid="{00000000-0005-0000-0000-0000857A0000}"/>
    <cellStyle name="Note 5 2 7 2 4" xfId="31366" xr:uid="{00000000-0005-0000-0000-0000867A0000}"/>
    <cellStyle name="Note 5 2 7 2 5" xfId="31367" xr:uid="{00000000-0005-0000-0000-0000877A0000}"/>
    <cellStyle name="Note 5 2 8" xfId="31368" xr:uid="{00000000-0005-0000-0000-0000887A0000}"/>
    <cellStyle name="Note 5 2 8 2" xfId="31369" xr:uid="{00000000-0005-0000-0000-0000897A0000}"/>
    <cellStyle name="Note 5 2 8 2 2" xfId="31370" xr:uid="{00000000-0005-0000-0000-00008A7A0000}"/>
    <cellStyle name="Note 5 2 8 2 2 2" xfId="31371" xr:uid="{00000000-0005-0000-0000-00008B7A0000}"/>
    <cellStyle name="Note 5 2 8 2 2 2 2" xfId="31372" xr:uid="{00000000-0005-0000-0000-00008C7A0000}"/>
    <cellStyle name="Note 5 2 8 2 2 2 3" xfId="31373" xr:uid="{00000000-0005-0000-0000-00008D7A0000}"/>
    <cellStyle name="Note 5 2 8 2 2 3" xfId="31374" xr:uid="{00000000-0005-0000-0000-00008E7A0000}"/>
    <cellStyle name="Note 5 2 8 2 2 4" xfId="31375" xr:uid="{00000000-0005-0000-0000-00008F7A0000}"/>
    <cellStyle name="Note 5 2 8 2 3" xfId="31376" xr:uid="{00000000-0005-0000-0000-0000907A0000}"/>
    <cellStyle name="Note 5 2 8 2 3 2" xfId="31377" xr:uid="{00000000-0005-0000-0000-0000917A0000}"/>
    <cellStyle name="Note 5 2 8 2 3 3" xfId="31378" xr:uid="{00000000-0005-0000-0000-0000927A0000}"/>
    <cellStyle name="Note 5 2 8 2 4" xfId="31379" xr:uid="{00000000-0005-0000-0000-0000937A0000}"/>
    <cellStyle name="Note 5 2 8 2 5" xfId="31380" xr:uid="{00000000-0005-0000-0000-0000947A0000}"/>
    <cellStyle name="Note 5 2 9" xfId="31381" xr:uid="{00000000-0005-0000-0000-0000957A0000}"/>
    <cellStyle name="Note 5 2 9 2" xfId="31382" xr:uid="{00000000-0005-0000-0000-0000967A0000}"/>
    <cellStyle name="Note 5 2 9 2 2" xfId="31383" xr:uid="{00000000-0005-0000-0000-0000977A0000}"/>
    <cellStyle name="Note 5 2 9 2 2 2" xfId="31384" xr:uid="{00000000-0005-0000-0000-0000987A0000}"/>
    <cellStyle name="Note 5 2 9 2 2 3" xfId="31385" xr:uid="{00000000-0005-0000-0000-0000997A0000}"/>
    <cellStyle name="Note 5 2 9 2 3" xfId="31386" xr:uid="{00000000-0005-0000-0000-00009A7A0000}"/>
    <cellStyle name="Note 5 2 9 2 4" xfId="31387" xr:uid="{00000000-0005-0000-0000-00009B7A0000}"/>
    <cellStyle name="Note 5 2 9 3" xfId="31388" xr:uid="{00000000-0005-0000-0000-00009C7A0000}"/>
    <cellStyle name="Note 5 2 9 3 2" xfId="31389" xr:uid="{00000000-0005-0000-0000-00009D7A0000}"/>
    <cellStyle name="Note 5 2 9 3 3" xfId="31390" xr:uid="{00000000-0005-0000-0000-00009E7A0000}"/>
    <cellStyle name="Note 5 2 9 4" xfId="31391" xr:uid="{00000000-0005-0000-0000-00009F7A0000}"/>
    <cellStyle name="Note 5 2 9 5" xfId="31392" xr:uid="{00000000-0005-0000-0000-0000A07A0000}"/>
    <cellStyle name="Note 5 2_provisions q3" xfId="31393" xr:uid="{00000000-0005-0000-0000-0000A17A0000}"/>
    <cellStyle name="Note 5 3" xfId="31394" xr:uid="{00000000-0005-0000-0000-0000A27A0000}"/>
    <cellStyle name="Note 5 3 2" xfId="31395" xr:uid="{00000000-0005-0000-0000-0000A37A0000}"/>
    <cellStyle name="Note 5 3 2 2" xfId="31396" xr:uid="{00000000-0005-0000-0000-0000A47A0000}"/>
    <cellStyle name="Note 5 3 2 2 2" xfId="31397" xr:uid="{00000000-0005-0000-0000-0000A57A0000}"/>
    <cellStyle name="Note 5 3 2 2 2 2" xfId="31398" xr:uid="{00000000-0005-0000-0000-0000A67A0000}"/>
    <cellStyle name="Note 5 3 2 2 2 2 2" xfId="31399" xr:uid="{00000000-0005-0000-0000-0000A77A0000}"/>
    <cellStyle name="Note 5 3 2 2 2 2 2 2" xfId="31400" xr:uid="{00000000-0005-0000-0000-0000A87A0000}"/>
    <cellStyle name="Note 5 3 2 2 2 2 2 3" xfId="31401" xr:uid="{00000000-0005-0000-0000-0000A97A0000}"/>
    <cellStyle name="Note 5 3 2 2 2 2 3" xfId="31402" xr:uid="{00000000-0005-0000-0000-0000AA7A0000}"/>
    <cellStyle name="Note 5 3 2 2 2 2 4" xfId="31403" xr:uid="{00000000-0005-0000-0000-0000AB7A0000}"/>
    <cellStyle name="Note 5 3 2 2 2 3" xfId="31404" xr:uid="{00000000-0005-0000-0000-0000AC7A0000}"/>
    <cellStyle name="Note 5 3 2 2 2 3 2" xfId="31405" xr:uid="{00000000-0005-0000-0000-0000AD7A0000}"/>
    <cellStyle name="Note 5 3 2 2 2 3 3" xfId="31406" xr:uid="{00000000-0005-0000-0000-0000AE7A0000}"/>
    <cellStyle name="Note 5 3 2 2 2 4" xfId="31407" xr:uid="{00000000-0005-0000-0000-0000AF7A0000}"/>
    <cellStyle name="Note 5 3 2 2 2 5" xfId="31408" xr:uid="{00000000-0005-0000-0000-0000B07A0000}"/>
    <cellStyle name="Note 5 3 2 3" xfId="31409" xr:uid="{00000000-0005-0000-0000-0000B17A0000}"/>
    <cellStyle name="Note 5 3 2 3 2" xfId="31410" xr:uid="{00000000-0005-0000-0000-0000B27A0000}"/>
    <cellStyle name="Note 5 3 2 3 2 2" xfId="31411" xr:uid="{00000000-0005-0000-0000-0000B37A0000}"/>
    <cellStyle name="Note 5 3 2 3 2 2 2" xfId="31412" xr:uid="{00000000-0005-0000-0000-0000B47A0000}"/>
    <cellStyle name="Note 5 3 2 3 2 2 3" xfId="31413" xr:uid="{00000000-0005-0000-0000-0000B57A0000}"/>
    <cellStyle name="Note 5 3 2 3 2 3" xfId="31414" xr:uid="{00000000-0005-0000-0000-0000B67A0000}"/>
    <cellStyle name="Note 5 3 2 3 2 4" xfId="31415" xr:uid="{00000000-0005-0000-0000-0000B77A0000}"/>
    <cellStyle name="Note 5 3 2 3 3" xfId="31416" xr:uid="{00000000-0005-0000-0000-0000B87A0000}"/>
    <cellStyle name="Note 5 3 2 3 3 2" xfId="31417" xr:uid="{00000000-0005-0000-0000-0000B97A0000}"/>
    <cellStyle name="Note 5 3 2 3 3 3" xfId="31418" xr:uid="{00000000-0005-0000-0000-0000BA7A0000}"/>
    <cellStyle name="Note 5 3 2 3 4" xfId="31419" xr:uid="{00000000-0005-0000-0000-0000BB7A0000}"/>
    <cellStyle name="Note 5 3 2 3 5" xfId="31420" xr:uid="{00000000-0005-0000-0000-0000BC7A0000}"/>
    <cellStyle name="Note 5 3 3" xfId="31421" xr:uid="{00000000-0005-0000-0000-0000BD7A0000}"/>
    <cellStyle name="Note 5 3 3 2" xfId="31422" xr:uid="{00000000-0005-0000-0000-0000BE7A0000}"/>
    <cellStyle name="Note 5 3 3 2 2" xfId="31423" xr:uid="{00000000-0005-0000-0000-0000BF7A0000}"/>
    <cellStyle name="Note 5 3 3 2 2 2" xfId="31424" xr:uid="{00000000-0005-0000-0000-0000C07A0000}"/>
    <cellStyle name="Note 5 3 3 2 2 2 2" xfId="31425" xr:uid="{00000000-0005-0000-0000-0000C17A0000}"/>
    <cellStyle name="Note 5 3 3 2 2 2 2 2" xfId="31426" xr:uid="{00000000-0005-0000-0000-0000C27A0000}"/>
    <cellStyle name="Note 5 3 3 2 2 2 2 3" xfId="31427" xr:uid="{00000000-0005-0000-0000-0000C37A0000}"/>
    <cellStyle name="Note 5 3 3 2 2 2 3" xfId="31428" xr:uid="{00000000-0005-0000-0000-0000C47A0000}"/>
    <cellStyle name="Note 5 3 3 2 2 2 4" xfId="31429" xr:uid="{00000000-0005-0000-0000-0000C57A0000}"/>
    <cellStyle name="Note 5 3 3 2 2 3" xfId="31430" xr:uid="{00000000-0005-0000-0000-0000C67A0000}"/>
    <cellStyle name="Note 5 3 3 2 2 3 2" xfId="31431" xr:uid="{00000000-0005-0000-0000-0000C77A0000}"/>
    <cellStyle name="Note 5 3 3 2 2 3 3" xfId="31432" xr:uid="{00000000-0005-0000-0000-0000C87A0000}"/>
    <cellStyle name="Note 5 3 3 2 2 4" xfId="31433" xr:uid="{00000000-0005-0000-0000-0000C97A0000}"/>
    <cellStyle name="Note 5 3 3 2 2 5" xfId="31434" xr:uid="{00000000-0005-0000-0000-0000CA7A0000}"/>
    <cellStyle name="Note 5 3 3 3" xfId="31435" xr:uid="{00000000-0005-0000-0000-0000CB7A0000}"/>
    <cellStyle name="Note 5 3 3 3 2" xfId="31436" xr:uid="{00000000-0005-0000-0000-0000CC7A0000}"/>
    <cellStyle name="Note 5 3 3 3 2 2" xfId="31437" xr:uid="{00000000-0005-0000-0000-0000CD7A0000}"/>
    <cellStyle name="Note 5 3 3 3 2 2 2" xfId="31438" xr:uid="{00000000-0005-0000-0000-0000CE7A0000}"/>
    <cellStyle name="Note 5 3 3 3 2 2 3" xfId="31439" xr:uid="{00000000-0005-0000-0000-0000CF7A0000}"/>
    <cellStyle name="Note 5 3 3 3 2 3" xfId="31440" xr:uid="{00000000-0005-0000-0000-0000D07A0000}"/>
    <cellStyle name="Note 5 3 3 3 2 4" xfId="31441" xr:uid="{00000000-0005-0000-0000-0000D17A0000}"/>
    <cellStyle name="Note 5 3 3 3 3" xfId="31442" xr:uid="{00000000-0005-0000-0000-0000D27A0000}"/>
    <cellStyle name="Note 5 3 3 3 3 2" xfId="31443" xr:uid="{00000000-0005-0000-0000-0000D37A0000}"/>
    <cellStyle name="Note 5 3 3 3 3 3" xfId="31444" xr:uid="{00000000-0005-0000-0000-0000D47A0000}"/>
    <cellStyle name="Note 5 3 3 3 4" xfId="31445" xr:uid="{00000000-0005-0000-0000-0000D57A0000}"/>
    <cellStyle name="Note 5 3 3 3 5" xfId="31446" xr:uid="{00000000-0005-0000-0000-0000D67A0000}"/>
    <cellStyle name="Note 5 3 4" xfId="31447" xr:uid="{00000000-0005-0000-0000-0000D77A0000}"/>
    <cellStyle name="Note 5 3 4 2" xfId="31448" xr:uid="{00000000-0005-0000-0000-0000D87A0000}"/>
    <cellStyle name="Note 5 3 4 2 2" xfId="31449" xr:uid="{00000000-0005-0000-0000-0000D97A0000}"/>
    <cellStyle name="Note 5 3 4 2 2 2" xfId="31450" xr:uid="{00000000-0005-0000-0000-0000DA7A0000}"/>
    <cellStyle name="Note 5 3 4 2 2 2 2" xfId="31451" xr:uid="{00000000-0005-0000-0000-0000DB7A0000}"/>
    <cellStyle name="Note 5 3 4 2 2 2 2 2" xfId="31452" xr:uid="{00000000-0005-0000-0000-0000DC7A0000}"/>
    <cellStyle name="Note 5 3 4 2 2 2 2 3" xfId="31453" xr:uid="{00000000-0005-0000-0000-0000DD7A0000}"/>
    <cellStyle name="Note 5 3 4 2 2 2 3" xfId="31454" xr:uid="{00000000-0005-0000-0000-0000DE7A0000}"/>
    <cellStyle name="Note 5 3 4 2 2 2 4" xfId="31455" xr:uid="{00000000-0005-0000-0000-0000DF7A0000}"/>
    <cellStyle name="Note 5 3 4 2 2 3" xfId="31456" xr:uid="{00000000-0005-0000-0000-0000E07A0000}"/>
    <cellStyle name="Note 5 3 4 2 2 3 2" xfId="31457" xr:uid="{00000000-0005-0000-0000-0000E17A0000}"/>
    <cellStyle name="Note 5 3 4 2 2 3 3" xfId="31458" xr:uid="{00000000-0005-0000-0000-0000E27A0000}"/>
    <cellStyle name="Note 5 3 4 2 2 4" xfId="31459" xr:uid="{00000000-0005-0000-0000-0000E37A0000}"/>
    <cellStyle name="Note 5 3 4 2 2 5" xfId="31460" xr:uid="{00000000-0005-0000-0000-0000E47A0000}"/>
    <cellStyle name="Note 5 3 4 3" xfId="31461" xr:uid="{00000000-0005-0000-0000-0000E57A0000}"/>
    <cellStyle name="Note 5 3 4 3 2" xfId="31462" xr:uid="{00000000-0005-0000-0000-0000E67A0000}"/>
    <cellStyle name="Note 5 3 4 3 2 2" xfId="31463" xr:uid="{00000000-0005-0000-0000-0000E77A0000}"/>
    <cellStyle name="Note 5 3 4 3 2 2 2" xfId="31464" xr:uid="{00000000-0005-0000-0000-0000E87A0000}"/>
    <cellStyle name="Note 5 3 4 3 2 2 3" xfId="31465" xr:uid="{00000000-0005-0000-0000-0000E97A0000}"/>
    <cellStyle name="Note 5 3 4 3 2 3" xfId="31466" xr:uid="{00000000-0005-0000-0000-0000EA7A0000}"/>
    <cellStyle name="Note 5 3 4 3 2 4" xfId="31467" xr:uid="{00000000-0005-0000-0000-0000EB7A0000}"/>
    <cellStyle name="Note 5 3 4 3 3" xfId="31468" xr:uid="{00000000-0005-0000-0000-0000EC7A0000}"/>
    <cellStyle name="Note 5 3 4 3 3 2" xfId="31469" xr:uid="{00000000-0005-0000-0000-0000ED7A0000}"/>
    <cellStyle name="Note 5 3 4 3 3 3" xfId="31470" xr:uid="{00000000-0005-0000-0000-0000EE7A0000}"/>
    <cellStyle name="Note 5 3 4 3 4" xfId="31471" xr:uid="{00000000-0005-0000-0000-0000EF7A0000}"/>
    <cellStyle name="Note 5 3 4 3 5" xfId="31472" xr:uid="{00000000-0005-0000-0000-0000F07A0000}"/>
    <cellStyle name="Note 5 3 5" xfId="31473" xr:uid="{00000000-0005-0000-0000-0000F17A0000}"/>
    <cellStyle name="Note 5 3 5 2" xfId="31474" xr:uid="{00000000-0005-0000-0000-0000F27A0000}"/>
    <cellStyle name="Note 5 3 5 2 2" xfId="31475" xr:uid="{00000000-0005-0000-0000-0000F37A0000}"/>
    <cellStyle name="Note 5 3 5 2 2 2" xfId="31476" xr:uid="{00000000-0005-0000-0000-0000F47A0000}"/>
    <cellStyle name="Note 5 3 5 2 2 2 2" xfId="31477" xr:uid="{00000000-0005-0000-0000-0000F57A0000}"/>
    <cellStyle name="Note 5 3 5 2 2 2 3" xfId="31478" xr:uid="{00000000-0005-0000-0000-0000F67A0000}"/>
    <cellStyle name="Note 5 3 5 2 2 3" xfId="31479" xr:uid="{00000000-0005-0000-0000-0000F77A0000}"/>
    <cellStyle name="Note 5 3 5 2 2 4" xfId="31480" xr:uid="{00000000-0005-0000-0000-0000F87A0000}"/>
    <cellStyle name="Note 5 3 5 2 3" xfId="31481" xr:uid="{00000000-0005-0000-0000-0000F97A0000}"/>
    <cellStyle name="Note 5 3 5 2 3 2" xfId="31482" xr:uid="{00000000-0005-0000-0000-0000FA7A0000}"/>
    <cellStyle name="Note 5 3 5 2 3 3" xfId="31483" xr:uid="{00000000-0005-0000-0000-0000FB7A0000}"/>
    <cellStyle name="Note 5 3 5 2 4" xfId="31484" xr:uid="{00000000-0005-0000-0000-0000FC7A0000}"/>
    <cellStyle name="Note 5 3 5 2 5" xfId="31485" xr:uid="{00000000-0005-0000-0000-0000FD7A0000}"/>
    <cellStyle name="Note 5 3 6" xfId="31486" xr:uid="{00000000-0005-0000-0000-0000FE7A0000}"/>
    <cellStyle name="Note 5 3 6 2" xfId="31487" xr:uid="{00000000-0005-0000-0000-0000FF7A0000}"/>
    <cellStyle name="Note 5 3 6 2 2" xfId="31488" xr:uid="{00000000-0005-0000-0000-0000007B0000}"/>
    <cellStyle name="Note 5 3 6 2 2 2" xfId="31489" xr:uid="{00000000-0005-0000-0000-0000017B0000}"/>
    <cellStyle name="Note 5 3 6 2 2 2 2" xfId="31490" xr:uid="{00000000-0005-0000-0000-0000027B0000}"/>
    <cellStyle name="Note 5 3 6 2 2 2 3" xfId="31491" xr:uid="{00000000-0005-0000-0000-0000037B0000}"/>
    <cellStyle name="Note 5 3 6 2 2 3" xfId="31492" xr:uid="{00000000-0005-0000-0000-0000047B0000}"/>
    <cellStyle name="Note 5 3 6 2 2 4" xfId="31493" xr:uid="{00000000-0005-0000-0000-0000057B0000}"/>
    <cellStyle name="Note 5 3 6 2 3" xfId="31494" xr:uid="{00000000-0005-0000-0000-0000067B0000}"/>
    <cellStyle name="Note 5 3 6 2 3 2" xfId="31495" xr:uid="{00000000-0005-0000-0000-0000077B0000}"/>
    <cellStyle name="Note 5 3 6 2 3 3" xfId="31496" xr:uid="{00000000-0005-0000-0000-0000087B0000}"/>
    <cellStyle name="Note 5 3 6 2 4" xfId="31497" xr:uid="{00000000-0005-0000-0000-0000097B0000}"/>
    <cellStyle name="Note 5 3 6 2 5" xfId="31498" xr:uid="{00000000-0005-0000-0000-00000A7B0000}"/>
    <cellStyle name="Note 5 3 7" xfId="31499" xr:uid="{00000000-0005-0000-0000-00000B7B0000}"/>
    <cellStyle name="Note 5 3 7 2" xfId="31500" xr:uid="{00000000-0005-0000-0000-00000C7B0000}"/>
    <cellStyle name="Note 5 3 7 2 2" xfId="31501" xr:uid="{00000000-0005-0000-0000-00000D7B0000}"/>
    <cellStyle name="Note 5 3 7 2 2 2" xfId="31502" xr:uid="{00000000-0005-0000-0000-00000E7B0000}"/>
    <cellStyle name="Note 5 3 7 2 2 2 2" xfId="31503" xr:uid="{00000000-0005-0000-0000-00000F7B0000}"/>
    <cellStyle name="Note 5 3 7 2 2 2 3" xfId="31504" xr:uid="{00000000-0005-0000-0000-0000107B0000}"/>
    <cellStyle name="Note 5 3 7 2 2 3" xfId="31505" xr:uid="{00000000-0005-0000-0000-0000117B0000}"/>
    <cellStyle name="Note 5 3 7 2 2 4" xfId="31506" xr:uid="{00000000-0005-0000-0000-0000127B0000}"/>
    <cellStyle name="Note 5 3 7 2 3" xfId="31507" xr:uid="{00000000-0005-0000-0000-0000137B0000}"/>
    <cellStyle name="Note 5 3 7 2 3 2" xfId="31508" xr:uid="{00000000-0005-0000-0000-0000147B0000}"/>
    <cellStyle name="Note 5 3 7 2 3 3" xfId="31509" xr:uid="{00000000-0005-0000-0000-0000157B0000}"/>
    <cellStyle name="Note 5 3 7 2 4" xfId="31510" xr:uid="{00000000-0005-0000-0000-0000167B0000}"/>
    <cellStyle name="Note 5 3 7 2 5" xfId="31511" xr:uid="{00000000-0005-0000-0000-0000177B0000}"/>
    <cellStyle name="Note 5 3 8" xfId="31512" xr:uid="{00000000-0005-0000-0000-0000187B0000}"/>
    <cellStyle name="Note 5 3 8 2" xfId="31513" xr:uid="{00000000-0005-0000-0000-0000197B0000}"/>
    <cellStyle name="Note 5 3 8 2 2" xfId="31514" xr:uid="{00000000-0005-0000-0000-00001A7B0000}"/>
    <cellStyle name="Note 5 3 8 2 2 2" xfId="31515" xr:uid="{00000000-0005-0000-0000-00001B7B0000}"/>
    <cellStyle name="Note 5 3 8 2 2 2 2" xfId="31516" xr:uid="{00000000-0005-0000-0000-00001C7B0000}"/>
    <cellStyle name="Note 5 3 8 2 2 2 3" xfId="31517" xr:uid="{00000000-0005-0000-0000-00001D7B0000}"/>
    <cellStyle name="Note 5 3 8 2 2 3" xfId="31518" xr:uid="{00000000-0005-0000-0000-00001E7B0000}"/>
    <cellStyle name="Note 5 3 8 2 2 4" xfId="31519" xr:uid="{00000000-0005-0000-0000-00001F7B0000}"/>
    <cellStyle name="Note 5 3 8 2 3" xfId="31520" xr:uid="{00000000-0005-0000-0000-0000207B0000}"/>
    <cellStyle name="Note 5 3 8 2 3 2" xfId="31521" xr:uid="{00000000-0005-0000-0000-0000217B0000}"/>
    <cellStyle name="Note 5 3 8 2 3 3" xfId="31522" xr:uid="{00000000-0005-0000-0000-0000227B0000}"/>
    <cellStyle name="Note 5 3 8 2 4" xfId="31523" xr:uid="{00000000-0005-0000-0000-0000237B0000}"/>
    <cellStyle name="Note 5 3 8 2 5" xfId="31524" xr:uid="{00000000-0005-0000-0000-0000247B0000}"/>
    <cellStyle name="Note 5 3 9" xfId="31525" xr:uid="{00000000-0005-0000-0000-0000257B0000}"/>
    <cellStyle name="Note 5 3 9 2" xfId="31526" xr:uid="{00000000-0005-0000-0000-0000267B0000}"/>
    <cellStyle name="Note 5 3 9 2 2" xfId="31527" xr:uid="{00000000-0005-0000-0000-0000277B0000}"/>
    <cellStyle name="Note 5 3 9 2 2 2" xfId="31528" xr:uid="{00000000-0005-0000-0000-0000287B0000}"/>
    <cellStyle name="Note 5 3 9 2 2 3" xfId="31529" xr:uid="{00000000-0005-0000-0000-0000297B0000}"/>
    <cellStyle name="Note 5 3 9 2 3" xfId="31530" xr:uid="{00000000-0005-0000-0000-00002A7B0000}"/>
    <cellStyle name="Note 5 3 9 2 4" xfId="31531" xr:uid="{00000000-0005-0000-0000-00002B7B0000}"/>
    <cellStyle name="Note 5 3 9 3" xfId="31532" xr:uid="{00000000-0005-0000-0000-00002C7B0000}"/>
    <cellStyle name="Note 5 3 9 3 2" xfId="31533" xr:uid="{00000000-0005-0000-0000-00002D7B0000}"/>
    <cellStyle name="Note 5 3 9 3 3" xfId="31534" xr:uid="{00000000-0005-0000-0000-00002E7B0000}"/>
    <cellStyle name="Note 5 3 9 4" xfId="31535" xr:uid="{00000000-0005-0000-0000-00002F7B0000}"/>
    <cellStyle name="Note 5 3 9 5" xfId="31536" xr:uid="{00000000-0005-0000-0000-0000307B0000}"/>
    <cellStyle name="Note 5 3_provisions q3" xfId="31537" xr:uid="{00000000-0005-0000-0000-0000317B0000}"/>
    <cellStyle name="Note 5 4" xfId="31538" xr:uid="{00000000-0005-0000-0000-0000327B0000}"/>
    <cellStyle name="Note 5 4 2" xfId="31539" xr:uid="{00000000-0005-0000-0000-0000337B0000}"/>
    <cellStyle name="Note 5 4 2 2" xfId="31540" xr:uid="{00000000-0005-0000-0000-0000347B0000}"/>
    <cellStyle name="Note 5 4 2 2 2" xfId="31541" xr:uid="{00000000-0005-0000-0000-0000357B0000}"/>
    <cellStyle name="Note 5 4 2 2 2 2" xfId="31542" xr:uid="{00000000-0005-0000-0000-0000367B0000}"/>
    <cellStyle name="Note 5 4 2 2 2 2 2" xfId="31543" xr:uid="{00000000-0005-0000-0000-0000377B0000}"/>
    <cellStyle name="Note 5 4 2 2 2 2 2 2" xfId="31544" xr:uid="{00000000-0005-0000-0000-0000387B0000}"/>
    <cellStyle name="Note 5 4 2 2 2 2 2 3" xfId="31545" xr:uid="{00000000-0005-0000-0000-0000397B0000}"/>
    <cellStyle name="Note 5 4 2 2 2 2 3" xfId="31546" xr:uid="{00000000-0005-0000-0000-00003A7B0000}"/>
    <cellStyle name="Note 5 4 2 2 2 2 4" xfId="31547" xr:uid="{00000000-0005-0000-0000-00003B7B0000}"/>
    <cellStyle name="Note 5 4 2 2 2 3" xfId="31548" xr:uid="{00000000-0005-0000-0000-00003C7B0000}"/>
    <cellStyle name="Note 5 4 2 2 2 3 2" xfId="31549" xr:uid="{00000000-0005-0000-0000-00003D7B0000}"/>
    <cellStyle name="Note 5 4 2 2 2 3 3" xfId="31550" xr:uid="{00000000-0005-0000-0000-00003E7B0000}"/>
    <cellStyle name="Note 5 4 2 2 2 4" xfId="31551" xr:uid="{00000000-0005-0000-0000-00003F7B0000}"/>
    <cellStyle name="Note 5 4 2 2 2 5" xfId="31552" xr:uid="{00000000-0005-0000-0000-0000407B0000}"/>
    <cellStyle name="Note 5 4 2 3" xfId="31553" xr:uid="{00000000-0005-0000-0000-0000417B0000}"/>
    <cellStyle name="Note 5 4 2 3 2" xfId="31554" xr:uid="{00000000-0005-0000-0000-0000427B0000}"/>
    <cellStyle name="Note 5 4 2 3 2 2" xfId="31555" xr:uid="{00000000-0005-0000-0000-0000437B0000}"/>
    <cellStyle name="Note 5 4 2 3 2 2 2" xfId="31556" xr:uid="{00000000-0005-0000-0000-0000447B0000}"/>
    <cellStyle name="Note 5 4 2 3 2 2 3" xfId="31557" xr:uid="{00000000-0005-0000-0000-0000457B0000}"/>
    <cellStyle name="Note 5 4 2 3 2 3" xfId="31558" xr:uid="{00000000-0005-0000-0000-0000467B0000}"/>
    <cellStyle name="Note 5 4 2 3 2 4" xfId="31559" xr:uid="{00000000-0005-0000-0000-0000477B0000}"/>
    <cellStyle name="Note 5 4 2 3 3" xfId="31560" xr:uid="{00000000-0005-0000-0000-0000487B0000}"/>
    <cellStyle name="Note 5 4 2 3 3 2" xfId="31561" xr:uid="{00000000-0005-0000-0000-0000497B0000}"/>
    <cellStyle name="Note 5 4 2 3 3 3" xfId="31562" xr:uid="{00000000-0005-0000-0000-00004A7B0000}"/>
    <cellStyle name="Note 5 4 2 3 4" xfId="31563" xr:uid="{00000000-0005-0000-0000-00004B7B0000}"/>
    <cellStyle name="Note 5 4 2 3 5" xfId="31564" xr:uid="{00000000-0005-0000-0000-00004C7B0000}"/>
    <cellStyle name="Note 5 4 3" xfId="31565" xr:uid="{00000000-0005-0000-0000-00004D7B0000}"/>
    <cellStyle name="Note 5 4 3 2" xfId="31566" xr:uid="{00000000-0005-0000-0000-00004E7B0000}"/>
    <cellStyle name="Note 5 4 3 2 2" xfId="31567" xr:uid="{00000000-0005-0000-0000-00004F7B0000}"/>
    <cellStyle name="Note 5 4 3 2 2 2" xfId="31568" xr:uid="{00000000-0005-0000-0000-0000507B0000}"/>
    <cellStyle name="Note 5 4 3 2 2 2 2" xfId="31569" xr:uid="{00000000-0005-0000-0000-0000517B0000}"/>
    <cellStyle name="Note 5 4 3 2 2 2 2 2" xfId="31570" xr:uid="{00000000-0005-0000-0000-0000527B0000}"/>
    <cellStyle name="Note 5 4 3 2 2 2 2 3" xfId="31571" xr:uid="{00000000-0005-0000-0000-0000537B0000}"/>
    <cellStyle name="Note 5 4 3 2 2 2 3" xfId="31572" xr:uid="{00000000-0005-0000-0000-0000547B0000}"/>
    <cellStyle name="Note 5 4 3 2 2 2 4" xfId="31573" xr:uid="{00000000-0005-0000-0000-0000557B0000}"/>
    <cellStyle name="Note 5 4 3 2 2 3" xfId="31574" xr:uid="{00000000-0005-0000-0000-0000567B0000}"/>
    <cellStyle name="Note 5 4 3 2 2 3 2" xfId="31575" xr:uid="{00000000-0005-0000-0000-0000577B0000}"/>
    <cellStyle name="Note 5 4 3 2 2 3 3" xfId="31576" xr:uid="{00000000-0005-0000-0000-0000587B0000}"/>
    <cellStyle name="Note 5 4 3 2 2 4" xfId="31577" xr:uid="{00000000-0005-0000-0000-0000597B0000}"/>
    <cellStyle name="Note 5 4 3 2 2 5" xfId="31578" xr:uid="{00000000-0005-0000-0000-00005A7B0000}"/>
    <cellStyle name="Note 5 4 3 3" xfId="31579" xr:uid="{00000000-0005-0000-0000-00005B7B0000}"/>
    <cellStyle name="Note 5 4 3 3 2" xfId="31580" xr:uid="{00000000-0005-0000-0000-00005C7B0000}"/>
    <cellStyle name="Note 5 4 3 3 2 2" xfId="31581" xr:uid="{00000000-0005-0000-0000-00005D7B0000}"/>
    <cellStyle name="Note 5 4 3 3 2 2 2" xfId="31582" xr:uid="{00000000-0005-0000-0000-00005E7B0000}"/>
    <cellStyle name="Note 5 4 3 3 2 2 3" xfId="31583" xr:uid="{00000000-0005-0000-0000-00005F7B0000}"/>
    <cellStyle name="Note 5 4 3 3 2 3" xfId="31584" xr:uid="{00000000-0005-0000-0000-0000607B0000}"/>
    <cellStyle name="Note 5 4 3 3 2 4" xfId="31585" xr:uid="{00000000-0005-0000-0000-0000617B0000}"/>
    <cellStyle name="Note 5 4 3 3 3" xfId="31586" xr:uid="{00000000-0005-0000-0000-0000627B0000}"/>
    <cellStyle name="Note 5 4 3 3 3 2" xfId="31587" xr:uid="{00000000-0005-0000-0000-0000637B0000}"/>
    <cellStyle name="Note 5 4 3 3 3 3" xfId="31588" xr:uid="{00000000-0005-0000-0000-0000647B0000}"/>
    <cellStyle name="Note 5 4 3 3 4" xfId="31589" xr:uid="{00000000-0005-0000-0000-0000657B0000}"/>
    <cellStyle name="Note 5 4 3 3 5" xfId="31590" xr:uid="{00000000-0005-0000-0000-0000667B0000}"/>
    <cellStyle name="Note 5 4 4" xfId="31591" xr:uid="{00000000-0005-0000-0000-0000677B0000}"/>
    <cellStyle name="Note 5 4 4 2" xfId="31592" xr:uid="{00000000-0005-0000-0000-0000687B0000}"/>
    <cellStyle name="Note 5 4 4 2 2" xfId="31593" xr:uid="{00000000-0005-0000-0000-0000697B0000}"/>
    <cellStyle name="Note 5 4 4 2 2 2" xfId="31594" xr:uid="{00000000-0005-0000-0000-00006A7B0000}"/>
    <cellStyle name="Note 5 4 4 2 2 2 2" xfId="31595" xr:uid="{00000000-0005-0000-0000-00006B7B0000}"/>
    <cellStyle name="Note 5 4 4 2 2 2 2 2" xfId="31596" xr:uid="{00000000-0005-0000-0000-00006C7B0000}"/>
    <cellStyle name="Note 5 4 4 2 2 2 2 3" xfId="31597" xr:uid="{00000000-0005-0000-0000-00006D7B0000}"/>
    <cellStyle name="Note 5 4 4 2 2 2 3" xfId="31598" xr:uid="{00000000-0005-0000-0000-00006E7B0000}"/>
    <cellStyle name="Note 5 4 4 2 2 2 4" xfId="31599" xr:uid="{00000000-0005-0000-0000-00006F7B0000}"/>
    <cellStyle name="Note 5 4 4 2 2 3" xfId="31600" xr:uid="{00000000-0005-0000-0000-0000707B0000}"/>
    <cellStyle name="Note 5 4 4 2 2 3 2" xfId="31601" xr:uid="{00000000-0005-0000-0000-0000717B0000}"/>
    <cellStyle name="Note 5 4 4 2 2 3 3" xfId="31602" xr:uid="{00000000-0005-0000-0000-0000727B0000}"/>
    <cellStyle name="Note 5 4 4 2 2 4" xfId="31603" xr:uid="{00000000-0005-0000-0000-0000737B0000}"/>
    <cellStyle name="Note 5 4 4 2 2 5" xfId="31604" xr:uid="{00000000-0005-0000-0000-0000747B0000}"/>
    <cellStyle name="Note 5 4 4 3" xfId="31605" xr:uid="{00000000-0005-0000-0000-0000757B0000}"/>
    <cellStyle name="Note 5 4 4 3 2" xfId="31606" xr:uid="{00000000-0005-0000-0000-0000767B0000}"/>
    <cellStyle name="Note 5 4 4 3 2 2" xfId="31607" xr:uid="{00000000-0005-0000-0000-0000777B0000}"/>
    <cellStyle name="Note 5 4 4 3 2 2 2" xfId="31608" xr:uid="{00000000-0005-0000-0000-0000787B0000}"/>
    <cellStyle name="Note 5 4 4 3 2 2 3" xfId="31609" xr:uid="{00000000-0005-0000-0000-0000797B0000}"/>
    <cellStyle name="Note 5 4 4 3 2 3" xfId="31610" xr:uid="{00000000-0005-0000-0000-00007A7B0000}"/>
    <cellStyle name="Note 5 4 4 3 2 4" xfId="31611" xr:uid="{00000000-0005-0000-0000-00007B7B0000}"/>
    <cellStyle name="Note 5 4 4 3 3" xfId="31612" xr:uid="{00000000-0005-0000-0000-00007C7B0000}"/>
    <cellStyle name="Note 5 4 4 3 3 2" xfId="31613" xr:uid="{00000000-0005-0000-0000-00007D7B0000}"/>
    <cellStyle name="Note 5 4 4 3 3 3" xfId="31614" xr:uid="{00000000-0005-0000-0000-00007E7B0000}"/>
    <cellStyle name="Note 5 4 4 3 4" xfId="31615" xr:uid="{00000000-0005-0000-0000-00007F7B0000}"/>
    <cellStyle name="Note 5 4 4 3 5" xfId="31616" xr:uid="{00000000-0005-0000-0000-0000807B0000}"/>
    <cellStyle name="Note 5 4 5" xfId="31617" xr:uid="{00000000-0005-0000-0000-0000817B0000}"/>
    <cellStyle name="Note 5 4 5 2" xfId="31618" xr:uid="{00000000-0005-0000-0000-0000827B0000}"/>
    <cellStyle name="Note 5 4 5 2 2" xfId="31619" xr:uid="{00000000-0005-0000-0000-0000837B0000}"/>
    <cellStyle name="Note 5 4 5 2 2 2" xfId="31620" xr:uid="{00000000-0005-0000-0000-0000847B0000}"/>
    <cellStyle name="Note 5 4 5 2 2 2 2" xfId="31621" xr:uid="{00000000-0005-0000-0000-0000857B0000}"/>
    <cellStyle name="Note 5 4 5 2 2 2 3" xfId="31622" xr:uid="{00000000-0005-0000-0000-0000867B0000}"/>
    <cellStyle name="Note 5 4 5 2 2 3" xfId="31623" xr:uid="{00000000-0005-0000-0000-0000877B0000}"/>
    <cellStyle name="Note 5 4 5 2 2 4" xfId="31624" xr:uid="{00000000-0005-0000-0000-0000887B0000}"/>
    <cellStyle name="Note 5 4 5 2 3" xfId="31625" xr:uid="{00000000-0005-0000-0000-0000897B0000}"/>
    <cellStyle name="Note 5 4 5 2 3 2" xfId="31626" xr:uid="{00000000-0005-0000-0000-00008A7B0000}"/>
    <cellStyle name="Note 5 4 5 2 3 3" xfId="31627" xr:uid="{00000000-0005-0000-0000-00008B7B0000}"/>
    <cellStyle name="Note 5 4 5 2 4" xfId="31628" xr:uid="{00000000-0005-0000-0000-00008C7B0000}"/>
    <cellStyle name="Note 5 4 5 2 5" xfId="31629" xr:uid="{00000000-0005-0000-0000-00008D7B0000}"/>
    <cellStyle name="Note 5 4 6" xfId="31630" xr:uid="{00000000-0005-0000-0000-00008E7B0000}"/>
    <cellStyle name="Note 5 4 6 2" xfId="31631" xr:uid="{00000000-0005-0000-0000-00008F7B0000}"/>
    <cellStyle name="Note 5 4 6 2 2" xfId="31632" xr:uid="{00000000-0005-0000-0000-0000907B0000}"/>
    <cellStyle name="Note 5 4 6 2 2 2" xfId="31633" xr:uid="{00000000-0005-0000-0000-0000917B0000}"/>
    <cellStyle name="Note 5 4 6 2 2 2 2" xfId="31634" xr:uid="{00000000-0005-0000-0000-0000927B0000}"/>
    <cellStyle name="Note 5 4 6 2 2 2 3" xfId="31635" xr:uid="{00000000-0005-0000-0000-0000937B0000}"/>
    <cellStyle name="Note 5 4 6 2 2 3" xfId="31636" xr:uid="{00000000-0005-0000-0000-0000947B0000}"/>
    <cellStyle name="Note 5 4 6 2 2 4" xfId="31637" xr:uid="{00000000-0005-0000-0000-0000957B0000}"/>
    <cellStyle name="Note 5 4 6 2 3" xfId="31638" xr:uid="{00000000-0005-0000-0000-0000967B0000}"/>
    <cellStyle name="Note 5 4 6 2 3 2" xfId="31639" xr:uid="{00000000-0005-0000-0000-0000977B0000}"/>
    <cellStyle name="Note 5 4 6 2 3 3" xfId="31640" xr:uid="{00000000-0005-0000-0000-0000987B0000}"/>
    <cellStyle name="Note 5 4 6 2 4" xfId="31641" xr:uid="{00000000-0005-0000-0000-0000997B0000}"/>
    <cellStyle name="Note 5 4 6 2 5" xfId="31642" xr:uid="{00000000-0005-0000-0000-00009A7B0000}"/>
    <cellStyle name="Note 5 4 7" xfId="31643" xr:uid="{00000000-0005-0000-0000-00009B7B0000}"/>
    <cellStyle name="Note 5 4 7 2" xfId="31644" xr:uid="{00000000-0005-0000-0000-00009C7B0000}"/>
    <cellStyle name="Note 5 4 7 2 2" xfId="31645" xr:uid="{00000000-0005-0000-0000-00009D7B0000}"/>
    <cellStyle name="Note 5 4 7 2 2 2" xfId="31646" xr:uid="{00000000-0005-0000-0000-00009E7B0000}"/>
    <cellStyle name="Note 5 4 7 2 2 2 2" xfId="31647" xr:uid="{00000000-0005-0000-0000-00009F7B0000}"/>
    <cellStyle name="Note 5 4 7 2 2 2 3" xfId="31648" xr:uid="{00000000-0005-0000-0000-0000A07B0000}"/>
    <cellStyle name="Note 5 4 7 2 2 3" xfId="31649" xr:uid="{00000000-0005-0000-0000-0000A17B0000}"/>
    <cellStyle name="Note 5 4 7 2 2 4" xfId="31650" xr:uid="{00000000-0005-0000-0000-0000A27B0000}"/>
    <cellStyle name="Note 5 4 7 2 3" xfId="31651" xr:uid="{00000000-0005-0000-0000-0000A37B0000}"/>
    <cellStyle name="Note 5 4 7 2 3 2" xfId="31652" xr:uid="{00000000-0005-0000-0000-0000A47B0000}"/>
    <cellStyle name="Note 5 4 7 2 3 3" xfId="31653" xr:uid="{00000000-0005-0000-0000-0000A57B0000}"/>
    <cellStyle name="Note 5 4 7 2 4" xfId="31654" xr:uid="{00000000-0005-0000-0000-0000A67B0000}"/>
    <cellStyle name="Note 5 4 7 2 5" xfId="31655" xr:uid="{00000000-0005-0000-0000-0000A77B0000}"/>
    <cellStyle name="Note 5 4 8" xfId="31656" xr:uid="{00000000-0005-0000-0000-0000A87B0000}"/>
    <cellStyle name="Note 5 4 8 2" xfId="31657" xr:uid="{00000000-0005-0000-0000-0000A97B0000}"/>
    <cellStyle name="Note 5 4 8 2 2" xfId="31658" xr:uid="{00000000-0005-0000-0000-0000AA7B0000}"/>
    <cellStyle name="Note 5 4 8 2 2 2" xfId="31659" xr:uid="{00000000-0005-0000-0000-0000AB7B0000}"/>
    <cellStyle name="Note 5 4 8 2 2 2 2" xfId="31660" xr:uid="{00000000-0005-0000-0000-0000AC7B0000}"/>
    <cellStyle name="Note 5 4 8 2 2 2 3" xfId="31661" xr:uid="{00000000-0005-0000-0000-0000AD7B0000}"/>
    <cellStyle name="Note 5 4 8 2 2 3" xfId="31662" xr:uid="{00000000-0005-0000-0000-0000AE7B0000}"/>
    <cellStyle name="Note 5 4 8 2 2 4" xfId="31663" xr:uid="{00000000-0005-0000-0000-0000AF7B0000}"/>
    <cellStyle name="Note 5 4 8 2 3" xfId="31664" xr:uid="{00000000-0005-0000-0000-0000B07B0000}"/>
    <cellStyle name="Note 5 4 8 2 3 2" xfId="31665" xr:uid="{00000000-0005-0000-0000-0000B17B0000}"/>
    <cellStyle name="Note 5 4 8 2 3 3" xfId="31666" xr:uid="{00000000-0005-0000-0000-0000B27B0000}"/>
    <cellStyle name="Note 5 4 8 2 4" xfId="31667" xr:uid="{00000000-0005-0000-0000-0000B37B0000}"/>
    <cellStyle name="Note 5 4 8 2 5" xfId="31668" xr:uid="{00000000-0005-0000-0000-0000B47B0000}"/>
    <cellStyle name="Note 5 4 9" xfId="31669" xr:uid="{00000000-0005-0000-0000-0000B57B0000}"/>
    <cellStyle name="Note 5 4 9 2" xfId="31670" xr:uid="{00000000-0005-0000-0000-0000B67B0000}"/>
    <cellStyle name="Note 5 4 9 2 2" xfId="31671" xr:uid="{00000000-0005-0000-0000-0000B77B0000}"/>
    <cellStyle name="Note 5 4 9 2 2 2" xfId="31672" xr:uid="{00000000-0005-0000-0000-0000B87B0000}"/>
    <cellStyle name="Note 5 4 9 2 2 3" xfId="31673" xr:uid="{00000000-0005-0000-0000-0000B97B0000}"/>
    <cellStyle name="Note 5 4 9 2 3" xfId="31674" xr:uid="{00000000-0005-0000-0000-0000BA7B0000}"/>
    <cellStyle name="Note 5 4 9 2 4" xfId="31675" xr:uid="{00000000-0005-0000-0000-0000BB7B0000}"/>
    <cellStyle name="Note 5 4 9 3" xfId="31676" xr:uid="{00000000-0005-0000-0000-0000BC7B0000}"/>
    <cellStyle name="Note 5 4 9 3 2" xfId="31677" xr:uid="{00000000-0005-0000-0000-0000BD7B0000}"/>
    <cellStyle name="Note 5 4 9 3 3" xfId="31678" xr:uid="{00000000-0005-0000-0000-0000BE7B0000}"/>
    <cellStyle name="Note 5 4 9 4" xfId="31679" xr:uid="{00000000-0005-0000-0000-0000BF7B0000}"/>
    <cellStyle name="Note 5 4 9 5" xfId="31680" xr:uid="{00000000-0005-0000-0000-0000C07B0000}"/>
    <cellStyle name="Note 5 4_provisions q3" xfId="31681" xr:uid="{00000000-0005-0000-0000-0000C17B0000}"/>
    <cellStyle name="Note 5 5" xfId="31682" xr:uid="{00000000-0005-0000-0000-0000C27B0000}"/>
    <cellStyle name="Note 5 5 2" xfId="31683" xr:uid="{00000000-0005-0000-0000-0000C37B0000}"/>
    <cellStyle name="Note 5 5 2 2" xfId="31684" xr:uid="{00000000-0005-0000-0000-0000C47B0000}"/>
    <cellStyle name="Note 5 5 2 2 2" xfId="31685" xr:uid="{00000000-0005-0000-0000-0000C57B0000}"/>
    <cellStyle name="Note 5 5 2 2 2 2" xfId="31686" xr:uid="{00000000-0005-0000-0000-0000C67B0000}"/>
    <cellStyle name="Note 5 5 2 2 2 2 2" xfId="31687" xr:uid="{00000000-0005-0000-0000-0000C77B0000}"/>
    <cellStyle name="Note 5 5 2 2 2 2 2 2" xfId="31688" xr:uid="{00000000-0005-0000-0000-0000C87B0000}"/>
    <cellStyle name="Note 5 5 2 2 2 2 2 3" xfId="31689" xr:uid="{00000000-0005-0000-0000-0000C97B0000}"/>
    <cellStyle name="Note 5 5 2 2 2 2 3" xfId="31690" xr:uid="{00000000-0005-0000-0000-0000CA7B0000}"/>
    <cellStyle name="Note 5 5 2 2 2 2 4" xfId="31691" xr:uid="{00000000-0005-0000-0000-0000CB7B0000}"/>
    <cellStyle name="Note 5 5 2 2 2 3" xfId="31692" xr:uid="{00000000-0005-0000-0000-0000CC7B0000}"/>
    <cellStyle name="Note 5 5 2 2 2 3 2" xfId="31693" xr:uid="{00000000-0005-0000-0000-0000CD7B0000}"/>
    <cellStyle name="Note 5 5 2 2 2 3 3" xfId="31694" xr:uid="{00000000-0005-0000-0000-0000CE7B0000}"/>
    <cellStyle name="Note 5 5 2 2 2 4" xfId="31695" xr:uid="{00000000-0005-0000-0000-0000CF7B0000}"/>
    <cellStyle name="Note 5 5 2 2 2 5" xfId="31696" xr:uid="{00000000-0005-0000-0000-0000D07B0000}"/>
    <cellStyle name="Note 5 5 2 3" xfId="31697" xr:uid="{00000000-0005-0000-0000-0000D17B0000}"/>
    <cellStyle name="Note 5 5 2 3 2" xfId="31698" xr:uid="{00000000-0005-0000-0000-0000D27B0000}"/>
    <cellStyle name="Note 5 5 2 3 2 2" xfId="31699" xr:uid="{00000000-0005-0000-0000-0000D37B0000}"/>
    <cellStyle name="Note 5 5 2 3 2 2 2" xfId="31700" xr:uid="{00000000-0005-0000-0000-0000D47B0000}"/>
    <cellStyle name="Note 5 5 2 3 2 2 3" xfId="31701" xr:uid="{00000000-0005-0000-0000-0000D57B0000}"/>
    <cellStyle name="Note 5 5 2 3 2 3" xfId="31702" xr:uid="{00000000-0005-0000-0000-0000D67B0000}"/>
    <cellStyle name="Note 5 5 2 3 2 4" xfId="31703" xr:uid="{00000000-0005-0000-0000-0000D77B0000}"/>
    <cellStyle name="Note 5 5 2 3 3" xfId="31704" xr:uid="{00000000-0005-0000-0000-0000D87B0000}"/>
    <cellStyle name="Note 5 5 2 3 3 2" xfId="31705" xr:uid="{00000000-0005-0000-0000-0000D97B0000}"/>
    <cellStyle name="Note 5 5 2 3 3 3" xfId="31706" xr:uid="{00000000-0005-0000-0000-0000DA7B0000}"/>
    <cellStyle name="Note 5 5 2 3 4" xfId="31707" xr:uid="{00000000-0005-0000-0000-0000DB7B0000}"/>
    <cellStyle name="Note 5 5 2 3 5" xfId="31708" xr:uid="{00000000-0005-0000-0000-0000DC7B0000}"/>
    <cellStyle name="Note 5 5 3" xfId="31709" xr:uid="{00000000-0005-0000-0000-0000DD7B0000}"/>
    <cellStyle name="Note 5 5 3 2" xfId="31710" xr:uid="{00000000-0005-0000-0000-0000DE7B0000}"/>
    <cellStyle name="Note 5 5 3 2 2" xfId="31711" xr:uid="{00000000-0005-0000-0000-0000DF7B0000}"/>
    <cellStyle name="Note 5 5 3 2 2 2" xfId="31712" xr:uid="{00000000-0005-0000-0000-0000E07B0000}"/>
    <cellStyle name="Note 5 5 3 2 2 2 2" xfId="31713" xr:uid="{00000000-0005-0000-0000-0000E17B0000}"/>
    <cellStyle name="Note 5 5 3 2 2 2 2 2" xfId="31714" xr:uid="{00000000-0005-0000-0000-0000E27B0000}"/>
    <cellStyle name="Note 5 5 3 2 2 2 2 3" xfId="31715" xr:uid="{00000000-0005-0000-0000-0000E37B0000}"/>
    <cellStyle name="Note 5 5 3 2 2 2 3" xfId="31716" xr:uid="{00000000-0005-0000-0000-0000E47B0000}"/>
    <cellStyle name="Note 5 5 3 2 2 2 4" xfId="31717" xr:uid="{00000000-0005-0000-0000-0000E57B0000}"/>
    <cellStyle name="Note 5 5 3 2 2 3" xfId="31718" xr:uid="{00000000-0005-0000-0000-0000E67B0000}"/>
    <cellStyle name="Note 5 5 3 2 2 3 2" xfId="31719" xr:uid="{00000000-0005-0000-0000-0000E77B0000}"/>
    <cellStyle name="Note 5 5 3 2 2 3 3" xfId="31720" xr:uid="{00000000-0005-0000-0000-0000E87B0000}"/>
    <cellStyle name="Note 5 5 3 2 2 4" xfId="31721" xr:uid="{00000000-0005-0000-0000-0000E97B0000}"/>
    <cellStyle name="Note 5 5 3 2 2 5" xfId="31722" xr:uid="{00000000-0005-0000-0000-0000EA7B0000}"/>
    <cellStyle name="Note 5 5 3 3" xfId="31723" xr:uid="{00000000-0005-0000-0000-0000EB7B0000}"/>
    <cellStyle name="Note 5 5 3 3 2" xfId="31724" xr:uid="{00000000-0005-0000-0000-0000EC7B0000}"/>
    <cellStyle name="Note 5 5 3 3 2 2" xfId="31725" xr:uid="{00000000-0005-0000-0000-0000ED7B0000}"/>
    <cellStyle name="Note 5 5 3 3 2 2 2" xfId="31726" xr:uid="{00000000-0005-0000-0000-0000EE7B0000}"/>
    <cellStyle name="Note 5 5 3 3 2 2 3" xfId="31727" xr:uid="{00000000-0005-0000-0000-0000EF7B0000}"/>
    <cellStyle name="Note 5 5 3 3 2 3" xfId="31728" xr:uid="{00000000-0005-0000-0000-0000F07B0000}"/>
    <cellStyle name="Note 5 5 3 3 2 4" xfId="31729" xr:uid="{00000000-0005-0000-0000-0000F17B0000}"/>
    <cellStyle name="Note 5 5 3 3 3" xfId="31730" xr:uid="{00000000-0005-0000-0000-0000F27B0000}"/>
    <cellStyle name="Note 5 5 3 3 3 2" xfId="31731" xr:uid="{00000000-0005-0000-0000-0000F37B0000}"/>
    <cellStyle name="Note 5 5 3 3 3 3" xfId="31732" xr:uid="{00000000-0005-0000-0000-0000F47B0000}"/>
    <cellStyle name="Note 5 5 3 3 4" xfId="31733" xr:uid="{00000000-0005-0000-0000-0000F57B0000}"/>
    <cellStyle name="Note 5 5 3 3 5" xfId="31734" xr:uid="{00000000-0005-0000-0000-0000F67B0000}"/>
    <cellStyle name="Note 5 5 4" xfId="31735" xr:uid="{00000000-0005-0000-0000-0000F77B0000}"/>
    <cellStyle name="Note 5 5 4 2" xfId="31736" xr:uid="{00000000-0005-0000-0000-0000F87B0000}"/>
    <cellStyle name="Note 5 5 4 2 2" xfId="31737" xr:uid="{00000000-0005-0000-0000-0000F97B0000}"/>
    <cellStyle name="Note 5 5 4 2 2 2" xfId="31738" xr:uid="{00000000-0005-0000-0000-0000FA7B0000}"/>
    <cellStyle name="Note 5 5 4 2 2 2 2" xfId="31739" xr:uid="{00000000-0005-0000-0000-0000FB7B0000}"/>
    <cellStyle name="Note 5 5 4 2 2 2 2 2" xfId="31740" xr:uid="{00000000-0005-0000-0000-0000FC7B0000}"/>
    <cellStyle name="Note 5 5 4 2 2 2 2 3" xfId="31741" xr:uid="{00000000-0005-0000-0000-0000FD7B0000}"/>
    <cellStyle name="Note 5 5 4 2 2 2 3" xfId="31742" xr:uid="{00000000-0005-0000-0000-0000FE7B0000}"/>
    <cellStyle name="Note 5 5 4 2 2 2 4" xfId="31743" xr:uid="{00000000-0005-0000-0000-0000FF7B0000}"/>
    <cellStyle name="Note 5 5 4 2 2 3" xfId="31744" xr:uid="{00000000-0005-0000-0000-0000007C0000}"/>
    <cellStyle name="Note 5 5 4 2 2 3 2" xfId="31745" xr:uid="{00000000-0005-0000-0000-0000017C0000}"/>
    <cellStyle name="Note 5 5 4 2 2 3 3" xfId="31746" xr:uid="{00000000-0005-0000-0000-0000027C0000}"/>
    <cellStyle name="Note 5 5 4 2 2 4" xfId="31747" xr:uid="{00000000-0005-0000-0000-0000037C0000}"/>
    <cellStyle name="Note 5 5 4 2 2 5" xfId="31748" xr:uid="{00000000-0005-0000-0000-0000047C0000}"/>
    <cellStyle name="Note 5 5 4 3" xfId="31749" xr:uid="{00000000-0005-0000-0000-0000057C0000}"/>
    <cellStyle name="Note 5 5 4 3 2" xfId="31750" xr:uid="{00000000-0005-0000-0000-0000067C0000}"/>
    <cellStyle name="Note 5 5 4 3 2 2" xfId="31751" xr:uid="{00000000-0005-0000-0000-0000077C0000}"/>
    <cellStyle name="Note 5 5 4 3 2 2 2" xfId="31752" xr:uid="{00000000-0005-0000-0000-0000087C0000}"/>
    <cellStyle name="Note 5 5 4 3 2 2 3" xfId="31753" xr:uid="{00000000-0005-0000-0000-0000097C0000}"/>
    <cellStyle name="Note 5 5 4 3 2 3" xfId="31754" xr:uid="{00000000-0005-0000-0000-00000A7C0000}"/>
    <cellStyle name="Note 5 5 4 3 2 4" xfId="31755" xr:uid="{00000000-0005-0000-0000-00000B7C0000}"/>
    <cellStyle name="Note 5 5 4 3 3" xfId="31756" xr:uid="{00000000-0005-0000-0000-00000C7C0000}"/>
    <cellStyle name="Note 5 5 4 3 3 2" xfId="31757" xr:uid="{00000000-0005-0000-0000-00000D7C0000}"/>
    <cellStyle name="Note 5 5 4 3 3 3" xfId="31758" xr:uid="{00000000-0005-0000-0000-00000E7C0000}"/>
    <cellStyle name="Note 5 5 4 3 4" xfId="31759" xr:uid="{00000000-0005-0000-0000-00000F7C0000}"/>
    <cellStyle name="Note 5 5 4 3 5" xfId="31760" xr:uid="{00000000-0005-0000-0000-0000107C0000}"/>
    <cellStyle name="Note 5 5 5" xfId="31761" xr:uid="{00000000-0005-0000-0000-0000117C0000}"/>
    <cellStyle name="Note 5 5 5 2" xfId="31762" xr:uid="{00000000-0005-0000-0000-0000127C0000}"/>
    <cellStyle name="Note 5 5 5 2 2" xfId="31763" xr:uid="{00000000-0005-0000-0000-0000137C0000}"/>
    <cellStyle name="Note 5 5 5 2 2 2" xfId="31764" xr:uid="{00000000-0005-0000-0000-0000147C0000}"/>
    <cellStyle name="Note 5 5 5 2 2 2 2" xfId="31765" xr:uid="{00000000-0005-0000-0000-0000157C0000}"/>
    <cellStyle name="Note 5 5 5 2 2 2 3" xfId="31766" xr:uid="{00000000-0005-0000-0000-0000167C0000}"/>
    <cellStyle name="Note 5 5 5 2 2 3" xfId="31767" xr:uid="{00000000-0005-0000-0000-0000177C0000}"/>
    <cellStyle name="Note 5 5 5 2 2 4" xfId="31768" xr:uid="{00000000-0005-0000-0000-0000187C0000}"/>
    <cellStyle name="Note 5 5 5 2 3" xfId="31769" xr:uid="{00000000-0005-0000-0000-0000197C0000}"/>
    <cellStyle name="Note 5 5 5 2 3 2" xfId="31770" xr:uid="{00000000-0005-0000-0000-00001A7C0000}"/>
    <cellStyle name="Note 5 5 5 2 3 3" xfId="31771" xr:uid="{00000000-0005-0000-0000-00001B7C0000}"/>
    <cellStyle name="Note 5 5 5 2 4" xfId="31772" xr:uid="{00000000-0005-0000-0000-00001C7C0000}"/>
    <cellStyle name="Note 5 5 5 2 5" xfId="31773" xr:uid="{00000000-0005-0000-0000-00001D7C0000}"/>
    <cellStyle name="Note 5 5 6" xfId="31774" xr:uid="{00000000-0005-0000-0000-00001E7C0000}"/>
    <cellStyle name="Note 5 5 6 2" xfId="31775" xr:uid="{00000000-0005-0000-0000-00001F7C0000}"/>
    <cellStyle name="Note 5 5 6 2 2" xfId="31776" xr:uid="{00000000-0005-0000-0000-0000207C0000}"/>
    <cellStyle name="Note 5 5 6 2 2 2" xfId="31777" xr:uid="{00000000-0005-0000-0000-0000217C0000}"/>
    <cellStyle name="Note 5 5 6 2 2 2 2" xfId="31778" xr:uid="{00000000-0005-0000-0000-0000227C0000}"/>
    <cellStyle name="Note 5 5 6 2 2 2 3" xfId="31779" xr:uid="{00000000-0005-0000-0000-0000237C0000}"/>
    <cellStyle name="Note 5 5 6 2 2 3" xfId="31780" xr:uid="{00000000-0005-0000-0000-0000247C0000}"/>
    <cellStyle name="Note 5 5 6 2 2 4" xfId="31781" xr:uid="{00000000-0005-0000-0000-0000257C0000}"/>
    <cellStyle name="Note 5 5 6 2 3" xfId="31782" xr:uid="{00000000-0005-0000-0000-0000267C0000}"/>
    <cellStyle name="Note 5 5 6 2 3 2" xfId="31783" xr:uid="{00000000-0005-0000-0000-0000277C0000}"/>
    <cellStyle name="Note 5 5 6 2 3 3" xfId="31784" xr:uid="{00000000-0005-0000-0000-0000287C0000}"/>
    <cellStyle name="Note 5 5 6 2 4" xfId="31785" xr:uid="{00000000-0005-0000-0000-0000297C0000}"/>
    <cellStyle name="Note 5 5 6 2 5" xfId="31786" xr:uid="{00000000-0005-0000-0000-00002A7C0000}"/>
    <cellStyle name="Note 5 5 7" xfId="31787" xr:uid="{00000000-0005-0000-0000-00002B7C0000}"/>
    <cellStyle name="Note 5 5 7 2" xfId="31788" xr:uid="{00000000-0005-0000-0000-00002C7C0000}"/>
    <cellStyle name="Note 5 5 7 2 2" xfId="31789" xr:uid="{00000000-0005-0000-0000-00002D7C0000}"/>
    <cellStyle name="Note 5 5 7 2 2 2" xfId="31790" xr:uid="{00000000-0005-0000-0000-00002E7C0000}"/>
    <cellStyle name="Note 5 5 7 2 2 2 2" xfId="31791" xr:uid="{00000000-0005-0000-0000-00002F7C0000}"/>
    <cellStyle name="Note 5 5 7 2 2 2 3" xfId="31792" xr:uid="{00000000-0005-0000-0000-0000307C0000}"/>
    <cellStyle name="Note 5 5 7 2 2 3" xfId="31793" xr:uid="{00000000-0005-0000-0000-0000317C0000}"/>
    <cellStyle name="Note 5 5 7 2 2 4" xfId="31794" xr:uid="{00000000-0005-0000-0000-0000327C0000}"/>
    <cellStyle name="Note 5 5 7 2 3" xfId="31795" xr:uid="{00000000-0005-0000-0000-0000337C0000}"/>
    <cellStyle name="Note 5 5 7 2 3 2" xfId="31796" xr:uid="{00000000-0005-0000-0000-0000347C0000}"/>
    <cellStyle name="Note 5 5 7 2 3 3" xfId="31797" xr:uid="{00000000-0005-0000-0000-0000357C0000}"/>
    <cellStyle name="Note 5 5 7 2 4" xfId="31798" xr:uid="{00000000-0005-0000-0000-0000367C0000}"/>
    <cellStyle name="Note 5 5 7 2 5" xfId="31799" xr:uid="{00000000-0005-0000-0000-0000377C0000}"/>
    <cellStyle name="Note 5 5 8" xfId="31800" xr:uid="{00000000-0005-0000-0000-0000387C0000}"/>
    <cellStyle name="Note 5 5 8 2" xfId="31801" xr:uid="{00000000-0005-0000-0000-0000397C0000}"/>
    <cellStyle name="Note 5 5 8 2 2" xfId="31802" xr:uid="{00000000-0005-0000-0000-00003A7C0000}"/>
    <cellStyle name="Note 5 5 8 2 2 2" xfId="31803" xr:uid="{00000000-0005-0000-0000-00003B7C0000}"/>
    <cellStyle name="Note 5 5 8 2 2 2 2" xfId="31804" xr:uid="{00000000-0005-0000-0000-00003C7C0000}"/>
    <cellStyle name="Note 5 5 8 2 2 2 3" xfId="31805" xr:uid="{00000000-0005-0000-0000-00003D7C0000}"/>
    <cellStyle name="Note 5 5 8 2 2 3" xfId="31806" xr:uid="{00000000-0005-0000-0000-00003E7C0000}"/>
    <cellStyle name="Note 5 5 8 2 2 4" xfId="31807" xr:uid="{00000000-0005-0000-0000-00003F7C0000}"/>
    <cellStyle name="Note 5 5 8 2 3" xfId="31808" xr:uid="{00000000-0005-0000-0000-0000407C0000}"/>
    <cellStyle name="Note 5 5 8 2 3 2" xfId="31809" xr:uid="{00000000-0005-0000-0000-0000417C0000}"/>
    <cellStyle name="Note 5 5 8 2 3 3" xfId="31810" xr:uid="{00000000-0005-0000-0000-0000427C0000}"/>
    <cellStyle name="Note 5 5 8 2 4" xfId="31811" xr:uid="{00000000-0005-0000-0000-0000437C0000}"/>
    <cellStyle name="Note 5 5 8 2 5" xfId="31812" xr:uid="{00000000-0005-0000-0000-0000447C0000}"/>
    <cellStyle name="Note 5 5 9" xfId="31813" xr:uid="{00000000-0005-0000-0000-0000457C0000}"/>
    <cellStyle name="Note 5 5 9 2" xfId="31814" xr:uid="{00000000-0005-0000-0000-0000467C0000}"/>
    <cellStyle name="Note 5 5 9 2 2" xfId="31815" xr:uid="{00000000-0005-0000-0000-0000477C0000}"/>
    <cellStyle name="Note 5 5 9 2 2 2" xfId="31816" xr:uid="{00000000-0005-0000-0000-0000487C0000}"/>
    <cellStyle name="Note 5 5 9 2 2 3" xfId="31817" xr:uid="{00000000-0005-0000-0000-0000497C0000}"/>
    <cellStyle name="Note 5 5 9 2 3" xfId="31818" xr:uid="{00000000-0005-0000-0000-00004A7C0000}"/>
    <cellStyle name="Note 5 5 9 2 4" xfId="31819" xr:uid="{00000000-0005-0000-0000-00004B7C0000}"/>
    <cellStyle name="Note 5 5 9 3" xfId="31820" xr:uid="{00000000-0005-0000-0000-00004C7C0000}"/>
    <cellStyle name="Note 5 5 9 3 2" xfId="31821" xr:uid="{00000000-0005-0000-0000-00004D7C0000}"/>
    <cellStyle name="Note 5 5 9 3 3" xfId="31822" xr:uid="{00000000-0005-0000-0000-00004E7C0000}"/>
    <cellStyle name="Note 5 5 9 4" xfId="31823" xr:uid="{00000000-0005-0000-0000-00004F7C0000}"/>
    <cellStyle name="Note 5 5 9 5" xfId="31824" xr:uid="{00000000-0005-0000-0000-0000507C0000}"/>
    <cellStyle name="Note 5 5_provisions q3" xfId="31825" xr:uid="{00000000-0005-0000-0000-0000517C0000}"/>
    <cellStyle name="Note 5 6" xfId="31826" xr:uid="{00000000-0005-0000-0000-0000527C0000}"/>
    <cellStyle name="Note 5 6 2" xfId="31827" xr:uid="{00000000-0005-0000-0000-0000537C0000}"/>
    <cellStyle name="Note 5 6 2 2" xfId="31828" xr:uid="{00000000-0005-0000-0000-0000547C0000}"/>
    <cellStyle name="Note 5 6 2 2 2" xfId="31829" xr:uid="{00000000-0005-0000-0000-0000557C0000}"/>
    <cellStyle name="Note 5 6 2 2 2 2" xfId="31830" xr:uid="{00000000-0005-0000-0000-0000567C0000}"/>
    <cellStyle name="Note 5 6 2 2 2 2 2" xfId="31831" xr:uid="{00000000-0005-0000-0000-0000577C0000}"/>
    <cellStyle name="Note 5 6 2 2 2 2 2 2" xfId="31832" xr:uid="{00000000-0005-0000-0000-0000587C0000}"/>
    <cellStyle name="Note 5 6 2 2 2 2 2 3" xfId="31833" xr:uid="{00000000-0005-0000-0000-0000597C0000}"/>
    <cellStyle name="Note 5 6 2 2 2 2 3" xfId="31834" xr:uid="{00000000-0005-0000-0000-00005A7C0000}"/>
    <cellStyle name="Note 5 6 2 2 2 2 4" xfId="31835" xr:uid="{00000000-0005-0000-0000-00005B7C0000}"/>
    <cellStyle name="Note 5 6 2 2 2 3" xfId="31836" xr:uid="{00000000-0005-0000-0000-00005C7C0000}"/>
    <cellStyle name="Note 5 6 2 2 2 3 2" xfId="31837" xr:uid="{00000000-0005-0000-0000-00005D7C0000}"/>
    <cellStyle name="Note 5 6 2 2 2 3 3" xfId="31838" xr:uid="{00000000-0005-0000-0000-00005E7C0000}"/>
    <cellStyle name="Note 5 6 2 2 2 4" xfId="31839" xr:uid="{00000000-0005-0000-0000-00005F7C0000}"/>
    <cellStyle name="Note 5 6 2 2 2 5" xfId="31840" xr:uid="{00000000-0005-0000-0000-0000607C0000}"/>
    <cellStyle name="Note 5 6 2 3" xfId="31841" xr:uid="{00000000-0005-0000-0000-0000617C0000}"/>
    <cellStyle name="Note 5 6 2 3 2" xfId="31842" xr:uid="{00000000-0005-0000-0000-0000627C0000}"/>
    <cellStyle name="Note 5 6 2 3 2 2" xfId="31843" xr:uid="{00000000-0005-0000-0000-0000637C0000}"/>
    <cellStyle name="Note 5 6 2 3 2 2 2" xfId="31844" xr:uid="{00000000-0005-0000-0000-0000647C0000}"/>
    <cellStyle name="Note 5 6 2 3 2 2 3" xfId="31845" xr:uid="{00000000-0005-0000-0000-0000657C0000}"/>
    <cellStyle name="Note 5 6 2 3 2 3" xfId="31846" xr:uid="{00000000-0005-0000-0000-0000667C0000}"/>
    <cellStyle name="Note 5 6 2 3 2 4" xfId="31847" xr:uid="{00000000-0005-0000-0000-0000677C0000}"/>
    <cellStyle name="Note 5 6 2 3 3" xfId="31848" xr:uid="{00000000-0005-0000-0000-0000687C0000}"/>
    <cellStyle name="Note 5 6 2 3 3 2" xfId="31849" xr:uid="{00000000-0005-0000-0000-0000697C0000}"/>
    <cellStyle name="Note 5 6 2 3 3 3" xfId="31850" xr:uid="{00000000-0005-0000-0000-00006A7C0000}"/>
    <cellStyle name="Note 5 6 2 3 4" xfId="31851" xr:uid="{00000000-0005-0000-0000-00006B7C0000}"/>
    <cellStyle name="Note 5 6 2 3 5" xfId="31852" xr:uid="{00000000-0005-0000-0000-00006C7C0000}"/>
    <cellStyle name="Note 5 6 3" xfId="31853" xr:uid="{00000000-0005-0000-0000-00006D7C0000}"/>
    <cellStyle name="Note 5 6 3 2" xfId="31854" xr:uid="{00000000-0005-0000-0000-00006E7C0000}"/>
    <cellStyle name="Note 5 6 3 2 2" xfId="31855" xr:uid="{00000000-0005-0000-0000-00006F7C0000}"/>
    <cellStyle name="Note 5 6 3 2 2 2" xfId="31856" xr:uid="{00000000-0005-0000-0000-0000707C0000}"/>
    <cellStyle name="Note 5 6 3 2 2 2 2" xfId="31857" xr:uid="{00000000-0005-0000-0000-0000717C0000}"/>
    <cellStyle name="Note 5 6 3 2 2 2 2 2" xfId="31858" xr:uid="{00000000-0005-0000-0000-0000727C0000}"/>
    <cellStyle name="Note 5 6 3 2 2 2 2 3" xfId="31859" xr:uid="{00000000-0005-0000-0000-0000737C0000}"/>
    <cellStyle name="Note 5 6 3 2 2 2 3" xfId="31860" xr:uid="{00000000-0005-0000-0000-0000747C0000}"/>
    <cellStyle name="Note 5 6 3 2 2 2 4" xfId="31861" xr:uid="{00000000-0005-0000-0000-0000757C0000}"/>
    <cellStyle name="Note 5 6 3 2 2 3" xfId="31862" xr:uid="{00000000-0005-0000-0000-0000767C0000}"/>
    <cellStyle name="Note 5 6 3 2 2 3 2" xfId="31863" xr:uid="{00000000-0005-0000-0000-0000777C0000}"/>
    <cellStyle name="Note 5 6 3 2 2 3 3" xfId="31864" xr:uid="{00000000-0005-0000-0000-0000787C0000}"/>
    <cellStyle name="Note 5 6 3 2 2 4" xfId="31865" xr:uid="{00000000-0005-0000-0000-0000797C0000}"/>
    <cellStyle name="Note 5 6 3 2 2 5" xfId="31866" xr:uid="{00000000-0005-0000-0000-00007A7C0000}"/>
    <cellStyle name="Note 5 6 3 3" xfId="31867" xr:uid="{00000000-0005-0000-0000-00007B7C0000}"/>
    <cellStyle name="Note 5 6 3 3 2" xfId="31868" xr:uid="{00000000-0005-0000-0000-00007C7C0000}"/>
    <cellStyle name="Note 5 6 3 3 2 2" xfId="31869" xr:uid="{00000000-0005-0000-0000-00007D7C0000}"/>
    <cellStyle name="Note 5 6 3 3 2 2 2" xfId="31870" xr:uid="{00000000-0005-0000-0000-00007E7C0000}"/>
    <cellStyle name="Note 5 6 3 3 2 2 3" xfId="31871" xr:uid="{00000000-0005-0000-0000-00007F7C0000}"/>
    <cellStyle name="Note 5 6 3 3 2 3" xfId="31872" xr:uid="{00000000-0005-0000-0000-0000807C0000}"/>
    <cellStyle name="Note 5 6 3 3 2 4" xfId="31873" xr:uid="{00000000-0005-0000-0000-0000817C0000}"/>
    <cellStyle name="Note 5 6 3 3 3" xfId="31874" xr:uid="{00000000-0005-0000-0000-0000827C0000}"/>
    <cellStyle name="Note 5 6 3 3 3 2" xfId="31875" xr:uid="{00000000-0005-0000-0000-0000837C0000}"/>
    <cellStyle name="Note 5 6 3 3 3 3" xfId="31876" xr:uid="{00000000-0005-0000-0000-0000847C0000}"/>
    <cellStyle name="Note 5 6 3 3 4" xfId="31877" xr:uid="{00000000-0005-0000-0000-0000857C0000}"/>
    <cellStyle name="Note 5 6 3 3 5" xfId="31878" xr:uid="{00000000-0005-0000-0000-0000867C0000}"/>
    <cellStyle name="Note 5 6 4" xfId="31879" xr:uid="{00000000-0005-0000-0000-0000877C0000}"/>
    <cellStyle name="Note 5 6 4 2" xfId="31880" xr:uid="{00000000-0005-0000-0000-0000887C0000}"/>
    <cellStyle name="Note 5 6 4 2 2" xfId="31881" xr:uid="{00000000-0005-0000-0000-0000897C0000}"/>
    <cellStyle name="Note 5 6 4 2 2 2" xfId="31882" xr:uid="{00000000-0005-0000-0000-00008A7C0000}"/>
    <cellStyle name="Note 5 6 4 2 2 2 2" xfId="31883" xr:uid="{00000000-0005-0000-0000-00008B7C0000}"/>
    <cellStyle name="Note 5 6 4 2 2 2 2 2" xfId="31884" xr:uid="{00000000-0005-0000-0000-00008C7C0000}"/>
    <cellStyle name="Note 5 6 4 2 2 2 2 3" xfId="31885" xr:uid="{00000000-0005-0000-0000-00008D7C0000}"/>
    <cellStyle name="Note 5 6 4 2 2 2 3" xfId="31886" xr:uid="{00000000-0005-0000-0000-00008E7C0000}"/>
    <cellStyle name="Note 5 6 4 2 2 2 4" xfId="31887" xr:uid="{00000000-0005-0000-0000-00008F7C0000}"/>
    <cellStyle name="Note 5 6 4 2 2 3" xfId="31888" xr:uid="{00000000-0005-0000-0000-0000907C0000}"/>
    <cellStyle name="Note 5 6 4 2 2 3 2" xfId="31889" xr:uid="{00000000-0005-0000-0000-0000917C0000}"/>
    <cellStyle name="Note 5 6 4 2 2 3 3" xfId="31890" xr:uid="{00000000-0005-0000-0000-0000927C0000}"/>
    <cellStyle name="Note 5 6 4 2 2 4" xfId="31891" xr:uid="{00000000-0005-0000-0000-0000937C0000}"/>
    <cellStyle name="Note 5 6 4 2 2 5" xfId="31892" xr:uid="{00000000-0005-0000-0000-0000947C0000}"/>
    <cellStyle name="Note 5 6 4 3" xfId="31893" xr:uid="{00000000-0005-0000-0000-0000957C0000}"/>
    <cellStyle name="Note 5 6 4 3 2" xfId="31894" xr:uid="{00000000-0005-0000-0000-0000967C0000}"/>
    <cellStyle name="Note 5 6 4 3 2 2" xfId="31895" xr:uid="{00000000-0005-0000-0000-0000977C0000}"/>
    <cellStyle name="Note 5 6 4 3 2 2 2" xfId="31896" xr:uid="{00000000-0005-0000-0000-0000987C0000}"/>
    <cellStyle name="Note 5 6 4 3 2 2 3" xfId="31897" xr:uid="{00000000-0005-0000-0000-0000997C0000}"/>
    <cellStyle name="Note 5 6 4 3 2 3" xfId="31898" xr:uid="{00000000-0005-0000-0000-00009A7C0000}"/>
    <cellStyle name="Note 5 6 4 3 2 4" xfId="31899" xr:uid="{00000000-0005-0000-0000-00009B7C0000}"/>
    <cellStyle name="Note 5 6 4 3 3" xfId="31900" xr:uid="{00000000-0005-0000-0000-00009C7C0000}"/>
    <cellStyle name="Note 5 6 4 3 3 2" xfId="31901" xr:uid="{00000000-0005-0000-0000-00009D7C0000}"/>
    <cellStyle name="Note 5 6 4 3 3 3" xfId="31902" xr:uid="{00000000-0005-0000-0000-00009E7C0000}"/>
    <cellStyle name="Note 5 6 4 3 4" xfId="31903" xr:uid="{00000000-0005-0000-0000-00009F7C0000}"/>
    <cellStyle name="Note 5 6 4 3 5" xfId="31904" xr:uid="{00000000-0005-0000-0000-0000A07C0000}"/>
    <cellStyle name="Note 5 6 5" xfId="31905" xr:uid="{00000000-0005-0000-0000-0000A17C0000}"/>
    <cellStyle name="Note 5 6 5 2" xfId="31906" xr:uid="{00000000-0005-0000-0000-0000A27C0000}"/>
    <cellStyle name="Note 5 6 5 2 2" xfId="31907" xr:uid="{00000000-0005-0000-0000-0000A37C0000}"/>
    <cellStyle name="Note 5 6 5 2 2 2" xfId="31908" xr:uid="{00000000-0005-0000-0000-0000A47C0000}"/>
    <cellStyle name="Note 5 6 5 2 2 2 2" xfId="31909" xr:uid="{00000000-0005-0000-0000-0000A57C0000}"/>
    <cellStyle name="Note 5 6 5 2 2 2 3" xfId="31910" xr:uid="{00000000-0005-0000-0000-0000A67C0000}"/>
    <cellStyle name="Note 5 6 5 2 2 3" xfId="31911" xr:uid="{00000000-0005-0000-0000-0000A77C0000}"/>
    <cellStyle name="Note 5 6 5 2 2 4" xfId="31912" xr:uid="{00000000-0005-0000-0000-0000A87C0000}"/>
    <cellStyle name="Note 5 6 5 2 3" xfId="31913" xr:uid="{00000000-0005-0000-0000-0000A97C0000}"/>
    <cellStyle name="Note 5 6 5 2 3 2" xfId="31914" xr:uid="{00000000-0005-0000-0000-0000AA7C0000}"/>
    <cellStyle name="Note 5 6 5 2 3 3" xfId="31915" xr:uid="{00000000-0005-0000-0000-0000AB7C0000}"/>
    <cellStyle name="Note 5 6 5 2 4" xfId="31916" xr:uid="{00000000-0005-0000-0000-0000AC7C0000}"/>
    <cellStyle name="Note 5 6 5 2 5" xfId="31917" xr:uid="{00000000-0005-0000-0000-0000AD7C0000}"/>
    <cellStyle name="Note 5 6 6" xfId="31918" xr:uid="{00000000-0005-0000-0000-0000AE7C0000}"/>
    <cellStyle name="Note 5 6 6 2" xfId="31919" xr:uid="{00000000-0005-0000-0000-0000AF7C0000}"/>
    <cellStyle name="Note 5 6 6 2 2" xfId="31920" xr:uid="{00000000-0005-0000-0000-0000B07C0000}"/>
    <cellStyle name="Note 5 6 6 2 2 2" xfId="31921" xr:uid="{00000000-0005-0000-0000-0000B17C0000}"/>
    <cellStyle name="Note 5 6 6 2 2 2 2" xfId="31922" xr:uid="{00000000-0005-0000-0000-0000B27C0000}"/>
    <cellStyle name="Note 5 6 6 2 2 2 3" xfId="31923" xr:uid="{00000000-0005-0000-0000-0000B37C0000}"/>
    <cellStyle name="Note 5 6 6 2 2 3" xfId="31924" xr:uid="{00000000-0005-0000-0000-0000B47C0000}"/>
    <cellStyle name="Note 5 6 6 2 2 4" xfId="31925" xr:uid="{00000000-0005-0000-0000-0000B57C0000}"/>
    <cellStyle name="Note 5 6 6 2 3" xfId="31926" xr:uid="{00000000-0005-0000-0000-0000B67C0000}"/>
    <cellStyle name="Note 5 6 6 2 3 2" xfId="31927" xr:uid="{00000000-0005-0000-0000-0000B77C0000}"/>
    <cellStyle name="Note 5 6 6 2 3 3" xfId="31928" xr:uid="{00000000-0005-0000-0000-0000B87C0000}"/>
    <cellStyle name="Note 5 6 6 2 4" xfId="31929" xr:uid="{00000000-0005-0000-0000-0000B97C0000}"/>
    <cellStyle name="Note 5 6 6 2 5" xfId="31930" xr:uid="{00000000-0005-0000-0000-0000BA7C0000}"/>
    <cellStyle name="Note 5 6 7" xfId="31931" xr:uid="{00000000-0005-0000-0000-0000BB7C0000}"/>
    <cellStyle name="Note 5 6 7 2" xfId="31932" xr:uid="{00000000-0005-0000-0000-0000BC7C0000}"/>
    <cellStyle name="Note 5 6 7 2 2" xfId="31933" xr:uid="{00000000-0005-0000-0000-0000BD7C0000}"/>
    <cellStyle name="Note 5 6 7 2 2 2" xfId="31934" xr:uid="{00000000-0005-0000-0000-0000BE7C0000}"/>
    <cellStyle name="Note 5 6 7 2 2 2 2" xfId="31935" xr:uid="{00000000-0005-0000-0000-0000BF7C0000}"/>
    <cellStyle name="Note 5 6 7 2 2 2 3" xfId="31936" xr:uid="{00000000-0005-0000-0000-0000C07C0000}"/>
    <cellStyle name="Note 5 6 7 2 2 3" xfId="31937" xr:uid="{00000000-0005-0000-0000-0000C17C0000}"/>
    <cellStyle name="Note 5 6 7 2 2 4" xfId="31938" xr:uid="{00000000-0005-0000-0000-0000C27C0000}"/>
    <cellStyle name="Note 5 6 7 2 3" xfId="31939" xr:uid="{00000000-0005-0000-0000-0000C37C0000}"/>
    <cellStyle name="Note 5 6 7 2 3 2" xfId="31940" xr:uid="{00000000-0005-0000-0000-0000C47C0000}"/>
    <cellStyle name="Note 5 6 7 2 3 3" xfId="31941" xr:uid="{00000000-0005-0000-0000-0000C57C0000}"/>
    <cellStyle name="Note 5 6 7 2 4" xfId="31942" xr:uid="{00000000-0005-0000-0000-0000C67C0000}"/>
    <cellStyle name="Note 5 6 7 2 5" xfId="31943" xr:uid="{00000000-0005-0000-0000-0000C77C0000}"/>
    <cellStyle name="Note 5 6 8" xfId="31944" xr:uid="{00000000-0005-0000-0000-0000C87C0000}"/>
    <cellStyle name="Note 5 6 8 2" xfId="31945" xr:uid="{00000000-0005-0000-0000-0000C97C0000}"/>
    <cellStyle name="Note 5 6 8 2 2" xfId="31946" xr:uid="{00000000-0005-0000-0000-0000CA7C0000}"/>
    <cellStyle name="Note 5 6 8 2 2 2" xfId="31947" xr:uid="{00000000-0005-0000-0000-0000CB7C0000}"/>
    <cellStyle name="Note 5 6 8 2 2 2 2" xfId="31948" xr:uid="{00000000-0005-0000-0000-0000CC7C0000}"/>
    <cellStyle name="Note 5 6 8 2 2 2 3" xfId="31949" xr:uid="{00000000-0005-0000-0000-0000CD7C0000}"/>
    <cellStyle name="Note 5 6 8 2 2 3" xfId="31950" xr:uid="{00000000-0005-0000-0000-0000CE7C0000}"/>
    <cellStyle name="Note 5 6 8 2 2 4" xfId="31951" xr:uid="{00000000-0005-0000-0000-0000CF7C0000}"/>
    <cellStyle name="Note 5 6 8 2 3" xfId="31952" xr:uid="{00000000-0005-0000-0000-0000D07C0000}"/>
    <cellStyle name="Note 5 6 8 2 3 2" xfId="31953" xr:uid="{00000000-0005-0000-0000-0000D17C0000}"/>
    <cellStyle name="Note 5 6 8 2 3 3" xfId="31954" xr:uid="{00000000-0005-0000-0000-0000D27C0000}"/>
    <cellStyle name="Note 5 6 8 2 4" xfId="31955" xr:uid="{00000000-0005-0000-0000-0000D37C0000}"/>
    <cellStyle name="Note 5 6 8 2 5" xfId="31956" xr:uid="{00000000-0005-0000-0000-0000D47C0000}"/>
    <cellStyle name="Note 5 6 9" xfId="31957" xr:uid="{00000000-0005-0000-0000-0000D57C0000}"/>
    <cellStyle name="Note 5 6 9 2" xfId="31958" xr:uid="{00000000-0005-0000-0000-0000D67C0000}"/>
    <cellStyle name="Note 5 6 9 2 2" xfId="31959" xr:uid="{00000000-0005-0000-0000-0000D77C0000}"/>
    <cellStyle name="Note 5 6 9 2 2 2" xfId="31960" xr:uid="{00000000-0005-0000-0000-0000D87C0000}"/>
    <cellStyle name="Note 5 6 9 2 2 3" xfId="31961" xr:uid="{00000000-0005-0000-0000-0000D97C0000}"/>
    <cellStyle name="Note 5 6 9 2 3" xfId="31962" xr:uid="{00000000-0005-0000-0000-0000DA7C0000}"/>
    <cellStyle name="Note 5 6 9 2 4" xfId="31963" xr:uid="{00000000-0005-0000-0000-0000DB7C0000}"/>
    <cellStyle name="Note 5 6 9 3" xfId="31964" xr:uid="{00000000-0005-0000-0000-0000DC7C0000}"/>
    <cellStyle name="Note 5 6 9 3 2" xfId="31965" xr:uid="{00000000-0005-0000-0000-0000DD7C0000}"/>
    <cellStyle name="Note 5 6 9 3 3" xfId="31966" xr:uid="{00000000-0005-0000-0000-0000DE7C0000}"/>
    <cellStyle name="Note 5 6 9 4" xfId="31967" xr:uid="{00000000-0005-0000-0000-0000DF7C0000}"/>
    <cellStyle name="Note 5 6 9 5" xfId="31968" xr:uid="{00000000-0005-0000-0000-0000E07C0000}"/>
    <cellStyle name="Note 5 6_provisions q3" xfId="31969" xr:uid="{00000000-0005-0000-0000-0000E17C0000}"/>
    <cellStyle name="Note 5 7" xfId="31970" xr:uid="{00000000-0005-0000-0000-0000E27C0000}"/>
    <cellStyle name="Note 5 7 2" xfId="31971" xr:uid="{00000000-0005-0000-0000-0000E37C0000}"/>
    <cellStyle name="Note 5 7 2 2" xfId="31972" xr:uid="{00000000-0005-0000-0000-0000E47C0000}"/>
    <cellStyle name="Note 5 7 2 2 2" xfId="31973" xr:uid="{00000000-0005-0000-0000-0000E57C0000}"/>
    <cellStyle name="Note 5 7 2 2 2 2" xfId="31974" xr:uid="{00000000-0005-0000-0000-0000E67C0000}"/>
    <cellStyle name="Note 5 7 2 2 2 2 2" xfId="31975" xr:uid="{00000000-0005-0000-0000-0000E77C0000}"/>
    <cellStyle name="Note 5 7 2 2 2 2 2 2" xfId="31976" xr:uid="{00000000-0005-0000-0000-0000E87C0000}"/>
    <cellStyle name="Note 5 7 2 2 2 2 2 3" xfId="31977" xr:uid="{00000000-0005-0000-0000-0000E97C0000}"/>
    <cellStyle name="Note 5 7 2 2 2 2 3" xfId="31978" xr:uid="{00000000-0005-0000-0000-0000EA7C0000}"/>
    <cellStyle name="Note 5 7 2 2 2 2 4" xfId="31979" xr:uid="{00000000-0005-0000-0000-0000EB7C0000}"/>
    <cellStyle name="Note 5 7 2 2 2 3" xfId="31980" xr:uid="{00000000-0005-0000-0000-0000EC7C0000}"/>
    <cellStyle name="Note 5 7 2 2 2 3 2" xfId="31981" xr:uid="{00000000-0005-0000-0000-0000ED7C0000}"/>
    <cellStyle name="Note 5 7 2 2 2 3 3" xfId="31982" xr:uid="{00000000-0005-0000-0000-0000EE7C0000}"/>
    <cellStyle name="Note 5 7 2 2 2 4" xfId="31983" xr:uid="{00000000-0005-0000-0000-0000EF7C0000}"/>
    <cellStyle name="Note 5 7 2 2 2 5" xfId="31984" xr:uid="{00000000-0005-0000-0000-0000F07C0000}"/>
    <cellStyle name="Note 5 7 2 3" xfId="31985" xr:uid="{00000000-0005-0000-0000-0000F17C0000}"/>
    <cellStyle name="Note 5 7 2 3 2" xfId="31986" xr:uid="{00000000-0005-0000-0000-0000F27C0000}"/>
    <cellStyle name="Note 5 7 2 3 2 2" xfId="31987" xr:uid="{00000000-0005-0000-0000-0000F37C0000}"/>
    <cellStyle name="Note 5 7 2 3 2 2 2" xfId="31988" xr:uid="{00000000-0005-0000-0000-0000F47C0000}"/>
    <cellStyle name="Note 5 7 2 3 2 2 3" xfId="31989" xr:uid="{00000000-0005-0000-0000-0000F57C0000}"/>
    <cellStyle name="Note 5 7 2 3 2 3" xfId="31990" xr:uid="{00000000-0005-0000-0000-0000F67C0000}"/>
    <cellStyle name="Note 5 7 2 3 2 4" xfId="31991" xr:uid="{00000000-0005-0000-0000-0000F77C0000}"/>
    <cellStyle name="Note 5 7 2 3 3" xfId="31992" xr:uid="{00000000-0005-0000-0000-0000F87C0000}"/>
    <cellStyle name="Note 5 7 2 3 3 2" xfId="31993" xr:uid="{00000000-0005-0000-0000-0000F97C0000}"/>
    <cellStyle name="Note 5 7 2 3 3 3" xfId="31994" xr:uid="{00000000-0005-0000-0000-0000FA7C0000}"/>
    <cellStyle name="Note 5 7 2 3 4" xfId="31995" xr:uid="{00000000-0005-0000-0000-0000FB7C0000}"/>
    <cellStyle name="Note 5 7 2 3 5" xfId="31996" xr:uid="{00000000-0005-0000-0000-0000FC7C0000}"/>
    <cellStyle name="Note 5 7 3" xfId="31997" xr:uid="{00000000-0005-0000-0000-0000FD7C0000}"/>
    <cellStyle name="Note 5 7 3 2" xfId="31998" xr:uid="{00000000-0005-0000-0000-0000FE7C0000}"/>
    <cellStyle name="Note 5 7 3 2 2" xfId="31999" xr:uid="{00000000-0005-0000-0000-0000FF7C0000}"/>
    <cellStyle name="Note 5 7 3 2 2 2" xfId="32000" xr:uid="{00000000-0005-0000-0000-0000007D0000}"/>
    <cellStyle name="Note 5 7 3 2 2 2 2" xfId="32001" xr:uid="{00000000-0005-0000-0000-0000017D0000}"/>
    <cellStyle name="Note 5 7 3 2 2 2 2 2" xfId="32002" xr:uid="{00000000-0005-0000-0000-0000027D0000}"/>
    <cellStyle name="Note 5 7 3 2 2 2 2 3" xfId="32003" xr:uid="{00000000-0005-0000-0000-0000037D0000}"/>
    <cellStyle name="Note 5 7 3 2 2 2 3" xfId="32004" xr:uid="{00000000-0005-0000-0000-0000047D0000}"/>
    <cellStyle name="Note 5 7 3 2 2 2 4" xfId="32005" xr:uid="{00000000-0005-0000-0000-0000057D0000}"/>
    <cellStyle name="Note 5 7 3 2 2 3" xfId="32006" xr:uid="{00000000-0005-0000-0000-0000067D0000}"/>
    <cellStyle name="Note 5 7 3 2 2 3 2" xfId="32007" xr:uid="{00000000-0005-0000-0000-0000077D0000}"/>
    <cellStyle name="Note 5 7 3 2 2 3 3" xfId="32008" xr:uid="{00000000-0005-0000-0000-0000087D0000}"/>
    <cellStyle name="Note 5 7 3 2 2 4" xfId="32009" xr:uid="{00000000-0005-0000-0000-0000097D0000}"/>
    <cellStyle name="Note 5 7 3 2 2 5" xfId="32010" xr:uid="{00000000-0005-0000-0000-00000A7D0000}"/>
    <cellStyle name="Note 5 7 3 3" xfId="32011" xr:uid="{00000000-0005-0000-0000-00000B7D0000}"/>
    <cellStyle name="Note 5 7 3 3 2" xfId="32012" xr:uid="{00000000-0005-0000-0000-00000C7D0000}"/>
    <cellStyle name="Note 5 7 3 3 2 2" xfId="32013" xr:uid="{00000000-0005-0000-0000-00000D7D0000}"/>
    <cellStyle name="Note 5 7 3 3 2 2 2" xfId="32014" xr:uid="{00000000-0005-0000-0000-00000E7D0000}"/>
    <cellStyle name="Note 5 7 3 3 2 2 3" xfId="32015" xr:uid="{00000000-0005-0000-0000-00000F7D0000}"/>
    <cellStyle name="Note 5 7 3 3 2 3" xfId="32016" xr:uid="{00000000-0005-0000-0000-0000107D0000}"/>
    <cellStyle name="Note 5 7 3 3 2 4" xfId="32017" xr:uid="{00000000-0005-0000-0000-0000117D0000}"/>
    <cellStyle name="Note 5 7 3 3 3" xfId="32018" xr:uid="{00000000-0005-0000-0000-0000127D0000}"/>
    <cellStyle name="Note 5 7 3 3 3 2" xfId="32019" xr:uid="{00000000-0005-0000-0000-0000137D0000}"/>
    <cellStyle name="Note 5 7 3 3 3 3" xfId="32020" xr:uid="{00000000-0005-0000-0000-0000147D0000}"/>
    <cellStyle name="Note 5 7 3 3 4" xfId="32021" xr:uid="{00000000-0005-0000-0000-0000157D0000}"/>
    <cellStyle name="Note 5 7 3 3 5" xfId="32022" xr:uid="{00000000-0005-0000-0000-0000167D0000}"/>
    <cellStyle name="Note 5 7 4" xfId="32023" xr:uid="{00000000-0005-0000-0000-0000177D0000}"/>
    <cellStyle name="Note 5 7 4 2" xfId="32024" xr:uid="{00000000-0005-0000-0000-0000187D0000}"/>
    <cellStyle name="Note 5 7 4 2 2" xfId="32025" xr:uid="{00000000-0005-0000-0000-0000197D0000}"/>
    <cellStyle name="Note 5 7 4 2 2 2" xfId="32026" xr:uid="{00000000-0005-0000-0000-00001A7D0000}"/>
    <cellStyle name="Note 5 7 4 2 2 2 2" xfId="32027" xr:uid="{00000000-0005-0000-0000-00001B7D0000}"/>
    <cellStyle name="Note 5 7 4 2 2 2 3" xfId="32028" xr:uid="{00000000-0005-0000-0000-00001C7D0000}"/>
    <cellStyle name="Note 5 7 4 2 2 3" xfId="32029" xr:uid="{00000000-0005-0000-0000-00001D7D0000}"/>
    <cellStyle name="Note 5 7 4 2 2 4" xfId="32030" xr:uid="{00000000-0005-0000-0000-00001E7D0000}"/>
    <cellStyle name="Note 5 7 4 2 3" xfId="32031" xr:uid="{00000000-0005-0000-0000-00001F7D0000}"/>
    <cellStyle name="Note 5 7 4 2 3 2" xfId="32032" xr:uid="{00000000-0005-0000-0000-0000207D0000}"/>
    <cellStyle name="Note 5 7 4 2 3 3" xfId="32033" xr:uid="{00000000-0005-0000-0000-0000217D0000}"/>
    <cellStyle name="Note 5 7 4 2 4" xfId="32034" xr:uid="{00000000-0005-0000-0000-0000227D0000}"/>
    <cellStyle name="Note 5 7 4 2 5" xfId="32035" xr:uid="{00000000-0005-0000-0000-0000237D0000}"/>
    <cellStyle name="Note 5 7 5" xfId="32036" xr:uid="{00000000-0005-0000-0000-0000247D0000}"/>
    <cellStyle name="Note 5 7 5 2" xfId="32037" xr:uid="{00000000-0005-0000-0000-0000257D0000}"/>
    <cellStyle name="Note 5 7 5 2 2" xfId="32038" xr:uid="{00000000-0005-0000-0000-0000267D0000}"/>
    <cellStyle name="Note 5 7 5 2 2 2" xfId="32039" xr:uid="{00000000-0005-0000-0000-0000277D0000}"/>
    <cellStyle name="Note 5 7 5 2 2 3" xfId="32040" xr:uid="{00000000-0005-0000-0000-0000287D0000}"/>
    <cellStyle name="Note 5 7 5 2 3" xfId="32041" xr:uid="{00000000-0005-0000-0000-0000297D0000}"/>
    <cellStyle name="Note 5 7 5 2 4" xfId="32042" xr:uid="{00000000-0005-0000-0000-00002A7D0000}"/>
    <cellStyle name="Note 5 7 5 3" xfId="32043" xr:uid="{00000000-0005-0000-0000-00002B7D0000}"/>
    <cellStyle name="Note 5 7 5 3 2" xfId="32044" xr:uid="{00000000-0005-0000-0000-00002C7D0000}"/>
    <cellStyle name="Note 5 7 5 3 3" xfId="32045" xr:uid="{00000000-0005-0000-0000-00002D7D0000}"/>
    <cellStyle name="Note 5 7 5 4" xfId="32046" xr:uid="{00000000-0005-0000-0000-00002E7D0000}"/>
    <cellStyle name="Note 5 7 5 5" xfId="32047" xr:uid="{00000000-0005-0000-0000-00002F7D0000}"/>
    <cellStyle name="Note 5 8" xfId="32048" xr:uid="{00000000-0005-0000-0000-0000307D0000}"/>
    <cellStyle name="Note 5 8 2" xfId="32049" xr:uid="{00000000-0005-0000-0000-0000317D0000}"/>
    <cellStyle name="Note 5 8 2 2" xfId="32050" xr:uid="{00000000-0005-0000-0000-0000327D0000}"/>
    <cellStyle name="Note 5 8 2 2 2" xfId="32051" xr:uid="{00000000-0005-0000-0000-0000337D0000}"/>
    <cellStyle name="Note 5 8 2 2 2 2" xfId="32052" xr:uid="{00000000-0005-0000-0000-0000347D0000}"/>
    <cellStyle name="Note 5 8 2 2 2 2 2" xfId="32053" xr:uid="{00000000-0005-0000-0000-0000357D0000}"/>
    <cellStyle name="Note 5 8 2 2 2 2 2 2" xfId="32054" xr:uid="{00000000-0005-0000-0000-0000367D0000}"/>
    <cellStyle name="Note 5 8 2 2 2 2 2 3" xfId="32055" xr:uid="{00000000-0005-0000-0000-0000377D0000}"/>
    <cellStyle name="Note 5 8 2 2 2 2 3" xfId="32056" xr:uid="{00000000-0005-0000-0000-0000387D0000}"/>
    <cellStyle name="Note 5 8 2 2 2 2 4" xfId="32057" xr:uid="{00000000-0005-0000-0000-0000397D0000}"/>
    <cellStyle name="Note 5 8 2 2 2 3" xfId="32058" xr:uid="{00000000-0005-0000-0000-00003A7D0000}"/>
    <cellStyle name="Note 5 8 2 2 2 3 2" xfId="32059" xr:uid="{00000000-0005-0000-0000-00003B7D0000}"/>
    <cellStyle name="Note 5 8 2 2 2 3 3" xfId="32060" xr:uid="{00000000-0005-0000-0000-00003C7D0000}"/>
    <cellStyle name="Note 5 8 2 2 2 4" xfId="32061" xr:uid="{00000000-0005-0000-0000-00003D7D0000}"/>
    <cellStyle name="Note 5 8 2 2 2 5" xfId="32062" xr:uid="{00000000-0005-0000-0000-00003E7D0000}"/>
    <cellStyle name="Note 5 8 2 3" xfId="32063" xr:uid="{00000000-0005-0000-0000-00003F7D0000}"/>
    <cellStyle name="Note 5 8 2 3 2" xfId="32064" xr:uid="{00000000-0005-0000-0000-0000407D0000}"/>
    <cellStyle name="Note 5 8 2 3 2 2" xfId="32065" xr:uid="{00000000-0005-0000-0000-0000417D0000}"/>
    <cellStyle name="Note 5 8 2 3 2 2 2" xfId="32066" xr:uid="{00000000-0005-0000-0000-0000427D0000}"/>
    <cellStyle name="Note 5 8 2 3 2 2 3" xfId="32067" xr:uid="{00000000-0005-0000-0000-0000437D0000}"/>
    <cellStyle name="Note 5 8 2 3 2 3" xfId="32068" xr:uid="{00000000-0005-0000-0000-0000447D0000}"/>
    <cellStyle name="Note 5 8 2 3 2 4" xfId="32069" xr:uid="{00000000-0005-0000-0000-0000457D0000}"/>
    <cellStyle name="Note 5 8 2 3 3" xfId="32070" xr:uid="{00000000-0005-0000-0000-0000467D0000}"/>
    <cellStyle name="Note 5 8 2 3 3 2" xfId="32071" xr:uid="{00000000-0005-0000-0000-0000477D0000}"/>
    <cellStyle name="Note 5 8 2 3 3 3" xfId="32072" xr:uid="{00000000-0005-0000-0000-0000487D0000}"/>
    <cellStyle name="Note 5 8 2 3 4" xfId="32073" xr:uid="{00000000-0005-0000-0000-0000497D0000}"/>
    <cellStyle name="Note 5 8 2 3 5" xfId="32074" xr:uid="{00000000-0005-0000-0000-00004A7D0000}"/>
    <cellStyle name="Note 5 8 3" xfId="32075" xr:uid="{00000000-0005-0000-0000-00004B7D0000}"/>
    <cellStyle name="Note 5 8 3 2" xfId="32076" xr:uid="{00000000-0005-0000-0000-00004C7D0000}"/>
    <cellStyle name="Note 5 8 3 2 2" xfId="32077" xr:uid="{00000000-0005-0000-0000-00004D7D0000}"/>
    <cellStyle name="Note 5 8 3 2 2 2" xfId="32078" xr:uid="{00000000-0005-0000-0000-00004E7D0000}"/>
    <cellStyle name="Note 5 8 3 2 2 2 2" xfId="32079" xr:uid="{00000000-0005-0000-0000-00004F7D0000}"/>
    <cellStyle name="Note 5 8 3 2 2 2 2 2" xfId="32080" xr:uid="{00000000-0005-0000-0000-0000507D0000}"/>
    <cellStyle name="Note 5 8 3 2 2 2 2 3" xfId="32081" xr:uid="{00000000-0005-0000-0000-0000517D0000}"/>
    <cellStyle name="Note 5 8 3 2 2 2 3" xfId="32082" xr:uid="{00000000-0005-0000-0000-0000527D0000}"/>
    <cellStyle name="Note 5 8 3 2 2 2 4" xfId="32083" xr:uid="{00000000-0005-0000-0000-0000537D0000}"/>
    <cellStyle name="Note 5 8 3 2 2 3" xfId="32084" xr:uid="{00000000-0005-0000-0000-0000547D0000}"/>
    <cellStyle name="Note 5 8 3 2 2 3 2" xfId="32085" xr:uid="{00000000-0005-0000-0000-0000557D0000}"/>
    <cellStyle name="Note 5 8 3 2 2 3 3" xfId="32086" xr:uid="{00000000-0005-0000-0000-0000567D0000}"/>
    <cellStyle name="Note 5 8 3 2 2 4" xfId="32087" xr:uid="{00000000-0005-0000-0000-0000577D0000}"/>
    <cellStyle name="Note 5 8 3 2 2 5" xfId="32088" xr:uid="{00000000-0005-0000-0000-0000587D0000}"/>
    <cellStyle name="Note 5 8 3 3" xfId="32089" xr:uid="{00000000-0005-0000-0000-0000597D0000}"/>
    <cellStyle name="Note 5 8 3 3 2" xfId="32090" xr:uid="{00000000-0005-0000-0000-00005A7D0000}"/>
    <cellStyle name="Note 5 8 3 3 2 2" xfId="32091" xr:uid="{00000000-0005-0000-0000-00005B7D0000}"/>
    <cellStyle name="Note 5 8 3 3 2 2 2" xfId="32092" xr:uid="{00000000-0005-0000-0000-00005C7D0000}"/>
    <cellStyle name="Note 5 8 3 3 2 2 3" xfId="32093" xr:uid="{00000000-0005-0000-0000-00005D7D0000}"/>
    <cellStyle name="Note 5 8 3 3 2 3" xfId="32094" xr:uid="{00000000-0005-0000-0000-00005E7D0000}"/>
    <cellStyle name="Note 5 8 3 3 2 4" xfId="32095" xr:uid="{00000000-0005-0000-0000-00005F7D0000}"/>
    <cellStyle name="Note 5 8 3 3 3" xfId="32096" xr:uid="{00000000-0005-0000-0000-0000607D0000}"/>
    <cellStyle name="Note 5 8 3 3 3 2" xfId="32097" xr:uid="{00000000-0005-0000-0000-0000617D0000}"/>
    <cellStyle name="Note 5 8 3 3 3 3" xfId="32098" xr:uid="{00000000-0005-0000-0000-0000627D0000}"/>
    <cellStyle name="Note 5 8 3 3 4" xfId="32099" xr:uid="{00000000-0005-0000-0000-0000637D0000}"/>
    <cellStyle name="Note 5 8 3 3 5" xfId="32100" xr:uid="{00000000-0005-0000-0000-0000647D0000}"/>
    <cellStyle name="Note 5 8 4" xfId="32101" xr:uid="{00000000-0005-0000-0000-0000657D0000}"/>
    <cellStyle name="Note 5 8 4 2" xfId="32102" xr:uid="{00000000-0005-0000-0000-0000667D0000}"/>
    <cellStyle name="Note 5 8 4 2 2" xfId="32103" xr:uid="{00000000-0005-0000-0000-0000677D0000}"/>
    <cellStyle name="Note 5 8 4 2 2 2" xfId="32104" xr:uid="{00000000-0005-0000-0000-0000687D0000}"/>
    <cellStyle name="Note 5 8 4 2 2 2 2" xfId="32105" xr:uid="{00000000-0005-0000-0000-0000697D0000}"/>
    <cellStyle name="Note 5 8 4 2 2 2 3" xfId="32106" xr:uid="{00000000-0005-0000-0000-00006A7D0000}"/>
    <cellStyle name="Note 5 8 4 2 2 3" xfId="32107" xr:uid="{00000000-0005-0000-0000-00006B7D0000}"/>
    <cellStyle name="Note 5 8 4 2 2 4" xfId="32108" xr:uid="{00000000-0005-0000-0000-00006C7D0000}"/>
    <cellStyle name="Note 5 8 4 2 3" xfId="32109" xr:uid="{00000000-0005-0000-0000-00006D7D0000}"/>
    <cellStyle name="Note 5 8 4 2 3 2" xfId="32110" xr:uid="{00000000-0005-0000-0000-00006E7D0000}"/>
    <cellStyle name="Note 5 8 4 2 3 3" xfId="32111" xr:uid="{00000000-0005-0000-0000-00006F7D0000}"/>
    <cellStyle name="Note 5 8 4 2 4" xfId="32112" xr:uid="{00000000-0005-0000-0000-0000707D0000}"/>
    <cellStyle name="Note 5 8 4 2 5" xfId="32113" xr:uid="{00000000-0005-0000-0000-0000717D0000}"/>
    <cellStyle name="Note 5 8 5" xfId="32114" xr:uid="{00000000-0005-0000-0000-0000727D0000}"/>
    <cellStyle name="Note 5 8 5 2" xfId="32115" xr:uid="{00000000-0005-0000-0000-0000737D0000}"/>
    <cellStyle name="Note 5 8 5 2 2" xfId="32116" xr:uid="{00000000-0005-0000-0000-0000747D0000}"/>
    <cellStyle name="Note 5 8 5 2 2 2" xfId="32117" xr:uid="{00000000-0005-0000-0000-0000757D0000}"/>
    <cellStyle name="Note 5 8 5 2 2 3" xfId="32118" xr:uid="{00000000-0005-0000-0000-0000767D0000}"/>
    <cellStyle name="Note 5 8 5 2 3" xfId="32119" xr:uid="{00000000-0005-0000-0000-0000777D0000}"/>
    <cellStyle name="Note 5 8 5 2 4" xfId="32120" xr:uid="{00000000-0005-0000-0000-0000787D0000}"/>
    <cellStyle name="Note 5 8 5 3" xfId="32121" xr:uid="{00000000-0005-0000-0000-0000797D0000}"/>
    <cellStyle name="Note 5 8 5 3 2" xfId="32122" xr:uid="{00000000-0005-0000-0000-00007A7D0000}"/>
    <cellStyle name="Note 5 8 5 3 3" xfId="32123" xr:uid="{00000000-0005-0000-0000-00007B7D0000}"/>
    <cellStyle name="Note 5 8 5 4" xfId="32124" xr:uid="{00000000-0005-0000-0000-00007C7D0000}"/>
    <cellStyle name="Note 5 8 5 5" xfId="32125" xr:uid="{00000000-0005-0000-0000-00007D7D0000}"/>
    <cellStyle name="Note 5 9" xfId="32126" xr:uid="{00000000-0005-0000-0000-00007E7D0000}"/>
    <cellStyle name="Note 5 9 2" xfId="32127" xr:uid="{00000000-0005-0000-0000-00007F7D0000}"/>
    <cellStyle name="Note 5 9 2 2" xfId="32128" xr:uid="{00000000-0005-0000-0000-0000807D0000}"/>
    <cellStyle name="Note 5 9 2 2 2" xfId="32129" xr:uid="{00000000-0005-0000-0000-0000817D0000}"/>
    <cellStyle name="Note 5 9 2 2 2 2" xfId="32130" xr:uid="{00000000-0005-0000-0000-0000827D0000}"/>
    <cellStyle name="Note 5 9 2 2 2 2 2" xfId="32131" xr:uid="{00000000-0005-0000-0000-0000837D0000}"/>
    <cellStyle name="Note 5 9 2 2 2 2 3" xfId="32132" xr:uid="{00000000-0005-0000-0000-0000847D0000}"/>
    <cellStyle name="Note 5 9 2 2 2 3" xfId="32133" xr:uid="{00000000-0005-0000-0000-0000857D0000}"/>
    <cellStyle name="Note 5 9 2 2 2 4" xfId="32134" xr:uid="{00000000-0005-0000-0000-0000867D0000}"/>
    <cellStyle name="Note 5 9 2 2 3" xfId="32135" xr:uid="{00000000-0005-0000-0000-0000877D0000}"/>
    <cellStyle name="Note 5 9 2 2 3 2" xfId="32136" xr:uid="{00000000-0005-0000-0000-0000887D0000}"/>
    <cellStyle name="Note 5 9 2 2 3 3" xfId="32137" xr:uid="{00000000-0005-0000-0000-0000897D0000}"/>
    <cellStyle name="Note 5 9 2 2 4" xfId="32138" xr:uid="{00000000-0005-0000-0000-00008A7D0000}"/>
    <cellStyle name="Note 5 9 2 2 5" xfId="32139" xr:uid="{00000000-0005-0000-0000-00008B7D0000}"/>
    <cellStyle name="Note 5 9 3" xfId="32140" xr:uid="{00000000-0005-0000-0000-00008C7D0000}"/>
    <cellStyle name="Note 5 9 3 2" xfId="32141" xr:uid="{00000000-0005-0000-0000-00008D7D0000}"/>
    <cellStyle name="Note 5 9 3 2 2" xfId="32142" xr:uid="{00000000-0005-0000-0000-00008E7D0000}"/>
    <cellStyle name="Note 5 9 3 2 2 2" xfId="32143" xr:uid="{00000000-0005-0000-0000-00008F7D0000}"/>
    <cellStyle name="Note 5 9 3 2 2 3" xfId="32144" xr:uid="{00000000-0005-0000-0000-0000907D0000}"/>
    <cellStyle name="Note 5 9 3 2 3" xfId="32145" xr:uid="{00000000-0005-0000-0000-0000917D0000}"/>
    <cellStyle name="Note 5 9 3 2 4" xfId="32146" xr:uid="{00000000-0005-0000-0000-0000927D0000}"/>
    <cellStyle name="Note 5 9 3 3" xfId="32147" xr:uid="{00000000-0005-0000-0000-0000937D0000}"/>
    <cellStyle name="Note 5 9 3 3 2" xfId="32148" xr:uid="{00000000-0005-0000-0000-0000947D0000}"/>
    <cellStyle name="Note 5 9 3 3 3" xfId="32149" xr:uid="{00000000-0005-0000-0000-0000957D0000}"/>
    <cellStyle name="Note 5 9 3 4" xfId="32150" xr:uid="{00000000-0005-0000-0000-0000967D0000}"/>
    <cellStyle name="Note 5 9 3 5" xfId="32151" xr:uid="{00000000-0005-0000-0000-0000977D0000}"/>
    <cellStyle name="Note 50" xfId="32152" xr:uid="{00000000-0005-0000-0000-0000987D0000}"/>
    <cellStyle name="Note 51" xfId="32153" xr:uid="{00000000-0005-0000-0000-0000997D0000}"/>
    <cellStyle name="Note 52" xfId="32154" xr:uid="{00000000-0005-0000-0000-00009A7D0000}"/>
    <cellStyle name="Note 53" xfId="32155" xr:uid="{00000000-0005-0000-0000-00009B7D0000}"/>
    <cellStyle name="Note 54" xfId="32156" xr:uid="{00000000-0005-0000-0000-00009C7D0000}"/>
    <cellStyle name="Note 6" xfId="32157" xr:uid="{00000000-0005-0000-0000-00009D7D0000}"/>
    <cellStyle name="Note 6 2" xfId="32158" xr:uid="{00000000-0005-0000-0000-00009E7D0000}"/>
    <cellStyle name="Note 6 2 2" xfId="32159" xr:uid="{00000000-0005-0000-0000-00009F7D0000}"/>
    <cellStyle name="Note 6 2 2 2" xfId="32160" xr:uid="{00000000-0005-0000-0000-0000A07D0000}"/>
    <cellStyle name="Note 6 2 2 2 2" xfId="32161" xr:uid="{00000000-0005-0000-0000-0000A17D0000}"/>
    <cellStyle name="Note 6 2 2 2 2 2" xfId="32162" xr:uid="{00000000-0005-0000-0000-0000A27D0000}"/>
    <cellStyle name="Note 6 2 2 2 2 2 2" xfId="32163" xr:uid="{00000000-0005-0000-0000-0000A37D0000}"/>
    <cellStyle name="Note 6 2 2 2 2 2 3" xfId="32164" xr:uid="{00000000-0005-0000-0000-0000A47D0000}"/>
    <cellStyle name="Note 6 2 2 2 2 3" xfId="32165" xr:uid="{00000000-0005-0000-0000-0000A57D0000}"/>
    <cellStyle name="Note 6 2 2 2 2 4" xfId="32166" xr:uid="{00000000-0005-0000-0000-0000A67D0000}"/>
    <cellStyle name="Note 6 2 2 2 3" xfId="32167" xr:uid="{00000000-0005-0000-0000-0000A77D0000}"/>
    <cellStyle name="Note 6 2 2 2 3 2" xfId="32168" xr:uid="{00000000-0005-0000-0000-0000A87D0000}"/>
    <cellStyle name="Note 6 2 2 2 3 3" xfId="32169" xr:uid="{00000000-0005-0000-0000-0000A97D0000}"/>
    <cellStyle name="Note 6 2 2 2 4" xfId="32170" xr:uid="{00000000-0005-0000-0000-0000AA7D0000}"/>
    <cellStyle name="Note 6 2 2 2 5" xfId="32171" xr:uid="{00000000-0005-0000-0000-0000AB7D0000}"/>
    <cellStyle name="Note 6 2 3" xfId="32172" xr:uid="{00000000-0005-0000-0000-0000AC7D0000}"/>
    <cellStyle name="Note 6 2 3 2" xfId="32173" xr:uid="{00000000-0005-0000-0000-0000AD7D0000}"/>
    <cellStyle name="Note 6 2 3 2 2" xfId="32174" xr:uid="{00000000-0005-0000-0000-0000AE7D0000}"/>
    <cellStyle name="Note 6 2 3 2 2 2" xfId="32175" xr:uid="{00000000-0005-0000-0000-0000AF7D0000}"/>
    <cellStyle name="Note 6 2 3 2 2 3" xfId="32176" xr:uid="{00000000-0005-0000-0000-0000B07D0000}"/>
    <cellStyle name="Note 6 2 3 2 3" xfId="32177" xr:uid="{00000000-0005-0000-0000-0000B17D0000}"/>
    <cellStyle name="Note 6 2 3 2 4" xfId="32178" xr:uid="{00000000-0005-0000-0000-0000B27D0000}"/>
    <cellStyle name="Note 6 2 3 3" xfId="32179" xr:uid="{00000000-0005-0000-0000-0000B37D0000}"/>
    <cellStyle name="Note 6 2 3 3 2" xfId="32180" xr:uid="{00000000-0005-0000-0000-0000B47D0000}"/>
    <cellStyle name="Note 6 2 3 3 3" xfId="32181" xr:uid="{00000000-0005-0000-0000-0000B57D0000}"/>
    <cellStyle name="Note 6 2 3 4" xfId="32182" xr:uid="{00000000-0005-0000-0000-0000B67D0000}"/>
    <cellStyle name="Note 6 2 3 5" xfId="32183" xr:uid="{00000000-0005-0000-0000-0000B77D0000}"/>
    <cellStyle name="Note 6 3" xfId="32184" xr:uid="{00000000-0005-0000-0000-0000B87D0000}"/>
    <cellStyle name="Note 6 3 2" xfId="32185" xr:uid="{00000000-0005-0000-0000-0000B97D0000}"/>
    <cellStyle name="Note 6 3 2 2" xfId="32186" xr:uid="{00000000-0005-0000-0000-0000BA7D0000}"/>
    <cellStyle name="Note 6 3 2 2 2" xfId="32187" xr:uid="{00000000-0005-0000-0000-0000BB7D0000}"/>
    <cellStyle name="Note 6 3 2 2 2 2" xfId="32188" xr:uid="{00000000-0005-0000-0000-0000BC7D0000}"/>
    <cellStyle name="Note 6 3 2 2 2 2 2" xfId="32189" xr:uid="{00000000-0005-0000-0000-0000BD7D0000}"/>
    <cellStyle name="Note 6 3 2 2 2 2 3" xfId="32190" xr:uid="{00000000-0005-0000-0000-0000BE7D0000}"/>
    <cellStyle name="Note 6 3 2 2 2 3" xfId="32191" xr:uid="{00000000-0005-0000-0000-0000BF7D0000}"/>
    <cellStyle name="Note 6 3 2 2 2 4" xfId="32192" xr:uid="{00000000-0005-0000-0000-0000C07D0000}"/>
    <cellStyle name="Note 6 3 2 2 3" xfId="32193" xr:uid="{00000000-0005-0000-0000-0000C17D0000}"/>
    <cellStyle name="Note 6 3 2 2 3 2" xfId="32194" xr:uid="{00000000-0005-0000-0000-0000C27D0000}"/>
    <cellStyle name="Note 6 3 2 2 3 3" xfId="32195" xr:uid="{00000000-0005-0000-0000-0000C37D0000}"/>
    <cellStyle name="Note 6 3 2 2 4" xfId="32196" xr:uid="{00000000-0005-0000-0000-0000C47D0000}"/>
    <cellStyle name="Note 6 3 2 2 5" xfId="32197" xr:uid="{00000000-0005-0000-0000-0000C57D0000}"/>
    <cellStyle name="Note 6 3 3" xfId="32198" xr:uid="{00000000-0005-0000-0000-0000C67D0000}"/>
    <cellStyle name="Note 6 3 3 2" xfId="32199" xr:uid="{00000000-0005-0000-0000-0000C77D0000}"/>
    <cellStyle name="Note 6 3 3 2 2" xfId="32200" xr:uid="{00000000-0005-0000-0000-0000C87D0000}"/>
    <cellStyle name="Note 6 3 3 2 2 2" xfId="32201" xr:uid="{00000000-0005-0000-0000-0000C97D0000}"/>
    <cellStyle name="Note 6 3 3 2 2 3" xfId="32202" xr:uid="{00000000-0005-0000-0000-0000CA7D0000}"/>
    <cellStyle name="Note 6 3 3 2 3" xfId="32203" xr:uid="{00000000-0005-0000-0000-0000CB7D0000}"/>
    <cellStyle name="Note 6 3 3 2 4" xfId="32204" xr:uid="{00000000-0005-0000-0000-0000CC7D0000}"/>
    <cellStyle name="Note 6 3 3 3" xfId="32205" xr:uid="{00000000-0005-0000-0000-0000CD7D0000}"/>
    <cellStyle name="Note 6 3 3 3 2" xfId="32206" xr:uid="{00000000-0005-0000-0000-0000CE7D0000}"/>
    <cellStyle name="Note 6 3 3 3 3" xfId="32207" xr:uid="{00000000-0005-0000-0000-0000CF7D0000}"/>
    <cellStyle name="Note 6 3 3 4" xfId="32208" xr:uid="{00000000-0005-0000-0000-0000D07D0000}"/>
    <cellStyle name="Note 6 3 3 5" xfId="32209" xr:uid="{00000000-0005-0000-0000-0000D17D0000}"/>
    <cellStyle name="Note 6 4" xfId="32210" xr:uid="{00000000-0005-0000-0000-0000D27D0000}"/>
    <cellStyle name="Note 6 4 2" xfId="32211" xr:uid="{00000000-0005-0000-0000-0000D37D0000}"/>
    <cellStyle name="Note 6 4 2 2" xfId="32212" xr:uid="{00000000-0005-0000-0000-0000D47D0000}"/>
    <cellStyle name="Note 6 4 2 2 2" xfId="32213" xr:uid="{00000000-0005-0000-0000-0000D57D0000}"/>
    <cellStyle name="Note 6 4 2 2 2 2" xfId="32214" xr:uid="{00000000-0005-0000-0000-0000D67D0000}"/>
    <cellStyle name="Note 6 4 2 2 2 2 2" xfId="32215" xr:uid="{00000000-0005-0000-0000-0000D77D0000}"/>
    <cellStyle name="Note 6 4 2 2 2 2 3" xfId="32216" xr:uid="{00000000-0005-0000-0000-0000D87D0000}"/>
    <cellStyle name="Note 6 4 2 2 2 3" xfId="32217" xr:uid="{00000000-0005-0000-0000-0000D97D0000}"/>
    <cellStyle name="Note 6 4 2 2 2 4" xfId="32218" xr:uid="{00000000-0005-0000-0000-0000DA7D0000}"/>
    <cellStyle name="Note 6 4 2 2 3" xfId="32219" xr:uid="{00000000-0005-0000-0000-0000DB7D0000}"/>
    <cellStyle name="Note 6 4 2 2 3 2" xfId="32220" xr:uid="{00000000-0005-0000-0000-0000DC7D0000}"/>
    <cellStyle name="Note 6 4 2 2 3 3" xfId="32221" xr:uid="{00000000-0005-0000-0000-0000DD7D0000}"/>
    <cellStyle name="Note 6 4 2 2 4" xfId="32222" xr:uid="{00000000-0005-0000-0000-0000DE7D0000}"/>
    <cellStyle name="Note 6 4 2 2 5" xfId="32223" xr:uid="{00000000-0005-0000-0000-0000DF7D0000}"/>
    <cellStyle name="Note 6 4 3" xfId="32224" xr:uid="{00000000-0005-0000-0000-0000E07D0000}"/>
    <cellStyle name="Note 6 4 3 2" xfId="32225" xr:uid="{00000000-0005-0000-0000-0000E17D0000}"/>
    <cellStyle name="Note 6 4 3 2 2" xfId="32226" xr:uid="{00000000-0005-0000-0000-0000E27D0000}"/>
    <cellStyle name="Note 6 4 3 2 2 2" xfId="32227" xr:uid="{00000000-0005-0000-0000-0000E37D0000}"/>
    <cellStyle name="Note 6 4 3 2 2 3" xfId="32228" xr:uid="{00000000-0005-0000-0000-0000E47D0000}"/>
    <cellStyle name="Note 6 4 3 2 3" xfId="32229" xr:uid="{00000000-0005-0000-0000-0000E57D0000}"/>
    <cellStyle name="Note 6 4 3 2 4" xfId="32230" xr:uid="{00000000-0005-0000-0000-0000E67D0000}"/>
    <cellStyle name="Note 6 4 3 3" xfId="32231" xr:uid="{00000000-0005-0000-0000-0000E77D0000}"/>
    <cellStyle name="Note 6 4 3 3 2" xfId="32232" xr:uid="{00000000-0005-0000-0000-0000E87D0000}"/>
    <cellStyle name="Note 6 4 3 3 3" xfId="32233" xr:uid="{00000000-0005-0000-0000-0000E97D0000}"/>
    <cellStyle name="Note 6 4 3 4" xfId="32234" xr:uid="{00000000-0005-0000-0000-0000EA7D0000}"/>
    <cellStyle name="Note 6 4 3 5" xfId="32235" xr:uid="{00000000-0005-0000-0000-0000EB7D0000}"/>
    <cellStyle name="Note 6 5" xfId="32236" xr:uid="{00000000-0005-0000-0000-0000EC7D0000}"/>
    <cellStyle name="Note 6 5 2" xfId="32237" xr:uid="{00000000-0005-0000-0000-0000ED7D0000}"/>
    <cellStyle name="Note 6 5 2 2" xfId="32238" xr:uid="{00000000-0005-0000-0000-0000EE7D0000}"/>
    <cellStyle name="Note 6 5 2 2 2" xfId="32239" xr:uid="{00000000-0005-0000-0000-0000EF7D0000}"/>
    <cellStyle name="Note 6 5 2 2 2 2" xfId="32240" xr:uid="{00000000-0005-0000-0000-0000F07D0000}"/>
    <cellStyle name="Note 6 5 2 2 2 3" xfId="32241" xr:uid="{00000000-0005-0000-0000-0000F17D0000}"/>
    <cellStyle name="Note 6 5 2 2 3" xfId="32242" xr:uid="{00000000-0005-0000-0000-0000F27D0000}"/>
    <cellStyle name="Note 6 5 2 2 4" xfId="32243" xr:uid="{00000000-0005-0000-0000-0000F37D0000}"/>
    <cellStyle name="Note 6 5 2 3" xfId="32244" xr:uid="{00000000-0005-0000-0000-0000F47D0000}"/>
    <cellStyle name="Note 6 5 2 3 2" xfId="32245" xr:uid="{00000000-0005-0000-0000-0000F57D0000}"/>
    <cellStyle name="Note 6 5 2 3 3" xfId="32246" xr:uid="{00000000-0005-0000-0000-0000F67D0000}"/>
    <cellStyle name="Note 6 5 2 4" xfId="32247" xr:uid="{00000000-0005-0000-0000-0000F77D0000}"/>
    <cellStyle name="Note 6 5 2 5" xfId="32248" xr:uid="{00000000-0005-0000-0000-0000F87D0000}"/>
    <cellStyle name="Note 6 6" xfId="32249" xr:uid="{00000000-0005-0000-0000-0000F97D0000}"/>
    <cellStyle name="Note 6 6 2" xfId="32250" xr:uid="{00000000-0005-0000-0000-0000FA7D0000}"/>
    <cellStyle name="Note 6 6 2 2" xfId="32251" xr:uid="{00000000-0005-0000-0000-0000FB7D0000}"/>
    <cellStyle name="Note 6 6 2 2 2" xfId="32252" xr:uid="{00000000-0005-0000-0000-0000FC7D0000}"/>
    <cellStyle name="Note 6 6 2 2 2 2" xfId="32253" xr:uid="{00000000-0005-0000-0000-0000FD7D0000}"/>
    <cellStyle name="Note 6 6 2 2 2 3" xfId="32254" xr:uid="{00000000-0005-0000-0000-0000FE7D0000}"/>
    <cellStyle name="Note 6 6 2 2 3" xfId="32255" xr:uid="{00000000-0005-0000-0000-0000FF7D0000}"/>
    <cellStyle name="Note 6 6 2 2 4" xfId="32256" xr:uid="{00000000-0005-0000-0000-0000007E0000}"/>
    <cellStyle name="Note 6 6 2 3" xfId="32257" xr:uid="{00000000-0005-0000-0000-0000017E0000}"/>
    <cellStyle name="Note 6 6 2 3 2" xfId="32258" xr:uid="{00000000-0005-0000-0000-0000027E0000}"/>
    <cellStyle name="Note 6 6 2 3 3" xfId="32259" xr:uid="{00000000-0005-0000-0000-0000037E0000}"/>
    <cellStyle name="Note 6 6 2 4" xfId="32260" xr:uid="{00000000-0005-0000-0000-0000047E0000}"/>
    <cellStyle name="Note 6 6 2 5" xfId="32261" xr:uid="{00000000-0005-0000-0000-0000057E0000}"/>
    <cellStyle name="Note 6 7" xfId="32262" xr:uid="{00000000-0005-0000-0000-0000067E0000}"/>
    <cellStyle name="Note 6 7 2" xfId="32263" xr:uid="{00000000-0005-0000-0000-0000077E0000}"/>
    <cellStyle name="Note 6 7 2 2" xfId="32264" xr:uid="{00000000-0005-0000-0000-0000087E0000}"/>
    <cellStyle name="Note 6 7 2 2 2" xfId="32265" xr:uid="{00000000-0005-0000-0000-0000097E0000}"/>
    <cellStyle name="Note 6 7 2 2 2 2" xfId="32266" xr:uid="{00000000-0005-0000-0000-00000A7E0000}"/>
    <cellStyle name="Note 6 7 2 2 2 3" xfId="32267" xr:uid="{00000000-0005-0000-0000-00000B7E0000}"/>
    <cellStyle name="Note 6 7 2 2 3" xfId="32268" xr:uid="{00000000-0005-0000-0000-00000C7E0000}"/>
    <cellStyle name="Note 6 7 2 2 4" xfId="32269" xr:uid="{00000000-0005-0000-0000-00000D7E0000}"/>
    <cellStyle name="Note 6 7 2 3" xfId="32270" xr:uid="{00000000-0005-0000-0000-00000E7E0000}"/>
    <cellStyle name="Note 6 7 2 3 2" xfId="32271" xr:uid="{00000000-0005-0000-0000-00000F7E0000}"/>
    <cellStyle name="Note 6 7 2 3 3" xfId="32272" xr:uid="{00000000-0005-0000-0000-0000107E0000}"/>
    <cellStyle name="Note 6 7 2 4" xfId="32273" xr:uid="{00000000-0005-0000-0000-0000117E0000}"/>
    <cellStyle name="Note 6 7 2 5" xfId="32274" xr:uid="{00000000-0005-0000-0000-0000127E0000}"/>
    <cellStyle name="Note 6 8" xfId="32275" xr:uid="{00000000-0005-0000-0000-0000137E0000}"/>
    <cellStyle name="Note 6 8 2" xfId="32276" xr:uid="{00000000-0005-0000-0000-0000147E0000}"/>
    <cellStyle name="Note 6 8 2 2" xfId="32277" xr:uid="{00000000-0005-0000-0000-0000157E0000}"/>
    <cellStyle name="Note 6 8 2 2 2" xfId="32278" xr:uid="{00000000-0005-0000-0000-0000167E0000}"/>
    <cellStyle name="Note 6 8 2 2 2 2" xfId="32279" xr:uid="{00000000-0005-0000-0000-0000177E0000}"/>
    <cellStyle name="Note 6 8 2 2 2 3" xfId="32280" xr:uid="{00000000-0005-0000-0000-0000187E0000}"/>
    <cellStyle name="Note 6 8 2 2 3" xfId="32281" xr:uid="{00000000-0005-0000-0000-0000197E0000}"/>
    <cellStyle name="Note 6 8 2 2 4" xfId="32282" xr:uid="{00000000-0005-0000-0000-00001A7E0000}"/>
    <cellStyle name="Note 6 8 2 3" xfId="32283" xr:uid="{00000000-0005-0000-0000-00001B7E0000}"/>
    <cellStyle name="Note 6 8 2 3 2" xfId="32284" xr:uid="{00000000-0005-0000-0000-00001C7E0000}"/>
    <cellStyle name="Note 6 8 2 3 3" xfId="32285" xr:uid="{00000000-0005-0000-0000-00001D7E0000}"/>
    <cellStyle name="Note 6 8 2 4" xfId="32286" xr:uid="{00000000-0005-0000-0000-00001E7E0000}"/>
    <cellStyle name="Note 6 8 2 5" xfId="32287" xr:uid="{00000000-0005-0000-0000-00001F7E0000}"/>
    <cellStyle name="Note 6 9" xfId="32288" xr:uid="{00000000-0005-0000-0000-0000207E0000}"/>
    <cellStyle name="Note 6 9 2" xfId="32289" xr:uid="{00000000-0005-0000-0000-0000217E0000}"/>
    <cellStyle name="Note 6 9 2 2" xfId="32290" xr:uid="{00000000-0005-0000-0000-0000227E0000}"/>
    <cellStyle name="Note 6 9 2 2 2" xfId="32291" xr:uid="{00000000-0005-0000-0000-0000237E0000}"/>
    <cellStyle name="Note 6 9 2 2 3" xfId="32292" xr:uid="{00000000-0005-0000-0000-0000247E0000}"/>
    <cellStyle name="Note 6 9 2 3" xfId="32293" xr:uid="{00000000-0005-0000-0000-0000257E0000}"/>
    <cellStyle name="Note 6 9 2 4" xfId="32294" xr:uid="{00000000-0005-0000-0000-0000267E0000}"/>
    <cellStyle name="Note 6 9 3" xfId="32295" xr:uid="{00000000-0005-0000-0000-0000277E0000}"/>
    <cellStyle name="Note 6 9 3 2" xfId="32296" xr:uid="{00000000-0005-0000-0000-0000287E0000}"/>
    <cellStyle name="Note 6 9 3 3" xfId="32297" xr:uid="{00000000-0005-0000-0000-0000297E0000}"/>
    <cellStyle name="Note 6 9 4" xfId="32298" xr:uid="{00000000-0005-0000-0000-00002A7E0000}"/>
    <cellStyle name="Note 6 9 5" xfId="32299" xr:uid="{00000000-0005-0000-0000-00002B7E0000}"/>
    <cellStyle name="Note 7" xfId="32300" xr:uid="{00000000-0005-0000-0000-00002C7E0000}"/>
    <cellStyle name="Note 7 2" xfId="32301" xr:uid="{00000000-0005-0000-0000-00002D7E0000}"/>
    <cellStyle name="Note 7 2 2" xfId="32302" xr:uid="{00000000-0005-0000-0000-00002E7E0000}"/>
    <cellStyle name="Note 7 2 2 2" xfId="32303" xr:uid="{00000000-0005-0000-0000-00002F7E0000}"/>
    <cellStyle name="Note 7 2 2 2 2" xfId="32304" xr:uid="{00000000-0005-0000-0000-0000307E0000}"/>
    <cellStyle name="Note 7 2 2 2 2 2" xfId="32305" xr:uid="{00000000-0005-0000-0000-0000317E0000}"/>
    <cellStyle name="Note 7 2 2 2 2 2 2" xfId="32306" xr:uid="{00000000-0005-0000-0000-0000327E0000}"/>
    <cellStyle name="Note 7 2 2 2 2 2 3" xfId="32307" xr:uid="{00000000-0005-0000-0000-0000337E0000}"/>
    <cellStyle name="Note 7 2 2 2 2 3" xfId="32308" xr:uid="{00000000-0005-0000-0000-0000347E0000}"/>
    <cellStyle name="Note 7 2 2 2 2 4" xfId="32309" xr:uid="{00000000-0005-0000-0000-0000357E0000}"/>
    <cellStyle name="Note 7 2 2 2 3" xfId="32310" xr:uid="{00000000-0005-0000-0000-0000367E0000}"/>
    <cellStyle name="Note 7 2 2 2 3 2" xfId="32311" xr:uid="{00000000-0005-0000-0000-0000377E0000}"/>
    <cellStyle name="Note 7 2 2 2 3 3" xfId="32312" xr:uid="{00000000-0005-0000-0000-0000387E0000}"/>
    <cellStyle name="Note 7 2 2 2 4" xfId="32313" xr:uid="{00000000-0005-0000-0000-0000397E0000}"/>
    <cellStyle name="Note 7 2 2 2 5" xfId="32314" xr:uid="{00000000-0005-0000-0000-00003A7E0000}"/>
    <cellStyle name="Note 7 2 3" xfId="32315" xr:uid="{00000000-0005-0000-0000-00003B7E0000}"/>
    <cellStyle name="Note 7 2 3 2" xfId="32316" xr:uid="{00000000-0005-0000-0000-00003C7E0000}"/>
    <cellStyle name="Note 7 2 3 2 2" xfId="32317" xr:uid="{00000000-0005-0000-0000-00003D7E0000}"/>
    <cellStyle name="Note 7 2 3 2 2 2" xfId="32318" xr:uid="{00000000-0005-0000-0000-00003E7E0000}"/>
    <cellStyle name="Note 7 2 3 2 2 3" xfId="32319" xr:uid="{00000000-0005-0000-0000-00003F7E0000}"/>
    <cellStyle name="Note 7 2 3 2 3" xfId="32320" xr:uid="{00000000-0005-0000-0000-0000407E0000}"/>
    <cellStyle name="Note 7 2 3 2 4" xfId="32321" xr:uid="{00000000-0005-0000-0000-0000417E0000}"/>
    <cellStyle name="Note 7 2 3 3" xfId="32322" xr:uid="{00000000-0005-0000-0000-0000427E0000}"/>
    <cellStyle name="Note 7 2 3 3 2" xfId="32323" xr:uid="{00000000-0005-0000-0000-0000437E0000}"/>
    <cellStyle name="Note 7 2 3 3 3" xfId="32324" xr:uid="{00000000-0005-0000-0000-0000447E0000}"/>
    <cellStyle name="Note 7 2 3 4" xfId="32325" xr:uid="{00000000-0005-0000-0000-0000457E0000}"/>
    <cellStyle name="Note 7 2 3 5" xfId="32326" xr:uid="{00000000-0005-0000-0000-0000467E0000}"/>
    <cellStyle name="Note 7 3" xfId="32327" xr:uid="{00000000-0005-0000-0000-0000477E0000}"/>
    <cellStyle name="Note 7 3 2" xfId="32328" xr:uid="{00000000-0005-0000-0000-0000487E0000}"/>
    <cellStyle name="Note 7 3 2 2" xfId="32329" xr:uid="{00000000-0005-0000-0000-0000497E0000}"/>
    <cellStyle name="Note 7 3 2 2 2" xfId="32330" xr:uid="{00000000-0005-0000-0000-00004A7E0000}"/>
    <cellStyle name="Note 7 3 2 2 2 2" xfId="32331" xr:uid="{00000000-0005-0000-0000-00004B7E0000}"/>
    <cellStyle name="Note 7 3 2 2 2 2 2" xfId="32332" xr:uid="{00000000-0005-0000-0000-00004C7E0000}"/>
    <cellStyle name="Note 7 3 2 2 2 2 3" xfId="32333" xr:uid="{00000000-0005-0000-0000-00004D7E0000}"/>
    <cellStyle name="Note 7 3 2 2 2 3" xfId="32334" xr:uid="{00000000-0005-0000-0000-00004E7E0000}"/>
    <cellStyle name="Note 7 3 2 2 2 4" xfId="32335" xr:uid="{00000000-0005-0000-0000-00004F7E0000}"/>
    <cellStyle name="Note 7 3 2 2 3" xfId="32336" xr:uid="{00000000-0005-0000-0000-0000507E0000}"/>
    <cellStyle name="Note 7 3 2 2 3 2" xfId="32337" xr:uid="{00000000-0005-0000-0000-0000517E0000}"/>
    <cellStyle name="Note 7 3 2 2 3 3" xfId="32338" xr:uid="{00000000-0005-0000-0000-0000527E0000}"/>
    <cellStyle name="Note 7 3 2 2 4" xfId="32339" xr:uid="{00000000-0005-0000-0000-0000537E0000}"/>
    <cellStyle name="Note 7 3 2 2 5" xfId="32340" xr:uid="{00000000-0005-0000-0000-0000547E0000}"/>
    <cellStyle name="Note 7 3 3" xfId="32341" xr:uid="{00000000-0005-0000-0000-0000557E0000}"/>
    <cellStyle name="Note 7 3 3 2" xfId="32342" xr:uid="{00000000-0005-0000-0000-0000567E0000}"/>
    <cellStyle name="Note 7 3 3 2 2" xfId="32343" xr:uid="{00000000-0005-0000-0000-0000577E0000}"/>
    <cellStyle name="Note 7 3 3 2 2 2" xfId="32344" xr:uid="{00000000-0005-0000-0000-0000587E0000}"/>
    <cellStyle name="Note 7 3 3 2 2 3" xfId="32345" xr:uid="{00000000-0005-0000-0000-0000597E0000}"/>
    <cellStyle name="Note 7 3 3 2 3" xfId="32346" xr:uid="{00000000-0005-0000-0000-00005A7E0000}"/>
    <cellStyle name="Note 7 3 3 2 4" xfId="32347" xr:uid="{00000000-0005-0000-0000-00005B7E0000}"/>
    <cellStyle name="Note 7 3 3 3" xfId="32348" xr:uid="{00000000-0005-0000-0000-00005C7E0000}"/>
    <cellStyle name="Note 7 3 3 3 2" xfId="32349" xr:uid="{00000000-0005-0000-0000-00005D7E0000}"/>
    <cellStyle name="Note 7 3 3 3 3" xfId="32350" xr:uid="{00000000-0005-0000-0000-00005E7E0000}"/>
    <cellStyle name="Note 7 3 3 4" xfId="32351" xr:uid="{00000000-0005-0000-0000-00005F7E0000}"/>
    <cellStyle name="Note 7 3 3 5" xfId="32352" xr:uid="{00000000-0005-0000-0000-0000607E0000}"/>
    <cellStyle name="Note 7 4" xfId="32353" xr:uid="{00000000-0005-0000-0000-0000617E0000}"/>
    <cellStyle name="Note 7 4 2" xfId="32354" xr:uid="{00000000-0005-0000-0000-0000627E0000}"/>
    <cellStyle name="Note 7 4 2 2" xfId="32355" xr:uid="{00000000-0005-0000-0000-0000637E0000}"/>
    <cellStyle name="Note 7 4 2 2 2" xfId="32356" xr:uid="{00000000-0005-0000-0000-0000647E0000}"/>
    <cellStyle name="Note 7 4 2 2 2 2" xfId="32357" xr:uid="{00000000-0005-0000-0000-0000657E0000}"/>
    <cellStyle name="Note 7 4 2 2 2 2 2" xfId="32358" xr:uid="{00000000-0005-0000-0000-0000667E0000}"/>
    <cellStyle name="Note 7 4 2 2 2 2 3" xfId="32359" xr:uid="{00000000-0005-0000-0000-0000677E0000}"/>
    <cellStyle name="Note 7 4 2 2 2 3" xfId="32360" xr:uid="{00000000-0005-0000-0000-0000687E0000}"/>
    <cellStyle name="Note 7 4 2 2 2 4" xfId="32361" xr:uid="{00000000-0005-0000-0000-0000697E0000}"/>
    <cellStyle name="Note 7 4 2 2 3" xfId="32362" xr:uid="{00000000-0005-0000-0000-00006A7E0000}"/>
    <cellStyle name="Note 7 4 2 2 3 2" xfId="32363" xr:uid="{00000000-0005-0000-0000-00006B7E0000}"/>
    <cellStyle name="Note 7 4 2 2 3 3" xfId="32364" xr:uid="{00000000-0005-0000-0000-00006C7E0000}"/>
    <cellStyle name="Note 7 4 2 2 4" xfId="32365" xr:uid="{00000000-0005-0000-0000-00006D7E0000}"/>
    <cellStyle name="Note 7 4 2 2 5" xfId="32366" xr:uid="{00000000-0005-0000-0000-00006E7E0000}"/>
    <cellStyle name="Note 7 4 3" xfId="32367" xr:uid="{00000000-0005-0000-0000-00006F7E0000}"/>
    <cellStyle name="Note 7 4 3 2" xfId="32368" xr:uid="{00000000-0005-0000-0000-0000707E0000}"/>
    <cellStyle name="Note 7 4 3 2 2" xfId="32369" xr:uid="{00000000-0005-0000-0000-0000717E0000}"/>
    <cellStyle name="Note 7 4 3 2 2 2" xfId="32370" xr:uid="{00000000-0005-0000-0000-0000727E0000}"/>
    <cellStyle name="Note 7 4 3 2 2 3" xfId="32371" xr:uid="{00000000-0005-0000-0000-0000737E0000}"/>
    <cellStyle name="Note 7 4 3 2 3" xfId="32372" xr:uid="{00000000-0005-0000-0000-0000747E0000}"/>
    <cellStyle name="Note 7 4 3 2 4" xfId="32373" xr:uid="{00000000-0005-0000-0000-0000757E0000}"/>
    <cellStyle name="Note 7 4 3 3" xfId="32374" xr:uid="{00000000-0005-0000-0000-0000767E0000}"/>
    <cellStyle name="Note 7 4 3 3 2" xfId="32375" xr:uid="{00000000-0005-0000-0000-0000777E0000}"/>
    <cellStyle name="Note 7 4 3 3 3" xfId="32376" xr:uid="{00000000-0005-0000-0000-0000787E0000}"/>
    <cellStyle name="Note 7 4 3 4" xfId="32377" xr:uid="{00000000-0005-0000-0000-0000797E0000}"/>
    <cellStyle name="Note 7 4 3 5" xfId="32378" xr:uid="{00000000-0005-0000-0000-00007A7E0000}"/>
    <cellStyle name="Note 7 5" xfId="32379" xr:uid="{00000000-0005-0000-0000-00007B7E0000}"/>
    <cellStyle name="Note 7 5 2" xfId="32380" xr:uid="{00000000-0005-0000-0000-00007C7E0000}"/>
    <cellStyle name="Note 7 5 2 2" xfId="32381" xr:uid="{00000000-0005-0000-0000-00007D7E0000}"/>
    <cellStyle name="Note 7 5 2 2 2" xfId="32382" xr:uid="{00000000-0005-0000-0000-00007E7E0000}"/>
    <cellStyle name="Note 7 5 2 2 2 2" xfId="32383" xr:uid="{00000000-0005-0000-0000-00007F7E0000}"/>
    <cellStyle name="Note 7 5 2 2 2 3" xfId="32384" xr:uid="{00000000-0005-0000-0000-0000807E0000}"/>
    <cellStyle name="Note 7 5 2 2 3" xfId="32385" xr:uid="{00000000-0005-0000-0000-0000817E0000}"/>
    <cellStyle name="Note 7 5 2 2 4" xfId="32386" xr:uid="{00000000-0005-0000-0000-0000827E0000}"/>
    <cellStyle name="Note 7 5 2 3" xfId="32387" xr:uid="{00000000-0005-0000-0000-0000837E0000}"/>
    <cellStyle name="Note 7 5 2 3 2" xfId="32388" xr:uid="{00000000-0005-0000-0000-0000847E0000}"/>
    <cellStyle name="Note 7 5 2 3 3" xfId="32389" xr:uid="{00000000-0005-0000-0000-0000857E0000}"/>
    <cellStyle name="Note 7 5 2 4" xfId="32390" xr:uid="{00000000-0005-0000-0000-0000867E0000}"/>
    <cellStyle name="Note 7 5 2 5" xfId="32391" xr:uid="{00000000-0005-0000-0000-0000877E0000}"/>
    <cellStyle name="Note 7 6" xfId="32392" xr:uid="{00000000-0005-0000-0000-0000887E0000}"/>
    <cellStyle name="Note 7 6 2" xfId="32393" xr:uid="{00000000-0005-0000-0000-0000897E0000}"/>
    <cellStyle name="Note 7 6 2 2" xfId="32394" xr:uid="{00000000-0005-0000-0000-00008A7E0000}"/>
    <cellStyle name="Note 7 6 2 2 2" xfId="32395" xr:uid="{00000000-0005-0000-0000-00008B7E0000}"/>
    <cellStyle name="Note 7 6 2 2 2 2" xfId="32396" xr:uid="{00000000-0005-0000-0000-00008C7E0000}"/>
    <cellStyle name="Note 7 6 2 2 2 3" xfId="32397" xr:uid="{00000000-0005-0000-0000-00008D7E0000}"/>
    <cellStyle name="Note 7 6 2 2 3" xfId="32398" xr:uid="{00000000-0005-0000-0000-00008E7E0000}"/>
    <cellStyle name="Note 7 6 2 2 4" xfId="32399" xr:uid="{00000000-0005-0000-0000-00008F7E0000}"/>
    <cellStyle name="Note 7 6 2 3" xfId="32400" xr:uid="{00000000-0005-0000-0000-0000907E0000}"/>
    <cellStyle name="Note 7 6 2 3 2" xfId="32401" xr:uid="{00000000-0005-0000-0000-0000917E0000}"/>
    <cellStyle name="Note 7 6 2 3 3" xfId="32402" xr:uid="{00000000-0005-0000-0000-0000927E0000}"/>
    <cellStyle name="Note 7 6 2 4" xfId="32403" xr:uid="{00000000-0005-0000-0000-0000937E0000}"/>
    <cellStyle name="Note 7 6 2 5" xfId="32404" xr:uid="{00000000-0005-0000-0000-0000947E0000}"/>
    <cellStyle name="Note 7 7" xfId="32405" xr:uid="{00000000-0005-0000-0000-0000957E0000}"/>
    <cellStyle name="Note 7 7 2" xfId="32406" xr:uid="{00000000-0005-0000-0000-0000967E0000}"/>
    <cellStyle name="Note 7 7 2 2" xfId="32407" xr:uid="{00000000-0005-0000-0000-0000977E0000}"/>
    <cellStyle name="Note 7 7 2 2 2" xfId="32408" xr:uid="{00000000-0005-0000-0000-0000987E0000}"/>
    <cellStyle name="Note 7 7 2 2 2 2" xfId="32409" xr:uid="{00000000-0005-0000-0000-0000997E0000}"/>
    <cellStyle name="Note 7 7 2 2 2 3" xfId="32410" xr:uid="{00000000-0005-0000-0000-00009A7E0000}"/>
    <cellStyle name="Note 7 7 2 2 3" xfId="32411" xr:uid="{00000000-0005-0000-0000-00009B7E0000}"/>
    <cellStyle name="Note 7 7 2 2 4" xfId="32412" xr:uid="{00000000-0005-0000-0000-00009C7E0000}"/>
    <cellStyle name="Note 7 7 2 3" xfId="32413" xr:uid="{00000000-0005-0000-0000-00009D7E0000}"/>
    <cellStyle name="Note 7 7 2 3 2" xfId="32414" xr:uid="{00000000-0005-0000-0000-00009E7E0000}"/>
    <cellStyle name="Note 7 7 2 3 3" xfId="32415" xr:uid="{00000000-0005-0000-0000-00009F7E0000}"/>
    <cellStyle name="Note 7 7 2 4" xfId="32416" xr:uid="{00000000-0005-0000-0000-0000A07E0000}"/>
    <cellStyle name="Note 7 7 2 5" xfId="32417" xr:uid="{00000000-0005-0000-0000-0000A17E0000}"/>
    <cellStyle name="Note 7 8" xfId="32418" xr:uid="{00000000-0005-0000-0000-0000A27E0000}"/>
    <cellStyle name="Note 7 8 2" xfId="32419" xr:uid="{00000000-0005-0000-0000-0000A37E0000}"/>
    <cellStyle name="Note 7 8 2 2" xfId="32420" xr:uid="{00000000-0005-0000-0000-0000A47E0000}"/>
    <cellStyle name="Note 7 8 2 2 2" xfId="32421" xr:uid="{00000000-0005-0000-0000-0000A57E0000}"/>
    <cellStyle name="Note 7 8 2 2 2 2" xfId="32422" xr:uid="{00000000-0005-0000-0000-0000A67E0000}"/>
    <cellStyle name="Note 7 8 2 2 2 3" xfId="32423" xr:uid="{00000000-0005-0000-0000-0000A77E0000}"/>
    <cellStyle name="Note 7 8 2 2 3" xfId="32424" xr:uid="{00000000-0005-0000-0000-0000A87E0000}"/>
    <cellStyle name="Note 7 8 2 2 4" xfId="32425" xr:uid="{00000000-0005-0000-0000-0000A97E0000}"/>
    <cellStyle name="Note 7 8 2 3" xfId="32426" xr:uid="{00000000-0005-0000-0000-0000AA7E0000}"/>
    <cellStyle name="Note 7 8 2 3 2" xfId="32427" xr:uid="{00000000-0005-0000-0000-0000AB7E0000}"/>
    <cellStyle name="Note 7 8 2 3 3" xfId="32428" xr:uid="{00000000-0005-0000-0000-0000AC7E0000}"/>
    <cellStyle name="Note 7 8 2 4" xfId="32429" xr:uid="{00000000-0005-0000-0000-0000AD7E0000}"/>
    <cellStyle name="Note 7 8 2 5" xfId="32430" xr:uid="{00000000-0005-0000-0000-0000AE7E0000}"/>
    <cellStyle name="Note 7 9" xfId="32431" xr:uid="{00000000-0005-0000-0000-0000AF7E0000}"/>
    <cellStyle name="Note 7 9 2" xfId="32432" xr:uid="{00000000-0005-0000-0000-0000B07E0000}"/>
    <cellStyle name="Note 7 9 2 2" xfId="32433" xr:uid="{00000000-0005-0000-0000-0000B17E0000}"/>
    <cellStyle name="Note 7 9 2 2 2" xfId="32434" xr:uid="{00000000-0005-0000-0000-0000B27E0000}"/>
    <cellStyle name="Note 7 9 2 2 3" xfId="32435" xr:uid="{00000000-0005-0000-0000-0000B37E0000}"/>
    <cellStyle name="Note 7 9 2 3" xfId="32436" xr:uid="{00000000-0005-0000-0000-0000B47E0000}"/>
    <cellStyle name="Note 7 9 2 4" xfId="32437" xr:uid="{00000000-0005-0000-0000-0000B57E0000}"/>
    <cellStyle name="Note 7 9 3" xfId="32438" xr:uid="{00000000-0005-0000-0000-0000B67E0000}"/>
    <cellStyle name="Note 7 9 3 2" xfId="32439" xr:uid="{00000000-0005-0000-0000-0000B77E0000}"/>
    <cellStyle name="Note 7 9 3 3" xfId="32440" xr:uid="{00000000-0005-0000-0000-0000B87E0000}"/>
    <cellStyle name="Note 7 9 4" xfId="32441" xr:uid="{00000000-0005-0000-0000-0000B97E0000}"/>
    <cellStyle name="Note 7 9 5" xfId="32442" xr:uid="{00000000-0005-0000-0000-0000BA7E0000}"/>
    <cellStyle name="Note 8" xfId="32443" xr:uid="{00000000-0005-0000-0000-0000BB7E0000}"/>
    <cellStyle name="Note 8 2" xfId="32444" xr:uid="{00000000-0005-0000-0000-0000BC7E0000}"/>
    <cellStyle name="Note 8 2 2" xfId="32445" xr:uid="{00000000-0005-0000-0000-0000BD7E0000}"/>
    <cellStyle name="Note 8 2 2 2" xfId="32446" xr:uid="{00000000-0005-0000-0000-0000BE7E0000}"/>
    <cellStyle name="Note 8 2 2 2 2" xfId="32447" xr:uid="{00000000-0005-0000-0000-0000BF7E0000}"/>
    <cellStyle name="Note 8 2 2 2 2 2" xfId="32448" xr:uid="{00000000-0005-0000-0000-0000C07E0000}"/>
    <cellStyle name="Note 8 2 2 2 2 2 2" xfId="32449" xr:uid="{00000000-0005-0000-0000-0000C17E0000}"/>
    <cellStyle name="Note 8 2 2 2 2 2 3" xfId="32450" xr:uid="{00000000-0005-0000-0000-0000C27E0000}"/>
    <cellStyle name="Note 8 2 2 2 2 3" xfId="32451" xr:uid="{00000000-0005-0000-0000-0000C37E0000}"/>
    <cellStyle name="Note 8 2 2 2 2 4" xfId="32452" xr:uid="{00000000-0005-0000-0000-0000C47E0000}"/>
    <cellStyle name="Note 8 2 2 2 3" xfId="32453" xr:uid="{00000000-0005-0000-0000-0000C57E0000}"/>
    <cellStyle name="Note 8 2 2 2 3 2" xfId="32454" xr:uid="{00000000-0005-0000-0000-0000C67E0000}"/>
    <cellStyle name="Note 8 2 2 2 3 3" xfId="32455" xr:uid="{00000000-0005-0000-0000-0000C77E0000}"/>
    <cellStyle name="Note 8 2 2 2 4" xfId="32456" xr:uid="{00000000-0005-0000-0000-0000C87E0000}"/>
    <cellStyle name="Note 8 2 2 2 5" xfId="32457" xr:uid="{00000000-0005-0000-0000-0000C97E0000}"/>
    <cellStyle name="Note 8 2 3" xfId="32458" xr:uid="{00000000-0005-0000-0000-0000CA7E0000}"/>
    <cellStyle name="Note 8 2 3 2" xfId="32459" xr:uid="{00000000-0005-0000-0000-0000CB7E0000}"/>
    <cellStyle name="Note 8 2 3 2 2" xfId="32460" xr:uid="{00000000-0005-0000-0000-0000CC7E0000}"/>
    <cellStyle name="Note 8 2 3 2 2 2" xfId="32461" xr:uid="{00000000-0005-0000-0000-0000CD7E0000}"/>
    <cellStyle name="Note 8 2 3 2 2 3" xfId="32462" xr:uid="{00000000-0005-0000-0000-0000CE7E0000}"/>
    <cellStyle name="Note 8 2 3 2 3" xfId="32463" xr:uid="{00000000-0005-0000-0000-0000CF7E0000}"/>
    <cellStyle name="Note 8 2 3 2 4" xfId="32464" xr:uid="{00000000-0005-0000-0000-0000D07E0000}"/>
    <cellStyle name="Note 8 2 3 3" xfId="32465" xr:uid="{00000000-0005-0000-0000-0000D17E0000}"/>
    <cellStyle name="Note 8 2 3 3 2" xfId="32466" xr:uid="{00000000-0005-0000-0000-0000D27E0000}"/>
    <cellStyle name="Note 8 2 3 3 3" xfId="32467" xr:uid="{00000000-0005-0000-0000-0000D37E0000}"/>
    <cellStyle name="Note 8 2 3 4" xfId="32468" xr:uid="{00000000-0005-0000-0000-0000D47E0000}"/>
    <cellStyle name="Note 8 2 3 5" xfId="32469" xr:uid="{00000000-0005-0000-0000-0000D57E0000}"/>
    <cellStyle name="Note 8 3" xfId="32470" xr:uid="{00000000-0005-0000-0000-0000D67E0000}"/>
    <cellStyle name="Note 8 3 2" xfId="32471" xr:uid="{00000000-0005-0000-0000-0000D77E0000}"/>
    <cellStyle name="Note 8 3 2 2" xfId="32472" xr:uid="{00000000-0005-0000-0000-0000D87E0000}"/>
    <cellStyle name="Note 8 3 2 2 2" xfId="32473" xr:uid="{00000000-0005-0000-0000-0000D97E0000}"/>
    <cellStyle name="Note 8 3 2 2 2 2" xfId="32474" xr:uid="{00000000-0005-0000-0000-0000DA7E0000}"/>
    <cellStyle name="Note 8 3 2 2 2 2 2" xfId="32475" xr:uid="{00000000-0005-0000-0000-0000DB7E0000}"/>
    <cellStyle name="Note 8 3 2 2 2 2 3" xfId="32476" xr:uid="{00000000-0005-0000-0000-0000DC7E0000}"/>
    <cellStyle name="Note 8 3 2 2 2 3" xfId="32477" xr:uid="{00000000-0005-0000-0000-0000DD7E0000}"/>
    <cellStyle name="Note 8 3 2 2 2 4" xfId="32478" xr:uid="{00000000-0005-0000-0000-0000DE7E0000}"/>
    <cellStyle name="Note 8 3 2 2 3" xfId="32479" xr:uid="{00000000-0005-0000-0000-0000DF7E0000}"/>
    <cellStyle name="Note 8 3 2 2 3 2" xfId="32480" xr:uid="{00000000-0005-0000-0000-0000E07E0000}"/>
    <cellStyle name="Note 8 3 2 2 3 3" xfId="32481" xr:uid="{00000000-0005-0000-0000-0000E17E0000}"/>
    <cellStyle name="Note 8 3 2 2 4" xfId="32482" xr:uid="{00000000-0005-0000-0000-0000E27E0000}"/>
    <cellStyle name="Note 8 3 2 2 5" xfId="32483" xr:uid="{00000000-0005-0000-0000-0000E37E0000}"/>
    <cellStyle name="Note 8 3 3" xfId="32484" xr:uid="{00000000-0005-0000-0000-0000E47E0000}"/>
    <cellStyle name="Note 8 3 3 2" xfId="32485" xr:uid="{00000000-0005-0000-0000-0000E57E0000}"/>
    <cellStyle name="Note 8 3 3 2 2" xfId="32486" xr:uid="{00000000-0005-0000-0000-0000E67E0000}"/>
    <cellStyle name="Note 8 3 3 2 2 2" xfId="32487" xr:uid="{00000000-0005-0000-0000-0000E77E0000}"/>
    <cellStyle name="Note 8 3 3 2 2 3" xfId="32488" xr:uid="{00000000-0005-0000-0000-0000E87E0000}"/>
    <cellStyle name="Note 8 3 3 2 3" xfId="32489" xr:uid="{00000000-0005-0000-0000-0000E97E0000}"/>
    <cellStyle name="Note 8 3 3 2 4" xfId="32490" xr:uid="{00000000-0005-0000-0000-0000EA7E0000}"/>
    <cellStyle name="Note 8 3 3 3" xfId="32491" xr:uid="{00000000-0005-0000-0000-0000EB7E0000}"/>
    <cellStyle name="Note 8 3 3 3 2" xfId="32492" xr:uid="{00000000-0005-0000-0000-0000EC7E0000}"/>
    <cellStyle name="Note 8 3 3 3 3" xfId="32493" xr:uid="{00000000-0005-0000-0000-0000ED7E0000}"/>
    <cellStyle name="Note 8 3 3 4" xfId="32494" xr:uid="{00000000-0005-0000-0000-0000EE7E0000}"/>
    <cellStyle name="Note 8 3 3 5" xfId="32495" xr:uid="{00000000-0005-0000-0000-0000EF7E0000}"/>
    <cellStyle name="Note 8 4" xfId="32496" xr:uid="{00000000-0005-0000-0000-0000F07E0000}"/>
    <cellStyle name="Note 8 4 2" xfId="32497" xr:uid="{00000000-0005-0000-0000-0000F17E0000}"/>
    <cellStyle name="Note 8 4 2 2" xfId="32498" xr:uid="{00000000-0005-0000-0000-0000F27E0000}"/>
    <cellStyle name="Note 8 4 2 2 2" xfId="32499" xr:uid="{00000000-0005-0000-0000-0000F37E0000}"/>
    <cellStyle name="Note 8 4 2 2 2 2" xfId="32500" xr:uid="{00000000-0005-0000-0000-0000F47E0000}"/>
    <cellStyle name="Note 8 4 2 2 2 2 2" xfId="32501" xr:uid="{00000000-0005-0000-0000-0000F57E0000}"/>
    <cellStyle name="Note 8 4 2 2 2 2 3" xfId="32502" xr:uid="{00000000-0005-0000-0000-0000F67E0000}"/>
    <cellStyle name="Note 8 4 2 2 2 3" xfId="32503" xr:uid="{00000000-0005-0000-0000-0000F77E0000}"/>
    <cellStyle name="Note 8 4 2 2 2 4" xfId="32504" xr:uid="{00000000-0005-0000-0000-0000F87E0000}"/>
    <cellStyle name="Note 8 4 2 2 3" xfId="32505" xr:uid="{00000000-0005-0000-0000-0000F97E0000}"/>
    <cellStyle name="Note 8 4 2 2 3 2" xfId="32506" xr:uid="{00000000-0005-0000-0000-0000FA7E0000}"/>
    <cellStyle name="Note 8 4 2 2 3 3" xfId="32507" xr:uid="{00000000-0005-0000-0000-0000FB7E0000}"/>
    <cellStyle name="Note 8 4 2 2 4" xfId="32508" xr:uid="{00000000-0005-0000-0000-0000FC7E0000}"/>
    <cellStyle name="Note 8 4 2 2 5" xfId="32509" xr:uid="{00000000-0005-0000-0000-0000FD7E0000}"/>
    <cellStyle name="Note 8 4 3" xfId="32510" xr:uid="{00000000-0005-0000-0000-0000FE7E0000}"/>
    <cellStyle name="Note 8 4 3 2" xfId="32511" xr:uid="{00000000-0005-0000-0000-0000FF7E0000}"/>
    <cellStyle name="Note 8 4 3 2 2" xfId="32512" xr:uid="{00000000-0005-0000-0000-0000007F0000}"/>
    <cellStyle name="Note 8 4 3 2 2 2" xfId="32513" xr:uid="{00000000-0005-0000-0000-0000017F0000}"/>
    <cellStyle name="Note 8 4 3 2 2 3" xfId="32514" xr:uid="{00000000-0005-0000-0000-0000027F0000}"/>
    <cellStyle name="Note 8 4 3 2 3" xfId="32515" xr:uid="{00000000-0005-0000-0000-0000037F0000}"/>
    <cellStyle name="Note 8 4 3 2 4" xfId="32516" xr:uid="{00000000-0005-0000-0000-0000047F0000}"/>
    <cellStyle name="Note 8 4 3 3" xfId="32517" xr:uid="{00000000-0005-0000-0000-0000057F0000}"/>
    <cellStyle name="Note 8 4 3 3 2" xfId="32518" xr:uid="{00000000-0005-0000-0000-0000067F0000}"/>
    <cellStyle name="Note 8 4 3 3 3" xfId="32519" xr:uid="{00000000-0005-0000-0000-0000077F0000}"/>
    <cellStyle name="Note 8 4 3 4" xfId="32520" xr:uid="{00000000-0005-0000-0000-0000087F0000}"/>
    <cellStyle name="Note 8 4 3 5" xfId="32521" xr:uid="{00000000-0005-0000-0000-0000097F0000}"/>
    <cellStyle name="Note 8 5" xfId="32522" xr:uid="{00000000-0005-0000-0000-00000A7F0000}"/>
    <cellStyle name="Note 8 5 2" xfId="32523" xr:uid="{00000000-0005-0000-0000-00000B7F0000}"/>
    <cellStyle name="Note 8 5 2 2" xfId="32524" xr:uid="{00000000-0005-0000-0000-00000C7F0000}"/>
    <cellStyle name="Note 8 5 2 2 2" xfId="32525" xr:uid="{00000000-0005-0000-0000-00000D7F0000}"/>
    <cellStyle name="Note 8 5 2 2 2 2" xfId="32526" xr:uid="{00000000-0005-0000-0000-00000E7F0000}"/>
    <cellStyle name="Note 8 5 2 2 2 3" xfId="32527" xr:uid="{00000000-0005-0000-0000-00000F7F0000}"/>
    <cellStyle name="Note 8 5 2 2 3" xfId="32528" xr:uid="{00000000-0005-0000-0000-0000107F0000}"/>
    <cellStyle name="Note 8 5 2 2 4" xfId="32529" xr:uid="{00000000-0005-0000-0000-0000117F0000}"/>
    <cellStyle name="Note 8 5 2 3" xfId="32530" xr:uid="{00000000-0005-0000-0000-0000127F0000}"/>
    <cellStyle name="Note 8 5 2 3 2" xfId="32531" xr:uid="{00000000-0005-0000-0000-0000137F0000}"/>
    <cellStyle name="Note 8 5 2 3 3" xfId="32532" xr:uid="{00000000-0005-0000-0000-0000147F0000}"/>
    <cellStyle name="Note 8 5 2 4" xfId="32533" xr:uid="{00000000-0005-0000-0000-0000157F0000}"/>
    <cellStyle name="Note 8 5 2 5" xfId="32534" xr:uid="{00000000-0005-0000-0000-0000167F0000}"/>
    <cellStyle name="Note 8 6" xfId="32535" xr:uid="{00000000-0005-0000-0000-0000177F0000}"/>
    <cellStyle name="Note 8 6 2" xfId="32536" xr:uid="{00000000-0005-0000-0000-0000187F0000}"/>
    <cellStyle name="Note 8 6 2 2" xfId="32537" xr:uid="{00000000-0005-0000-0000-0000197F0000}"/>
    <cellStyle name="Note 8 6 2 2 2" xfId="32538" xr:uid="{00000000-0005-0000-0000-00001A7F0000}"/>
    <cellStyle name="Note 8 6 2 2 2 2" xfId="32539" xr:uid="{00000000-0005-0000-0000-00001B7F0000}"/>
    <cellStyle name="Note 8 6 2 2 2 3" xfId="32540" xr:uid="{00000000-0005-0000-0000-00001C7F0000}"/>
    <cellStyle name="Note 8 6 2 2 3" xfId="32541" xr:uid="{00000000-0005-0000-0000-00001D7F0000}"/>
    <cellStyle name="Note 8 6 2 2 4" xfId="32542" xr:uid="{00000000-0005-0000-0000-00001E7F0000}"/>
    <cellStyle name="Note 8 6 2 3" xfId="32543" xr:uid="{00000000-0005-0000-0000-00001F7F0000}"/>
    <cellStyle name="Note 8 6 2 3 2" xfId="32544" xr:uid="{00000000-0005-0000-0000-0000207F0000}"/>
    <cellStyle name="Note 8 6 2 3 3" xfId="32545" xr:uid="{00000000-0005-0000-0000-0000217F0000}"/>
    <cellStyle name="Note 8 6 2 4" xfId="32546" xr:uid="{00000000-0005-0000-0000-0000227F0000}"/>
    <cellStyle name="Note 8 6 2 5" xfId="32547" xr:uid="{00000000-0005-0000-0000-0000237F0000}"/>
    <cellStyle name="Note 8 7" xfId="32548" xr:uid="{00000000-0005-0000-0000-0000247F0000}"/>
    <cellStyle name="Note 8 7 2" xfId="32549" xr:uid="{00000000-0005-0000-0000-0000257F0000}"/>
    <cellStyle name="Note 8 7 2 2" xfId="32550" xr:uid="{00000000-0005-0000-0000-0000267F0000}"/>
    <cellStyle name="Note 8 7 2 2 2" xfId="32551" xr:uid="{00000000-0005-0000-0000-0000277F0000}"/>
    <cellStyle name="Note 8 7 2 2 2 2" xfId="32552" xr:uid="{00000000-0005-0000-0000-0000287F0000}"/>
    <cellStyle name="Note 8 7 2 2 2 3" xfId="32553" xr:uid="{00000000-0005-0000-0000-0000297F0000}"/>
    <cellStyle name="Note 8 7 2 2 3" xfId="32554" xr:uid="{00000000-0005-0000-0000-00002A7F0000}"/>
    <cellStyle name="Note 8 7 2 2 4" xfId="32555" xr:uid="{00000000-0005-0000-0000-00002B7F0000}"/>
    <cellStyle name="Note 8 7 2 3" xfId="32556" xr:uid="{00000000-0005-0000-0000-00002C7F0000}"/>
    <cellStyle name="Note 8 7 2 3 2" xfId="32557" xr:uid="{00000000-0005-0000-0000-00002D7F0000}"/>
    <cellStyle name="Note 8 7 2 3 3" xfId="32558" xr:uid="{00000000-0005-0000-0000-00002E7F0000}"/>
    <cellStyle name="Note 8 7 2 4" xfId="32559" xr:uid="{00000000-0005-0000-0000-00002F7F0000}"/>
    <cellStyle name="Note 8 7 2 5" xfId="32560" xr:uid="{00000000-0005-0000-0000-0000307F0000}"/>
    <cellStyle name="Note 8 8" xfId="32561" xr:uid="{00000000-0005-0000-0000-0000317F0000}"/>
    <cellStyle name="Note 8 8 2" xfId="32562" xr:uid="{00000000-0005-0000-0000-0000327F0000}"/>
    <cellStyle name="Note 8 8 2 2" xfId="32563" xr:uid="{00000000-0005-0000-0000-0000337F0000}"/>
    <cellStyle name="Note 8 8 2 2 2" xfId="32564" xr:uid="{00000000-0005-0000-0000-0000347F0000}"/>
    <cellStyle name="Note 8 8 2 2 2 2" xfId="32565" xr:uid="{00000000-0005-0000-0000-0000357F0000}"/>
    <cellStyle name="Note 8 8 2 2 2 3" xfId="32566" xr:uid="{00000000-0005-0000-0000-0000367F0000}"/>
    <cellStyle name="Note 8 8 2 2 3" xfId="32567" xr:uid="{00000000-0005-0000-0000-0000377F0000}"/>
    <cellStyle name="Note 8 8 2 2 4" xfId="32568" xr:uid="{00000000-0005-0000-0000-0000387F0000}"/>
    <cellStyle name="Note 8 8 2 3" xfId="32569" xr:uid="{00000000-0005-0000-0000-0000397F0000}"/>
    <cellStyle name="Note 8 8 2 3 2" xfId="32570" xr:uid="{00000000-0005-0000-0000-00003A7F0000}"/>
    <cellStyle name="Note 8 8 2 3 3" xfId="32571" xr:uid="{00000000-0005-0000-0000-00003B7F0000}"/>
    <cellStyle name="Note 8 8 2 4" xfId="32572" xr:uid="{00000000-0005-0000-0000-00003C7F0000}"/>
    <cellStyle name="Note 8 8 2 5" xfId="32573" xr:uid="{00000000-0005-0000-0000-00003D7F0000}"/>
    <cellStyle name="Note 8 9" xfId="32574" xr:uid="{00000000-0005-0000-0000-00003E7F0000}"/>
    <cellStyle name="Note 8 9 2" xfId="32575" xr:uid="{00000000-0005-0000-0000-00003F7F0000}"/>
    <cellStyle name="Note 8 9 2 2" xfId="32576" xr:uid="{00000000-0005-0000-0000-0000407F0000}"/>
    <cellStyle name="Note 8 9 2 2 2" xfId="32577" xr:uid="{00000000-0005-0000-0000-0000417F0000}"/>
    <cellStyle name="Note 8 9 2 2 3" xfId="32578" xr:uid="{00000000-0005-0000-0000-0000427F0000}"/>
    <cellStyle name="Note 8 9 2 3" xfId="32579" xr:uid="{00000000-0005-0000-0000-0000437F0000}"/>
    <cellStyle name="Note 8 9 2 4" xfId="32580" xr:uid="{00000000-0005-0000-0000-0000447F0000}"/>
    <cellStyle name="Note 8 9 3" xfId="32581" xr:uid="{00000000-0005-0000-0000-0000457F0000}"/>
    <cellStyle name="Note 8 9 3 2" xfId="32582" xr:uid="{00000000-0005-0000-0000-0000467F0000}"/>
    <cellStyle name="Note 8 9 3 3" xfId="32583" xr:uid="{00000000-0005-0000-0000-0000477F0000}"/>
    <cellStyle name="Note 8 9 4" xfId="32584" xr:uid="{00000000-0005-0000-0000-0000487F0000}"/>
    <cellStyle name="Note 8 9 5" xfId="32585" xr:uid="{00000000-0005-0000-0000-0000497F0000}"/>
    <cellStyle name="Note 9" xfId="32586" xr:uid="{00000000-0005-0000-0000-00004A7F0000}"/>
    <cellStyle name="Note 9 2" xfId="32587" xr:uid="{00000000-0005-0000-0000-00004B7F0000}"/>
    <cellStyle name="Note 9 2 2" xfId="32588" xr:uid="{00000000-0005-0000-0000-00004C7F0000}"/>
    <cellStyle name="Note 9 2 2 2" xfId="32589" xr:uid="{00000000-0005-0000-0000-00004D7F0000}"/>
    <cellStyle name="Note 9 2 2 2 2" xfId="32590" xr:uid="{00000000-0005-0000-0000-00004E7F0000}"/>
    <cellStyle name="Note 9 2 2 2 2 2" xfId="32591" xr:uid="{00000000-0005-0000-0000-00004F7F0000}"/>
    <cellStyle name="Note 9 2 2 2 2 2 2" xfId="32592" xr:uid="{00000000-0005-0000-0000-0000507F0000}"/>
    <cellStyle name="Note 9 2 2 2 2 2 3" xfId="32593" xr:uid="{00000000-0005-0000-0000-0000517F0000}"/>
    <cellStyle name="Note 9 2 2 2 2 3" xfId="32594" xr:uid="{00000000-0005-0000-0000-0000527F0000}"/>
    <cellStyle name="Note 9 2 2 2 2 4" xfId="32595" xr:uid="{00000000-0005-0000-0000-0000537F0000}"/>
    <cellStyle name="Note 9 2 2 2 3" xfId="32596" xr:uid="{00000000-0005-0000-0000-0000547F0000}"/>
    <cellStyle name="Note 9 2 2 2 3 2" xfId="32597" xr:uid="{00000000-0005-0000-0000-0000557F0000}"/>
    <cellStyle name="Note 9 2 2 2 3 3" xfId="32598" xr:uid="{00000000-0005-0000-0000-0000567F0000}"/>
    <cellStyle name="Note 9 2 2 2 4" xfId="32599" xr:uid="{00000000-0005-0000-0000-0000577F0000}"/>
    <cellStyle name="Note 9 2 2 2 5" xfId="32600" xr:uid="{00000000-0005-0000-0000-0000587F0000}"/>
    <cellStyle name="Note 9 2 3" xfId="32601" xr:uid="{00000000-0005-0000-0000-0000597F0000}"/>
    <cellStyle name="Note 9 2 3 2" xfId="32602" xr:uid="{00000000-0005-0000-0000-00005A7F0000}"/>
    <cellStyle name="Note 9 2 3 2 2" xfId="32603" xr:uid="{00000000-0005-0000-0000-00005B7F0000}"/>
    <cellStyle name="Note 9 2 3 2 2 2" xfId="32604" xr:uid="{00000000-0005-0000-0000-00005C7F0000}"/>
    <cellStyle name="Note 9 2 3 2 2 3" xfId="32605" xr:uid="{00000000-0005-0000-0000-00005D7F0000}"/>
    <cellStyle name="Note 9 2 3 2 3" xfId="32606" xr:uid="{00000000-0005-0000-0000-00005E7F0000}"/>
    <cellStyle name="Note 9 2 3 2 4" xfId="32607" xr:uid="{00000000-0005-0000-0000-00005F7F0000}"/>
    <cellStyle name="Note 9 2 3 3" xfId="32608" xr:uid="{00000000-0005-0000-0000-0000607F0000}"/>
    <cellStyle name="Note 9 2 3 3 2" xfId="32609" xr:uid="{00000000-0005-0000-0000-0000617F0000}"/>
    <cellStyle name="Note 9 2 3 3 3" xfId="32610" xr:uid="{00000000-0005-0000-0000-0000627F0000}"/>
    <cellStyle name="Note 9 2 3 4" xfId="32611" xr:uid="{00000000-0005-0000-0000-0000637F0000}"/>
    <cellStyle name="Note 9 2 3 5" xfId="32612" xr:uid="{00000000-0005-0000-0000-0000647F0000}"/>
    <cellStyle name="Note 9 3" xfId="32613" xr:uid="{00000000-0005-0000-0000-0000657F0000}"/>
    <cellStyle name="Note 9 3 2" xfId="32614" xr:uid="{00000000-0005-0000-0000-0000667F0000}"/>
    <cellStyle name="Note 9 3 2 2" xfId="32615" xr:uid="{00000000-0005-0000-0000-0000677F0000}"/>
    <cellStyle name="Note 9 3 2 2 2" xfId="32616" xr:uid="{00000000-0005-0000-0000-0000687F0000}"/>
    <cellStyle name="Note 9 3 2 2 2 2" xfId="32617" xr:uid="{00000000-0005-0000-0000-0000697F0000}"/>
    <cellStyle name="Note 9 3 2 2 2 2 2" xfId="32618" xr:uid="{00000000-0005-0000-0000-00006A7F0000}"/>
    <cellStyle name="Note 9 3 2 2 2 2 3" xfId="32619" xr:uid="{00000000-0005-0000-0000-00006B7F0000}"/>
    <cellStyle name="Note 9 3 2 2 2 3" xfId="32620" xr:uid="{00000000-0005-0000-0000-00006C7F0000}"/>
    <cellStyle name="Note 9 3 2 2 2 4" xfId="32621" xr:uid="{00000000-0005-0000-0000-00006D7F0000}"/>
    <cellStyle name="Note 9 3 2 2 3" xfId="32622" xr:uid="{00000000-0005-0000-0000-00006E7F0000}"/>
    <cellStyle name="Note 9 3 2 2 3 2" xfId="32623" xr:uid="{00000000-0005-0000-0000-00006F7F0000}"/>
    <cellStyle name="Note 9 3 2 2 3 3" xfId="32624" xr:uid="{00000000-0005-0000-0000-0000707F0000}"/>
    <cellStyle name="Note 9 3 2 2 4" xfId="32625" xr:uid="{00000000-0005-0000-0000-0000717F0000}"/>
    <cellStyle name="Note 9 3 2 2 5" xfId="32626" xr:uid="{00000000-0005-0000-0000-0000727F0000}"/>
    <cellStyle name="Note 9 3 3" xfId="32627" xr:uid="{00000000-0005-0000-0000-0000737F0000}"/>
    <cellStyle name="Note 9 3 3 2" xfId="32628" xr:uid="{00000000-0005-0000-0000-0000747F0000}"/>
    <cellStyle name="Note 9 3 3 2 2" xfId="32629" xr:uid="{00000000-0005-0000-0000-0000757F0000}"/>
    <cellStyle name="Note 9 3 3 2 2 2" xfId="32630" xr:uid="{00000000-0005-0000-0000-0000767F0000}"/>
    <cellStyle name="Note 9 3 3 2 2 3" xfId="32631" xr:uid="{00000000-0005-0000-0000-0000777F0000}"/>
    <cellStyle name="Note 9 3 3 2 3" xfId="32632" xr:uid="{00000000-0005-0000-0000-0000787F0000}"/>
    <cellStyle name="Note 9 3 3 2 4" xfId="32633" xr:uid="{00000000-0005-0000-0000-0000797F0000}"/>
    <cellStyle name="Note 9 3 3 3" xfId="32634" xr:uid="{00000000-0005-0000-0000-00007A7F0000}"/>
    <cellStyle name="Note 9 3 3 3 2" xfId="32635" xr:uid="{00000000-0005-0000-0000-00007B7F0000}"/>
    <cellStyle name="Note 9 3 3 3 3" xfId="32636" xr:uid="{00000000-0005-0000-0000-00007C7F0000}"/>
    <cellStyle name="Note 9 3 3 4" xfId="32637" xr:uid="{00000000-0005-0000-0000-00007D7F0000}"/>
    <cellStyle name="Note 9 3 3 5" xfId="32638" xr:uid="{00000000-0005-0000-0000-00007E7F0000}"/>
    <cellStyle name="Note 9 4" xfId="32639" xr:uid="{00000000-0005-0000-0000-00007F7F0000}"/>
    <cellStyle name="Note 9 4 2" xfId="32640" xr:uid="{00000000-0005-0000-0000-0000807F0000}"/>
    <cellStyle name="Note 9 4 2 2" xfId="32641" xr:uid="{00000000-0005-0000-0000-0000817F0000}"/>
    <cellStyle name="Note 9 4 2 2 2" xfId="32642" xr:uid="{00000000-0005-0000-0000-0000827F0000}"/>
    <cellStyle name="Note 9 4 2 2 2 2" xfId="32643" xr:uid="{00000000-0005-0000-0000-0000837F0000}"/>
    <cellStyle name="Note 9 4 2 2 2 2 2" xfId="32644" xr:uid="{00000000-0005-0000-0000-0000847F0000}"/>
    <cellStyle name="Note 9 4 2 2 2 2 3" xfId="32645" xr:uid="{00000000-0005-0000-0000-0000857F0000}"/>
    <cellStyle name="Note 9 4 2 2 2 3" xfId="32646" xr:uid="{00000000-0005-0000-0000-0000867F0000}"/>
    <cellStyle name="Note 9 4 2 2 2 4" xfId="32647" xr:uid="{00000000-0005-0000-0000-0000877F0000}"/>
    <cellStyle name="Note 9 4 2 2 3" xfId="32648" xr:uid="{00000000-0005-0000-0000-0000887F0000}"/>
    <cellStyle name="Note 9 4 2 2 3 2" xfId="32649" xr:uid="{00000000-0005-0000-0000-0000897F0000}"/>
    <cellStyle name="Note 9 4 2 2 3 3" xfId="32650" xr:uid="{00000000-0005-0000-0000-00008A7F0000}"/>
    <cellStyle name="Note 9 4 2 2 4" xfId="32651" xr:uid="{00000000-0005-0000-0000-00008B7F0000}"/>
    <cellStyle name="Note 9 4 2 2 5" xfId="32652" xr:uid="{00000000-0005-0000-0000-00008C7F0000}"/>
    <cellStyle name="Note 9 4 3" xfId="32653" xr:uid="{00000000-0005-0000-0000-00008D7F0000}"/>
    <cellStyle name="Note 9 4 3 2" xfId="32654" xr:uid="{00000000-0005-0000-0000-00008E7F0000}"/>
    <cellStyle name="Note 9 4 3 2 2" xfId="32655" xr:uid="{00000000-0005-0000-0000-00008F7F0000}"/>
    <cellStyle name="Note 9 4 3 2 2 2" xfId="32656" xr:uid="{00000000-0005-0000-0000-0000907F0000}"/>
    <cellStyle name="Note 9 4 3 2 2 3" xfId="32657" xr:uid="{00000000-0005-0000-0000-0000917F0000}"/>
    <cellStyle name="Note 9 4 3 2 3" xfId="32658" xr:uid="{00000000-0005-0000-0000-0000927F0000}"/>
    <cellStyle name="Note 9 4 3 2 4" xfId="32659" xr:uid="{00000000-0005-0000-0000-0000937F0000}"/>
    <cellStyle name="Note 9 4 3 3" xfId="32660" xr:uid="{00000000-0005-0000-0000-0000947F0000}"/>
    <cellStyle name="Note 9 4 3 3 2" xfId="32661" xr:uid="{00000000-0005-0000-0000-0000957F0000}"/>
    <cellStyle name="Note 9 4 3 3 3" xfId="32662" xr:uid="{00000000-0005-0000-0000-0000967F0000}"/>
    <cellStyle name="Note 9 4 3 4" xfId="32663" xr:uid="{00000000-0005-0000-0000-0000977F0000}"/>
    <cellStyle name="Note 9 4 3 5" xfId="32664" xr:uid="{00000000-0005-0000-0000-0000987F0000}"/>
    <cellStyle name="Note 9 5" xfId="32665" xr:uid="{00000000-0005-0000-0000-0000997F0000}"/>
    <cellStyle name="Note 9 5 2" xfId="32666" xr:uid="{00000000-0005-0000-0000-00009A7F0000}"/>
    <cellStyle name="Note 9 5 2 2" xfId="32667" xr:uid="{00000000-0005-0000-0000-00009B7F0000}"/>
    <cellStyle name="Note 9 5 2 2 2" xfId="32668" xr:uid="{00000000-0005-0000-0000-00009C7F0000}"/>
    <cellStyle name="Note 9 5 2 2 2 2" xfId="32669" xr:uid="{00000000-0005-0000-0000-00009D7F0000}"/>
    <cellStyle name="Note 9 5 2 2 2 3" xfId="32670" xr:uid="{00000000-0005-0000-0000-00009E7F0000}"/>
    <cellStyle name="Note 9 5 2 2 3" xfId="32671" xr:uid="{00000000-0005-0000-0000-00009F7F0000}"/>
    <cellStyle name="Note 9 5 2 2 4" xfId="32672" xr:uid="{00000000-0005-0000-0000-0000A07F0000}"/>
    <cellStyle name="Note 9 5 2 3" xfId="32673" xr:uid="{00000000-0005-0000-0000-0000A17F0000}"/>
    <cellStyle name="Note 9 5 2 3 2" xfId="32674" xr:uid="{00000000-0005-0000-0000-0000A27F0000}"/>
    <cellStyle name="Note 9 5 2 3 3" xfId="32675" xr:uid="{00000000-0005-0000-0000-0000A37F0000}"/>
    <cellStyle name="Note 9 5 2 4" xfId="32676" xr:uid="{00000000-0005-0000-0000-0000A47F0000}"/>
    <cellStyle name="Note 9 5 2 5" xfId="32677" xr:uid="{00000000-0005-0000-0000-0000A57F0000}"/>
    <cellStyle name="Note 9 6" xfId="32678" xr:uid="{00000000-0005-0000-0000-0000A67F0000}"/>
    <cellStyle name="Note 9 6 2" xfId="32679" xr:uid="{00000000-0005-0000-0000-0000A77F0000}"/>
    <cellStyle name="Note 9 6 2 2" xfId="32680" xr:uid="{00000000-0005-0000-0000-0000A87F0000}"/>
    <cellStyle name="Note 9 6 2 2 2" xfId="32681" xr:uid="{00000000-0005-0000-0000-0000A97F0000}"/>
    <cellStyle name="Note 9 6 2 2 2 2" xfId="32682" xr:uid="{00000000-0005-0000-0000-0000AA7F0000}"/>
    <cellStyle name="Note 9 6 2 2 2 3" xfId="32683" xr:uid="{00000000-0005-0000-0000-0000AB7F0000}"/>
    <cellStyle name="Note 9 6 2 2 3" xfId="32684" xr:uid="{00000000-0005-0000-0000-0000AC7F0000}"/>
    <cellStyle name="Note 9 6 2 2 4" xfId="32685" xr:uid="{00000000-0005-0000-0000-0000AD7F0000}"/>
    <cellStyle name="Note 9 6 2 3" xfId="32686" xr:uid="{00000000-0005-0000-0000-0000AE7F0000}"/>
    <cellStyle name="Note 9 6 2 3 2" xfId="32687" xr:uid="{00000000-0005-0000-0000-0000AF7F0000}"/>
    <cellStyle name="Note 9 6 2 3 3" xfId="32688" xr:uid="{00000000-0005-0000-0000-0000B07F0000}"/>
    <cellStyle name="Note 9 6 2 4" xfId="32689" xr:uid="{00000000-0005-0000-0000-0000B17F0000}"/>
    <cellStyle name="Note 9 6 2 5" xfId="32690" xr:uid="{00000000-0005-0000-0000-0000B27F0000}"/>
    <cellStyle name="Note 9 7" xfId="32691" xr:uid="{00000000-0005-0000-0000-0000B37F0000}"/>
    <cellStyle name="Note 9 7 2" xfId="32692" xr:uid="{00000000-0005-0000-0000-0000B47F0000}"/>
    <cellStyle name="Note 9 7 2 2" xfId="32693" xr:uid="{00000000-0005-0000-0000-0000B57F0000}"/>
    <cellStyle name="Note 9 7 2 2 2" xfId="32694" xr:uid="{00000000-0005-0000-0000-0000B67F0000}"/>
    <cellStyle name="Note 9 7 2 2 2 2" xfId="32695" xr:uid="{00000000-0005-0000-0000-0000B77F0000}"/>
    <cellStyle name="Note 9 7 2 2 2 3" xfId="32696" xr:uid="{00000000-0005-0000-0000-0000B87F0000}"/>
    <cellStyle name="Note 9 7 2 2 3" xfId="32697" xr:uid="{00000000-0005-0000-0000-0000B97F0000}"/>
    <cellStyle name="Note 9 7 2 2 4" xfId="32698" xr:uid="{00000000-0005-0000-0000-0000BA7F0000}"/>
    <cellStyle name="Note 9 7 2 3" xfId="32699" xr:uid="{00000000-0005-0000-0000-0000BB7F0000}"/>
    <cellStyle name="Note 9 7 2 3 2" xfId="32700" xr:uid="{00000000-0005-0000-0000-0000BC7F0000}"/>
    <cellStyle name="Note 9 7 2 3 3" xfId="32701" xr:uid="{00000000-0005-0000-0000-0000BD7F0000}"/>
    <cellStyle name="Note 9 7 2 4" xfId="32702" xr:uid="{00000000-0005-0000-0000-0000BE7F0000}"/>
    <cellStyle name="Note 9 7 2 5" xfId="32703" xr:uid="{00000000-0005-0000-0000-0000BF7F0000}"/>
    <cellStyle name="Note 9 8" xfId="32704" xr:uid="{00000000-0005-0000-0000-0000C07F0000}"/>
    <cellStyle name="Note 9 8 2" xfId="32705" xr:uid="{00000000-0005-0000-0000-0000C17F0000}"/>
    <cellStyle name="Note 9 8 2 2" xfId="32706" xr:uid="{00000000-0005-0000-0000-0000C27F0000}"/>
    <cellStyle name="Note 9 8 2 2 2" xfId="32707" xr:uid="{00000000-0005-0000-0000-0000C37F0000}"/>
    <cellStyle name="Note 9 8 2 2 2 2" xfId="32708" xr:uid="{00000000-0005-0000-0000-0000C47F0000}"/>
    <cellStyle name="Note 9 8 2 2 2 3" xfId="32709" xr:uid="{00000000-0005-0000-0000-0000C57F0000}"/>
    <cellStyle name="Note 9 8 2 2 3" xfId="32710" xr:uid="{00000000-0005-0000-0000-0000C67F0000}"/>
    <cellStyle name="Note 9 8 2 2 4" xfId="32711" xr:uid="{00000000-0005-0000-0000-0000C77F0000}"/>
    <cellStyle name="Note 9 8 2 3" xfId="32712" xr:uid="{00000000-0005-0000-0000-0000C87F0000}"/>
    <cellStyle name="Note 9 8 2 3 2" xfId="32713" xr:uid="{00000000-0005-0000-0000-0000C97F0000}"/>
    <cellStyle name="Note 9 8 2 3 3" xfId="32714" xr:uid="{00000000-0005-0000-0000-0000CA7F0000}"/>
    <cellStyle name="Note 9 8 2 4" xfId="32715" xr:uid="{00000000-0005-0000-0000-0000CB7F0000}"/>
    <cellStyle name="Note 9 8 2 5" xfId="32716" xr:uid="{00000000-0005-0000-0000-0000CC7F0000}"/>
    <cellStyle name="Note 9 9" xfId="32717" xr:uid="{00000000-0005-0000-0000-0000CD7F0000}"/>
    <cellStyle name="Note 9 9 2" xfId="32718" xr:uid="{00000000-0005-0000-0000-0000CE7F0000}"/>
    <cellStyle name="Note 9 9 2 2" xfId="32719" xr:uid="{00000000-0005-0000-0000-0000CF7F0000}"/>
    <cellStyle name="Note 9 9 2 2 2" xfId="32720" xr:uid="{00000000-0005-0000-0000-0000D07F0000}"/>
    <cellStyle name="Note 9 9 2 2 3" xfId="32721" xr:uid="{00000000-0005-0000-0000-0000D17F0000}"/>
    <cellStyle name="Note 9 9 2 3" xfId="32722" xr:uid="{00000000-0005-0000-0000-0000D27F0000}"/>
    <cellStyle name="Note 9 9 2 4" xfId="32723" xr:uid="{00000000-0005-0000-0000-0000D37F0000}"/>
    <cellStyle name="Note 9 9 3" xfId="32724" xr:uid="{00000000-0005-0000-0000-0000D47F0000}"/>
    <cellStyle name="Note 9 9 3 2" xfId="32725" xr:uid="{00000000-0005-0000-0000-0000D57F0000}"/>
    <cellStyle name="Note 9 9 3 3" xfId="32726" xr:uid="{00000000-0005-0000-0000-0000D67F0000}"/>
    <cellStyle name="Note 9 9 4" xfId="32727" xr:uid="{00000000-0005-0000-0000-0000D77F0000}"/>
    <cellStyle name="Note 9 9 5" xfId="32728" xr:uid="{00000000-0005-0000-0000-0000D87F0000}"/>
    <cellStyle name="Output 2" xfId="32729" xr:uid="{00000000-0005-0000-0000-0000D97F0000}"/>
    <cellStyle name="Output 2 2" xfId="32730" xr:uid="{00000000-0005-0000-0000-0000DA7F0000}"/>
    <cellStyle name="Output 2 2 2" xfId="32731" xr:uid="{00000000-0005-0000-0000-0000DB7F0000}"/>
    <cellStyle name="Output 2 2 2 2" xfId="32732" xr:uid="{00000000-0005-0000-0000-0000DC7F0000}"/>
    <cellStyle name="Output 2 2 2 2 2" xfId="32733" xr:uid="{00000000-0005-0000-0000-0000DD7F0000}"/>
    <cellStyle name="Output 2 2 2 2 3" xfId="32734" xr:uid="{00000000-0005-0000-0000-0000DE7F0000}"/>
    <cellStyle name="Output 2 2 2 3" xfId="32735" xr:uid="{00000000-0005-0000-0000-0000DF7F0000}"/>
    <cellStyle name="Output 2 2 2 4" xfId="32736" xr:uid="{00000000-0005-0000-0000-0000E07F0000}"/>
    <cellStyle name="Output 2 2 3" xfId="32737" xr:uid="{00000000-0005-0000-0000-0000E17F0000}"/>
    <cellStyle name="Output 2 2 3 2" xfId="32738" xr:uid="{00000000-0005-0000-0000-0000E27F0000}"/>
    <cellStyle name="Output 2 2 3 3" xfId="32739" xr:uid="{00000000-0005-0000-0000-0000E37F0000}"/>
    <cellStyle name="Output 2 2 4" xfId="32740" xr:uid="{00000000-0005-0000-0000-0000E47F0000}"/>
    <cellStyle name="Output 2 2 5" xfId="32741" xr:uid="{00000000-0005-0000-0000-0000E57F0000}"/>
    <cellStyle name="Output 3" xfId="32742" xr:uid="{00000000-0005-0000-0000-0000E67F0000}"/>
    <cellStyle name="Output 3 2" xfId="32743" xr:uid="{00000000-0005-0000-0000-0000E77F0000}"/>
    <cellStyle name="Output 3 2 2" xfId="32744" xr:uid="{00000000-0005-0000-0000-0000E87F0000}"/>
    <cellStyle name="Output 3 2 2 2" xfId="32745" xr:uid="{00000000-0005-0000-0000-0000E97F0000}"/>
    <cellStyle name="Output 3 2 2 2 2" xfId="32746" xr:uid="{00000000-0005-0000-0000-0000EA7F0000}"/>
    <cellStyle name="Output 3 2 2 2 3" xfId="32747" xr:uid="{00000000-0005-0000-0000-0000EB7F0000}"/>
    <cellStyle name="Output 3 2 2 3" xfId="32748" xr:uid="{00000000-0005-0000-0000-0000EC7F0000}"/>
    <cellStyle name="Output 3 2 2 4" xfId="32749" xr:uid="{00000000-0005-0000-0000-0000ED7F0000}"/>
    <cellStyle name="Output 3 2 3" xfId="32750" xr:uid="{00000000-0005-0000-0000-0000EE7F0000}"/>
    <cellStyle name="Output 3 2 3 2" xfId="32751" xr:uid="{00000000-0005-0000-0000-0000EF7F0000}"/>
    <cellStyle name="Output 3 2 3 3" xfId="32752" xr:uid="{00000000-0005-0000-0000-0000F07F0000}"/>
    <cellStyle name="Output 3 2 4" xfId="32753" xr:uid="{00000000-0005-0000-0000-0000F17F0000}"/>
    <cellStyle name="Output 3 2 5" xfId="32754" xr:uid="{00000000-0005-0000-0000-0000F27F0000}"/>
    <cellStyle name="Output 4" xfId="32755" xr:uid="{00000000-0005-0000-0000-0000F37F0000}"/>
    <cellStyle name="Output 4 2" xfId="32756" xr:uid="{00000000-0005-0000-0000-0000F47F0000}"/>
    <cellStyle name="Output 4 2 2" xfId="32757" xr:uid="{00000000-0005-0000-0000-0000F57F0000}"/>
    <cellStyle name="Output 4 2 2 2" xfId="32758" xr:uid="{00000000-0005-0000-0000-0000F67F0000}"/>
    <cellStyle name="Output 4 2 2 2 2" xfId="32759" xr:uid="{00000000-0005-0000-0000-0000F77F0000}"/>
    <cellStyle name="Output 4 2 2 2 3" xfId="32760" xr:uid="{00000000-0005-0000-0000-0000F87F0000}"/>
    <cellStyle name="Output 4 2 2 3" xfId="32761" xr:uid="{00000000-0005-0000-0000-0000F97F0000}"/>
    <cellStyle name="Output 4 2 2 4" xfId="32762" xr:uid="{00000000-0005-0000-0000-0000FA7F0000}"/>
    <cellStyle name="Output 4 2 3" xfId="32763" xr:uid="{00000000-0005-0000-0000-0000FB7F0000}"/>
    <cellStyle name="Output 4 2 3 2" xfId="32764" xr:uid="{00000000-0005-0000-0000-0000FC7F0000}"/>
    <cellStyle name="Output 4 2 3 3" xfId="32765" xr:uid="{00000000-0005-0000-0000-0000FD7F0000}"/>
    <cellStyle name="Output 4 2 4" xfId="32766" xr:uid="{00000000-0005-0000-0000-0000FE7F0000}"/>
    <cellStyle name="Output 4 2 5" xfId="32767" xr:uid="{00000000-0005-0000-0000-0000FF7F0000}"/>
    <cellStyle name="Output 5" xfId="32768" xr:uid="{00000000-0005-0000-0000-000000800000}"/>
    <cellStyle name="Output 5 2" xfId="32769" xr:uid="{00000000-0005-0000-0000-000001800000}"/>
    <cellStyle name="Output 5 2 2" xfId="32770" xr:uid="{00000000-0005-0000-0000-000002800000}"/>
    <cellStyle name="Output 5 2 2 2" xfId="32771" xr:uid="{00000000-0005-0000-0000-000003800000}"/>
    <cellStyle name="Output 5 2 2 2 2" xfId="32772" xr:uid="{00000000-0005-0000-0000-000004800000}"/>
    <cellStyle name="Output 5 2 2 2 3" xfId="32773" xr:uid="{00000000-0005-0000-0000-000005800000}"/>
    <cellStyle name="Output 5 2 2 3" xfId="32774" xr:uid="{00000000-0005-0000-0000-000006800000}"/>
    <cellStyle name="Output 5 2 2 4" xfId="32775" xr:uid="{00000000-0005-0000-0000-000007800000}"/>
    <cellStyle name="Output 5 2 3" xfId="32776" xr:uid="{00000000-0005-0000-0000-000008800000}"/>
    <cellStyle name="Output 5 2 3 2" xfId="32777" xr:uid="{00000000-0005-0000-0000-000009800000}"/>
    <cellStyle name="Output 5 2 3 3" xfId="32778" xr:uid="{00000000-0005-0000-0000-00000A800000}"/>
    <cellStyle name="Output 5 2 4" xfId="32779" xr:uid="{00000000-0005-0000-0000-00000B800000}"/>
    <cellStyle name="Output 5 2 5" xfId="32780" xr:uid="{00000000-0005-0000-0000-00000C800000}"/>
    <cellStyle name="Output 6" xfId="32781" xr:uid="{00000000-0005-0000-0000-00000D800000}"/>
    <cellStyle name="Output 6 2" xfId="32782" xr:uid="{00000000-0005-0000-0000-00000E800000}"/>
    <cellStyle name="Output 6 2 2" xfId="32783" xr:uid="{00000000-0005-0000-0000-00000F800000}"/>
    <cellStyle name="Output 6 2 2 2" xfId="32784" xr:uid="{00000000-0005-0000-0000-000010800000}"/>
    <cellStyle name="Output 6 2 2 2 2" xfId="32785" xr:uid="{00000000-0005-0000-0000-000011800000}"/>
    <cellStyle name="Output 6 2 2 2 3" xfId="32786" xr:uid="{00000000-0005-0000-0000-000012800000}"/>
    <cellStyle name="Output 6 2 2 3" xfId="32787" xr:uid="{00000000-0005-0000-0000-000013800000}"/>
    <cellStyle name="Output 6 2 2 4" xfId="32788" xr:uid="{00000000-0005-0000-0000-000014800000}"/>
    <cellStyle name="Output 6 2 3" xfId="32789" xr:uid="{00000000-0005-0000-0000-000015800000}"/>
    <cellStyle name="Output 6 2 3 2" xfId="32790" xr:uid="{00000000-0005-0000-0000-000016800000}"/>
    <cellStyle name="Output 6 2 3 3" xfId="32791" xr:uid="{00000000-0005-0000-0000-000017800000}"/>
    <cellStyle name="Output 6 2 4" xfId="32792" xr:uid="{00000000-0005-0000-0000-000018800000}"/>
    <cellStyle name="Output 6 2 5" xfId="32793" xr:uid="{00000000-0005-0000-0000-000019800000}"/>
    <cellStyle name="Percent" xfId="2" builtinId="5"/>
    <cellStyle name="Percent (0)" xfId="32794" xr:uid="{00000000-0005-0000-0000-00001A800000}"/>
    <cellStyle name="Percent (0) 2" xfId="32795" xr:uid="{00000000-0005-0000-0000-00001B800000}"/>
    <cellStyle name="Percent (0) 2 2" xfId="32796" xr:uid="{00000000-0005-0000-0000-00001C800000}"/>
    <cellStyle name="Percent (0) 2 2 2" xfId="32797" xr:uid="{00000000-0005-0000-0000-00001D800000}"/>
    <cellStyle name="Percent (0) 2 2 2 2" xfId="32798" xr:uid="{00000000-0005-0000-0000-00001E800000}"/>
    <cellStyle name="Percent (0) 2 2 2 2 2" xfId="32799" xr:uid="{00000000-0005-0000-0000-00001F800000}"/>
    <cellStyle name="Percent (0) 2 2 2 2 3" xfId="32800" xr:uid="{00000000-0005-0000-0000-000020800000}"/>
    <cellStyle name="Percent (0) 2 2 2 3" xfId="32801" xr:uid="{00000000-0005-0000-0000-000021800000}"/>
    <cellStyle name="Percent (0) 2 2 2 4" xfId="32802" xr:uid="{00000000-0005-0000-0000-000022800000}"/>
    <cellStyle name="Percent (0) 2 2 3" xfId="32803" xr:uid="{00000000-0005-0000-0000-000023800000}"/>
    <cellStyle name="Percent (0) 2 2 3 2" xfId="32804" xr:uid="{00000000-0005-0000-0000-000024800000}"/>
    <cellStyle name="Percent (0) 2 2 3 3" xfId="32805" xr:uid="{00000000-0005-0000-0000-000025800000}"/>
    <cellStyle name="Percent (0) 2 2 4" xfId="32806" xr:uid="{00000000-0005-0000-0000-000026800000}"/>
    <cellStyle name="Percent (0) 2 2 5" xfId="32807" xr:uid="{00000000-0005-0000-0000-000027800000}"/>
    <cellStyle name="Percent (0) 3" xfId="32808" xr:uid="{00000000-0005-0000-0000-000028800000}"/>
    <cellStyle name="Percent (0) 3 2" xfId="32809" xr:uid="{00000000-0005-0000-0000-000029800000}"/>
    <cellStyle name="Percent (0) 3 2 2" xfId="32810" xr:uid="{00000000-0005-0000-0000-00002A800000}"/>
    <cellStyle name="Percent (0) 3 2 2 2" xfId="32811" xr:uid="{00000000-0005-0000-0000-00002B800000}"/>
    <cellStyle name="Percent (0) 3 2 2 2 2" xfId="32812" xr:uid="{00000000-0005-0000-0000-00002C800000}"/>
    <cellStyle name="Percent (0) 3 2 2 2 3" xfId="32813" xr:uid="{00000000-0005-0000-0000-00002D800000}"/>
    <cellStyle name="Percent (0) 3 2 2 3" xfId="32814" xr:uid="{00000000-0005-0000-0000-00002E800000}"/>
    <cellStyle name="Percent (0) 3 2 2 4" xfId="32815" xr:uid="{00000000-0005-0000-0000-00002F800000}"/>
    <cellStyle name="Percent (0) 3 2 3" xfId="32816" xr:uid="{00000000-0005-0000-0000-000030800000}"/>
    <cellStyle name="Percent (0) 3 2 3 2" xfId="32817" xr:uid="{00000000-0005-0000-0000-000031800000}"/>
    <cellStyle name="Percent (0) 3 2 3 3" xfId="32818" xr:uid="{00000000-0005-0000-0000-000032800000}"/>
    <cellStyle name="Percent (0) 3 2 4" xfId="32819" xr:uid="{00000000-0005-0000-0000-000033800000}"/>
    <cellStyle name="Percent (0) 3 2 5" xfId="32820" xr:uid="{00000000-0005-0000-0000-000034800000}"/>
    <cellStyle name="Percent (0) 4" xfId="32821" xr:uid="{00000000-0005-0000-0000-000035800000}"/>
    <cellStyle name="Percent (0) 4 2" xfId="32822" xr:uid="{00000000-0005-0000-0000-000036800000}"/>
    <cellStyle name="Percent (0) 4 2 2" xfId="32823" xr:uid="{00000000-0005-0000-0000-000037800000}"/>
    <cellStyle name="Percent (0) 4 2 2 2" xfId="32824" xr:uid="{00000000-0005-0000-0000-000038800000}"/>
    <cellStyle name="Percent (0) 4 2 2 2 2" xfId="32825" xr:uid="{00000000-0005-0000-0000-000039800000}"/>
    <cellStyle name="Percent (0) 4 2 2 2 3" xfId="32826" xr:uid="{00000000-0005-0000-0000-00003A800000}"/>
    <cellStyle name="Percent (0) 4 2 2 3" xfId="32827" xr:uid="{00000000-0005-0000-0000-00003B800000}"/>
    <cellStyle name="Percent (0) 4 2 2 4" xfId="32828" xr:uid="{00000000-0005-0000-0000-00003C800000}"/>
    <cellStyle name="Percent (0) 4 2 3" xfId="32829" xr:uid="{00000000-0005-0000-0000-00003D800000}"/>
    <cellStyle name="Percent (0) 4 2 3 2" xfId="32830" xr:uid="{00000000-0005-0000-0000-00003E800000}"/>
    <cellStyle name="Percent (0) 4 2 3 3" xfId="32831" xr:uid="{00000000-0005-0000-0000-00003F800000}"/>
    <cellStyle name="Percent (0) 4 2 4" xfId="32832" xr:uid="{00000000-0005-0000-0000-000040800000}"/>
    <cellStyle name="Percent (0) 4 2 5" xfId="32833" xr:uid="{00000000-0005-0000-0000-000041800000}"/>
    <cellStyle name="Percent (0) 5" xfId="32834" xr:uid="{00000000-0005-0000-0000-000042800000}"/>
    <cellStyle name="Percent (0) 5 2" xfId="32835" xr:uid="{00000000-0005-0000-0000-000043800000}"/>
    <cellStyle name="Percent (0) 5 2 2" xfId="32836" xr:uid="{00000000-0005-0000-0000-000044800000}"/>
    <cellStyle name="Percent (0) 5 2 2 2" xfId="32837" xr:uid="{00000000-0005-0000-0000-000045800000}"/>
    <cellStyle name="Percent (0) 5 2 2 2 2" xfId="32838" xr:uid="{00000000-0005-0000-0000-000046800000}"/>
    <cellStyle name="Percent (0) 5 2 2 2 3" xfId="32839" xr:uid="{00000000-0005-0000-0000-000047800000}"/>
    <cellStyle name="Percent (0) 5 2 2 3" xfId="32840" xr:uid="{00000000-0005-0000-0000-000048800000}"/>
    <cellStyle name="Percent (0) 5 2 2 4" xfId="32841" xr:uid="{00000000-0005-0000-0000-000049800000}"/>
    <cellStyle name="Percent (0) 5 2 3" xfId="32842" xr:uid="{00000000-0005-0000-0000-00004A800000}"/>
    <cellStyle name="Percent (0) 5 2 3 2" xfId="32843" xr:uid="{00000000-0005-0000-0000-00004B800000}"/>
    <cellStyle name="Percent (0) 5 2 3 3" xfId="32844" xr:uid="{00000000-0005-0000-0000-00004C800000}"/>
    <cellStyle name="Percent (0) 5 2 4" xfId="32845" xr:uid="{00000000-0005-0000-0000-00004D800000}"/>
    <cellStyle name="Percent (0) 5 2 5" xfId="32846" xr:uid="{00000000-0005-0000-0000-00004E800000}"/>
    <cellStyle name="Percent (0) 6" xfId="32847" xr:uid="{00000000-0005-0000-0000-00004F800000}"/>
    <cellStyle name="Percent (0) 6 2" xfId="32848" xr:uid="{00000000-0005-0000-0000-000050800000}"/>
    <cellStyle name="Percent (0) 6 2 2" xfId="32849" xr:uid="{00000000-0005-0000-0000-000051800000}"/>
    <cellStyle name="Percent (0) 6 2 2 2" xfId="32850" xr:uid="{00000000-0005-0000-0000-000052800000}"/>
    <cellStyle name="Percent (0) 6 2 2 3" xfId="32851" xr:uid="{00000000-0005-0000-0000-000053800000}"/>
    <cellStyle name="Percent (0) 6 2 3" xfId="32852" xr:uid="{00000000-0005-0000-0000-000054800000}"/>
    <cellStyle name="Percent (0) 6 2 4" xfId="32853" xr:uid="{00000000-0005-0000-0000-000055800000}"/>
    <cellStyle name="Percent (0) 6 3" xfId="32854" xr:uid="{00000000-0005-0000-0000-000056800000}"/>
    <cellStyle name="Percent (0) 6 3 2" xfId="32855" xr:uid="{00000000-0005-0000-0000-000057800000}"/>
    <cellStyle name="Percent (0) 6 3 3" xfId="32856" xr:uid="{00000000-0005-0000-0000-000058800000}"/>
    <cellStyle name="Percent (0) 6 4" xfId="32857" xr:uid="{00000000-0005-0000-0000-000059800000}"/>
    <cellStyle name="Percent (0) 6 5" xfId="32858" xr:uid="{00000000-0005-0000-0000-00005A800000}"/>
    <cellStyle name="Percent [2]" xfId="32859" xr:uid="{00000000-0005-0000-0000-00005B800000}"/>
    <cellStyle name="Percent 10" xfId="32860" xr:uid="{00000000-0005-0000-0000-00005C800000}"/>
    <cellStyle name="Percent 10 2" xfId="32861" xr:uid="{00000000-0005-0000-0000-00005D800000}"/>
    <cellStyle name="Percent 11" xfId="32862" xr:uid="{00000000-0005-0000-0000-00005E800000}"/>
    <cellStyle name="Percent 12" xfId="32863" xr:uid="{00000000-0005-0000-0000-00005F800000}"/>
    <cellStyle name="Percent 13" xfId="32864" xr:uid="{00000000-0005-0000-0000-000060800000}"/>
    <cellStyle name="Percent 13 2" xfId="32865" xr:uid="{00000000-0005-0000-0000-000061800000}"/>
    <cellStyle name="Percent 14" xfId="32866" xr:uid="{00000000-0005-0000-0000-000062800000}"/>
    <cellStyle name="Percent 14 2" xfId="32867" xr:uid="{00000000-0005-0000-0000-000063800000}"/>
    <cellStyle name="Percent 15" xfId="32868" xr:uid="{00000000-0005-0000-0000-000064800000}"/>
    <cellStyle name="Percent 16" xfId="32869" xr:uid="{00000000-0005-0000-0000-000065800000}"/>
    <cellStyle name="Percent 17" xfId="32870" xr:uid="{00000000-0005-0000-0000-000066800000}"/>
    <cellStyle name="Percent 18" xfId="32871" xr:uid="{00000000-0005-0000-0000-000067800000}"/>
    <cellStyle name="Percent 19" xfId="32872" xr:uid="{00000000-0005-0000-0000-000068800000}"/>
    <cellStyle name="Percent 2" xfId="18" xr:uid="{00000000-0005-0000-0000-000012000000}"/>
    <cellStyle name="Percent 2 2" xfId="32873" xr:uid="{00000000-0005-0000-0000-000069800000}"/>
    <cellStyle name="Percent 2 2 2" xfId="32874" xr:uid="{00000000-0005-0000-0000-00006A800000}"/>
    <cellStyle name="Percent 2 2 3" xfId="32875" xr:uid="{00000000-0005-0000-0000-00006B800000}"/>
    <cellStyle name="Percent 2 2 3 2" xfId="32876" xr:uid="{00000000-0005-0000-0000-00006C800000}"/>
    <cellStyle name="Percent 2 2 3 3" xfId="32877" xr:uid="{00000000-0005-0000-0000-00006D800000}"/>
    <cellStyle name="Percent 2 2 4" xfId="32878" xr:uid="{00000000-0005-0000-0000-00006E800000}"/>
    <cellStyle name="Percent 2 2 5" xfId="32879" xr:uid="{00000000-0005-0000-0000-00006F800000}"/>
    <cellStyle name="Percent 2 3" xfId="32880" xr:uid="{00000000-0005-0000-0000-000070800000}"/>
    <cellStyle name="Percent 2 4" xfId="32881" xr:uid="{00000000-0005-0000-0000-000071800000}"/>
    <cellStyle name="Percent 2 7" xfId="34801" xr:uid="{9F87C3E1-9501-4440-8B5F-FEBE0DD49572}"/>
    <cellStyle name="Percent 20" xfId="32882" xr:uid="{00000000-0005-0000-0000-000072800000}"/>
    <cellStyle name="Percent 21" xfId="32883" xr:uid="{00000000-0005-0000-0000-000073800000}"/>
    <cellStyle name="Percent 22" xfId="32884" xr:uid="{00000000-0005-0000-0000-000074800000}"/>
    <cellStyle name="Percent 23" xfId="32885" xr:uid="{00000000-0005-0000-0000-000075800000}"/>
    <cellStyle name="Percent 24" xfId="32886" xr:uid="{00000000-0005-0000-0000-000076800000}"/>
    <cellStyle name="Percent 25" xfId="32887" xr:uid="{00000000-0005-0000-0000-000077800000}"/>
    <cellStyle name="Percent 26" xfId="32888" xr:uid="{00000000-0005-0000-0000-000078800000}"/>
    <cellStyle name="Percent 27" xfId="32889" xr:uid="{00000000-0005-0000-0000-000079800000}"/>
    <cellStyle name="Percent 28" xfId="32890" xr:uid="{00000000-0005-0000-0000-00007A800000}"/>
    <cellStyle name="Percent 29" xfId="32891" xr:uid="{00000000-0005-0000-0000-00007B800000}"/>
    <cellStyle name="Percent 29 2" xfId="32892" xr:uid="{00000000-0005-0000-0000-00007C800000}"/>
    <cellStyle name="Percent 3" xfId="32893" xr:uid="{00000000-0005-0000-0000-00007D800000}"/>
    <cellStyle name="Percent 3 2" xfId="32894" xr:uid="{00000000-0005-0000-0000-00007E800000}"/>
    <cellStyle name="Percent 3 2 2" xfId="32895" xr:uid="{00000000-0005-0000-0000-00007F800000}"/>
    <cellStyle name="Percent 3 2 2 2" xfId="32896" xr:uid="{00000000-0005-0000-0000-000080800000}"/>
    <cellStyle name="Percent 3 2 2 2 2" xfId="32897" xr:uid="{00000000-0005-0000-0000-000081800000}"/>
    <cellStyle name="Percent 3 2 2 2 2 2" xfId="32898" xr:uid="{00000000-0005-0000-0000-000082800000}"/>
    <cellStyle name="Percent 3 2 2 2 2 3" xfId="32899" xr:uid="{00000000-0005-0000-0000-000083800000}"/>
    <cellStyle name="Percent 3 2 2 2 3" xfId="32900" xr:uid="{00000000-0005-0000-0000-000084800000}"/>
    <cellStyle name="Percent 3 2 2 2 4" xfId="32901" xr:uid="{00000000-0005-0000-0000-000085800000}"/>
    <cellStyle name="Percent 3 2 2 3" xfId="32902" xr:uid="{00000000-0005-0000-0000-000086800000}"/>
    <cellStyle name="Percent 3 2 2 3 2" xfId="32903" xr:uid="{00000000-0005-0000-0000-000087800000}"/>
    <cellStyle name="Percent 3 2 2 3 3" xfId="32904" xr:uid="{00000000-0005-0000-0000-000088800000}"/>
    <cellStyle name="Percent 3 2 2 4" xfId="32905" xr:uid="{00000000-0005-0000-0000-000089800000}"/>
    <cellStyle name="Percent 3 2 2 5" xfId="32906" xr:uid="{00000000-0005-0000-0000-00008A800000}"/>
    <cellStyle name="Percent 3 3" xfId="32907" xr:uid="{00000000-0005-0000-0000-00008B800000}"/>
    <cellStyle name="Percent 3 3 2" xfId="32908" xr:uid="{00000000-0005-0000-0000-00008C800000}"/>
    <cellStyle name="Percent 3 3 2 2" xfId="32909" xr:uid="{00000000-0005-0000-0000-00008D800000}"/>
    <cellStyle name="Percent 3 3 2 2 2" xfId="32910" xr:uid="{00000000-0005-0000-0000-00008E800000}"/>
    <cellStyle name="Percent 3 3 2 2 3" xfId="32911" xr:uid="{00000000-0005-0000-0000-00008F800000}"/>
    <cellStyle name="Percent 3 3 2 3" xfId="32912" xr:uid="{00000000-0005-0000-0000-000090800000}"/>
    <cellStyle name="Percent 3 3 2 4" xfId="32913" xr:uid="{00000000-0005-0000-0000-000091800000}"/>
    <cellStyle name="Percent 3 3 3" xfId="32914" xr:uid="{00000000-0005-0000-0000-000092800000}"/>
    <cellStyle name="Percent 3 3 3 2" xfId="32915" xr:uid="{00000000-0005-0000-0000-000093800000}"/>
    <cellStyle name="Percent 3 3 3 3" xfId="32916" xr:uid="{00000000-0005-0000-0000-000094800000}"/>
    <cellStyle name="Percent 3 3 4" xfId="32917" xr:uid="{00000000-0005-0000-0000-000095800000}"/>
    <cellStyle name="Percent 3 3 5" xfId="32918" xr:uid="{00000000-0005-0000-0000-000096800000}"/>
    <cellStyle name="Percent 30" xfId="32919" xr:uid="{00000000-0005-0000-0000-000097800000}"/>
    <cellStyle name="Percent 31" xfId="32920" xr:uid="{00000000-0005-0000-0000-000098800000}"/>
    <cellStyle name="Percent 32" xfId="32921" xr:uid="{00000000-0005-0000-0000-000099800000}"/>
    <cellStyle name="Percent 33" xfId="32922" xr:uid="{00000000-0005-0000-0000-00009A800000}"/>
    <cellStyle name="Percent 34" xfId="32923" xr:uid="{00000000-0005-0000-0000-00009B800000}"/>
    <cellStyle name="Percent 4" xfId="32924" xr:uid="{00000000-0005-0000-0000-00009C800000}"/>
    <cellStyle name="Percent 4 2" xfId="32925" xr:uid="{00000000-0005-0000-0000-00009D800000}"/>
    <cellStyle name="Percent 4 2 2" xfId="32926" xr:uid="{00000000-0005-0000-0000-00009E800000}"/>
    <cellStyle name="Percent 4 2 2 2" xfId="32927" xr:uid="{00000000-0005-0000-0000-00009F800000}"/>
    <cellStyle name="Percent 4 2 2 2 2" xfId="32928" xr:uid="{00000000-0005-0000-0000-0000A0800000}"/>
    <cellStyle name="Percent 4 2 2 2 2 2" xfId="32929" xr:uid="{00000000-0005-0000-0000-0000A1800000}"/>
    <cellStyle name="Percent 4 2 2 2 2 2 2" xfId="32930" xr:uid="{00000000-0005-0000-0000-0000A2800000}"/>
    <cellStyle name="Percent 4 2 2 2 2 2 3" xfId="32931" xr:uid="{00000000-0005-0000-0000-0000A3800000}"/>
    <cellStyle name="Percent 4 2 2 2 2 3" xfId="32932" xr:uid="{00000000-0005-0000-0000-0000A4800000}"/>
    <cellStyle name="Percent 4 2 2 2 2 4" xfId="32933" xr:uid="{00000000-0005-0000-0000-0000A5800000}"/>
    <cellStyle name="Percent 4 2 2 2 3" xfId="32934" xr:uid="{00000000-0005-0000-0000-0000A6800000}"/>
    <cellStyle name="Percent 4 2 2 2 3 2" xfId="32935" xr:uid="{00000000-0005-0000-0000-0000A7800000}"/>
    <cellStyle name="Percent 4 2 2 2 3 3" xfId="32936" xr:uid="{00000000-0005-0000-0000-0000A8800000}"/>
    <cellStyle name="Percent 4 2 2 2 4" xfId="32937" xr:uid="{00000000-0005-0000-0000-0000A9800000}"/>
    <cellStyle name="Percent 4 2 2 2 5" xfId="32938" xr:uid="{00000000-0005-0000-0000-0000AA800000}"/>
    <cellStyle name="Percent 4 2 3" xfId="32939" xr:uid="{00000000-0005-0000-0000-0000AB800000}"/>
    <cellStyle name="Percent 4 2 3 2" xfId="32940" xr:uid="{00000000-0005-0000-0000-0000AC800000}"/>
    <cellStyle name="Percent 4 2 3 2 2" xfId="32941" xr:uid="{00000000-0005-0000-0000-0000AD800000}"/>
    <cellStyle name="Percent 4 2 3 2 2 2" xfId="32942" xr:uid="{00000000-0005-0000-0000-0000AE800000}"/>
    <cellStyle name="Percent 4 2 3 2 2 3" xfId="32943" xr:uid="{00000000-0005-0000-0000-0000AF800000}"/>
    <cellStyle name="Percent 4 2 3 2 3" xfId="32944" xr:uid="{00000000-0005-0000-0000-0000B0800000}"/>
    <cellStyle name="Percent 4 2 3 2 4" xfId="32945" xr:uid="{00000000-0005-0000-0000-0000B1800000}"/>
    <cellStyle name="Percent 4 2 3 3" xfId="32946" xr:uid="{00000000-0005-0000-0000-0000B2800000}"/>
    <cellStyle name="Percent 4 2 3 3 2" xfId="32947" xr:uid="{00000000-0005-0000-0000-0000B3800000}"/>
    <cellStyle name="Percent 4 2 3 3 3" xfId="32948" xr:uid="{00000000-0005-0000-0000-0000B4800000}"/>
    <cellStyle name="Percent 4 2 3 4" xfId="32949" xr:uid="{00000000-0005-0000-0000-0000B5800000}"/>
    <cellStyle name="Percent 4 2 3 5" xfId="32950" xr:uid="{00000000-0005-0000-0000-0000B6800000}"/>
    <cellStyle name="Percent 4 3" xfId="32951" xr:uid="{00000000-0005-0000-0000-0000B7800000}"/>
    <cellStyle name="Percent 4 3 2" xfId="32952" xr:uid="{00000000-0005-0000-0000-0000B8800000}"/>
    <cellStyle name="Percent 4 3 2 2" xfId="32953" xr:uid="{00000000-0005-0000-0000-0000B9800000}"/>
    <cellStyle name="Percent 4 3 2 2 2" xfId="32954" xr:uid="{00000000-0005-0000-0000-0000BA800000}"/>
    <cellStyle name="Percent 4 3 2 2 3" xfId="32955" xr:uid="{00000000-0005-0000-0000-0000BB800000}"/>
    <cellStyle name="Percent 4 3 2 3" xfId="32956" xr:uid="{00000000-0005-0000-0000-0000BC800000}"/>
    <cellStyle name="Percent 4 3 2 4" xfId="32957" xr:uid="{00000000-0005-0000-0000-0000BD800000}"/>
    <cellStyle name="Percent 4 3 3" xfId="32958" xr:uid="{00000000-0005-0000-0000-0000BE800000}"/>
    <cellStyle name="Percent 4 3 3 2" xfId="32959" xr:uid="{00000000-0005-0000-0000-0000BF800000}"/>
    <cellStyle name="Percent 4 3 3 3" xfId="32960" xr:uid="{00000000-0005-0000-0000-0000C0800000}"/>
    <cellStyle name="Percent 4 3 4" xfId="32961" xr:uid="{00000000-0005-0000-0000-0000C1800000}"/>
    <cellStyle name="Percent 4 3 5" xfId="32962" xr:uid="{00000000-0005-0000-0000-0000C2800000}"/>
    <cellStyle name="Percent 5" xfId="32963" xr:uid="{00000000-0005-0000-0000-0000C3800000}"/>
    <cellStyle name="Percent 5 10" xfId="32964" xr:uid="{00000000-0005-0000-0000-0000C4800000}"/>
    <cellStyle name="Percent 5 11" xfId="32965" xr:uid="{00000000-0005-0000-0000-0000C5800000}"/>
    <cellStyle name="Percent 5 2" xfId="32966" xr:uid="{00000000-0005-0000-0000-0000C6800000}"/>
    <cellStyle name="Percent 5 2 10" xfId="32967" xr:uid="{00000000-0005-0000-0000-0000C7800000}"/>
    <cellStyle name="Percent 5 2 2" xfId="32968" xr:uid="{00000000-0005-0000-0000-0000C8800000}"/>
    <cellStyle name="Percent 5 2 2 2" xfId="32969" xr:uid="{00000000-0005-0000-0000-0000C9800000}"/>
    <cellStyle name="Percent 5 2 2 2 2" xfId="32970" xr:uid="{00000000-0005-0000-0000-0000CA800000}"/>
    <cellStyle name="Percent 5 2 2 2 2 2" xfId="32971" xr:uid="{00000000-0005-0000-0000-0000CB800000}"/>
    <cellStyle name="Percent 5 2 2 2 2 2 2" xfId="32972" xr:uid="{00000000-0005-0000-0000-0000CC800000}"/>
    <cellStyle name="Percent 5 2 2 2 2 2 2 2" xfId="32973" xr:uid="{00000000-0005-0000-0000-0000CD800000}"/>
    <cellStyle name="Percent 5 2 2 2 2 2 2 2 2" xfId="32974" xr:uid="{00000000-0005-0000-0000-0000CE800000}"/>
    <cellStyle name="Percent 5 2 2 2 2 2 2 2 2 2" xfId="32975" xr:uid="{00000000-0005-0000-0000-0000CF800000}"/>
    <cellStyle name="Percent 5 2 2 2 2 2 2 2 2 3" xfId="32976" xr:uid="{00000000-0005-0000-0000-0000D0800000}"/>
    <cellStyle name="Percent 5 2 2 2 2 2 2 2 3" xfId="32977" xr:uid="{00000000-0005-0000-0000-0000D1800000}"/>
    <cellStyle name="Percent 5 2 2 2 2 2 2 2 4" xfId="32978" xr:uid="{00000000-0005-0000-0000-0000D2800000}"/>
    <cellStyle name="Percent 5 2 2 2 2 2 2 3" xfId="32979" xr:uid="{00000000-0005-0000-0000-0000D3800000}"/>
    <cellStyle name="Percent 5 2 2 2 2 2 2 3 2" xfId="32980" xr:uid="{00000000-0005-0000-0000-0000D4800000}"/>
    <cellStyle name="Percent 5 2 2 2 2 2 2 3 3" xfId="32981" xr:uid="{00000000-0005-0000-0000-0000D5800000}"/>
    <cellStyle name="Percent 5 2 2 2 2 2 2 4" xfId="32982" xr:uid="{00000000-0005-0000-0000-0000D6800000}"/>
    <cellStyle name="Percent 5 2 2 2 2 2 2 5" xfId="32983" xr:uid="{00000000-0005-0000-0000-0000D7800000}"/>
    <cellStyle name="Percent 5 2 2 2 2 2 3" xfId="32984" xr:uid="{00000000-0005-0000-0000-0000D8800000}"/>
    <cellStyle name="Percent 5 2 2 2 2 2 3 2" xfId="32985" xr:uid="{00000000-0005-0000-0000-0000D9800000}"/>
    <cellStyle name="Percent 5 2 2 2 2 2 3 2 2" xfId="32986" xr:uid="{00000000-0005-0000-0000-0000DA800000}"/>
    <cellStyle name="Percent 5 2 2 2 2 2 3 2 3" xfId="32987" xr:uid="{00000000-0005-0000-0000-0000DB800000}"/>
    <cellStyle name="Percent 5 2 2 2 2 2 3 3" xfId="32988" xr:uid="{00000000-0005-0000-0000-0000DC800000}"/>
    <cellStyle name="Percent 5 2 2 2 2 2 3 4" xfId="32989" xr:uid="{00000000-0005-0000-0000-0000DD800000}"/>
    <cellStyle name="Percent 5 2 2 2 2 2 4" xfId="32990" xr:uid="{00000000-0005-0000-0000-0000DE800000}"/>
    <cellStyle name="Percent 5 2 2 2 2 2 4 2" xfId="32991" xr:uid="{00000000-0005-0000-0000-0000DF800000}"/>
    <cellStyle name="Percent 5 2 2 2 2 2 4 3" xfId="32992" xr:uid="{00000000-0005-0000-0000-0000E0800000}"/>
    <cellStyle name="Percent 5 2 2 2 2 2 5" xfId="32993" xr:uid="{00000000-0005-0000-0000-0000E1800000}"/>
    <cellStyle name="Percent 5 2 2 2 2 2 6" xfId="32994" xr:uid="{00000000-0005-0000-0000-0000E2800000}"/>
    <cellStyle name="Percent 5 2 2 2 2 3" xfId="32995" xr:uid="{00000000-0005-0000-0000-0000E3800000}"/>
    <cellStyle name="Percent 5 2 2 2 2 3 2" xfId="32996" xr:uid="{00000000-0005-0000-0000-0000E4800000}"/>
    <cellStyle name="Percent 5 2 2 2 2 3 2 2" xfId="32997" xr:uid="{00000000-0005-0000-0000-0000E5800000}"/>
    <cellStyle name="Percent 5 2 2 2 2 3 2 2 2" xfId="32998" xr:uid="{00000000-0005-0000-0000-0000E6800000}"/>
    <cellStyle name="Percent 5 2 2 2 2 3 2 2 3" xfId="32999" xr:uid="{00000000-0005-0000-0000-0000E7800000}"/>
    <cellStyle name="Percent 5 2 2 2 2 3 2 3" xfId="33000" xr:uid="{00000000-0005-0000-0000-0000E8800000}"/>
    <cellStyle name="Percent 5 2 2 2 2 3 2 4" xfId="33001" xr:uid="{00000000-0005-0000-0000-0000E9800000}"/>
    <cellStyle name="Percent 5 2 2 2 2 3 3" xfId="33002" xr:uid="{00000000-0005-0000-0000-0000EA800000}"/>
    <cellStyle name="Percent 5 2 2 2 2 3 3 2" xfId="33003" xr:uid="{00000000-0005-0000-0000-0000EB800000}"/>
    <cellStyle name="Percent 5 2 2 2 2 3 3 3" xfId="33004" xr:uid="{00000000-0005-0000-0000-0000EC800000}"/>
    <cellStyle name="Percent 5 2 2 2 2 3 4" xfId="33005" xr:uid="{00000000-0005-0000-0000-0000ED800000}"/>
    <cellStyle name="Percent 5 2 2 2 2 3 5" xfId="33006" xr:uid="{00000000-0005-0000-0000-0000EE800000}"/>
    <cellStyle name="Percent 5 2 2 2 2 4" xfId="33007" xr:uid="{00000000-0005-0000-0000-0000EF800000}"/>
    <cellStyle name="Percent 5 2 2 2 2 4 2" xfId="33008" xr:uid="{00000000-0005-0000-0000-0000F0800000}"/>
    <cellStyle name="Percent 5 2 2 2 2 4 2 2" xfId="33009" xr:uid="{00000000-0005-0000-0000-0000F1800000}"/>
    <cellStyle name="Percent 5 2 2 2 2 4 2 3" xfId="33010" xr:uid="{00000000-0005-0000-0000-0000F2800000}"/>
    <cellStyle name="Percent 5 2 2 2 2 4 3" xfId="33011" xr:uid="{00000000-0005-0000-0000-0000F3800000}"/>
    <cellStyle name="Percent 5 2 2 2 2 4 4" xfId="33012" xr:uid="{00000000-0005-0000-0000-0000F4800000}"/>
    <cellStyle name="Percent 5 2 2 2 2 5" xfId="33013" xr:uid="{00000000-0005-0000-0000-0000F5800000}"/>
    <cellStyle name="Percent 5 2 2 2 2 5 2" xfId="33014" xr:uid="{00000000-0005-0000-0000-0000F6800000}"/>
    <cellStyle name="Percent 5 2 2 2 2 5 3" xfId="33015" xr:uid="{00000000-0005-0000-0000-0000F7800000}"/>
    <cellStyle name="Percent 5 2 2 2 2 6" xfId="33016" xr:uid="{00000000-0005-0000-0000-0000F8800000}"/>
    <cellStyle name="Percent 5 2 2 2 2 7" xfId="33017" xr:uid="{00000000-0005-0000-0000-0000F9800000}"/>
    <cellStyle name="Percent 5 2 2 2 3" xfId="33018" xr:uid="{00000000-0005-0000-0000-0000FA800000}"/>
    <cellStyle name="Percent 5 2 2 2 3 2" xfId="33019" xr:uid="{00000000-0005-0000-0000-0000FB800000}"/>
    <cellStyle name="Percent 5 2 2 2 3 2 2" xfId="33020" xr:uid="{00000000-0005-0000-0000-0000FC800000}"/>
    <cellStyle name="Percent 5 2 2 2 3 2 2 2" xfId="33021" xr:uid="{00000000-0005-0000-0000-0000FD800000}"/>
    <cellStyle name="Percent 5 2 2 2 3 2 2 2 2" xfId="33022" xr:uid="{00000000-0005-0000-0000-0000FE800000}"/>
    <cellStyle name="Percent 5 2 2 2 3 2 2 2 3" xfId="33023" xr:uid="{00000000-0005-0000-0000-0000FF800000}"/>
    <cellStyle name="Percent 5 2 2 2 3 2 2 3" xfId="33024" xr:uid="{00000000-0005-0000-0000-000000810000}"/>
    <cellStyle name="Percent 5 2 2 2 3 2 2 4" xfId="33025" xr:uid="{00000000-0005-0000-0000-000001810000}"/>
    <cellStyle name="Percent 5 2 2 2 3 2 3" xfId="33026" xr:uid="{00000000-0005-0000-0000-000002810000}"/>
    <cellStyle name="Percent 5 2 2 2 3 2 3 2" xfId="33027" xr:uid="{00000000-0005-0000-0000-000003810000}"/>
    <cellStyle name="Percent 5 2 2 2 3 2 3 3" xfId="33028" xr:uid="{00000000-0005-0000-0000-000004810000}"/>
    <cellStyle name="Percent 5 2 2 2 3 2 4" xfId="33029" xr:uid="{00000000-0005-0000-0000-000005810000}"/>
    <cellStyle name="Percent 5 2 2 2 3 2 5" xfId="33030" xr:uid="{00000000-0005-0000-0000-000006810000}"/>
    <cellStyle name="Percent 5 2 2 2 3 3" xfId="33031" xr:uid="{00000000-0005-0000-0000-000007810000}"/>
    <cellStyle name="Percent 5 2 2 2 3 3 2" xfId="33032" xr:uid="{00000000-0005-0000-0000-000008810000}"/>
    <cellStyle name="Percent 5 2 2 2 3 3 2 2" xfId="33033" xr:uid="{00000000-0005-0000-0000-000009810000}"/>
    <cellStyle name="Percent 5 2 2 2 3 3 2 3" xfId="33034" xr:uid="{00000000-0005-0000-0000-00000A810000}"/>
    <cellStyle name="Percent 5 2 2 2 3 3 3" xfId="33035" xr:uid="{00000000-0005-0000-0000-00000B810000}"/>
    <cellStyle name="Percent 5 2 2 2 3 3 4" xfId="33036" xr:uid="{00000000-0005-0000-0000-00000C810000}"/>
    <cellStyle name="Percent 5 2 2 2 3 4" xfId="33037" xr:uid="{00000000-0005-0000-0000-00000D810000}"/>
    <cellStyle name="Percent 5 2 2 2 3 4 2" xfId="33038" xr:uid="{00000000-0005-0000-0000-00000E810000}"/>
    <cellStyle name="Percent 5 2 2 2 3 4 3" xfId="33039" xr:uid="{00000000-0005-0000-0000-00000F810000}"/>
    <cellStyle name="Percent 5 2 2 2 3 5" xfId="33040" xr:uid="{00000000-0005-0000-0000-000010810000}"/>
    <cellStyle name="Percent 5 2 2 2 3 6" xfId="33041" xr:uid="{00000000-0005-0000-0000-000011810000}"/>
    <cellStyle name="Percent 5 2 2 2 4" xfId="33042" xr:uid="{00000000-0005-0000-0000-000012810000}"/>
    <cellStyle name="Percent 5 2 2 2 4 2" xfId="33043" xr:uid="{00000000-0005-0000-0000-000013810000}"/>
    <cellStyle name="Percent 5 2 2 2 4 2 2" xfId="33044" xr:uid="{00000000-0005-0000-0000-000014810000}"/>
    <cellStyle name="Percent 5 2 2 2 4 2 2 2" xfId="33045" xr:uid="{00000000-0005-0000-0000-000015810000}"/>
    <cellStyle name="Percent 5 2 2 2 4 2 2 3" xfId="33046" xr:uid="{00000000-0005-0000-0000-000016810000}"/>
    <cellStyle name="Percent 5 2 2 2 4 2 3" xfId="33047" xr:uid="{00000000-0005-0000-0000-000017810000}"/>
    <cellStyle name="Percent 5 2 2 2 4 2 4" xfId="33048" xr:uid="{00000000-0005-0000-0000-000018810000}"/>
    <cellStyle name="Percent 5 2 2 2 4 3" xfId="33049" xr:uid="{00000000-0005-0000-0000-000019810000}"/>
    <cellStyle name="Percent 5 2 2 2 4 3 2" xfId="33050" xr:uid="{00000000-0005-0000-0000-00001A810000}"/>
    <cellStyle name="Percent 5 2 2 2 4 3 3" xfId="33051" xr:uid="{00000000-0005-0000-0000-00001B810000}"/>
    <cellStyle name="Percent 5 2 2 2 4 4" xfId="33052" xr:uid="{00000000-0005-0000-0000-00001C810000}"/>
    <cellStyle name="Percent 5 2 2 2 4 5" xfId="33053" xr:uid="{00000000-0005-0000-0000-00001D810000}"/>
    <cellStyle name="Percent 5 2 2 2 5" xfId="33054" xr:uid="{00000000-0005-0000-0000-00001E810000}"/>
    <cellStyle name="Percent 5 2 2 2 5 2" xfId="33055" xr:uid="{00000000-0005-0000-0000-00001F810000}"/>
    <cellStyle name="Percent 5 2 2 2 5 2 2" xfId="33056" xr:uid="{00000000-0005-0000-0000-000020810000}"/>
    <cellStyle name="Percent 5 2 2 2 5 2 3" xfId="33057" xr:uid="{00000000-0005-0000-0000-000021810000}"/>
    <cellStyle name="Percent 5 2 2 2 5 3" xfId="33058" xr:uid="{00000000-0005-0000-0000-000022810000}"/>
    <cellStyle name="Percent 5 2 2 2 5 4" xfId="33059" xr:uid="{00000000-0005-0000-0000-000023810000}"/>
    <cellStyle name="Percent 5 2 2 2 6" xfId="33060" xr:uid="{00000000-0005-0000-0000-000024810000}"/>
    <cellStyle name="Percent 5 2 2 2 6 2" xfId="33061" xr:uid="{00000000-0005-0000-0000-000025810000}"/>
    <cellStyle name="Percent 5 2 2 2 6 3" xfId="33062" xr:uid="{00000000-0005-0000-0000-000026810000}"/>
    <cellStyle name="Percent 5 2 2 2 7" xfId="33063" xr:uid="{00000000-0005-0000-0000-000027810000}"/>
    <cellStyle name="Percent 5 2 2 2 8" xfId="33064" xr:uid="{00000000-0005-0000-0000-000028810000}"/>
    <cellStyle name="Percent 5 2 2 3" xfId="33065" xr:uid="{00000000-0005-0000-0000-000029810000}"/>
    <cellStyle name="Percent 5 2 2 3 2" xfId="33066" xr:uid="{00000000-0005-0000-0000-00002A810000}"/>
    <cellStyle name="Percent 5 2 2 3 2 2" xfId="33067" xr:uid="{00000000-0005-0000-0000-00002B810000}"/>
    <cellStyle name="Percent 5 2 2 3 2 2 2" xfId="33068" xr:uid="{00000000-0005-0000-0000-00002C810000}"/>
    <cellStyle name="Percent 5 2 2 3 2 2 2 2" xfId="33069" xr:uid="{00000000-0005-0000-0000-00002D810000}"/>
    <cellStyle name="Percent 5 2 2 3 2 2 2 2 2" xfId="33070" xr:uid="{00000000-0005-0000-0000-00002E810000}"/>
    <cellStyle name="Percent 5 2 2 3 2 2 2 2 3" xfId="33071" xr:uid="{00000000-0005-0000-0000-00002F810000}"/>
    <cellStyle name="Percent 5 2 2 3 2 2 2 3" xfId="33072" xr:uid="{00000000-0005-0000-0000-000030810000}"/>
    <cellStyle name="Percent 5 2 2 3 2 2 2 4" xfId="33073" xr:uid="{00000000-0005-0000-0000-000031810000}"/>
    <cellStyle name="Percent 5 2 2 3 2 2 3" xfId="33074" xr:uid="{00000000-0005-0000-0000-000032810000}"/>
    <cellStyle name="Percent 5 2 2 3 2 2 3 2" xfId="33075" xr:uid="{00000000-0005-0000-0000-000033810000}"/>
    <cellStyle name="Percent 5 2 2 3 2 2 3 3" xfId="33076" xr:uid="{00000000-0005-0000-0000-000034810000}"/>
    <cellStyle name="Percent 5 2 2 3 2 2 4" xfId="33077" xr:uid="{00000000-0005-0000-0000-000035810000}"/>
    <cellStyle name="Percent 5 2 2 3 2 2 5" xfId="33078" xr:uid="{00000000-0005-0000-0000-000036810000}"/>
    <cellStyle name="Percent 5 2 2 3 2 3" xfId="33079" xr:uid="{00000000-0005-0000-0000-000037810000}"/>
    <cellStyle name="Percent 5 2 2 3 2 3 2" xfId="33080" xr:uid="{00000000-0005-0000-0000-000038810000}"/>
    <cellStyle name="Percent 5 2 2 3 2 3 2 2" xfId="33081" xr:uid="{00000000-0005-0000-0000-000039810000}"/>
    <cellStyle name="Percent 5 2 2 3 2 3 2 3" xfId="33082" xr:uid="{00000000-0005-0000-0000-00003A810000}"/>
    <cellStyle name="Percent 5 2 2 3 2 3 3" xfId="33083" xr:uid="{00000000-0005-0000-0000-00003B810000}"/>
    <cellStyle name="Percent 5 2 2 3 2 3 4" xfId="33084" xr:uid="{00000000-0005-0000-0000-00003C810000}"/>
    <cellStyle name="Percent 5 2 2 3 2 4" xfId="33085" xr:uid="{00000000-0005-0000-0000-00003D810000}"/>
    <cellStyle name="Percent 5 2 2 3 2 4 2" xfId="33086" xr:uid="{00000000-0005-0000-0000-00003E810000}"/>
    <cellStyle name="Percent 5 2 2 3 2 4 3" xfId="33087" xr:uid="{00000000-0005-0000-0000-00003F810000}"/>
    <cellStyle name="Percent 5 2 2 3 2 5" xfId="33088" xr:uid="{00000000-0005-0000-0000-000040810000}"/>
    <cellStyle name="Percent 5 2 2 3 2 6" xfId="33089" xr:uid="{00000000-0005-0000-0000-000041810000}"/>
    <cellStyle name="Percent 5 2 2 3 3" xfId="33090" xr:uid="{00000000-0005-0000-0000-000042810000}"/>
    <cellStyle name="Percent 5 2 2 3 3 2" xfId="33091" xr:uid="{00000000-0005-0000-0000-000043810000}"/>
    <cellStyle name="Percent 5 2 2 3 3 2 2" xfId="33092" xr:uid="{00000000-0005-0000-0000-000044810000}"/>
    <cellStyle name="Percent 5 2 2 3 3 2 2 2" xfId="33093" xr:uid="{00000000-0005-0000-0000-000045810000}"/>
    <cellStyle name="Percent 5 2 2 3 3 2 2 3" xfId="33094" xr:uid="{00000000-0005-0000-0000-000046810000}"/>
    <cellStyle name="Percent 5 2 2 3 3 2 3" xfId="33095" xr:uid="{00000000-0005-0000-0000-000047810000}"/>
    <cellStyle name="Percent 5 2 2 3 3 2 4" xfId="33096" xr:uid="{00000000-0005-0000-0000-000048810000}"/>
    <cellStyle name="Percent 5 2 2 3 3 3" xfId="33097" xr:uid="{00000000-0005-0000-0000-000049810000}"/>
    <cellStyle name="Percent 5 2 2 3 3 3 2" xfId="33098" xr:uid="{00000000-0005-0000-0000-00004A810000}"/>
    <cellStyle name="Percent 5 2 2 3 3 3 3" xfId="33099" xr:uid="{00000000-0005-0000-0000-00004B810000}"/>
    <cellStyle name="Percent 5 2 2 3 3 4" xfId="33100" xr:uid="{00000000-0005-0000-0000-00004C810000}"/>
    <cellStyle name="Percent 5 2 2 3 3 5" xfId="33101" xr:uid="{00000000-0005-0000-0000-00004D810000}"/>
    <cellStyle name="Percent 5 2 2 3 4" xfId="33102" xr:uid="{00000000-0005-0000-0000-00004E810000}"/>
    <cellStyle name="Percent 5 2 2 3 4 2" xfId="33103" xr:uid="{00000000-0005-0000-0000-00004F810000}"/>
    <cellStyle name="Percent 5 2 2 3 4 2 2" xfId="33104" xr:uid="{00000000-0005-0000-0000-000050810000}"/>
    <cellStyle name="Percent 5 2 2 3 4 2 3" xfId="33105" xr:uid="{00000000-0005-0000-0000-000051810000}"/>
    <cellStyle name="Percent 5 2 2 3 4 3" xfId="33106" xr:uid="{00000000-0005-0000-0000-000052810000}"/>
    <cellStyle name="Percent 5 2 2 3 4 4" xfId="33107" xr:uid="{00000000-0005-0000-0000-000053810000}"/>
    <cellStyle name="Percent 5 2 2 3 5" xfId="33108" xr:uid="{00000000-0005-0000-0000-000054810000}"/>
    <cellStyle name="Percent 5 2 2 3 5 2" xfId="33109" xr:uid="{00000000-0005-0000-0000-000055810000}"/>
    <cellStyle name="Percent 5 2 2 3 5 3" xfId="33110" xr:uid="{00000000-0005-0000-0000-000056810000}"/>
    <cellStyle name="Percent 5 2 2 3 6" xfId="33111" xr:uid="{00000000-0005-0000-0000-000057810000}"/>
    <cellStyle name="Percent 5 2 2 3 7" xfId="33112" xr:uid="{00000000-0005-0000-0000-000058810000}"/>
    <cellStyle name="Percent 5 2 2 4" xfId="33113" xr:uid="{00000000-0005-0000-0000-000059810000}"/>
    <cellStyle name="Percent 5 2 2 4 2" xfId="33114" xr:uid="{00000000-0005-0000-0000-00005A810000}"/>
    <cellStyle name="Percent 5 2 2 4 2 2" xfId="33115" xr:uid="{00000000-0005-0000-0000-00005B810000}"/>
    <cellStyle name="Percent 5 2 2 4 2 2 2" xfId="33116" xr:uid="{00000000-0005-0000-0000-00005C810000}"/>
    <cellStyle name="Percent 5 2 2 4 2 2 2 2" xfId="33117" xr:uid="{00000000-0005-0000-0000-00005D810000}"/>
    <cellStyle name="Percent 5 2 2 4 2 2 2 3" xfId="33118" xr:uid="{00000000-0005-0000-0000-00005E810000}"/>
    <cellStyle name="Percent 5 2 2 4 2 2 3" xfId="33119" xr:uid="{00000000-0005-0000-0000-00005F810000}"/>
    <cellStyle name="Percent 5 2 2 4 2 2 4" xfId="33120" xr:uid="{00000000-0005-0000-0000-000060810000}"/>
    <cellStyle name="Percent 5 2 2 4 2 3" xfId="33121" xr:uid="{00000000-0005-0000-0000-000061810000}"/>
    <cellStyle name="Percent 5 2 2 4 2 3 2" xfId="33122" xr:uid="{00000000-0005-0000-0000-000062810000}"/>
    <cellStyle name="Percent 5 2 2 4 2 3 3" xfId="33123" xr:uid="{00000000-0005-0000-0000-000063810000}"/>
    <cellStyle name="Percent 5 2 2 4 2 4" xfId="33124" xr:uid="{00000000-0005-0000-0000-000064810000}"/>
    <cellStyle name="Percent 5 2 2 4 2 5" xfId="33125" xr:uid="{00000000-0005-0000-0000-000065810000}"/>
    <cellStyle name="Percent 5 2 2 4 3" xfId="33126" xr:uid="{00000000-0005-0000-0000-000066810000}"/>
    <cellStyle name="Percent 5 2 2 4 3 2" xfId="33127" xr:uid="{00000000-0005-0000-0000-000067810000}"/>
    <cellStyle name="Percent 5 2 2 4 3 2 2" xfId="33128" xr:uid="{00000000-0005-0000-0000-000068810000}"/>
    <cellStyle name="Percent 5 2 2 4 3 2 3" xfId="33129" xr:uid="{00000000-0005-0000-0000-000069810000}"/>
    <cellStyle name="Percent 5 2 2 4 3 3" xfId="33130" xr:uid="{00000000-0005-0000-0000-00006A810000}"/>
    <cellStyle name="Percent 5 2 2 4 3 4" xfId="33131" xr:uid="{00000000-0005-0000-0000-00006B810000}"/>
    <cellStyle name="Percent 5 2 2 4 4" xfId="33132" xr:uid="{00000000-0005-0000-0000-00006C810000}"/>
    <cellStyle name="Percent 5 2 2 4 4 2" xfId="33133" xr:uid="{00000000-0005-0000-0000-00006D810000}"/>
    <cellStyle name="Percent 5 2 2 4 4 3" xfId="33134" xr:uid="{00000000-0005-0000-0000-00006E810000}"/>
    <cellStyle name="Percent 5 2 2 4 5" xfId="33135" xr:uid="{00000000-0005-0000-0000-00006F810000}"/>
    <cellStyle name="Percent 5 2 2 4 6" xfId="33136" xr:uid="{00000000-0005-0000-0000-000070810000}"/>
    <cellStyle name="Percent 5 2 2 5" xfId="33137" xr:uid="{00000000-0005-0000-0000-000071810000}"/>
    <cellStyle name="Percent 5 2 2 5 2" xfId="33138" xr:uid="{00000000-0005-0000-0000-000072810000}"/>
    <cellStyle name="Percent 5 2 2 5 2 2" xfId="33139" xr:uid="{00000000-0005-0000-0000-000073810000}"/>
    <cellStyle name="Percent 5 2 2 5 2 2 2" xfId="33140" xr:uid="{00000000-0005-0000-0000-000074810000}"/>
    <cellStyle name="Percent 5 2 2 5 2 2 3" xfId="33141" xr:uid="{00000000-0005-0000-0000-000075810000}"/>
    <cellStyle name="Percent 5 2 2 5 2 3" xfId="33142" xr:uid="{00000000-0005-0000-0000-000076810000}"/>
    <cellStyle name="Percent 5 2 2 5 2 4" xfId="33143" xr:uid="{00000000-0005-0000-0000-000077810000}"/>
    <cellStyle name="Percent 5 2 2 5 3" xfId="33144" xr:uid="{00000000-0005-0000-0000-000078810000}"/>
    <cellStyle name="Percent 5 2 2 5 3 2" xfId="33145" xr:uid="{00000000-0005-0000-0000-000079810000}"/>
    <cellStyle name="Percent 5 2 2 5 3 3" xfId="33146" xr:uid="{00000000-0005-0000-0000-00007A810000}"/>
    <cellStyle name="Percent 5 2 2 5 4" xfId="33147" xr:uid="{00000000-0005-0000-0000-00007B810000}"/>
    <cellStyle name="Percent 5 2 2 5 5" xfId="33148" xr:uid="{00000000-0005-0000-0000-00007C810000}"/>
    <cellStyle name="Percent 5 2 2 6" xfId="33149" xr:uid="{00000000-0005-0000-0000-00007D810000}"/>
    <cellStyle name="Percent 5 2 2 6 2" xfId="33150" xr:uid="{00000000-0005-0000-0000-00007E810000}"/>
    <cellStyle name="Percent 5 2 2 6 2 2" xfId="33151" xr:uid="{00000000-0005-0000-0000-00007F810000}"/>
    <cellStyle name="Percent 5 2 2 6 2 3" xfId="33152" xr:uid="{00000000-0005-0000-0000-000080810000}"/>
    <cellStyle name="Percent 5 2 2 6 3" xfId="33153" xr:uid="{00000000-0005-0000-0000-000081810000}"/>
    <cellStyle name="Percent 5 2 2 6 4" xfId="33154" xr:uid="{00000000-0005-0000-0000-000082810000}"/>
    <cellStyle name="Percent 5 2 2 7" xfId="33155" xr:uid="{00000000-0005-0000-0000-000083810000}"/>
    <cellStyle name="Percent 5 2 2 7 2" xfId="33156" xr:uid="{00000000-0005-0000-0000-000084810000}"/>
    <cellStyle name="Percent 5 2 2 7 3" xfId="33157" xr:uid="{00000000-0005-0000-0000-000085810000}"/>
    <cellStyle name="Percent 5 2 2 8" xfId="33158" xr:uid="{00000000-0005-0000-0000-000086810000}"/>
    <cellStyle name="Percent 5 2 2 9" xfId="33159" xr:uid="{00000000-0005-0000-0000-000087810000}"/>
    <cellStyle name="Percent 5 2 3" xfId="33160" xr:uid="{00000000-0005-0000-0000-000088810000}"/>
    <cellStyle name="Percent 5 2 3 2" xfId="33161" xr:uid="{00000000-0005-0000-0000-000089810000}"/>
    <cellStyle name="Percent 5 2 3 2 2" xfId="33162" xr:uid="{00000000-0005-0000-0000-00008A810000}"/>
    <cellStyle name="Percent 5 2 3 2 2 2" xfId="33163" xr:uid="{00000000-0005-0000-0000-00008B810000}"/>
    <cellStyle name="Percent 5 2 3 2 2 2 2" xfId="33164" xr:uid="{00000000-0005-0000-0000-00008C810000}"/>
    <cellStyle name="Percent 5 2 3 2 2 2 2 2" xfId="33165" xr:uid="{00000000-0005-0000-0000-00008D810000}"/>
    <cellStyle name="Percent 5 2 3 2 2 2 2 2 2" xfId="33166" xr:uid="{00000000-0005-0000-0000-00008E810000}"/>
    <cellStyle name="Percent 5 2 3 2 2 2 2 2 3" xfId="33167" xr:uid="{00000000-0005-0000-0000-00008F810000}"/>
    <cellStyle name="Percent 5 2 3 2 2 2 2 3" xfId="33168" xr:uid="{00000000-0005-0000-0000-000090810000}"/>
    <cellStyle name="Percent 5 2 3 2 2 2 2 4" xfId="33169" xr:uid="{00000000-0005-0000-0000-000091810000}"/>
    <cellStyle name="Percent 5 2 3 2 2 2 3" xfId="33170" xr:uid="{00000000-0005-0000-0000-000092810000}"/>
    <cellStyle name="Percent 5 2 3 2 2 2 3 2" xfId="33171" xr:uid="{00000000-0005-0000-0000-000093810000}"/>
    <cellStyle name="Percent 5 2 3 2 2 2 3 3" xfId="33172" xr:uid="{00000000-0005-0000-0000-000094810000}"/>
    <cellStyle name="Percent 5 2 3 2 2 2 4" xfId="33173" xr:uid="{00000000-0005-0000-0000-000095810000}"/>
    <cellStyle name="Percent 5 2 3 2 2 2 5" xfId="33174" xr:uid="{00000000-0005-0000-0000-000096810000}"/>
    <cellStyle name="Percent 5 2 3 2 2 3" xfId="33175" xr:uid="{00000000-0005-0000-0000-000097810000}"/>
    <cellStyle name="Percent 5 2 3 2 2 3 2" xfId="33176" xr:uid="{00000000-0005-0000-0000-000098810000}"/>
    <cellStyle name="Percent 5 2 3 2 2 3 2 2" xfId="33177" xr:uid="{00000000-0005-0000-0000-000099810000}"/>
    <cellStyle name="Percent 5 2 3 2 2 3 2 3" xfId="33178" xr:uid="{00000000-0005-0000-0000-00009A810000}"/>
    <cellStyle name="Percent 5 2 3 2 2 3 3" xfId="33179" xr:uid="{00000000-0005-0000-0000-00009B810000}"/>
    <cellStyle name="Percent 5 2 3 2 2 3 4" xfId="33180" xr:uid="{00000000-0005-0000-0000-00009C810000}"/>
    <cellStyle name="Percent 5 2 3 2 2 4" xfId="33181" xr:uid="{00000000-0005-0000-0000-00009D810000}"/>
    <cellStyle name="Percent 5 2 3 2 2 4 2" xfId="33182" xr:uid="{00000000-0005-0000-0000-00009E810000}"/>
    <cellStyle name="Percent 5 2 3 2 2 4 3" xfId="33183" xr:uid="{00000000-0005-0000-0000-00009F810000}"/>
    <cellStyle name="Percent 5 2 3 2 2 5" xfId="33184" xr:uid="{00000000-0005-0000-0000-0000A0810000}"/>
    <cellStyle name="Percent 5 2 3 2 2 6" xfId="33185" xr:uid="{00000000-0005-0000-0000-0000A1810000}"/>
    <cellStyle name="Percent 5 2 3 2 3" xfId="33186" xr:uid="{00000000-0005-0000-0000-0000A2810000}"/>
    <cellStyle name="Percent 5 2 3 2 3 2" xfId="33187" xr:uid="{00000000-0005-0000-0000-0000A3810000}"/>
    <cellStyle name="Percent 5 2 3 2 3 2 2" xfId="33188" xr:uid="{00000000-0005-0000-0000-0000A4810000}"/>
    <cellStyle name="Percent 5 2 3 2 3 2 2 2" xfId="33189" xr:uid="{00000000-0005-0000-0000-0000A5810000}"/>
    <cellStyle name="Percent 5 2 3 2 3 2 2 3" xfId="33190" xr:uid="{00000000-0005-0000-0000-0000A6810000}"/>
    <cellStyle name="Percent 5 2 3 2 3 2 3" xfId="33191" xr:uid="{00000000-0005-0000-0000-0000A7810000}"/>
    <cellStyle name="Percent 5 2 3 2 3 2 4" xfId="33192" xr:uid="{00000000-0005-0000-0000-0000A8810000}"/>
    <cellStyle name="Percent 5 2 3 2 3 3" xfId="33193" xr:uid="{00000000-0005-0000-0000-0000A9810000}"/>
    <cellStyle name="Percent 5 2 3 2 3 3 2" xfId="33194" xr:uid="{00000000-0005-0000-0000-0000AA810000}"/>
    <cellStyle name="Percent 5 2 3 2 3 3 3" xfId="33195" xr:uid="{00000000-0005-0000-0000-0000AB810000}"/>
    <cellStyle name="Percent 5 2 3 2 3 4" xfId="33196" xr:uid="{00000000-0005-0000-0000-0000AC810000}"/>
    <cellStyle name="Percent 5 2 3 2 3 5" xfId="33197" xr:uid="{00000000-0005-0000-0000-0000AD810000}"/>
    <cellStyle name="Percent 5 2 3 2 4" xfId="33198" xr:uid="{00000000-0005-0000-0000-0000AE810000}"/>
    <cellStyle name="Percent 5 2 3 2 4 2" xfId="33199" xr:uid="{00000000-0005-0000-0000-0000AF810000}"/>
    <cellStyle name="Percent 5 2 3 2 4 2 2" xfId="33200" xr:uid="{00000000-0005-0000-0000-0000B0810000}"/>
    <cellStyle name="Percent 5 2 3 2 4 2 3" xfId="33201" xr:uid="{00000000-0005-0000-0000-0000B1810000}"/>
    <cellStyle name="Percent 5 2 3 2 4 3" xfId="33202" xr:uid="{00000000-0005-0000-0000-0000B2810000}"/>
    <cellStyle name="Percent 5 2 3 2 4 4" xfId="33203" xr:uid="{00000000-0005-0000-0000-0000B3810000}"/>
    <cellStyle name="Percent 5 2 3 2 5" xfId="33204" xr:uid="{00000000-0005-0000-0000-0000B4810000}"/>
    <cellStyle name="Percent 5 2 3 2 5 2" xfId="33205" xr:uid="{00000000-0005-0000-0000-0000B5810000}"/>
    <cellStyle name="Percent 5 2 3 2 5 3" xfId="33206" xr:uid="{00000000-0005-0000-0000-0000B6810000}"/>
    <cellStyle name="Percent 5 2 3 2 6" xfId="33207" xr:uid="{00000000-0005-0000-0000-0000B7810000}"/>
    <cellStyle name="Percent 5 2 3 2 7" xfId="33208" xr:uid="{00000000-0005-0000-0000-0000B8810000}"/>
    <cellStyle name="Percent 5 2 3 3" xfId="33209" xr:uid="{00000000-0005-0000-0000-0000B9810000}"/>
    <cellStyle name="Percent 5 2 3 3 2" xfId="33210" xr:uid="{00000000-0005-0000-0000-0000BA810000}"/>
    <cellStyle name="Percent 5 2 3 3 2 2" xfId="33211" xr:uid="{00000000-0005-0000-0000-0000BB810000}"/>
    <cellStyle name="Percent 5 2 3 3 2 2 2" xfId="33212" xr:uid="{00000000-0005-0000-0000-0000BC810000}"/>
    <cellStyle name="Percent 5 2 3 3 2 2 2 2" xfId="33213" xr:uid="{00000000-0005-0000-0000-0000BD810000}"/>
    <cellStyle name="Percent 5 2 3 3 2 2 2 3" xfId="33214" xr:uid="{00000000-0005-0000-0000-0000BE810000}"/>
    <cellStyle name="Percent 5 2 3 3 2 2 3" xfId="33215" xr:uid="{00000000-0005-0000-0000-0000BF810000}"/>
    <cellStyle name="Percent 5 2 3 3 2 2 4" xfId="33216" xr:uid="{00000000-0005-0000-0000-0000C0810000}"/>
    <cellStyle name="Percent 5 2 3 3 2 3" xfId="33217" xr:uid="{00000000-0005-0000-0000-0000C1810000}"/>
    <cellStyle name="Percent 5 2 3 3 2 3 2" xfId="33218" xr:uid="{00000000-0005-0000-0000-0000C2810000}"/>
    <cellStyle name="Percent 5 2 3 3 2 3 3" xfId="33219" xr:uid="{00000000-0005-0000-0000-0000C3810000}"/>
    <cellStyle name="Percent 5 2 3 3 2 4" xfId="33220" xr:uid="{00000000-0005-0000-0000-0000C4810000}"/>
    <cellStyle name="Percent 5 2 3 3 2 5" xfId="33221" xr:uid="{00000000-0005-0000-0000-0000C5810000}"/>
    <cellStyle name="Percent 5 2 3 3 3" xfId="33222" xr:uid="{00000000-0005-0000-0000-0000C6810000}"/>
    <cellStyle name="Percent 5 2 3 3 3 2" xfId="33223" xr:uid="{00000000-0005-0000-0000-0000C7810000}"/>
    <cellStyle name="Percent 5 2 3 3 3 2 2" xfId="33224" xr:uid="{00000000-0005-0000-0000-0000C8810000}"/>
    <cellStyle name="Percent 5 2 3 3 3 2 3" xfId="33225" xr:uid="{00000000-0005-0000-0000-0000C9810000}"/>
    <cellStyle name="Percent 5 2 3 3 3 3" xfId="33226" xr:uid="{00000000-0005-0000-0000-0000CA810000}"/>
    <cellStyle name="Percent 5 2 3 3 3 4" xfId="33227" xr:uid="{00000000-0005-0000-0000-0000CB810000}"/>
    <cellStyle name="Percent 5 2 3 3 4" xfId="33228" xr:uid="{00000000-0005-0000-0000-0000CC810000}"/>
    <cellStyle name="Percent 5 2 3 3 4 2" xfId="33229" xr:uid="{00000000-0005-0000-0000-0000CD810000}"/>
    <cellStyle name="Percent 5 2 3 3 4 3" xfId="33230" xr:uid="{00000000-0005-0000-0000-0000CE810000}"/>
    <cellStyle name="Percent 5 2 3 3 5" xfId="33231" xr:uid="{00000000-0005-0000-0000-0000CF810000}"/>
    <cellStyle name="Percent 5 2 3 3 6" xfId="33232" xr:uid="{00000000-0005-0000-0000-0000D0810000}"/>
    <cellStyle name="Percent 5 2 3 4" xfId="33233" xr:uid="{00000000-0005-0000-0000-0000D1810000}"/>
    <cellStyle name="Percent 5 2 3 4 2" xfId="33234" xr:uid="{00000000-0005-0000-0000-0000D2810000}"/>
    <cellStyle name="Percent 5 2 3 4 2 2" xfId="33235" xr:uid="{00000000-0005-0000-0000-0000D3810000}"/>
    <cellStyle name="Percent 5 2 3 4 2 2 2" xfId="33236" xr:uid="{00000000-0005-0000-0000-0000D4810000}"/>
    <cellStyle name="Percent 5 2 3 4 2 2 3" xfId="33237" xr:uid="{00000000-0005-0000-0000-0000D5810000}"/>
    <cellStyle name="Percent 5 2 3 4 2 3" xfId="33238" xr:uid="{00000000-0005-0000-0000-0000D6810000}"/>
    <cellStyle name="Percent 5 2 3 4 2 4" xfId="33239" xr:uid="{00000000-0005-0000-0000-0000D7810000}"/>
    <cellStyle name="Percent 5 2 3 4 3" xfId="33240" xr:uid="{00000000-0005-0000-0000-0000D8810000}"/>
    <cellStyle name="Percent 5 2 3 4 3 2" xfId="33241" xr:uid="{00000000-0005-0000-0000-0000D9810000}"/>
    <cellStyle name="Percent 5 2 3 4 3 3" xfId="33242" xr:uid="{00000000-0005-0000-0000-0000DA810000}"/>
    <cellStyle name="Percent 5 2 3 4 4" xfId="33243" xr:uid="{00000000-0005-0000-0000-0000DB810000}"/>
    <cellStyle name="Percent 5 2 3 4 5" xfId="33244" xr:uid="{00000000-0005-0000-0000-0000DC810000}"/>
    <cellStyle name="Percent 5 2 3 5" xfId="33245" xr:uid="{00000000-0005-0000-0000-0000DD810000}"/>
    <cellStyle name="Percent 5 2 3 5 2" xfId="33246" xr:uid="{00000000-0005-0000-0000-0000DE810000}"/>
    <cellStyle name="Percent 5 2 3 5 2 2" xfId="33247" xr:uid="{00000000-0005-0000-0000-0000DF810000}"/>
    <cellStyle name="Percent 5 2 3 5 2 3" xfId="33248" xr:uid="{00000000-0005-0000-0000-0000E0810000}"/>
    <cellStyle name="Percent 5 2 3 5 3" xfId="33249" xr:uid="{00000000-0005-0000-0000-0000E1810000}"/>
    <cellStyle name="Percent 5 2 3 5 4" xfId="33250" xr:uid="{00000000-0005-0000-0000-0000E2810000}"/>
    <cellStyle name="Percent 5 2 3 6" xfId="33251" xr:uid="{00000000-0005-0000-0000-0000E3810000}"/>
    <cellStyle name="Percent 5 2 3 6 2" xfId="33252" xr:uid="{00000000-0005-0000-0000-0000E4810000}"/>
    <cellStyle name="Percent 5 2 3 6 3" xfId="33253" xr:uid="{00000000-0005-0000-0000-0000E5810000}"/>
    <cellStyle name="Percent 5 2 3 7" xfId="33254" xr:uid="{00000000-0005-0000-0000-0000E6810000}"/>
    <cellStyle name="Percent 5 2 3 8" xfId="33255" xr:uid="{00000000-0005-0000-0000-0000E7810000}"/>
    <cellStyle name="Percent 5 2 4" xfId="33256" xr:uid="{00000000-0005-0000-0000-0000E8810000}"/>
    <cellStyle name="Percent 5 2 4 2" xfId="33257" xr:uid="{00000000-0005-0000-0000-0000E9810000}"/>
    <cellStyle name="Percent 5 2 4 2 2" xfId="33258" xr:uid="{00000000-0005-0000-0000-0000EA810000}"/>
    <cellStyle name="Percent 5 2 4 2 2 2" xfId="33259" xr:uid="{00000000-0005-0000-0000-0000EB810000}"/>
    <cellStyle name="Percent 5 2 4 2 2 2 2" xfId="33260" xr:uid="{00000000-0005-0000-0000-0000EC810000}"/>
    <cellStyle name="Percent 5 2 4 2 2 2 2 2" xfId="33261" xr:uid="{00000000-0005-0000-0000-0000ED810000}"/>
    <cellStyle name="Percent 5 2 4 2 2 2 2 3" xfId="33262" xr:uid="{00000000-0005-0000-0000-0000EE810000}"/>
    <cellStyle name="Percent 5 2 4 2 2 2 3" xfId="33263" xr:uid="{00000000-0005-0000-0000-0000EF810000}"/>
    <cellStyle name="Percent 5 2 4 2 2 2 4" xfId="33264" xr:uid="{00000000-0005-0000-0000-0000F0810000}"/>
    <cellStyle name="Percent 5 2 4 2 2 3" xfId="33265" xr:uid="{00000000-0005-0000-0000-0000F1810000}"/>
    <cellStyle name="Percent 5 2 4 2 2 3 2" xfId="33266" xr:uid="{00000000-0005-0000-0000-0000F2810000}"/>
    <cellStyle name="Percent 5 2 4 2 2 3 3" xfId="33267" xr:uid="{00000000-0005-0000-0000-0000F3810000}"/>
    <cellStyle name="Percent 5 2 4 2 2 4" xfId="33268" xr:uid="{00000000-0005-0000-0000-0000F4810000}"/>
    <cellStyle name="Percent 5 2 4 2 2 5" xfId="33269" xr:uid="{00000000-0005-0000-0000-0000F5810000}"/>
    <cellStyle name="Percent 5 2 4 2 3" xfId="33270" xr:uid="{00000000-0005-0000-0000-0000F6810000}"/>
    <cellStyle name="Percent 5 2 4 2 3 2" xfId="33271" xr:uid="{00000000-0005-0000-0000-0000F7810000}"/>
    <cellStyle name="Percent 5 2 4 2 3 2 2" xfId="33272" xr:uid="{00000000-0005-0000-0000-0000F8810000}"/>
    <cellStyle name="Percent 5 2 4 2 3 2 3" xfId="33273" xr:uid="{00000000-0005-0000-0000-0000F9810000}"/>
    <cellStyle name="Percent 5 2 4 2 3 3" xfId="33274" xr:uid="{00000000-0005-0000-0000-0000FA810000}"/>
    <cellStyle name="Percent 5 2 4 2 3 4" xfId="33275" xr:uid="{00000000-0005-0000-0000-0000FB810000}"/>
    <cellStyle name="Percent 5 2 4 2 4" xfId="33276" xr:uid="{00000000-0005-0000-0000-0000FC810000}"/>
    <cellStyle name="Percent 5 2 4 2 4 2" xfId="33277" xr:uid="{00000000-0005-0000-0000-0000FD810000}"/>
    <cellStyle name="Percent 5 2 4 2 4 3" xfId="33278" xr:uid="{00000000-0005-0000-0000-0000FE810000}"/>
    <cellStyle name="Percent 5 2 4 2 5" xfId="33279" xr:uid="{00000000-0005-0000-0000-0000FF810000}"/>
    <cellStyle name="Percent 5 2 4 2 6" xfId="33280" xr:uid="{00000000-0005-0000-0000-000000820000}"/>
    <cellStyle name="Percent 5 2 4 3" xfId="33281" xr:uid="{00000000-0005-0000-0000-000001820000}"/>
    <cellStyle name="Percent 5 2 4 3 2" xfId="33282" xr:uid="{00000000-0005-0000-0000-000002820000}"/>
    <cellStyle name="Percent 5 2 4 3 2 2" xfId="33283" xr:uid="{00000000-0005-0000-0000-000003820000}"/>
    <cellStyle name="Percent 5 2 4 3 2 2 2" xfId="33284" xr:uid="{00000000-0005-0000-0000-000004820000}"/>
    <cellStyle name="Percent 5 2 4 3 2 2 3" xfId="33285" xr:uid="{00000000-0005-0000-0000-000005820000}"/>
    <cellStyle name="Percent 5 2 4 3 2 3" xfId="33286" xr:uid="{00000000-0005-0000-0000-000006820000}"/>
    <cellStyle name="Percent 5 2 4 3 2 4" xfId="33287" xr:uid="{00000000-0005-0000-0000-000007820000}"/>
    <cellStyle name="Percent 5 2 4 3 3" xfId="33288" xr:uid="{00000000-0005-0000-0000-000008820000}"/>
    <cellStyle name="Percent 5 2 4 3 3 2" xfId="33289" xr:uid="{00000000-0005-0000-0000-000009820000}"/>
    <cellStyle name="Percent 5 2 4 3 3 3" xfId="33290" xr:uid="{00000000-0005-0000-0000-00000A820000}"/>
    <cellStyle name="Percent 5 2 4 3 4" xfId="33291" xr:uid="{00000000-0005-0000-0000-00000B820000}"/>
    <cellStyle name="Percent 5 2 4 3 5" xfId="33292" xr:uid="{00000000-0005-0000-0000-00000C820000}"/>
    <cellStyle name="Percent 5 2 4 4" xfId="33293" xr:uid="{00000000-0005-0000-0000-00000D820000}"/>
    <cellStyle name="Percent 5 2 4 4 2" xfId="33294" xr:uid="{00000000-0005-0000-0000-00000E820000}"/>
    <cellStyle name="Percent 5 2 4 4 2 2" xfId="33295" xr:uid="{00000000-0005-0000-0000-00000F820000}"/>
    <cellStyle name="Percent 5 2 4 4 2 3" xfId="33296" xr:uid="{00000000-0005-0000-0000-000010820000}"/>
    <cellStyle name="Percent 5 2 4 4 3" xfId="33297" xr:uid="{00000000-0005-0000-0000-000011820000}"/>
    <cellStyle name="Percent 5 2 4 4 4" xfId="33298" xr:uid="{00000000-0005-0000-0000-000012820000}"/>
    <cellStyle name="Percent 5 2 4 5" xfId="33299" xr:uid="{00000000-0005-0000-0000-000013820000}"/>
    <cellStyle name="Percent 5 2 4 5 2" xfId="33300" xr:uid="{00000000-0005-0000-0000-000014820000}"/>
    <cellStyle name="Percent 5 2 4 5 3" xfId="33301" xr:uid="{00000000-0005-0000-0000-000015820000}"/>
    <cellStyle name="Percent 5 2 4 6" xfId="33302" xr:uid="{00000000-0005-0000-0000-000016820000}"/>
    <cellStyle name="Percent 5 2 4 7" xfId="33303" xr:uid="{00000000-0005-0000-0000-000017820000}"/>
    <cellStyle name="Percent 5 2 5" xfId="33304" xr:uid="{00000000-0005-0000-0000-000018820000}"/>
    <cellStyle name="Percent 5 2 5 2" xfId="33305" xr:uid="{00000000-0005-0000-0000-000019820000}"/>
    <cellStyle name="Percent 5 2 5 2 2" xfId="33306" xr:uid="{00000000-0005-0000-0000-00001A820000}"/>
    <cellStyle name="Percent 5 2 5 2 2 2" xfId="33307" xr:uid="{00000000-0005-0000-0000-00001B820000}"/>
    <cellStyle name="Percent 5 2 5 2 2 2 2" xfId="33308" xr:uid="{00000000-0005-0000-0000-00001C820000}"/>
    <cellStyle name="Percent 5 2 5 2 2 2 3" xfId="33309" xr:uid="{00000000-0005-0000-0000-00001D820000}"/>
    <cellStyle name="Percent 5 2 5 2 2 3" xfId="33310" xr:uid="{00000000-0005-0000-0000-00001E820000}"/>
    <cellStyle name="Percent 5 2 5 2 2 4" xfId="33311" xr:uid="{00000000-0005-0000-0000-00001F820000}"/>
    <cellStyle name="Percent 5 2 5 2 3" xfId="33312" xr:uid="{00000000-0005-0000-0000-000020820000}"/>
    <cellStyle name="Percent 5 2 5 2 3 2" xfId="33313" xr:uid="{00000000-0005-0000-0000-000021820000}"/>
    <cellStyle name="Percent 5 2 5 2 3 3" xfId="33314" xr:uid="{00000000-0005-0000-0000-000022820000}"/>
    <cellStyle name="Percent 5 2 5 2 4" xfId="33315" xr:uid="{00000000-0005-0000-0000-000023820000}"/>
    <cellStyle name="Percent 5 2 5 2 5" xfId="33316" xr:uid="{00000000-0005-0000-0000-000024820000}"/>
    <cellStyle name="Percent 5 2 5 3" xfId="33317" xr:uid="{00000000-0005-0000-0000-000025820000}"/>
    <cellStyle name="Percent 5 2 5 3 2" xfId="33318" xr:uid="{00000000-0005-0000-0000-000026820000}"/>
    <cellStyle name="Percent 5 2 5 3 2 2" xfId="33319" xr:uid="{00000000-0005-0000-0000-000027820000}"/>
    <cellStyle name="Percent 5 2 5 3 2 3" xfId="33320" xr:uid="{00000000-0005-0000-0000-000028820000}"/>
    <cellStyle name="Percent 5 2 5 3 3" xfId="33321" xr:uid="{00000000-0005-0000-0000-000029820000}"/>
    <cellStyle name="Percent 5 2 5 3 4" xfId="33322" xr:uid="{00000000-0005-0000-0000-00002A820000}"/>
    <cellStyle name="Percent 5 2 5 4" xfId="33323" xr:uid="{00000000-0005-0000-0000-00002B820000}"/>
    <cellStyle name="Percent 5 2 5 4 2" xfId="33324" xr:uid="{00000000-0005-0000-0000-00002C820000}"/>
    <cellStyle name="Percent 5 2 5 4 3" xfId="33325" xr:uid="{00000000-0005-0000-0000-00002D820000}"/>
    <cellStyle name="Percent 5 2 5 5" xfId="33326" xr:uid="{00000000-0005-0000-0000-00002E820000}"/>
    <cellStyle name="Percent 5 2 5 6" xfId="33327" xr:uid="{00000000-0005-0000-0000-00002F820000}"/>
    <cellStyle name="Percent 5 2 6" xfId="33328" xr:uid="{00000000-0005-0000-0000-000030820000}"/>
    <cellStyle name="Percent 5 2 6 2" xfId="33329" xr:uid="{00000000-0005-0000-0000-000031820000}"/>
    <cellStyle name="Percent 5 2 6 2 2" xfId="33330" xr:uid="{00000000-0005-0000-0000-000032820000}"/>
    <cellStyle name="Percent 5 2 6 2 2 2" xfId="33331" xr:uid="{00000000-0005-0000-0000-000033820000}"/>
    <cellStyle name="Percent 5 2 6 2 2 3" xfId="33332" xr:uid="{00000000-0005-0000-0000-000034820000}"/>
    <cellStyle name="Percent 5 2 6 2 3" xfId="33333" xr:uid="{00000000-0005-0000-0000-000035820000}"/>
    <cellStyle name="Percent 5 2 6 2 4" xfId="33334" xr:uid="{00000000-0005-0000-0000-000036820000}"/>
    <cellStyle name="Percent 5 2 6 3" xfId="33335" xr:uid="{00000000-0005-0000-0000-000037820000}"/>
    <cellStyle name="Percent 5 2 6 3 2" xfId="33336" xr:uid="{00000000-0005-0000-0000-000038820000}"/>
    <cellStyle name="Percent 5 2 6 3 3" xfId="33337" xr:uid="{00000000-0005-0000-0000-000039820000}"/>
    <cellStyle name="Percent 5 2 6 4" xfId="33338" xr:uid="{00000000-0005-0000-0000-00003A820000}"/>
    <cellStyle name="Percent 5 2 6 5" xfId="33339" xr:uid="{00000000-0005-0000-0000-00003B820000}"/>
    <cellStyle name="Percent 5 2 7" xfId="33340" xr:uid="{00000000-0005-0000-0000-00003C820000}"/>
    <cellStyle name="Percent 5 2 7 2" xfId="33341" xr:uid="{00000000-0005-0000-0000-00003D820000}"/>
    <cellStyle name="Percent 5 2 7 2 2" xfId="33342" xr:uid="{00000000-0005-0000-0000-00003E820000}"/>
    <cellStyle name="Percent 5 2 7 2 3" xfId="33343" xr:uid="{00000000-0005-0000-0000-00003F820000}"/>
    <cellStyle name="Percent 5 2 7 3" xfId="33344" xr:uid="{00000000-0005-0000-0000-000040820000}"/>
    <cellStyle name="Percent 5 2 7 4" xfId="33345" xr:uid="{00000000-0005-0000-0000-000041820000}"/>
    <cellStyle name="Percent 5 2 8" xfId="33346" xr:uid="{00000000-0005-0000-0000-000042820000}"/>
    <cellStyle name="Percent 5 2 8 2" xfId="33347" xr:uid="{00000000-0005-0000-0000-000043820000}"/>
    <cellStyle name="Percent 5 2 8 3" xfId="33348" xr:uid="{00000000-0005-0000-0000-000044820000}"/>
    <cellStyle name="Percent 5 2 9" xfId="33349" xr:uid="{00000000-0005-0000-0000-000045820000}"/>
    <cellStyle name="Percent 5 3" xfId="33350" xr:uid="{00000000-0005-0000-0000-000046820000}"/>
    <cellStyle name="Percent 5 3 2" xfId="33351" xr:uid="{00000000-0005-0000-0000-000047820000}"/>
    <cellStyle name="Percent 5 3 2 2" xfId="33352" xr:uid="{00000000-0005-0000-0000-000048820000}"/>
    <cellStyle name="Percent 5 3 2 2 2" xfId="33353" xr:uid="{00000000-0005-0000-0000-000049820000}"/>
    <cellStyle name="Percent 5 3 2 2 2 2" xfId="33354" xr:uid="{00000000-0005-0000-0000-00004A820000}"/>
    <cellStyle name="Percent 5 3 2 2 2 2 2" xfId="33355" xr:uid="{00000000-0005-0000-0000-00004B820000}"/>
    <cellStyle name="Percent 5 3 2 2 2 2 2 2" xfId="33356" xr:uid="{00000000-0005-0000-0000-00004C820000}"/>
    <cellStyle name="Percent 5 3 2 2 2 2 2 2 2" xfId="33357" xr:uid="{00000000-0005-0000-0000-00004D820000}"/>
    <cellStyle name="Percent 5 3 2 2 2 2 2 2 3" xfId="33358" xr:uid="{00000000-0005-0000-0000-00004E820000}"/>
    <cellStyle name="Percent 5 3 2 2 2 2 2 3" xfId="33359" xr:uid="{00000000-0005-0000-0000-00004F820000}"/>
    <cellStyle name="Percent 5 3 2 2 2 2 2 4" xfId="33360" xr:uid="{00000000-0005-0000-0000-000050820000}"/>
    <cellStyle name="Percent 5 3 2 2 2 2 3" xfId="33361" xr:uid="{00000000-0005-0000-0000-000051820000}"/>
    <cellStyle name="Percent 5 3 2 2 2 2 3 2" xfId="33362" xr:uid="{00000000-0005-0000-0000-000052820000}"/>
    <cellStyle name="Percent 5 3 2 2 2 2 3 3" xfId="33363" xr:uid="{00000000-0005-0000-0000-000053820000}"/>
    <cellStyle name="Percent 5 3 2 2 2 2 4" xfId="33364" xr:uid="{00000000-0005-0000-0000-000054820000}"/>
    <cellStyle name="Percent 5 3 2 2 2 2 5" xfId="33365" xr:uid="{00000000-0005-0000-0000-000055820000}"/>
    <cellStyle name="Percent 5 3 2 2 2 3" xfId="33366" xr:uid="{00000000-0005-0000-0000-000056820000}"/>
    <cellStyle name="Percent 5 3 2 2 2 3 2" xfId="33367" xr:uid="{00000000-0005-0000-0000-000057820000}"/>
    <cellStyle name="Percent 5 3 2 2 2 3 2 2" xfId="33368" xr:uid="{00000000-0005-0000-0000-000058820000}"/>
    <cellStyle name="Percent 5 3 2 2 2 3 2 3" xfId="33369" xr:uid="{00000000-0005-0000-0000-000059820000}"/>
    <cellStyle name="Percent 5 3 2 2 2 3 3" xfId="33370" xr:uid="{00000000-0005-0000-0000-00005A820000}"/>
    <cellStyle name="Percent 5 3 2 2 2 3 4" xfId="33371" xr:uid="{00000000-0005-0000-0000-00005B820000}"/>
    <cellStyle name="Percent 5 3 2 2 2 4" xfId="33372" xr:uid="{00000000-0005-0000-0000-00005C820000}"/>
    <cellStyle name="Percent 5 3 2 2 2 4 2" xfId="33373" xr:uid="{00000000-0005-0000-0000-00005D820000}"/>
    <cellStyle name="Percent 5 3 2 2 2 4 3" xfId="33374" xr:uid="{00000000-0005-0000-0000-00005E820000}"/>
    <cellStyle name="Percent 5 3 2 2 2 5" xfId="33375" xr:uid="{00000000-0005-0000-0000-00005F820000}"/>
    <cellStyle name="Percent 5 3 2 2 2 6" xfId="33376" xr:uid="{00000000-0005-0000-0000-000060820000}"/>
    <cellStyle name="Percent 5 3 2 2 3" xfId="33377" xr:uid="{00000000-0005-0000-0000-000061820000}"/>
    <cellStyle name="Percent 5 3 2 2 3 2" xfId="33378" xr:uid="{00000000-0005-0000-0000-000062820000}"/>
    <cellStyle name="Percent 5 3 2 2 3 2 2" xfId="33379" xr:uid="{00000000-0005-0000-0000-000063820000}"/>
    <cellStyle name="Percent 5 3 2 2 3 2 2 2" xfId="33380" xr:uid="{00000000-0005-0000-0000-000064820000}"/>
    <cellStyle name="Percent 5 3 2 2 3 2 2 3" xfId="33381" xr:uid="{00000000-0005-0000-0000-000065820000}"/>
    <cellStyle name="Percent 5 3 2 2 3 2 3" xfId="33382" xr:uid="{00000000-0005-0000-0000-000066820000}"/>
    <cellStyle name="Percent 5 3 2 2 3 2 4" xfId="33383" xr:uid="{00000000-0005-0000-0000-000067820000}"/>
    <cellStyle name="Percent 5 3 2 2 3 3" xfId="33384" xr:uid="{00000000-0005-0000-0000-000068820000}"/>
    <cellStyle name="Percent 5 3 2 2 3 3 2" xfId="33385" xr:uid="{00000000-0005-0000-0000-000069820000}"/>
    <cellStyle name="Percent 5 3 2 2 3 3 3" xfId="33386" xr:uid="{00000000-0005-0000-0000-00006A820000}"/>
    <cellStyle name="Percent 5 3 2 2 3 4" xfId="33387" xr:uid="{00000000-0005-0000-0000-00006B820000}"/>
    <cellStyle name="Percent 5 3 2 2 3 5" xfId="33388" xr:uid="{00000000-0005-0000-0000-00006C820000}"/>
    <cellStyle name="Percent 5 3 2 2 4" xfId="33389" xr:uid="{00000000-0005-0000-0000-00006D820000}"/>
    <cellStyle name="Percent 5 3 2 2 4 2" xfId="33390" xr:uid="{00000000-0005-0000-0000-00006E820000}"/>
    <cellStyle name="Percent 5 3 2 2 4 2 2" xfId="33391" xr:uid="{00000000-0005-0000-0000-00006F820000}"/>
    <cellStyle name="Percent 5 3 2 2 4 2 3" xfId="33392" xr:uid="{00000000-0005-0000-0000-000070820000}"/>
    <cellStyle name="Percent 5 3 2 2 4 3" xfId="33393" xr:uid="{00000000-0005-0000-0000-000071820000}"/>
    <cellStyle name="Percent 5 3 2 2 4 4" xfId="33394" xr:uid="{00000000-0005-0000-0000-000072820000}"/>
    <cellStyle name="Percent 5 3 2 2 5" xfId="33395" xr:uid="{00000000-0005-0000-0000-000073820000}"/>
    <cellStyle name="Percent 5 3 2 2 5 2" xfId="33396" xr:uid="{00000000-0005-0000-0000-000074820000}"/>
    <cellStyle name="Percent 5 3 2 2 5 3" xfId="33397" xr:uid="{00000000-0005-0000-0000-000075820000}"/>
    <cellStyle name="Percent 5 3 2 2 6" xfId="33398" xr:uid="{00000000-0005-0000-0000-000076820000}"/>
    <cellStyle name="Percent 5 3 2 2 7" xfId="33399" xr:uid="{00000000-0005-0000-0000-000077820000}"/>
    <cellStyle name="Percent 5 3 2 3" xfId="33400" xr:uid="{00000000-0005-0000-0000-000078820000}"/>
    <cellStyle name="Percent 5 3 2 3 2" xfId="33401" xr:uid="{00000000-0005-0000-0000-000079820000}"/>
    <cellStyle name="Percent 5 3 2 3 2 2" xfId="33402" xr:uid="{00000000-0005-0000-0000-00007A820000}"/>
    <cellStyle name="Percent 5 3 2 3 2 2 2" xfId="33403" xr:uid="{00000000-0005-0000-0000-00007B820000}"/>
    <cellStyle name="Percent 5 3 2 3 2 2 2 2" xfId="33404" xr:uid="{00000000-0005-0000-0000-00007C820000}"/>
    <cellStyle name="Percent 5 3 2 3 2 2 2 3" xfId="33405" xr:uid="{00000000-0005-0000-0000-00007D820000}"/>
    <cellStyle name="Percent 5 3 2 3 2 2 3" xfId="33406" xr:uid="{00000000-0005-0000-0000-00007E820000}"/>
    <cellStyle name="Percent 5 3 2 3 2 2 4" xfId="33407" xr:uid="{00000000-0005-0000-0000-00007F820000}"/>
    <cellStyle name="Percent 5 3 2 3 2 3" xfId="33408" xr:uid="{00000000-0005-0000-0000-000080820000}"/>
    <cellStyle name="Percent 5 3 2 3 2 3 2" xfId="33409" xr:uid="{00000000-0005-0000-0000-000081820000}"/>
    <cellStyle name="Percent 5 3 2 3 2 3 3" xfId="33410" xr:uid="{00000000-0005-0000-0000-000082820000}"/>
    <cellStyle name="Percent 5 3 2 3 2 4" xfId="33411" xr:uid="{00000000-0005-0000-0000-000083820000}"/>
    <cellStyle name="Percent 5 3 2 3 2 5" xfId="33412" xr:uid="{00000000-0005-0000-0000-000084820000}"/>
    <cellStyle name="Percent 5 3 2 3 3" xfId="33413" xr:uid="{00000000-0005-0000-0000-000085820000}"/>
    <cellStyle name="Percent 5 3 2 3 3 2" xfId="33414" xr:uid="{00000000-0005-0000-0000-000086820000}"/>
    <cellStyle name="Percent 5 3 2 3 3 2 2" xfId="33415" xr:uid="{00000000-0005-0000-0000-000087820000}"/>
    <cellStyle name="Percent 5 3 2 3 3 2 3" xfId="33416" xr:uid="{00000000-0005-0000-0000-000088820000}"/>
    <cellStyle name="Percent 5 3 2 3 3 3" xfId="33417" xr:uid="{00000000-0005-0000-0000-000089820000}"/>
    <cellStyle name="Percent 5 3 2 3 3 4" xfId="33418" xr:uid="{00000000-0005-0000-0000-00008A820000}"/>
    <cellStyle name="Percent 5 3 2 3 4" xfId="33419" xr:uid="{00000000-0005-0000-0000-00008B820000}"/>
    <cellStyle name="Percent 5 3 2 3 4 2" xfId="33420" xr:uid="{00000000-0005-0000-0000-00008C820000}"/>
    <cellStyle name="Percent 5 3 2 3 4 3" xfId="33421" xr:uid="{00000000-0005-0000-0000-00008D820000}"/>
    <cellStyle name="Percent 5 3 2 3 5" xfId="33422" xr:uid="{00000000-0005-0000-0000-00008E820000}"/>
    <cellStyle name="Percent 5 3 2 3 6" xfId="33423" xr:uid="{00000000-0005-0000-0000-00008F820000}"/>
    <cellStyle name="Percent 5 3 2 4" xfId="33424" xr:uid="{00000000-0005-0000-0000-000090820000}"/>
    <cellStyle name="Percent 5 3 2 4 2" xfId="33425" xr:uid="{00000000-0005-0000-0000-000091820000}"/>
    <cellStyle name="Percent 5 3 2 4 2 2" xfId="33426" xr:uid="{00000000-0005-0000-0000-000092820000}"/>
    <cellStyle name="Percent 5 3 2 4 2 2 2" xfId="33427" xr:uid="{00000000-0005-0000-0000-000093820000}"/>
    <cellStyle name="Percent 5 3 2 4 2 2 3" xfId="33428" xr:uid="{00000000-0005-0000-0000-000094820000}"/>
    <cellStyle name="Percent 5 3 2 4 2 3" xfId="33429" xr:uid="{00000000-0005-0000-0000-000095820000}"/>
    <cellStyle name="Percent 5 3 2 4 2 4" xfId="33430" xr:uid="{00000000-0005-0000-0000-000096820000}"/>
    <cellStyle name="Percent 5 3 2 4 3" xfId="33431" xr:uid="{00000000-0005-0000-0000-000097820000}"/>
    <cellStyle name="Percent 5 3 2 4 3 2" xfId="33432" xr:uid="{00000000-0005-0000-0000-000098820000}"/>
    <cellStyle name="Percent 5 3 2 4 3 3" xfId="33433" xr:uid="{00000000-0005-0000-0000-000099820000}"/>
    <cellStyle name="Percent 5 3 2 4 4" xfId="33434" xr:uid="{00000000-0005-0000-0000-00009A820000}"/>
    <cellStyle name="Percent 5 3 2 4 5" xfId="33435" xr:uid="{00000000-0005-0000-0000-00009B820000}"/>
    <cellStyle name="Percent 5 3 2 5" xfId="33436" xr:uid="{00000000-0005-0000-0000-00009C820000}"/>
    <cellStyle name="Percent 5 3 2 5 2" xfId="33437" xr:uid="{00000000-0005-0000-0000-00009D820000}"/>
    <cellStyle name="Percent 5 3 2 5 2 2" xfId="33438" xr:uid="{00000000-0005-0000-0000-00009E820000}"/>
    <cellStyle name="Percent 5 3 2 5 2 3" xfId="33439" xr:uid="{00000000-0005-0000-0000-00009F820000}"/>
    <cellStyle name="Percent 5 3 2 5 3" xfId="33440" xr:uid="{00000000-0005-0000-0000-0000A0820000}"/>
    <cellStyle name="Percent 5 3 2 5 4" xfId="33441" xr:uid="{00000000-0005-0000-0000-0000A1820000}"/>
    <cellStyle name="Percent 5 3 2 6" xfId="33442" xr:uid="{00000000-0005-0000-0000-0000A2820000}"/>
    <cellStyle name="Percent 5 3 2 6 2" xfId="33443" xr:uid="{00000000-0005-0000-0000-0000A3820000}"/>
    <cellStyle name="Percent 5 3 2 6 3" xfId="33444" xr:uid="{00000000-0005-0000-0000-0000A4820000}"/>
    <cellStyle name="Percent 5 3 2 7" xfId="33445" xr:uid="{00000000-0005-0000-0000-0000A5820000}"/>
    <cellStyle name="Percent 5 3 2 8" xfId="33446" xr:uid="{00000000-0005-0000-0000-0000A6820000}"/>
    <cellStyle name="Percent 5 3 3" xfId="33447" xr:uid="{00000000-0005-0000-0000-0000A7820000}"/>
    <cellStyle name="Percent 5 3 3 2" xfId="33448" xr:uid="{00000000-0005-0000-0000-0000A8820000}"/>
    <cellStyle name="Percent 5 3 3 2 2" xfId="33449" xr:uid="{00000000-0005-0000-0000-0000A9820000}"/>
    <cellStyle name="Percent 5 3 3 2 2 2" xfId="33450" xr:uid="{00000000-0005-0000-0000-0000AA820000}"/>
    <cellStyle name="Percent 5 3 3 2 2 2 2" xfId="33451" xr:uid="{00000000-0005-0000-0000-0000AB820000}"/>
    <cellStyle name="Percent 5 3 3 2 2 2 2 2" xfId="33452" xr:uid="{00000000-0005-0000-0000-0000AC820000}"/>
    <cellStyle name="Percent 5 3 3 2 2 2 2 3" xfId="33453" xr:uid="{00000000-0005-0000-0000-0000AD820000}"/>
    <cellStyle name="Percent 5 3 3 2 2 2 3" xfId="33454" xr:uid="{00000000-0005-0000-0000-0000AE820000}"/>
    <cellStyle name="Percent 5 3 3 2 2 2 4" xfId="33455" xr:uid="{00000000-0005-0000-0000-0000AF820000}"/>
    <cellStyle name="Percent 5 3 3 2 2 3" xfId="33456" xr:uid="{00000000-0005-0000-0000-0000B0820000}"/>
    <cellStyle name="Percent 5 3 3 2 2 3 2" xfId="33457" xr:uid="{00000000-0005-0000-0000-0000B1820000}"/>
    <cellStyle name="Percent 5 3 3 2 2 3 3" xfId="33458" xr:uid="{00000000-0005-0000-0000-0000B2820000}"/>
    <cellStyle name="Percent 5 3 3 2 2 4" xfId="33459" xr:uid="{00000000-0005-0000-0000-0000B3820000}"/>
    <cellStyle name="Percent 5 3 3 2 2 5" xfId="33460" xr:uid="{00000000-0005-0000-0000-0000B4820000}"/>
    <cellStyle name="Percent 5 3 3 2 3" xfId="33461" xr:uid="{00000000-0005-0000-0000-0000B5820000}"/>
    <cellStyle name="Percent 5 3 3 2 3 2" xfId="33462" xr:uid="{00000000-0005-0000-0000-0000B6820000}"/>
    <cellStyle name="Percent 5 3 3 2 3 2 2" xfId="33463" xr:uid="{00000000-0005-0000-0000-0000B7820000}"/>
    <cellStyle name="Percent 5 3 3 2 3 2 3" xfId="33464" xr:uid="{00000000-0005-0000-0000-0000B8820000}"/>
    <cellStyle name="Percent 5 3 3 2 3 3" xfId="33465" xr:uid="{00000000-0005-0000-0000-0000B9820000}"/>
    <cellStyle name="Percent 5 3 3 2 3 4" xfId="33466" xr:uid="{00000000-0005-0000-0000-0000BA820000}"/>
    <cellStyle name="Percent 5 3 3 2 4" xfId="33467" xr:uid="{00000000-0005-0000-0000-0000BB820000}"/>
    <cellStyle name="Percent 5 3 3 2 4 2" xfId="33468" xr:uid="{00000000-0005-0000-0000-0000BC820000}"/>
    <cellStyle name="Percent 5 3 3 2 4 3" xfId="33469" xr:uid="{00000000-0005-0000-0000-0000BD820000}"/>
    <cellStyle name="Percent 5 3 3 2 5" xfId="33470" xr:uid="{00000000-0005-0000-0000-0000BE820000}"/>
    <cellStyle name="Percent 5 3 3 2 6" xfId="33471" xr:uid="{00000000-0005-0000-0000-0000BF820000}"/>
    <cellStyle name="Percent 5 3 3 3" xfId="33472" xr:uid="{00000000-0005-0000-0000-0000C0820000}"/>
    <cellStyle name="Percent 5 3 3 3 2" xfId="33473" xr:uid="{00000000-0005-0000-0000-0000C1820000}"/>
    <cellStyle name="Percent 5 3 3 3 2 2" xfId="33474" xr:uid="{00000000-0005-0000-0000-0000C2820000}"/>
    <cellStyle name="Percent 5 3 3 3 2 2 2" xfId="33475" xr:uid="{00000000-0005-0000-0000-0000C3820000}"/>
    <cellStyle name="Percent 5 3 3 3 2 2 3" xfId="33476" xr:uid="{00000000-0005-0000-0000-0000C4820000}"/>
    <cellStyle name="Percent 5 3 3 3 2 3" xfId="33477" xr:uid="{00000000-0005-0000-0000-0000C5820000}"/>
    <cellStyle name="Percent 5 3 3 3 2 4" xfId="33478" xr:uid="{00000000-0005-0000-0000-0000C6820000}"/>
    <cellStyle name="Percent 5 3 3 3 3" xfId="33479" xr:uid="{00000000-0005-0000-0000-0000C7820000}"/>
    <cellStyle name="Percent 5 3 3 3 3 2" xfId="33480" xr:uid="{00000000-0005-0000-0000-0000C8820000}"/>
    <cellStyle name="Percent 5 3 3 3 3 3" xfId="33481" xr:uid="{00000000-0005-0000-0000-0000C9820000}"/>
    <cellStyle name="Percent 5 3 3 3 4" xfId="33482" xr:uid="{00000000-0005-0000-0000-0000CA820000}"/>
    <cellStyle name="Percent 5 3 3 3 5" xfId="33483" xr:uid="{00000000-0005-0000-0000-0000CB820000}"/>
    <cellStyle name="Percent 5 3 3 4" xfId="33484" xr:uid="{00000000-0005-0000-0000-0000CC820000}"/>
    <cellStyle name="Percent 5 3 3 4 2" xfId="33485" xr:uid="{00000000-0005-0000-0000-0000CD820000}"/>
    <cellStyle name="Percent 5 3 3 4 2 2" xfId="33486" xr:uid="{00000000-0005-0000-0000-0000CE820000}"/>
    <cellStyle name="Percent 5 3 3 4 2 3" xfId="33487" xr:uid="{00000000-0005-0000-0000-0000CF820000}"/>
    <cellStyle name="Percent 5 3 3 4 3" xfId="33488" xr:uid="{00000000-0005-0000-0000-0000D0820000}"/>
    <cellStyle name="Percent 5 3 3 4 4" xfId="33489" xr:uid="{00000000-0005-0000-0000-0000D1820000}"/>
    <cellStyle name="Percent 5 3 3 5" xfId="33490" xr:uid="{00000000-0005-0000-0000-0000D2820000}"/>
    <cellStyle name="Percent 5 3 3 5 2" xfId="33491" xr:uid="{00000000-0005-0000-0000-0000D3820000}"/>
    <cellStyle name="Percent 5 3 3 5 3" xfId="33492" xr:uid="{00000000-0005-0000-0000-0000D4820000}"/>
    <cellStyle name="Percent 5 3 3 6" xfId="33493" xr:uid="{00000000-0005-0000-0000-0000D5820000}"/>
    <cellStyle name="Percent 5 3 3 7" xfId="33494" xr:uid="{00000000-0005-0000-0000-0000D6820000}"/>
    <cellStyle name="Percent 5 3 4" xfId="33495" xr:uid="{00000000-0005-0000-0000-0000D7820000}"/>
    <cellStyle name="Percent 5 3 4 2" xfId="33496" xr:uid="{00000000-0005-0000-0000-0000D8820000}"/>
    <cellStyle name="Percent 5 3 4 2 2" xfId="33497" xr:uid="{00000000-0005-0000-0000-0000D9820000}"/>
    <cellStyle name="Percent 5 3 4 2 2 2" xfId="33498" xr:uid="{00000000-0005-0000-0000-0000DA820000}"/>
    <cellStyle name="Percent 5 3 4 2 2 2 2" xfId="33499" xr:uid="{00000000-0005-0000-0000-0000DB820000}"/>
    <cellStyle name="Percent 5 3 4 2 2 2 3" xfId="33500" xr:uid="{00000000-0005-0000-0000-0000DC820000}"/>
    <cellStyle name="Percent 5 3 4 2 2 3" xfId="33501" xr:uid="{00000000-0005-0000-0000-0000DD820000}"/>
    <cellStyle name="Percent 5 3 4 2 2 4" xfId="33502" xr:uid="{00000000-0005-0000-0000-0000DE820000}"/>
    <cellStyle name="Percent 5 3 4 2 3" xfId="33503" xr:uid="{00000000-0005-0000-0000-0000DF820000}"/>
    <cellStyle name="Percent 5 3 4 2 3 2" xfId="33504" xr:uid="{00000000-0005-0000-0000-0000E0820000}"/>
    <cellStyle name="Percent 5 3 4 2 3 3" xfId="33505" xr:uid="{00000000-0005-0000-0000-0000E1820000}"/>
    <cellStyle name="Percent 5 3 4 2 4" xfId="33506" xr:uid="{00000000-0005-0000-0000-0000E2820000}"/>
    <cellStyle name="Percent 5 3 4 2 5" xfId="33507" xr:uid="{00000000-0005-0000-0000-0000E3820000}"/>
    <cellStyle name="Percent 5 3 4 3" xfId="33508" xr:uid="{00000000-0005-0000-0000-0000E4820000}"/>
    <cellStyle name="Percent 5 3 4 3 2" xfId="33509" xr:uid="{00000000-0005-0000-0000-0000E5820000}"/>
    <cellStyle name="Percent 5 3 4 3 2 2" xfId="33510" xr:uid="{00000000-0005-0000-0000-0000E6820000}"/>
    <cellStyle name="Percent 5 3 4 3 2 3" xfId="33511" xr:uid="{00000000-0005-0000-0000-0000E7820000}"/>
    <cellStyle name="Percent 5 3 4 3 3" xfId="33512" xr:uid="{00000000-0005-0000-0000-0000E8820000}"/>
    <cellStyle name="Percent 5 3 4 3 4" xfId="33513" xr:uid="{00000000-0005-0000-0000-0000E9820000}"/>
    <cellStyle name="Percent 5 3 4 4" xfId="33514" xr:uid="{00000000-0005-0000-0000-0000EA820000}"/>
    <cellStyle name="Percent 5 3 4 4 2" xfId="33515" xr:uid="{00000000-0005-0000-0000-0000EB820000}"/>
    <cellStyle name="Percent 5 3 4 4 3" xfId="33516" xr:uid="{00000000-0005-0000-0000-0000EC820000}"/>
    <cellStyle name="Percent 5 3 4 5" xfId="33517" xr:uid="{00000000-0005-0000-0000-0000ED820000}"/>
    <cellStyle name="Percent 5 3 4 6" xfId="33518" xr:uid="{00000000-0005-0000-0000-0000EE820000}"/>
    <cellStyle name="Percent 5 3 5" xfId="33519" xr:uid="{00000000-0005-0000-0000-0000EF820000}"/>
    <cellStyle name="Percent 5 3 5 2" xfId="33520" xr:uid="{00000000-0005-0000-0000-0000F0820000}"/>
    <cellStyle name="Percent 5 3 5 2 2" xfId="33521" xr:uid="{00000000-0005-0000-0000-0000F1820000}"/>
    <cellStyle name="Percent 5 3 5 2 2 2" xfId="33522" xr:uid="{00000000-0005-0000-0000-0000F2820000}"/>
    <cellStyle name="Percent 5 3 5 2 2 3" xfId="33523" xr:uid="{00000000-0005-0000-0000-0000F3820000}"/>
    <cellStyle name="Percent 5 3 5 2 3" xfId="33524" xr:uid="{00000000-0005-0000-0000-0000F4820000}"/>
    <cellStyle name="Percent 5 3 5 2 4" xfId="33525" xr:uid="{00000000-0005-0000-0000-0000F5820000}"/>
    <cellStyle name="Percent 5 3 5 3" xfId="33526" xr:uid="{00000000-0005-0000-0000-0000F6820000}"/>
    <cellStyle name="Percent 5 3 5 3 2" xfId="33527" xr:uid="{00000000-0005-0000-0000-0000F7820000}"/>
    <cellStyle name="Percent 5 3 5 3 3" xfId="33528" xr:uid="{00000000-0005-0000-0000-0000F8820000}"/>
    <cellStyle name="Percent 5 3 5 4" xfId="33529" xr:uid="{00000000-0005-0000-0000-0000F9820000}"/>
    <cellStyle name="Percent 5 3 5 5" xfId="33530" xr:uid="{00000000-0005-0000-0000-0000FA820000}"/>
    <cellStyle name="Percent 5 3 6" xfId="33531" xr:uid="{00000000-0005-0000-0000-0000FB820000}"/>
    <cellStyle name="Percent 5 3 6 2" xfId="33532" xr:uid="{00000000-0005-0000-0000-0000FC820000}"/>
    <cellStyle name="Percent 5 3 6 2 2" xfId="33533" xr:uid="{00000000-0005-0000-0000-0000FD820000}"/>
    <cellStyle name="Percent 5 3 6 2 3" xfId="33534" xr:uid="{00000000-0005-0000-0000-0000FE820000}"/>
    <cellStyle name="Percent 5 3 6 3" xfId="33535" xr:uid="{00000000-0005-0000-0000-0000FF820000}"/>
    <cellStyle name="Percent 5 3 6 4" xfId="33536" xr:uid="{00000000-0005-0000-0000-000000830000}"/>
    <cellStyle name="Percent 5 3 7" xfId="33537" xr:uid="{00000000-0005-0000-0000-000001830000}"/>
    <cellStyle name="Percent 5 3 7 2" xfId="33538" xr:uid="{00000000-0005-0000-0000-000002830000}"/>
    <cellStyle name="Percent 5 3 7 3" xfId="33539" xr:uid="{00000000-0005-0000-0000-000003830000}"/>
    <cellStyle name="Percent 5 3 8" xfId="33540" xr:uid="{00000000-0005-0000-0000-000004830000}"/>
    <cellStyle name="Percent 5 3 9" xfId="33541" xr:uid="{00000000-0005-0000-0000-000005830000}"/>
    <cellStyle name="Percent 5 4" xfId="33542" xr:uid="{00000000-0005-0000-0000-000006830000}"/>
    <cellStyle name="Percent 5 4 2" xfId="33543" xr:uid="{00000000-0005-0000-0000-000007830000}"/>
    <cellStyle name="Percent 5 4 2 2" xfId="33544" xr:uid="{00000000-0005-0000-0000-000008830000}"/>
    <cellStyle name="Percent 5 4 2 2 2" xfId="33545" xr:uid="{00000000-0005-0000-0000-000009830000}"/>
    <cellStyle name="Percent 5 4 2 2 2 2" xfId="33546" xr:uid="{00000000-0005-0000-0000-00000A830000}"/>
    <cellStyle name="Percent 5 4 2 2 2 2 2" xfId="33547" xr:uid="{00000000-0005-0000-0000-00000B830000}"/>
    <cellStyle name="Percent 5 4 2 2 2 2 2 2" xfId="33548" xr:uid="{00000000-0005-0000-0000-00000C830000}"/>
    <cellStyle name="Percent 5 4 2 2 2 2 2 3" xfId="33549" xr:uid="{00000000-0005-0000-0000-00000D830000}"/>
    <cellStyle name="Percent 5 4 2 2 2 2 3" xfId="33550" xr:uid="{00000000-0005-0000-0000-00000E830000}"/>
    <cellStyle name="Percent 5 4 2 2 2 2 4" xfId="33551" xr:uid="{00000000-0005-0000-0000-00000F830000}"/>
    <cellStyle name="Percent 5 4 2 2 2 3" xfId="33552" xr:uid="{00000000-0005-0000-0000-000010830000}"/>
    <cellStyle name="Percent 5 4 2 2 2 3 2" xfId="33553" xr:uid="{00000000-0005-0000-0000-000011830000}"/>
    <cellStyle name="Percent 5 4 2 2 2 3 3" xfId="33554" xr:uid="{00000000-0005-0000-0000-000012830000}"/>
    <cellStyle name="Percent 5 4 2 2 2 4" xfId="33555" xr:uid="{00000000-0005-0000-0000-000013830000}"/>
    <cellStyle name="Percent 5 4 2 2 2 5" xfId="33556" xr:uid="{00000000-0005-0000-0000-000014830000}"/>
    <cellStyle name="Percent 5 4 2 2 3" xfId="33557" xr:uid="{00000000-0005-0000-0000-000015830000}"/>
    <cellStyle name="Percent 5 4 2 2 3 2" xfId="33558" xr:uid="{00000000-0005-0000-0000-000016830000}"/>
    <cellStyle name="Percent 5 4 2 2 3 2 2" xfId="33559" xr:uid="{00000000-0005-0000-0000-000017830000}"/>
    <cellStyle name="Percent 5 4 2 2 3 2 3" xfId="33560" xr:uid="{00000000-0005-0000-0000-000018830000}"/>
    <cellStyle name="Percent 5 4 2 2 3 3" xfId="33561" xr:uid="{00000000-0005-0000-0000-000019830000}"/>
    <cellStyle name="Percent 5 4 2 2 3 4" xfId="33562" xr:uid="{00000000-0005-0000-0000-00001A830000}"/>
    <cellStyle name="Percent 5 4 2 2 4" xfId="33563" xr:uid="{00000000-0005-0000-0000-00001B830000}"/>
    <cellStyle name="Percent 5 4 2 2 4 2" xfId="33564" xr:uid="{00000000-0005-0000-0000-00001C830000}"/>
    <cellStyle name="Percent 5 4 2 2 4 3" xfId="33565" xr:uid="{00000000-0005-0000-0000-00001D830000}"/>
    <cellStyle name="Percent 5 4 2 2 5" xfId="33566" xr:uid="{00000000-0005-0000-0000-00001E830000}"/>
    <cellStyle name="Percent 5 4 2 2 6" xfId="33567" xr:uid="{00000000-0005-0000-0000-00001F830000}"/>
    <cellStyle name="Percent 5 4 2 3" xfId="33568" xr:uid="{00000000-0005-0000-0000-000020830000}"/>
    <cellStyle name="Percent 5 4 2 3 2" xfId="33569" xr:uid="{00000000-0005-0000-0000-000021830000}"/>
    <cellStyle name="Percent 5 4 2 3 2 2" xfId="33570" xr:uid="{00000000-0005-0000-0000-000022830000}"/>
    <cellStyle name="Percent 5 4 2 3 2 2 2" xfId="33571" xr:uid="{00000000-0005-0000-0000-000023830000}"/>
    <cellStyle name="Percent 5 4 2 3 2 2 3" xfId="33572" xr:uid="{00000000-0005-0000-0000-000024830000}"/>
    <cellStyle name="Percent 5 4 2 3 2 3" xfId="33573" xr:uid="{00000000-0005-0000-0000-000025830000}"/>
    <cellStyle name="Percent 5 4 2 3 2 4" xfId="33574" xr:uid="{00000000-0005-0000-0000-000026830000}"/>
    <cellStyle name="Percent 5 4 2 3 3" xfId="33575" xr:uid="{00000000-0005-0000-0000-000027830000}"/>
    <cellStyle name="Percent 5 4 2 3 3 2" xfId="33576" xr:uid="{00000000-0005-0000-0000-000028830000}"/>
    <cellStyle name="Percent 5 4 2 3 3 3" xfId="33577" xr:uid="{00000000-0005-0000-0000-000029830000}"/>
    <cellStyle name="Percent 5 4 2 3 4" xfId="33578" xr:uid="{00000000-0005-0000-0000-00002A830000}"/>
    <cellStyle name="Percent 5 4 2 3 5" xfId="33579" xr:uid="{00000000-0005-0000-0000-00002B830000}"/>
    <cellStyle name="Percent 5 4 2 4" xfId="33580" xr:uid="{00000000-0005-0000-0000-00002C830000}"/>
    <cellStyle name="Percent 5 4 2 4 2" xfId="33581" xr:uid="{00000000-0005-0000-0000-00002D830000}"/>
    <cellStyle name="Percent 5 4 2 4 2 2" xfId="33582" xr:uid="{00000000-0005-0000-0000-00002E830000}"/>
    <cellStyle name="Percent 5 4 2 4 2 3" xfId="33583" xr:uid="{00000000-0005-0000-0000-00002F830000}"/>
    <cellStyle name="Percent 5 4 2 4 3" xfId="33584" xr:uid="{00000000-0005-0000-0000-000030830000}"/>
    <cellStyle name="Percent 5 4 2 4 4" xfId="33585" xr:uid="{00000000-0005-0000-0000-000031830000}"/>
    <cellStyle name="Percent 5 4 2 5" xfId="33586" xr:uid="{00000000-0005-0000-0000-000032830000}"/>
    <cellStyle name="Percent 5 4 2 5 2" xfId="33587" xr:uid="{00000000-0005-0000-0000-000033830000}"/>
    <cellStyle name="Percent 5 4 2 5 3" xfId="33588" xr:uid="{00000000-0005-0000-0000-000034830000}"/>
    <cellStyle name="Percent 5 4 2 6" xfId="33589" xr:uid="{00000000-0005-0000-0000-000035830000}"/>
    <cellStyle name="Percent 5 4 2 7" xfId="33590" xr:uid="{00000000-0005-0000-0000-000036830000}"/>
    <cellStyle name="Percent 5 4 3" xfId="33591" xr:uid="{00000000-0005-0000-0000-000037830000}"/>
    <cellStyle name="Percent 5 4 3 2" xfId="33592" xr:uid="{00000000-0005-0000-0000-000038830000}"/>
    <cellStyle name="Percent 5 4 3 2 2" xfId="33593" xr:uid="{00000000-0005-0000-0000-000039830000}"/>
    <cellStyle name="Percent 5 4 3 2 2 2" xfId="33594" xr:uid="{00000000-0005-0000-0000-00003A830000}"/>
    <cellStyle name="Percent 5 4 3 2 2 2 2" xfId="33595" xr:uid="{00000000-0005-0000-0000-00003B830000}"/>
    <cellStyle name="Percent 5 4 3 2 2 2 3" xfId="33596" xr:uid="{00000000-0005-0000-0000-00003C830000}"/>
    <cellStyle name="Percent 5 4 3 2 2 3" xfId="33597" xr:uid="{00000000-0005-0000-0000-00003D830000}"/>
    <cellStyle name="Percent 5 4 3 2 2 4" xfId="33598" xr:uid="{00000000-0005-0000-0000-00003E830000}"/>
    <cellStyle name="Percent 5 4 3 2 3" xfId="33599" xr:uid="{00000000-0005-0000-0000-00003F830000}"/>
    <cellStyle name="Percent 5 4 3 2 3 2" xfId="33600" xr:uid="{00000000-0005-0000-0000-000040830000}"/>
    <cellStyle name="Percent 5 4 3 2 3 3" xfId="33601" xr:uid="{00000000-0005-0000-0000-000041830000}"/>
    <cellStyle name="Percent 5 4 3 2 4" xfId="33602" xr:uid="{00000000-0005-0000-0000-000042830000}"/>
    <cellStyle name="Percent 5 4 3 2 5" xfId="33603" xr:uid="{00000000-0005-0000-0000-000043830000}"/>
    <cellStyle name="Percent 5 4 3 3" xfId="33604" xr:uid="{00000000-0005-0000-0000-000044830000}"/>
    <cellStyle name="Percent 5 4 3 3 2" xfId="33605" xr:uid="{00000000-0005-0000-0000-000045830000}"/>
    <cellStyle name="Percent 5 4 3 3 2 2" xfId="33606" xr:uid="{00000000-0005-0000-0000-000046830000}"/>
    <cellStyle name="Percent 5 4 3 3 2 3" xfId="33607" xr:uid="{00000000-0005-0000-0000-000047830000}"/>
    <cellStyle name="Percent 5 4 3 3 3" xfId="33608" xr:uid="{00000000-0005-0000-0000-000048830000}"/>
    <cellStyle name="Percent 5 4 3 3 4" xfId="33609" xr:uid="{00000000-0005-0000-0000-000049830000}"/>
    <cellStyle name="Percent 5 4 3 4" xfId="33610" xr:uid="{00000000-0005-0000-0000-00004A830000}"/>
    <cellStyle name="Percent 5 4 3 4 2" xfId="33611" xr:uid="{00000000-0005-0000-0000-00004B830000}"/>
    <cellStyle name="Percent 5 4 3 4 3" xfId="33612" xr:uid="{00000000-0005-0000-0000-00004C830000}"/>
    <cellStyle name="Percent 5 4 3 5" xfId="33613" xr:uid="{00000000-0005-0000-0000-00004D830000}"/>
    <cellStyle name="Percent 5 4 3 6" xfId="33614" xr:uid="{00000000-0005-0000-0000-00004E830000}"/>
    <cellStyle name="Percent 5 4 4" xfId="33615" xr:uid="{00000000-0005-0000-0000-00004F830000}"/>
    <cellStyle name="Percent 5 4 4 2" xfId="33616" xr:uid="{00000000-0005-0000-0000-000050830000}"/>
    <cellStyle name="Percent 5 4 4 2 2" xfId="33617" xr:uid="{00000000-0005-0000-0000-000051830000}"/>
    <cellStyle name="Percent 5 4 4 2 2 2" xfId="33618" xr:uid="{00000000-0005-0000-0000-000052830000}"/>
    <cellStyle name="Percent 5 4 4 2 2 3" xfId="33619" xr:uid="{00000000-0005-0000-0000-000053830000}"/>
    <cellStyle name="Percent 5 4 4 2 3" xfId="33620" xr:uid="{00000000-0005-0000-0000-000054830000}"/>
    <cellStyle name="Percent 5 4 4 2 4" xfId="33621" xr:uid="{00000000-0005-0000-0000-000055830000}"/>
    <cellStyle name="Percent 5 4 4 3" xfId="33622" xr:uid="{00000000-0005-0000-0000-000056830000}"/>
    <cellStyle name="Percent 5 4 4 3 2" xfId="33623" xr:uid="{00000000-0005-0000-0000-000057830000}"/>
    <cellStyle name="Percent 5 4 4 3 3" xfId="33624" xr:uid="{00000000-0005-0000-0000-000058830000}"/>
    <cellStyle name="Percent 5 4 4 4" xfId="33625" xr:uid="{00000000-0005-0000-0000-000059830000}"/>
    <cellStyle name="Percent 5 4 4 5" xfId="33626" xr:uid="{00000000-0005-0000-0000-00005A830000}"/>
    <cellStyle name="Percent 5 4 5" xfId="33627" xr:uid="{00000000-0005-0000-0000-00005B830000}"/>
    <cellStyle name="Percent 5 4 5 2" xfId="33628" xr:uid="{00000000-0005-0000-0000-00005C830000}"/>
    <cellStyle name="Percent 5 4 5 2 2" xfId="33629" xr:uid="{00000000-0005-0000-0000-00005D830000}"/>
    <cellStyle name="Percent 5 4 5 2 3" xfId="33630" xr:uid="{00000000-0005-0000-0000-00005E830000}"/>
    <cellStyle name="Percent 5 4 5 3" xfId="33631" xr:uid="{00000000-0005-0000-0000-00005F830000}"/>
    <cellStyle name="Percent 5 4 5 4" xfId="33632" xr:uid="{00000000-0005-0000-0000-000060830000}"/>
    <cellStyle name="Percent 5 4 6" xfId="33633" xr:uid="{00000000-0005-0000-0000-000061830000}"/>
    <cellStyle name="Percent 5 4 6 2" xfId="33634" xr:uid="{00000000-0005-0000-0000-000062830000}"/>
    <cellStyle name="Percent 5 4 6 3" xfId="33635" xr:uid="{00000000-0005-0000-0000-000063830000}"/>
    <cellStyle name="Percent 5 4 7" xfId="33636" xr:uid="{00000000-0005-0000-0000-000064830000}"/>
    <cellStyle name="Percent 5 4 8" xfId="33637" xr:uid="{00000000-0005-0000-0000-000065830000}"/>
    <cellStyle name="Percent 5 5" xfId="33638" xr:uid="{00000000-0005-0000-0000-000066830000}"/>
    <cellStyle name="Percent 5 5 2" xfId="33639" xr:uid="{00000000-0005-0000-0000-000067830000}"/>
    <cellStyle name="Percent 5 5 2 2" xfId="33640" xr:uid="{00000000-0005-0000-0000-000068830000}"/>
    <cellStyle name="Percent 5 5 2 2 2" xfId="33641" xr:uid="{00000000-0005-0000-0000-000069830000}"/>
    <cellStyle name="Percent 5 5 2 2 2 2" xfId="33642" xr:uid="{00000000-0005-0000-0000-00006A830000}"/>
    <cellStyle name="Percent 5 5 2 2 2 2 2" xfId="33643" xr:uid="{00000000-0005-0000-0000-00006B830000}"/>
    <cellStyle name="Percent 5 5 2 2 2 2 3" xfId="33644" xr:uid="{00000000-0005-0000-0000-00006C830000}"/>
    <cellStyle name="Percent 5 5 2 2 2 3" xfId="33645" xr:uid="{00000000-0005-0000-0000-00006D830000}"/>
    <cellStyle name="Percent 5 5 2 2 2 4" xfId="33646" xr:uid="{00000000-0005-0000-0000-00006E830000}"/>
    <cellStyle name="Percent 5 5 2 2 3" xfId="33647" xr:uid="{00000000-0005-0000-0000-00006F830000}"/>
    <cellStyle name="Percent 5 5 2 2 3 2" xfId="33648" xr:uid="{00000000-0005-0000-0000-000070830000}"/>
    <cellStyle name="Percent 5 5 2 2 3 3" xfId="33649" xr:uid="{00000000-0005-0000-0000-000071830000}"/>
    <cellStyle name="Percent 5 5 2 2 4" xfId="33650" xr:uid="{00000000-0005-0000-0000-000072830000}"/>
    <cellStyle name="Percent 5 5 2 2 5" xfId="33651" xr:uid="{00000000-0005-0000-0000-000073830000}"/>
    <cellStyle name="Percent 5 5 2 3" xfId="33652" xr:uid="{00000000-0005-0000-0000-000074830000}"/>
    <cellStyle name="Percent 5 5 2 3 2" xfId="33653" xr:uid="{00000000-0005-0000-0000-000075830000}"/>
    <cellStyle name="Percent 5 5 2 3 2 2" xfId="33654" xr:uid="{00000000-0005-0000-0000-000076830000}"/>
    <cellStyle name="Percent 5 5 2 3 2 3" xfId="33655" xr:uid="{00000000-0005-0000-0000-000077830000}"/>
    <cellStyle name="Percent 5 5 2 3 3" xfId="33656" xr:uid="{00000000-0005-0000-0000-000078830000}"/>
    <cellStyle name="Percent 5 5 2 3 4" xfId="33657" xr:uid="{00000000-0005-0000-0000-000079830000}"/>
    <cellStyle name="Percent 5 5 2 4" xfId="33658" xr:uid="{00000000-0005-0000-0000-00007A830000}"/>
    <cellStyle name="Percent 5 5 2 4 2" xfId="33659" xr:uid="{00000000-0005-0000-0000-00007B830000}"/>
    <cellStyle name="Percent 5 5 2 4 3" xfId="33660" xr:uid="{00000000-0005-0000-0000-00007C830000}"/>
    <cellStyle name="Percent 5 5 2 5" xfId="33661" xr:uid="{00000000-0005-0000-0000-00007D830000}"/>
    <cellStyle name="Percent 5 5 2 6" xfId="33662" xr:uid="{00000000-0005-0000-0000-00007E830000}"/>
    <cellStyle name="Percent 5 5 3" xfId="33663" xr:uid="{00000000-0005-0000-0000-00007F830000}"/>
    <cellStyle name="Percent 5 5 3 2" xfId="33664" xr:uid="{00000000-0005-0000-0000-000080830000}"/>
    <cellStyle name="Percent 5 5 3 2 2" xfId="33665" xr:uid="{00000000-0005-0000-0000-000081830000}"/>
    <cellStyle name="Percent 5 5 3 2 2 2" xfId="33666" xr:uid="{00000000-0005-0000-0000-000082830000}"/>
    <cellStyle name="Percent 5 5 3 2 2 3" xfId="33667" xr:uid="{00000000-0005-0000-0000-000083830000}"/>
    <cellStyle name="Percent 5 5 3 2 3" xfId="33668" xr:uid="{00000000-0005-0000-0000-000084830000}"/>
    <cellStyle name="Percent 5 5 3 2 4" xfId="33669" xr:uid="{00000000-0005-0000-0000-000085830000}"/>
    <cellStyle name="Percent 5 5 3 3" xfId="33670" xr:uid="{00000000-0005-0000-0000-000086830000}"/>
    <cellStyle name="Percent 5 5 3 3 2" xfId="33671" xr:uid="{00000000-0005-0000-0000-000087830000}"/>
    <cellStyle name="Percent 5 5 3 3 3" xfId="33672" xr:uid="{00000000-0005-0000-0000-000088830000}"/>
    <cellStyle name="Percent 5 5 3 4" xfId="33673" xr:uid="{00000000-0005-0000-0000-000089830000}"/>
    <cellStyle name="Percent 5 5 3 5" xfId="33674" xr:uid="{00000000-0005-0000-0000-00008A830000}"/>
    <cellStyle name="Percent 5 5 4" xfId="33675" xr:uid="{00000000-0005-0000-0000-00008B830000}"/>
    <cellStyle name="Percent 5 5 4 2" xfId="33676" xr:uid="{00000000-0005-0000-0000-00008C830000}"/>
    <cellStyle name="Percent 5 5 4 2 2" xfId="33677" xr:uid="{00000000-0005-0000-0000-00008D830000}"/>
    <cellStyle name="Percent 5 5 4 2 3" xfId="33678" xr:uid="{00000000-0005-0000-0000-00008E830000}"/>
    <cellStyle name="Percent 5 5 4 3" xfId="33679" xr:uid="{00000000-0005-0000-0000-00008F830000}"/>
    <cellStyle name="Percent 5 5 4 4" xfId="33680" xr:uid="{00000000-0005-0000-0000-000090830000}"/>
    <cellStyle name="Percent 5 5 5" xfId="33681" xr:uid="{00000000-0005-0000-0000-000091830000}"/>
    <cellStyle name="Percent 5 5 5 2" xfId="33682" xr:uid="{00000000-0005-0000-0000-000092830000}"/>
    <cellStyle name="Percent 5 5 5 3" xfId="33683" xr:uid="{00000000-0005-0000-0000-000093830000}"/>
    <cellStyle name="Percent 5 5 6" xfId="33684" xr:uid="{00000000-0005-0000-0000-000094830000}"/>
    <cellStyle name="Percent 5 5 7" xfId="33685" xr:uid="{00000000-0005-0000-0000-000095830000}"/>
    <cellStyle name="Percent 5 6" xfId="33686" xr:uid="{00000000-0005-0000-0000-000096830000}"/>
    <cellStyle name="Percent 5 6 2" xfId="33687" xr:uid="{00000000-0005-0000-0000-000097830000}"/>
    <cellStyle name="Percent 5 6 2 2" xfId="33688" xr:uid="{00000000-0005-0000-0000-000098830000}"/>
    <cellStyle name="Percent 5 6 2 2 2" xfId="33689" xr:uid="{00000000-0005-0000-0000-000099830000}"/>
    <cellStyle name="Percent 5 6 2 2 2 2" xfId="33690" xr:uid="{00000000-0005-0000-0000-00009A830000}"/>
    <cellStyle name="Percent 5 6 2 2 2 3" xfId="33691" xr:uid="{00000000-0005-0000-0000-00009B830000}"/>
    <cellStyle name="Percent 5 6 2 2 3" xfId="33692" xr:uid="{00000000-0005-0000-0000-00009C830000}"/>
    <cellStyle name="Percent 5 6 2 2 4" xfId="33693" xr:uid="{00000000-0005-0000-0000-00009D830000}"/>
    <cellStyle name="Percent 5 6 2 3" xfId="33694" xr:uid="{00000000-0005-0000-0000-00009E830000}"/>
    <cellStyle name="Percent 5 6 2 3 2" xfId="33695" xr:uid="{00000000-0005-0000-0000-00009F830000}"/>
    <cellStyle name="Percent 5 6 2 3 3" xfId="33696" xr:uid="{00000000-0005-0000-0000-0000A0830000}"/>
    <cellStyle name="Percent 5 6 2 4" xfId="33697" xr:uid="{00000000-0005-0000-0000-0000A1830000}"/>
    <cellStyle name="Percent 5 6 2 5" xfId="33698" xr:uid="{00000000-0005-0000-0000-0000A2830000}"/>
    <cellStyle name="Percent 5 6 3" xfId="33699" xr:uid="{00000000-0005-0000-0000-0000A3830000}"/>
    <cellStyle name="Percent 5 6 3 2" xfId="33700" xr:uid="{00000000-0005-0000-0000-0000A4830000}"/>
    <cellStyle name="Percent 5 6 3 2 2" xfId="33701" xr:uid="{00000000-0005-0000-0000-0000A5830000}"/>
    <cellStyle name="Percent 5 6 3 2 3" xfId="33702" xr:uid="{00000000-0005-0000-0000-0000A6830000}"/>
    <cellStyle name="Percent 5 6 3 3" xfId="33703" xr:uid="{00000000-0005-0000-0000-0000A7830000}"/>
    <cellStyle name="Percent 5 6 3 4" xfId="33704" xr:uid="{00000000-0005-0000-0000-0000A8830000}"/>
    <cellStyle name="Percent 5 6 4" xfId="33705" xr:uid="{00000000-0005-0000-0000-0000A9830000}"/>
    <cellStyle name="Percent 5 6 4 2" xfId="33706" xr:uid="{00000000-0005-0000-0000-0000AA830000}"/>
    <cellStyle name="Percent 5 6 4 3" xfId="33707" xr:uid="{00000000-0005-0000-0000-0000AB830000}"/>
    <cellStyle name="Percent 5 6 5" xfId="33708" xr:uid="{00000000-0005-0000-0000-0000AC830000}"/>
    <cellStyle name="Percent 5 6 6" xfId="33709" xr:uid="{00000000-0005-0000-0000-0000AD830000}"/>
    <cellStyle name="Percent 5 7" xfId="33710" xr:uid="{00000000-0005-0000-0000-0000AE830000}"/>
    <cellStyle name="Percent 5 7 2" xfId="33711" xr:uid="{00000000-0005-0000-0000-0000AF830000}"/>
    <cellStyle name="Percent 5 7 2 2" xfId="33712" xr:uid="{00000000-0005-0000-0000-0000B0830000}"/>
    <cellStyle name="Percent 5 7 2 2 2" xfId="33713" xr:uid="{00000000-0005-0000-0000-0000B1830000}"/>
    <cellStyle name="Percent 5 7 2 2 3" xfId="33714" xr:uid="{00000000-0005-0000-0000-0000B2830000}"/>
    <cellStyle name="Percent 5 7 2 3" xfId="33715" xr:uid="{00000000-0005-0000-0000-0000B3830000}"/>
    <cellStyle name="Percent 5 7 2 4" xfId="33716" xr:uid="{00000000-0005-0000-0000-0000B4830000}"/>
    <cellStyle name="Percent 5 7 3" xfId="33717" xr:uid="{00000000-0005-0000-0000-0000B5830000}"/>
    <cellStyle name="Percent 5 7 3 2" xfId="33718" xr:uid="{00000000-0005-0000-0000-0000B6830000}"/>
    <cellStyle name="Percent 5 7 3 3" xfId="33719" xr:uid="{00000000-0005-0000-0000-0000B7830000}"/>
    <cellStyle name="Percent 5 7 4" xfId="33720" xr:uid="{00000000-0005-0000-0000-0000B8830000}"/>
    <cellStyle name="Percent 5 7 5" xfId="33721" xr:uid="{00000000-0005-0000-0000-0000B9830000}"/>
    <cellStyle name="Percent 5 8" xfId="33722" xr:uid="{00000000-0005-0000-0000-0000BA830000}"/>
    <cellStyle name="Percent 5 8 2" xfId="33723" xr:uid="{00000000-0005-0000-0000-0000BB830000}"/>
    <cellStyle name="Percent 5 8 2 2" xfId="33724" xr:uid="{00000000-0005-0000-0000-0000BC830000}"/>
    <cellStyle name="Percent 5 8 2 3" xfId="33725" xr:uid="{00000000-0005-0000-0000-0000BD830000}"/>
    <cellStyle name="Percent 5 8 3" xfId="33726" xr:uid="{00000000-0005-0000-0000-0000BE830000}"/>
    <cellStyle name="Percent 5 8 4" xfId="33727" xr:uid="{00000000-0005-0000-0000-0000BF830000}"/>
    <cellStyle name="Percent 5 9" xfId="33728" xr:uid="{00000000-0005-0000-0000-0000C0830000}"/>
    <cellStyle name="Percent 5 9 2" xfId="33729" xr:uid="{00000000-0005-0000-0000-0000C1830000}"/>
    <cellStyle name="Percent 5 9 3" xfId="33730" xr:uid="{00000000-0005-0000-0000-0000C2830000}"/>
    <cellStyle name="Percent 6" xfId="33731" xr:uid="{00000000-0005-0000-0000-0000C3830000}"/>
    <cellStyle name="Percent 6 10" xfId="33732" xr:uid="{00000000-0005-0000-0000-0000C4830000}"/>
    <cellStyle name="Percent 6 11" xfId="33733" xr:uid="{00000000-0005-0000-0000-0000C5830000}"/>
    <cellStyle name="Percent 6 2" xfId="33734" xr:uid="{00000000-0005-0000-0000-0000C6830000}"/>
    <cellStyle name="Percent 6 2 10" xfId="33735" xr:uid="{00000000-0005-0000-0000-0000C7830000}"/>
    <cellStyle name="Percent 6 2 2" xfId="33736" xr:uid="{00000000-0005-0000-0000-0000C8830000}"/>
    <cellStyle name="Percent 6 2 2 2" xfId="33737" xr:uid="{00000000-0005-0000-0000-0000C9830000}"/>
    <cellStyle name="Percent 6 2 2 2 2" xfId="33738" xr:uid="{00000000-0005-0000-0000-0000CA830000}"/>
    <cellStyle name="Percent 6 2 2 2 2 2" xfId="33739" xr:uid="{00000000-0005-0000-0000-0000CB830000}"/>
    <cellStyle name="Percent 6 2 2 2 2 2 2" xfId="33740" xr:uid="{00000000-0005-0000-0000-0000CC830000}"/>
    <cellStyle name="Percent 6 2 2 2 2 2 2 2" xfId="33741" xr:uid="{00000000-0005-0000-0000-0000CD830000}"/>
    <cellStyle name="Percent 6 2 2 2 2 2 2 2 2" xfId="33742" xr:uid="{00000000-0005-0000-0000-0000CE830000}"/>
    <cellStyle name="Percent 6 2 2 2 2 2 2 2 2 2" xfId="33743" xr:uid="{00000000-0005-0000-0000-0000CF830000}"/>
    <cellStyle name="Percent 6 2 2 2 2 2 2 2 2 3" xfId="33744" xr:uid="{00000000-0005-0000-0000-0000D0830000}"/>
    <cellStyle name="Percent 6 2 2 2 2 2 2 2 3" xfId="33745" xr:uid="{00000000-0005-0000-0000-0000D1830000}"/>
    <cellStyle name="Percent 6 2 2 2 2 2 2 2 4" xfId="33746" xr:uid="{00000000-0005-0000-0000-0000D2830000}"/>
    <cellStyle name="Percent 6 2 2 2 2 2 2 3" xfId="33747" xr:uid="{00000000-0005-0000-0000-0000D3830000}"/>
    <cellStyle name="Percent 6 2 2 2 2 2 2 3 2" xfId="33748" xr:uid="{00000000-0005-0000-0000-0000D4830000}"/>
    <cellStyle name="Percent 6 2 2 2 2 2 2 3 3" xfId="33749" xr:uid="{00000000-0005-0000-0000-0000D5830000}"/>
    <cellStyle name="Percent 6 2 2 2 2 2 2 4" xfId="33750" xr:uid="{00000000-0005-0000-0000-0000D6830000}"/>
    <cellStyle name="Percent 6 2 2 2 2 2 2 5" xfId="33751" xr:uid="{00000000-0005-0000-0000-0000D7830000}"/>
    <cellStyle name="Percent 6 2 2 2 2 2 3" xfId="33752" xr:uid="{00000000-0005-0000-0000-0000D8830000}"/>
    <cellStyle name="Percent 6 2 2 2 2 2 3 2" xfId="33753" xr:uid="{00000000-0005-0000-0000-0000D9830000}"/>
    <cellStyle name="Percent 6 2 2 2 2 2 3 2 2" xfId="33754" xr:uid="{00000000-0005-0000-0000-0000DA830000}"/>
    <cellStyle name="Percent 6 2 2 2 2 2 3 2 3" xfId="33755" xr:uid="{00000000-0005-0000-0000-0000DB830000}"/>
    <cellStyle name="Percent 6 2 2 2 2 2 3 3" xfId="33756" xr:uid="{00000000-0005-0000-0000-0000DC830000}"/>
    <cellStyle name="Percent 6 2 2 2 2 2 3 4" xfId="33757" xr:uid="{00000000-0005-0000-0000-0000DD830000}"/>
    <cellStyle name="Percent 6 2 2 2 2 2 4" xfId="33758" xr:uid="{00000000-0005-0000-0000-0000DE830000}"/>
    <cellStyle name="Percent 6 2 2 2 2 2 4 2" xfId="33759" xr:uid="{00000000-0005-0000-0000-0000DF830000}"/>
    <cellStyle name="Percent 6 2 2 2 2 2 4 3" xfId="33760" xr:uid="{00000000-0005-0000-0000-0000E0830000}"/>
    <cellStyle name="Percent 6 2 2 2 2 2 5" xfId="33761" xr:uid="{00000000-0005-0000-0000-0000E1830000}"/>
    <cellStyle name="Percent 6 2 2 2 2 2 6" xfId="33762" xr:uid="{00000000-0005-0000-0000-0000E2830000}"/>
    <cellStyle name="Percent 6 2 2 2 2 3" xfId="33763" xr:uid="{00000000-0005-0000-0000-0000E3830000}"/>
    <cellStyle name="Percent 6 2 2 2 2 3 2" xfId="33764" xr:uid="{00000000-0005-0000-0000-0000E4830000}"/>
    <cellStyle name="Percent 6 2 2 2 2 3 2 2" xfId="33765" xr:uid="{00000000-0005-0000-0000-0000E5830000}"/>
    <cellStyle name="Percent 6 2 2 2 2 3 2 2 2" xfId="33766" xr:uid="{00000000-0005-0000-0000-0000E6830000}"/>
    <cellStyle name="Percent 6 2 2 2 2 3 2 2 3" xfId="33767" xr:uid="{00000000-0005-0000-0000-0000E7830000}"/>
    <cellStyle name="Percent 6 2 2 2 2 3 2 3" xfId="33768" xr:uid="{00000000-0005-0000-0000-0000E8830000}"/>
    <cellStyle name="Percent 6 2 2 2 2 3 2 4" xfId="33769" xr:uid="{00000000-0005-0000-0000-0000E9830000}"/>
    <cellStyle name="Percent 6 2 2 2 2 3 3" xfId="33770" xr:uid="{00000000-0005-0000-0000-0000EA830000}"/>
    <cellStyle name="Percent 6 2 2 2 2 3 3 2" xfId="33771" xr:uid="{00000000-0005-0000-0000-0000EB830000}"/>
    <cellStyle name="Percent 6 2 2 2 2 3 3 3" xfId="33772" xr:uid="{00000000-0005-0000-0000-0000EC830000}"/>
    <cellStyle name="Percent 6 2 2 2 2 3 4" xfId="33773" xr:uid="{00000000-0005-0000-0000-0000ED830000}"/>
    <cellStyle name="Percent 6 2 2 2 2 3 5" xfId="33774" xr:uid="{00000000-0005-0000-0000-0000EE830000}"/>
    <cellStyle name="Percent 6 2 2 2 2 4" xfId="33775" xr:uid="{00000000-0005-0000-0000-0000EF830000}"/>
    <cellStyle name="Percent 6 2 2 2 2 4 2" xfId="33776" xr:uid="{00000000-0005-0000-0000-0000F0830000}"/>
    <cellStyle name="Percent 6 2 2 2 2 4 2 2" xfId="33777" xr:uid="{00000000-0005-0000-0000-0000F1830000}"/>
    <cellStyle name="Percent 6 2 2 2 2 4 2 3" xfId="33778" xr:uid="{00000000-0005-0000-0000-0000F2830000}"/>
    <cellStyle name="Percent 6 2 2 2 2 4 3" xfId="33779" xr:uid="{00000000-0005-0000-0000-0000F3830000}"/>
    <cellStyle name="Percent 6 2 2 2 2 4 4" xfId="33780" xr:uid="{00000000-0005-0000-0000-0000F4830000}"/>
    <cellStyle name="Percent 6 2 2 2 2 5" xfId="33781" xr:uid="{00000000-0005-0000-0000-0000F5830000}"/>
    <cellStyle name="Percent 6 2 2 2 2 5 2" xfId="33782" xr:uid="{00000000-0005-0000-0000-0000F6830000}"/>
    <cellStyle name="Percent 6 2 2 2 2 5 3" xfId="33783" xr:uid="{00000000-0005-0000-0000-0000F7830000}"/>
    <cellStyle name="Percent 6 2 2 2 2 6" xfId="33784" xr:uid="{00000000-0005-0000-0000-0000F8830000}"/>
    <cellStyle name="Percent 6 2 2 2 2 7" xfId="33785" xr:uid="{00000000-0005-0000-0000-0000F9830000}"/>
    <cellStyle name="Percent 6 2 2 2 3" xfId="33786" xr:uid="{00000000-0005-0000-0000-0000FA830000}"/>
    <cellStyle name="Percent 6 2 2 2 3 2" xfId="33787" xr:uid="{00000000-0005-0000-0000-0000FB830000}"/>
    <cellStyle name="Percent 6 2 2 2 3 2 2" xfId="33788" xr:uid="{00000000-0005-0000-0000-0000FC830000}"/>
    <cellStyle name="Percent 6 2 2 2 3 2 2 2" xfId="33789" xr:uid="{00000000-0005-0000-0000-0000FD830000}"/>
    <cellStyle name="Percent 6 2 2 2 3 2 2 2 2" xfId="33790" xr:uid="{00000000-0005-0000-0000-0000FE830000}"/>
    <cellStyle name="Percent 6 2 2 2 3 2 2 2 3" xfId="33791" xr:uid="{00000000-0005-0000-0000-0000FF830000}"/>
    <cellStyle name="Percent 6 2 2 2 3 2 2 3" xfId="33792" xr:uid="{00000000-0005-0000-0000-000000840000}"/>
    <cellStyle name="Percent 6 2 2 2 3 2 2 4" xfId="33793" xr:uid="{00000000-0005-0000-0000-000001840000}"/>
    <cellStyle name="Percent 6 2 2 2 3 2 3" xfId="33794" xr:uid="{00000000-0005-0000-0000-000002840000}"/>
    <cellStyle name="Percent 6 2 2 2 3 2 3 2" xfId="33795" xr:uid="{00000000-0005-0000-0000-000003840000}"/>
    <cellStyle name="Percent 6 2 2 2 3 2 3 3" xfId="33796" xr:uid="{00000000-0005-0000-0000-000004840000}"/>
    <cellStyle name="Percent 6 2 2 2 3 2 4" xfId="33797" xr:uid="{00000000-0005-0000-0000-000005840000}"/>
    <cellStyle name="Percent 6 2 2 2 3 2 5" xfId="33798" xr:uid="{00000000-0005-0000-0000-000006840000}"/>
    <cellStyle name="Percent 6 2 2 2 3 3" xfId="33799" xr:uid="{00000000-0005-0000-0000-000007840000}"/>
    <cellStyle name="Percent 6 2 2 2 3 3 2" xfId="33800" xr:uid="{00000000-0005-0000-0000-000008840000}"/>
    <cellStyle name="Percent 6 2 2 2 3 3 2 2" xfId="33801" xr:uid="{00000000-0005-0000-0000-000009840000}"/>
    <cellStyle name="Percent 6 2 2 2 3 3 2 3" xfId="33802" xr:uid="{00000000-0005-0000-0000-00000A840000}"/>
    <cellStyle name="Percent 6 2 2 2 3 3 3" xfId="33803" xr:uid="{00000000-0005-0000-0000-00000B840000}"/>
    <cellStyle name="Percent 6 2 2 2 3 3 4" xfId="33804" xr:uid="{00000000-0005-0000-0000-00000C840000}"/>
    <cellStyle name="Percent 6 2 2 2 3 4" xfId="33805" xr:uid="{00000000-0005-0000-0000-00000D840000}"/>
    <cellStyle name="Percent 6 2 2 2 3 4 2" xfId="33806" xr:uid="{00000000-0005-0000-0000-00000E840000}"/>
    <cellStyle name="Percent 6 2 2 2 3 4 3" xfId="33807" xr:uid="{00000000-0005-0000-0000-00000F840000}"/>
    <cellStyle name="Percent 6 2 2 2 3 5" xfId="33808" xr:uid="{00000000-0005-0000-0000-000010840000}"/>
    <cellStyle name="Percent 6 2 2 2 3 6" xfId="33809" xr:uid="{00000000-0005-0000-0000-000011840000}"/>
    <cellStyle name="Percent 6 2 2 2 4" xfId="33810" xr:uid="{00000000-0005-0000-0000-000012840000}"/>
    <cellStyle name="Percent 6 2 2 2 4 2" xfId="33811" xr:uid="{00000000-0005-0000-0000-000013840000}"/>
    <cellStyle name="Percent 6 2 2 2 4 2 2" xfId="33812" xr:uid="{00000000-0005-0000-0000-000014840000}"/>
    <cellStyle name="Percent 6 2 2 2 4 2 2 2" xfId="33813" xr:uid="{00000000-0005-0000-0000-000015840000}"/>
    <cellStyle name="Percent 6 2 2 2 4 2 2 3" xfId="33814" xr:uid="{00000000-0005-0000-0000-000016840000}"/>
    <cellStyle name="Percent 6 2 2 2 4 2 3" xfId="33815" xr:uid="{00000000-0005-0000-0000-000017840000}"/>
    <cellStyle name="Percent 6 2 2 2 4 2 4" xfId="33816" xr:uid="{00000000-0005-0000-0000-000018840000}"/>
    <cellStyle name="Percent 6 2 2 2 4 3" xfId="33817" xr:uid="{00000000-0005-0000-0000-000019840000}"/>
    <cellStyle name="Percent 6 2 2 2 4 3 2" xfId="33818" xr:uid="{00000000-0005-0000-0000-00001A840000}"/>
    <cellStyle name="Percent 6 2 2 2 4 3 3" xfId="33819" xr:uid="{00000000-0005-0000-0000-00001B840000}"/>
    <cellStyle name="Percent 6 2 2 2 4 4" xfId="33820" xr:uid="{00000000-0005-0000-0000-00001C840000}"/>
    <cellStyle name="Percent 6 2 2 2 4 5" xfId="33821" xr:uid="{00000000-0005-0000-0000-00001D840000}"/>
    <cellStyle name="Percent 6 2 2 2 5" xfId="33822" xr:uid="{00000000-0005-0000-0000-00001E840000}"/>
    <cellStyle name="Percent 6 2 2 2 5 2" xfId="33823" xr:uid="{00000000-0005-0000-0000-00001F840000}"/>
    <cellStyle name="Percent 6 2 2 2 5 2 2" xfId="33824" xr:uid="{00000000-0005-0000-0000-000020840000}"/>
    <cellStyle name="Percent 6 2 2 2 5 2 3" xfId="33825" xr:uid="{00000000-0005-0000-0000-000021840000}"/>
    <cellStyle name="Percent 6 2 2 2 5 3" xfId="33826" xr:uid="{00000000-0005-0000-0000-000022840000}"/>
    <cellStyle name="Percent 6 2 2 2 5 4" xfId="33827" xr:uid="{00000000-0005-0000-0000-000023840000}"/>
    <cellStyle name="Percent 6 2 2 2 6" xfId="33828" xr:uid="{00000000-0005-0000-0000-000024840000}"/>
    <cellStyle name="Percent 6 2 2 2 6 2" xfId="33829" xr:uid="{00000000-0005-0000-0000-000025840000}"/>
    <cellStyle name="Percent 6 2 2 2 6 3" xfId="33830" xr:uid="{00000000-0005-0000-0000-000026840000}"/>
    <cellStyle name="Percent 6 2 2 2 7" xfId="33831" xr:uid="{00000000-0005-0000-0000-000027840000}"/>
    <cellStyle name="Percent 6 2 2 2 8" xfId="33832" xr:uid="{00000000-0005-0000-0000-000028840000}"/>
    <cellStyle name="Percent 6 2 2 3" xfId="33833" xr:uid="{00000000-0005-0000-0000-000029840000}"/>
    <cellStyle name="Percent 6 2 2 3 2" xfId="33834" xr:uid="{00000000-0005-0000-0000-00002A840000}"/>
    <cellStyle name="Percent 6 2 2 3 2 2" xfId="33835" xr:uid="{00000000-0005-0000-0000-00002B840000}"/>
    <cellStyle name="Percent 6 2 2 3 2 2 2" xfId="33836" xr:uid="{00000000-0005-0000-0000-00002C840000}"/>
    <cellStyle name="Percent 6 2 2 3 2 2 2 2" xfId="33837" xr:uid="{00000000-0005-0000-0000-00002D840000}"/>
    <cellStyle name="Percent 6 2 2 3 2 2 2 2 2" xfId="33838" xr:uid="{00000000-0005-0000-0000-00002E840000}"/>
    <cellStyle name="Percent 6 2 2 3 2 2 2 2 3" xfId="33839" xr:uid="{00000000-0005-0000-0000-00002F840000}"/>
    <cellStyle name="Percent 6 2 2 3 2 2 2 3" xfId="33840" xr:uid="{00000000-0005-0000-0000-000030840000}"/>
    <cellStyle name="Percent 6 2 2 3 2 2 2 4" xfId="33841" xr:uid="{00000000-0005-0000-0000-000031840000}"/>
    <cellStyle name="Percent 6 2 2 3 2 2 3" xfId="33842" xr:uid="{00000000-0005-0000-0000-000032840000}"/>
    <cellStyle name="Percent 6 2 2 3 2 2 3 2" xfId="33843" xr:uid="{00000000-0005-0000-0000-000033840000}"/>
    <cellStyle name="Percent 6 2 2 3 2 2 3 3" xfId="33844" xr:uid="{00000000-0005-0000-0000-000034840000}"/>
    <cellStyle name="Percent 6 2 2 3 2 2 4" xfId="33845" xr:uid="{00000000-0005-0000-0000-000035840000}"/>
    <cellStyle name="Percent 6 2 2 3 2 2 5" xfId="33846" xr:uid="{00000000-0005-0000-0000-000036840000}"/>
    <cellStyle name="Percent 6 2 2 3 2 3" xfId="33847" xr:uid="{00000000-0005-0000-0000-000037840000}"/>
    <cellStyle name="Percent 6 2 2 3 2 3 2" xfId="33848" xr:uid="{00000000-0005-0000-0000-000038840000}"/>
    <cellStyle name="Percent 6 2 2 3 2 3 2 2" xfId="33849" xr:uid="{00000000-0005-0000-0000-000039840000}"/>
    <cellStyle name="Percent 6 2 2 3 2 3 2 3" xfId="33850" xr:uid="{00000000-0005-0000-0000-00003A840000}"/>
    <cellStyle name="Percent 6 2 2 3 2 3 3" xfId="33851" xr:uid="{00000000-0005-0000-0000-00003B840000}"/>
    <cellStyle name="Percent 6 2 2 3 2 3 4" xfId="33852" xr:uid="{00000000-0005-0000-0000-00003C840000}"/>
    <cellStyle name="Percent 6 2 2 3 2 4" xfId="33853" xr:uid="{00000000-0005-0000-0000-00003D840000}"/>
    <cellStyle name="Percent 6 2 2 3 2 4 2" xfId="33854" xr:uid="{00000000-0005-0000-0000-00003E840000}"/>
    <cellStyle name="Percent 6 2 2 3 2 4 3" xfId="33855" xr:uid="{00000000-0005-0000-0000-00003F840000}"/>
    <cellStyle name="Percent 6 2 2 3 2 5" xfId="33856" xr:uid="{00000000-0005-0000-0000-000040840000}"/>
    <cellStyle name="Percent 6 2 2 3 2 6" xfId="33857" xr:uid="{00000000-0005-0000-0000-000041840000}"/>
    <cellStyle name="Percent 6 2 2 3 3" xfId="33858" xr:uid="{00000000-0005-0000-0000-000042840000}"/>
    <cellStyle name="Percent 6 2 2 3 3 2" xfId="33859" xr:uid="{00000000-0005-0000-0000-000043840000}"/>
    <cellStyle name="Percent 6 2 2 3 3 2 2" xfId="33860" xr:uid="{00000000-0005-0000-0000-000044840000}"/>
    <cellStyle name="Percent 6 2 2 3 3 2 2 2" xfId="33861" xr:uid="{00000000-0005-0000-0000-000045840000}"/>
    <cellStyle name="Percent 6 2 2 3 3 2 2 3" xfId="33862" xr:uid="{00000000-0005-0000-0000-000046840000}"/>
    <cellStyle name="Percent 6 2 2 3 3 2 3" xfId="33863" xr:uid="{00000000-0005-0000-0000-000047840000}"/>
    <cellStyle name="Percent 6 2 2 3 3 2 4" xfId="33864" xr:uid="{00000000-0005-0000-0000-000048840000}"/>
    <cellStyle name="Percent 6 2 2 3 3 3" xfId="33865" xr:uid="{00000000-0005-0000-0000-000049840000}"/>
    <cellStyle name="Percent 6 2 2 3 3 3 2" xfId="33866" xr:uid="{00000000-0005-0000-0000-00004A840000}"/>
    <cellStyle name="Percent 6 2 2 3 3 3 3" xfId="33867" xr:uid="{00000000-0005-0000-0000-00004B840000}"/>
    <cellStyle name="Percent 6 2 2 3 3 4" xfId="33868" xr:uid="{00000000-0005-0000-0000-00004C840000}"/>
    <cellStyle name="Percent 6 2 2 3 3 5" xfId="33869" xr:uid="{00000000-0005-0000-0000-00004D840000}"/>
    <cellStyle name="Percent 6 2 2 3 4" xfId="33870" xr:uid="{00000000-0005-0000-0000-00004E840000}"/>
    <cellStyle name="Percent 6 2 2 3 4 2" xfId="33871" xr:uid="{00000000-0005-0000-0000-00004F840000}"/>
    <cellStyle name="Percent 6 2 2 3 4 2 2" xfId="33872" xr:uid="{00000000-0005-0000-0000-000050840000}"/>
    <cellStyle name="Percent 6 2 2 3 4 2 3" xfId="33873" xr:uid="{00000000-0005-0000-0000-000051840000}"/>
    <cellStyle name="Percent 6 2 2 3 4 3" xfId="33874" xr:uid="{00000000-0005-0000-0000-000052840000}"/>
    <cellStyle name="Percent 6 2 2 3 4 4" xfId="33875" xr:uid="{00000000-0005-0000-0000-000053840000}"/>
    <cellStyle name="Percent 6 2 2 3 5" xfId="33876" xr:uid="{00000000-0005-0000-0000-000054840000}"/>
    <cellStyle name="Percent 6 2 2 3 5 2" xfId="33877" xr:uid="{00000000-0005-0000-0000-000055840000}"/>
    <cellStyle name="Percent 6 2 2 3 5 3" xfId="33878" xr:uid="{00000000-0005-0000-0000-000056840000}"/>
    <cellStyle name="Percent 6 2 2 3 6" xfId="33879" xr:uid="{00000000-0005-0000-0000-000057840000}"/>
    <cellStyle name="Percent 6 2 2 3 7" xfId="33880" xr:uid="{00000000-0005-0000-0000-000058840000}"/>
    <cellStyle name="Percent 6 2 2 4" xfId="33881" xr:uid="{00000000-0005-0000-0000-000059840000}"/>
    <cellStyle name="Percent 6 2 2 4 2" xfId="33882" xr:uid="{00000000-0005-0000-0000-00005A840000}"/>
    <cellStyle name="Percent 6 2 2 4 2 2" xfId="33883" xr:uid="{00000000-0005-0000-0000-00005B840000}"/>
    <cellStyle name="Percent 6 2 2 4 2 2 2" xfId="33884" xr:uid="{00000000-0005-0000-0000-00005C840000}"/>
    <cellStyle name="Percent 6 2 2 4 2 2 2 2" xfId="33885" xr:uid="{00000000-0005-0000-0000-00005D840000}"/>
    <cellStyle name="Percent 6 2 2 4 2 2 2 3" xfId="33886" xr:uid="{00000000-0005-0000-0000-00005E840000}"/>
    <cellStyle name="Percent 6 2 2 4 2 2 3" xfId="33887" xr:uid="{00000000-0005-0000-0000-00005F840000}"/>
    <cellStyle name="Percent 6 2 2 4 2 2 4" xfId="33888" xr:uid="{00000000-0005-0000-0000-000060840000}"/>
    <cellStyle name="Percent 6 2 2 4 2 3" xfId="33889" xr:uid="{00000000-0005-0000-0000-000061840000}"/>
    <cellStyle name="Percent 6 2 2 4 2 3 2" xfId="33890" xr:uid="{00000000-0005-0000-0000-000062840000}"/>
    <cellStyle name="Percent 6 2 2 4 2 3 3" xfId="33891" xr:uid="{00000000-0005-0000-0000-000063840000}"/>
    <cellStyle name="Percent 6 2 2 4 2 4" xfId="33892" xr:uid="{00000000-0005-0000-0000-000064840000}"/>
    <cellStyle name="Percent 6 2 2 4 2 5" xfId="33893" xr:uid="{00000000-0005-0000-0000-000065840000}"/>
    <cellStyle name="Percent 6 2 2 4 3" xfId="33894" xr:uid="{00000000-0005-0000-0000-000066840000}"/>
    <cellStyle name="Percent 6 2 2 4 3 2" xfId="33895" xr:uid="{00000000-0005-0000-0000-000067840000}"/>
    <cellStyle name="Percent 6 2 2 4 3 2 2" xfId="33896" xr:uid="{00000000-0005-0000-0000-000068840000}"/>
    <cellStyle name="Percent 6 2 2 4 3 2 3" xfId="33897" xr:uid="{00000000-0005-0000-0000-000069840000}"/>
    <cellStyle name="Percent 6 2 2 4 3 3" xfId="33898" xr:uid="{00000000-0005-0000-0000-00006A840000}"/>
    <cellStyle name="Percent 6 2 2 4 3 4" xfId="33899" xr:uid="{00000000-0005-0000-0000-00006B840000}"/>
    <cellStyle name="Percent 6 2 2 4 4" xfId="33900" xr:uid="{00000000-0005-0000-0000-00006C840000}"/>
    <cellStyle name="Percent 6 2 2 4 4 2" xfId="33901" xr:uid="{00000000-0005-0000-0000-00006D840000}"/>
    <cellStyle name="Percent 6 2 2 4 4 3" xfId="33902" xr:uid="{00000000-0005-0000-0000-00006E840000}"/>
    <cellStyle name="Percent 6 2 2 4 5" xfId="33903" xr:uid="{00000000-0005-0000-0000-00006F840000}"/>
    <cellStyle name="Percent 6 2 2 4 6" xfId="33904" xr:uid="{00000000-0005-0000-0000-000070840000}"/>
    <cellStyle name="Percent 6 2 2 5" xfId="33905" xr:uid="{00000000-0005-0000-0000-000071840000}"/>
    <cellStyle name="Percent 6 2 2 5 2" xfId="33906" xr:uid="{00000000-0005-0000-0000-000072840000}"/>
    <cellStyle name="Percent 6 2 2 5 2 2" xfId="33907" xr:uid="{00000000-0005-0000-0000-000073840000}"/>
    <cellStyle name="Percent 6 2 2 5 2 2 2" xfId="33908" xr:uid="{00000000-0005-0000-0000-000074840000}"/>
    <cellStyle name="Percent 6 2 2 5 2 2 3" xfId="33909" xr:uid="{00000000-0005-0000-0000-000075840000}"/>
    <cellStyle name="Percent 6 2 2 5 2 3" xfId="33910" xr:uid="{00000000-0005-0000-0000-000076840000}"/>
    <cellStyle name="Percent 6 2 2 5 2 4" xfId="33911" xr:uid="{00000000-0005-0000-0000-000077840000}"/>
    <cellStyle name="Percent 6 2 2 5 3" xfId="33912" xr:uid="{00000000-0005-0000-0000-000078840000}"/>
    <cellStyle name="Percent 6 2 2 5 3 2" xfId="33913" xr:uid="{00000000-0005-0000-0000-000079840000}"/>
    <cellStyle name="Percent 6 2 2 5 3 3" xfId="33914" xr:uid="{00000000-0005-0000-0000-00007A840000}"/>
    <cellStyle name="Percent 6 2 2 5 4" xfId="33915" xr:uid="{00000000-0005-0000-0000-00007B840000}"/>
    <cellStyle name="Percent 6 2 2 5 5" xfId="33916" xr:uid="{00000000-0005-0000-0000-00007C840000}"/>
    <cellStyle name="Percent 6 2 2 6" xfId="33917" xr:uid="{00000000-0005-0000-0000-00007D840000}"/>
    <cellStyle name="Percent 6 2 2 6 2" xfId="33918" xr:uid="{00000000-0005-0000-0000-00007E840000}"/>
    <cellStyle name="Percent 6 2 2 6 2 2" xfId="33919" xr:uid="{00000000-0005-0000-0000-00007F840000}"/>
    <cellStyle name="Percent 6 2 2 6 2 3" xfId="33920" xr:uid="{00000000-0005-0000-0000-000080840000}"/>
    <cellStyle name="Percent 6 2 2 6 3" xfId="33921" xr:uid="{00000000-0005-0000-0000-000081840000}"/>
    <cellStyle name="Percent 6 2 2 6 4" xfId="33922" xr:uid="{00000000-0005-0000-0000-000082840000}"/>
    <cellStyle name="Percent 6 2 2 7" xfId="33923" xr:uid="{00000000-0005-0000-0000-000083840000}"/>
    <cellStyle name="Percent 6 2 2 7 2" xfId="33924" xr:uid="{00000000-0005-0000-0000-000084840000}"/>
    <cellStyle name="Percent 6 2 2 7 3" xfId="33925" xr:uid="{00000000-0005-0000-0000-000085840000}"/>
    <cellStyle name="Percent 6 2 2 8" xfId="33926" xr:uid="{00000000-0005-0000-0000-000086840000}"/>
    <cellStyle name="Percent 6 2 2 9" xfId="33927" xr:uid="{00000000-0005-0000-0000-000087840000}"/>
    <cellStyle name="Percent 6 2 3" xfId="33928" xr:uid="{00000000-0005-0000-0000-000088840000}"/>
    <cellStyle name="Percent 6 2 3 2" xfId="33929" xr:uid="{00000000-0005-0000-0000-000089840000}"/>
    <cellStyle name="Percent 6 2 3 2 2" xfId="33930" xr:uid="{00000000-0005-0000-0000-00008A840000}"/>
    <cellStyle name="Percent 6 2 3 2 2 2" xfId="33931" xr:uid="{00000000-0005-0000-0000-00008B840000}"/>
    <cellStyle name="Percent 6 2 3 2 2 2 2" xfId="33932" xr:uid="{00000000-0005-0000-0000-00008C840000}"/>
    <cellStyle name="Percent 6 2 3 2 2 2 2 2" xfId="33933" xr:uid="{00000000-0005-0000-0000-00008D840000}"/>
    <cellStyle name="Percent 6 2 3 2 2 2 2 2 2" xfId="33934" xr:uid="{00000000-0005-0000-0000-00008E840000}"/>
    <cellStyle name="Percent 6 2 3 2 2 2 2 2 3" xfId="33935" xr:uid="{00000000-0005-0000-0000-00008F840000}"/>
    <cellStyle name="Percent 6 2 3 2 2 2 2 3" xfId="33936" xr:uid="{00000000-0005-0000-0000-000090840000}"/>
    <cellStyle name="Percent 6 2 3 2 2 2 2 4" xfId="33937" xr:uid="{00000000-0005-0000-0000-000091840000}"/>
    <cellStyle name="Percent 6 2 3 2 2 2 3" xfId="33938" xr:uid="{00000000-0005-0000-0000-000092840000}"/>
    <cellStyle name="Percent 6 2 3 2 2 2 3 2" xfId="33939" xr:uid="{00000000-0005-0000-0000-000093840000}"/>
    <cellStyle name="Percent 6 2 3 2 2 2 3 3" xfId="33940" xr:uid="{00000000-0005-0000-0000-000094840000}"/>
    <cellStyle name="Percent 6 2 3 2 2 2 4" xfId="33941" xr:uid="{00000000-0005-0000-0000-000095840000}"/>
    <cellStyle name="Percent 6 2 3 2 2 2 5" xfId="33942" xr:uid="{00000000-0005-0000-0000-000096840000}"/>
    <cellStyle name="Percent 6 2 3 2 2 3" xfId="33943" xr:uid="{00000000-0005-0000-0000-000097840000}"/>
    <cellStyle name="Percent 6 2 3 2 2 3 2" xfId="33944" xr:uid="{00000000-0005-0000-0000-000098840000}"/>
    <cellStyle name="Percent 6 2 3 2 2 3 2 2" xfId="33945" xr:uid="{00000000-0005-0000-0000-000099840000}"/>
    <cellStyle name="Percent 6 2 3 2 2 3 2 3" xfId="33946" xr:uid="{00000000-0005-0000-0000-00009A840000}"/>
    <cellStyle name="Percent 6 2 3 2 2 3 3" xfId="33947" xr:uid="{00000000-0005-0000-0000-00009B840000}"/>
    <cellStyle name="Percent 6 2 3 2 2 3 4" xfId="33948" xr:uid="{00000000-0005-0000-0000-00009C840000}"/>
    <cellStyle name="Percent 6 2 3 2 2 4" xfId="33949" xr:uid="{00000000-0005-0000-0000-00009D840000}"/>
    <cellStyle name="Percent 6 2 3 2 2 4 2" xfId="33950" xr:uid="{00000000-0005-0000-0000-00009E840000}"/>
    <cellStyle name="Percent 6 2 3 2 2 4 3" xfId="33951" xr:uid="{00000000-0005-0000-0000-00009F840000}"/>
    <cellStyle name="Percent 6 2 3 2 2 5" xfId="33952" xr:uid="{00000000-0005-0000-0000-0000A0840000}"/>
    <cellStyle name="Percent 6 2 3 2 2 6" xfId="33953" xr:uid="{00000000-0005-0000-0000-0000A1840000}"/>
    <cellStyle name="Percent 6 2 3 2 3" xfId="33954" xr:uid="{00000000-0005-0000-0000-0000A2840000}"/>
    <cellStyle name="Percent 6 2 3 2 3 2" xfId="33955" xr:uid="{00000000-0005-0000-0000-0000A3840000}"/>
    <cellStyle name="Percent 6 2 3 2 3 2 2" xfId="33956" xr:uid="{00000000-0005-0000-0000-0000A4840000}"/>
    <cellStyle name="Percent 6 2 3 2 3 2 2 2" xfId="33957" xr:uid="{00000000-0005-0000-0000-0000A5840000}"/>
    <cellStyle name="Percent 6 2 3 2 3 2 2 3" xfId="33958" xr:uid="{00000000-0005-0000-0000-0000A6840000}"/>
    <cellStyle name="Percent 6 2 3 2 3 2 3" xfId="33959" xr:uid="{00000000-0005-0000-0000-0000A7840000}"/>
    <cellStyle name="Percent 6 2 3 2 3 2 4" xfId="33960" xr:uid="{00000000-0005-0000-0000-0000A8840000}"/>
    <cellStyle name="Percent 6 2 3 2 3 3" xfId="33961" xr:uid="{00000000-0005-0000-0000-0000A9840000}"/>
    <cellStyle name="Percent 6 2 3 2 3 3 2" xfId="33962" xr:uid="{00000000-0005-0000-0000-0000AA840000}"/>
    <cellStyle name="Percent 6 2 3 2 3 3 3" xfId="33963" xr:uid="{00000000-0005-0000-0000-0000AB840000}"/>
    <cellStyle name="Percent 6 2 3 2 3 4" xfId="33964" xr:uid="{00000000-0005-0000-0000-0000AC840000}"/>
    <cellStyle name="Percent 6 2 3 2 3 5" xfId="33965" xr:uid="{00000000-0005-0000-0000-0000AD840000}"/>
    <cellStyle name="Percent 6 2 3 2 4" xfId="33966" xr:uid="{00000000-0005-0000-0000-0000AE840000}"/>
    <cellStyle name="Percent 6 2 3 2 4 2" xfId="33967" xr:uid="{00000000-0005-0000-0000-0000AF840000}"/>
    <cellStyle name="Percent 6 2 3 2 4 2 2" xfId="33968" xr:uid="{00000000-0005-0000-0000-0000B0840000}"/>
    <cellStyle name="Percent 6 2 3 2 4 2 3" xfId="33969" xr:uid="{00000000-0005-0000-0000-0000B1840000}"/>
    <cellStyle name="Percent 6 2 3 2 4 3" xfId="33970" xr:uid="{00000000-0005-0000-0000-0000B2840000}"/>
    <cellStyle name="Percent 6 2 3 2 4 4" xfId="33971" xr:uid="{00000000-0005-0000-0000-0000B3840000}"/>
    <cellStyle name="Percent 6 2 3 2 5" xfId="33972" xr:uid="{00000000-0005-0000-0000-0000B4840000}"/>
    <cellStyle name="Percent 6 2 3 2 5 2" xfId="33973" xr:uid="{00000000-0005-0000-0000-0000B5840000}"/>
    <cellStyle name="Percent 6 2 3 2 5 3" xfId="33974" xr:uid="{00000000-0005-0000-0000-0000B6840000}"/>
    <cellStyle name="Percent 6 2 3 2 6" xfId="33975" xr:uid="{00000000-0005-0000-0000-0000B7840000}"/>
    <cellStyle name="Percent 6 2 3 2 7" xfId="33976" xr:uid="{00000000-0005-0000-0000-0000B8840000}"/>
    <cellStyle name="Percent 6 2 3 3" xfId="33977" xr:uid="{00000000-0005-0000-0000-0000B9840000}"/>
    <cellStyle name="Percent 6 2 3 3 2" xfId="33978" xr:uid="{00000000-0005-0000-0000-0000BA840000}"/>
    <cellStyle name="Percent 6 2 3 3 2 2" xfId="33979" xr:uid="{00000000-0005-0000-0000-0000BB840000}"/>
    <cellStyle name="Percent 6 2 3 3 2 2 2" xfId="33980" xr:uid="{00000000-0005-0000-0000-0000BC840000}"/>
    <cellStyle name="Percent 6 2 3 3 2 2 2 2" xfId="33981" xr:uid="{00000000-0005-0000-0000-0000BD840000}"/>
    <cellStyle name="Percent 6 2 3 3 2 2 2 3" xfId="33982" xr:uid="{00000000-0005-0000-0000-0000BE840000}"/>
    <cellStyle name="Percent 6 2 3 3 2 2 3" xfId="33983" xr:uid="{00000000-0005-0000-0000-0000BF840000}"/>
    <cellStyle name="Percent 6 2 3 3 2 2 4" xfId="33984" xr:uid="{00000000-0005-0000-0000-0000C0840000}"/>
    <cellStyle name="Percent 6 2 3 3 2 3" xfId="33985" xr:uid="{00000000-0005-0000-0000-0000C1840000}"/>
    <cellStyle name="Percent 6 2 3 3 2 3 2" xfId="33986" xr:uid="{00000000-0005-0000-0000-0000C2840000}"/>
    <cellStyle name="Percent 6 2 3 3 2 3 3" xfId="33987" xr:uid="{00000000-0005-0000-0000-0000C3840000}"/>
    <cellStyle name="Percent 6 2 3 3 2 4" xfId="33988" xr:uid="{00000000-0005-0000-0000-0000C4840000}"/>
    <cellStyle name="Percent 6 2 3 3 2 5" xfId="33989" xr:uid="{00000000-0005-0000-0000-0000C5840000}"/>
    <cellStyle name="Percent 6 2 3 3 3" xfId="33990" xr:uid="{00000000-0005-0000-0000-0000C6840000}"/>
    <cellStyle name="Percent 6 2 3 3 3 2" xfId="33991" xr:uid="{00000000-0005-0000-0000-0000C7840000}"/>
    <cellStyle name="Percent 6 2 3 3 3 2 2" xfId="33992" xr:uid="{00000000-0005-0000-0000-0000C8840000}"/>
    <cellStyle name="Percent 6 2 3 3 3 2 3" xfId="33993" xr:uid="{00000000-0005-0000-0000-0000C9840000}"/>
    <cellStyle name="Percent 6 2 3 3 3 3" xfId="33994" xr:uid="{00000000-0005-0000-0000-0000CA840000}"/>
    <cellStyle name="Percent 6 2 3 3 3 4" xfId="33995" xr:uid="{00000000-0005-0000-0000-0000CB840000}"/>
    <cellStyle name="Percent 6 2 3 3 4" xfId="33996" xr:uid="{00000000-0005-0000-0000-0000CC840000}"/>
    <cellStyle name="Percent 6 2 3 3 4 2" xfId="33997" xr:uid="{00000000-0005-0000-0000-0000CD840000}"/>
    <cellStyle name="Percent 6 2 3 3 4 3" xfId="33998" xr:uid="{00000000-0005-0000-0000-0000CE840000}"/>
    <cellStyle name="Percent 6 2 3 3 5" xfId="33999" xr:uid="{00000000-0005-0000-0000-0000CF840000}"/>
    <cellStyle name="Percent 6 2 3 3 6" xfId="34000" xr:uid="{00000000-0005-0000-0000-0000D0840000}"/>
    <cellStyle name="Percent 6 2 3 4" xfId="34001" xr:uid="{00000000-0005-0000-0000-0000D1840000}"/>
    <cellStyle name="Percent 6 2 3 4 2" xfId="34002" xr:uid="{00000000-0005-0000-0000-0000D2840000}"/>
    <cellStyle name="Percent 6 2 3 4 2 2" xfId="34003" xr:uid="{00000000-0005-0000-0000-0000D3840000}"/>
    <cellStyle name="Percent 6 2 3 4 2 2 2" xfId="34004" xr:uid="{00000000-0005-0000-0000-0000D4840000}"/>
    <cellStyle name="Percent 6 2 3 4 2 2 3" xfId="34005" xr:uid="{00000000-0005-0000-0000-0000D5840000}"/>
    <cellStyle name="Percent 6 2 3 4 2 3" xfId="34006" xr:uid="{00000000-0005-0000-0000-0000D6840000}"/>
    <cellStyle name="Percent 6 2 3 4 2 4" xfId="34007" xr:uid="{00000000-0005-0000-0000-0000D7840000}"/>
    <cellStyle name="Percent 6 2 3 4 3" xfId="34008" xr:uid="{00000000-0005-0000-0000-0000D8840000}"/>
    <cellStyle name="Percent 6 2 3 4 3 2" xfId="34009" xr:uid="{00000000-0005-0000-0000-0000D9840000}"/>
    <cellStyle name="Percent 6 2 3 4 3 3" xfId="34010" xr:uid="{00000000-0005-0000-0000-0000DA840000}"/>
    <cellStyle name="Percent 6 2 3 4 4" xfId="34011" xr:uid="{00000000-0005-0000-0000-0000DB840000}"/>
    <cellStyle name="Percent 6 2 3 4 5" xfId="34012" xr:uid="{00000000-0005-0000-0000-0000DC840000}"/>
    <cellStyle name="Percent 6 2 3 5" xfId="34013" xr:uid="{00000000-0005-0000-0000-0000DD840000}"/>
    <cellStyle name="Percent 6 2 3 5 2" xfId="34014" xr:uid="{00000000-0005-0000-0000-0000DE840000}"/>
    <cellStyle name="Percent 6 2 3 5 2 2" xfId="34015" xr:uid="{00000000-0005-0000-0000-0000DF840000}"/>
    <cellStyle name="Percent 6 2 3 5 2 3" xfId="34016" xr:uid="{00000000-0005-0000-0000-0000E0840000}"/>
    <cellStyle name="Percent 6 2 3 5 3" xfId="34017" xr:uid="{00000000-0005-0000-0000-0000E1840000}"/>
    <cellStyle name="Percent 6 2 3 5 4" xfId="34018" xr:uid="{00000000-0005-0000-0000-0000E2840000}"/>
    <cellStyle name="Percent 6 2 3 6" xfId="34019" xr:uid="{00000000-0005-0000-0000-0000E3840000}"/>
    <cellStyle name="Percent 6 2 3 6 2" xfId="34020" xr:uid="{00000000-0005-0000-0000-0000E4840000}"/>
    <cellStyle name="Percent 6 2 3 6 3" xfId="34021" xr:uid="{00000000-0005-0000-0000-0000E5840000}"/>
    <cellStyle name="Percent 6 2 3 7" xfId="34022" xr:uid="{00000000-0005-0000-0000-0000E6840000}"/>
    <cellStyle name="Percent 6 2 3 8" xfId="34023" xr:uid="{00000000-0005-0000-0000-0000E7840000}"/>
    <cellStyle name="Percent 6 2 4" xfId="34024" xr:uid="{00000000-0005-0000-0000-0000E8840000}"/>
    <cellStyle name="Percent 6 2 4 2" xfId="34025" xr:uid="{00000000-0005-0000-0000-0000E9840000}"/>
    <cellStyle name="Percent 6 2 4 2 2" xfId="34026" xr:uid="{00000000-0005-0000-0000-0000EA840000}"/>
    <cellStyle name="Percent 6 2 4 2 2 2" xfId="34027" xr:uid="{00000000-0005-0000-0000-0000EB840000}"/>
    <cellStyle name="Percent 6 2 4 2 2 2 2" xfId="34028" xr:uid="{00000000-0005-0000-0000-0000EC840000}"/>
    <cellStyle name="Percent 6 2 4 2 2 2 2 2" xfId="34029" xr:uid="{00000000-0005-0000-0000-0000ED840000}"/>
    <cellStyle name="Percent 6 2 4 2 2 2 2 3" xfId="34030" xr:uid="{00000000-0005-0000-0000-0000EE840000}"/>
    <cellStyle name="Percent 6 2 4 2 2 2 3" xfId="34031" xr:uid="{00000000-0005-0000-0000-0000EF840000}"/>
    <cellStyle name="Percent 6 2 4 2 2 2 4" xfId="34032" xr:uid="{00000000-0005-0000-0000-0000F0840000}"/>
    <cellStyle name="Percent 6 2 4 2 2 3" xfId="34033" xr:uid="{00000000-0005-0000-0000-0000F1840000}"/>
    <cellStyle name="Percent 6 2 4 2 2 3 2" xfId="34034" xr:uid="{00000000-0005-0000-0000-0000F2840000}"/>
    <cellStyle name="Percent 6 2 4 2 2 3 3" xfId="34035" xr:uid="{00000000-0005-0000-0000-0000F3840000}"/>
    <cellStyle name="Percent 6 2 4 2 2 4" xfId="34036" xr:uid="{00000000-0005-0000-0000-0000F4840000}"/>
    <cellStyle name="Percent 6 2 4 2 2 5" xfId="34037" xr:uid="{00000000-0005-0000-0000-0000F5840000}"/>
    <cellStyle name="Percent 6 2 4 2 3" xfId="34038" xr:uid="{00000000-0005-0000-0000-0000F6840000}"/>
    <cellStyle name="Percent 6 2 4 2 3 2" xfId="34039" xr:uid="{00000000-0005-0000-0000-0000F7840000}"/>
    <cellStyle name="Percent 6 2 4 2 3 2 2" xfId="34040" xr:uid="{00000000-0005-0000-0000-0000F8840000}"/>
    <cellStyle name="Percent 6 2 4 2 3 2 3" xfId="34041" xr:uid="{00000000-0005-0000-0000-0000F9840000}"/>
    <cellStyle name="Percent 6 2 4 2 3 3" xfId="34042" xr:uid="{00000000-0005-0000-0000-0000FA840000}"/>
    <cellStyle name="Percent 6 2 4 2 3 4" xfId="34043" xr:uid="{00000000-0005-0000-0000-0000FB840000}"/>
    <cellStyle name="Percent 6 2 4 2 4" xfId="34044" xr:uid="{00000000-0005-0000-0000-0000FC840000}"/>
    <cellStyle name="Percent 6 2 4 2 4 2" xfId="34045" xr:uid="{00000000-0005-0000-0000-0000FD840000}"/>
    <cellStyle name="Percent 6 2 4 2 4 3" xfId="34046" xr:uid="{00000000-0005-0000-0000-0000FE840000}"/>
    <cellStyle name="Percent 6 2 4 2 5" xfId="34047" xr:uid="{00000000-0005-0000-0000-0000FF840000}"/>
    <cellStyle name="Percent 6 2 4 2 6" xfId="34048" xr:uid="{00000000-0005-0000-0000-000000850000}"/>
    <cellStyle name="Percent 6 2 4 3" xfId="34049" xr:uid="{00000000-0005-0000-0000-000001850000}"/>
    <cellStyle name="Percent 6 2 4 3 2" xfId="34050" xr:uid="{00000000-0005-0000-0000-000002850000}"/>
    <cellStyle name="Percent 6 2 4 3 2 2" xfId="34051" xr:uid="{00000000-0005-0000-0000-000003850000}"/>
    <cellStyle name="Percent 6 2 4 3 2 2 2" xfId="34052" xr:uid="{00000000-0005-0000-0000-000004850000}"/>
    <cellStyle name="Percent 6 2 4 3 2 2 3" xfId="34053" xr:uid="{00000000-0005-0000-0000-000005850000}"/>
    <cellStyle name="Percent 6 2 4 3 2 3" xfId="34054" xr:uid="{00000000-0005-0000-0000-000006850000}"/>
    <cellStyle name="Percent 6 2 4 3 2 4" xfId="34055" xr:uid="{00000000-0005-0000-0000-000007850000}"/>
    <cellStyle name="Percent 6 2 4 3 3" xfId="34056" xr:uid="{00000000-0005-0000-0000-000008850000}"/>
    <cellStyle name="Percent 6 2 4 3 3 2" xfId="34057" xr:uid="{00000000-0005-0000-0000-000009850000}"/>
    <cellStyle name="Percent 6 2 4 3 3 3" xfId="34058" xr:uid="{00000000-0005-0000-0000-00000A850000}"/>
    <cellStyle name="Percent 6 2 4 3 4" xfId="34059" xr:uid="{00000000-0005-0000-0000-00000B850000}"/>
    <cellStyle name="Percent 6 2 4 3 5" xfId="34060" xr:uid="{00000000-0005-0000-0000-00000C850000}"/>
    <cellStyle name="Percent 6 2 4 4" xfId="34061" xr:uid="{00000000-0005-0000-0000-00000D850000}"/>
    <cellStyle name="Percent 6 2 4 4 2" xfId="34062" xr:uid="{00000000-0005-0000-0000-00000E850000}"/>
    <cellStyle name="Percent 6 2 4 4 2 2" xfId="34063" xr:uid="{00000000-0005-0000-0000-00000F850000}"/>
    <cellStyle name="Percent 6 2 4 4 2 3" xfId="34064" xr:uid="{00000000-0005-0000-0000-000010850000}"/>
    <cellStyle name="Percent 6 2 4 4 3" xfId="34065" xr:uid="{00000000-0005-0000-0000-000011850000}"/>
    <cellStyle name="Percent 6 2 4 4 4" xfId="34066" xr:uid="{00000000-0005-0000-0000-000012850000}"/>
    <cellStyle name="Percent 6 2 4 5" xfId="34067" xr:uid="{00000000-0005-0000-0000-000013850000}"/>
    <cellStyle name="Percent 6 2 4 5 2" xfId="34068" xr:uid="{00000000-0005-0000-0000-000014850000}"/>
    <cellStyle name="Percent 6 2 4 5 3" xfId="34069" xr:uid="{00000000-0005-0000-0000-000015850000}"/>
    <cellStyle name="Percent 6 2 4 6" xfId="34070" xr:uid="{00000000-0005-0000-0000-000016850000}"/>
    <cellStyle name="Percent 6 2 4 7" xfId="34071" xr:uid="{00000000-0005-0000-0000-000017850000}"/>
    <cellStyle name="Percent 6 2 5" xfId="34072" xr:uid="{00000000-0005-0000-0000-000018850000}"/>
    <cellStyle name="Percent 6 2 5 2" xfId="34073" xr:uid="{00000000-0005-0000-0000-000019850000}"/>
    <cellStyle name="Percent 6 2 5 2 2" xfId="34074" xr:uid="{00000000-0005-0000-0000-00001A850000}"/>
    <cellStyle name="Percent 6 2 5 2 2 2" xfId="34075" xr:uid="{00000000-0005-0000-0000-00001B850000}"/>
    <cellStyle name="Percent 6 2 5 2 2 2 2" xfId="34076" xr:uid="{00000000-0005-0000-0000-00001C850000}"/>
    <cellStyle name="Percent 6 2 5 2 2 2 3" xfId="34077" xr:uid="{00000000-0005-0000-0000-00001D850000}"/>
    <cellStyle name="Percent 6 2 5 2 2 3" xfId="34078" xr:uid="{00000000-0005-0000-0000-00001E850000}"/>
    <cellStyle name="Percent 6 2 5 2 2 4" xfId="34079" xr:uid="{00000000-0005-0000-0000-00001F850000}"/>
    <cellStyle name="Percent 6 2 5 2 3" xfId="34080" xr:uid="{00000000-0005-0000-0000-000020850000}"/>
    <cellStyle name="Percent 6 2 5 2 3 2" xfId="34081" xr:uid="{00000000-0005-0000-0000-000021850000}"/>
    <cellStyle name="Percent 6 2 5 2 3 3" xfId="34082" xr:uid="{00000000-0005-0000-0000-000022850000}"/>
    <cellStyle name="Percent 6 2 5 2 4" xfId="34083" xr:uid="{00000000-0005-0000-0000-000023850000}"/>
    <cellStyle name="Percent 6 2 5 2 5" xfId="34084" xr:uid="{00000000-0005-0000-0000-000024850000}"/>
    <cellStyle name="Percent 6 2 5 3" xfId="34085" xr:uid="{00000000-0005-0000-0000-000025850000}"/>
    <cellStyle name="Percent 6 2 5 3 2" xfId="34086" xr:uid="{00000000-0005-0000-0000-000026850000}"/>
    <cellStyle name="Percent 6 2 5 3 2 2" xfId="34087" xr:uid="{00000000-0005-0000-0000-000027850000}"/>
    <cellStyle name="Percent 6 2 5 3 2 3" xfId="34088" xr:uid="{00000000-0005-0000-0000-000028850000}"/>
    <cellStyle name="Percent 6 2 5 3 3" xfId="34089" xr:uid="{00000000-0005-0000-0000-000029850000}"/>
    <cellStyle name="Percent 6 2 5 3 4" xfId="34090" xr:uid="{00000000-0005-0000-0000-00002A850000}"/>
    <cellStyle name="Percent 6 2 5 4" xfId="34091" xr:uid="{00000000-0005-0000-0000-00002B850000}"/>
    <cellStyle name="Percent 6 2 5 4 2" xfId="34092" xr:uid="{00000000-0005-0000-0000-00002C850000}"/>
    <cellStyle name="Percent 6 2 5 4 3" xfId="34093" xr:uid="{00000000-0005-0000-0000-00002D850000}"/>
    <cellStyle name="Percent 6 2 5 5" xfId="34094" xr:uid="{00000000-0005-0000-0000-00002E850000}"/>
    <cellStyle name="Percent 6 2 5 6" xfId="34095" xr:uid="{00000000-0005-0000-0000-00002F850000}"/>
    <cellStyle name="Percent 6 2 6" xfId="34096" xr:uid="{00000000-0005-0000-0000-000030850000}"/>
    <cellStyle name="Percent 6 2 6 2" xfId="34097" xr:uid="{00000000-0005-0000-0000-000031850000}"/>
    <cellStyle name="Percent 6 2 6 2 2" xfId="34098" xr:uid="{00000000-0005-0000-0000-000032850000}"/>
    <cellStyle name="Percent 6 2 6 2 2 2" xfId="34099" xr:uid="{00000000-0005-0000-0000-000033850000}"/>
    <cellStyle name="Percent 6 2 6 2 2 3" xfId="34100" xr:uid="{00000000-0005-0000-0000-000034850000}"/>
    <cellStyle name="Percent 6 2 6 2 3" xfId="34101" xr:uid="{00000000-0005-0000-0000-000035850000}"/>
    <cellStyle name="Percent 6 2 6 2 4" xfId="34102" xr:uid="{00000000-0005-0000-0000-000036850000}"/>
    <cellStyle name="Percent 6 2 6 3" xfId="34103" xr:uid="{00000000-0005-0000-0000-000037850000}"/>
    <cellStyle name="Percent 6 2 6 3 2" xfId="34104" xr:uid="{00000000-0005-0000-0000-000038850000}"/>
    <cellStyle name="Percent 6 2 6 3 3" xfId="34105" xr:uid="{00000000-0005-0000-0000-000039850000}"/>
    <cellStyle name="Percent 6 2 6 4" xfId="34106" xr:uid="{00000000-0005-0000-0000-00003A850000}"/>
    <cellStyle name="Percent 6 2 6 5" xfId="34107" xr:uid="{00000000-0005-0000-0000-00003B850000}"/>
    <cellStyle name="Percent 6 2 7" xfId="34108" xr:uid="{00000000-0005-0000-0000-00003C850000}"/>
    <cellStyle name="Percent 6 2 7 2" xfId="34109" xr:uid="{00000000-0005-0000-0000-00003D850000}"/>
    <cellStyle name="Percent 6 2 7 2 2" xfId="34110" xr:uid="{00000000-0005-0000-0000-00003E850000}"/>
    <cellStyle name="Percent 6 2 7 2 3" xfId="34111" xr:uid="{00000000-0005-0000-0000-00003F850000}"/>
    <cellStyle name="Percent 6 2 7 3" xfId="34112" xr:uid="{00000000-0005-0000-0000-000040850000}"/>
    <cellStyle name="Percent 6 2 7 4" xfId="34113" xr:uid="{00000000-0005-0000-0000-000041850000}"/>
    <cellStyle name="Percent 6 2 8" xfId="34114" xr:uid="{00000000-0005-0000-0000-000042850000}"/>
    <cellStyle name="Percent 6 2 8 2" xfId="34115" xr:uid="{00000000-0005-0000-0000-000043850000}"/>
    <cellStyle name="Percent 6 2 8 3" xfId="34116" xr:uid="{00000000-0005-0000-0000-000044850000}"/>
    <cellStyle name="Percent 6 2 9" xfId="34117" xr:uid="{00000000-0005-0000-0000-000045850000}"/>
    <cellStyle name="Percent 6 3" xfId="34118" xr:uid="{00000000-0005-0000-0000-000046850000}"/>
    <cellStyle name="Percent 6 3 2" xfId="34119" xr:uid="{00000000-0005-0000-0000-000047850000}"/>
    <cellStyle name="Percent 6 3 2 2" xfId="34120" xr:uid="{00000000-0005-0000-0000-000048850000}"/>
    <cellStyle name="Percent 6 3 2 2 2" xfId="34121" xr:uid="{00000000-0005-0000-0000-000049850000}"/>
    <cellStyle name="Percent 6 3 2 2 2 2" xfId="34122" xr:uid="{00000000-0005-0000-0000-00004A850000}"/>
    <cellStyle name="Percent 6 3 2 2 2 2 2" xfId="34123" xr:uid="{00000000-0005-0000-0000-00004B850000}"/>
    <cellStyle name="Percent 6 3 2 2 2 2 2 2" xfId="34124" xr:uid="{00000000-0005-0000-0000-00004C850000}"/>
    <cellStyle name="Percent 6 3 2 2 2 2 2 2 2" xfId="34125" xr:uid="{00000000-0005-0000-0000-00004D850000}"/>
    <cellStyle name="Percent 6 3 2 2 2 2 2 2 3" xfId="34126" xr:uid="{00000000-0005-0000-0000-00004E850000}"/>
    <cellStyle name="Percent 6 3 2 2 2 2 2 3" xfId="34127" xr:uid="{00000000-0005-0000-0000-00004F850000}"/>
    <cellStyle name="Percent 6 3 2 2 2 2 2 4" xfId="34128" xr:uid="{00000000-0005-0000-0000-000050850000}"/>
    <cellStyle name="Percent 6 3 2 2 2 2 3" xfId="34129" xr:uid="{00000000-0005-0000-0000-000051850000}"/>
    <cellStyle name="Percent 6 3 2 2 2 2 3 2" xfId="34130" xr:uid="{00000000-0005-0000-0000-000052850000}"/>
    <cellStyle name="Percent 6 3 2 2 2 2 3 3" xfId="34131" xr:uid="{00000000-0005-0000-0000-000053850000}"/>
    <cellStyle name="Percent 6 3 2 2 2 2 4" xfId="34132" xr:uid="{00000000-0005-0000-0000-000054850000}"/>
    <cellStyle name="Percent 6 3 2 2 2 2 5" xfId="34133" xr:uid="{00000000-0005-0000-0000-000055850000}"/>
    <cellStyle name="Percent 6 3 2 2 2 3" xfId="34134" xr:uid="{00000000-0005-0000-0000-000056850000}"/>
    <cellStyle name="Percent 6 3 2 2 2 3 2" xfId="34135" xr:uid="{00000000-0005-0000-0000-000057850000}"/>
    <cellStyle name="Percent 6 3 2 2 2 3 2 2" xfId="34136" xr:uid="{00000000-0005-0000-0000-000058850000}"/>
    <cellStyle name="Percent 6 3 2 2 2 3 2 3" xfId="34137" xr:uid="{00000000-0005-0000-0000-000059850000}"/>
    <cellStyle name="Percent 6 3 2 2 2 3 3" xfId="34138" xr:uid="{00000000-0005-0000-0000-00005A850000}"/>
    <cellStyle name="Percent 6 3 2 2 2 3 4" xfId="34139" xr:uid="{00000000-0005-0000-0000-00005B850000}"/>
    <cellStyle name="Percent 6 3 2 2 2 4" xfId="34140" xr:uid="{00000000-0005-0000-0000-00005C850000}"/>
    <cellStyle name="Percent 6 3 2 2 2 4 2" xfId="34141" xr:uid="{00000000-0005-0000-0000-00005D850000}"/>
    <cellStyle name="Percent 6 3 2 2 2 4 3" xfId="34142" xr:uid="{00000000-0005-0000-0000-00005E850000}"/>
    <cellStyle name="Percent 6 3 2 2 2 5" xfId="34143" xr:uid="{00000000-0005-0000-0000-00005F850000}"/>
    <cellStyle name="Percent 6 3 2 2 2 6" xfId="34144" xr:uid="{00000000-0005-0000-0000-000060850000}"/>
    <cellStyle name="Percent 6 3 2 2 3" xfId="34145" xr:uid="{00000000-0005-0000-0000-000061850000}"/>
    <cellStyle name="Percent 6 3 2 2 3 2" xfId="34146" xr:uid="{00000000-0005-0000-0000-000062850000}"/>
    <cellStyle name="Percent 6 3 2 2 3 2 2" xfId="34147" xr:uid="{00000000-0005-0000-0000-000063850000}"/>
    <cellStyle name="Percent 6 3 2 2 3 2 2 2" xfId="34148" xr:uid="{00000000-0005-0000-0000-000064850000}"/>
    <cellStyle name="Percent 6 3 2 2 3 2 2 3" xfId="34149" xr:uid="{00000000-0005-0000-0000-000065850000}"/>
    <cellStyle name="Percent 6 3 2 2 3 2 3" xfId="34150" xr:uid="{00000000-0005-0000-0000-000066850000}"/>
    <cellStyle name="Percent 6 3 2 2 3 2 4" xfId="34151" xr:uid="{00000000-0005-0000-0000-000067850000}"/>
    <cellStyle name="Percent 6 3 2 2 3 3" xfId="34152" xr:uid="{00000000-0005-0000-0000-000068850000}"/>
    <cellStyle name="Percent 6 3 2 2 3 3 2" xfId="34153" xr:uid="{00000000-0005-0000-0000-000069850000}"/>
    <cellStyle name="Percent 6 3 2 2 3 3 3" xfId="34154" xr:uid="{00000000-0005-0000-0000-00006A850000}"/>
    <cellStyle name="Percent 6 3 2 2 3 4" xfId="34155" xr:uid="{00000000-0005-0000-0000-00006B850000}"/>
    <cellStyle name="Percent 6 3 2 2 3 5" xfId="34156" xr:uid="{00000000-0005-0000-0000-00006C850000}"/>
    <cellStyle name="Percent 6 3 2 2 4" xfId="34157" xr:uid="{00000000-0005-0000-0000-00006D850000}"/>
    <cellStyle name="Percent 6 3 2 2 4 2" xfId="34158" xr:uid="{00000000-0005-0000-0000-00006E850000}"/>
    <cellStyle name="Percent 6 3 2 2 4 2 2" xfId="34159" xr:uid="{00000000-0005-0000-0000-00006F850000}"/>
    <cellStyle name="Percent 6 3 2 2 4 2 3" xfId="34160" xr:uid="{00000000-0005-0000-0000-000070850000}"/>
    <cellStyle name="Percent 6 3 2 2 4 3" xfId="34161" xr:uid="{00000000-0005-0000-0000-000071850000}"/>
    <cellStyle name="Percent 6 3 2 2 4 4" xfId="34162" xr:uid="{00000000-0005-0000-0000-000072850000}"/>
    <cellStyle name="Percent 6 3 2 2 5" xfId="34163" xr:uid="{00000000-0005-0000-0000-000073850000}"/>
    <cellStyle name="Percent 6 3 2 2 5 2" xfId="34164" xr:uid="{00000000-0005-0000-0000-000074850000}"/>
    <cellStyle name="Percent 6 3 2 2 5 3" xfId="34165" xr:uid="{00000000-0005-0000-0000-000075850000}"/>
    <cellStyle name="Percent 6 3 2 2 6" xfId="34166" xr:uid="{00000000-0005-0000-0000-000076850000}"/>
    <cellStyle name="Percent 6 3 2 2 7" xfId="34167" xr:uid="{00000000-0005-0000-0000-000077850000}"/>
    <cellStyle name="Percent 6 3 2 3" xfId="34168" xr:uid="{00000000-0005-0000-0000-000078850000}"/>
    <cellStyle name="Percent 6 3 2 3 2" xfId="34169" xr:uid="{00000000-0005-0000-0000-000079850000}"/>
    <cellStyle name="Percent 6 3 2 3 2 2" xfId="34170" xr:uid="{00000000-0005-0000-0000-00007A850000}"/>
    <cellStyle name="Percent 6 3 2 3 2 2 2" xfId="34171" xr:uid="{00000000-0005-0000-0000-00007B850000}"/>
    <cellStyle name="Percent 6 3 2 3 2 2 2 2" xfId="34172" xr:uid="{00000000-0005-0000-0000-00007C850000}"/>
    <cellStyle name="Percent 6 3 2 3 2 2 2 3" xfId="34173" xr:uid="{00000000-0005-0000-0000-00007D850000}"/>
    <cellStyle name="Percent 6 3 2 3 2 2 3" xfId="34174" xr:uid="{00000000-0005-0000-0000-00007E850000}"/>
    <cellStyle name="Percent 6 3 2 3 2 2 4" xfId="34175" xr:uid="{00000000-0005-0000-0000-00007F850000}"/>
    <cellStyle name="Percent 6 3 2 3 2 3" xfId="34176" xr:uid="{00000000-0005-0000-0000-000080850000}"/>
    <cellStyle name="Percent 6 3 2 3 2 3 2" xfId="34177" xr:uid="{00000000-0005-0000-0000-000081850000}"/>
    <cellStyle name="Percent 6 3 2 3 2 3 3" xfId="34178" xr:uid="{00000000-0005-0000-0000-000082850000}"/>
    <cellStyle name="Percent 6 3 2 3 2 4" xfId="34179" xr:uid="{00000000-0005-0000-0000-000083850000}"/>
    <cellStyle name="Percent 6 3 2 3 2 5" xfId="34180" xr:uid="{00000000-0005-0000-0000-000084850000}"/>
    <cellStyle name="Percent 6 3 2 3 3" xfId="34181" xr:uid="{00000000-0005-0000-0000-000085850000}"/>
    <cellStyle name="Percent 6 3 2 3 3 2" xfId="34182" xr:uid="{00000000-0005-0000-0000-000086850000}"/>
    <cellStyle name="Percent 6 3 2 3 3 2 2" xfId="34183" xr:uid="{00000000-0005-0000-0000-000087850000}"/>
    <cellStyle name="Percent 6 3 2 3 3 2 3" xfId="34184" xr:uid="{00000000-0005-0000-0000-000088850000}"/>
    <cellStyle name="Percent 6 3 2 3 3 3" xfId="34185" xr:uid="{00000000-0005-0000-0000-000089850000}"/>
    <cellStyle name="Percent 6 3 2 3 3 4" xfId="34186" xr:uid="{00000000-0005-0000-0000-00008A850000}"/>
    <cellStyle name="Percent 6 3 2 3 4" xfId="34187" xr:uid="{00000000-0005-0000-0000-00008B850000}"/>
    <cellStyle name="Percent 6 3 2 3 4 2" xfId="34188" xr:uid="{00000000-0005-0000-0000-00008C850000}"/>
    <cellStyle name="Percent 6 3 2 3 4 3" xfId="34189" xr:uid="{00000000-0005-0000-0000-00008D850000}"/>
    <cellStyle name="Percent 6 3 2 3 5" xfId="34190" xr:uid="{00000000-0005-0000-0000-00008E850000}"/>
    <cellStyle name="Percent 6 3 2 3 6" xfId="34191" xr:uid="{00000000-0005-0000-0000-00008F850000}"/>
    <cellStyle name="Percent 6 3 2 4" xfId="34192" xr:uid="{00000000-0005-0000-0000-000090850000}"/>
    <cellStyle name="Percent 6 3 2 4 2" xfId="34193" xr:uid="{00000000-0005-0000-0000-000091850000}"/>
    <cellStyle name="Percent 6 3 2 4 2 2" xfId="34194" xr:uid="{00000000-0005-0000-0000-000092850000}"/>
    <cellStyle name="Percent 6 3 2 4 2 2 2" xfId="34195" xr:uid="{00000000-0005-0000-0000-000093850000}"/>
    <cellStyle name="Percent 6 3 2 4 2 2 3" xfId="34196" xr:uid="{00000000-0005-0000-0000-000094850000}"/>
    <cellStyle name="Percent 6 3 2 4 2 3" xfId="34197" xr:uid="{00000000-0005-0000-0000-000095850000}"/>
    <cellStyle name="Percent 6 3 2 4 2 4" xfId="34198" xr:uid="{00000000-0005-0000-0000-000096850000}"/>
    <cellStyle name="Percent 6 3 2 4 3" xfId="34199" xr:uid="{00000000-0005-0000-0000-000097850000}"/>
    <cellStyle name="Percent 6 3 2 4 3 2" xfId="34200" xr:uid="{00000000-0005-0000-0000-000098850000}"/>
    <cellStyle name="Percent 6 3 2 4 3 3" xfId="34201" xr:uid="{00000000-0005-0000-0000-000099850000}"/>
    <cellStyle name="Percent 6 3 2 4 4" xfId="34202" xr:uid="{00000000-0005-0000-0000-00009A850000}"/>
    <cellStyle name="Percent 6 3 2 4 5" xfId="34203" xr:uid="{00000000-0005-0000-0000-00009B850000}"/>
    <cellStyle name="Percent 6 3 2 5" xfId="34204" xr:uid="{00000000-0005-0000-0000-00009C850000}"/>
    <cellStyle name="Percent 6 3 2 5 2" xfId="34205" xr:uid="{00000000-0005-0000-0000-00009D850000}"/>
    <cellStyle name="Percent 6 3 2 5 2 2" xfId="34206" xr:uid="{00000000-0005-0000-0000-00009E850000}"/>
    <cellStyle name="Percent 6 3 2 5 2 3" xfId="34207" xr:uid="{00000000-0005-0000-0000-00009F850000}"/>
    <cellStyle name="Percent 6 3 2 5 3" xfId="34208" xr:uid="{00000000-0005-0000-0000-0000A0850000}"/>
    <cellStyle name="Percent 6 3 2 5 4" xfId="34209" xr:uid="{00000000-0005-0000-0000-0000A1850000}"/>
    <cellStyle name="Percent 6 3 2 6" xfId="34210" xr:uid="{00000000-0005-0000-0000-0000A2850000}"/>
    <cellStyle name="Percent 6 3 2 6 2" xfId="34211" xr:uid="{00000000-0005-0000-0000-0000A3850000}"/>
    <cellStyle name="Percent 6 3 2 6 3" xfId="34212" xr:uid="{00000000-0005-0000-0000-0000A4850000}"/>
    <cellStyle name="Percent 6 3 2 7" xfId="34213" xr:uid="{00000000-0005-0000-0000-0000A5850000}"/>
    <cellStyle name="Percent 6 3 2 8" xfId="34214" xr:uid="{00000000-0005-0000-0000-0000A6850000}"/>
    <cellStyle name="Percent 6 3 3" xfId="34215" xr:uid="{00000000-0005-0000-0000-0000A7850000}"/>
    <cellStyle name="Percent 6 3 3 2" xfId="34216" xr:uid="{00000000-0005-0000-0000-0000A8850000}"/>
    <cellStyle name="Percent 6 3 3 2 2" xfId="34217" xr:uid="{00000000-0005-0000-0000-0000A9850000}"/>
    <cellStyle name="Percent 6 3 3 2 2 2" xfId="34218" xr:uid="{00000000-0005-0000-0000-0000AA850000}"/>
    <cellStyle name="Percent 6 3 3 2 2 2 2" xfId="34219" xr:uid="{00000000-0005-0000-0000-0000AB850000}"/>
    <cellStyle name="Percent 6 3 3 2 2 2 2 2" xfId="34220" xr:uid="{00000000-0005-0000-0000-0000AC850000}"/>
    <cellStyle name="Percent 6 3 3 2 2 2 2 3" xfId="34221" xr:uid="{00000000-0005-0000-0000-0000AD850000}"/>
    <cellStyle name="Percent 6 3 3 2 2 2 3" xfId="34222" xr:uid="{00000000-0005-0000-0000-0000AE850000}"/>
    <cellStyle name="Percent 6 3 3 2 2 2 4" xfId="34223" xr:uid="{00000000-0005-0000-0000-0000AF850000}"/>
    <cellStyle name="Percent 6 3 3 2 2 3" xfId="34224" xr:uid="{00000000-0005-0000-0000-0000B0850000}"/>
    <cellStyle name="Percent 6 3 3 2 2 3 2" xfId="34225" xr:uid="{00000000-0005-0000-0000-0000B1850000}"/>
    <cellStyle name="Percent 6 3 3 2 2 3 3" xfId="34226" xr:uid="{00000000-0005-0000-0000-0000B2850000}"/>
    <cellStyle name="Percent 6 3 3 2 2 4" xfId="34227" xr:uid="{00000000-0005-0000-0000-0000B3850000}"/>
    <cellStyle name="Percent 6 3 3 2 2 5" xfId="34228" xr:uid="{00000000-0005-0000-0000-0000B4850000}"/>
    <cellStyle name="Percent 6 3 3 2 3" xfId="34229" xr:uid="{00000000-0005-0000-0000-0000B5850000}"/>
    <cellStyle name="Percent 6 3 3 2 3 2" xfId="34230" xr:uid="{00000000-0005-0000-0000-0000B6850000}"/>
    <cellStyle name="Percent 6 3 3 2 3 2 2" xfId="34231" xr:uid="{00000000-0005-0000-0000-0000B7850000}"/>
    <cellStyle name="Percent 6 3 3 2 3 2 3" xfId="34232" xr:uid="{00000000-0005-0000-0000-0000B8850000}"/>
    <cellStyle name="Percent 6 3 3 2 3 3" xfId="34233" xr:uid="{00000000-0005-0000-0000-0000B9850000}"/>
    <cellStyle name="Percent 6 3 3 2 3 4" xfId="34234" xr:uid="{00000000-0005-0000-0000-0000BA850000}"/>
    <cellStyle name="Percent 6 3 3 2 4" xfId="34235" xr:uid="{00000000-0005-0000-0000-0000BB850000}"/>
    <cellStyle name="Percent 6 3 3 2 4 2" xfId="34236" xr:uid="{00000000-0005-0000-0000-0000BC850000}"/>
    <cellStyle name="Percent 6 3 3 2 4 3" xfId="34237" xr:uid="{00000000-0005-0000-0000-0000BD850000}"/>
    <cellStyle name="Percent 6 3 3 2 5" xfId="34238" xr:uid="{00000000-0005-0000-0000-0000BE850000}"/>
    <cellStyle name="Percent 6 3 3 2 6" xfId="34239" xr:uid="{00000000-0005-0000-0000-0000BF850000}"/>
    <cellStyle name="Percent 6 3 3 3" xfId="34240" xr:uid="{00000000-0005-0000-0000-0000C0850000}"/>
    <cellStyle name="Percent 6 3 3 3 2" xfId="34241" xr:uid="{00000000-0005-0000-0000-0000C1850000}"/>
    <cellStyle name="Percent 6 3 3 3 2 2" xfId="34242" xr:uid="{00000000-0005-0000-0000-0000C2850000}"/>
    <cellStyle name="Percent 6 3 3 3 2 2 2" xfId="34243" xr:uid="{00000000-0005-0000-0000-0000C3850000}"/>
    <cellStyle name="Percent 6 3 3 3 2 2 3" xfId="34244" xr:uid="{00000000-0005-0000-0000-0000C4850000}"/>
    <cellStyle name="Percent 6 3 3 3 2 3" xfId="34245" xr:uid="{00000000-0005-0000-0000-0000C5850000}"/>
    <cellStyle name="Percent 6 3 3 3 2 4" xfId="34246" xr:uid="{00000000-0005-0000-0000-0000C6850000}"/>
    <cellStyle name="Percent 6 3 3 3 3" xfId="34247" xr:uid="{00000000-0005-0000-0000-0000C7850000}"/>
    <cellStyle name="Percent 6 3 3 3 3 2" xfId="34248" xr:uid="{00000000-0005-0000-0000-0000C8850000}"/>
    <cellStyle name="Percent 6 3 3 3 3 3" xfId="34249" xr:uid="{00000000-0005-0000-0000-0000C9850000}"/>
    <cellStyle name="Percent 6 3 3 3 4" xfId="34250" xr:uid="{00000000-0005-0000-0000-0000CA850000}"/>
    <cellStyle name="Percent 6 3 3 3 5" xfId="34251" xr:uid="{00000000-0005-0000-0000-0000CB850000}"/>
    <cellStyle name="Percent 6 3 3 4" xfId="34252" xr:uid="{00000000-0005-0000-0000-0000CC850000}"/>
    <cellStyle name="Percent 6 3 3 4 2" xfId="34253" xr:uid="{00000000-0005-0000-0000-0000CD850000}"/>
    <cellStyle name="Percent 6 3 3 4 2 2" xfId="34254" xr:uid="{00000000-0005-0000-0000-0000CE850000}"/>
    <cellStyle name="Percent 6 3 3 4 2 3" xfId="34255" xr:uid="{00000000-0005-0000-0000-0000CF850000}"/>
    <cellStyle name="Percent 6 3 3 4 3" xfId="34256" xr:uid="{00000000-0005-0000-0000-0000D0850000}"/>
    <cellStyle name="Percent 6 3 3 4 4" xfId="34257" xr:uid="{00000000-0005-0000-0000-0000D1850000}"/>
    <cellStyle name="Percent 6 3 3 5" xfId="34258" xr:uid="{00000000-0005-0000-0000-0000D2850000}"/>
    <cellStyle name="Percent 6 3 3 5 2" xfId="34259" xr:uid="{00000000-0005-0000-0000-0000D3850000}"/>
    <cellStyle name="Percent 6 3 3 5 3" xfId="34260" xr:uid="{00000000-0005-0000-0000-0000D4850000}"/>
    <cellStyle name="Percent 6 3 3 6" xfId="34261" xr:uid="{00000000-0005-0000-0000-0000D5850000}"/>
    <cellStyle name="Percent 6 3 3 7" xfId="34262" xr:uid="{00000000-0005-0000-0000-0000D6850000}"/>
    <cellStyle name="Percent 6 3 4" xfId="34263" xr:uid="{00000000-0005-0000-0000-0000D7850000}"/>
    <cellStyle name="Percent 6 3 4 2" xfId="34264" xr:uid="{00000000-0005-0000-0000-0000D8850000}"/>
    <cellStyle name="Percent 6 3 4 2 2" xfId="34265" xr:uid="{00000000-0005-0000-0000-0000D9850000}"/>
    <cellStyle name="Percent 6 3 4 2 2 2" xfId="34266" xr:uid="{00000000-0005-0000-0000-0000DA850000}"/>
    <cellStyle name="Percent 6 3 4 2 2 2 2" xfId="34267" xr:uid="{00000000-0005-0000-0000-0000DB850000}"/>
    <cellStyle name="Percent 6 3 4 2 2 2 3" xfId="34268" xr:uid="{00000000-0005-0000-0000-0000DC850000}"/>
    <cellStyle name="Percent 6 3 4 2 2 3" xfId="34269" xr:uid="{00000000-0005-0000-0000-0000DD850000}"/>
    <cellStyle name="Percent 6 3 4 2 2 4" xfId="34270" xr:uid="{00000000-0005-0000-0000-0000DE850000}"/>
    <cellStyle name="Percent 6 3 4 2 3" xfId="34271" xr:uid="{00000000-0005-0000-0000-0000DF850000}"/>
    <cellStyle name="Percent 6 3 4 2 3 2" xfId="34272" xr:uid="{00000000-0005-0000-0000-0000E0850000}"/>
    <cellStyle name="Percent 6 3 4 2 3 3" xfId="34273" xr:uid="{00000000-0005-0000-0000-0000E1850000}"/>
    <cellStyle name="Percent 6 3 4 2 4" xfId="34274" xr:uid="{00000000-0005-0000-0000-0000E2850000}"/>
    <cellStyle name="Percent 6 3 4 2 5" xfId="34275" xr:uid="{00000000-0005-0000-0000-0000E3850000}"/>
    <cellStyle name="Percent 6 3 4 3" xfId="34276" xr:uid="{00000000-0005-0000-0000-0000E4850000}"/>
    <cellStyle name="Percent 6 3 4 3 2" xfId="34277" xr:uid="{00000000-0005-0000-0000-0000E5850000}"/>
    <cellStyle name="Percent 6 3 4 3 2 2" xfId="34278" xr:uid="{00000000-0005-0000-0000-0000E6850000}"/>
    <cellStyle name="Percent 6 3 4 3 2 3" xfId="34279" xr:uid="{00000000-0005-0000-0000-0000E7850000}"/>
    <cellStyle name="Percent 6 3 4 3 3" xfId="34280" xr:uid="{00000000-0005-0000-0000-0000E8850000}"/>
    <cellStyle name="Percent 6 3 4 3 4" xfId="34281" xr:uid="{00000000-0005-0000-0000-0000E9850000}"/>
    <cellStyle name="Percent 6 3 4 4" xfId="34282" xr:uid="{00000000-0005-0000-0000-0000EA850000}"/>
    <cellStyle name="Percent 6 3 4 4 2" xfId="34283" xr:uid="{00000000-0005-0000-0000-0000EB850000}"/>
    <cellStyle name="Percent 6 3 4 4 3" xfId="34284" xr:uid="{00000000-0005-0000-0000-0000EC850000}"/>
    <cellStyle name="Percent 6 3 4 5" xfId="34285" xr:uid="{00000000-0005-0000-0000-0000ED850000}"/>
    <cellStyle name="Percent 6 3 4 6" xfId="34286" xr:uid="{00000000-0005-0000-0000-0000EE850000}"/>
    <cellStyle name="Percent 6 3 5" xfId="34287" xr:uid="{00000000-0005-0000-0000-0000EF850000}"/>
    <cellStyle name="Percent 6 3 5 2" xfId="34288" xr:uid="{00000000-0005-0000-0000-0000F0850000}"/>
    <cellStyle name="Percent 6 3 5 2 2" xfId="34289" xr:uid="{00000000-0005-0000-0000-0000F1850000}"/>
    <cellStyle name="Percent 6 3 5 2 2 2" xfId="34290" xr:uid="{00000000-0005-0000-0000-0000F2850000}"/>
    <cellStyle name="Percent 6 3 5 2 2 3" xfId="34291" xr:uid="{00000000-0005-0000-0000-0000F3850000}"/>
    <cellStyle name="Percent 6 3 5 2 3" xfId="34292" xr:uid="{00000000-0005-0000-0000-0000F4850000}"/>
    <cellStyle name="Percent 6 3 5 2 4" xfId="34293" xr:uid="{00000000-0005-0000-0000-0000F5850000}"/>
    <cellStyle name="Percent 6 3 5 3" xfId="34294" xr:uid="{00000000-0005-0000-0000-0000F6850000}"/>
    <cellStyle name="Percent 6 3 5 3 2" xfId="34295" xr:uid="{00000000-0005-0000-0000-0000F7850000}"/>
    <cellStyle name="Percent 6 3 5 3 3" xfId="34296" xr:uid="{00000000-0005-0000-0000-0000F8850000}"/>
    <cellStyle name="Percent 6 3 5 4" xfId="34297" xr:uid="{00000000-0005-0000-0000-0000F9850000}"/>
    <cellStyle name="Percent 6 3 5 5" xfId="34298" xr:uid="{00000000-0005-0000-0000-0000FA850000}"/>
    <cellStyle name="Percent 6 3 6" xfId="34299" xr:uid="{00000000-0005-0000-0000-0000FB850000}"/>
    <cellStyle name="Percent 6 3 6 2" xfId="34300" xr:uid="{00000000-0005-0000-0000-0000FC850000}"/>
    <cellStyle name="Percent 6 3 6 2 2" xfId="34301" xr:uid="{00000000-0005-0000-0000-0000FD850000}"/>
    <cellStyle name="Percent 6 3 6 2 3" xfId="34302" xr:uid="{00000000-0005-0000-0000-0000FE850000}"/>
    <cellStyle name="Percent 6 3 6 3" xfId="34303" xr:uid="{00000000-0005-0000-0000-0000FF850000}"/>
    <cellStyle name="Percent 6 3 6 4" xfId="34304" xr:uid="{00000000-0005-0000-0000-000000860000}"/>
    <cellStyle name="Percent 6 3 7" xfId="34305" xr:uid="{00000000-0005-0000-0000-000001860000}"/>
    <cellStyle name="Percent 6 3 7 2" xfId="34306" xr:uid="{00000000-0005-0000-0000-000002860000}"/>
    <cellStyle name="Percent 6 3 7 3" xfId="34307" xr:uid="{00000000-0005-0000-0000-000003860000}"/>
    <cellStyle name="Percent 6 3 8" xfId="34308" xr:uid="{00000000-0005-0000-0000-000004860000}"/>
    <cellStyle name="Percent 6 3 9" xfId="34309" xr:uid="{00000000-0005-0000-0000-000005860000}"/>
    <cellStyle name="Percent 6 4" xfId="34310" xr:uid="{00000000-0005-0000-0000-000006860000}"/>
    <cellStyle name="Percent 6 4 2" xfId="34311" xr:uid="{00000000-0005-0000-0000-000007860000}"/>
    <cellStyle name="Percent 6 4 2 2" xfId="34312" xr:uid="{00000000-0005-0000-0000-000008860000}"/>
    <cellStyle name="Percent 6 4 2 2 2" xfId="34313" xr:uid="{00000000-0005-0000-0000-000009860000}"/>
    <cellStyle name="Percent 6 4 2 2 2 2" xfId="34314" xr:uid="{00000000-0005-0000-0000-00000A860000}"/>
    <cellStyle name="Percent 6 4 2 2 2 2 2" xfId="34315" xr:uid="{00000000-0005-0000-0000-00000B860000}"/>
    <cellStyle name="Percent 6 4 2 2 2 2 2 2" xfId="34316" xr:uid="{00000000-0005-0000-0000-00000C860000}"/>
    <cellStyle name="Percent 6 4 2 2 2 2 2 3" xfId="34317" xr:uid="{00000000-0005-0000-0000-00000D860000}"/>
    <cellStyle name="Percent 6 4 2 2 2 2 3" xfId="34318" xr:uid="{00000000-0005-0000-0000-00000E860000}"/>
    <cellStyle name="Percent 6 4 2 2 2 2 4" xfId="34319" xr:uid="{00000000-0005-0000-0000-00000F860000}"/>
    <cellStyle name="Percent 6 4 2 2 2 3" xfId="34320" xr:uid="{00000000-0005-0000-0000-000010860000}"/>
    <cellStyle name="Percent 6 4 2 2 2 3 2" xfId="34321" xr:uid="{00000000-0005-0000-0000-000011860000}"/>
    <cellStyle name="Percent 6 4 2 2 2 3 3" xfId="34322" xr:uid="{00000000-0005-0000-0000-000012860000}"/>
    <cellStyle name="Percent 6 4 2 2 2 4" xfId="34323" xr:uid="{00000000-0005-0000-0000-000013860000}"/>
    <cellStyle name="Percent 6 4 2 2 2 5" xfId="34324" xr:uid="{00000000-0005-0000-0000-000014860000}"/>
    <cellStyle name="Percent 6 4 2 2 3" xfId="34325" xr:uid="{00000000-0005-0000-0000-000015860000}"/>
    <cellStyle name="Percent 6 4 2 2 3 2" xfId="34326" xr:uid="{00000000-0005-0000-0000-000016860000}"/>
    <cellStyle name="Percent 6 4 2 2 3 2 2" xfId="34327" xr:uid="{00000000-0005-0000-0000-000017860000}"/>
    <cellStyle name="Percent 6 4 2 2 3 2 3" xfId="34328" xr:uid="{00000000-0005-0000-0000-000018860000}"/>
    <cellStyle name="Percent 6 4 2 2 3 3" xfId="34329" xr:uid="{00000000-0005-0000-0000-000019860000}"/>
    <cellStyle name="Percent 6 4 2 2 3 4" xfId="34330" xr:uid="{00000000-0005-0000-0000-00001A860000}"/>
    <cellStyle name="Percent 6 4 2 2 4" xfId="34331" xr:uid="{00000000-0005-0000-0000-00001B860000}"/>
    <cellStyle name="Percent 6 4 2 2 4 2" xfId="34332" xr:uid="{00000000-0005-0000-0000-00001C860000}"/>
    <cellStyle name="Percent 6 4 2 2 4 3" xfId="34333" xr:uid="{00000000-0005-0000-0000-00001D860000}"/>
    <cellStyle name="Percent 6 4 2 2 5" xfId="34334" xr:uid="{00000000-0005-0000-0000-00001E860000}"/>
    <cellStyle name="Percent 6 4 2 2 6" xfId="34335" xr:uid="{00000000-0005-0000-0000-00001F860000}"/>
    <cellStyle name="Percent 6 4 2 3" xfId="34336" xr:uid="{00000000-0005-0000-0000-000020860000}"/>
    <cellStyle name="Percent 6 4 2 3 2" xfId="34337" xr:uid="{00000000-0005-0000-0000-000021860000}"/>
    <cellStyle name="Percent 6 4 2 3 2 2" xfId="34338" xr:uid="{00000000-0005-0000-0000-000022860000}"/>
    <cellStyle name="Percent 6 4 2 3 2 2 2" xfId="34339" xr:uid="{00000000-0005-0000-0000-000023860000}"/>
    <cellStyle name="Percent 6 4 2 3 2 2 3" xfId="34340" xr:uid="{00000000-0005-0000-0000-000024860000}"/>
    <cellStyle name="Percent 6 4 2 3 2 3" xfId="34341" xr:uid="{00000000-0005-0000-0000-000025860000}"/>
    <cellStyle name="Percent 6 4 2 3 2 4" xfId="34342" xr:uid="{00000000-0005-0000-0000-000026860000}"/>
    <cellStyle name="Percent 6 4 2 3 3" xfId="34343" xr:uid="{00000000-0005-0000-0000-000027860000}"/>
    <cellStyle name="Percent 6 4 2 3 3 2" xfId="34344" xr:uid="{00000000-0005-0000-0000-000028860000}"/>
    <cellStyle name="Percent 6 4 2 3 3 3" xfId="34345" xr:uid="{00000000-0005-0000-0000-000029860000}"/>
    <cellStyle name="Percent 6 4 2 3 4" xfId="34346" xr:uid="{00000000-0005-0000-0000-00002A860000}"/>
    <cellStyle name="Percent 6 4 2 3 5" xfId="34347" xr:uid="{00000000-0005-0000-0000-00002B860000}"/>
    <cellStyle name="Percent 6 4 2 4" xfId="34348" xr:uid="{00000000-0005-0000-0000-00002C860000}"/>
    <cellStyle name="Percent 6 4 2 4 2" xfId="34349" xr:uid="{00000000-0005-0000-0000-00002D860000}"/>
    <cellStyle name="Percent 6 4 2 4 2 2" xfId="34350" xr:uid="{00000000-0005-0000-0000-00002E860000}"/>
    <cellStyle name="Percent 6 4 2 4 2 3" xfId="34351" xr:uid="{00000000-0005-0000-0000-00002F860000}"/>
    <cellStyle name="Percent 6 4 2 4 3" xfId="34352" xr:uid="{00000000-0005-0000-0000-000030860000}"/>
    <cellStyle name="Percent 6 4 2 4 4" xfId="34353" xr:uid="{00000000-0005-0000-0000-000031860000}"/>
    <cellStyle name="Percent 6 4 2 5" xfId="34354" xr:uid="{00000000-0005-0000-0000-000032860000}"/>
    <cellStyle name="Percent 6 4 2 5 2" xfId="34355" xr:uid="{00000000-0005-0000-0000-000033860000}"/>
    <cellStyle name="Percent 6 4 2 5 3" xfId="34356" xr:uid="{00000000-0005-0000-0000-000034860000}"/>
    <cellStyle name="Percent 6 4 2 6" xfId="34357" xr:uid="{00000000-0005-0000-0000-000035860000}"/>
    <cellStyle name="Percent 6 4 2 7" xfId="34358" xr:uid="{00000000-0005-0000-0000-000036860000}"/>
    <cellStyle name="Percent 6 4 3" xfId="34359" xr:uid="{00000000-0005-0000-0000-000037860000}"/>
    <cellStyle name="Percent 6 4 3 2" xfId="34360" xr:uid="{00000000-0005-0000-0000-000038860000}"/>
    <cellStyle name="Percent 6 4 3 2 2" xfId="34361" xr:uid="{00000000-0005-0000-0000-000039860000}"/>
    <cellStyle name="Percent 6 4 3 2 2 2" xfId="34362" xr:uid="{00000000-0005-0000-0000-00003A860000}"/>
    <cellStyle name="Percent 6 4 3 2 2 2 2" xfId="34363" xr:uid="{00000000-0005-0000-0000-00003B860000}"/>
    <cellStyle name="Percent 6 4 3 2 2 2 3" xfId="34364" xr:uid="{00000000-0005-0000-0000-00003C860000}"/>
    <cellStyle name="Percent 6 4 3 2 2 3" xfId="34365" xr:uid="{00000000-0005-0000-0000-00003D860000}"/>
    <cellStyle name="Percent 6 4 3 2 2 4" xfId="34366" xr:uid="{00000000-0005-0000-0000-00003E860000}"/>
    <cellStyle name="Percent 6 4 3 2 3" xfId="34367" xr:uid="{00000000-0005-0000-0000-00003F860000}"/>
    <cellStyle name="Percent 6 4 3 2 3 2" xfId="34368" xr:uid="{00000000-0005-0000-0000-000040860000}"/>
    <cellStyle name="Percent 6 4 3 2 3 3" xfId="34369" xr:uid="{00000000-0005-0000-0000-000041860000}"/>
    <cellStyle name="Percent 6 4 3 2 4" xfId="34370" xr:uid="{00000000-0005-0000-0000-000042860000}"/>
    <cellStyle name="Percent 6 4 3 2 5" xfId="34371" xr:uid="{00000000-0005-0000-0000-000043860000}"/>
    <cellStyle name="Percent 6 4 3 3" xfId="34372" xr:uid="{00000000-0005-0000-0000-000044860000}"/>
    <cellStyle name="Percent 6 4 3 3 2" xfId="34373" xr:uid="{00000000-0005-0000-0000-000045860000}"/>
    <cellStyle name="Percent 6 4 3 3 2 2" xfId="34374" xr:uid="{00000000-0005-0000-0000-000046860000}"/>
    <cellStyle name="Percent 6 4 3 3 2 3" xfId="34375" xr:uid="{00000000-0005-0000-0000-000047860000}"/>
    <cellStyle name="Percent 6 4 3 3 3" xfId="34376" xr:uid="{00000000-0005-0000-0000-000048860000}"/>
    <cellStyle name="Percent 6 4 3 3 4" xfId="34377" xr:uid="{00000000-0005-0000-0000-000049860000}"/>
    <cellStyle name="Percent 6 4 3 4" xfId="34378" xr:uid="{00000000-0005-0000-0000-00004A860000}"/>
    <cellStyle name="Percent 6 4 3 4 2" xfId="34379" xr:uid="{00000000-0005-0000-0000-00004B860000}"/>
    <cellStyle name="Percent 6 4 3 4 3" xfId="34380" xr:uid="{00000000-0005-0000-0000-00004C860000}"/>
    <cellStyle name="Percent 6 4 3 5" xfId="34381" xr:uid="{00000000-0005-0000-0000-00004D860000}"/>
    <cellStyle name="Percent 6 4 3 6" xfId="34382" xr:uid="{00000000-0005-0000-0000-00004E860000}"/>
    <cellStyle name="Percent 6 4 4" xfId="34383" xr:uid="{00000000-0005-0000-0000-00004F860000}"/>
    <cellStyle name="Percent 6 4 4 2" xfId="34384" xr:uid="{00000000-0005-0000-0000-000050860000}"/>
    <cellStyle name="Percent 6 4 4 2 2" xfId="34385" xr:uid="{00000000-0005-0000-0000-000051860000}"/>
    <cellStyle name="Percent 6 4 4 2 2 2" xfId="34386" xr:uid="{00000000-0005-0000-0000-000052860000}"/>
    <cellStyle name="Percent 6 4 4 2 2 3" xfId="34387" xr:uid="{00000000-0005-0000-0000-000053860000}"/>
    <cellStyle name="Percent 6 4 4 2 3" xfId="34388" xr:uid="{00000000-0005-0000-0000-000054860000}"/>
    <cellStyle name="Percent 6 4 4 2 4" xfId="34389" xr:uid="{00000000-0005-0000-0000-000055860000}"/>
    <cellStyle name="Percent 6 4 4 3" xfId="34390" xr:uid="{00000000-0005-0000-0000-000056860000}"/>
    <cellStyle name="Percent 6 4 4 3 2" xfId="34391" xr:uid="{00000000-0005-0000-0000-000057860000}"/>
    <cellStyle name="Percent 6 4 4 3 3" xfId="34392" xr:uid="{00000000-0005-0000-0000-000058860000}"/>
    <cellStyle name="Percent 6 4 4 4" xfId="34393" xr:uid="{00000000-0005-0000-0000-000059860000}"/>
    <cellStyle name="Percent 6 4 4 5" xfId="34394" xr:uid="{00000000-0005-0000-0000-00005A860000}"/>
    <cellStyle name="Percent 6 4 5" xfId="34395" xr:uid="{00000000-0005-0000-0000-00005B860000}"/>
    <cellStyle name="Percent 6 4 5 2" xfId="34396" xr:uid="{00000000-0005-0000-0000-00005C860000}"/>
    <cellStyle name="Percent 6 4 5 2 2" xfId="34397" xr:uid="{00000000-0005-0000-0000-00005D860000}"/>
    <cellStyle name="Percent 6 4 5 2 3" xfId="34398" xr:uid="{00000000-0005-0000-0000-00005E860000}"/>
    <cellStyle name="Percent 6 4 5 3" xfId="34399" xr:uid="{00000000-0005-0000-0000-00005F860000}"/>
    <cellStyle name="Percent 6 4 5 4" xfId="34400" xr:uid="{00000000-0005-0000-0000-000060860000}"/>
    <cellStyle name="Percent 6 4 6" xfId="34401" xr:uid="{00000000-0005-0000-0000-000061860000}"/>
    <cellStyle name="Percent 6 4 6 2" xfId="34402" xr:uid="{00000000-0005-0000-0000-000062860000}"/>
    <cellStyle name="Percent 6 4 6 3" xfId="34403" xr:uid="{00000000-0005-0000-0000-000063860000}"/>
    <cellStyle name="Percent 6 4 7" xfId="34404" xr:uid="{00000000-0005-0000-0000-000064860000}"/>
    <cellStyle name="Percent 6 4 8" xfId="34405" xr:uid="{00000000-0005-0000-0000-000065860000}"/>
    <cellStyle name="Percent 6 5" xfId="34406" xr:uid="{00000000-0005-0000-0000-000066860000}"/>
    <cellStyle name="Percent 6 5 2" xfId="34407" xr:uid="{00000000-0005-0000-0000-000067860000}"/>
    <cellStyle name="Percent 6 5 2 2" xfId="34408" xr:uid="{00000000-0005-0000-0000-000068860000}"/>
    <cellStyle name="Percent 6 5 2 2 2" xfId="34409" xr:uid="{00000000-0005-0000-0000-000069860000}"/>
    <cellStyle name="Percent 6 5 2 2 2 2" xfId="34410" xr:uid="{00000000-0005-0000-0000-00006A860000}"/>
    <cellStyle name="Percent 6 5 2 2 2 2 2" xfId="34411" xr:uid="{00000000-0005-0000-0000-00006B860000}"/>
    <cellStyle name="Percent 6 5 2 2 2 2 3" xfId="34412" xr:uid="{00000000-0005-0000-0000-00006C860000}"/>
    <cellStyle name="Percent 6 5 2 2 2 3" xfId="34413" xr:uid="{00000000-0005-0000-0000-00006D860000}"/>
    <cellStyle name="Percent 6 5 2 2 2 4" xfId="34414" xr:uid="{00000000-0005-0000-0000-00006E860000}"/>
    <cellStyle name="Percent 6 5 2 2 3" xfId="34415" xr:uid="{00000000-0005-0000-0000-00006F860000}"/>
    <cellStyle name="Percent 6 5 2 2 3 2" xfId="34416" xr:uid="{00000000-0005-0000-0000-000070860000}"/>
    <cellStyle name="Percent 6 5 2 2 3 3" xfId="34417" xr:uid="{00000000-0005-0000-0000-000071860000}"/>
    <cellStyle name="Percent 6 5 2 2 4" xfId="34418" xr:uid="{00000000-0005-0000-0000-000072860000}"/>
    <cellStyle name="Percent 6 5 2 2 5" xfId="34419" xr:uid="{00000000-0005-0000-0000-000073860000}"/>
    <cellStyle name="Percent 6 5 2 3" xfId="34420" xr:uid="{00000000-0005-0000-0000-000074860000}"/>
    <cellStyle name="Percent 6 5 2 3 2" xfId="34421" xr:uid="{00000000-0005-0000-0000-000075860000}"/>
    <cellStyle name="Percent 6 5 2 3 2 2" xfId="34422" xr:uid="{00000000-0005-0000-0000-000076860000}"/>
    <cellStyle name="Percent 6 5 2 3 2 3" xfId="34423" xr:uid="{00000000-0005-0000-0000-000077860000}"/>
    <cellStyle name="Percent 6 5 2 3 3" xfId="34424" xr:uid="{00000000-0005-0000-0000-000078860000}"/>
    <cellStyle name="Percent 6 5 2 3 4" xfId="34425" xr:uid="{00000000-0005-0000-0000-000079860000}"/>
    <cellStyle name="Percent 6 5 2 4" xfId="34426" xr:uid="{00000000-0005-0000-0000-00007A860000}"/>
    <cellStyle name="Percent 6 5 2 4 2" xfId="34427" xr:uid="{00000000-0005-0000-0000-00007B860000}"/>
    <cellStyle name="Percent 6 5 2 4 3" xfId="34428" xr:uid="{00000000-0005-0000-0000-00007C860000}"/>
    <cellStyle name="Percent 6 5 2 5" xfId="34429" xr:uid="{00000000-0005-0000-0000-00007D860000}"/>
    <cellStyle name="Percent 6 5 2 6" xfId="34430" xr:uid="{00000000-0005-0000-0000-00007E860000}"/>
    <cellStyle name="Percent 6 5 3" xfId="34431" xr:uid="{00000000-0005-0000-0000-00007F860000}"/>
    <cellStyle name="Percent 6 5 3 2" xfId="34432" xr:uid="{00000000-0005-0000-0000-000080860000}"/>
    <cellStyle name="Percent 6 5 3 2 2" xfId="34433" xr:uid="{00000000-0005-0000-0000-000081860000}"/>
    <cellStyle name="Percent 6 5 3 2 2 2" xfId="34434" xr:uid="{00000000-0005-0000-0000-000082860000}"/>
    <cellStyle name="Percent 6 5 3 2 2 3" xfId="34435" xr:uid="{00000000-0005-0000-0000-000083860000}"/>
    <cellStyle name="Percent 6 5 3 2 3" xfId="34436" xr:uid="{00000000-0005-0000-0000-000084860000}"/>
    <cellStyle name="Percent 6 5 3 2 4" xfId="34437" xr:uid="{00000000-0005-0000-0000-000085860000}"/>
    <cellStyle name="Percent 6 5 3 3" xfId="34438" xr:uid="{00000000-0005-0000-0000-000086860000}"/>
    <cellStyle name="Percent 6 5 3 3 2" xfId="34439" xr:uid="{00000000-0005-0000-0000-000087860000}"/>
    <cellStyle name="Percent 6 5 3 3 3" xfId="34440" xr:uid="{00000000-0005-0000-0000-000088860000}"/>
    <cellStyle name="Percent 6 5 3 4" xfId="34441" xr:uid="{00000000-0005-0000-0000-000089860000}"/>
    <cellStyle name="Percent 6 5 3 5" xfId="34442" xr:uid="{00000000-0005-0000-0000-00008A860000}"/>
    <cellStyle name="Percent 6 5 4" xfId="34443" xr:uid="{00000000-0005-0000-0000-00008B860000}"/>
    <cellStyle name="Percent 6 5 4 2" xfId="34444" xr:uid="{00000000-0005-0000-0000-00008C860000}"/>
    <cellStyle name="Percent 6 5 4 2 2" xfId="34445" xr:uid="{00000000-0005-0000-0000-00008D860000}"/>
    <cellStyle name="Percent 6 5 4 2 3" xfId="34446" xr:uid="{00000000-0005-0000-0000-00008E860000}"/>
    <cellStyle name="Percent 6 5 4 3" xfId="34447" xr:uid="{00000000-0005-0000-0000-00008F860000}"/>
    <cellStyle name="Percent 6 5 4 4" xfId="34448" xr:uid="{00000000-0005-0000-0000-000090860000}"/>
    <cellStyle name="Percent 6 5 5" xfId="34449" xr:uid="{00000000-0005-0000-0000-000091860000}"/>
    <cellStyle name="Percent 6 5 5 2" xfId="34450" xr:uid="{00000000-0005-0000-0000-000092860000}"/>
    <cellStyle name="Percent 6 5 5 3" xfId="34451" xr:uid="{00000000-0005-0000-0000-000093860000}"/>
    <cellStyle name="Percent 6 5 6" xfId="34452" xr:uid="{00000000-0005-0000-0000-000094860000}"/>
    <cellStyle name="Percent 6 5 7" xfId="34453" xr:uid="{00000000-0005-0000-0000-000095860000}"/>
    <cellStyle name="Percent 6 6" xfId="34454" xr:uid="{00000000-0005-0000-0000-000096860000}"/>
    <cellStyle name="Percent 6 6 2" xfId="34455" xr:uid="{00000000-0005-0000-0000-000097860000}"/>
    <cellStyle name="Percent 6 6 2 2" xfId="34456" xr:uid="{00000000-0005-0000-0000-000098860000}"/>
    <cellStyle name="Percent 6 6 2 2 2" xfId="34457" xr:uid="{00000000-0005-0000-0000-000099860000}"/>
    <cellStyle name="Percent 6 6 2 2 2 2" xfId="34458" xr:uid="{00000000-0005-0000-0000-00009A860000}"/>
    <cellStyle name="Percent 6 6 2 2 2 3" xfId="34459" xr:uid="{00000000-0005-0000-0000-00009B860000}"/>
    <cellStyle name="Percent 6 6 2 2 3" xfId="34460" xr:uid="{00000000-0005-0000-0000-00009C860000}"/>
    <cellStyle name="Percent 6 6 2 2 4" xfId="34461" xr:uid="{00000000-0005-0000-0000-00009D860000}"/>
    <cellStyle name="Percent 6 6 2 3" xfId="34462" xr:uid="{00000000-0005-0000-0000-00009E860000}"/>
    <cellStyle name="Percent 6 6 2 3 2" xfId="34463" xr:uid="{00000000-0005-0000-0000-00009F860000}"/>
    <cellStyle name="Percent 6 6 2 3 3" xfId="34464" xr:uid="{00000000-0005-0000-0000-0000A0860000}"/>
    <cellStyle name="Percent 6 6 2 4" xfId="34465" xr:uid="{00000000-0005-0000-0000-0000A1860000}"/>
    <cellStyle name="Percent 6 6 2 5" xfId="34466" xr:uid="{00000000-0005-0000-0000-0000A2860000}"/>
    <cellStyle name="Percent 6 6 3" xfId="34467" xr:uid="{00000000-0005-0000-0000-0000A3860000}"/>
    <cellStyle name="Percent 6 6 3 2" xfId="34468" xr:uid="{00000000-0005-0000-0000-0000A4860000}"/>
    <cellStyle name="Percent 6 6 3 2 2" xfId="34469" xr:uid="{00000000-0005-0000-0000-0000A5860000}"/>
    <cellStyle name="Percent 6 6 3 2 3" xfId="34470" xr:uid="{00000000-0005-0000-0000-0000A6860000}"/>
    <cellStyle name="Percent 6 6 3 3" xfId="34471" xr:uid="{00000000-0005-0000-0000-0000A7860000}"/>
    <cellStyle name="Percent 6 6 3 4" xfId="34472" xr:uid="{00000000-0005-0000-0000-0000A8860000}"/>
    <cellStyle name="Percent 6 6 4" xfId="34473" xr:uid="{00000000-0005-0000-0000-0000A9860000}"/>
    <cellStyle name="Percent 6 6 4 2" xfId="34474" xr:uid="{00000000-0005-0000-0000-0000AA860000}"/>
    <cellStyle name="Percent 6 6 4 3" xfId="34475" xr:uid="{00000000-0005-0000-0000-0000AB860000}"/>
    <cellStyle name="Percent 6 6 5" xfId="34476" xr:uid="{00000000-0005-0000-0000-0000AC860000}"/>
    <cellStyle name="Percent 6 6 6" xfId="34477" xr:uid="{00000000-0005-0000-0000-0000AD860000}"/>
    <cellStyle name="Percent 6 7" xfId="34478" xr:uid="{00000000-0005-0000-0000-0000AE860000}"/>
    <cellStyle name="Percent 6 7 2" xfId="34479" xr:uid="{00000000-0005-0000-0000-0000AF860000}"/>
    <cellStyle name="Percent 6 7 2 2" xfId="34480" xr:uid="{00000000-0005-0000-0000-0000B0860000}"/>
    <cellStyle name="Percent 6 7 2 2 2" xfId="34481" xr:uid="{00000000-0005-0000-0000-0000B1860000}"/>
    <cellStyle name="Percent 6 7 2 2 3" xfId="34482" xr:uid="{00000000-0005-0000-0000-0000B2860000}"/>
    <cellStyle name="Percent 6 7 2 3" xfId="34483" xr:uid="{00000000-0005-0000-0000-0000B3860000}"/>
    <cellStyle name="Percent 6 7 2 4" xfId="34484" xr:uid="{00000000-0005-0000-0000-0000B4860000}"/>
    <cellStyle name="Percent 6 7 3" xfId="34485" xr:uid="{00000000-0005-0000-0000-0000B5860000}"/>
    <cellStyle name="Percent 6 7 3 2" xfId="34486" xr:uid="{00000000-0005-0000-0000-0000B6860000}"/>
    <cellStyle name="Percent 6 7 3 3" xfId="34487" xr:uid="{00000000-0005-0000-0000-0000B7860000}"/>
    <cellStyle name="Percent 6 7 4" xfId="34488" xr:uid="{00000000-0005-0000-0000-0000B8860000}"/>
    <cellStyle name="Percent 6 7 5" xfId="34489" xr:uid="{00000000-0005-0000-0000-0000B9860000}"/>
    <cellStyle name="Percent 6 8" xfId="34490" xr:uid="{00000000-0005-0000-0000-0000BA860000}"/>
    <cellStyle name="Percent 6 8 2" xfId="34491" xr:uid="{00000000-0005-0000-0000-0000BB860000}"/>
    <cellStyle name="Percent 6 8 2 2" xfId="34492" xr:uid="{00000000-0005-0000-0000-0000BC860000}"/>
    <cellStyle name="Percent 6 8 2 3" xfId="34493" xr:uid="{00000000-0005-0000-0000-0000BD860000}"/>
    <cellStyle name="Percent 6 8 3" xfId="34494" xr:uid="{00000000-0005-0000-0000-0000BE860000}"/>
    <cellStyle name="Percent 6 8 4" xfId="34495" xr:uid="{00000000-0005-0000-0000-0000BF860000}"/>
    <cellStyle name="Percent 6 9" xfId="34496" xr:uid="{00000000-0005-0000-0000-0000C0860000}"/>
    <cellStyle name="Percent 6 9 2" xfId="34497" xr:uid="{00000000-0005-0000-0000-0000C1860000}"/>
    <cellStyle name="Percent 6 9 3" xfId="34498" xr:uid="{00000000-0005-0000-0000-0000C2860000}"/>
    <cellStyle name="Percent 7" xfId="34499" xr:uid="{00000000-0005-0000-0000-0000C3860000}"/>
    <cellStyle name="Percent 7 2" xfId="34500" xr:uid="{00000000-0005-0000-0000-0000C4860000}"/>
    <cellStyle name="Percent 7 2 2" xfId="34501" xr:uid="{00000000-0005-0000-0000-0000C5860000}"/>
    <cellStyle name="Percent 7 2 3" xfId="34502" xr:uid="{00000000-0005-0000-0000-0000C6860000}"/>
    <cellStyle name="Percent 7 3" xfId="34503" xr:uid="{00000000-0005-0000-0000-0000C7860000}"/>
    <cellStyle name="Percent 7 4" xfId="34504" xr:uid="{00000000-0005-0000-0000-0000C8860000}"/>
    <cellStyle name="Percent 8" xfId="34505" xr:uid="{00000000-0005-0000-0000-0000C9860000}"/>
    <cellStyle name="Percent 8 2" xfId="34506" xr:uid="{00000000-0005-0000-0000-0000CA860000}"/>
    <cellStyle name="Percent 8 2 2" xfId="34507" xr:uid="{00000000-0005-0000-0000-0000CB860000}"/>
    <cellStyle name="Percent 8 2 3" xfId="34508" xr:uid="{00000000-0005-0000-0000-0000CC860000}"/>
    <cellStyle name="Percent 8 3" xfId="34509" xr:uid="{00000000-0005-0000-0000-0000CD860000}"/>
    <cellStyle name="Percent 8 4" xfId="34510" xr:uid="{00000000-0005-0000-0000-0000CE860000}"/>
    <cellStyle name="Percent 9" xfId="34511" xr:uid="{00000000-0005-0000-0000-0000CF860000}"/>
    <cellStyle name="Percent 9 2" xfId="34512" xr:uid="{00000000-0005-0000-0000-0000D0860000}"/>
    <cellStyle name="Percent 9 2 2" xfId="34513" xr:uid="{00000000-0005-0000-0000-0000D1860000}"/>
    <cellStyle name="Percent 9 2 3" xfId="34514" xr:uid="{00000000-0005-0000-0000-0000D2860000}"/>
    <cellStyle name="Percent 9 3" xfId="34515" xr:uid="{00000000-0005-0000-0000-0000D3860000}"/>
    <cellStyle name="Percent 9 4" xfId="34516" xr:uid="{00000000-0005-0000-0000-0000D4860000}"/>
    <cellStyle name="RevList" xfId="34517" xr:uid="{00000000-0005-0000-0000-0000D5860000}"/>
    <cellStyle name="s]_x000d__x000a_load=hpsw.exe nwpopup.exe_x000d__x000a_spooler=yes_x000d__x000a_run=C:\TOOLKIT\wgfe.exe_x000d__x000a_Beep=yes_x000d__x000a_NullPort=None_x000d__x000a_BorderWidth=3_x000d__x000a_CursorBlin" xfId="34518" xr:uid="{00000000-0005-0000-0000-0000D6860000}"/>
    <cellStyle name="s]_x000d__x000a_load=hpsw.exe nwpopup.exe_x000d__x000a_spooler=yes_x000d__x000a_run=C:\TOOLKIT\wgfe.exe_x000d__x000a_Beep=yes_x000d__x000a_NullPort=None_x000d__x000a_BorderWidth=3_x000d__x000a_CursorBlin 2" xfId="34519" xr:uid="{00000000-0005-0000-0000-0000D7860000}"/>
    <cellStyle name="Standard_NEGS" xfId="34520" xr:uid="{00000000-0005-0000-0000-0000D8860000}"/>
    <cellStyle name="Style 1" xfId="34521" xr:uid="{00000000-0005-0000-0000-0000D9860000}"/>
    <cellStyle name="Style 1 2" xfId="34522" xr:uid="{00000000-0005-0000-0000-0000DA860000}"/>
    <cellStyle name="Style 1 2 2" xfId="34523" xr:uid="{00000000-0005-0000-0000-0000DB860000}"/>
    <cellStyle name="Style 1 2 2 2" xfId="34524" xr:uid="{00000000-0005-0000-0000-0000DC860000}"/>
    <cellStyle name="Style 1 2 2 2 2" xfId="34525" xr:uid="{00000000-0005-0000-0000-0000DD860000}"/>
    <cellStyle name="Style 1 2 2 2 2 2" xfId="34526" xr:uid="{00000000-0005-0000-0000-0000DE860000}"/>
    <cellStyle name="Style 1 2 2 2 2 2 2" xfId="34527" xr:uid="{00000000-0005-0000-0000-0000DF860000}"/>
    <cellStyle name="Style 1 2 2 2 2 2 3" xfId="34528" xr:uid="{00000000-0005-0000-0000-0000E0860000}"/>
    <cellStyle name="Style 1 2 2 2 2 3" xfId="34529" xr:uid="{00000000-0005-0000-0000-0000E1860000}"/>
    <cellStyle name="Style 1 2 2 2 2 4" xfId="34530" xr:uid="{00000000-0005-0000-0000-0000E2860000}"/>
    <cellStyle name="Style 1 2 2 2 3" xfId="34531" xr:uid="{00000000-0005-0000-0000-0000E3860000}"/>
    <cellStyle name="Style 1 2 2 2 3 2" xfId="34532" xr:uid="{00000000-0005-0000-0000-0000E4860000}"/>
    <cellStyle name="Style 1 2 2 2 3 3" xfId="34533" xr:uid="{00000000-0005-0000-0000-0000E5860000}"/>
    <cellStyle name="Style 1 2 2 2 4" xfId="34534" xr:uid="{00000000-0005-0000-0000-0000E6860000}"/>
    <cellStyle name="Style 1 2 2 2 5" xfId="34535" xr:uid="{00000000-0005-0000-0000-0000E7860000}"/>
    <cellStyle name="Style 1 2 2 3" xfId="34536" xr:uid="{00000000-0005-0000-0000-0000E8860000}"/>
    <cellStyle name="Style 1 2 3" xfId="34537" xr:uid="{00000000-0005-0000-0000-0000E9860000}"/>
    <cellStyle name="Style 1 2 3 2" xfId="34538" xr:uid="{00000000-0005-0000-0000-0000EA860000}"/>
    <cellStyle name="Style 1 2 3 2 2" xfId="34539" xr:uid="{00000000-0005-0000-0000-0000EB860000}"/>
    <cellStyle name="Style 1 2 3 2 2 2" xfId="34540" xr:uid="{00000000-0005-0000-0000-0000EC860000}"/>
    <cellStyle name="Style 1 2 3 2 2 3" xfId="34541" xr:uid="{00000000-0005-0000-0000-0000ED860000}"/>
    <cellStyle name="Style 1 2 3 2 3" xfId="34542" xr:uid="{00000000-0005-0000-0000-0000EE860000}"/>
    <cellStyle name="Style 1 2 3 2 4" xfId="34543" xr:uid="{00000000-0005-0000-0000-0000EF860000}"/>
    <cellStyle name="Style 1 2 3 3" xfId="34544" xr:uid="{00000000-0005-0000-0000-0000F0860000}"/>
    <cellStyle name="Style 1 2 3 3 2" xfId="34545" xr:uid="{00000000-0005-0000-0000-0000F1860000}"/>
    <cellStyle name="Style 1 2 3 3 3" xfId="34546" xr:uid="{00000000-0005-0000-0000-0000F2860000}"/>
    <cellStyle name="Style 1 2 3 4" xfId="34547" xr:uid="{00000000-0005-0000-0000-0000F3860000}"/>
    <cellStyle name="Style 1 2 3 5" xfId="34548" xr:uid="{00000000-0005-0000-0000-0000F4860000}"/>
    <cellStyle name="Style 1 2 4" xfId="34549" xr:uid="{00000000-0005-0000-0000-0000F5860000}"/>
    <cellStyle name="Style 1 2 5" xfId="34550" xr:uid="{00000000-0005-0000-0000-0000F6860000}"/>
    <cellStyle name="Style 1 3" xfId="34551" xr:uid="{00000000-0005-0000-0000-0000F7860000}"/>
    <cellStyle name="Style 1 3 2" xfId="34552" xr:uid="{00000000-0005-0000-0000-0000F8860000}"/>
    <cellStyle name="Style 1 3 2 2" xfId="34553" xr:uid="{00000000-0005-0000-0000-0000F9860000}"/>
    <cellStyle name="Style 1 3 2 2 2" xfId="34554" xr:uid="{00000000-0005-0000-0000-0000FA860000}"/>
    <cellStyle name="Style 1 3 2 2 2 2" xfId="34555" xr:uid="{00000000-0005-0000-0000-0000FB860000}"/>
    <cellStyle name="Style 1 3 2 2 2 3" xfId="34556" xr:uid="{00000000-0005-0000-0000-0000FC860000}"/>
    <cellStyle name="Style 1 3 2 2 3" xfId="34557" xr:uid="{00000000-0005-0000-0000-0000FD860000}"/>
    <cellStyle name="Style 1 3 2 2 4" xfId="34558" xr:uid="{00000000-0005-0000-0000-0000FE860000}"/>
    <cellStyle name="Style 1 3 2 3" xfId="34559" xr:uid="{00000000-0005-0000-0000-0000FF860000}"/>
    <cellStyle name="Style 1 3 2 3 2" xfId="34560" xr:uid="{00000000-0005-0000-0000-000000870000}"/>
    <cellStyle name="Style 1 3 2 3 3" xfId="34561" xr:uid="{00000000-0005-0000-0000-000001870000}"/>
    <cellStyle name="Style 1 3 2 4" xfId="34562" xr:uid="{00000000-0005-0000-0000-000002870000}"/>
    <cellStyle name="Style 1 3 2 5" xfId="34563" xr:uid="{00000000-0005-0000-0000-000003870000}"/>
    <cellStyle name="Style 1 4" xfId="34564" xr:uid="{00000000-0005-0000-0000-000004870000}"/>
    <cellStyle name="Style 1 4 2" xfId="34565" xr:uid="{00000000-0005-0000-0000-000005870000}"/>
    <cellStyle name="Style 1 4 2 2" xfId="34566" xr:uid="{00000000-0005-0000-0000-000006870000}"/>
    <cellStyle name="Style 1 4 2 2 2" xfId="34567" xr:uid="{00000000-0005-0000-0000-000007870000}"/>
    <cellStyle name="Style 1 4 2 2 3" xfId="34568" xr:uid="{00000000-0005-0000-0000-000008870000}"/>
    <cellStyle name="Style 1 4 2 3" xfId="34569" xr:uid="{00000000-0005-0000-0000-000009870000}"/>
    <cellStyle name="Style 1 4 2 4" xfId="34570" xr:uid="{00000000-0005-0000-0000-00000A870000}"/>
    <cellStyle name="Style 1 4 3" xfId="34571" xr:uid="{00000000-0005-0000-0000-00000B870000}"/>
    <cellStyle name="Style 1 4 3 2" xfId="34572" xr:uid="{00000000-0005-0000-0000-00000C870000}"/>
    <cellStyle name="Style 1 4 3 3" xfId="34573" xr:uid="{00000000-0005-0000-0000-00000D870000}"/>
    <cellStyle name="Style 1 4 4" xfId="34574" xr:uid="{00000000-0005-0000-0000-00000E870000}"/>
    <cellStyle name="Style 1 4 5" xfId="34575" xr:uid="{00000000-0005-0000-0000-00000F870000}"/>
    <cellStyle name="Style 1 5" xfId="34576" xr:uid="{00000000-0005-0000-0000-000010870000}"/>
    <cellStyle name="Style 2" xfId="34577" xr:uid="{00000000-0005-0000-0000-000011870000}"/>
    <cellStyle name="Style 2 2" xfId="34578" xr:uid="{00000000-0005-0000-0000-000012870000}"/>
    <cellStyle name="Style 2 3" xfId="34579" xr:uid="{00000000-0005-0000-0000-000013870000}"/>
    <cellStyle name="Subtotal" xfId="34580" xr:uid="{00000000-0005-0000-0000-000014870000}"/>
    <cellStyle name="Tickmark" xfId="34581" xr:uid="{00000000-0005-0000-0000-000015870000}"/>
    <cellStyle name="Tickmark 2" xfId="34582" xr:uid="{00000000-0005-0000-0000-000016870000}"/>
    <cellStyle name="Tickmark 2 2" xfId="34583" xr:uid="{00000000-0005-0000-0000-000017870000}"/>
    <cellStyle name="Tickmark 2 2 2" xfId="34584" xr:uid="{00000000-0005-0000-0000-000018870000}"/>
    <cellStyle name="Tickmark 2 2 2 2" xfId="34585" xr:uid="{00000000-0005-0000-0000-000019870000}"/>
    <cellStyle name="Tickmark 2 2 2 3" xfId="34586" xr:uid="{00000000-0005-0000-0000-00001A870000}"/>
    <cellStyle name="Tickmark 2 2 3" xfId="34587" xr:uid="{00000000-0005-0000-0000-00001B870000}"/>
    <cellStyle name="Tickmark 2 2 4" xfId="34588" xr:uid="{00000000-0005-0000-0000-00001C870000}"/>
    <cellStyle name="Tickmark 2 3" xfId="34589" xr:uid="{00000000-0005-0000-0000-00001D870000}"/>
    <cellStyle name="Tickmark 2 3 2" xfId="34590" xr:uid="{00000000-0005-0000-0000-00001E870000}"/>
    <cellStyle name="Tickmark 2 3 3" xfId="34591" xr:uid="{00000000-0005-0000-0000-00001F870000}"/>
    <cellStyle name="Tickmark 2 4" xfId="34592" xr:uid="{00000000-0005-0000-0000-000020870000}"/>
    <cellStyle name="Tickmark 2 5" xfId="34593" xr:uid="{00000000-0005-0000-0000-000021870000}"/>
    <cellStyle name="Title 2" xfId="34594" xr:uid="{00000000-0005-0000-0000-000022870000}"/>
    <cellStyle name="Title 2 2" xfId="34595" xr:uid="{00000000-0005-0000-0000-000023870000}"/>
    <cellStyle name="Title 2 2 2" xfId="34596" xr:uid="{00000000-0005-0000-0000-000024870000}"/>
    <cellStyle name="Title 2 2 2 2" xfId="34597" xr:uid="{00000000-0005-0000-0000-000025870000}"/>
    <cellStyle name="Title 2 2 2 2 2" xfId="34598" xr:uid="{00000000-0005-0000-0000-000026870000}"/>
    <cellStyle name="Title 2 2 2 2 3" xfId="34599" xr:uid="{00000000-0005-0000-0000-000027870000}"/>
    <cellStyle name="Title 2 2 2 3" xfId="34600" xr:uid="{00000000-0005-0000-0000-000028870000}"/>
    <cellStyle name="Title 2 2 2 4" xfId="34601" xr:uid="{00000000-0005-0000-0000-000029870000}"/>
    <cellStyle name="Title 2 2 3" xfId="34602" xr:uid="{00000000-0005-0000-0000-00002A870000}"/>
    <cellStyle name="Title 2 2 3 2" xfId="34603" xr:uid="{00000000-0005-0000-0000-00002B870000}"/>
    <cellStyle name="Title 2 2 3 3" xfId="34604" xr:uid="{00000000-0005-0000-0000-00002C870000}"/>
    <cellStyle name="Title 2 2 4" xfId="34605" xr:uid="{00000000-0005-0000-0000-00002D870000}"/>
    <cellStyle name="Title 2 2 5" xfId="34606" xr:uid="{00000000-0005-0000-0000-00002E870000}"/>
    <cellStyle name="Title 3" xfId="34607" xr:uid="{00000000-0005-0000-0000-00002F870000}"/>
    <cellStyle name="Title 3 2" xfId="34608" xr:uid="{00000000-0005-0000-0000-000030870000}"/>
    <cellStyle name="Title 3 2 2" xfId="34609" xr:uid="{00000000-0005-0000-0000-000031870000}"/>
    <cellStyle name="Title 3 2 2 2" xfId="34610" xr:uid="{00000000-0005-0000-0000-000032870000}"/>
    <cellStyle name="Title 3 2 2 2 2" xfId="34611" xr:uid="{00000000-0005-0000-0000-000033870000}"/>
    <cellStyle name="Title 3 2 2 2 3" xfId="34612" xr:uid="{00000000-0005-0000-0000-000034870000}"/>
    <cellStyle name="Title 3 2 2 3" xfId="34613" xr:uid="{00000000-0005-0000-0000-000035870000}"/>
    <cellStyle name="Title 3 2 2 4" xfId="34614" xr:uid="{00000000-0005-0000-0000-000036870000}"/>
    <cellStyle name="Title 3 2 3" xfId="34615" xr:uid="{00000000-0005-0000-0000-000037870000}"/>
    <cellStyle name="Title 3 2 3 2" xfId="34616" xr:uid="{00000000-0005-0000-0000-000038870000}"/>
    <cellStyle name="Title 3 2 3 3" xfId="34617" xr:uid="{00000000-0005-0000-0000-000039870000}"/>
    <cellStyle name="Title 3 2 4" xfId="34618" xr:uid="{00000000-0005-0000-0000-00003A870000}"/>
    <cellStyle name="Title 3 2 5" xfId="34619" xr:uid="{00000000-0005-0000-0000-00003B870000}"/>
    <cellStyle name="Title 4" xfId="34620" xr:uid="{00000000-0005-0000-0000-00003C870000}"/>
    <cellStyle name="Title 4 2" xfId="34621" xr:uid="{00000000-0005-0000-0000-00003D870000}"/>
    <cellStyle name="Title 4 2 2" xfId="34622" xr:uid="{00000000-0005-0000-0000-00003E870000}"/>
    <cellStyle name="Title 4 2 2 2" xfId="34623" xr:uid="{00000000-0005-0000-0000-00003F870000}"/>
    <cellStyle name="Title 4 2 2 2 2" xfId="34624" xr:uid="{00000000-0005-0000-0000-000040870000}"/>
    <cellStyle name="Title 4 2 2 2 3" xfId="34625" xr:uid="{00000000-0005-0000-0000-000041870000}"/>
    <cellStyle name="Title 4 2 2 3" xfId="34626" xr:uid="{00000000-0005-0000-0000-000042870000}"/>
    <cellStyle name="Title 4 2 2 4" xfId="34627" xr:uid="{00000000-0005-0000-0000-000043870000}"/>
    <cellStyle name="Title 4 2 3" xfId="34628" xr:uid="{00000000-0005-0000-0000-000044870000}"/>
    <cellStyle name="Title 4 2 3 2" xfId="34629" xr:uid="{00000000-0005-0000-0000-000045870000}"/>
    <cellStyle name="Title 4 2 3 3" xfId="34630" xr:uid="{00000000-0005-0000-0000-000046870000}"/>
    <cellStyle name="Title 4 2 4" xfId="34631" xr:uid="{00000000-0005-0000-0000-000047870000}"/>
    <cellStyle name="Title 4 2 5" xfId="34632" xr:uid="{00000000-0005-0000-0000-000048870000}"/>
    <cellStyle name="Title 5" xfId="34633" xr:uid="{00000000-0005-0000-0000-000049870000}"/>
    <cellStyle name="Title 5 2" xfId="34634" xr:uid="{00000000-0005-0000-0000-00004A870000}"/>
    <cellStyle name="Title 5 2 2" xfId="34635" xr:uid="{00000000-0005-0000-0000-00004B870000}"/>
    <cellStyle name="Title 5 2 2 2" xfId="34636" xr:uid="{00000000-0005-0000-0000-00004C870000}"/>
    <cellStyle name="Title 5 2 2 2 2" xfId="34637" xr:uid="{00000000-0005-0000-0000-00004D870000}"/>
    <cellStyle name="Title 5 2 2 2 3" xfId="34638" xr:uid="{00000000-0005-0000-0000-00004E870000}"/>
    <cellStyle name="Title 5 2 2 3" xfId="34639" xr:uid="{00000000-0005-0000-0000-00004F870000}"/>
    <cellStyle name="Title 5 2 2 4" xfId="34640" xr:uid="{00000000-0005-0000-0000-000050870000}"/>
    <cellStyle name="Title 5 2 3" xfId="34641" xr:uid="{00000000-0005-0000-0000-000051870000}"/>
    <cellStyle name="Title 5 2 3 2" xfId="34642" xr:uid="{00000000-0005-0000-0000-000052870000}"/>
    <cellStyle name="Title 5 2 3 3" xfId="34643" xr:uid="{00000000-0005-0000-0000-000053870000}"/>
    <cellStyle name="Title 5 2 4" xfId="34644" xr:uid="{00000000-0005-0000-0000-000054870000}"/>
    <cellStyle name="Title 5 2 5" xfId="34645" xr:uid="{00000000-0005-0000-0000-000055870000}"/>
    <cellStyle name="Title 6" xfId="34646" xr:uid="{00000000-0005-0000-0000-000056870000}"/>
    <cellStyle name="Title 6 2" xfId="34647" xr:uid="{00000000-0005-0000-0000-000057870000}"/>
    <cellStyle name="Title 6 2 2" xfId="34648" xr:uid="{00000000-0005-0000-0000-000058870000}"/>
    <cellStyle name="Title 6 2 2 2" xfId="34649" xr:uid="{00000000-0005-0000-0000-000059870000}"/>
    <cellStyle name="Title 6 2 2 2 2" xfId="34650" xr:uid="{00000000-0005-0000-0000-00005A870000}"/>
    <cellStyle name="Title 6 2 2 2 3" xfId="34651" xr:uid="{00000000-0005-0000-0000-00005B870000}"/>
    <cellStyle name="Title 6 2 2 3" xfId="34652" xr:uid="{00000000-0005-0000-0000-00005C870000}"/>
    <cellStyle name="Title 6 2 2 4" xfId="34653" xr:uid="{00000000-0005-0000-0000-00005D870000}"/>
    <cellStyle name="Title 6 2 3" xfId="34654" xr:uid="{00000000-0005-0000-0000-00005E870000}"/>
    <cellStyle name="Title 6 2 3 2" xfId="34655" xr:uid="{00000000-0005-0000-0000-00005F870000}"/>
    <cellStyle name="Title 6 2 3 3" xfId="34656" xr:uid="{00000000-0005-0000-0000-000060870000}"/>
    <cellStyle name="Title 6 2 4" xfId="34657" xr:uid="{00000000-0005-0000-0000-000061870000}"/>
    <cellStyle name="Title 6 2 5" xfId="34658" xr:uid="{00000000-0005-0000-0000-000062870000}"/>
    <cellStyle name="Total 2" xfId="34659" xr:uid="{00000000-0005-0000-0000-000063870000}"/>
    <cellStyle name="Total 2 2" xfId="34660" xr:uid="{00000000-0005-0000-0000-000064870000}"/>
    <cellStyle name="Total 2 2 2" xfId="34661" xr:uid="{00000000-0005-0000-0000-000065870000}"/>
    <cellStyle name="Total 2 2 2 2" xfId="34662" xr:uid="{00000000-0005-0000-0000-000066870000}"/>
    <cellStyle name="Total 2 2 2 2 2" xfId="34663" xr:uid="{00000000-0005-0000-0000-000067870000}"/>
    <cellStyle name="Total 2 2 2 2 3" xfId="34664" xr:uid="{00000000-0005-0000-0000-000068870000}"/>
    <cellStyle name="Total 2 2 2 3" xfId="34665" xr:uid="{00000000-0005-0000-0000-000069870000}"/>
    <cellStyle name="Total 2 2 2 4" xfId="34666" xr:uid="{00000000-0005-0000-0000-00006A870000}"/>
    <cellStyle name="Total 2 2 3" xfId="34667" xr:uid="{00000000-0005-0000-0000-00006B870000}"/>
    <cellStyle name="Total 2 2 3 2" xfId="34668" xr:uid="{00000000-0005-0000-0000-00006C870000}"/>
    <cellStyle name="Total 2 2 3 3" xfId="34669" xr:uid="{00000000-0005-0000-0000-00006D870000}"/>
    <cellStyle name="Total 2 2 4" xfId="34670" xr:uid="{00000000-0005-0000-0000-00006E870000}"/>
    <cellStyle name="Total 2 2 5" xfId="34671" xr:uid="{00000000-0005-0000-0000-00006F870000}"/>
    <cellStyle name="Total 3" xfId="34672" xr:uid="{00000000-0005-0000-0000-000070870000}"/>
    <cellStyle name="Total 3 2" xfId="34673" xr:uid="{00000000-0005-0000-0000-000071870000}"/>
    <cellStyle name="Total 3 2 2" xfId="34674" xr:uid="{00000000-0005-0000-0000-000072870000}"/>
    <cellStyle name="Total 3 2 2 2" xfId="34675" xr:uid="{00000000-0005-0000-0000-000073870000}"/>
    <cellStyle name="Total 3 2 2 2 2" xfId="34676" xr:uid="{00000000-0005-0000-0000-000074870000}"/>
    <cellStyle name="Total 3 2 2 2 3" xfId="34677" xr:uid="{00000000-0005-0000-0000-000075870000}"/>
    <cellStyle name="Total 3 2 2 3" xfId="34678" xr:uid="{00000000-0005-0000-0000-000076870000}"/>
    <cellStyle name="Total 3 2 2 4" xfId="34679" xr:uid="{00000000-0005-0000-0000-000077870000}"/>
    <cellStyle name="Total 3 2 3" xfId="34680" xr:uid="{00000000-0005-0000-0000-000078870000}"/>
    <cellStyle name="Total 3 2 3 2" xfId="34681" xr:uid="{00000000-0005-0000-0000-000079870000}"/>
    <cellStyle name="Total 3 2 3 3" xfId="34682" xr:uid="{00000000-0005-0000-0000-00007A870000}"/>
    <cellStyle name="Total 3 2 4" xfId="34683" xr:uid="{00000000-0005-0000-0000-00007B870000}"/>
    <cellStyle name="Total 3 2 5" xfId="34684" xr:uid="{00000000-0005-0000-0000-00007C870000}"/>
    <cellStyle name="Total 4" xfId="34685" xr:uid="{00000000-0005-0000-0000-00007D870000}"/>
    <cellStyle name="Total 4 2" xfId="34686" xr:uid="{00000000-0005-0000-0000-00007E870000}"/>
    <cellStyle name="Total 4 2 2" xfId="34687" xr:uid="{00000000-0005-0000-0000-00007F870000}"/>
    <cellStyle name="Total 4 2 2 2" xfId="34688" xr:uid="{00000000-0005-0000-0000-000080870000}"/>
    <cellStyle name="Total 4 2 2 2 2" xfId="34689" xr:uid="{00000000-0005-0000-0000-000081870000}"/>
    <cellStyle name="Total 4 2 2 2 3" xfId="34690" xr:uid="{00000000-0005-0000-0000-000082870000}"/>
    <cellStyle name="Total 4 2 2 3" xfId="34691" xr:uid="{00000000-0005-0000-0000-000083870000}"/>
    <cellStyle name="Total 4 2 2 4" xfId="34692" xr:uid="{00000000-0005-0000-0000-000084870000}"/>
    <cellStyle name="Total 4 2 3" xfId="34693" xr:uid="{00000000-0005-0000-0000-000085870000}"/>
    <cellStyle name="Total 4 2 3 2" xfId="34694" xr:uid="{00000000-0005-0000-0000-000086870000}"/>
    <cellStyle name="Total 4 2 3 3" xfId="34695" xr:uid="{00000000-0005-0000-0000-000087870000}"/>
    <cellStyle name="Total 4 2 4" xfId="34696" xr:uid="{00000000-0005-0000-0000-000088870000}"/>
    <cellStyle name="Total 4 2 5" xfId="34697" xr:uid="{00000000-0005-0000-0000-000089870000}"/>
    <cellStyle name="Total 5" xfId="34698" xr:uid="{00000000-0005-0000-0000-00008A870000}"/>
    <cellStyle name="Total 5 2" xfId="34699" xr:uid="{00000000-0005-0000-0000-00008B870000}"/>
    <cellStyle name="Total 5 2 2" xfId="34700" xr:uid="{00000000-0005-0000-0000-00008C870000}"/>
    <cellStyle name="Total 5 2 2 2" xfId="34701" xr:uid="{00000000-0005-0000-0000-00008D870000}"/>
    <cellStyle name="Total 5 2 2 2 2" xfId="34702" xr:uid="{00000000-0005-0000-0000-00008E870000}"/>
    <cellStyle name="Total 5 2 2 2 3" xfId="34703" xr:uid="{00000000-0005-0000-0000-00008F870000}"/>
    <cellStyle name="Total 5 2 2 3" xfId="34704" xr:uid="{00000000-0005-0000-0000-000090870000}"/>
    <cellStyle name="Total 5 2 2 4" xfId="34705" xr:uid="{00000000-0005-0000-0000-000091870000}"/>
    <cellStyle name="Total 5 2 3" xfId="34706" xr:uid="{00000000-0005-0000-0000-000092870000}"/>
    <cellStyle name="Total 5 2 3 2" xfId="34707" xr:uid="{00000000-0005-0000-0000-000093870000}"/>
    <cellStyle name="Total 5 2 3 3" xfId="34708" xr:uid="{00000000-0005-0000-0000-000094870000}"/>
    <cellStyle name="Total 5 2 4" xfId="34709" xr:uid="{00000000-0005-0000-0000-000095870000}"/>
    <cellStyle name="Total 5 2 5" xfId="34710" xr:uid="{00000000-0005-0000-0000-000096870000}"/>
    <cellStyle name="Total 6" xfId="34711" xr:uid="{00000000-0005-0000-0000-000097870000}"/>
    <cellStyle name="Total 6 2" xfId="34712" xr:uid="{00000000-0005-0000-0000-000098870000}"/>
    <cellStyle name="Total 6 2 2" xfId="34713" xr:uid="{00000000-0005-0000-0000-000099870000}"/>
    <cellStyle name="Total 6 2 2 2" xfId="34714" xr:uid="{00000000-0005-0000-0000-00009A870000}"/>
    <cellStyle name="Total 6 2 2 2 2" xfId="34715" xr:uid="{00000000-0005-0000-0000-00009B870000}"/>
    <cellStyle name="Total 6 2 2 2 3" xfId="34716" xr:uid="{00000000-0005-0000-0000-00009C870000}"/>
    <cellStyle name="Total 6 2 2 3" xfId="34717" xr:uid="{00000000-0005-0000-0000-00009D870000}"/>
    <cellStyle name="Total 6 2 2 4" xfId="34718" xr:uid="{00000000-0005-0000-0000-00009E870000}"/>
    <cellStyle name="Total 6 2 3" xfId="34719" xr:uid="{00000000-0005-0000-0000-00009F870000}"/>
    <cellStyle name="Total 6 2 3 2" xfId="34720" xr:uid="{00000000-0005-0000-0000-0000A0870000}"/>
    <cellStyle name="Total 6 2 3 3" xfId="34721" xr:uid="{00000000-0005-0000-0000-0000A1870000}"/>
    <cellStyle name="Total 6 2 4" xfId="34722" xr:uid="{00000000-0005-0000-0000-0000A2870000}"/>
    <cellStyle name="Total 6 2 5" xfId="34723" xr:uid="{00000000-0005-0000-0000-0000A3870000}"/>
    <cellStyle name="Warning Text 2" xfId="34724" xr:uid="{00000000-0005-0000-0000-0000A4870000}"/>
    <cellStyle name="Warning Text 2 2" xfId="34725" xr:uid="{00000000-0005-0000-0000-0000A5870000}"/>
    <cellStyle name="Warning Text 2 2 2" xfId="34726" xr:uid="{00000000-0005-0000-0000-0000A6870000}"/>
    <cellStyle name="Warning Text 2 2 2 2" xfId="34727" xr:uid="{00000000-0005-0000-0000-0000A7870000}"/>
    <cellStyle name="Warning Text 2 2 2 2 2" xfId="34728" xr:uid="{00000000-0005-0000-0000-0000A8870000}"/>
    <cellStyle name="Warning Text 2 2 2 2 3" xfId="34729" xr:uid="{00000000-0005-0000-0000-0000A9870000}"/>
    <cellStyle name="Warning Text 2 2 2 3" xfId="34730" xr:uid="{00000000-0005-0000-0000-0000AA870000}"/>
    <cellStyle name="Warning Text 2 2 2 4" xfId="34731" xr:uid="{00000000-0005-0000-0000-0000AB870000}"/>
    <cellStyle name="Warning Text 2 2 3" xfId="34732" xr:uid="{00000000-0005-0000-0000-0000AC870000}"/>
    <cellStyle name="Warning Text 2 2 3 2" xfId="34733" xr:uid="{00000000-0005-0000-0000-0000AD870000}"/>
    <cellStyle name="Warning Text 2 2 3 3" xfId="34734" xr:uid="{00000000-0005-0000-0000-0000AE870000}"/>
    <cellStyle name="Warning Text 2 2 4" xfId="34735" xr:uid="{00000000-0005-0000-0000-0000AF870000}"/>
    <cellStyle name="Warning Text 2 2 5" xfId="34736" xr:uid="{00000000-0005-0000-0000-0000B0870000}"/>
    <cellStyle name="Warning Text 3" xfId="34737" xr:uid="{00000000-0005-0000-0000-0000B1870000}"/>
    <cellStyle name="Warning Text 3 2" xfId="34738" xr:uid="{00000000-0005-0000-0000-0000B2870000}"/>
    <cellStyle name="Warning Text 3 2 2" xfId="34739" xr:uid="{00000000-0005-0000-0000-0000B3870000}"/>
    <cellStyle name="Warning Text 3 2 2 2" xfId="34740" xr:uid="{00000000-0005-0000-0000-0000B4870000}"/>
    <cellStyle name="Warning Text 3 2 2 2 2" xfId="34741" xr:uid="{00000000-0005-0000-0000-0000B5870000}"/>
    <cellStyle name="Warning Text 3 2 2 2 3" xfId="34742" xr:uid="{00000000-0005-0000-0000-0000B6870000}"/>
    <cellStyle name="Warning Text 3 2 2 3" xfId="34743" xr:uid="{00000000-0005-0000-0000-0000B7870000}"/>
    <cellStyle name="Warning Text 3 2 2 4" xfId="34744" xr:uid="{00000000-0005-0000-0000-0000B8870000}"/>
    <cellStyle name="Warning Text 3 2 3" xfId="34745" xr:uid="{00000000-0005-0000-0000-0000B9870000}"/>
    <cellStyle name="Warning Text 3 2 3 2" xfId="34746" xr:uid="{00000000-0005-0000-0000-0000BA870000}"/>
    <cellStyle name="Warning Text 3 2 3 3" xfId="34747" xr:uid="{00000000-0005-0000-0000-0000BB870000}"/>
    <cellStyle name="Warning Text 3 2 4" xfId="34748" xr:uid="{00000000-0005-0000-0000-0000BC870000}"/>
    <cellStyle name="Warning Text 3 2 5" xfId="34749" xr:uid="{00000000-0005-0000-0000-0000BD870000}"/>
    <cellStyle name="Warning Text 4" xfId="34750" xr:uid="{00000000-0005-0000-0000-0000BE870000}"/>
    <cellStyle name="Warning Text 4 2" xfId="34751" xr:uid="{00000000-0005-0000-0000-0000BF870000}"/>
    <cellStyle name="Warning Text 4 2 2" xfId="34752" xr:uid="{00000000-0005-0000-0000-0000C0870000}"/>
    <cellStyle name="Warning Text 4 2 2 2" xfId="34753" xr:uid="{00000000-0005-0000-0000-0000C1870000}"/>
    <cellStyle name="Warning Text 4 2 2 2 2" xfId="34754" xr:uid="{00000000-0005-0000-0000-0000C2870000}"/>
    <cellStyle name="Warning Text 4 2 2 2 3" xfId="34755" xr:uid="{00000000-0005-0000-0000-0000C3870000}"/>
    <cellStyle name="Warning Text 4 2 2 3" xfId="34756" xr:uid="{00000000-0005-0000-0000-0000C4870000}"/>
    <cellStyle name="Warning Text 4 2 2 4" xfId="34757" xr:uid="{00000000-0005-0000-0000-0000C5870000}"/>
    <cellStyle name="Warning Text 4 2 3" xfId="34758" xr:uid="{00000000-0005-0000-0000-0000C6870000}"/>
    <cellStyle name="Warning Text 4 2 3 2" xfId="34759" xr:uid="{00000000-0005-0000-0000-0000C7870000}"/>
    <cellStyle name="Warning Text 4 2 3 3" xfId="34760" xr:uid="{00000000-0005-0000-0000-0000C8870000}"/>
    <cellStyle name="Warning Text 4 2 4" xfId="34761" xr:uid="{00000000-0005-0000-0000-0000C9870000}"/>
    <cellStyle name="Warning Text 4 2 5" xfId="34762" xr:uid="{00000000-0005-0000-0000-0000CA870000}"/>
    <cellStyle name="Warning Text 5" xfId="34763" xr:uid="{00000000-0005-0000-0000-0000CB870000}"/>
    <cellStyle name="Warning Text 5 2" xfId="34764" xr:uid="{00000000-0005-0000-0000-0000CC870000}"/>
    <cellStyle name="Warning Text 5 2 2" xfId="34765" xr:uid="{00000000-0005-0000-0000-0000CD870000}"/>
    <cellStyle name="Warning Text 5 2 2 2" xfId="34766" xr:uid="{00000000-0005-0000-0000-0000CE870000}"/>
    <cellStyle name="Warning Text 5 2 2 2 2" xfId="34767" xr:uid="{00000000-0005-0000-0000-0000CF870000}"/>
    <cellStyle name="Warning Text 5 2 2 2 3" xfId="34768" xr:uid="{00000000-0005-0000-0000-0000D0870000}"/>
    <cellStyle name="Warning Text 5 2 2 3" xfId="34769" xr:uid="{00000000-0005-0000-0000-0000D1870000}"/>
    <cellStyle name="Warning Text 5 2 2 4" xfId="34770" xr:uid="{00000000-0005-0000-0000-0000D2870000}"/>
    <cellStyle name="Warning Text 5 2 3" xfId="34771" xr:uid="{00000000-0005-0000-0000-0000D3870000}"/>
    <cellStyle name="Warning Text 5 2 3 2" xfId="34772" xr:uid="{00000000-0005-0000-0000-0000D4870000}"/>
    <cellStyle name="Warning Text 5 2 3 3" xfId="34773" xr:uid="{00000000-0005-0000-0000-0000D5870000}"/>
    <cellStyle name="Warning Text 5 2 4" xfId="34774" xr:uid="{00000000-0005-0000-0000-0000D6870000}"/>
    <cellStyle name="Warning Text 5 2 5" xfId="34775" xr:uid="{00000000-0005-0000-0000-0000D7870000}"/>
    <cellStyle name="Warning Text 6" xfId="34776" xr:uid="{00000000-0005-0000-0000-0000D8870000}"/>
    <cellStyle name="Warning Text 6 2" xfId="34777" xr:uid="{00000000-0005-0000-0000-0000D9870000}"/>
    <cellStyle name="Warning Text 6 2 2" xfId="34778" xr:uid="{00000000-0005-0000-0000-0000DA870000}"/>
    <cellStyle name="Warning Text 6 2 2 2" xfId="34779" xr:uid="{00000000-0005-0000-0000-0000DB870000}"/>
    <cellStyle name="Warning Text 6 2 2 2 2" xfId="34780" xr:uid="{00000000-0005-0000-0000-0000DC870000}"/>
    <cellStyle name="Warning Text 6 2 2 2 3" xfId="34781" xr:uid="{00000000-0005-0000-0000-0000DD870000}"/>
    <cellStyle name="Warning Text 6 2 2 3" xfId="34782" xr:uid="{00000000-0005-0000-0000-0000DE870000}"/>
    <cellStyle name="Warning Text 6 2 2 4" xfId="34783" xr:uid="{00000000-0005-0000-0000-0000DF870000}"/>
    <cellStyle name="Warning Text 6 2 3" xfId="34784" xr:uid="{00000000-0005-0000-0000-0000E0870000}"/>
    <cellStyle name="Warning Text 6 2 3 2" xfId="34785" xr:uid="{00000000-0005-0000-0000-0000E1870000}"/>
    <cellStyle name="Warning Text 6 2 3 3" xfId="34786" xr:uid="{00000000-0005-0000-0000-0000E2870000}"/>
    <cellStyle name="Warning Text 6 2 4" xfId="34787" xr:uid="{00000000-0005-0000-0000-0000E3870000}"/>
    <cellStyle name="Warning Text 6 2 5" xfId="34788" xr:uid="{00000000-0005-0000-0000-0000E4870000}"/>
    <cellStyle name="一般_ABC_S" xfId="34789" xr:uid="{00000000-0005-0000-0000-0000E5870000}"/>
    <cellStyle name="千分位[0]_ABCet1" xfId="34790" xr:uid="{00000000-0005-0000-0000-0000E6870000}"/>
    <cellStyle name="千分位_ABCABC" xfId="34791" xr:uid="{00000000-0005-0000-0000-0000E7870000}"/>
    <cellStyle name="常规_bank account log update-from Chandra" xfId="34792" xr:uid="{00000000-0005-0000-0000-0000E8870000}"/>
    <cellStyle name="標準_A" xfId="34793" xr:uid="{00000000-0005-0000-0000-0000E9870000}"/>
    <cellStyle name="貨幣 [0]_ABCet" xfId="34794" xr:uid="{00000000-0005-0000-0000-0000EA870000}"/>
    <cellStyle name="貨幣_ABC_A" xfId="34795" xr:uid="{00000000-0005-0000-0000-0000EB870000}"/>
  </cellStyles>
  <dxfs count="37">
    <dxf>
      <font>
        <condense val="0"/>
        <extend val="0"/>
        <color indexed="13"/>
      </font>
      <fill>
        <patternFill>
          <bgColor indexed="31"/>
        </patternFill>
      </fill>
    </dxf>
    <dxf>
      <font>
        <condense val="0"/>
        <extend val="0"/>
        <color indexed="12"/>
      </font>
      <fill>
        <patternFill>
          <bgColor indexed="42"/>
        </patternFill>
      </fill>
    </dxf>
    <dxf>
      <font>
        <condense val="0"/>
        <extend val="0"/>
        <color indexed="13"/>
      </font>
      <fill>
        <patternFill>
          <bgColor indexed="31"/>
        </patternFill>
      </fill>
    </dxf>
    <dxf>
      <font>
        <condense val="0"/>
        <extend val="0"/>
        <color indexed="12"/>
      </font>
      <fill>
        <patternFill>
          <bgColor indexed="42"/>
        </patternFill>
      </fill>
    </dxf>
    <dxf>
      <font>
        <condense val="0"/>
        <extend val="0"/>
        <color indexed="13"/>
      </font>
      <fill>
        <patternFill>
          <bgColor indexed="31"/>
        </patternFill>
      </fill>
    </dxf>
    <dxf>
      <font>
        <condense val="0"/>
        <extend val="0"/>
        <color indexed="12"/>
      </font>
      <fill>
        <patternFill>
          <bgColor indexed="42"/>
        </patternFill>
      </fill>
    </dxf>
    <dxf>
      <font>
        <condense val="0"/>
        <extend val="0"/>
        <color indexed="13"/>
      </font>
      <fill>
        <patternFill>
          <bgColor indexed="31"/>
        </patternFill>
      </fill>
    </dxf>
    <dxf>
      <font>
        <condense val="0"/>
        <extend val="0"/>
        <color indexed="12"/>
      </font>
      <fill>
        <patternFill>
          <bgColor indexed="42"/>
        </patternFill>
      </fill>
    </dxf>
    <dxf>
      <font>
        <condense val="0"/>
        <extend val="0"/>
        <color indexed="13"/>
      </font>
      <fill>
        <patternFill>
          <bgColor indexed="31"/>
        </patternFill>
      </fill>
    </dxf>
    <dxf>
      <font>
        <condense val="0"/>
        <extend val="0"/>
        <color indexed="12"/>
      </font>
      <fill>
        <patternFill>
          <bgColor indexed="42"/>
        </patternFill>
      </fill>
    </dxf>
    <dxf>
      <font>
        <condense val="0"/>
        <extend val="0"/>
        <color indexed="13"/>
      </font>
      <fill>
        <patternFill>
          <bgColor indexed="31"/>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3"/>
      </font>
      <fill>
        <patternFill>
          <bgColor indexed="31"/>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3"/>
      </font>
      <fill>
        <patternFill>
          <bgColor indexed="31"/>
        </patternFill>
      </fill>
    </dxf>
    <dxf>
      <font>
        <condense val="0"/>
        <extend val="0"/>
        <color indexed="9"/>
      </font>
    </dxf>
    <dxf>
      <font>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externalLink" Target="externalLinks/externalLink36.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externalLink" Target="externalLinks/externalLink3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externalLink" Target="externalLinks/externalLink3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externalLink" Target="externalLinks/externalLink35.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33.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ibggn82191-1\sharing\My%20Documents\Financials\March%202002\PCIM\PCIM%20BBY.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My%20Documents\Financials\March%202002\PCIM\PCIM%20BBY.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72.16.31.177\fincon\Documents%20and%20Settings\abhishekgupta1\Local%20Settings\Temporary%20Internet%20Files\OLK86\IFSL%20-%20ITR\IFSL%20ITR%202008-09%20Re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72.16.31.177\fincon\Documents%20and%20Settings\Administrator\Local%20Settings\Temporary%20Internet%20Files\OLKA3\DST%20%20Master%20fil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20.40.107\commonfolder\Documents%20and%20Settings\manshelar\Desktop\New%20Folder\ddd_detail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incon\fincon\Documents%20and%20Settings\Administrator\Local%20Settings\Temporary%20Internet%20Files\OLK54\IO-June%200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enovo\client\Indiabulls%20Group\2017-18\Qtr%201\IVL%20Finance%20Ltd\RBI%20Study%20Docs\RBI%20Returns\Qtrly\NDSI_500CR_REV23005201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enovo\Users\mrustagi\AppData\Local\Microsoft\Windows\Temporary%20Internet%20Files\Content.Outlook\76HDOT38\ISL_Jan_15_Conso.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lenovo\Users\mrustagi\AppData\Local\Microsoft\Windows\Temporary%20Internet%20Files\Content.Outlook\XUJP06E4\ISL_Jul_14.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enovo\client\Ginger%20Science%20Private%20Limited\2016-17\Financials\Ginger%20Financials%202016-17.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LENOVO\Documents\Dhani%20Services%20Ltd%20-%20Group%202020-21\Pushpanjli%20Finsolutions%20Limited\PFSL_Ind_AS_Dec_202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lenovo\D%20Drive\2016-17\Balance%20Sheet\March%202017\IVL_Mar_2017%20-%2027%2004%202017%20-%20Notes.02\ICPL_Mar_17.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bggn82191-1\sharing\Documents%20and%20Settings\ckadyan\Desktop\Dec%202007%20(03.1.08)\Dec%202007\IBFSL_Conso_Dec_07_08.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lenovo\D%20Drive\2015-16\Balance%20Sheet\March\Conso%20Mar%202016%20-%20Projected%20-%2027%20March\IDSL_Mar_16.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lenovo\D%20Drive\2015-16\Balance%20Sheet\March\Conso%20Mar%202016%20-%20Projected%20-%2027%20March\ILPL_Sep_15.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lenovo\data%20file\Balance%20Sheet\Audit%202011-12\ISL_Mar_12-Sch%20VI%20(version%201).xlsb"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72.16.31.177\fincon\ACS\Compensation\2007\ABIRA\2007%20Abira%20FYC%20&amp;%20BONUS%20Calculation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bggn82191-1\sharing\Documents%20and%20Settings\Tbiswal\Desktop\IFSL%20ITR%202008-09%20Rev.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ibggn82191-1\sharing\Documents%20and%20Settings\abhishekgupta1\Desktop\Tax%20Audit%20Reports%20(Financial)\ITR-IFCPL-A.Y.%2008-09.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lenovo\Priya\Priya_ICPL\Balance%20Sheet\December%2007\ICPL%2031.12.2007_R.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92.168.1.6\d\client\Indiabulls%20Group\2015-16\IHFL%202015-16\ICAPSL\ICAPSL%2031.03.2016%20-%20v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lenovo\ISL\12012-2013\BS\ISL_Conso_Dec_12\ISL_Dec_12.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lenovo\Master%20Data\Securities%20Group\Indiabulls%20Ventures%20Limited\P.%20IVL_2015-16\Balance%20Sheet\IVL_Mar_16%20-%20Copy.xlsb"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172.20.40.107\commonfolder\Documents%20and%20Settings\manshelar\Desktop\BANK_letter\29_11_07\29_11_07_fund_trfr_Shee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X:\DOCUME~1\DEEPAK~2\LOCALS~1\Temp\Rar$DI00.203\ISL_%20Advance%20Tax%20Calculation%202009-10%20Q3.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172.16.31.177\fincon\ACS\ACS2007\Fortnight\FebF22007\1ACS%20Vs%20M1%20ftm%20-%20Feb%20F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172.16.31.177\fincon\ACS\Compensation\2006\PEERLESS%20COMP\Peerless%20FYC%20&amp;%20Bonus%20Calculation%20-%20Mast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lenovo\D%20Drive\2014-15\Balance%20Sheets\March%202015\Mar%202015.30%20-%20Final%20-%20Rakesh\ISL_Mar_15.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lenovo\D%20Drive\2015-16\Balance%20Sheet\Jun\Conso%20Jun.19%20-%20Final\IVL_Jun_15.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ibggn82191-1\sharing\My%20Documents\Financials\March%202002\PIH\PIH%20March%202002%2020%20Sept%200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bggn82191-1\sharing\Documents%20and%20Settings\rgulati\Local%20Settings\Temporary%20Internet%20Files\OLKA\SANF-K4%2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Ibggn82191-1\sharing\Documents%20and%20Settings\rohgoyal\Desktop\Tax%20audit-nehal\ICAPSL\A.Y.%202007-2008\ITR5_G6_formula.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Ibggn82191-1\sharing\Documents%20and%20Settings\rohgoyal\Desktop\Tax%20audit-nehal\ICAPSL\A.Y.%202007-2008\integrateitr6\VersionI_CD_Z5_ADVANCED.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lenovo\client\Indiabulls%20Group\2016-17\IVL%202016-17\DTL\DTL_Mar_17.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Ibggn82191-1\sharing\Documents%20and%20Settings\rohgoyal\Desktop\Tax%20audit-nehal\ICAPSL\A.Y.%202007-2008\itr6_newu7.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10.142.32.197\data\DOCUME~1\IN_MVE~1.SCB\LOCALS~1\Temp\APcfg95.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lenovo\ISL\12013-2014\ISL_Conso_Apr-13\ISL_Apr_13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 Sheet"/>
      <sheetName val="FA"/>
      <sheetName val="Notes"/>
      <sheetName val="Notes2"/>
      <sheetName val="Stock trf"/>
      <sheetName val="Branch"/>
      <sheetName val="Other notes"/>
      <sheetName val="Reclass Entries"/>
      <sheetName val="salevaluereco"/>
      <sheetName val="Int Co purchases"/>
    </sheetNames>
    <sheetDataSet>
      <sheetData sheetId="0"/>
      <sheetData sheetId="1"/>
      <sheetData sheetId="2"/>
      <sheetData sheetId="3"/>
      <sheetData sheetId="4"/>
      <sheetData sheetId="5"/>
      <sheetData sheetId="6" refreshError="1">
        <row r="1">
          <cell r="A1" t="str">
            <v>Notes to the financial statements</v>
          </cell>
        </row>
      </sheetData>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 Sheet"/>
      <sheetName val="FA"/>
      <sheetName val="Notes"/>
      <sheetName val="Notes2"/>
      <sheetName val="Stock trf"/>
      <sheetName val="Branch"/>
      <sheetName val="Other notes"/>
      <sheetName val="Reclass Entries"/>
      <sheetName val="salevaluereco"/>
      <sheetName val="Int Co purchases"/>
      <sheetName val="PL"/>
    </sheetNames>
    <sheetDataSet>
      <sheetData sheetId="0" refreshError="1"/>
      <sheetData sheetId="1" refreshError="1"/>
      <sheetData sheetId="2" refreshError="1"/>
      <sheetData sheetId="3" refreshError="1"/>
      <sheetData sheetId="4" refreshError="1"/>
      <sheetData sheetId="5" refreshError="1"/>
      <sheetData sheetId="6" refreshError="1">
        <row r="1">
          <cell r="A1" t="str">
            <v>Notes to the financial statements</v>
          </cell>
        </row>
      </sheetData>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Index"/>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IT_FBT_DDTP"/>
      <sheetName val="DDT_TDS_TCS"/>
      <sheetName val="Instructions"/>
      <sheetName val="Pre_XML"/>
      <sheetName val="Other notes"/>
      <sheetName val="Sheet2"/>
    </sheetNames>
    <sheetDataSet>
      <sheetData sheetId="0" refreshError="1"/>
      <sheetData sheetId="1" refreshError="1"/>
      <sheetData sheetId="2" refreshError="1">
        <row r="5">
          <cell r="C5" t="str">
            <v>Name</v>
          </cell>
        </row>
        <row r="6">
          <cell r="C6" t="str">
            <v>INDIABULLS FINANCIAL SERVICES LIMITED</v>
          </cell>
        </row>
        <row r="7">
          <cell r="AL7" t="str">
            <v>AAACI8570Q</v>
          </cell>
        </row>
        <row r="10">
          <cell r="C10" t="str">
            <v>F-60, II ND FLOOR</v>
          </cell>
          <cell r="U10" t="str">
            <v>MALHOTRA BUILDING</v>
          </cell>
        </row>
        <row r="11">
          <cell r="AL11" t="str">
            <v>10/01/2000</v>
          </cell>
        </row>
        <row r="14">
          <cell r="U14" t="str">
            <v>CONNAUGHT PLACE</v>
          </cell>
        </row>
        <row r="15">
          <cell r="AL15" t="str">
            <v>6-Public Company</v>
          </cell>
          <cell r="AQ15" t="str">
            <v>Yes</v>
          </cell>
        </row>
        <row r="18">
          <cell r="C18" t="str">
            <v>NEW DELHI0</v>
          </cell>
          <cell r="U18" t="str">
            <v>09-DELHI</v>
          </cell>
        </row>
        <row r="19">
          <cell r="AD19" t="str">
            <v>110001</v>
          </cell>
          <cell r="AK19" t="str">
            <v>11-Notice u/s 139(1)</v>
          </cell>
        </row>
        <row r="22">
          <cell r="C22" t="str">
            <v>ASHARMA@INDIABULLS.COM</v>
          </cell>
          <cell r="Y22" t="str">
            <v>124</v>
          </cell>
          <cell r="AD22" t="str">
            <v>3081006</v>
          </cell>
          <cell r="AK22" t="str">
            <v>21-Voluntarily before the due date</v>
          </cell>
        </row>
        <row r="24">
          <cell r="C24" t="str">
            <v>DC/AC.C.11(1)</v>
          </cell>
          <cell r="AD24" t="str">
            <v>DEL</v>
          </cell>
          <cell r="AI24" t="str">
            <v>C</v>
          </cell>
          <cell r="AM24" t="str">
            <v>041</v>
          </cell>
          <cell r="AR24" t="str">
            <v>01</v>
          </cell>
        </row>
        <row r="26">
          <cell r="V26" t="str">
            <v>R-Revised</v>
          </cell>
        </row>
        <row r="28">
          <cell r="U28" t="str">
            <v>44747670300908</v>
          </cell>
          <cell r="AM28" t="str">
            <v>30/09/2008</v>
          </cell>
        </row>
        <row r="30">
          <cell r="U30" t="str">
            <v>RES - Resident</v>
          </cell>
          <cell r="AR30" t="str">
            <v>No</v>
          </cell>
        </row>
        <row r="31">
          <cell r="AN31" t="str">
            <v>No</v>
          </cell>
        </row>
        <row r="36">
          <cell r="AE36" t="str">
            <v>No</v>
          </cell>
        </row>
        <row r="37">
          <cell r="AO37" t="str">
            <v>Yes</v>
          </cell>
        </row>
        <row r="38">
          <cell r="Y38" t="str">
            <v>AJAY SARDANA</v>
          </cell>
        </row>
        <row r="39">
          <cell r="R39" t="str">
            <v>089011</v>
          </cell>
        </row>
        <row r="40">
          <cell r="W40" t="str">
            <v>AJAY SARDANA ASSOCIATES</v>
          </cell>
        </row>
        <row r="41">
          <cell r="AF41" t="str">
            <v>AALFA2680H</v>
          </cell>
        </row>
        <row r="42">
          <cell r="N42" t="str">
            <v>25/09/2008</v>
          </cell>
        </row>
        <row r="54">
          <cell r="B54" t="str">
            <v>01-ANDAMAN AND NICOBAR ISLANDS</v>
          </cell>
          <cell r="U54" t="str">
            <v>6-Public Company</v>
          </cell>
          <cell r="AJ54" t="str">
            <v>11-Notice u/s 139(1)</v>
          </cell>
          <cell r="BJ54" t="str">
            <v>NA-Not Applicable</v>
          </cell>
          <cell r="DA54" t="str">
            <v>Yes</v>
          </cell>
          <cell r="DH54" t="str">
            <v>Yes</v>
          </cell>
          <cell r="DP54" t="str">
            <v>Yes</v>
          </cell>
          <cell r="DS54" t="str">
            <v>Yes</v>
          </cell>
          <cell r="EB54" t="str">
            <v>O-Original</v>
          </cell>
          <cell r="EM54" t="str">
            <v>RES-Resident</v>
          </cell>
        </row>
        <row r="55">
          <cell r="B55" t="str">
            <v>02-ANDHRA PRADESH</v>
          </cell>
          <cell r="U55" t="str">
            <v>7-Private Company</v>
          </cell>
          <cell r="AJ55" t="str">
            <v>12-Notice u/s 139(4)</v>
          </cell>
          <cell r="BJ55" t="str">
            <v>21-Voluntarily before the due date</v>
          </cell>
          <cell r="DA55" t="str">
            <v>No</v>
          </cell>
          <cell r="DH55" t="str">
            <v>No</v>
          </cell>
          <cell r="DP55" t="str">
            <v>No</v>
          </cell>
          <cell r="DS55" t="str">
            <v>No</v>
          </cell>
          <cell r="EB55" t="str">
            <v>R-Revised</v>
          </cell>
          <cell r="EM55" t="str">
            <v>NOR-Not normally resident</v>
          </cell>
        </row>
        <row r="56">
          <cell r="B56" t="str">
            <v>03-ARUNACHAL PRADESH</v>
          </cell>
          <cell r="AJ56" t="str">
            <v>13-Notice u/s 142(1)</v>
          </cell>
          <cell r="BJ56" t="str">
            <v>22-Voluntarily after the due date</v>
          </cell>
          <cell r="EM56" t="str">
            <v>NRI-Non Resident</v>
          </cell>
        </row>
        <row r="57">
          <cell r="B57" t="str">
            <v>04-ASSAM</v>
          </cell>
          <cell r="AJ57" t="str">
            <v>14-Notice u/s 148</v>
          </cell>
          <cell r="BJ57" t="str">
            <v>23-In response to notice under section 115WD(2)</v>
          </cell>
        </row>
        <row r="58">
          <cell r="B58" t="str">
            <v>05-BIHAR</v>
          </cell>
          <cell r="AJ58" t="str">
            <v>15-Notice u/s 153A</v>
          </cell>
          <cell r="BJ58" t="str">
            <v>24-In response to notice under section 115WG</v>
          </cell>
        </row>
        <row r="59">
          <cell r="B59" t="str">
            <v>06-CHANDIGARH</v>
          </cell>
        </row>
        <row r="60">
          <cell r="B60" t="str">
            <v>07-DADRA AND NAGAR HAVELI</v>
          </cell>
          <cell r="AJ60" t="str">
            <v>R2</v>
          </cell>
        </row>
        <row r="61">
          <cell r="B61" t="str">
            <v>08-DAMAN AND DIU</v>
          </cell>
        </row>
        <row r="62">
          <cell r="B62" t="str">
            <v>09-DELHI</v>
          </cell>
        </row>
        <row r="63">
          <cell r="B63" t="str">
            <v>10-GOA</v>
          </cell>
        </row>
        <row r="64">
          <cell r="B64" t="str">
            <v>11-GUJARAT</v>
          </cell>
        </row>
        <row r="65">
          <cell r="B65" t="str">
            <v>12-HARYANA</v>
          </cell>
        </row>
        <row r="66">
          <cell r="B66" t="str">
            <v>13-HIMACHAL PRADESH</v>
          </cell>
        </row>
        <row r="67">
          <cell r="B67" t="str">
            <v>14-JAMMU AND KASHMIR</v>
          </cell>
        </row>
        <row r="68">
          <cell r="B68" t="str">
            <v>15-KARNATAKA</v>
          </cell>
        </row>
        <row r="69">
          <cell r="B69" t="str">
            <v>16-KERALA</v>
          </cell>
        </row>
        <row r="70">
          <cell r="B70" t="str">
            <v>17-LAKHSWADEEP</v>
          </cell>
        </row>
        <row r="71">
          <cell r="B71" t="str">
            <v>18-MADHYA PRADESH</v>
          </cell>
        </row>
        <row r="72">
          <cell r="B72" t="str">
            <v>19-MAHARASHTRA</v>
          </cell>
        </row>
        <row r="73">
          <cell r="B73" t="str">
            <v>20-MANIPUR</v>
          </cell>
        </row>
        <row r="74">
          <cell r="B74" t="str">
            <v>21-MEGHALAYA</v>
          </cell>
        </row>
        <row r="75">
          <cell r="B75" t="str">
            <v>22-MIZORAM</v>
          </cell>
        </row>
        <row r="76">
          <cell r="B76" t="str">
            <v>23-NAGALAND</v>
          </cell>
        </row>
        <row r="77">
          <cell r="B77" t="str">
            <v>24-ORISSA</v>
          </cell>
        </row>
        <row r="78">
          <cell r="B78" t="str">
            <v>25-PONDICHERRY</v>
          </cell>
        </row>
        <row r="79">
          <cell r="B79" t="str">
            <v>26-PUNJAB</v>
          </cell>
        </row>
        <row r="80">
          <cell r="B80" t="str">
            <v>27-RAJASTHAN</v>
          </cell>
        </row>
        <row r="81">
          <cell r="B81" t="str">
            <v>28-SIKKIM</v>
          </cell>
        </row>
        <row r="82">
          <cell r="B82" t="str">
            <v>29-TAMILNADU</v>
          </cell>
        </row>
        <row r="83">
          <cell r="B83" t="str">
            <v>30-TRIPURA</v>
          </cell>
        </row>
        <row r="84">
          <cell r="B84" t="str">
            <v>31-UTTAR PRADESH</v>
          </cell>
        </row>
        <row r="85">
          <cell r="B85" t="str">
            <v>32-WEST BENGAL</v>
          </cell>
        </row>
        <row r="86">
          <cell r="B86" t="str">
            <v>33-CHHATISHGARH</v>
          </cell>
        </row>
        <row r="87">
          <cell r="B87" t="str">
            <v>34-UTTARANCHAL</v>
          </cell>
        </row>
        <row r="88">
          <cell r="B88" t="str">
            <v>35-JHARKHAND</v>
          </cell>
        </row>
        <row r="89">
          <cell r="B89" t="str">
            <v>99-FOREIGN</v>
          </cell>
        </row>
      </sheetData>
      <sheetData sheetId="3" refreshError="1">
        <row r="1">
          <cell r="B1" t="str">
            <v>HOLDING STATUS - Nature of Company</v>
          </cell>
          <cell r="E1" t="str">
            <v>1 - Holding company</v>
          </cell>
        </row>
        <row r="6">
          <cell r="G6">
            <v>0</v>
          </cell>
        </row>
        <row r="8">
          <cell r="B8" t="str">
            <v>BUSINESS ORGANISATION</v>
          </cell>
        </row>
        <row r="17">
          <cell r="B17" t="str">
            <v>Particulars of Managing Director, Directors, Secretary and Principal officer(s) who have held the office during the previous year</v>
          </cell>
        </row>
        <row r="21">
          <cell r="C21" t="str">
            <v>MR. SAMEER GEHLAUT</v>
          </cell>
          <cell r="D21" t="str">
            <v>DIRECTOR</v>
          </cell>
          <cell r="E21" t="str">
            <v>296, FOREST LANE, SANIK FARMS</v>
          </cell>
          <cell r="F21" t="str">
            <v>NEW DELHI</v>
          </cell>
          <cell r="G21" t="str">
            <v>09-DELHI</v>
          </cell>
          <cell r="H21" t="str">
            <v>110068</v>
          </cell>
          <cell r="I21" t="str">
            <v>AFMPG9469E</v>
          </cell>
        </row>
        <row r="22">
          <cell r="C22" t="str">
            <v>MR. RAJIV RATTAN</v>
          </cell>
          <cell r="D22" t="str">
            <v>DIRECTOR</v>
          </cell>
          <cell r="E22" t="str">
            <v>B-4/157, SAFDARJUNG ENCLAVE</v>
          </cell>
          <cell r="F22" t="str">
            <v>NEW DELHI</v>
          </cell>
          <cell r="G22" t="str">
            <v>09-DELHI</v>
          </cell>
          <cell r="H22" t="str">
            <v>110029</v>
          </cell>
          <cell r="I22" t="str">
            <v>AESPR3957D</v>
          </cell>
        </row>
        <row r="23">
          <cell r="C23" t="str">
            <v>MR. SAURABH K MITTAL</v>
          </cell>
          <cell r="D23" t="str">
            <v>DIRECTOR</v>
          </cell>
          <cell r="E23" t="str">
            <v>3, LUCKNOW ROAD</v>
          </cell>
          <cell r="F23" t="str">
            <v>NEW DELHI</v>
          </cell>
          <cell r="G23" t="str">
            <v>09-DELHI</v>
          </cell>
          <cell r="H23" t="str">
            <v>110007</v>
          </cell>
          <cell r="I23" t="str">
            <v>ANAPM2488D</v>
          </cell>
        </row>
        <row r="24">
          <cell r="C24" t="str">
            <v>MR. GAGAN BANGA</v>
          </cell>
          <cell r="D24" t="str">
            <v>DIRECTOR</v>
          </cell>
          <cell r="E24" t="str">
            <v>243, MAKER TOWER,B WING,12TH FLOOR, CUFFE PARADE</v>
          </cell>
          <cell r="F24" t="str">
            <v>MUMBAI</v>
          </cell>
          <cell r="G24" t="str">
            <v>19-MAHARASHTRA</v>
          </cell>
          <cell r="H24" t="str">
            <v>400005</v>
          </cell>
          <cell r="I24" t="str">
            <v>AGUPB4458P</v>
          </cell>
        </row>
        <row r="25">
          <cell r="C25" t="str">
            <v>MR. AISHWARYA KATOCH</v>
          </cell>
          <cell r="D25" t="str">
            <v>DIRECTOR</v>
          </cell>
          <cell r="E25" t="str">
            <v>S-43, GREATER KAILASH - I</v>
          </cell>
          <cell r="F25" t="str">
            <v>NEW DELHI</v>
          </cell>
          <cell r="G25" t="str">
            <v>09-DELHI</v>
          </cell>
          <cell r="H25" t="str">
            <v>110048</v>
          </cell>
          <cell r="I25" t="str">
            <v>ADAPK4434D</v>
          </cell>
        </row>
        <row r="26">
          <cell r="C26" t="str">
            <v>MR. SHAMSHER SINGH AHLAWAT</v>
          </cell>
          <cell r="D26" t="str">
            <v>DIRECTOR</v>
          </cell>
          <cell r="E26" t="str">
            <v>96, EAST AVENUE, SAINIK FARMS</v>
          </cell>
          <cell r="F26" t="str">
            <v>NEW DELHI</v>
          </cell>
          <cell r="G26" t="str">
            <v>09-DELHI</v>
          </cell>
          <cell r="H26" t="str">
            <v>110068</v>
          </cell>
          <cell r="I26" t="str">
            <v>AAEPA5664N</v>
          </cell>
        </row>
        <row r="27">
          <cell r="C27" t="str">
            <v>MR. KARAN SINGH KHERA</v>
          </cell>
          <cell r="D27" t="str">
            <v>DIRECTOR</v>
          </cell>
          <cell r="E27" t="str">
            <v>1408, URBAN ESTATE,JIND</v>
          </cell>
          <cell r="F27" t="str">
            <v>HARYANA</v>
          </cell>
          <cell r="G27" t="str">
            <v>12-HARYANA</v>
          </cell>
          <cell r="H27" t="str">
            <v>126102</v>
          </cell>
          <cell r="I27" t="str">
            <v>ACUPK2772M</v>
          </cell>
        </row>
        <row r="28">
          <cell r="C28" t="str">
            <v>MR. PREM PRAKASH MIRDHA</v>
          </cell>
          <cell r="D28" t="str">
            <v>DIRECTOR</v>
          </cell>
          <cell r="E28" t="str">
            <v>MIRDHA FARM, SIRSI ROAD</v>
          </cell>
          <cell r="F28" t="str">
            <v>JAIPUR</v>
          </cell>
          <cell r="G28" t="str">
            <v>27-RAJASTHAN</v>
          </cell>
          <cell r="H28" t="str">
            <v>302012</v>
          </cell>
          <cell r="I28" t="str">
            <v>AHJPM9368F</v>
          </cell>
        </row>
        <row r="31">
          <cell r="B31" t="str">
            <v>Particulars of persons who were beneficial owners of shares holding not less than 10% of the voting power at any time of the previous year</v>
          </cell>
        </row>
        <row r="35">
          <cell r="C35" t="str">
            <v>SAMEER GEHLAUT</v>
          </cell>
          <cell r="D35" t="str">
            <v>296, FOREST LANE, SANIK FARMS</v>
          </cell>
          <cell r="E35" t="str">
            <v>NEW DELHI</v>
          </cell>
          <cell r="F35" t="str">
            <v>09-DELHI</v>
          </cell>
          <cell r="G35" t="str">
            <v>110068</v>
          </cell>
          <cell r="H35">
            <v>14.84</v>
          </cell>
          <cell r="I35" t="str">
            <v>AFMPG9469E</v>
          </cell>
        </row>
        <row r="42">
          <cell r="G42" t="str">
            <v>N</v>
          </cell>
        </row>
        <row r="43">
          <cell r="G43" t="str">
            <v>N</v>
          </cell>
        </row>
        <row r="44">
          <cell r="G44" t="str">
            <v>N</v>
          </cell>
        </row>
        <row r="45">
          <cell r="G45" t="str">
            <v>N</v>
          </cell>
        </row>
        <row r="46">
          <cell r="G46" t="str">
            <v>N</v>
          </cell>
        </row>
        <row r="47">
          <cell r="G47" t="str">
            <v>N</v>
          </cell>
        </row>
        <row r="48">
          <cell r="G48" t="str">
            <v>Y</v>
          </cell>
        </row>
        <row r="51">
          <cell r="C51" t="str">
            <v>1 - Holding company</v>
          </cell>
          <cell r="D51" t="str">
            <v>AMALGAMATING</v>
          </cell>
          <cell r="E51" t="str">
            <v>01-ANDAMAN AND NICOBAR ISLANDS</v>
          </cell>
          <cell r="G51" t="str">
            <v>Y</v>
          </cell>
        </row>
        <row r="52">
          <cell r="C52" t="str">
            <v>2 - Subsidiary company</v>
          </cell>
          <cell r="D52" t="str">
            <v>AMALGAMATED</v>
          </cell>
          <cell r="E52" t="str">
            <v>02-ANDHRA PRADESH</v>
          </cell>
          <cell r="G52" t="str">
            <v>N</v>
          </cell>
        </row>
        <row r="53">
          <cell r="C53" t="str">
            <v>3 - Both</v>
          </cell>
          <cell r="D53" t="str">
            <v>DEMERGED</v>
          </cell>
          <cell r="E53" t="str">
            <v>03-ARUNACHAL PRADESH</v>
          </cell>
        </row>
        <row r="54">
          <cell r="C54" t="str">
            <v>4 - Neither</v>
          </cell>
          <cell r="D54" t="str">
            <v>RESULTING</v>
          </cell>
          <cell r="E54" t="str">
            <v>04-ASSAM</v>
          </cell>
        </row>
        <row r="55">
          <cell r="E55" t="str">
            <v>05-BIHAR</v>
          </cell>
        </row>
        <row r="56">
          <cell r="E56" t="str">
            <v>06-CHANDIGARH</v>
          </cell>
        </row>
        <row r="57">
          <cell r="E57" t="str">
            <v>07-DADRA AND NAGAR HAVELI</v>
          </cell>
        </row>
        <row r="58">
          <cell r="E58" t="str">
            <v>08-DAMAN AND DIU</v>
          </cell>
        </row>
        <row r="59">
          <cell r="E59" t="str">
            <v>09-DELHI</v>
          </cell>
        </row>
        <row r="60">
          <cell r="E60" t="str">
            <v>10-GOA</v>
          </cell>
        </row>
        <row r="61">
          <cell r="E61" t="str">
            <v>11-GUJARAT</v>
          </cell>
        </row>
        <row r="62">
          <cell r="E62" t="str">
            <v>12-HARYANA</v>
          </cell>
        </row>
        <row r="63">
          <cell r="E63" t="str">
            <v>13-HIMACHAL PRADESH</v>
          </cell>
        </row>
        <row r="64">
          <cell r="E64" t="str">
            <v>14-JAMMU AND KASHMIR</v>
          </cell>
        </row>
        <row r="65">
          <cell r="E65" t="str">
            <v>15-KARNATAKA</v>
          </cell>
        </row>
        <row r="66">
          <cell r="E66" t="str">
            <v>16-KERALA</v>
          </cell>
        </row>
        <row r="67">
          <cell r="E67" t="str">
            <v>17-LAKHSWADEEP</v>
          </cell>
        </row>
        <row r="68">
          <cell r="E68" t="str">
            <v>18-MADHYA PRADESH</v>
          </cell>
        </row>
        <row r="69">
          <cell r="E69" t="str">
            <v>19-MAHARASHTRA</v>
          </cell>
        </row>
        <row r="70">
          <cell r="E70" t="str">
            <v>20-MANIPUR</v>
          </cell>
        </row>
        <row r="71">
          <cell r="E71" t="str">
            <v>21-MEGHALAYA</v>
          </cell>
        </row>
        <row r="72">
          <cell r="E72" t="str">
            <v>22-MIZORAM</v>
          </cell>
        </row>
        <row r="73">
          <cell r="E73" t="str">
            <v>23-NAGALAND</v>
          </cell>
        </row>
        <row r="74">
          <cell r="E74" t="str">
            <v>24-ORISSA</v>
          </cell>
        </row>
        <row r="75">
          <cell r="E75" t="str">
            <v>25-PONDICHERRY</v>
          </cell>
        </row>
        <row r="76">
          <cell r="E76" t="str">
            <v>26-PUNJAB</v>
          </cell>
        </row>
        <row r="77">
          <cell r="E77" t="str">
            <v>27-RAJASTHAN</v>
          </cell>
        </row>
        <row r="78">
          <cell r="E78" t="str">
            <v>28-SIKKIM</v>
          </cell>
        </row>
        <row r="79">
          <cell r="E79" t="str">
            <v>29-TAMILNADU</v>
          </cell>
        </row>
        <row r="80">
          <cell r="E80" t="str">
            <v>30-TRIPURA</v>
          </cell>
        </row>
        <row r="81">
          <cell r="E81" t="str">
            <v>31-UTTAR PRADESH</v>
          </cell>
        </row>
        <row r="82">
          <cell r="E82" t="str">
            <v>32-WEST BENGAL</v>
          </cell>
        </row>
        <row r="83">
          <cell r="E83" t="str">
            <v>33-CHHATISHGARH</v>
          </cell>
        </row>
        <row r="84">
          <cell r="E84" t="str">
            <v>34-UTTARANCHAL</v>
          </cell>
        </row>
        <row r="85">
          <cell r="E85" t="str">
            <v>35-JHARKHAND</v>
          </cell>
        </row>
        <row r="86">
          <cell r="E86" t="str">
            <v>99-FOREIGN</v>
          </cell>
        </row>
      </sheetData>
      <sheetData sheetId="4" refreshError="1">
        <row r="1">
          <cell r="A1" t="str">
            <v>To be filled only if Nature of Company is Holding or both</v>
          </cell>
        </row>
        <row r="2">
          <cell r="C2" t="str">
            <v>INDIABULLS ASSET HOLDING COMPANY LTD</v>
          </cell>
          <cell r="D2" t="str">
            <v>E-29,1ST FLOOR,CONNAUGHT PLACE</v>
          </cell>
          <cell r="E2" t="str">
            <v>NEW DELHI</v>
          </cell>
          <cell r="F2" t="str">
            <v>09-DELHI</v>
          </cell>
          <cell r="G2" t="str">
            <v>110001</v>
          </cell>
        </row>
        <row r="3">
          <cell r="C3" t="str">
            <v>INDIABULLS LIFE INSURANCE COMPANY LTD</v>
          </cell>
          <cell r="D3" t="str">
            <v>E-29,1ST FLOOR,CONNAUGHT PLACE</v>
          </cell>
          <cell r="E3" t="str">
            <v>NEW DELHI</v>
          </cell>
          <cell r="F3" t="str">
            <v>09-DELHI</v>
          </cell>
          <cell r="G3" t="str">
            <v>110001</v>
          </cell>
        </row>
        <row r="4">
          <cell r="C4" t="str">
            <v>INDIABULLS COLLECTION AGENCY LTD</v>
          </cell>
          <cell r="D4" t="str">
            <v>F-60 MALHOTRA BUILDING, IIND FLOOR, CONNAUGHT PLACE</v>
          </cell>
          <cell r="E4" t="str">
            <v>NEW DELHI</v>
          </cell>
          <cell r="F4" t="str">
            <v>09-DELHI</v>
          </cell>
          <cell r="G4" t="str">
            <v>110001</v>
          </cell>
        </row>
        <row r="5">
          <cell r="B5" t="str">
            <v>AABCI2080E</v>
          </cell>
          <cell r="C5" t="str">
            <v>INDIABULLS INSURANCE ADVISORS PRIVATE LIMITED</v>
          </cell>
          <cell r="D5" t="str">
            <v>F-60 MALHOTRA BUILDING, IIND FLOOR, CONNAUGHT PLACE</v>
          </cell>
          <cell r="E5" t="str">
            <v>NEW DELHI</v>
          </cell>
          <cell r="F5" t="str">
            <v>09-DELHI</v>
          </cell>
          <cell r="G5" t="str">
            <v>110001</v>
          </cell>
        </row>
        <row r="6">
          <cell r="B6" t="str">
            <v>AABCI3455R</v>
          </cell>
          <cell r="C6" t="str">
            <v>INDIABULLS FINANCE COMPANY PRIVATE LIMITED</v>
          </cell>
          <cell r="D6" t="str">
            <v>F-60 MALHOTRA BUILDING, IIND FLOOR, CONNAUGHT PLACE</v>
          </cell>
          <cell r="E6" t="str">
            <v>NEW DELHI</v>
          </cell>
          <cell r="F6" t="str">
            <v>09-DELHI</v>
          </cell>
          <cell r="G6" t="str">
            <v>110001</v>
          </cell>
        </row>
        <row r="7">
          <cell r="B7" t="str">
            <v>AABCI3612A</v>
          </cell>
          <cell r="C7" t="str">
            <v>INDIABULLS HOUSING FINANCE LIMITED</v>
          </cell>
          <cell r="D7" t="str">
            <v>F-60 MALHOTRA BUILDING, IIND FLOOR, CONNAUGHT PLACE</v>
          </cell>
          <cell r="E7" t="str">
            <v>NEW DELHI</v>
          </cell>
          <cell r="F7" t="str">
            <v>09-DELHI</v>
          </cell>
          <cell r="G7" t="str">
            <v>110001</v>
          </cell>
        </row>
        <row r="8">
          <cell r="B8" t="str">
            <v>AABCI3613B</v>
          </cell>
          <cell r="C8" t="str">
            <v>INDIABULLS CAPITAL SERVICES LIMITED</v>
          </cell>
          <cell r="D8" t="str">
            <v>F-60 MALHOTRA BUILDING, IIND FLOOR, CONNAUGHT PLACE</v>
          </cell>
          <cell r="E8" t="str">
            <v>NEW DELHI</v>
          </cell>
          <cell r="F8" t="str">
            <v>09-DELHI</v>
          </cell>
          <cell r="G8" t="str">
            <v>110001</v>
          </cell>
        </row>
        <row r="9">
          <cell r="B9" t="str">
            <v>AABCI5559G</v>
          </cell>
          <cell r="C9" t="str">
            <v>INDIABULLS COMMERCIAL CREDIT LIMITED</v>
          </cell>
          <cell r="D9" t="str">
            <v>F-60 MALHOTRA BUILDING, IIND FLOOR, CONNAUGHT PLACE</v>
          </cell>
          <cell r="E9" t="str">
            <v>NEW DELHI</v>
          </cell>
          <cell r="F9" t="str">
            <v>09-DELHI</v>
          </cell>
          <cell r="G9" t="str">
            <v>110001</v>
          </cell>
        </row>
        <row r="10">
          <cell r="B10" t="str">
            <v>AACCD4953E</v>
          </cell>
          <cell r="C10" t="str">
            <v>DIVYA SHAKTI TRADING SERVICES LIMITED</v>
          </cell>
          <cell r="D10" t="str">
            <v>F-60 MALHOTRA BUILDING, IIND FLOOR, CONNAUGHT PLACE</v>
          </cell>
          <cell r="E10" t="str">
            <v>NEW DELHI</v>
          </cell>
          <cell r="F10" t="str">
            <v>09-DELHI</v>
          </cell>
          <cell r="G10" t="str">
            <v>110001</v>
          </cell>
        </row>
        <row r="11">
          <cell r="C11" t="str">
            <v>FAST LOAN SERVICES LTD</v>
          </cell>
          <cell r="D11" t="str">
            <v>F-60 MALHOTRA BUILDING, IIND FLOOR, CONNAUGHT PLACE</v>
          </cell>
          <cell r="E11" t="str">
            <v>NEW DELHI</v>
          </cell>
          <cell r="F11" t="str">
            <v>09-DELHI</v>
          </cell>
          <cell r="G11" t="str">
            <v>110001</v>
          </cell>
        </row>
        <row r="15">
          <cell r="C15" t="str">
            <v>01-ANDAMAN AND NICOBAR ISLANDS</v>
          </cell>
        </row>
        <row r="16">
          <cell r="C16" t="str">
            <v>02-ANDHRA PRADESH</v>
          </cell>
        </row>
        <row r="17">
          <cell r="C17" t="str">
            <v>03-ARUNACHAL PRADESH</v>
          </cell>
        </row>
        <row r="18">
          <cell r="C18" t="str">
            <v>04-ASSAM</v>
          </cell>
        </row>
        <row r="19">
          <cell r="C19" t="str">
            <v>05-BIHAR</v>
          </cell>
        </row>
        <row r="20">
          <cell r="C20" t="str">
            <v>06-CHANDIGARH</v>
          </cell>
        </row>
        <row r="21">
          <cell r="C21" t="str">
            <v>07-DADRA AND NAGAR HAVELI</v>
          </cell>
        </row>
        <row r="22">
          <cell r="C22" t="str">
            <v>08-DAMAN AND DIU</v>
          </cell>
        </row>
        <row r="23">
          <cell r="C23" t="str">
            <v>09-DELHI</v>
          </cell>
        </row>
        <row r="24">
          <cell r="C24" t="str">
            <v>10-GOA</v>
          </cell>
        </row>
        <row r="25">
          <cell r="C25" t="str">
            <v>11-GUJARAT</v>
          </cell>
        </row>
        <row r="26">
          <cell r="C26" t="str">
            <v>12-HARYANA</v>
          </cell>
        </row>
        <row r="27">
          <cell r="C27" t="str">
            <v>13-HIMACHAL PRADESH</v>
          </cell>
        </row>
        <row r="28">
          <cell r="C28" t="str">
            <v>14-JAMMU AND KASHMIR</v>
          </cell>
        </row>
        <row r="29">
          <cell r="C29" t="str">
            <v>15-KARNATAKA</v>
          </cell>
        </row>
        <row r="30">
          <cell r="C30" t="str">
            <v>16-KERALA</v>
          </cell>
        </row>
        <row r="31">
          <cell r="C31" t="str">
            <v>17-LAKHSWADEEP</v>
          </cell>
        </row>
        <row r="32">
          <cell r="C32" t="str">
            <v>18-MADHYA PRADESH</v>
          </cell>
        </row>
        <row r="33">
          <cell r="C33" t="str">
            <v>19-MAHARASHTRA</v>
          </cell>
        </row>
        <row r="34">
          <cell r="C34" t="str">
            <v>20-MANIPUR</v>
          </cell>
        </row>
        <row r="35">
          <cell r="C35" t="str">
            <v>21-MEGHALAYA</v>
          </cell>
        </row>
        <row r="36">
          <cell r="C36" t="str">
            <v>22-MIZORAM</v>
          </cell>
        </row>
        <row r="37">
          <cell r="C37" t="str">
            <v>23-NAGALAND</v>
          </cell>
        </row>
        <row r="38">
          <cell r="C38" t="str">
            <v>24-ORISSA</v>
          </cell>
        </row>
        <row r="39">
          <cell r="C39" t="str">
            <v>25-PONDICHERRY</v>
          </cell>
        </row>
        <row r="40">
          <cell r="C40" t="str">
            <v>26-PUNJAB</v>
          </cell>
        </row>
        <row r="41">
          <cell r="C41" t="str">
            <v>27-RAJASTHAN</v>
          </cell>
        </row>
        <row r="42">
          <cell r="C42" t="str">
            <v>28-SIKKIM</v>
          </cell>
        </row>
        <row r="43">
          <cell r="C43" t="str">
            <v>29-TAMILNADU</v>
          </cell>
        </row>
        <row r="44">
          <cell r="C44" t="str">
            <v>30-TRIPURA</v>
          </cell>
        </row>
        <row r="45">
          <cell r="C45" t="str">
            <v>31-UTTAR PRADESH</v>
          </cell>
        </row>
        <row r="46">
          <cell r="C46" t="str">
            <v>32-WEST BENGAL</v>
          </cell>
        </row>
        <row r="47">
          <cell r="C47" t="str">
            <v>33-CHHATISHGARH</v>
          </cell>
        </row>
        <row r="48">
          <cell r="C48" t="str">
            <v>34-UTTARANCHAL</v>
          </cell>
        </row>
        <row r="49">
          <cell r="C49" t="str">
            <v>35-JHARKHAND</v>
          </cell>
        </row>
        <row r="50">
          <cell r="C50" t="str">
            <v>99-FOREIGN</v>
          </cell>
        </row>
      </sheetData>
      <sheetData sheetId="5" refreshError="1">
        <row r="1">
          <cell r="I1" t="str">
            <v>N</v>
          </cell>
        </row>
        <row r="6">
          <cell r="C6" t="str">
            <v>SD</v>
          </cell>
          <cell r="D6" t="str">
            <v>D</v>
          </cell>
          <cell r="E6" t="str">
            <v>SD</v>
          </cell>
          <cell r="F6" t="str">
            <v>01-ANDAMAN AND NICOBAR ISLANDS</v>
          </cell>
          <cell r="G6" t="str">
            <v>123456</v>
          </cell>
          <cell r="H6">
            <v>23</v>
          </cell>
          <cell r="I6" t="str">
            <v>ABCDE1234A</v>
          </cell>
        </row>
        <row r="7">
          <cell r="C7" t="str">
            <v>EE</v>
          </cell>
          <cell r="D7" t="str">
            <v>SD</v>
          </cell>
          <cell r="E7" t="str">
            <v>SD</v>
          </cell>
          <cell r="F7" t="str">
            <v>02-ANDHRA PRADESH</v>
          </cell>
          <cell r="G7" t="str">
            <v>123456</v>
          </cell>
          <cell r="H7">
            <v>12</v>
          </cell>
          <cell r="I7" t="str">
            <v>ABCDE1234A</v>
          </cell>
        </row>
        <row r="17">
          <cell r="A17" t="str">
            <v>NATURE OF BUSINESS</v>
          </cell>
          <cell r="B17" t="str">
            <v xml:space="preserve">Nature of business or profession, if more than one tradenames please specify upto 3 tradenames. At least one entry required </v>
          </cell>
        </row>
        <row r="18">
          <cell r="B18" t="str">
            <v>S.No.</v>
          </cell>
          <cell r="C18" t="str">
            <v>Code[Please see instruction No.9(ii)]</v>
          </cell>
          <cell r="D18" t="str">
            <v>Tradename</v>
          </cell>
        </row>
        <row r="19">
          <cell r="B19" t="str">
            <v>(i)</v>
          </cell>
          <cell r="C19" t="str">
            <v>0807-Non-Banking Finance Companies</v>
          </cell>
          <cell r="D19" t="str">
            <v>INDIABULLS</v>
          </cell>
        </row>
        <row r="20">
          <cell r="B20" t="str">
            <v>(ii)</v>
          </cell>
        </row>
        <row r="21">
          <cell r="B21" t="str">
            <v>(iii)</v>
          </cell>
        </row>
        <row r="31">
          <cell r="C31" t="str">
            <v>0101-Agro-based industries</v>
          </cell>
          <cell r="E31" t="str">
            <v>Y</v>
          </cell>
          <cell r="I31" t="str">
            <v>01-ANDAMAN AND NICOBAR ISLANDS</v>
          </cell>
        </row>
        <row r="32">
          <cell r="C32" t="str">
            <v>0102-Automobile and Auto parts</v>
          </cell>
          <cell r="E32" t="str">
            <v>N</v>
          </cell>
          <cell r="I32" t="str">
            <v>02-ANDHRA PRADESH</v>
          </cell>
        </row>
        <row r="33">
          <cell r="C33" t="str">
            <v>0103-Cement</v>
          </cell>
          <cell r="I33" t="str">
            <v>03-ARUNACHAL PRADESH</v>
          </cell>
        </row>
        <row r="34">
          <cell r="C34" t="str">
            <v>0104-Diamond cutting</v>
          </cell>
          <cell r="I34" t="str">
            <v>04-ASSAM</v>
          </cell>
        </row>
        <row r="35">
          <cell r="C35" t="str">
            <v>0105-Drugs and Pharmaceuticals</v>
          </cell>
          <cell r="I35" t="str">
            <v>05-BIHAR</v>
          </cell>
        </row>
        <row r="36">
          <cell r="C36" t="str">
            <v>0106-Electronics including Computer Hardware</v>
          </cell>
          <cell r="I36" t="str">
            <v>06-CHANDIGARH</v>
          </cell>
        </row>
        <row r="37">
          <cell r="C37" t="str">
            <v>0107-Engineering goods</v>
          </cell>
          <cell r="I37" t="str">
            <v>07-DADRA AND NAGAR HAVELI</v>
          </cell>
        </row>
        <row r="38">
          <cell r="C38" t="str">
            <v>0108-Fertilizers, Chemicals, Paints</v>
          </cell>
          <cell r="I38" t="str">
            <v>08-DAMAN AND DIU</v>
          </cell>
        </row>
        <row r="39">
          <cell r="C39" t="str">
            <v>0109-Flour &amp; Rice Mills</v>
          </cell>
          <cell r="I39" t="str">
            <v>09-DELHI</v>
          </cell>
        </row>
        <row r="40">
          <cell r="C40" t="str">
            <v>0110-Food Processing units</v>
          </cell>
          <cell r="I40" t="str">
            <v>10-GOA</v>
          </cell>
        </row>
        <row r="41">
          <cell r="C41" t="str">
            <v>0111-Marble &amp; Granite</v>
          </cell>
          <cell r="I41" t="str">
            <v>11-GUJARAT</v>
          </cell>
        </row>
        <row r="42">
          <cell r="C42" t="str">
            <v>0112-Paper</v>
          </cell>
          <cell r="I42" t="str">
            <v>12-HARYANA</v>
          </cell>
        </row>
        <row r="43">
          <cell r="C43" t="str">
            <v>0113-Petroleum and Petrochemicals</v>
          </cell>
          <cell r="I43" t="str">
            <v>13-HIMACHAL PRADESH</v>
          </cell>
        </row>
        <row r="44">
          <cell r="C44" t="str">
            <v>0114-Power and energy</v>
          </cell>
          <cell r="I44" t="str">
            <v>14-JAMMU AND KASHMIR</v>
          </cell>
        </row>
        <row r="45">
          <cell r="C45" t="str">
            <v>0115-Printing &amp; Publishing</v>
          </cell>
          <cell r="I45" t="str">
            <v>15-KARNATAKA</v>
          </cell>
        </row>
        <row r="46">
          <cell r="C46" t="str">
            <v>0116-Rubber</v>
          </cell>
          <cell r="I46" t="str">
            <v>16-KERALA</v>
          </cell>
        </row>
        <row r="47">
          <cell r="C47" t="str">
            <v>0117-Steel</v>
          </cell>
          <cell r="I47" t="str">
            <v>17-LAKHSWADEEP</v>
          </cell>
        </row>
        <row r="48">
          <cell r="C48" t="str">
            <v>0118-Sugar</v>
          </cell>
          <cell r="I48" t="str">
            <v>18-MADHYA PRADESH</v>
          </cell>
        </row>
        <row r="49">
          <cell r="C49" t="str">
            <v>0119-Tea, Coffee</v>
          </cell>
          <cell r="I49" t="str">
            <v>19-MAHARASHTRA</v>
          </cell>
        </row>
        <row r="50">
          <cell r="C50" t="str">
            <v>0120-Textiles, handloom, Power looms</v>
          </cell>
          <cell r="I50" t="str">
            <v>20-MANIPUR</v>
          </cell>
        </row>
        <row r="51">
          <cell r="C51" t="str">
            <v>0121-Tobacco</v>
          </cell>
          <cell r="I51" t="str">
            <v>21-MEGHALAYA</v>
          </cell>
        </row>
        <row r="52">
          <cell r="C52" t="str">
            <v>0122-Tyre</v>
          </cell>
          <cell r="I52" t="str">
            <v>22-MIZORAM</v>
          </cell>
        </row>
        <row r="53">
          <cell r="C53" t="str">
            <v>0123-Vanaspati &amp; Edible Oils</v>
          </cell>
          <cell r="I53" t="str">
            <v>23-NAGALAND</v>
          </cell>
        </row>
        <row r="54">
          <cell r="C54" t="str">
            <v>0124-Others</v>
          </cell>
          <cell r="I54" t="str">
            <v>24-ORISSA</v>
          </cell>
        </row>
        <row r="55">
          <cell r="C55" t="str">
            <v>0201-Chain Stores</v>
          </cell>
          <cell r="I55" t="str">
            <v>25-PONDICHERRY</v>
          </cell>
        </row>
        <row r="56">
          <cell r="C56" t="str">
            <v>0202-Retailers</v>
          </cell>
          <cell r="I56" t="str">
            <v>26-PUNJAB</v>
          </cell>
        </row>
        <row r="57">
          <cell r="C57" t="str">
            <v>0203-Wholesalers</v>
          </cell>
          <cell r="I57" t="str">
            <v>27-RAJASTHAN</v>
          </cell>
        </row>
        <row r="58">
          <cell r="C58" t="str">
            <v>0204-Others</v>
          </cell>
          <cell r="I58" t="str">
            <v>28-SIKKIM</v>
          </cell>
        </row>
        <row r="59">
          <cell r="C59" t="str">
            <v>0301-General Commission Agents</v>
          </cell>
          <cell r="I59" t="str">
            <v>29-TAMILNADU</v>
          </cell>
        </row>
        <row r="60">
          <cell r="C60" t="str">
            <v>0401-Builders</v>
          </cell>
          <cell r="I60" t="str">
            <v>30-TRIPURA</v>
          </cell>
        </row>
        <row r="61">
          <cell r="C61" t="str">
            <v>0402-Estate Agents</v>
          </cell>
          <cell r="I61" t="str">
            <v>31-UTTAR PRADESH</v>
          </cell>
        </row>
        <row r="62">
          <cell r="C62" t="str">
            <v>0403-Property Developers</v>
          </cell>
          <cell r="I62" t="str">
            <v>32-WEST BENGAL</v>
          </cell>
        </row>
        <row r="63">
          <cell r="C63" t="str">
            <v>0404-Others</v>
          </cell>
          <cell r="I63" t="str">
            <v>99-FOREIGN</v>
          </cell>
        </row>
        <row r="64">
          <cell r="C64" t="str">
            <v>0501-Civil Contractors</v>
          </cell>
        </row>
        <row r="65">
          <cell r="C65" t="str">
            <v>0502-Excise Contractors</v>
          </cell>
        </row>
        <row r="66">
          <cell r="C66" t="str">
            <v>0503-Forest Contractors</v>
          </cell>
        </row>
        <row r="67">
          <cell r="C67" t="str">
            <v>0504-Mining Contractors</v>
          </cell>
        </row>
        <row r="68">
          <cell r="C68" t="str">
            <v>0505-Others</v>
          </cell>
        </row>
        <row r="69">
          <cell r="C69" t="str">
            <v>0601-Chartered Accountants, Auditors, etc.</v>
          </cell>
        </row>
        <row r="70">
          <cell r="C70" t="str">
            <v>0602-Fashion designers</v>
          </cell>
        </row>
        <row r="71">
          <cell r="C71" t="str">
            <v>0603-Legal professionals</v>
          </cell>
        </row>
        <row r="72">
          <cell r="C72" t="str">
            <v>0604-Medical professionals</v>
          </cell>
        </row>
        <row r="73">
          <cell r="C73" t="str">
            <v>0605-Nursing Homes</v>
          </cell>
        </row>
        <row r="74">
          <cell r="C74" t="str">
            <v>0606-Specialty hospitals</v>
          </cell>
        </row>
        <row r="75">
          <cell r="C75" t="str">
            <v>0607-Others</v>
          </cell>
        </row>
        <row r="76">
          <cell r="C76" t="str">
            <v>0701-Advertisement agencies</v>
          </cell>
        </row>
        <row r="77">
          <cell r="C77" t="str">
            <v>0702-Beauty Parlours</v>
          </cell>
        </row>
        <row r="78">
          <cell r="C78" t="str">
            <v>0703-Consultancy services</v>
          </cell>
        </row>
        <row r="79">
          <cell r="C79" t="str">
            <v>0704-Courier Agencies</v>
          </cell>
        </row>
        <row r="80">
          <cell r="C80" t="str">
            <v>0705-Computer training/educational and coaching institutes</v>
          </cell>
        </row>
        <row r="81">
          <cell r="C81" t="str">
            <v>0706-Forex Dealers</v>
          </cell>
        </row>
        <row r="82">
          <cell r="C82" t="str">
            <v>0707-Hospitality services</v>
          </cell>
        </row>
        <row r="83">
          <cell r="C83" t="str">
            <v>0708-Hotels</v>
          </cell>
        </row>
        <row r="84">
          <cell r="C84" t="str">
            <v>0709-I.T. enabled services, BPO service providers</v>
          </cell>
        </row>
        <row r="85">
          <cell r="C85" t="str">
            <v>0710-Security agencies</v>
          </cell>
        </row>
        <row r="86">
          <cell r="C86" t="str">
            <v>0711-Software development agencies</v>
          </cell>
        </row>
        <row r="87">
          <cell r="C87" t="str">
            <v>0712-Transporters</v>
          </cell>
        </row>
        <row r="88">
          <cell r="C88" t="str">
            <v>0713-Travel agents, tour operators</v>
          </cell>
        </row>
        <row r="89">
          <cell r="C89" t="str">
            <v>0714-Others</v>
          </cell>
        </row>
        <row r="90">
          <cell r="C90" t="str">
            <v>0801-Banking Companies</v>
          </cell>
        </row>
        <row r="91">
          <cell r="C91" t="str">
            <v>0802-Chit Funds</v>
          </cell>
        </row>
        <row r="92">
          <cell r="C92" t="str">
            <v>0803-Financial Institutions</v>
          </cell>
        </row>
        <row r="93">
          <cell r="C93" t="str">
            <v>0804-Financial service providers</v>
          </cell>
        </row>
        <row r="94">
          <cell r="C94" t="str">
            <v>0805-Leasing Companies</v>
          </cell>
        </row>
        <row r="95">
          <cell r="C95" t="str">
            <v>0806-Money Lenders</v>
          </cell>
        </row>
        <row r="96">
          <cell r="C96" t="str">
            <v>0807-Non-Banking Finance Companies</v>
          </cell>
        </row>
        <row r="97">
          <cell r="C97" t="str">
            <v>0808-Share Brokers, Sub-brokers, etc.</v>
          </cell>
        </row>
        <row r="98">
          <cell r="C98" t="str">
            <v>0809-Others</v>
          </cell>
        </row>
        <row r="99">
          <cell r="C99" t="str">
            <v>0901-Cable T.V. productions</v>
          </cell>
        </row>
        <row r="100">
          <cell r="C100" t="str">
            <v>0902-Film distribution</v>
          </cell>
        </row>
        <row r="101">
          <cell r="C101" t="str">
            <v>0903-Film laboratories</v>
          </cell>
        </row>
        <row r="102">
          <cell r="C102" t="str">
            <v>0904-Motion Picture Producers</v>
          </cell>
        </row>
        <row r="103">
          <cell r="C103" t="str">
            <v>0905-Television Channels</v>
          </cell>
        </row>
        <row r="104">
          <cell r="C104" t="str">
            <v>0906-Others</v>
          </cell>
        </row>
      </sheetData>
      <sheetData sheetId="6" refreshError="1">
        <row r="1">
          <cell r="A1" t="str">
            <v>Part A-BS</v>
          </cell>
        </row>
        <row r="4">
          <cell r="H4">
            <v>15434750000</v>
          </cell>
        </row>
        <row r="5">
          <cell r="H5">
            <v>2075507697</v>
          </cell>
        </row>
        <row r="7">
          <cell r="J7">
            <v>2075507697</v>
          </cell>
        </row>
        <row r="11">
          <cell r="H11">
            <v>3627392</v>
          </cell>
        </row>
        <row r="12">
          <cell r="H12">
            <v>25954999711</v>
          </cell>
        </row>
        <row r="14">
          <cell r="H14">
            <v>1481165260</v>
          </cell>
        </row>
        <row r="15">
          <cell r="H15">
            <v>609373200</v>
          </cell>
        </row>
        <row r="16">
          <cell r="H16">
            <v>812187831</v>
          </cell>
        </row>
        <row r="17">
          <cell r="J17">
            <v>28861353394</v>
          </cell>
        </row>
        <row r="18">
          <cell r="J18">
            <v>30936861091</v>
          </cell>
        </row>
        <row r="24">
          <cell r="H24">
            <v>29779821438</v>
          </cell>
        </row>
        <row r="25">
          <cell r="H25">
            <v>5815875480</v>
          </cell>
        </row>
        <row r="26">
          <cell r="H26">
            <v>35595696918</v>
          </cell>
        </row>
        <row r="27">
          <cell r="J27">
            <v>35595696918</v>
          </cell>
        </row>
        <row r="32">
          <cell r="J32">
            <v>0</v>
          </cell>
        </row>
        <row r="34">
          <cell r="H34">
            <v>16500000000</v>
          </cell>
        </row>
        <row r="35">
          <cell r="H35">
            <v>56880000000</v>
          </cell>
        </row>
        <row r="36">
          <cell r="J36">
            <v>73380000000</v>
          </cell>
        </row>
        <row r="37">
          <cell r="J37">
            <v>73380000000</v>
          </cell>
        </row>
        <row r="38">
          <cell r="J38">
            <v>108975696918</v>
          </cell>
        </row>
        <row r="39">
          <cell r="J39">
            <v>252109983</v>
          </cell>
        </row>
        <row r="40">
          <cell r="J40">
            <v>140164667992</v>
          </cell>
        </row>
        <row r="42">
          <cell r="H42">
            <v>524091257</v>
          </cell>
        </row>
        <row r="43">
          <cell r="H43">
            <v>93080044</v>
          </cell>
        </row>
        <row r="44">
          <cell r="H44">
            <v>431011213</v>
          </cell>
        </row>
        <row r="45">
          <cell r="H45">
            <v>18104045</v>
          </cell>
        </row>
        <row r="46">
          <cell r="J46">
            <v>449115258</v>
          </cell>
        </row>
        <row r="50">
          <cell r="H50">
            <v>3106125000</v>
          </cell>
        </row>
        <row r="51">
          <cell r="J51">
            <v>3106125000</v>
          </cell>
        </row>
        <row r="56">
          <cell r="J56">
            <v>0</v>
          </cell>
        </row>
        <row r="57">
          <cell r="J57">
            <v>3106125000</v>
          </cell>
        </row>
        <row r="65">
          <cell r="J65">
            <v>0</v>
          </cell>
        </row>
        <row r="67">
          <cell r="H67">
            <v>19227043</v>
          </cell>
        </row>
        <row r="68">
          <cell r="H68">
            <v>53962260</v>
          </cell>
        </row>
        <row r="69">
          <cell r="J69">
            <v>73189303</v>
          </cell>
        </row>
        <row r="71">
          <cell r="H71">
            <v>7381370</v>
          </cell>
        </row>
        <row r="72">
          <cell r="H72">
            <v>69393529782</v>
          </cell>
        </row>
        <row r="73">
          <cell r="J73">
            <v>69400911152</v>
          </cell>
        </row>
        <row r="74">
          <cell r="J74">
            <v>743713859</v>
          </cell>
        </row>
        <row r="75">
          <cell r="J75">
            <v>70217814314</v>
          </cell>
        </row>
        <row r="77">
          <cell r="H77">
            <v>4294300000</v>
          </cell>
        </row>
        <row r="78">
          <cell r="H78">
            <v>1135522046</v>
          </cell>
        </row>
        <row r="79">
          <cell r="H79">
            <v>72479222694</v>
          </cell>
        </row>
        <row r="81">
          <cell r="J81">
            <v>77909044740</v>
          </cell>
        </row>
        <row r="82">
          <cell r="J82">
            <v>148126859054</v>
          </cell>
        </row>
        <row r="85">
          <cell r="H85">
            <v>7137703218</v>
          </cell>
        </row>
        <row r="87">
          <cell r="H87">
            <v>1289125</v>
          </cell>
        </row>
        <row r="92">
          <cell r="J92">
            <v>7138992343</v>
          </cell>
        </row>
        <row r="94">
          <cell r="H94">
            <v>517502219</v>
          </cell>
        </row>
        <row r="95">
          <cell r="H95">
            <v>219719</v>
          </cell>
        </row>
        <row r="97">
          <cell r="H97">
            <v>89386246</v>
          </cell>
        </row>
        <row r="98">
          <cell r="H98">
            <v>1213499586</v>
          </cell>
        </row>
        <row r="99">
          <cell r="H99">
            <v>2186273949</v>
          </cell>
        </row>
        <row r="100">
          <cell r="H100">
            <v>371557258</v>
          </cell>
        </row>
        <row r="101">
          <cell r="J101">
            <v>4378438977</v>
          </cell>
        </row>
        <row r="102">
          <cell r="J102">
            <v>11517431320</v>
          </cell>
        </row>
        <row r="103">
          <cell r="J103">
            <v>136609427734</v>
          </cell>
        </row>
        <row r="107">
          <cell r="J107">
            <v>0</v>
          </cell>
        </row>
        <row r="108">
          <cell r="J108">
            <v>140164667992</v>
          </cell>
        </row>
      </sheetData>
      <sheetData sheetId="7" refreshError="1">
        <row r="1">
          <cell r="A1" t="str">
            <v>Part A-P&amp; L</v>
          </cell>
        </row>
        <row r="2">
          <cell r="J2">
            <v>13256576474</v>
          </cell>
        </row>
        <row r="8">
          <cell r="J8">
            <v>0</v>
          </cell>
        </row>
        <row r="16">
          <cell r="H16">
            <v>376146</v>
          </cell>
        </row>
        <row r="19">
          <cell r="H19">
            <v>21503471</v>
          </cell>
        </row>
        <row r="20">
          <cell r="J20">
            <v>21879617</v>
          </cell>
        </row>
        <row r="22">
          <cell r="J22">
            <v>13278456091</v>
          </cell>
        </row>
        <row r="33">
          <cell r="J33">
            <v>0</v>
          </cell>
        </row>
        <row r="36">
          <cell r="J36">
            <v>38264101</v>
          </cell>
        </row>
        <row r="37">
          <cell r="J37">
            <v>191348436</v>
          </cell>
        </row>
        <row r="38">
          <cell r="J38">
            <v>43219153</v>
          </cell>
        </row>
        <row r="39">
          <cell r="J39">
            <v>10263969</v>
          </cell>
        </row>
        <row r="41">
          <cell r="H41">
            <v>1981781217</v>
          </cell>
        </row>
        <row r="46">
          <cell r="H46">
            <v>24556848</v>
          </cell>
        </row>
        <row r="47">
          <cell r="H47">
            <v>22340659</v>
          </cell>
        </row>
        <row r="48">
          <cell r="H48">
            <v>6361551</v>
          </cell>
        </row>
        <row r="49">
          <cell r="H49">
            <v>29003331</v>
          </cell>
        </row>
        <row r="52">
          <cell r="J52">
            <v>2064043606</v>
          </cell>
        </row>
        <row r="58">
          <cell r="J58">
            <v>0</v>
          </cell>
        </row>
        <row r="59">
          <cell r="J59">
            <v>5633902</v>
          </cell>
        </row>
        <row r="62">
          <cell r="J62">
            <v>16241</v>
          </cell>
        </row>
        <row r="63">
          <cell r="J63">
            <v>4024416</v>
          </cell>
        </row>
        <row r="64">
          <cell r="J64">
            <v>50922185</v>
          </cell>
        </row>
        <row r="65">
          <cell r="J65">
            <v>197445761</v>
          </cell>
        </row>
        <row r="66">
          <cell r="J66">
            <v>17895400</v>
          </cell>
        </row>
        <row r="67">
          <cell r="J67">
            <v>7073516</v>
          </cell>
        </row>
        <row r="68">
          <cell r="J68">
            <v>33125083</v>
          </cell>
        </row>
        <row r="69">
          <cell r="J69">
            <v>86182922</v>
          </cell>
        </row>
        <row r="71">
          <cell r="J71">
            <v>2440400</v>
          </cell>
        </row>
        <row r="72">
          <cell r="J72">
            <v>30022</v>
          </cell>
        </row>
        <row r="81">
          <cell r="H81">
            <v>1873753</v>
          </cell>
        </row>
        <row r="82">
          <cell r="J82">
            <v>1873753</v>
          </cell>
        </row>
        <row r="83">
          <cell r="J83">
            <v>8250000</v>
          </cell>
        </row>
        <row r="84">
          <cell r="J84">
            <v>239805216</v>
          </cell>
        </row>
        <row r="85">
          <cell r="J85">
            <v>444455245</v>
          </cell>
        </row>
        <row r="86">
          <cell r="J86">
            <v>455120499</v>
          </cell>
        </row>
        <row r="88">
          <cell r="J88">
            <v>9377022265</v>
          </cell>
        </row>
        <row r="89">
          <cell r="J89">
            <v>3647882803</v>
          </cell>
        </row>
        <row r="90">
          <cell r="J90">
            <v>60511284</v>
          </cell>
        </row>
        <row r="91">
          <cell r="J91">
            <v>5668628178</v>
          </cell>
        </row>
        <row r="92">
          <cell r="J92">
            <v>1876377592</v>
          </cell>
        </row>
        <row r="93">
          <cell r="J93">
            <v>11658771</v>
          </cell>
        </row>
        <row r="94">
          <cell r="J94">
            <v>-39108040</v>
          </cell>
        </row>
        <row r="95">
          <cell r="J95">
            <v>3819699855</v>
          </cell>
        </row>
        <row r="96">
          <cell r="J96">
            <v>797996330</v>
          </cell>
        </row>
        <row r="97">
          <cell r="J97">
            <v>4617696185</v>
          </cell>
        </row>
        <row r="99">
          <cell r="H99">
            <v>1146005489</v>
          </cell>
        </row>
        <row r="100">
          <cell r="H100">
            <v>2273176516</v>
          </cell>
        </row>
        <row r="101">
          <cell r="H101">
            <v>386326349</v>
          </cell>
        </row>
        <row r="103">
          <cell r="J103">
            <v>3805508354</v>
          </cell>
        </row>
        <row r="104">
          <cell r="J104">
            <v>812187831</v>
          </cell>
        </row>
        <row r="109">
          <cell r="J109">
            <v>0</v>
          </cell>
        </row>
      </sheetData>
      <sheetData sheetId="8" refreshError="1">
        <row r="1">
          <cell r="A1" t="str">
            <v>Part A- OI</v>
          </cell>
        </row>
        <row r="2">
          <cell r="J2" t="str">
            <v>MERC</v>
          </cell>
        </row>
        <row r="3">
          <cell r="J3" t="str">
            <v>N</v>
          </cell>
        </row>
        <row r="4">
          <cell r="O4" t="str">
            <v>MERC</v>
          </cell>
          <cell r="P4" t="str">
            <v>Y</v>
          </cell>
          <cell r="Q4">
            <v>1</v>
          </cell>
          <cell r="R4">
            <v>1</v>
          </cell>
          <cell r="S4" t="str">
            <v>Y</v>
          </cell>
        </row>
        <row r="5">
          <cell r="O5" t="str">
            <v>CASH</v>
          </cell>
          <cell r="P5" t="str">
            <v>N</v>
          </cell>
          <cell r="Q5">
            <v>2</v>
          </cell>
          <cell r="R5">
            <v>2</v>
          </cell>
          <cell r="S5" t="str">
            <v>N</v>
          </cell>
        </row>
        <row r="6">
          <cell r="Q6">
            <v>3</v>
          </cell>
          <cell r="R6">
            <v>3</v>
          </cell>
        </row>
        <row r="11">
          <cell r="H11">
            <v>873277561</v>
          </cell>
        </row>
        <row r="16">
          <cell r="J16">
            <v>873277561</v>
          </cell>
        </row>
        <row r="24">
          <cell r="H24">
            <v>25700000</v>
          </cell>
        </row>
        <row r="28">
          <cell r="H28">
            <v>455120499</v>
          </cell>
        </row>
        <row r="33">
          <cell r="J33">
            <v>480820499</v>
          </cell>
        </row>
        <row r="35">
          <cell r="H35">
            <v>68687699</v>
          </cell>
        </row>
        <row r="41">
          <cell r="H41">
            <v>45106244</v>
          </cell>
        </row>
        <row r="42">
          <cell r="H42">
            <v>4009652</v>
          </cell>
        </row>
        <row r="43">
          <cell r="J43">
            <v>117803595</v>
          </cell>
        </row>
        <row r="49">
          <cell r="H49">
            <v>70420</v>
          </cell>
        </row>
        <row r="52">
          <cell r="J52">
            <v>70420</v>
          </cell>
        </row>
        <row r="57">
          <cell r="H57">
            <v>6361551</v>
          </cell>
        </row>
        <row r="60">
          <cell r="J60">
            <v>6361551</v>
          </cell>
        </row>
        <row r="68">
          <cell r="J68">
            <v>0</v>
          </cell>
        </row>
        <row r="76">
          <cell r="J76">
            <v>0</v>
          </cell>
        </row>
        <row r="79">
          <cell r="H79">
            <v>22837562</v>
          </cell>
        </row>
        <row r="82">
          <cell r="J82">
            <v>22837562</v>
          </cell>
        </row>
      </sheetData>
      <sheetData sheetId="9" refreshError="1">
        <row r="1">
          <cell r="A1" t="str">
            <v>Part A – QD</v>
          </cell>
        </row>
        <row r="26">
          <cell r="A26" t="str">
            <v>(b) In the case of a manufacturing concern - Raw Materials</v>
          </cell>
        </row>
        <row r="51">
          <cell r="A51" t="str">
            <v>(C) In the case of a manufacturing concern - Finished Goods</v>
          </cell>
        </row>
        <row r="77">
          <cell r="A77" t="str">
            <v>101-gms</v>
          </cell>
          <cell r="B77" t="str">
            <v>101-gms</v>
          </cell>
          <cell r="C77" t="str">
            <v>101-gms</v>
          </cell>
        </row>
        <row r="78">
          <cell r="A78" t="str">
            <v>102-kilograms</v>
          </cell>
          <cell r="B78" t="str">
            <v>102-kilograms</v>
          </cell>
          <cell r="C78" t="str">
            <v>102-kilograms</v>
          </cell>
        </row>
        <row r="79">
          <cell r="A79" t="str">
            <v>103-litre</v>
          </cell>
          <cell r="B79" t="str">
            <v>103-litre</v>
          </cell>
          <cell r="C79" t="str">
            <v>103-litre</v>
          </cell>
        </row>
        <row r="80">
          <cell r="A80" t="str">
            <v>104-kilolitre</v>
          </cell>
          <cell r="B80" t="str">
            <v>104-kilolitre</v>
          </cell>
          <cell r="C80" t="str">
            <v>104-kilolitre</v>
          </cell>
        </row>
        <row r="81">
          <cell r="A81" t="str">
            <v>105-metre</v>
          </cell>
          <cell r="B81" t="str">
            <v>105-metre</v>
          </cell>
          <cell r="C81" t="str">
            <v>105-metre</v>
          </cell>
        </row>
        <row r="82">
          <cell r="A82" t="str">
            <v>106-kilometre</v>
          </cell>
          <cell r="B82" t="str">
            <v>106-kilometre</v>
          </cell>
          <cell r="C82" t="str">
            <v>106-kilometre</v>
          </cell>
        </row>
        <row r="83">
          <cell r="A83" t="str">
            <v>107-numbers</v>
          </cell>
          <cell r="B83" t="str">
            <v>107-numbers</v>
          </cell>
          <cell r="C83" t="str">
            <v>107-numbers</v>
          </cell>
        </row>
        <row r="84">
          <cell r="A84" t="str">
            <v>108-quintal</v>
          </cell>
          <cell r="B84" t="str">
            <v>108-quintal</v>
          </cell>
          <cell r="C84" t="str">
            <v>108-quintal</v>
          </cell>
        </row>
        <row r="85">
          <cell r="A85" t="str">
            <v>109-ton</v>
          </cell>
          <cell r="B85" t="str">
            <v>109-ton</v>
          </cell>
          <cell r="C85" t="str">
            <v>109-ton</v>
          </cell>
        </row>
        <row r="86">
          <cell r="A86" t="str">
            <v>110-pound</v>
          </cell>
          <cell r="B86" t="str">
            <v>110-pound</v>
          </cell>
          <cell r="C86" t="str">
            <v>110-pound</v>
          </cell>
        </row>
        <row r="87">
          <cell r="A87" t="str">
            <v>111-milligrams</v>
          </cell>
          <cell r="B87" t="str">
            <v>111-milligrams</v>
          </cell>
          <cell r="C87" t="str">
            <v>111-milligrams</v>
          </cell>
        </row>
        <row r="88">
          <cell r="A88" t="str">
            <v>112-carat</v>
          </cell>
          <cell r="B88" t="str">
            <v>112-carat</v>
          </cell>
          <cell r="C88" t="str">
            <v>112-carat</v>
          </cell>
        </row>
        <row r="89">
          <cell r="A89" t="str">
            <v>113-numbers (1000s)</v>
          </cell>
          <cell r="B89" t="str">
            <v>113-numbers (1000s)</v>
          </cell>
          <cell r="C89" t="str">
            <v>113-numbers (1000s)</v>
          </cell>
        </row>
        <row r="90">
          <cell r="A90" t="str">
            <v>114-kwatt</v>
          </cell>
          <cell r="B90" t="str">
            <v>114-kwatt</v>
          </cell>
          <cell r="C90" t="str">
            <v>114-kwatt</v>
          </cell>
        </row>
        <row r="91">
          <cell r="A91" t="str">
            <v>115-mwatt</v>
          </cell>
          <cell r="B91" t="str">
            <v>115-mwatt</v>
          </cell>
          <cell r="C91" t="str">
            <v>115-mwatt</v>
          </cell>
        </row>
        <row r="92">
          <cell r="A92" t="str">
            <v>116-inch</v>
          </cell>
          <cell r="B92" t="str">
            <v>116-inch</v>
          </cell>
          <cell r="C92" t="str">
            <v>116-inch</v>
          </cell>
        </row>
        <row r="93">
          <cell r="A93" t="str">
            <v>117-feet</v>
          </cell>
          <cell r="B93" t="str">
            <v>117-feet</v>
          </cell>
          <cell r="C93" t="str">
            <v>117-feet</v>
          </cell>
        </row>
        <row r="94">
          <cell r="A94" t="str">
            <v>118-sqft</v>
          </cell>
          <cell r="B94" t="str">
            <v>118-sqft</v>
          </cell>
          <cell r="C94" t="str">
            <v>118-sqft</v>
          </cell>
        </row>
        <row r="95">
          <cell r="A95" t="str">
            <v>119-acre</v>
          </cell>
          <cell r="B95" t="str">
            <v>119-acre</v>
          </cell>
          <cell r="C95" t="str">
            <v>119-acre</v>
          </cell>
        </row>
        <row r="96">
          <cell r="A96" t="str">
            <v>120-cubicft</v>
          </cell>
          <cell r="B96" t="str">
            <v>120-cubicft</v>
          </cell>
          <cell r="C96" t="str">
            <v>120-cubicft</v>
          </cell>
        </row>
        <row r="97">
          <cell r="A97" t="str">
            <v>121-sqmetre</v>
          </cell>
          <cell r="B97" t="str">
            <v>121-sqmetre</v>
          </cell>
          <cell r="C97" t="str">
            <v>121-sqmetre</v>
          </cell>
        </row>
        <row r="98">
          <cell r="A98" t="str">
            <v>122-cubicmetre</v>
          </cell>
          <cell r="B98" t="str">
            <v>122-cubicmetre</v>
          </cell>
          <cell r="C98" t="str">
            <v>122-cubicmetre</v>
          </cell>
        </row>
        <row r="99">
          <cell r="A99" t="str">
            <v>999-residual</v>
          </cell>
          <cell r="B99" t="str">
            <v>999-residual</v>
          </cell>
          <cell r="C99" t="str">
            <v>999-residual</v>
          </cell>
        </row>
      </sheetData>
      <sheetData sheetId="10" refreshError="1">
        <row r="1">
          <cell r="A1" t="str">
            <v>Part B - TI</v>
          </cell>
        </row>
        <row r="2">
          <cell r="J2">
            <v>0</v>
          </cell>
        </row>
        <row r="4">
          <cell r="H4">
            <v>5588631118</v>
          </cell>
        </row>
        <row r="5">
          <cell r="H5">
            <v>0</v>
          </cell>
        </row>
        <row r="6">
          <cell r="J6">
            <v>5588631118</v>
          </cell>
        </row>
        <row r="9">
          <cell r="H9">
            <v>0</v>
          </cell>
        </row>
        <row r="10">
          <cell r="H10">
            <v>376146</v>
          </cell>
        </row>
        <row r="11">
          <cell r="H11">
            <v>376146</v>
          </cell>
        </row>
        <row r="12">
          <cell r="H12">
            <v>0</v>
          </cell>
        </row>
        <row r="13">
          <cell r="J13">
            <v>376146</v>
          </cell>
        </row>
        <row r="15">
          <cell r="H15">
            <v>0</v>
          </cell>
        </row>
        <row r="16">
          <cell r="H16">
            <v>0</v>
          </cell>
        </row>
        <row r="17">
          <cell r="J17">
            <v>0</v>
          </cell>
        </row>
        <row r="18">
          <cell r="J18">
            <v>5589007264</v>
          </cell>
        </row>
        <row r="19">
          <cell r="J19">
            <v>0</v>
          </cell>
        </row>
        <row r="20">
          <cell r="J20">
            <v>5589007264</v>
          </cell>
        </row>
        <row r="21">
          <cell r="J21">
            <v>0</v>
          </cell>
        </row>
        <row r="22">
          <cell r="J22">
            <v>5589007264</v>
          </cell>
        </row>
        <row r="23">
          <cell r="J23">
            <v>500000</v>
          </cell>
        </row>
        <row r="24">
          <cell r="J24">
            <v>5588507264</v>
          </cell>
        </row>
        <row r="25">
          <cell r="J25">
            <v>0</v>
          </cell>
        </row>
        <row r="26">
          <cell r="J26">
            <v>5588507264</v>
          </cell>
        </row>
        <row r="27">
          <cell r="J27">
            <v>0</v>
          </cell>
        </row>
        <row r="30">
          <cell r="A30" t="str">
            <v>Part B - TTI</v>
          </cell>
        </row>
        <row r="33">
          <cell r="H33">
            <v>1676439334</v>
          </cell>
        </row>
        <row r="34">
          <cell r="H34">
            <v>37615</v>
          </cell>
        </row>
        <row r="35">
          <cell r="J35">
            <v>1676476949</v>
          </cell>
        </row>
        <row r="39">
          <cell r="J39">
            <v>0</v>
          </cell>
        </row>
        <row r="40">
          <cell r="J40">
            <v>1676476949</v>
          </cell>
        </row>
        <row r="41">
          <cell r="J41">
            <v>167647695</v>
          </cell>
        </row>
        <row r="42">
          <cell r="J42">
            <v>55323739</v>
          </cell>
        </row>
        <row r="43">
          <cell r="J43">
            <v>1899448383</v>
          </cell>
        </row>
        <row r="47">
          <cell r="J47">
            <v>0</v>
          </cell>
        </row>
        <row r="48">
          <cell r="J48">
            <v>1899448383</v>
          </cell>
        </row>
        <row r="50">
          <cell r="H50">
            <v>0</v>
          </cell>
        </row>
        <row r="51">
          <cell r="H51">
            <v>0</v>
          </cell>
        </row>
        <row r="52">
          <cell r="H52">
            <v>22658397</v>
          </cell>
        </row>
        <row r="53">
          <cell r="J53">
            <v>22658397</v>
          </cell>
        </row>
        <row r="54">
          <cell r="J54">
            <v>1922106780</v>
          </cell>
        </row>
        <row r="56">
          <cell r="H56">
            <v>650000000</v>
          </cell>
        </row>
        <row r="57">
          <cell r="H57">
            <v>1203242494</v>
          </cell>
        </row>
        <row r="58">
          <cell r="H58">
            <v>0</v>
          </cell>
        </row>
        <row r="59">
          <cell r="H59">
            <v>114210364</v>
          </cell>
        </row>
        <row r="60">
          <cell r="J60">
            <v>1967452858</v>
          </cell>
        </row>
        <row r="61">
          <cell r="J61">
            <v>0</v>
          </cell>
        </row>
        <row r="62">
          <cell r="J62">
            <v>45346078</v>
          </cell>
        </row>
      </sheetData>
      <sheetData sheetId="11" refreshError="1">
        <row r="2">
          <cell r="A2" t="str">
            <v>Part C</v>
          </cell>
        </row>
        <row r="4">
          <cell r="H4">
            <v>6500545</v>
          </cell>
        </row>
        <row r="5">
          <cell r="H5">
            <v>8544000</v>
          </cell>
        </row>
        <row r="6">
          <cell r="H6">
            <v>175716533</v>
          </cell>
        </row>
        <row r="7">
          <cell r="H7">
            <v>7965000</v>
          </cell>
        </row>
        <row r="8">
          <cell r="J8">
            <v>198726078</v>
          </cell>
        </row>
        <row r="9">
          <cell r="J9">
            <v>59617823</v>
          </cell>
          <cell r="IV9" t="str">
            <v>Yes</v>
          </cell>
        </row>
        <row r="10">
          <cell r="J10">
            <v>5961782</v>
          </cell>
          <cell r="IV10" t="str">
            <v>No</v>
          </cell>
        </row>
        <row r="11">
          <cell r="J11">
            <v>1967388</v>
          </cell>
        </row>
        <row r="12">
          <cell r="J12">
            <v>67546993</v>
          </cell>
        </row>
        <row r="14">
          <cell r="H14">
            <v>21364</v>
          </cell>
        </row>
        <row r="15">
          <cell r="H15">
            <v>0</v>
          </cell>
        </row>
        <row r="16">
          <cell r="J16">
            <v>21364</v>
          </cell>
        </row>
        <row r="17">
          <cell r="J17">
            <v>67568357</v>
          </cell>
        </row>
        <row r="19">
          <cell r="H19">
            <v>68100000</v>
          </cell>
        </row>
        <row r="20">
          <cell r="H20">
            <v>0</v>
          </cell>
        </row>
        <row r="21">
          <cell r="J21">
            <v>68100000</v>
          </cell>
        </row>
        <row r="22">
          <cell r="J22">
            <v>0</v>
          </cell>
        </row>
        <row r="23">
          <cell r="J23">
            <v>531643</v>
          </cell>
        </row>
        <row r="27">
          <cell r="A27" t="str">
            <v>VERIFICATION</v>
          </cell>
        </row>
        <row r="28">
          <cell r="F28" t="str">
            <v>GAGAN BANGA</v>
          </cell>
        </row>
        <row r="29">
          <cell r="F29" t="str">
            <v>MR.P.K. BANGA</v>
          </cell>
        </row>
        <row r="33">
          <cell r="F33" t="str">
            <v>DIRECTOR</v>
          </cell>
        </row>
        <row r="34">
          <cell r="F34" t="str">
            <v>DELHI</v>
          </cell>
        </row>
        <row r="35">
          <cell r="F35" t="str">
            <v>10/10/2008</v>
          </cell>
        </row>
        <row r="36">
          <cell r="A36" t="str">
            <v>Schedule BA</v>
          </cell>
        </row>
        <row r="37">
          <cell r="J37" t="str">
            <v>00030340013022</v>
          </cell>
        </row>
        <row r="38">
          <cell r="J38" t="str">
            <v>Yes</v>
          </cell>
        </row>
        <row r="39">
          <cell r="J39" t="str">
            <v>110240001</v>
          </cell>
        </row>
        <row r="40">
          <cell r="J40" t="str">
            <v>Current</v>
          </cell>
        </row>
      </sheetData>
      <sheetData sheetId="12" refreshError="1">
        <row r="1">
          <cell r="A1" t="str">
            <v>Schedule HP</v>
          </cell>
        </row>
        <row r="2">
          <cell r="D2" t="str">
            <v xml:space="preserve">Address of property </v>
          </cell>
          <cell r="E2" t="str">
            <v>Town/ City</v>
          </cell>
          <cell r="F2" t="str">
            <v>State</v>
          </cell>
          <cell r="H2" t="str">
            <v>PIN CODE</v>
          </cell>
          <cell r="L2">
            <v>3</v>
          </cell>
        </row>
        <row r="3">
          <cell r="H3">
            <v>0</v>
          </cell>
          <cell r="L3">
            <v>13</v>
          </cell>
        </row>
        <row r="4">
          <cell r="D4" t="str">
            <v>Is the property let out ?</v>
          </cell>
          <cell r="E4" t="str">
            <v>Name of Tenant</v>
          </cell>
          <cell r="H4" t="str">
            <v>PAN of Tenant (optional)</v>
          </cell>
        </row>
        <row r="6">
          <cell r="C6" t="str">
            <v>a</v>
          </cell>
          <cell r="D6" t="str">
            <v xml:space="preserve">Annual letable value/ rent received or receivable </v>
          </cell>
          <cell r="I6" t="str">
            <v>a</v>
          </cell>
        </row>
        <row r="7">
          <cell r="C7" t="str">
            <v>b</v>
          </cell>
          <cell r="D7" t="str">
            <v>The amount of rent which cannot be realized</v>
          </cell>
          <cell r="G7" t="str">
            <v>b</v>
          </cell>
        </row>
        <row r="8">
          <cell r="C8" t="str">
            <v>c</v>
          </cell>
          <cell r="D8" t="str">
            <v>Tax paid to local authorities</v>
          </cell>
          <cell r="G8" t="str">
            <v>c</v>
          </cell>
        </row>
        <row r="9">
          <cell r="C9" t="str">
            <v>d</v>
          </cell>
          <cell r="D9" t="str">
            <v>Total (b + c)</v>
          </cell>
          <cell r="G9" t="str">
            <v>d</v>
          </cell>
          <cell r="H9">
            <v>0</v>
          </cell>
        </row>
        <row r="10">
          <cell r="C10" t="str">
            <v>e</v>
          </cell>
          <cell r="D10" t="str">
            <v>Balance (a – d)</v>
          </cell>
          <cell r="I10" t="str">
            <v>e</v>
          </cell>
          <cell r="J10">
            <v>0</v>
          </cell>
        </row>
        <row r="11">
          <cell r="C11" t="str">
            <v>f</v>
          </cell>
          <cell r="D11" t="str">
            <v>30% of  e</v>
          </cell>
          <cell r="G11" t="str">
            <v>f</v>
          </cell>
          <cell r="H11">
            <v>0</v>
          </cell>
        </row>
        <row r="12">
          <cell r="C12" t="str">
            <v>g</v>
          </cell>
          <cell r="D12" t="str">
            <v xml:space="preserve">Interest payable on borrowed capital </v>
          </cell>
          <cell r="F12" t="str">
            <v>Cannot exceed 1.5 lacs if not let out</v>
          </cell>
          <cell r="G12" t="str">
            <v>g</v>
          </cell>
        </row>
        <row r="13">
          <cell r="C13" t="str">
            <v>h</v>
          </cell>
          <cell r="D13" t="str">
            <v>Total (f + g)</v>
          </cell>
          <cell r="I13" t="str">
            <v>h</v>
          </cell>
          <cell r="J13">
            <v>0</v>
          </cell>
        </row>
        <row r="14">
          <cell r="C14" t="str">
            <v>i</v>
          </cell>
          <cell r="D14" t="str">
            <v>Income from house property (e – h)</v>
          </cell>
          <cell r="I14" t="str">
            <v>i</v>
          </cell>
          <cell r="J14">
            <v>0</v>
          </cell>
        </row>
        <row r="15">
          <cell r="D15" t="str">
            <v xml:space="preserve">Address of property </v>
          </cell>
          <cell r="E15" t="str">
            <v>Town/ City</v>
          </cell>
          <cell r="F15" t="str">
            <v>State</v>
          </cell>
          <cell r="H15" t="str">
            <v>PIN CODE</v>
          </cell>
        </row>
        <row r="17">
          <cell r="D17" t="str">
            <v>Is the property let out ?</v>
          </cell>
          <cell r="E17" t="str">
            <v>Name of Tenant</v>
          </cell>
          <cell r="H17" t="str">
            <v>PAN of Tenant (optional)</v>
          </cell>
        </row>
        <row r="19">
          <cell r="C19" t="str">
            <v>a</v>
          </cell>
          <cell r="D19" t="str">
            <v xml:space="preserve">Annual letable value/ rent received or receivable </v>
          </cell>
          <cell r="I19" t="str">
            <v>a</v>
          </cell>
        </row>
        <row r="20">
          <cell r="C20" t="str">
            <v>b</v>
          </cell>
          <cell r="D20" t="str">
            <v>The amount of rent which cannot be realized</v>
          </cell>
          <cell r="G20" t="str">
            <v>b</v>
          </cell>
        </row>
        <row r="21">
          <cell r="C21" t="str">
            <v>c</v>
          </cell>
          <cell r="D21" t="str">
            <v>Tax paid to local authorities</v>
          </cell>
          <cell r="G21" t="str">
            <v>c</v>
          </cell>
        </row>
        <row r="22">
          <cell r="C22" t="str">
            <v>d</v>
          </cell>
          <cell r="D22" t="str">
            <v>Total (b + c)</v>
          </cell>
          <cell r="G22" t="str">
            <v>d</v>
          </cell>
          <cell r="H22">
            <v>0</v>
          </cell>
        </row>
        <row r="23">
          <cell r="C23" t="str">
            <v>e</v>
          </cell>
          <cell r="D23" t="str">
            <v>Balance (a – d)</v>
          </cell>
          <cell r="I23" t="str">
            <v>e</v>
          </cell>
          <cell r="J23">
            <v>0</v>
          </cell>
        </row>
        <row r="24">
          <cell r="C24" t="str">
            <v>f</v>
          </cell>
          <cell r="D24" t="str">
            <v>30% of  e</v>
          </cell>
          <cell r="G24" t="str">
            <v>f</v>
          </cell>
          <cell r="H24">
            <v>0</v>
          </cell>
        </row>
        <row r="25">
          <cell r="C25" t="str">
            <v>g</v>
          </cell>
          <cell r="D25" t="str">
            <v xml:space="preserve">Interest payable on borrowed capital </v>
          </cell>
          <cell r="F25" t="str">
            <v>Cannot exceed 1.5 lacs if not let out</v>
          </cell>
          <cell r="G25" t="str">
            <v>g</v>
          </cell>
        </row>
        <row r="26">
          <cell r="C26" t="str">
            <v>h</v>
          </cell>
          <cell r="D26" t="str">
            <v>Total (f + g)</v>
          </cell>
          <cell r="I26" t="str">
            <v>h</v>
          </cell>
          <cell r="J26">
            <v>0</v>
          </cell>
        </row>
        <row r="27">
          <cell r="C27" t="str">
            <v>i</v>
          </cell>
          <cell r="D27" t="str">
            <v>Income from house property (e – h)</v>
          </cell>
          <cell r="I27" t="str">
            <v>i</v>
          </cell>
          <cell r="J27">
            <v>0</v>
          </cell>
        </row>
        <row r="28">
          <cell r="D28" t="str">
            <v xml:space="preserve">Address of property </v>
          </cell>
          <cell r="E28" t="str">
            <v>Town/ City</v>
          </cell>
          <cell r="F28" t="str">
            <v>State</v>
          </cell>
          <cell r="H28" t="str">
            <v>PIN CODE</v>
          </cell>
        </row>
        <row r="30">
          <cell r="D30" t="str">
            <v>Is the property let out ?</v>
          </cell>
          <cell r="E30" t="str">
            <v>Name of Tenant</v>
          </cell>
          <cell r="H30" t="str">
            <v>PAN of Tenant (optional)</v>
          </cell>
        </row>
        <row r="32">
          <cell r="C32" t="str">
            <v>a</v>
          </cell>
          <cell r="D32" t="str">
            <v xml:space="preserve">Annual letable value/ rent received or receivable </v>
          </cell>
          <cell r="I32" t="str">
            <v>a</v>
          </cell>
        </row>
        <row r="33">
          <cell r="C33" t="str">
            <v>b</v>
          </cell>
          <cell r="D33" t="str">
            <v>The amount of rent which cannot be realized</v>
          </cell>
          <cell r="G33" t="str">
            <v>b</v>
          </cell>
        </row>
        <row r="34">
          <cell r="C34" t="str">
            <v>c</v>
          </cell>
          <cell r="D34" t="str">
            <v>Tax paid to local authorities</v>
          </cell>
          <cell r="G34" t="str">
            <v>c</v>
          </cell>
        </row>
        <row r="35">
          <cell r="C35" t="str">
            <v>d</v>
          </cell>
          <cell r="D35" t="str">
            <v>Total (b + c)</v>
          </cell>
          <cell r="G35" t="str">
            <v>d</v>
          </cell>
          <cell r="H35">
            <v>0</v>
          </cell>
        </row>
        <row r="36">
          <cell r="C36" t="str">
            <v>e</v>
          </cell>
          <cell r="D36" t="str">
            <v>Balance (a – d)</v>
          </cell>
          <cell r="I36" t="str">
            <v>e</v>
          </cell>
          <cell r="J36">
            <v>0</v>
          </cell>
        </row>
        <row r="37">
          <cell r="C37" t="str">
            <v>f</v>
          </cell>
          <cell r="D37" t="str">
            <v>30% of  e</v>
          </cell>
          <cell r="G37" t="str">
            <v>f</v>
          </cell>
          <cell r="H37">
            <v>0</v>
          </cell>
        </row>
        <row r="38">
          <cell r="C38" t="str">
            <v>g</v>
          </cell>
          <cell r="D38" t="str">
            <v xml:space="preserve">Interest payable on borrowed capital </v>
          </cell>
          <cell r="F38" t="str">
            <v>Cannot exceed 1.5 lacs if not let out</v>
          </cell>
          <cell r="G38" t="str">
            <v>g</v>
          </cell>
        </row>
        <row r="39">
          <cell r="C39" t="str">
            <v>h</v>
          </cell>
          <cell r="D39" t="str">
            <v>Total (f + g)</v>
          </cell>
          <cell r="I39" t="str">
            <v>h</v>
          </cell>
          <cell r="J39">
            <v>0</v>
          </cell>
        </row>
        <row r="40">
          <cell r="C40" t="str">
            <v>i</v>
          </cell>
          <cell r="D40" t="str">
            <v>Income from house property (e – h)</v>
          </cell>
          <cell r="I40" t="str">
            <v>i</v>
          </cell>
          <cell r="J40">
            <v>0</v>
          </cell>
        </row>
        <row r="44">
          <cell r="J44">
            <v>0</v>
          </cell>
        </row>
        <row r="61">
          <cell r="D61" t="str">
            <v>01-ANDAMAN AND NICOBAR ISLANDS</v>
          </cell>
          <cell r="F61" t="str">
            <v>Y</v>
          </cell>
        </row>
        <row r="62">
          <cell r="D62" t="str">
            <v>02-ANDHRA PRADESH</v>
          </cell>
          <cell r="F62" t="str">
            <v>N</v>
          </cell>
        </row>
        <row r="63">
          <cell r="D63" t="str">
            <v>03-ARUNACHAL PRADESH</v>
          </cell>
        </row>
        <row r="64">
          <cell r="D64" t="str">
            <v>04-ASSAM</v>
          </cell>
        </row>
        <row r="65">
          <cell r="D65" t="str">
            <v>05-BIHAR</v>
          </cell>
        </row>
        <row r="66">
          <cell r="D66" t="str">
            <v>06-CHANDIGARH</v>
          </cell>
        </row>
        <row r="67">
          <cell r="D67" t="str">
            <v>07-DADRA AND NAGAR HAVELI</v>
          </cell>
        </row>
        <row r="68">
          <cell r="D68" t="str">
            <v>08-DAMAN AND DIU</v>
          </cell>
        </row>
        <row r="69">
          <cell r="D69" t="str">
            <v>09-DELHI</v>
          </cell>
        </row>
        <row r="70">
          <cell r="D70" t="str">
            <v>10-GOA</v>
          </cell>
        </row>
        <row r="71">
          <cell r="D71" t="str">
            <v>11-GUJARAT</v>
          </cell>
        </row>
        <row r="72">
          <cell r="D72" t="str">
            <v>12-HARYANA</v>
          </cell>
        </row>
        <row r="73">
          <cell r="D73" t="str">
            <v>13-HIMACHAL PRADESH</v>
          </cell>
        </row>
        <row r="74">
          <cell r="D74" t="str">
            <v>14-JAMMU AND KASHMIR</v>
          </cell>
        </row>
        <row r="75">
          <cell r="D75" t="str">
            <v>15-KARNATAKA</v>
          </cell>
        </row>
        <row r="76">
          <cell r="D76" t="str">
            <v>16-KERALA</v>
          </cell>
        </row>
        <row r="77">
          <cell r="D77" t="str">
            <v>17-LAKHSWADEEP</v>
          </cell>
        </row>
        <row r="78">
          <cell r="D78" t="str">
            <v>18-MADHYA PRADESH</v>
          </cell>
        </row>
        <row r="79">
          <cell r="D79" t="str">
            <v>19-MAHARASHTRA</v>
          </cell>
        </row>
        <row r="80">
          <cell r="D80" t="str">
            <v>20-MANIPUR</v>
          </cell>
        </row>
        <row r="81">
          <cell r="D81" t="str">
            <v>21-MEGHALAYA</v>
          </cell>
        </row>
        <row r="82">
          <cell r="D82" t="str">
            <v>22-MIZORAM</v>
          </cell>
        </row>
        <row r="83">
          <cell r="D83" t="str">
            <v>23-NAGALAND</v>
          </cell>
        </row>
        <row r="84">
          <cell r="D84" t="str">
            <v>24-ORISSA</v>
          </cell>
        </row>
        <row r="85">
          <cell r="D85" t="str">
            <v>25-PONDICHERRY</v>
          </cell>
        </row>
        <row r="86">
          <cell r="D86" t="str">
            <v>26-PUNJAB</v>
          </cell>
        </row>
        <row r="87">
          <cell r="D87" t="str">
            <v>27-RAJASTHAN</v>
          </cell>
        </row>
        <row r="88">
          <cell r="D88" t="str">
            <v>28-SIKKIM</v>
          </cell>
        </row>
        <row r="89">
          <cell r="D89" t="str">
            <v>29-TAMILNADU</v>
          </cell>
        </row>
        <row r="90">
          <cell r="D90" t="str">
            <v>30-TRIPURA</v>
          </cell>
        </row>
        <row r="91">
          <cell r="D91" t="str">
            <v>31-UTTAR PRADESH</v>
          </cell>
        </row>
        <row r="92">
          <cell r="D92" t="str">
            <v>32-WEST BENGAL</v>
          </cell>
        </row>
        <row r="93">
          <cell r="D93" t="str">
            <v>33-CHHATISHGARH</v>
          </cell>
        </row>
        <row r="94">
          <cell r="D94" t="str">
            <v>34-UTTARANCHAL</v>
          </cell>
        </row>
        <row r="95">
          <cell r="D95" t="str">
            <v>35-JHARKHAND</v>
          </cell>
        </row>
        <row r="96">
          <cell r="D96" t="str">
            <v>99-FOREIGN</v>
          </cell>
        </row>
      </sheetData>
      <sheetData sheetId="13" refreshError="1">
        <row r="1">
          <cell r="A1" t="str">
            <v>Schedule BP</v>
          </cell>
        </row>
        <row r="3">
          <cell r="J3">
            <v>5668628178</v>
          </cell>
        </row>
        <row r="5">
          <cell r="H5">
            <v>376146</v>
          </cell>
        </row>
        <row r="10">
          <cell r="H10">
            <v>334087092</v>
          </cell>
        </row>
        <row r="11">
          <cell r="H11">
            <v>334087092</v>
          </cell>
        </row>
        <row r="12">
          <cell r="J12">
            <v>5334164940</v>
          </cell>
        </row>
        <row r="15">
          <cell r="H15">
            <v>0</v>
          </cell>
        </row>
        <row r="16">
          <cell r="J16">
            <v>5334164940</v>
          </cell>
        </row>
        <row r="17">
          <cell r="J17">
            <v>60511284</v>
          </cell>
        </row>
        <row r="19">
          <cell r="H19">
            <v>85886972</v>
          </cell>
        </row>
        <row r="21">
          <cell r="J21">
            <v>85886972</v>
          </cell>
        </row>
        <row r="22">
          <cell r="J22">
            <v>5308789252</v>
          </cell>
        </row>
        <row r="23">
          <cell r="H23">
            <v>480820499</v>
          </cell>
        </row>
        <row r="24">
          <cell r="H24">
            <v>117803595</v>
          </cell>
        </row>
        <row r="25">
          <cell r="H25">
            <v>70420</v>
          </cell>
        </row>
        <row r="26">
          <cell r="H26">
            <v>6361551</v>
          </cell>
        </row>
        <row r="27">
          <cell r="H27">
            <v>0</v>
          </cell>
        </row>
        <row r="31">
          <cell r="H31">
            <v>873277561</v>
          </cell>
        </row>
        <row r="33">
          <cell r="J33">
            <v>1478333626</v>
          </cell>
        </row>
        <row r="35">
          <cell r="H35">
            <v>0</v>
          </cell>
        </row>
        <row r="36">
          <cell r="H36">
            <v>0</v>
          </cell>
        </row>
        <row r="37">
          <cell r="H37">
            <v>0</v>
          </cell>
        </row>
        <row r="41">
          <cell r="H41">
            <v>0</v>
          </cell>
        </row>
        <row r="42">
          <cell r="H42">
            <v>1198491760</v>
          </cell>
        </row>
        <row r="43">
          <cell r="J43">
            <v>1198491760</v>
          </cell>
        </row>
        <row r="44">
          <cell r="J44">
            <v>5588631118</v>
          </cell>
        </row>
        <row r="57">
          <cell r="J57">
            <v>0</v>
          </cell>
        </row>
        <row r="58">
          <cell r="J58">
            <v>5588631118</v>
          </cell>
        </row>
        <row r="60">
          <cell r="H60">
            <v>0</v>
          </cell>
        </row>
        <row r="61">
          <cell r="H61">
            <v>0</v>
          </cell>
        </row>
        <row r="62">
          <cell r="H62">
            <v>0</v>
          </cell>
        </row>
        <row r="63">
          <cell r="H63">
            <v>0</v>
          </cell>
        </row>
        <row r="64">
          <cell r="J64">
            <v>0</v>
          </cell>
        </row>
        <row r="65">
          <cell r="J65">
            <v>5588631118</v>
          </cell>
        </row>
        <row r="66">
          <cell r="J66">
            <v>5588631118</v>
          </cell>
        </row>
        <row r="71">
          <cell r="J71">
            <v>0</v>
          </cell>
        </row>
        <row r="72">
          <cell r="J72">
            <v>5588631118</v>
          </cell>
        </row>
      </sheetData>
      <sheetData sheetId="14" refreshError="1">
        <row r="1">
          <cell r="A1" t="str">
            <v>Schedule DPM</v>
          </cell>
          <cell r="C1" t="str">
            <v xml:space="preserve">Depreciation on Plant and Machinery </v>
          </cell>
        </row>
        <row r="2">
          <cell r="A2" t="str">
            <v>DEPRECIATION ON PLANT AND MACHINERY</v>
          </cell>
          <cell r="B2">
            <v>1</v>
          </cell>
          <cell r="C2" t="str">
            <v xml:space="preserve">Block of assets </v>
          </cell>
          <cell r="D2" t="str">
            <v xml:space="preserve">Plant and machinery </v>
          </cell>
        </row>
        <row r="3">
          <cell r="B3">
            <v>2</v>
          </cell>
          <cell r="C3" t="str">
            <v xml:space="preserve">Rate (%) </v>
          </cell>
          <cell r="D3">
            <v>15</v>
          </cell>
          <cell r="E3">
            <v>30</v>
          </cell>
          <cell r="F3">
            <v>40</v>
          </cell>
          <cell r="G3">
            <v>50</v>
          </cell>
          <cell r="H3">
            <v>60</v>
          </cell>
          <cell r="I3">
            <v>80</v>
          </cell>
          <cell r="J3">
            <v>100</v>
          </cell>
        </row>
        <row r="4">
          <cell r="D4" t="str">
            <v xml:space="preserve">(i) </v>
          </cell>
          <cell r="E4" t="str">
            <v xml:space="preserve">(ii) </v>
          </cell>
          <cell r="F4" t="str">
            <v xml:space="preserve">(iii) </v>
          </cell>
          <cell r="G4" t="str">
            <v xml:space="preserve">(iv) </v>
          </cell>
          <cell r="H4" t="str">
            <v xml:space="preserve">(v) </v>
          </cell>
          <cell r="I4" t="str">
            <v xml:space="preserve">(vi) </v>
          </cell>
          <cell r="J4" t="str">
            <v xml:space="preserve">(vii) </v>
          </cell>
        </row>
        <row r="5">
          <cell r="B5">
            <v>3</v>
          </cell>
          <cell r="C5" t="str">
            <v xml:space="preserve">Written down value on the first day of previous year   </v>
          </cell>
          <cell r="D5">
            <v>62061377</v>
          </cell>
          <cell r="H5">
            <v>53338558</v>
          </cell>
        </row>
        <row r="6">
          <cell r="B6">
            <v>4</v>
          </cell>
          <cell r="C6" t="str">
            <v xml:space="preserve">Additions for a period of 180 days or more in the previous year </v>
          </cell>
          <cell r="D6">
            <v>6784388</v>
          </cell>
          <cell r="H6">
            <v>7870884</v>
          </cell>
        </row>
        <row r="7">
          <cell r="B7">
            <v>5</v>
          </cell>
          <cell r="C7" t="str">
            <v>Consideration or other realization during the previous year out of  3 or  4</v>
          </cell>
          <cell r="D7">
            <v>376804</v>
          </cell>
          <cell r="H7">
            <v>402909</v>
          </cell>
        </row>
        <row r="8">
          <cell r="B8">
            <v>6</v>
          </cell>
          <cell r="C8" t="str">
            <v xml:space="preserve">Amount on which depreciation at full rate to be allowed (3 + 4 -5)  </v>
          </cell>
          <cell r="D8">
            <v>68468961</v>
          </cell>
          <cell r="E8">
            <v>0</v>
          </cell>
          <cell r="F8">
            <v>0</v>
          </cell>
          <cell r="G8">
            <v>0</v>
          </cell>
          <cell r="H8">
            <v>60806533</v>
          </cell>
          <cell r="I8">
            <v>0</v>
          </cell>
          <cell r="J8">
            <v>0</v>
          </cell>
        </row>
        <row r="9">
          <cell r="B9">
            <v>7</v>
          </cell>
          <cell r="C9" t="str">
            <v xml:space="preserve">Additions for a period of less than 180 days in the previous year   </v>
          </cell>
          <cell r="D9">
            <v>39228087</v>
          </cell>
          <cell r="H9">
            <v>59677921</v>
          </cell>
        </row>
        <row r="10">
          <cell r="B10">
            <v>8</v>
          </cell>
          <cell r="C10" t="str">
            <v xml:space="preserve">Consideration or other realizations during the year out of 7 </v>
          </cell>
        </row>
        <row r="11">
          <cell r="B11">
            <v>9</v>
          </cell>
          <cell r="C11" t="str">
            <v xml:space="preserve">Amount on which depreciation at half rate to be allowed (7 – 8)   </v>
          </cell>
          <cell r="D11">
            <v>39228087</v>
          </cell>
          <cell r="E11">
            <v>0</v>
          </cell>
          <cell r="F11">
            <v>0</v>
          </cell>
          <cell r="G11">
            <v>0</v>
          </cell>
          <cell r="H11">
            <v>59677921</v>
          </cell>
          <cell r="I11">
            <v>0</v>
          </cell>
          <cell r="J11">
            <v>0</v>
          </cell>
        </row>
        <row r="12">
          <cell r="B12">
            <v>10</v>
          </cell>
          <cell r="C12" t="str">
            <v xml:space="preserve">Depreciation on 6 at full rate  </v>
          </cell>
          <cell r="D12">
            <v>10270344</v>
          </cell>
          <cell r="E12">
            <v>0</v>
          </cell>
          <cell r="F12">
            <v>0</v>
          </cell>
          <cell r="G12">
            <v>0</v>
          </cell>
          <cell r="H12">
            <v>36483920</v>
          </cell>
          <cell r="I12">
            <v>0</v>
          </cell>
          <cell r="J12">
            <v>0</v>
          </cell>
        </row>
        <row r="13">
          <cell r="B13">
            <v>11</v>
          </cell>
          <cell r="C13" t="str">
            <v xml:space="preserve">Depreciation on 9 at half rate </v>
          </cell>
          <cell r="D13">
            <v>2942107</v>
          </cell>
          <cell r="E13">
            <v>0</v>
          </cell>
          <cell r="F13">
            <v>0</v>
          </cell>
          <cell r="G13">
            <v>0</v>
          </cell>
          <cell r="H13">
            <v>17903376</v>
          </cell>
          <cell r="I13">
            <v>0</v>
          </cell>
          <cell r="J13">
            <v>0</v>
          </cell>
        </row>
        <row r="14">
          <cell r="B14">
            <v>12</v>
          </cell>
          <cell r="C14" t="str">
            <v xml:space="preserve">Additional depreciation, if any, on 4 </v>
          </cell>
        </row>
        <row r="15">
          <cell r="B15">
            <v>13</v>
          </cell>
          <cell r="C15" t="str">
            <v xml:space="preserve">Additional depreciation, if any, on 7 </v>
          </cell>
        </row>
        <row r="16">
          <cell r="B16">
            <v>14</v>
          </cell>
          <cell r="C16" t="str">
            <v xml:space="preserve">Total depreciation (10+11+12+13) </v>
          </cell>
          <cell r="D16">
            <v>13212451</v>
          </cell>
          <cell r="E16">
            <v>0</v>
          </cell>
          <cell r="F16">
            <v>0</v>
          </cell>
          <cell r="G16">
            <v>0</v>
          </cell>
          <cell r="H16">
            <v>54387296</v>
          </cell>
          <cell r="I16">
            <v>0</v>
          </cell>
          <cell r="J16">
            <v>0</v>
          </cell>
        </row>
        <row r="17">
          <cell r="B17">
            <v>15</v>
          </cell>
          <cell r="C17" t="str">
            <v xml:space="preserve">Expenditure incurred in connection with transfer of asset/ assets </v>
          </cell>
        </row>
        <row r="18">
          <cell r="B18">
            <v>16</v>
          </cell>
          <cell r="C18" t="str">
            <v>Capital gains/ loss under section 50 (5 + 8 -3-4 -7 -15)  (enter negative only if block ceases to exist)</v>
          </cell>
        </row>
        <row r="19">
          <cell r="B19">
            <v>17</v>
          </cell>
          <cell r="C19" t="str">
            <v xml:space="preserve">Written down value on the last day of previous year* (6+ 9 -14)    </v>
          </cell>
          <cell r="D19">
            <v>94484597</v>
          </cell>
          <cell r="E19">
            <v>0</v>
          </cell>
          <cell r="F19">
            <v>0</v>
          </cell>
          <cell r="G19">
            <v>0</v>
          </cell>
          <cell r="H19">
            <v>66097158</v>
          </cell>
          <cell r="I19">
            <v>0</v>
          </cell>
          <cell r="J19">
            <v>0</v>
          </cell>
        </row>
        <row r="21">
          <cell r="A21" t="str">
            <v xml:space="preserve">Schedule DOA </v>
          </cell>
          <cell r="C21" t="str">
            <v xml:space="preserve">Depreciation on other assets </v>
          </cell>
        </row>
        <row r="22">
          <cell r="A22" t="str">
            <v>DEPRECIATION ON OTHER ASSETS</v>
          </cell>
          <cell r="B22">
            <v>1</v>
          </cell>
          <cell r="C22" t="str">
            <v xml:space="preserve">Block of assets </v>
          </cell>
          <cell r="D22" t="str">
            <v xml:space="preserve">Building </v>
          </cell>
          <cell r="G22" t="str">
            <v>Furniture and fittings</v>
          </cell>
          <cell r="H22" t="str">
            <v xml:space="preserve">Intangible </v>
          </cell>
          <cell r="I22" t="str">
            <v xml:space="preserve">Ships </v>
          </cell>
        </row>
        <row r="24">
          <cell r="B24">
            <v>2</v>
          </cell>
          <cell r="C24" t="str">
            <v xml:space="preserve">Rate (%) </v>
          </cell>
          <cell r="D24">
            <v>5</v>
          </cell>
          <cell r="E24">
            <v>10</v>
          </cell>
          <cell r="F24">
            <v>100</v>
          </cell>
          <cell r="G24">
            <v>10</v>
          </cell>
          <cell r="H24">
            <v>25</v>
          </cell>
          <cell r="I24">
            <v>20</v>
          </cell>
        </row>
        <row r="25">
          <cell r="D25" t="str">
            <v xml:space="preserve">(i) </v>
          </cell>
          <cell r="E25" t="str">
            <v xml:space="preserve">(ii) </v>
          </cell>
          <cell r="F25" t="str">
            <v xml:space="preserve">(iii) </v>
          </cell>
          <cell r="G25" t="str">
            <v xml:space="preserve">(iv) </v>
          </cell>
          <cell r="H25" t="str">
            <v xml:space="preserve">(v) </v>
          </cell>
          <cell r="I25" t="str">
            <v xml:space="preserve">(vi) </v>
          </cell>
        </row>
        <row r="26">
          <cell r="B26">
            <v>3</v>
          </cell>
          <cell r="C26" t="str">
            <v xml:space="preserve">Written down value on the first day of previous year  </v>
          </cell>
          <cell r="G26">
            <v>153285776</v>
          </cell>
        </row>
        <row r="27">
          <cell r="B27">
            <v>4</v>
          </cell>
          <cell r="C27" t="str">
            <v xml:space="preserve">Additions for a period of 180 days or more in the previous year  </v>
          </cell>
          <cell r="G27">
            <v>9890877</v>
          </cell>
        </row>
        <row r="28">
          <cell r="B28">
            <v>5</v>
          </cell>
          <cell r="C28" t="str">
            <v xml:space="preserve">Consideration or other realization during the previous year out of  3 or  4  </v>
          </cell>
        </row>
        <row r="29">
          <cell r="B29">
            <v>6</v>
          </cell>
          <cell r="C29" t="str">
            <v xml:space="preserve">Amount  on which depreciation  at  full rate to be allowed (3 + 4  -5)    </v>
          </cell>
          <cell r="D29">
            <v>0</v>
          </cell>
          <cell r="E29">
            <v>0</v>
          </cell>
          <cell r="F29">
            <v>0</v>
          </cell>
          <cell r="G29">
            <v>163176653</v>
          </cell>
          <cell r="H29">
            <v>0</v>
          </cell>
          <cell r="I29">
            <v>0</v>
          </cell>
        </row>
        <row r="30">
          <cell r="B30">
            <v>7</v>
          </cell>
          <cell r="C30" t="str">
            <v xml:space="preserve">Additions for a period of less than 180 days in the previous year    </v>
          </cell>
          <cell r="G30">
            <v>39391194</v>
          </cell>
        </row>
        <row r="31">
          <cell r="B31">
            <v>8</v>
          </cell>
          <cell r="C31" t="str">
            <v xml:space="preserve">Consideration or other realizations during the year out of 7 </v>
          </cell>
        </row>
        <row r="32">
          <cell r="B32">
            <v>9</v>
          </cell>
          <cell r="C32" t="str">
            <v xml:space="preserve">Amount  on  which depreciation at half rate to be allowed (7-8)  </v>
          </cell>
          <cell r="D32">
            <v>0</v>
          </cell>
          <cell r="E32">
            <v>0</v>
          </cell>
          <cell r="F32">
            <v>0</v>
          </cell>
          <cell r="G32">
            <v>39391194</v>
          </cell>
          <cell r="H32">
            <v>0</v>
          </cell>
          <cell r="I32">
            <v>0</v>
          </cell>
        </row>
        <row r="33">
          <cell r="B33">
            <v>10</v>
          </cell>
          <cell r="C33" t="str">
            <v xml:space="preserve">Depreciation on 6 at full rate  </v>
          </cell>
          <cell r="D33">
            <v>0</v>
          </cell>
          <cell r="E33">
            <v>0</v>
          </cell>
          <cell r="F33">
            <v>0</v>
          </cell>
          <cell r="G33">
            <v>16317665</v>
          </cell>
          <cell r="H33">
            <v>0</v>
          </cell>
          <cell r="I33">
            <v>0</v>
          </cell>
        </row>
        <row r="34">
          <cell r="B34">
            <v>11</v>
          </cell>
          <cell r="C34" t="str">
            <v xml:space="preserve">Depreciation on 9 at half rate </v>
          </cell>
          <cell r="D34">
            <v>0</v>
          </cell>
          <cell r="E34">
            <v>0</v>
          </cell>
          <cell r="F34">
            <v>0</v>
          </cell>
          <cell r="G34">
            <v>1969560</v>
          </cell>
          <cell r="H34">
            <v>0</v>
          </cell>
          <cell r="I34">
            <v>0</v>
          </cell>
        </row>
        <row r="35">
          <cell r="B35">
            <v>12</v>
          </cell>
          <cell r="C35" t="str">
            <v xml:space="preserve">Additional depreciation, if any, on 4 </v>
          </cell>
        </row>
        <row r="36">
          <cell r="B36">
            <v>13</v>
          </cell>
          <cell r="C36" t="str">
            <v xml:space="preserve">Additional depreciation, if any, on 7 </v>
          </cell>
        </row>
        <row r="37">
          <cell r="B37">
            <v>14</v>
          </cell>
          <cell r="C37" t="str">
            <v xml:space="preserve">Total depreciation (10+11+12+13) </v>
          </cell>
          <cell r="D37">
            <v>0</v>
          </cell>
          <cell r="E37">
            <v>0</v>
          </cell>
          <cell r="F37">
            <v>0</v>
          </cell>
          <cell r="G37">
            <v>18287225</v>
          </cell>
          <cell r="H37">
            <v>0</v>
          </cell>
          <cell r="I37">
            <v>0</v>
          </cell>
        </row>
        <row r="38">
          <cell r="B38">
            <v>15</v>
          </cell>
          <cell r="C38" t="str">
            <v xml:space="preserve">Expenditure incurred in connection with transfer of asset/ assets </v>
          </cell>
        </row>
        <row r="39">
          <cell r="B39">
            <v>16</v>
          </cell>
          <cell r="C39" t="str">
            <v>Capital gains/ loss under section 50* (5 + 8 -3-4 -7 -15)      (enter negative only if block ceases to exist)</v>
          </cell>
        </row>
        <row r="40">
          <cell r="B40">
            <v>17</v>
          </cell>
          <cell r="C40" t="str">
            <v xml:space="preserve">Written down value on the last day of previous year* (6+ 9 -14)  </v>
          </cell>
          <cell r="D40">
            <v>0</v>
          </cell>
          <cell r="E40">
            <v>0</v>
          </cell>
          <cell r="F40">
            <v>0</v>
          </cell>
          <cell r="G40">
            <v>184280622</v>
          </cell>
          <cell r="H40">
            <v>0</v>
          </cell>
          <cell r="I40">
            <v>0</v>
          </cell>
        </row>
      </sheetData>
      <sheetData sheetId="15" refreshError="1">
        <row r="1">
          <cell r="A1" t="str">
            <v>Schedule DEP</v>
          </cell>
          <cell r="C1" t="str">
            <v>Summary of depreciation on assets</v>
          </cell>
        </row>
        <row r="2">
          <cell r="A2" t="str">
            <v>SUMMARY OF DEPRECIATION ON ASSETS</v>
          </cell>
          <cell r="B2">
            <v>1</v>
          </cell>
          <cell r="C2" t="str">
            <v xml:space="preserve">Plant and machinery </v>
          </cell>
        </row>
        <row r="3">
          <cell r="C3" t="str">
            <v xml:space="preserve">a </v>
          </cell>
          <cell r="D3" t="str">
            <v xml:space="preserve">Block entitled for depreciation @ 15 per cent ( Schedule DPM - 14 i) </v>
          </cell>
          <cell r="E3" t="str">
            <v>1a</v>
          </cell>
          <cell r="F3">
            <v>13212451</v>
          </cell>
        </row>
        <row r="4">
          <cell r="C4" t="str">
            <v xml:space="preserve">b </v>
          </cell>
          <cell r="D4" t="str">
            <v>Block entitled for depreciation @ 30 per cent ( Schedule DPM - 14 ii)</v>
          </cell>
          <cell r="E4" t="str">
            <v>1b</v>
          </cell>
          <cell r="F4">
            <v>0</v>
          </cell>
        </row>
        <row r="5">
          <cell r="C5" t="str">
            <v xml:space="preserve">c </v>
          </cell>
          <cell r="D5" t="str">
            <v>Block entitled for depreciation @ 40 per cent ( Schedule DPM - 14 iii)</v>
          </cell>
          <cell r="E5" t="str">
            <v>1c</v>
          </cell>
          <cell r="F5">
            <v>0</v>
          </cell>
        </row>
        <row r="6">
          <cell r="C6" t="str">
            <v xml:space="preserve">d </v>
          </cell>
          <cell r="D6" t="str">
            <v>Block entitled for depreciation @ 50 per cent ( Schedule DPM - 14 iv)</v>
          </cell>
          <cell r="E6" t="str">
            <v>1d</v>
          </cell>
          <cell r="F6">
            <v>0</v>
          </cell>
        </row>
        <row r="7">
          <cell r="C7" t="str">
            <v xml:space="preserve">e </v>
          </cell>
          <cell r="D7" t="str">
            <v>Block entitled for depreciation @ 60 per cent ( Schedule DPM - 14 v)</v>
          </cell>
          <cell r="E7" t="str">
            <v>1e</v>
          </cell>
          <cell r="F7">
            <v>54387296</v>
          </cell>
        </row>
        <row r="8">
          <cell r="C8" t="str">
            <v xml:space="preserve">f </v>
          </cell>
          <cell r="D8" t="str">
            <v>Block entitled for depreciation @ 80 per cent ( Schedule DPM – 14 vi)</v>
          </cell>
          <cell r="E8" t="str">
            <v>1f</v>
          </cell>
          <cell r="F8">
            <v>0</v>
          </cell>
        </row>
        <row r="9">
          <cell r="C9" t="str">
            <v xml:space="preserve">g </v>
          </cell>
          <cell r="D9" t="str">
            <v>Block entitled for depreciation @ 100 per cent ( Schedule DPM - 14 vii)</v>
          </cell>
          <cell r="E9" t="str">
            <v>1g</v>
          </cell>
          <cell r="F9">
            <v>0</v>
          </cell>
        </row>
        <row r="10">
          <cell r="C10" t="str">
            <v xml:space="preserve">h </v>
          </cell>
          <cell r="D10" t="str">
            <v xml:space="preserve">Total depreciation on plant and machinery ( 1a + 1b + 1c + 1d+ 1e + 1f + 1g ) </v>
          </cell>
          <cell r="G10" t="str">
            <v>1h</v>
          </cell>
          <cell r="H10">
            <v>67599747</v>
          </cell>
        </row>
        <row r="11">
          <cell r="B11">
            <v>2</v>
          </cell>
          <cell r="C11" t="str">
            <v xml:space="preserve">Building </v>
          </cell>
        </row>
        <row r="12">
          <cell r="C12" t="str">
            <v xml:space="preserve">a </v>
          </cell>
          <cell r="D12" t="str">
            <v xml:space="preserve">Block entitled for depreciation @ 5 per cent (Schedule DOA- 14i)    </v>
          </cell>
          <cell r="E12" t="str">
            <v>2a</v>
          </cell>
          <cell r="F12">
            <v>0</v>
          </cell>
        </row>
        <row r="13">
          <cell r="C13" t="str">
            <v xml:space="preserve">b </v>
          </cell>
          <cell r="D13" t="str">
            <v xml:space="preserve">Block entitled for depreciation @ 10 per cent DOA- 14ii) </v>
          </cell>
          <cell r="E13" t="str">
            <v>2b</v>
          </cell>
          <cell r="F13">
            <v>0</v>
          </cell>
        </row>
        <row r="14">
          <cell r="C14" t="str">
            <v xml:space="preserve">c </v>
          </cell>
          <cell r="D14" t="str">
            <v>Block entitled for depreciation @ 100 per cent (Schedule DOA- 14iii)</v>
          </cell>
          <cell r="E14" t="str">
            <v>2c</v>
          </cell>
          <cell r="F14">
            <v>0</v>
          </cell>
        </row>
        <row r="15">
          <cell r="C15" t="str">
            <v xml:space="preserve">d </v>
          </cell>
          <cell r="D15" t="str">
            <v xml:space="preserve">Total depreciation on building (2a+2b+2c) </v>
          </cell>
          <cell r="G15" t="str">
            <v>2d</v>
          </cell>
          <cell r="H15">
            <v>0</v>
          </cell>
        </row>
        <row r="16">
          <cell r="B16">
            <v>3</v>
          </cell>
          <cell r="C16" t="str">
            <v>Furniture and fittings (Schedule DOA- 14 iv)</v>
          </cell>
          <cell r="G16">
            <v>3</v>
          </cell>
          <cell r="H16">
            <v>18287225</v>
          </cell>
        </row>
        <row r="17">
          <cell r="B17">
            <v>4</v>
          </cell>
          <cell r="C17" t="str">
            <v>Intangible assets (Schedule DOA- 14 v)</v>
          </cell>
          <cell r="G17">
            <v>4</v>
          </cell>
          <cell r="H17">
            <v>0</v>
          </cell>
        </row>
        <row r="18">
          <cell r="B18">
            <v>5</v>
          </cell>
          <cell r="C18" t="str">
            <v>Ships (Schedule DOA- 14 vi)</v>
          </cell>
          <cell r="G18">
            <v>5</v>
          </cell>
          <cell r="H18">
            <v>0</v>
          </cell>
        </row>
        <row r="19">
          <cell r="B19">
            <v>6</v>
          </cell>
          <cell r="C19" t="str">
            <v xml:space="preserve">Total depreciation ( 1h+2d+3+4+5) </v>
          </cell>
          <cell r="G19">
            <v>6</v>
          </cell>
          <cell r="H19">
            <v>85886972</v>
          </cell>
        </row>
        <row r="21">
          <cell r="A21" t="str">
            <v>Schedule DCG</v>
          </cell>
          <cell r="C21" t="str">
            <v>Deemed Capital Gains on sale of depreciable assets</v>
          </cell>
        </row>
        <row r="22">
          <cell r="B22">
            <v>1</v>
          </cell>
          <cell r="C22" t="str">
            <v xml:space="preserve">Plant and machinery </v>
          </cell>
        </row>
        <row r="23">
          <cell r="C23" t="str">
            <v xml:space="preserve">a </v>
          </cell>
          <cell r="D23" t="str">
            <v xml:space="preserve">Block entitled for depreciation @ 15 per cent (Schedule DPM - 16i)  </v>
          </cell>
          <cell r="E23" t="str">
            <v>1a</v>
          </cell>
          <cell r="F23">
            <v>0</v>
          </cell>
        </row>
        <row r="24">
          <cell r="C24" t="str">
            <v xml:space="preserve">b </v>
          </cell>
          <cell r="D24" t="str">
            <v>Block entitled for depreciation @ 30 per cent (Schedule DPM – 16ii)</v>
          </cell>
          <cell r="E24" t="str">
            <v>1b</v>
          </cell>
          <cell r="F24">
            <v>0</v>
          </cell>
        </row>
        <row r="25">
          <cell r="C25" t="str">
            <v xml:space="preserve">c </v>
          </cell>
          <cell r="D25" t="str">
            <v>Block entitled for depreciation @  40 per cent (Schedule DPM - 16iii)</v>
          </cell>
          <cell r="E25" t="str">
            <v>1c</v>
          </cell>
          <cell r="F25">
            <v>0</v>
          </cell>
        </row>
        <row r="26">
          <cell r="C26" t="str">
            <v xml:space="preserve">d </v>
          </cell>
          <cell r="D26" t="str">
            <v>Block entitled for depreciation @ 50 per cent (Schedule DPM - 16iv)</v>
          </cell>
          <cell r="E26" t="str">
            <v>1d</v>
          </cell>
          <cell r="F26">
            <v>0</v>
          </cell>
        </row>
        <row r="27">
          <cell r="C27" t="str">
            <v xml:space="preserve">e </v>
          </cell>
          <cell r="D27" t="str">
            <v>Block entitled for depreciation @ 60 per cent (Schedule DPM – 16v)</v>
          </cell>
          <cell r="E27" t="str">
            <v>1e</v>
          </cell>
          <cell r="F27">
            <v>0</v>
          </cell>
        </row>
        <row r="28">
          <cell r="C28" t="str">
            <v xml:space="preserve">f </v>
          </cell>
          <cell r="D28" t="str">
            <v>Block entitled for depreciation @ 80 per cent (Schedule DPM – 16vi)</v>
          </cell>
          <cell r="E28" t="str">
            <v>1f</v>
          </cell>
          <cell r="F28">
            <v>0</v>
          </cell>
        </row>
        <row r="29">
          <cell r="C29" t="str">
            <v xml:space="preserve">g </v>
          </cell>
          <cell r="D29" t="str">
            <v>Block entitled for depreciation @ 100 per cent (Schedule DPM – 16vii)</v>
          </cell>
          <cell r="E29" t="str">
            <v>1g</v>
          </cell>
          <cell r="F29">
            <v>0</v>
          </cell>
        </row>
        <row r="30">
          <cell r="C30" t="str">
            <v xml:space="preserve">h </v>
          </cell>
          <cell r="D30" t="str">
            <v xml:space="preserve">Total ( 1a +1b + 1c + 1d + 1e + 1f + 1g) </v>
          </cell>
          <cell r="G30" t="str">
            <v>1h</v>
          </cell>
          <cell r="H30">
            <v>0</v>
          </cell>
        </row>
        <row r="31">
          <cell r="B31">
            <v>2</v>
          </cell>
          <cell r="C31" t="str">
            <v xml:space="preserve">Building </v>
          </cell>
        </row>
        <row r="32">
          <cell r="C32" t="str">
            <v xml:space="preserve">a </v>
          </cell>
          <cell r="D32" t="str">
            <v xml:space="preserve">Block entitled for depreciation @ 5 per cent (Schedule DOA- 16i) </v>
          </cell>
          <cell r="E32" t="str">
            <v>2a</v>
          </cell>
          <cell r="F32">
            <v>0</v>
          </cell>
        </row>
        <row r="33">
          <cell r="C33" t="str">
            <v xml:space="preserve">b </v>
          </cell>
          <cell r="D33" t="str">
            <v>Block entitled for depreciation @ 10 per cent (Schedule DOA- 16ii)</v>
          </cell>
          <cell r="E33" t="str">
            <v>2b</v>
          </cell>
          <cell r="F33">
            <v>0</v>
          </cell>
        </row>
        <row r="34">
          <cell r="C34" t="str">
            <v xml:space="preserve">c </v>
          </cell>
          <cell r="D34" t="str">
            <v>Block entitled for depreciation @ 100 per cent (Schedule DOA- 16iii)</v>
          </cell>
          <cell r="E34" t="str">
            <v>2c</v>
          </cell>
          <cell r="F34">
            <v>0</v>
          </cell>
        </row>
        <row r="35">
          <cell r="C35" t="str">
            <v xml:space="preserve">d </v>
          </cell>
          <cell r="D35" t="str">
            <v xml:space="preserve">Total ( 2a + 2b + 2c) </v>
          </cell>
          <cell r="G35" t="str">
            <v>2d</v>
          </cell>
          <cell r="H35">
            <v>0</v>
          </cell>
        </row>
        <row r="36">
          <cell r="B36">
            <v>3</v>
          </cell>
          <cell r="C36" t="str">
            <v>Furniture and fittings ( Schedule DOA- 16iv)</v>
          </cell>
          <cell r="G36">
            <v>3</v>
          </cell>
          <cell r="H36">
            <v>0</v>
          </cell>
        </row>
        <row r="37">
          <cell r="B37">
            <v>4</v>
          </cell>
          <cell r="C37" t="str">
            <v>Intangible assets (Schedule DOA- 16v)</v>
          </cell>
          <cell r="G37">
            <v>4</v>
          </cell>
          <cell r="H37">
            <v>0</v>
          </cell>
        </row>
        <row r="38">
          <cell r="B38">
            <v>5</v>
          </cell>
          <cell r="C38" t="str">
            <v>Ships (Schedule DOA- 16vi)</v>
          </cell>
          <cell r="G38">
            <v>5</v>
          </cell>
          <cell r="H38">
            <v>0</v>
          </cell>
        </row>
        <row r="39">
          <cell r="B39">
            <v>6</v>
          </cell>
          <cell r="C39" t="str">
            <v>Total ( 1h+2d+3+4+5)</v>
          </cell>
          <cell r="G39">
            <v>6</v>
          </cell>
          <cell r="H39">
            <v>0</v>
          </cell>
        </row>
      </sheetData>
      <sheetData sheetId="16" refreshError="1">
        <row r="1">
          <cell r="A1" t="str">
            <v>Schedule ESR</v>
          </cell>
          <cell r="C1" t="str">
            <v>Deduction under section 35</v>
          </cell>
        </row>
        <row r="2">
          <cell r="A2" t="str">
            <v>Sl No</v>
          </cell>
          <cell r="B2" t="str">
            <v>Expenditure of the nature referred to in section (1)</v>
          </cell>
          <cell r="C2" t="str">
            <v>Amount, if any, debited to profit and loss account (2)</v>
          </cell>
          <cell r="D2" t="str">
            <v>Amount of deduction allowable (3)</v>
          </cell>
          <cell r="E2" t="str">
            <v>Amount of deduction in excess of the amount debited to profit and loss account (4) = (3) - (2)</v>
          </cell>
        </row>
        <row r="3">
          <cell r="A3" t="str">
            <v>i</v>
          </cell>
          <cell r="B3" t="str">
            <v>35(1)(i)</v>
          </cell>
          <cell r="E3">
            <v>0</v>
          </cell>
        </row>
        <row r="4">
          <cell r="A4" t="str">
            <v>ii</v>
          </cell>
          <cell r="B4" t="str">
            <v>35(1)(ii)</v>
          </cell>
          <cell r="E4">
            <v>0</v>
          </cell>
        </row>
        <row r="5">
          <cell r="A5" t="str">
            <v>iii</v>
          </cell>
          <cell r="B5" t="str">
            <v>35(1)(iii)</v>
          </cell>
          <cell r="E5">
            <v>0</v>
          </cell>
        </row>
        <row r="6">
          <cell r="A6" t="str">
            <v>iv</v>
          </cell>
          <cell r="B6" t="str">
            <v>35(1)(iv)</v>
          </cell>
          <cell r="E6">
            <v>0</v>
          </cell>
        </row>
        <row r="7">
          <cell r="A7" t="str">
            <v>v</v>
          </cell>
          <cell r="B7" t="str">
            <v>35(2AA)</v>
          </cell>
          <cell r="E7">
            <v>0</v>
          </cell>
        </row>
        <row r="8">
          <cell r="A8" t="str">
            <v>vi</v>
          </cell>
          <cell r="B8" t="str">
            <v>35(2AB)</v>
          </cell>
          <cell r="E8">
            <v>0</v>
          </cell>
        </row>
        <row r="9">
          <cell r="A9" t="str">
            <v>vii</v>
          </cell>
          <cell r="B9" t="str">
            <v>Total</v>
          </cell>
          <cell r="C9">
            <v>0</v>
          </cell>
          <cell r="D9">
            <v>0</v>
          </cell>
          <cell r="E9">
            <v>0</v>
          </cell>
        </row>
      </sheetData>
      <sheetData sheetId="17" refreshError="1">
        <row r="1">
          <cell r="A1" t="str">
            <v>Schedule CG</v>
          </cell>
        </row>
        <row r="6">
          <cell r="H6">
            <v>0</v>
          </cell>
        </row>
        <row r="8">
          <cell r="J8">
            <v>0</v>
          </cell>
        </row>
        <row r="11">
          <cell r="H11">
            <v>893614893977</v>
          </cell>
        </row>
        <row r="13">
          <cell r="H13">
            <v>893614517831</v>
          </cell>
        </row>
        <row r="16">
          <cell r="H16">
            <v>893614517831</v>
          </cell>
        </row>
        <row r="17">
          <cell r="H17">
            <v>376146</v>
          </cell>
        </row>
        <row r="20">
          <cell r="J20">
            <v>376146</v>
          </cell>
        </row>
        <row r="21">
          <cell r="J21">
            <v>0</v>
          </cell>
        </row>
        <row r="23">
          <cell r="J23">
            <v>376146</v>
          </cell>
        </row>
        <row r="25">
          <cell r="J25">
            <v>376146</v>
          </cell>
        </row>
        <row r="30">
          <cell r="H30">
            <v>0</v>
          </cell>
        </row>
        <row r="32">
          <cell r="J32">
            <v>0</v>
          </cell>
        </row>
        <row r="40">
          <cell r="H40">
            <v>0</v>
          </cell>
        </row>
        <row r="41">
          <cell r="H41">
            <v>0</v>
          </cell>
        </row>
        <row r="43">
          <cell r="J43">
            <v>0</v>
          </cell>
        </row>
        <row r="50">
          <cell r="H50">
            <v>0</v>
          </cell>
        </row>
        <row r="51">
          <cell r="H51">
            <v>0</v>
          </cell>
        </row>
        <row r="53">
          <cell r="J53">
            <v>0</v>
          </cell>
        </row>
        <row r="55">
          <cell r="J55">
            <v>0</v>
          </cell>
        </row>
        <row r="56">
          <cell r="J56">
            <v>376146</v>
          </cell>
        </row>
        <row r="64">
          <cell r="A64" t="str">
            <v>Schedule OS</v>
          </cell>
        </row>
        <row r="70">
          <cell r="J70">
            <v>0</v>
          </cell>
        </row>
        <row r="74">
          <cell r="H74">
            <v>0</v>
          </cell>
        </row>
        <row r="75">
          <cell r="J75">
            <v>0</v>
          </cell>
        </row>
        <row r="77">
          <cell r="J77">
            <v>0</v>
          </cell>
        </row>
        <row r="81">
          <cell r="J81">
            <v>0</v>
          </cell>
        </row>
        <row r="82">
          <cell r="J82">
            <v>0</v>
          </cell>
        </row>
      </sheetData>
      <sheetData sheetId="18" refreshError="1">
        <row r="1">
          <cell r="A1" t="str">
            <v>Schedule CYLA</v>
          </cell>
        </row>
        <row r="4">
          <cell r="E4">
            <v>0</v>
          </cell>
          <cell r="F4">
            <v>0</v>
          </cell>
          <cell r="G4">
            <v>0</v>
          </cell>
        </row>
        <row r="6">
          <cell r="D6">
            <v>0</v>
          </cell>
          <cell r="H6">
            <v>0</v>
          </cell>
        </row>
        <row r="7">
          <cell r="D7">
            <v>5588631118</v>
          </cell>
          <cell r="H7">
            <v>5588631118</v>
          </cell>
        </row>
        <row r="8">
          <cell r="D8">
            <v>376146</v>
          </cell>
          <cell r="H8">
            <v>376146</v>
          </cell>
        </row>
        <row r="9">
          <cell r="D9">
            <v>0</v>
          </cell>
          <cell r="H9">
            <v>0</v>
          </cell>
        </row>
        <row r="10">
          <cell r="D10">
            <v>0</v>
          </cell>
          <cell r="H10">
            <v>0</v>
          </cell>
        </row>
        <row r="11">
          <cell r="E11">
            <v>0</v>
          </cell>
          <cell r="F11">
            <v>0</v>
          </cell>
          <cell r="G11">
            <v>0</v>
          </cell>
        </row>
        <row r="12">
          <cell r="E12">
            <v>0</v>
          </cell>
          <cell r="F12">
            <v>0</v>
          </cell>
          <cell r="G12">
            <v>0</v>
          </cell>
        </row>
        <row r="14">
          <cell r="A14" t="str">
            <v>Schedule BFLA</v>
          </cell>
        </row>
        <row r="17">
          <cell r="D17">
            <v>0</v>
          </cell>
          <cell r="H17">
            <v>0</v>
          </cell>
        </row>
        <row r="18">
          <cell r="D18">
            <v>5588631118</v>
          </cell>
          <cell r="H18">
            <v>5588631118</v>
          </cell>
        </row>
        <row r="19">
          <cell r="D19">
            <v>376146</v>
          </cell>
          <cell r="H19">
            <v>376146</v>
          </cell>
        </row>
        <row r="20">
          <cell r="D20">
            <v>0</v>
          </cell>
          <cell r="H20">
            <v>0</v>
          </cell>
        </row>
        <row r="21">
          <cell r="D21">
            <v>0</v>
          </cell>
          <cell r="H21">
            <v>0</v>
          </cell>
        </row>
        <row r="22">
          <cell r="E22">
            <v>0</v>
          </cell>
          <cell r="F22">
            <v>0</v>
          </cell>
          <cell r="G22">
            <v>0</v>
          </cell>
        </row>
        <row r="23">
          <cell r="H23">
            <v>5589007264</v>
          </cell>
        </row>
      </sheetData>
      <sheetData sheetId="19" refreshError="1">
        <row r="1">
          <cell r="A1" t="str">
            <v>Schedule CFL</v>
          </cell>
        </row>
        <row r="11">
          <cell r="E11">
            <v>0</v>
          </cell>
          <cell r="F11">
            <v>0</v>
          </cell>
          <cell r="G11">
            <v>0</v>
          </cell>
          <cell r="H11">
            <v>0</v>
          </cell>
          <cell r="I11">
            <v>0</v>
          </cell>
          <cell r="K11">
            <v>0</v>
          </cell>
        </row>
        <row r="12">
          <cell r="E12">
            <v>0</v>
          </cell>
          <cell r="H12">
            <v>0</v>
          </cell>
          <cell r="I12">
            <v>0</v>
          </cell>
          <cell r="K12">
            <v>0</v>
          </cell>
        </row>
        <row r="13">
          <cell r="E13">
            <v>0</v>
          </cell>
          <cell r="F13">
            <v>0</v>
          </cell>
          <cell r="G13">
            <v>0</v>
          </cell>
          <cell r="H13">
            <v>0</v>
          </cell>
          <cell r="I13">
            <v>0</v>
          </cell>
          <cell r="K13">
            <v>0</v>
          </cell>
        </row>
        <row r="14">
          <cell r="E14">
            <v>0</v>
          </cell>
          <cell r="F14">
            <v>0</v>
          </cell>
          <cell r="G14">
            <v>0</v>
          </cell>
          <cell r="H14">
            <v>0</v>
          </cell>
          <cell r="I14">
            <v>0</v>
          </cell>
          <cell r="K14">
            <v>0</v>
          </cell>
        </row>
      </sheetData>
      <sheetData sheetId="20" refreshError="1">
        <row r="1">
          <cell r="A1" t="str">
            <v>Schedule 10A</v>
          </cell>
        </row>
        <row r="4">
          <cell r="H4">
            <v>0</v>
          </cell>
        </row>
        <row r="8">
          <cell r="H8">
            <v>0</v>
          </cell>
        </row>
        <row r="12">
          <cell r="H12">
            <v>0</v>
          </cell>
        </row>
        <row r="16">
          <cell r="H16">
            <v>0</v>
          </cell>
        </row>
        <row r="20">
          <cell r="H20">
            <v>0</v>
          </cell>
        </row>
        <row r="22">
          <cell r="H22">
            <v>0</v>
          </cell>
        </row>
        <row r="24">
          <cell r="A24" t="str">
            <v>Schedule 10AA</v>
          </cell>
        </row>
        <row r="27">
          <cell r="H27">
            <v>0</v>
          </cell>
        </row>
        <row r="29">
          <cell r="A29" t="str">
            <v>Schedule 10B</v>
          </cell>
        </row>
        <row r="32">
          <cell r="H32">
            <v>0</v>
          </cell>
        </row>
        <row r="34">
          <cell r="A34" t="str">
            <v>Schedule 10BA</v>
          </cell>
        </row>
        <row r="37">
          <cell r="H37">
            <v>0</v>
          </cell>
        </row>
      </sheetData>
      <sheetData sheetId="21" refreshError="1">
        <row r="1">
          <cell r="B1" t="str">
            <v>Sch 80G</v>
          </cell>
        </row>
        <row r="9">
          <cell r="J9">
            <v>0</v>
          </cell>
        </row>
        <row r="15">
          <cell r="J15">
            <v>0</v>
          </cell>
        </row>
        <row r="19">
          <cell r="D19" t="str">
            <v>HH SHRI MATAJI NIRMALA DEVI FOUNDATION</v>
          </cell>
          <cell r="E19" t="str">
            <v>AAATH2600K</v>
          </cell>
          <cell r="F19" t="str">
            <v>NIRMAL PREM, PLOT NO-9,INSTITUTIONAL AREA, GREATER NOIDA</v>
          </cell>
          <cell r="G19" t="str">
            <v>GAUTAM BUDH NAGAR</v>
          </cell>
          <cell r="H19" t="str">
            <v>31-UTTAR PRADESH</v>
          </cell>
          <cell r="I19" t="str">
            <v>201301</v>
          </cell>
          <cell r="K19">
            <v>1000000</v>
          </cell>
        </row>
        <row r="21">
          <cell r="K21">
            <v>1000000</v>
          </cell>
        </row>
        <row r="23">
          <cell r="K23">
            <v>1000000</v>
          </cell>
        </row>
        <row r="50">
          <cell r="F50" t="str">
            <v>01-ANDAMAN AND NICOBAR ISLANDS</v>
          </cell>
          <cell r="H50" t="str">
            <v>01-ANDAMAN AND NICOBAR ISLANDS</v>
          </cell>
          <cell r="J50" t="str">
            <v>01-ANDAMAN AND NICOBAR ISLANDS</v>
          </cell>
        </row>
        <row r="51">
          <cell r="F51" t="str">
            <v>02-ANDHRA PRADESH</v>
          </cell>
          <cell r="H51" t="str">
            <v>02-ANDHRA PRADESH</v>
          </cell>
          <cell r="J51" t="str">
            <v>02-ANDHRA PRADESH</v>
          </cell>
        </row>
        <row r="52">
          <cell r="F52" t="str">
            <v>03-ARUNACHAL PRADESH</v>
          </cell>
          <cell r="H52" t="str">
            <v>03-ARUNACHAL PRADESH</v>
          </cell>
          <cell r="J52" t="str">
            <v>03-ARUNACHAL PRADESH</v>
          </cell>
        </row>
        <row r="53">
          <cell r="F53" t="str">
            <v>04-ASSAM</v>
          </cell>
          <cell r="H53" t="str">
            <v>04-ASSAM</v>
          </cell>
          <cell r="J53" t="str">
            <v>04-ASSAM</v>
          </cell>
        </row>
        <row r="54">
          <cell r="F54" t="str">
            <v>05-BIHAR</v>
          </cell>
          <cell r="H54" t="str">
            <v>05-BIHAR</v>
          </cell>
          <cell r="J54" t="str">
            <v>05-BIHAR</v>
          </cell>
        </row>
        <row r="55">
          <cell r="F55" t="str">
            <v>06-CHANDIGARH</v>
          </cell>
          <cell r="H55" t="str">
            <v>06-CHANDIGARH</v>
          </cell>
          <cell r="J55" t="str">
            <v>06-CHANDIGARH</v>
          </cell>
        </row>
        <row r="56">
          <cell r="F56" t="str">
            <v>07-DADRA AND NAGAR HAVELI</v>
          </cell>
          <cell r="H56" t="str">
            <v>07-DADRA AND NAGAR HAVELI</v>
          </cell>
          <cell r="J56" t="str">
            <v>07-DADRA AND NAGAR HAVELI</v>
          </cell>
        </row>
        <row r="57">
          <cell r="F57" t="str">
            <v>08-DAMAN AND DIU</v>
          </cell>
          <cell r="H57" t="str">
            <v>08-DAMAN AND DIU</v>
          </cell>
          <cell r="J57" t="str">
            <v>08-DAMAN AND DIU</v>
          </cell>
        </row>
        <row r="58">
          <cell r="F58" t="str">
            <v>09-DELHI</v>
          </cell>
          <cell r="H58" t="str">
            <v>09-DELHI</v>
          </cell>
          <cell r="J58" t="str">
            <v>09-DELHI</v>
          </cell>
        </row>
        <row r="59">
          <cell r="F59" t="str">
            <v>10-GOA</v>
          </cell>
          <cell r="H59" t="str">
            <v>10-GOA</v>
          </cell>
          <cell r="J59" t="str">
            <v>10-GOA</v>
          </cell>
        </row>
        <row r="60">
          <cell r="F60" t="str">
            <v>11-GUJARAT</v>
          </cell>
          <cell r="H60" t="str">
            <v>11-GUJARAT</v>
          </cell>
          <cell r="J60" t="str">
            <v>11-GUJARAT</v>
          </cell>
        </row>
        <row r="61">
          <cell r="F61" t="str">
            <v>12-HARYANA</v>
          </cell>
          <cell r="H61" t="str">
            <v>12-HARYANA</v>
          </cell>
          <cell r="J61" t="str">
            <v>12-HARYANA</v>
          </cell>
        </row>
        <row r="62">
          <cell r="F62" t="str">
            <v>13-HIMACHAL PRADESH</v>
          </cell>
          <cell r="H62" t="str">
            <v>13-HIMACHAL PRADESH</v>
          </cell>
          <cell r="J62" t="str">
            <v>13-HIMACHAL PRADESH</v>
          </cell>
        </row>
        <row r="63">
          <cell r="F63" t="str">
            <v>14-JAMMU AND KASHMIR</v>
          </cell>
          <cell r="H63" t="str">
            <v>14-JAMMU AND KASHMIR</v>
          </cell>
          <cell r="J63" t="str">
            <v>14-JAMMU AND KASHMIR</v>
          </cell>
        </row>
        <row r="64">
          <cell r="F64" t="str">
            <v>15-KARNATAKA</v>
          </cell>
          <cell r="H64" t="str">
            <v>15-KARNATAKA</v>
          </cell>
          <cell r="J64" t="str">
            <v>15-KARNATAKA</v>
          </cell>
        </row>
        <row r="65">
          <cell r="F65" t="str">
            <v>16-KERALA</v>
          </cell>
          <cell r="H65" t="str">
            <v>16-KERALA</v>
          </cell>
          <cell r="J65" t="str">
            <v>16-KERALA</v>
          </cell>
        </row>
        <row r="66">
          <cell r="F66" t="str">
            <v>17-LAKHSWADEEP</v>
          </cell>
          <cell r="H66" t="str">
            <v>17-LAKHSWADEEP</v>
          </cell>
          <cell r="J66" t="str">
            <v>17-LAKHSWADEEP</v>
          </cell>
        </row>
        <row r="67">
          <cell r="F67" t="str">
            <v>18-MADHYA PRADESH</v>
          </cell>
          <cell r="H67" t="str">
            <v>18-MADHYA PRADESH</v>
          </cell>
          <cell r="J67" t="str">
            <v>18-MADHYA PRADESH</v>
          </cell>
        </row>
        <row r="68">
          <cell r="F68" t="str">
            <v>19-MAHARASHTRA</v>
          </cell>
          <cell r="H68" t="str">
            <v>19-MAHARASHTRA</v>
          </cell>
          <cell r="J68" t="str">
            <v>19-MAHARASHTRA</v>
          </cell>
        </row>
        <row r="69">
          <cell r="F69" t="str">
            <v>20-MANIPUR</v>
          </cell>
          <cell r="H69" t="str">
            <v>20-MANIPUR</v>
          </cell>
          <cell r="J69" t="str">
            <v>20-MANIPUR</v>
          </cell>
        </row>
        <row r="70">
          <cell r="F70" t="str">
            <v>21-MEGHALAYA</v>
          </cell>
          <cell r="H70" t="str">
            <v>21-MEGHALAYA</v>
          </cell>
          <cell r="J70" t="str">
            <v>21-MEGHALAYA</v>
          </cell>
        </row>
        <row r="71">
          <cell r="F71" t="str">
            <v>22-MIZORAM</v>
          </cell>
          <cell r="H71" t="str">
            <v>22-MIZORAM</v>
          </cell>
          <cell r="J71" t="str">
            <v>22-MIZORAM</v>
          </cell>
        </row>
        <row r="72">
          <cell r="F72" t="str">
            <v>23-NAGALAND</v>
          </cell>
          <cell r="H72" t="str">
            <v>23-NAGALAND</v>
          </cell>
          <cell r="J72" t="str">
            <v>23-NAGALAND</v>
          </cell>
        </row>
        <row r="73">
          <cell r="F73" t="str">
            <v>24-ORISSA</v>
          </cell>
          <cell r="H73" t="str">
            <v>24-ORISSA</v>
          </cell>
          <cell r="J73" t="str">
            <v>24-ORISSA</v>
          </cell>
        </row>
        <row r="74">
          <cell r="F74" t="str">
            <v>25-PONDICHERRY</v>
          </cell>
          <cell r="H74" t="str">
            <v>25-PONDICHERRY</v>
          </cell>
          <cell r="J74" t="str">
            <v>25-PONDICHERRY</v>
          </cell>
        </row>
        <row r="75">
          <cell r="F75" t="str">
            <v>26-PUNJAB</v>
          </cell>
          <cell r="H75" t="str">
            <v>26-PUNJAB</v>
          </cell>
          <cell r="J75" t="str">
            <v>26-PUNJAB</v>
          </cell>
        </row>
        <row r="76">
          <cell r="F76" t="str">
            <v>27-RAJASTHAN</v>
          </cell>
          <cell r="H76" t="str">
            <v>27-RAJASTHAN</v>
          </cell>
          <cell r="J76" t="str">
            <v>27-RAJASTHAN</v>
          </cell>
        </row>
        <row r="77">
          <cell r="F77" t="str">
            <v>28-SIKKIM</v>
          </cell>
          <cell r="H77" t="str">
            <v>28-SIKKIM</v>
          </cell>
          <cell r="J77" t="str">
            <v>28-SIKKIM</v>
          </cell>
        </row>
        <row r="78">
          <cell r="F78" t="str">
            <v>29-TAMILNADU</v>
          </cell>
          <cell r="H78" t="str">
            <v>29-TAMILNADU</v>
          </cell>
          <cell r="J78" t="str">
            <v>29-TAMILNADU</v>
          </cell>
        </row>
        <row r="79">
          <cell r="F79" t="str">
            <v>30-TRIPURA</v>
          </cell>
          <cell r="H79" t="str">
            <v>30-TRIPURA</v>
          </cell>
          <cell r="J79" t="str">
            <v>30-TRIPURA</v>
          </cell>
        </row>
        <row r="80">
          <cell r="F80" t="str">
            <v>31-UTTAR PRADESH</v>
          </cell>
          <cell r="H80" t="str">
            <v>31-UTTAR PRADESH</v>
          </cell>
          <cell r="J80" t="str">
            <v>31-UTTAR PRADESH</v>
          </cell>
        </row>
        <row r="81">
          <cell r="F81" t="str">
            <v>32-WEST BENGAL</v>
          </cell>
          <cell r="H81" t="str">
            <v>32-WEST BENGAL</v>
          </cell>
          <cell r="J81" t="str">
            <v>32-WEST BENGAL</v>
          </cell>
        </row>
        <row r="82">
          <cell r="F82" t="str">
            <v>33-CHHATISHGARH</v>
          </cell>
          <cell r="H82" t="str">
            <v>33-CHHATISHGARH</v>
          </cell>
          <cell r="J82" t="str">
            <v>33-CHHATISHGARH</v>
          </cell>
        </row>
        <row r="83">
          <cell r="F83" t="str">
            <v>34-UTTARANCHAL</v>
          </cell>
          <cell r="H83" t="str">
            <v>34-UTTARANCHAL</v>
          </cell>
          <cell r="J83" t="str">
            <v>34-UTTARANCHAL</v>
          </cell>
        </row>
        <row r="84">
          <cell r="F84" t="str">
            <v>35-JHARKHAND</v>
          </cell>
          <cell r="H84" t="str">
            <v>35-JHARKHAND</v>
          </cell>
          <cell r="J84" t="str">
            <v>35-JHARKHAND</v>
          </cell>
        </row>
        <row r="85">
          <cell r="F85" t="str">
            <v>99-FOREIGN</v>
          </cell>
          <cell r="H85" t="str">
            <v>99-FOREIGN</v>
          </cell>
          <cell r="J85" t="str">
            <v>99-FOREIGN</v>
          </cell>
        </row>
      </sheetData>
      <sheetData sheetId="22" refreshError="1">
        <row r="2">
          <cell r="A2" t="str">
            <v>Schedule 80-IA</v>
          </cell>
        </row>
        <row r="8">
          <cell r="I8">
            <v>0</v>
          </cell>
        </row>
        <row r="10">
          <cell r="A10" t="str">
            <v>Schedule 80-IB</v>
          </cell>
        </row>
        <row r="24">
          <cell r="I24">
            <v>0</v>
          </cell>
        </row>
        <row r="26">
          <cell r="A26" t="str">
            <v>Schedule 80-IC/80-IE</v>
          </cell>
        </row>
        <row r="38">
          <cell r="I38">
            <v>0</v>
          </cell>
        </row>
        <row r="39">
          <cell r="I39">
            <v>0</v>
          </cell>
        </row>
        <row r="41">
          <cell r="A41" t="str">
            <v>Schedule VI-A</v>
          </cell>
        </row>
        <row r="42">
          <cell r="G42">
            <v>500000</v>
          </cell>
        </row>
        <row r="46">
          <cell r="G46">
            <v>0</v>
          </cell>
        </row>
        <row r="48">
          <cell r="G48">
            <v>0</v>
          </cell>
        </row>
        <row r="49">
          <cell r="G49">
            <v>0</v>
          </cell>
        </row>
        <row r="54">
          <cell r="I54">
            <v>500000</v>
          </cell>
        </row>
        <row r="56">
          <cell r="A56" t="str">
            <v>Schedule STTC</v>
          </cell>
          <cell r="D56" t="str">
            <v>Rebate under section 88E</v>
          </cell>
        </row>
        <row r="57">
          <cell r="A57" t="str">
            <v>STT REBATE</v>
          </cell>
          <cell r="B57">
            <v>1</v>
          </cell>
          <cell r="C57" t="str">
            <v>Income arising from transactions chargeable to Securities Transaction Tax (STT) chargeable under the head “Profit from business or profession and included in the gross total income</v>
          </cell>
        </row>
        <row r="58">
          <cell r="C58" t="str">
            <v>i</v>
          </cell>
          <cell r="D58" t="str">
            <v>Being from non speculative business included in A34 of Schedule BP</v>
          </cell>
          <cell r="F58" t="str">
            <v>1i</v>
          </cell>
        </row>
        <row r="59">
          <cell r="C59" t="str">
            <v>ii</v>
          </cell>
          <cell r="D59" t="str">
            <v>Being from speculative business included in B38 of Schedule BP</v>
          </cell>
          <cell r="F59" t="str">
            <v>1ii</v>
          </cell>
        </row>
        <row r="60">
          <cell r="C60" t="str">
            <v>iii</v>
          </cell>
          <cell r="D60" t="str">
            <v>Total</v>
          </cell>
          <cell r="H60" t="str">
            <v>1iii</v>
          </cell>
          <cell r="I60">
            <v>0</v>
          </cell>
        </row>
        <row r="61">
          <cell r="B61">
            <v>2</v>
          </cell>
          <cell r="C61" t="str">
            <v>Tax payable on (1)(iii) above on average rate of tax</v>
          </cell>
          <cell r="F61">
            <v>2</v>
          </cell>
        </row>
        <row r="62">
          <cell r="B62">
            <v>3</v>
          </cell>
          <cell r="C62" t="str">
            <v>STT paid during the year on the transactions chargeable to STT which have been entered into in the course of business during the year</v>
          </cell>
          <cell r="F62">
            <v>3</v>
          </cell>
        </row>
        <row r="63">
          <cell r="B63">
            <v>4</v>
          </cell>
          <cell r="C63" t="str">
            <v>Rebate under section 88E, lower of (2) and (3)</v>
          </cell>
          <cell r="H63">
            <v>4</v>
          </cell>
          <cell r="I63">
            <v>0</v>
          </cell>
        </row>
      </sheetData>
      <sheetData sheetId="23" refreshError="1">
        <row r="1">
          <cell r="A1" t="str">
            <v>Schedule SI</v>
          </cell>
          <cell r="C1" t="str">
            <v>Income chargeable to Income tax at special rates IB [Please see instruction Number-9(iii) for section code and rate of tax]</v>
          </cell>
        </row>
        <row r="2">
          <cell r="B2" t="str">
            <v>SlNo</v>
          </cell>
          <cell r="C2" t="str">
            <v>Sectioncode</v>
          </cell>
          <cell r="D2" t="str">
            <v>Special rate(%) (Default 1 if left blank)</v>
          </cell>
          <cell r="E2" t="str">
            <v>Income i</v>
          </cell>
          <cell r="F2" t="str">
            <v>Tax thereonii</v>
          </cell>
        </row>
        <row r="3">
          <cell r="B3">
            <v>1</v>
          </cell>
          <cell r="C3" t="str">
            <v>1A</v>
          </cell>
          <cell r="D3">
            <v>10</v>
          </cell>
          <cell r="E3">
            <v>376146</v>
          </cell>
          <cell r="F3">
            <v>37615</v>
          </cell>
        </row>
        <row r="4">
          <cell r="B4">
            <v>2</v>
          </cell>
        </row>
        <row r="5">
          <cell r="B5">
            <v>3</v>
          </cell>
        </row>
        <row r="6">
          <cell r="B6">
            <v>4</v>
          </cell>
        </row>
        <row r="7">
          <cell r="B7">
            <v>5</v>
          </cell>
        </row>
        <row r="8">
          <cell r="B8">
            <v>6</v>
          </cell>
        </row>
        <row r="9">
          <cell r="B9">
            <v>7</v>
          </cell>
        </row>
        <row r="10">
          <cell r="B10">
            <v>8</v>
          </cell>
        </row>
        <row r="11">
          <cell r="B11">
            <v>9</v>
          </cell>
        </row>
        <row r="12">
          <cell r="B12">
            <v>10</v>
          </cell>
        </row>
        <row r="13">
          <cell r="B13">
            <v>11</v>
          </cell>
          <cell r="C13" t="str">
            <v>Total (1ii to 10 ii)</v>
          </cell>
          <cell r="F13">
            <v>37615</v>
          </cell>
        </row>
        <row r="21">
          <cell r="C21">
            <v>1</v>
          </cell>
          <cell r="D21">
            <v>1</v>
          </cell>
        </row>
        <row r="22">
          <cell r="C22" t="str">
            <v>1A</v>
          </cell>
          <cell r="D22">
            <v>10</v>
          </cell>
        </row>
        <row r="23">
          <cell r="C23">
            <v>21</v>
          </cell>
          <cell r="D23">
            <v>12.5</v>
          </cell>
        </row>
        <row r="24">
          <cell r="C24">
            <v>22</v>
          </cell>
          <cell r="D24">
            <v>20</v>
          </cell>
        </row>
        <row r="25">
          <cell r="C25" t="str">
            <v>5A1a</v>
          </cell>
          <cell r="D25">
            <v>30</v>
          </cell>
        </row>
        <row r="26">
          <cell r="C26" t="str">
            <v>FA</v>
          </cell>
          <cell r="D26">
            <v>50</v>
          </cell>
        </row>
        <row r="27">
          <cell r="C27" t="str">
            <v>5A1b1</v>
          </cell>
        </row>
        <row r="28">
          <cell r="C28" t="str">
            <v>5A1b2</v>
          </cell>
        </row>
        <row r="29">
          <cell r="C29" t="str">
            <v>5A1b3</v>
          </cell>
        </row>
        <row r="30">
          <cell r="C30" t="str">
            <v>5AB1a</v>
          </cell>
        </row>
        <row r="31">
          <cell r="C31" t="str">
            <v>5AB1b</v>
          </cell>
        </row>
        <row r="32">
          <cell r="C32" t="str">
            <v>5AC</v>
          </cell>
        </row>
        <row r="33">
          <cell r="C33" t="str">
            <v>5ACA</v>
          </cell>
        </row>
        <row r="34">
          <cell r="C34" t="str">
            <v>5B</v>
          </cell>
        </row>
        <row r="35">
          <cell r="C35" t="str">
            <v>5BB</v>
          </cell>
        </row>
        <row r="36">
          <cell r="C36" t="str">
            <v>5BBA</v>
          </cell>
        </row>
        <row r="37">
          <cell r="C37" t="str">
            <v>5BBB</v>
          </cell>
        </row>
        <row r="38">
          <cell r="C38" t="str">
            <v>5BBC</v>
          </cell>
        </row>
        <row r="39">
          <cell r="C39" t="str">
            <v>5Ea</v>
          </cell>
        </row>
        <row r="40">
          <cell r="C40" t="str">
            <v>5Eb</v>
          </cell>
        </row>
        <row r="41">
          <cell r="C41" t="str">
            <v>DTAA</v>
          </cell>
        </row>
      </sheetData>
      <sheetData sheetId="24" refreshError="1">
        <row r="1">
          <cell r="A1" t="str">
            <v>Schedule - EI</v>
          </cell>
        </row>
        <row r="3">
          <cell r="F3">
            <v>334087092</v>
          </cell>
        </row>
        <row r="8">
          <cell r="F8">
            <v>334087092</v>
          </cell>
        </row>
        <row r="14">
          <cell r="A14" t="str">
            <v>Schedule MAT</v>
          </cell>
        </row>
        <row r="39">
          <cell r="A39" t="str">
            <v>Schedule MATC</v>
          </cell>
        </row>
      </sheetData>
      <sheetData sheetId="25" refreshError="1">
        <row r="1">
          <cell r="A1" t="str">
            <v>Schedule - FBI</v>
          </cell>
          <cell r="D1" t="str">
            <v>Information regarding calculation of value of fringe benefits</v>
          </cell>
        </row>
        <row r="2">
          <cell r="A2" t="str">
            <v>Fringe benefitinformation</v>
          </cell>
          <cell r="B2">
            <v>1</v>
          </cell>
          <cell r="C2" t="str">
            <v>Are you having employees based both in and outside India? If yes write 1, and if no write 2</v>
          </cell>
          <cell r="F2">
            <v>2</v>
          </cell>
          <cell r="P2">
            <v>1</v>
          </cell>
          <cell r="Q2">
            <v>1</v>
          </cell>
        </row>
        <row r="3">
          <cell r="B3">
            <v>2</v>
          </cell>
          <cell r="C3" t="str">
            <v>If answer to ‘1’ is yes, are you maintaining separate books of account for Indian and foreign operations? If yes write 1, and if no write 2</v>
          </cell>
          <cell r="F3">
            <v>1</v>
          </cell>
          <cell r="P3">
            <v>2</v>
          </cell>
          <cell r="Q3">
            <v>2</v>
          </cell>
        </row>
        <row r="4">
          <cell r="B4">
            <v>3</v>
          </cell>
          <cell r="C4" t="str">
            <v>Total number of employees</v>
          </cell>
        </row>
        <row r="5">
          <cell r="C5" t="str">
            <v>a</v>
          </cell>
          <cell r="D5" t="str">
            <v>Number of employees in India</v>
          </cell>
          <cell r="E5" t="str">
            <v>3a</v>
          </cell>
          <cell r="F5">
            <v>8340</v>
          </cell>
        </row>
        <row r="6">
          <cell r="C6" t="str">
            <v>b</v>
          </cell>
          <cell r="D6" t="str">
            <v>Number of employees outside India</v>
          </cell>
          <cell r="E6" t="str">
            <v>3b</v>
          </cell>
          <cell r="F6">
            <v>0</v>
          </cell>
        </row>
        <row r="7">
          <cell r="C7" t="str">
            <v>c</v>
          </cell>
          <cell r="D7" t="str">
            <v>Total number of employees</v>
          </cell>
          <cell r="E7" t="str">
            <v>3c</v>
          </cell>
          <cell r="F7">
            <v>8340</v>
          </cell>
        </row>
        <row r="9">
          <cell r="A9" t="str">
            <v>Schedule FB</v>
          </cell>
          <cell r="D9" t="str">
            <v>Computation of value of fringe benefits</v>
          </cell>
        </row>
        <row r="10">
          <cell r="A10" t="str">
            <v>VALUE OF FRINGE BENEFITS</v>
          </cell>
          <cell r="B10" t="str">
            <v>Sl.No.</v>
          </cell>
          <cell r="C10" t="str">
            <v>Nature of expenditure</v>
          </cell>
          <cell r="E10" t="str">
            <v>Amount/value ofexpenditure*</v>
          </cell>
          <cell r="G10" t="str">
            <v>Percent-age</v>
          </cell>
          <cell r="I10" t="str">
            <v>Value of fringe benefitsiv= ii x iii ÷ 100</v>
          </cell>
        </row>
        <row r="11">
          <cell r="C11" t="str">
            <v>i</v>
          </cell>
          <cell r="E11" t="str">
            <v>ii</v>
          </cell>
          <cell r="G11" t="str">
            <v>iii</v>
          </cell>
          <cell r="J11" t="str">
            <v>iv</v>
          </cell>
        </row>
        <row r="12">
          <cell r="B12">
            <v>1</v>
          </cell>
          <cell r="C12" t="str">
            <v>Free or concessional tickets provided for private journeys of employees or their family members (the value in column ii shall be the cost of the ticket to the general public as reduced by the amount, if any, paid by or recovered from the employee)</v>
          </cell>
          <cell r="E12" t="str">
            <v>1ii</v>
          </cell>
          <cell r="G12">
            <v>100</v>
          </cell>
          <cell r="I12" t="str">
            <v>1iv</v>
          </cell>
          <cell r="J12">
            <v>0</v>
          </cell>
        </row>
        <row r="13">
          <cell r="B13">
            <v>2</v>
          </cell>
          <cell r="C13" t="str">
            <v>Any specified security or sweat equity shares [Sections 115WB(1)(d)] [Difference between the fair market value on the vesting date and amount recovered from or paid by the employee] and  contribution to an approved superannuation fund for employees (in ex</v>
          </cell>
          <cell r="E13" t="str">
            <v>2ii</v>
          </cell>
          <cell r="F13">
            <v>166549342</v>
          </cell>
          <cell r="G13">
            <v>100</v>
          </cell>
          <cell r="I13" t="str">
            <v>2iv</v>
          </cell>
          <cell r="J13">
            <v>166549342</v>
          </cell>
        </row>
        <row r="14">
          <cell r="B14">
            <v>3</v>
          </cell>
          <cell r="C14" t="str">
            <v>Entertainment</v>
          </cell>
          <cell r="E14" t="str">
            <v>3ii</v>
          </cell>
          <cell r="G14">
            <v>20</v>
          </cell>
          <cell r="I14" t="str">
            <v>3iv</v>
          </cell>
          <cell r="J14">
            <v>0</v>
          </cell>
        </row>
        <row r="15">
          <cell r="B15">
            <v>4</v>
          </cell>
          <cell r="C15" t="str">
            <v>a</v>
          </cell>
          <cell r="D15" t="str">
            <v>Hospitality in the business other than business referred to in 4b or 4c or 4d</v>
          </cell>
          <cell r="E15" t="str">
            <v>aii</v>
          </cell>
          <cell r="G15">
            <v>20</v>
          </cell>
          <cell r="I15" t="str">
            <v>aiv</v>
          </cell>
          <cell r="J15">
            <v>0</v>
          </cell>
        </row>
        <row r="16">
          <cell r="C16" t="str">
            <v>b</v>
          </cell>
          <cell r="D16" t="str">
            <v>Hospitality in the business of hotel</v>
          </cell>
          <cell r="E16" t="str">
            <v>bii</v>
          </cell>
          <cell r="G16">
            <v>5</v>
          </cell>
          <cell r="I16" t="str">
            <v>biv</v>
          </cell>
          <cell r="J16">
            <v>0</v>
          </cell>
        </row>
        <row r="17">
          <cell r="C17" t="str">
            <v>c</v>
          </cell>
          <cell r="D17" t="str">
            <v>Hospitality in the business of carriage of passengers or goods by aircraft</v>
          </cell>
          <cell r="E17" t="str">
            <v>cii</v>
          </cell>
          <cell r="G17">
            <v>5</v>
          </cell>
          <cell r="I17" t="str">
            <v>civ</v>
          </cell>
          <cell r="J17">
            <v>0</v>
          </cell>
        </row>
        <row r="18">
          <cell r="C18" t="str">
            <v>d</v>
          </cell>
          <cell r="D18" t="str">
            <v>Hospitality in the business of carriage of passengers or goods by ship</v>
          </cell>
          <cell r="E18" t="str">
            <v>dii</v>
          </cell>
          <cell r="G18">
            <v>5</v>
          </cell>
          <cell r="I18" t="str">
            <v>div</v>
          </cell>
          <cell r="J18">
            <v>0</v>
          </cell>
        </row>
        <row r="19">
          <cell r="B19">
            <v>5</v>
          </cell>
          <cell r="C19" t="str">
            <v>Conference (other than fee for participation by the employees in any conference)</v>
          </cell>
          <cell r="E19" t="str">
            <v>5ii</v>
          </cell>
          <cell r="F19">
            <v>16241</v>
          </cell>
          <cell r="G19">
            <v>20</v>
          </cell>
          <cell r="I19" t="str">
            <v>5iv</v>
          </cell>
          <cell r="J19">
            <v>3248</v>
          </cell>
        </row>
        <row r="20">
          <cell r="B20">
            <v>6</v>
          </cell>
          <cell r="C20" t="str">
            <v>Sales promotion including publicity (excluding any expenditure on advertisement referred to in proviso to section 115WB(2)(D)</v>
          </cell>
          <cell r="E20" t="str">
            <v>6ii</v>
          </cell>
          <cell r="F20">
            <v>4024416</v>
          </cell>
          <cell r="G20">
            <v>20</v>
          </cell>
          <cell r="I20" t="str">
            <v>6iv</v>
          </cell>
          <cell r="J20">
            <v>804883</v>
          </cell>
        </row>
        <row r="21">
          <cell r="B21">
            <v>7</v>
          </cell>
          <cell r="C21" t="str">
            <v>Employees welfare</v>
          </cell>
          <cell r="E21" t="str">
            <v>7ii</v>
          </cell>
          <cell r="F21">
            <v>5633902</v>
          </cell>
          <cell r="G21">
            <v>20</v>
          </cell>
          <cell r="I21" t="str">
            <v>7iv</v>
          </cell>
          <cell r="J21">
            <v>1126780</v>
          </cell>
        </row>
        <row r="22">
          <cell r="B22">
            <v>8</v>
          </cell>
          <cell r="C22" t="str">
            <v>a</v>
          </cell>
          <cell r="D22" t="str">
            <v>Conveyance, in the business other than the business referred to in 8b or 8c or 8d</v>
          </cell>
          <cell r="E22" t="str">
            <v>aii</v>
          </cell>
          <cell r="F22">
            <v>33125083</v>
          </cell>
          <cell r="G22">
            <v>20</v>
          </cell>
          <cell r="I22" t="str">
            <v>aiv</v>
          </cell>
          <cell r="J22">
            <v>6625017</v>
          </cell>
        </row>
        <row r="23">
          <cell r="C23" t="str">
            <v>b</v>
          </cell>
          <cell r="D23" t="str">
            <v>Conveyance, in business of construction</v>
          </cell>
          <cell r="E23" t="str">
            <v>bii</v>
          </cell>
          <cell r="G23">
            <v>5</v>
          </cell>
          <cell r="I23" t="str">
            <v>biv</v>
          </cell>
          <cell r="J23">
            <v>0</v>
          </cell>
        </row>
        <row r="24">
          <cell r="C24" t="str">
            <v>c</v>
          </cell>
          <cell r="D24" t="str">
            <v>Conveyance in the business of manufacture orproduction of pharmaceuticals</v>
          </cell>
          <cell r="E24" t="str">
            <v>cii</v>
          </cell>
          <cell r="G24">
            <v>5</v>
          </cell>
          <cell r="I24" t="str">
            <v>civ</v>
          </cell>
          <cell r="J24">
            <v>0</v>
          </cell>
        </row>
        <row r="25">
          <cell r="C25" t="str">
            <v>d</v>
          </cell>
          <cell r="D25" t="str">
            <v>Conveyance in the business of manufacture orproduction of computer software</v>
          </cell>
          <cell r="E25" t="str">
            <v>dii</v>
          </cell>
          <cell r="G25">
            <v>5</v>
          </cell>
          <cell r="I25" t="str">
            <v>div</v>
          </cell>
          <cell r="J25">
            <v>0</v>
          </cell>
        </row>
        <row r="26">
          <cell r="B26">
            <v>9</v>
          </cell>
          <cell r="C26" t="str">
            <v>a</v>
          </cell>
          <cell r="D26" t="str">
            <v>Use of hotel, boarding and lodging facilities in thebusiness other than the business referred to in 9b or9c or 9d or 9e</v>
          </cell>
          <cell r="E26" t="str">
            <v>aii</v>
          </cell>
          <cell r="F26">
            <v>17895400</v>
          </cell>
          <cell r="G26">
            <v>20</v>
          </cell>
          <cell r="I26" t="str">
            <v>aiv</v>
          </cell>
          <cell r="J26">
            <v>3579080</v>
          </cell>
        </row>
        <row r="27">
          <cell r="C27" t="str">
            <v>b</v>
          </cell>
          <cell r="D27" t="str">
            <v>Use of hotel, boarding and lodging facilities in the business of manufacture or production of pharmaceuticals</v>
          </cell>
          <cell r="E27" t="str">
            <v>bii</v>
          </cell>
          <cell r="G27">
            <v>5</v>
          </cell>
          <cell r="I27" t="str">
            <v>biv</v>
          </cell>
          <cell r="J27">
            <v>0</v>
          </cell>
        </row>
        <row r="28">
          <cell r="C28" t="str">
            <v>c</v>
          </cell>
          <cell r="D28" t="str">
            <v>Use of hotel, boarding and lodging facilities in the business of manufacture or production of computer software</v>
          </cell>
          <cell r="E28" t="str">
            <v>cii</v>
          </cell>
          <cell r="G28">
            <v>5</v>
          </cell>
          <cell r="I28" t="str">
            <v>civ</v>
          </cell>
          <cell r="J28">
            <v>0</v>
          </cell>
        </row>
        <row r="29">
          <cell r="C29" t="str">
            <v>d</v>
          </cell>
          <cell r="D29" t="str">
            <v>Use of hotel, boarding and lodging facilities in thebusiness of carriage of passengers or goods byaircraft</v>
          </cell>
          <cell r="E29" t="str">
            <v>dii</v>
          </cell>
          <cell r="G29">
            <v>5</v>
          </cell>
          <cell r="I29" t="str">
            <v>div</v>
          </cell>
          <cell r="J29">
            <v>0</v>
          </cell>
        </row>
        <row r="30">
          <cell r="C30" t="str">
            <v>e</v>
          </cell>
          <cell r="D30" t="str">
            <v>Use of hotel, boarding and lodging facilities in thebusiness of carriage of passengers or goods by ship</v>
          </cell>
          <cell r="E30" t="str">
            <v>eii</v>
          </cell>
          <cell r="G30">
            <v>5</v>
          </cell>
          <cell r="I30" t="str">
            <v>eiv</v>
          </cell>
          <cell r="J30">
            <v>0</v>
          </cell>
        </row>
        <row r="31">
          <cell r="B31">
            <v>10</v>
          </cell>
          <cell r="C31" t="str">
            <v>a</v>
          </cell>
          <cell r="D31" t="str">
            <v>Repair, running (including fuel), maintenance of motor cars and the amount of depreciation thereon in the business other than the business of carriage of passengers or goods by motor car</v>
          </cell>
          <cell r="E31" t="str">
            <v>aii</v>
          </cell>
          <cell r="G31">
            <v>20</v>
          </cell>
          <cell r="I31" t="str">
            <v>aiv</v>
          </cell>
          <cell r="J31">
            <v>0</v>
          </cell>
        </row>
        <row r="32">
          <cell r="C32" t="str">
            <v>b</v>
          </cell>
          <cell r="D32" t="str">
            <v>Repair, running (including fuel), maintenance of motor cars and the amount of depreciation thereon in the business of carriage of passengers or goods by motor car</v>
          </cell>
          <cell r="E32" t="str">
            <v>bii</v>
          </cell>
          <cell r="G32">
            <v>5</v>
          </cell>
          <cell r="I32" t="str">
            <v>biv</v>
          </cell>
          <cell r="J32">
            <v>0</v>
          </cell>
        </row>
        <row r="33">
          <cell r="B33">
            <v>11</v>
          </cell>
          <cell r="C33" t="str">
            <v>Repair, running (including fuel) and maintenance of aircrafts and the amount of depreciation thereon in the business other than the business of carriage of passengers or goods by aircraft</v>
          </cell>
          <cell r="F33">
            <v>6061284</v>
          </cell>
          <cell r="G33">
            <v>20</v>
          </cell>
          <cell r="I33" t="str">
            <v>11iv</v>
          </cell>
          <cell r="J33">
            <v>1212257</v>
          </cell>
        </row>
        <row r="34">
          <cell r="B34">
            <v>12</v>
          </cell>
          <cell r="C34" t="str">
            <v>Use of telephone (including mobile phone) other than expenditure on leased telephone lines</v>
          </cell>
          <cell r="F34">
            <v>86182922</v>
          </cell>
          <cell r="G34">
            <v>20</v>
          </cell>
          <cell r="I34" t="str">
            <v>12iv</v>
          </cell>
          <cell r="J34">
            <v>17236584</v>
          </cell>
        </row>
        <row r="35">
          <cell r="B35">
            <v>13</v>
          </cell>
          <cell r="C35" t="str">
            <v>Maintenance of any accommodation in the nature of guest house other than accommodation used for training purposes</v>
          </cell>
          <cell r="G35">
            <v>20</v>
          </cell>
          <cell r="I35" t="str">
            <v>13iv</v>
          </cell>
          <cell r="J35">
            <v>0</v>
          </cell>
        </row>
        <row r="36">
          <cell r="B36">
            <v>14</v>
          </cell>
          <cell r="C36" t="str">
            <v>Festival celebrations</v>
          </cell>
          <cell r="F36">
            <v>30022</v>
          </cell>
          <cell r="G36">
            <v>50</v>
          </cell>
          <cell r="I36" t="str">
            <v>14iv</v>
          </cell>
          <cell r="J36">
            <v>15011</v>
          </cell>
        </row>
        <row r="37">
          <cell r="B37">
            <v>15</v>
          </cell>
          <cell r="C37" t="str">
            <v>Use of health club and similar facilities</v>
          </cell>
          <cell r="G37">
            <v>50</v>
          </cell>
          <cell r="I37" t="str">
            <v>15iv</v>
          </cell>
          <cell r="J37">
            <v>0</v>
          </cell>
        </row>
        <row r="38">
          <cell r="B38">
            <v>16</v>
          </cell>
          <cell r="C38" t="str">
            <v>Use of any other club facilities</v>
          </cell>
          <cell r="F38">
            <v>2440400</v>
          </cell>
          <cell r="G38">
            <v>50</v>
          </cell>
          <cell r="I38" t="str">
            <v>16iv</v>
          </cell>
          <cell r="J38">
            <v>1220200</v>
          </cell>
        </row>
        <row r="39">
          <cell r="B39">
            <v>17</v>
          </cell>
          <cell r="C39" t="str">
            <v>Gifts</v>
          </cell>
          <cell r="G39">
            <v>50</v>
          </cell>
          <cell r="I39" t="str">
            <v>17iv</v>
          </cell>
          <cell r="J39">
            <v>0</v>
          </cell>
        </row>
        <row r="40">
          <cell r="B40">
            <v>18</v>
          </cell>
          <cell r="C40" t="str">
            <v>Scholarships</v>
          </cell>
          <cell r="G40">
            <v>50</v>
          </cell>
          <cell r="I40" t="str">
            <v>18iv</v>
          </cell>
          <cell r="J40">
            <v>0</v>
          </cell>
        </row>
        <row r="41">
          <cell r="B41">
            <v>19</v>
          </cell>
          <cell r="C41" t="str">
            <v>Tour and Travel (including foreign travel)</v>
          </cell>
          <cell r="F41">
            <v>7073516</v>
          </cell>
          <cell r="G41">
            <v>5</v>
          </cell>
          <cell r="I41" t="str">
            <v>19iv</v>
          </cell>
          <cell r="J41">
            <v>353676</v>
          </cell>
        </row>
        <row r="42">
          <cell r="B42">
            <v>20</v>
          </cell>
          <cell r="C42" t="str">
            <v>Value of fringe benefits (total of Column iv)</v>
          </cell>
          <cell r="I42" t="str">
            <v>20iv</v>
          </cell>
          <cell r="J42">
            <v>198726078</v>
          </cell>
        </row>
        <row r="43">
          <cell r="B43">
            <v>21</v>
          </cell>
          <cell r="C43" t="str">
            <v>If answer to ‘1’ of Schedule-FBI is no, value of fringe benefits (same as20iv)</v>
          </cell>
          <cell r="I43" t="str">
            <v>21iv</v>
          </cell>
          <cell r="J43">
            <v>198726078</v>
          </cell>
        </row>
        <row r="44">
          <cell r="B44">
            <v>22</v>
          </cell>
          <cell r="C44" t="str">
            <v>If answer to ‘2’of Schedule-FBI is yes, value of fringe benefits (same as20iv)</v>
          </cell>
          <cell r="I44" t="str">
            <v>22iv</v>
          </cell>
          <cell r="J44">
            <v>198726078</v>
          </cell>
        </row>
        <row r="45">
          <cell r="B45">
            <v>23</v>
          </cell>
          <cell r="C45" t="str">
            <v>If answer to ‘2’of Schedule-FBI is no, value of fringe benefits ( 20iv x 3a of Schedule-FBI ÷3c of Schedule-FBI)</v>
          </cell>
          <cell r="I45" t="str">
            <v>23iv</v>
          </cell>
          <cell r="J45">
            <v>0</v>
          </cell>
        </row>
        <row r="46">
          <cell r="B46">
            <v>24</v>
          </cell>
          <cell r="C46" t="str">
            <v>Value of fringe benefits(21iv or 22iv or 23iv as the case may be)</v>
          </cell>
          <cell r="I46" t="str">
            <v>24iv</v>
          </cell>
          <cell r="J46">
            <v>198726078</v>
          </cell>
        </row>
        <row r="47">
          <cell r="B47" t="str">
            <v>NOTE :</v>
          </cell>
          <cell r="D47" t="str">
            <v>*If answer to ‘2’of Schedule-FBI is yes, enter the figures in 1ii to 19ii on the basis of books of account maintained for Indian operation.</v>
          </cell>
        </row>
      </sheetData>
      <sheetData sheetId="26" refreshError="1">
        <row r="1">
          <cell r="A1" t="str">
            <v>Schedule IT</v>
          </cell>
          <cell r="D1" t="str">
            <v>Details of Advance Tax and Self Assessment Tax Payments of Income-tax</v>
          </cell>
        </row>
        <row r="2">
          <cell r="A2" t="str">
            <v>TAX PAYMENTS</v>
          </cell>
          <cell r="B2" t="str">
            <v>SlNo</v>
          </cell>
          <cell r="C2" t="str">
            <v xml:space="preserve">Name of Bank </v>
          </cell>
          <cell r="D2" t="str">
            <v>Name of Branch</v>
          </cell>
          <cell r="E2" t="str">
            <v>BSR Code</v>
          </cell>
          <cell r="F2" t="str">
            <v>Date of Deposit(DD/MM/YYYY)</v>
          </cell>
          <cell r="G2" t="str">
            <v>Serial Number ofChallan</v>
          </cell>
          <cell r="H2" t="str">
            <v>Amount (Rs)</v>
          </cell>
        </row>
        <row r="3">
          <cell r="B3">
            <v>1</v>
          </cell>
          <cell r="C3">
            <v>2</v>
          </cell>
          <cell r="D3">
            <v>3</v>
          </cell>
          <cell r="E3">
            <v>4</v>
          </cell>
          <cell r="F3">
            <v>5</v>
          </cell>
          <cell r="G3">
            <v>6</v>
          </cell>
          <cell r="H3">
            <v>7</v>
          </cell>
        </row>
        <row r="4">
          <cell r="B4">
            <v>1</v>
          </cell>
          <cell r="C4" t="str">
            <v>HDFC BANK LTD</v>
          </cell>
          <cell r="D4" t="str">
            <v>SEC-14,GURGAON</v>
          </cell>
          <cell r="E4" t="str">
            <v>0510091</v>
          </cell>
          <cell r="F4" t="str">
            <v>14/09/2007</v>
          </cell>
          <cell r="G4">
            <v>14056</v>
          </cell>
          <cell r="H4">
            <v>50000000</v>
          </cell>
          <cell r="S4">
            <v>1</v>
          </cell>
        </row>
        <row r="5">
          <cell r="B5">
            <v>2</v>
          </cell>
          <cell r="C5" t="str">
            <v>HDFC BANK LTD</v>
          </cell>
          <cell r="D5" t="str">
            <v>SEC-14,GURGAON</v>
          </cell>
          <cell r="E5" t="str">
            <v>0510091</v>
          </cell>
          <cell r="F5" t="str">
            <v>14/12/2007</v>
          </cell>
          <cell r="G5">
            <v>14103</v>
          </cell>
          <cell r="H5">
            <v>250000000</v>
          </cell>
          <cell r="S5">
            <v>1</v>
          </cell>
        </row>
        <row r="6">
          <cell r="B6">
            <v>3</v>
          </cell>
          <cell r="C6" t="str">
            <v>HDFC BANK LTD</v>
          </cell>
          <cell r="D6" t="str">
            <v>GOREGAON(W)</v>
          </cell>
          <cell r="E6" t="str">
            <v>0510308</v>
          </cell>
          <cell r="F6" t="str">
            <v>15/03/2008</v>
          </cell>
          <cell r="G6">
            <v>12</v>
          </cell>
          <cell r="H6">
            <v>350000000</v>
          </cell>
          <cell r="S6">
            <v>1</v>
          </cell>
        </row>
        <row r="7">
          <cell r="B7">
            <v>4</v>
          </cell>
          <cell r="C7" t="str">
            <v>HDFC BANK LTD</v>
          </cell>
          <cell r="D7" t="str">
            <v>GOREGAON(W)</v>
          </cell>
          <cell r="E7" t="str">
            <v>0510308</v>
          </cell>
          <cell r="F7" t="str">
            <v>29/09/2008</v>
          </cell>
          <cell r="G7">
            <v>2472</v>
          </cell>
          <cell r="H7">
            <v>114210364</v>
          </cell>
          <cell r="S7">
            <v>2</v>
          </cell>
        </row>
        <row r="8">
          <cell r="B8">
            <v>5</v>
          </cell>
          <cell r="S8" t="e">
            <v>#VALUE!</v>
          </cell>
        </row>
        <row r="9">
          <cell r="B9">
            <v>6</v>
          </cell>
          <cell r="S9" t="e">
            <v>#VALUE!</v>
          </cell>
        </row>
        <row r="10">
          <cell r="B10" t="str">
            <v>NOTE</v>
          </cell>
          <cell r="D10" t="str">
            <v>Totals of Advance tax and Self Assessment tax linked to PartB-TTI</v>
          </cell>
        </row>
        <row r="28">
          <cell r="A28" t="str">
            <v>Schedule FBT</v>
          </cell>
          <cell r="D28" t="str">
            <v>Details of payment of Fringe Benefit Tax</v>
          </cell>
        </row>
        <row r="30">
          <cell r="B30">
            <v>1</v>
          </cell>
          <cell r="C30" t="str">
            <v>HDFC BANK LTD</v>
          </cell>
          <cell r="D30" t="str">
            <v>KG MARG, NEW DELHI</v>
          </cell>
          <cell r="E30" t="str">
            <v>0510005</v>
          </cell>
          <cell r="F30" t="str">
            <v>15/06/2007</v>
          </cell>
          <cell r="G30">
            <v>55764</v>
          </cell>
          <cell r="H30">
            <v>150000</v>
          </cell>
          <cell r="R30">
            <v>1</v>
          </cell>
        </row>
        <row r="31">
          <cell r="B31">
            <v>2</v>
          </cell>
          <cell r="C31" t="str">
            <v>HDFC BANK LTD</v>
          </cell>
          <cell r="D31" t="str">
            <v>SEC-14, GURGAON</v>
          </cell>
          <cell r="E31" t="str">
            <v>0510091</v>
          </cell>
          <cell r="F31" t="str">
            <v>15/06/2007</v>
          </cell>
          <cell r="G31">
            <v>15039</v>
          </cell>
          <cell r="H31">
            <v>920000</v>
          </cell>
          <cell r="R31">
            <v>1</v>
          </cell>
        </row>
        <row r="32">
          <cell r="B32">
            <v>3</v>
          </cell>
          <cell r="C32" t="str">
            <v>HDFC BANK LTD</v>
          </cell>
          <cell r="D32" t="str">
            <v>SEC-14, GURGAON</v>
          </cell>
          <cell r="E32" t="str">
            <v>0510091</v>
          </cell>
          <cell r="F32" t="str">
            <v>14/09/2007</v>
          </cell>
          <cell r="G32">
            <v>14061</v>
          </cell>
          <cell r="H32">
            <v>2910000</v>
          </cell>
          <cell r="R32">
            <v>1</v>
          </cell>
        </row>
        <row r="33">
          <cell r="B33">
            <v>4</v>
          </cell>
          <cell r="C33" t="str">
            <v>HDFC BANK LTD</v>
          </cell>
          <cell r="D33" t="str">
            <v>SEC-14, GURGAON</v>
          </cell>
          <cell r="E33" t="str">
            <v>0510091</v>
          </cell>
          <cell r="F33" t="str">
            <v>14/09/2007</v>
          </cell>
          <cell r="G33">
            <v>14058</v>
          </cell>
          <cell r="H33">
            <v>800000</v>
          </cell>
          <cell r="R33">
            <v>1</v>
          </cell>
        </row>
        <row r="34">
          <cell r="B34">
            <v>5</v>
          </cell>
          <cell r="C34" t="str">
            <v>HDFC BANK LTD</v>
          </cell>
          <cell r="D34" t="str">
            <v>SEC-14, GURGAON</v>
          </cell>
          <cell r="E34" t="str">
            <v>0510091</v>
          </cell>
          <cell r="F34" t="str">
            <v>15/12/2007</v>
          </cell>
          <cell r="G34">
            <v>15008</v>
          </cell>
          <cell r="H34">
            <v>54600000</v>
          </cell>
          <cell r="R34">
            <v>1</v>
          </cell>
        </row>
        <row r="35">
          <cell r="B35">
            <v>6</v>
          </cell>
          <cell r="C35" t="str">
            <v>HDFC BANK LTD</v>
          </cell>
          <cell r="D35" t="str">
            <v>SEC-14, GURGAON</v>
          </cell>
          <cell r="E35" t="str">
            <v>0510091</v>
          </cell>
          <cell r="F35" t="str">
            <v>14/12/2007</v>
          </cell>
          <cell r="G35">
            <v>14098</v>
          </cell>
          <cell r="H35">
            <v>750000</v>
          </cell>
          <cell r="R35">
            <v>1</v>
          </cell>
        </row>
        <row r="36">
          <cell r="B36">
            <v>7</v>
          </cell>
          <cell r="C36" t="str">
            <v>HDFC BANK LTD</v>
          </cell>
          <cell r="D36" t="str">
            <v>GOREGAON(W)</v>
          </cell>
          <cell r="E36" t="str">
            <v>0510308</v>
          </cell>
          <cell r="F36" t="str">
            <v>14/03/2008</v>
          </cell>
          <cell r="G36">
            <v>72</v>
          </cell>
          <cell r="H36">
            <v>7970000</v>
          </cell>
          <cell r="R36">
            <v>1</v>
          </cell>
        </row>
        <row r="37">
          <cell r="B37">
            <v>8</v>
          </cell>
          <cell r="R37" t="e">
            <v>#VALUE!</v>
          </cell>
        </row>
        <row r="38">
          <cell r="B38">
            <v>9</v>
          </cell>
          <cell r="R38" t="e">
            <v>#VALUE!</v>
          </cell>
        </row>
        <row r="39">
          <cell r="B39">
            <v>10</v>
          </cell>
          <cell r="R39" t="e">
            <v>#VALUE!</v>
          </cell>
        </row>
        <row r="40">
          <cell r="B40">
            <v>11</v>
          </cell>
          <cell r="R40" t="e">
            <v>#VALUE!</v>
          </cell>
        </row>
        <row r="41">
          <cell r="B41" t="str">
            <v>NOTE</v>
          </cell>
          <cell r="D41" t="str">
            <v>Linked to Part C</v>
          </cell>
        </row>
        <row r="47">
          <cell r="C47" t="str">
            <v>Sch : Dividend Distribution Tax Payment</v>
          </cell>
        </row>
        <row r="49">
          <cell r="C49" t="str">
            <v>HDFC BANK LTD</v>
          </cell>
          <cell r="D49" t="str">
            <v>SEC-14, GURGAON</v>
          </cell>
          <cell r="E49" t="str">
            <v>0510091</v>
          </cell>
          <cell r="F49" t="str">
            <v>27/07/2007</v>
          </cell>
          <cell r="G49">
            <v>27061</v>
          </cell>
          <cell r="H49">
            <v>3411273</v>
          </cell>
        </row>
        <row r="50">
          <cell r="C50" t="str">
            <v>HDFC BANK LTD</v>
          </cell>
          <cell r="D50" t="str">
            <v>K.G.MARG, NEW DELHI</v>
          </cell>
          <cell r="E50" t="str">
            <v>0510005</v>
          </cell>
          <cell r="F50" t="str">
            <v>03/11/2007</v>
          </cell>
          <cell r="G50">
            <v>59127</v>
          </cell>
          <cell r="H50">
            <v>3448759</v>
          </cell>
        </row>
        <row r="51">
          <cell r="C51" t="str">
            <v>HDFC BANK LTD</v>
          </cell>
          <cell r="D51" t="str">
            <v>SEC-14, GURGAON</v>
          </cell>
          <cell r="E51" t="str">
            <v>0510091</v>
          </cell>
          <cell r="F51" t="str">
            <v>28/09/2007</v>
          </cell>
          <cell r="G51">
            <v>28006</v>
          </cell>
          <cell r="H51">
            <v>37855730</v>
          </cell>
        </row>
        <row r="52">
          <cell r="C52" t="str">
            <v>HDFC BANK LTD</v>
          </cell>
          <cell r="D52" t="str">
            <v>GOREGAON(W)</v>
          </cell>
          <cell r="E52" t="str">
            <v>0510308</v>
          </cell>
          <cell r="F52" t="str">
            <v>30/01/2008</v>
          </cell>
          <cell r="G52">
            <v>5</v>
          </cell>
          <cell r="H52">
            <v>3350618</v>
          </cell>
        </row>
        <row r="53">
          <cell r="C53" t="str">
            <v>HDFC BANK LTD</v>
          </cell>
          <cell r="D53" t="str">
            <v>GOREGAON(W)</v>
          </cell>
          <cell r="E53" t="str">
            <v>0510308</v>
          </cell>
          <cell r="F53" t="str">
            <v>22/05/2008</v>
          </cell>
          <cell r="G53">
            <v>87</v>
          </cell>
          <cell r="H53">
            <v>5462965</v>
          </cell>
        </row>
        <row r="70">
          <cell r="J70" t="str">
            <v>01-ANDAMAN AND NICOBAR ISLANDS</v>
          </cell>
        </row>
        <row r="71">
          <cell r="J71" t="str">
            <v>02-ANDHRA PRADESH</v>
          </cell>
        </row>
        <row r="72">
          <cell r="J72" t="str">
            <v>03-ARUNACHAL PRADESH</v>
          </cell>
        </row>
        <row r="73">
          <cell r="J73" t="str">
            <v>04-ASSAM</v>
          </cell>
        </row>
        <row r="74">
          <cell r="J74" t="str">
            <v>05-BIHAR</v>
          </cell>
        </row>
        <row r="75">
          <cell r="J75" t="str">
            <v>06-CHANDIGARH</v>
          </cell>
        </row>
        <row r="76">
          <cell r="J76" t="str">
            <v>07-DADRA AND NAGAR HAVELI</v>
          </cell>
        </row>
        <row r="77">
          <cell r="J77" t="str">
            <v>08-DAMAN AND DIU</v>
          </cell>
        </row>
        <row r="78">
          <cell r="J78" t="str">
            <v>09-DELHI</v>
          </cell>
        </row>
        <row r="79">
          <cell r="J79" t="str">
            <v>10-GOA</v>
          </cell>
        </row>
        <row r="80">
          <cell r="J80" t="str">
            <v>11-GUJARAT</v>
          </cell>
        </row>
        <row r="81">
          <cell r="J81" t="str">
            <v>12-HARYANA</v>
          </cell>
        </row>
        <row r="82">
          <cell r="J82" t="str">
            <v>13-HIMACHAL PRADESH</v>
          </cell>
        </row>
        <row r="83">
          <cell r="J83" t="str">
            <v>14-JAMMU AND KASHMIR</v>
          </cell>
        </row>
        <row r="84">
          <cell r="J84" t="str">
            <v>15-KARNATAKA</v>
          </cell>
        </row>
        <row r="85">
          <cell r="J85" t="str">
            <v>16-KERALA</v>
          </cell>
        </row>
        <row r="86">
          <cell r="J86" t="str">
            <v>17-LAKHSWADEEP</v>
          </cell>
        </row>
        <row r="87">
          <cell r="J87" t="str">
            <v>18-MADHYA PRADESH</v>
          </cell>
        </row>
        <row r="88">
          <cell r="J88" t="str">
            <v>19-MAHARASHTRA</v>
          </cell>
        </row>
        <row r="89">
          <cell r="J89" t="str">
            <v>20-MANIPUR</v>
          </cell>
        </row>
        <row r="90">
          <cell r="J90" t="str">
            <v>21-MEGHALAYA</v>
          </cell>
        </row>
        <row r="91">
          <cell r="J91" t="str">
            <v>22-MIZORAM</v>
          </cell>
        </row>
        <row r="92">
          <cell r="J92" t="str">
            <v>23-NAGALAND</v>
          </cell>
        </row>
        <row r="93">
          <cell r="J93" t="str">
            <v>24-ORISSA</v>
          </cell>
        </row>
        <row r="94">
          <cell r="J94" t="str">
            <v>25-PONDICHERRY</v>
          </cell>
        </row>
        <row r="95">
          <cell r="J95" t="str">
            <v>26-PUNJAB</v>
          </cell>
        </row>
        <row r="96">
          <cell r="J96" t="str">
            <v>27-RAJASTHAN</v>
          </cell>
        </row>
        <row r="97">
          <cell r="J97" t="str">
            <v>28-SIKKIM</v>
          </cell>
        </row>
        <row r="98">
          <cell r="J98" t="str">
            <v>29-TAMILNADU</v>
          </cell>
        </row>
        <row r="99">
          <cell r="J99" t="str">
            <v>30-TRIPURA</v>
          </cell>
        </row>
        <row r="100">
          <cell r="J100" t="str">
            <v>31-UTTAR PRADESH</v>
          </cell>
        </row>
        <row r="101">
          <cell r="J101" t="str">
            <v>32-WEST BENGAL</v>
          </cell>
        </row>
        <row r="102">
          <cell r="J102" t="str">
            <v>33-CHHATISHGARH</v>
          </cell>
        </row>
        <row r="103">
          <cell r="J103" t="str">
            <v>34-UTTARANCHAL</v>
          </cell>
        </row>
        <row r="104">
          <cell r="J104" t="str">
            <v>35-JHARKHAND</v>
          </cell>
        </row>
        <row r="105">
          <cell r="J105" t="str">
            <v>99-FOREIGN</v>
          </cell>
        </row>
      </sheetData>
      <sheetData sheetId="27" refreshError="1"/>
      <sheetData sheetId="28" refreshError="1">
        <row r="1">
          <cell r="B1" t="str">
            <v>Instructions to fill up Excel Utility</v>
          </cell>
        </row>
        <row r="13">
          <cell r="C13" t="str">
            <v>Overview</v>
          </cell>
        </row>
        <row r="25">
          <cell r="B25" t="str">
            <v>The validation page shows the error free entries that the utility will convert into XML format when the user clicks on Publish XML button.</v>
          </cell>
        </row>
        <row r="28">
          <cell r="B28" t="str">
            <v>Before you begin</v>
          </cell>
        </row>
        <row r="31">
          <cell r="B31" t="str">
            <v>The following elements are available on ever sheet</v>
          </cell>
        </row>
        <row r="34">
          <cell r="B34" t="str">
            <v>c) Validate Sheet button , which allows the user to check for errors / omissions if any, per sheet.</v>
          </cell>
        </row>
        <row r="40">
          <cell r="B40" t="str">
            <v>Structure of the utility for ITR6</v>
          </cell>
        </row>
        <row r="41">
          <cell r="B41" t="str">
            <v>The various sheets and the schedules covered per sheet is as below.</v>
          </cell>
        </row>
        <row r="47">
          <cell r="B47" t="str">
            <v>Customisation of the utility by clicking on the Home button shown here ----&gt;</v>
          </cell>
        </row>
        <row r="54">
          <cell r="B54" t="str">
            <v>Filling up the sections of the form using the utility.</v>
          </cell>
        </row>
        <row r="74">
          <cell r="B74" t="str">
            <v>Validating the sheets :</v>
          </cell>
        </row>
        <row r="77">
          <cell r="B77" t="str">
            <v>Generating the XML and Verification :</v>
          </cell>
        </row>
        <row r="82">
          <cell r="B82" t="str">
            <v>Printing.</v>
          </cell>
        </row>
        <row r="86">
          <cell r="B86" t="str">
            <v>Importing</v>
          </cell>
        </row>
        <row r="120">
          <cell r="B120" t="str">
            <v>GENERAL</v>
          </cell>
        </row>
        <row r="136">
          <cell r="B136" t="str">
            <v>GENERAL2</v>
          </cell>
        </row>
        <row r="139">
          <cell r="B139" t="str">
            <v>SUBSIDIARY DETAILS</v>
          </cell>
        </row>
        <row r="143">
          <cell r="B143" t="str">
            <v>NATURE  OF BUSINESS</v>
          </cell>
        </row>
        <row r="148">
          <cell r="B148" t="str">
            <v>BALANCE_SHEET</v>
          </cell>
        </row>
        <row r="157">
          <cell r="B157" t="str">
            <v>PROFIT_LOSS</v>
          </cell>
        </row>
        <row r="167">
          <cell r="B167" t="str">
            <v>OTHER_INFORMATION</v>
          </cell>
        </row>
        <row r="179">
          <cell r="B179" t="str">
            <v>QUANTITATIVE_DETAILS</v>
          </cell>
        </row>
        <row r="187">
          <cell r="B187" t="str">
            <v>PART_B</v>
          </cell>
        </row>
        <row r="212">
          <cell r="B212" t="str">
            <v>PART_C</v>
          </cell>
        </row>
        <row r="243">
          <cell r="B243" t="str">
            <v>HOUSE_PROPERTY</v>
          </cell>
        </row>
        <row r="260">
          <cell r="B260" t="str">
            <v>BP</v>
          </cell>
        </row>
        <row r="274">
          <cell r="B274" t="str">
            <v>DPM_DOA</v>
          </cell>
        </row>
        <row r="281">
          <cell r="B281" t="str">
            <v>DEP_DCG</v>
          </cell>
        </row>
        <row r="289">
          <cell r="B289" t="str">
            <v>ESR</v>
          </cell>
        </row>
        <row r="296">
          <cell r="B296" t="str">
            <v>CG_OS</v>
          </cell>
        </row>
        <row r="342">
          <cell r="B342" t="str">
            <v>CYLA BFLA</v>
          </cell>
        </row>
        <row r="363">
          <cell r="B363" t="str">
            <v>CFL</v>
          </cell>
        </row>
        <row r="373">
          <cell r="B373" t="str">
            <v>10A</v>
          </cell>
        </row>
        <row r="393">
          <cell r="B393" t="str">
            <v>80G</v>
          </cell>
        </row>
        <row r="411">
          <cell r="B411" t="str">
            <v>80_</v>
          </cell>
        </row>
        <row r="444">
          <cell r="B444" t="str">
            <v>SI</v>
          </cell>
        </row>
        <row r="473">
          <cell r="B473" t="str">
            <v>EI / MAT</v>
          </cell>
        </row>
        <row r="485">
          <cell r="B485" t="str">
            <v>FRINGE_BENEFIT_INFO</v>
          </cell>
        </row>
        <row r="492">
          <cell r="B492" t="str">
            <v>FRINGE_BENEFITS</v>
          </cell>
        </row>
        <row r="526">
          <cell r="B526" t="str">
            <v>IT_TDS_TCS_FBT</v>
          </cell>
        </row>
        <row r="545">
          <cell r="B545" t="str">
            <v>DDT</v>
          </cell>
        </row>
        <row r="554">
          <cell r="B554" t="str">
            <v>General Instructions for filling in the form</v>
          </cell>
        </row>
        <row r="575">
          <cell r="B575" t="str">
            <v>6. Filling out the acknowledgement</v>
          </cell>
        </row>
        <row r="774">
          <cell r="A774" t="str">
            <v>Pre XML Checks</v>
          </cell>
        </row>
      </sheetData>
      <sheetData sheetId="29" refreshError="1">
        <row r="2">
          <cell r="B2">
            <v>0</v>
          </cell>
          <cell r="E2">
            <v>0</v>
          </cell>
        </row>
        <row r="3">
          <cell r="B3">
            <v>1</v>
          </cell>
          <cell r="E3">
            <v>0</v>
          </cell>
        </row>
        <row r="4">
          <cell r="B4">
            <v>0</v>
          </cell>
          <cell r="E4">
            <v>0</v>
          </cell>
        </row>
        <row r="5">
          <cell r="B5">
            <v>0</v>
          </cell>
          <cell r="E5">
            <v>1</v>
          </cell>
        </row>
        <row r="6">
          <cell r="B6">
            <v>0</v>
          </cell>
          <cell r="E6">
            <v>0</v>
          </cell>
        </row>
        <row r="7">
          <cell r="B7">
            <v>0</v>
          </cell>
          <cell r="E7">
            <v>0</v>
          </cell>
        </row>
        <row r="8">
          <cell r="B8">
            <v>0</v>
          </cell>
          <cell r="E8">
            <v>0</v>
          </cell>
        </row>
        <row r="9">
          <cell r="B9">
            <v>0</v>
          </cell>
          <cell r="E9">
            <v>1</v>
          </cell>
        </row>
        <row r="10">
          <cell r="B10">
            <v>0</v>
          </cell>
          <cell r="E10">
            <v>0</v>
          </cell>
        </row>
        <row r="11">
          <cell r="B11">
            <v>0</v>
          </cell>
        </row>
        <row r="12">
          <cell r="B12">
            <v>0</v>
          </cell>
          <cell r="E12">
            <v>0</v>
          </cell>
        </row>
        <row r="13">
          <cell r="B13">
            <v>0</v>
          </cell>
          <cell r="E13">
            <v>0</v>
          </cell>
        </row>
        <row r="14">
          <cell r="B14">
            <v>0</v>
          </cell>
          <cell r="E14">
            <v>0</v>
          </cell>
        </row>
      </sheetData>
      <sheetData sheetId="30" refreshError="1"/>
      <sheetData sheetId="3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v-data"/>
      <sheetName val="Input-inf"/>
      <sheetName val="Out-putinforce"/>
      <sheetName val="out-put"/>
      <sheetName val="input-data"/>
      <sheetName val="SM MASTER"/>
    </sheetNames>
    <sheetDataSet>
      <sheetData sheetId="0"/>
      <sheetData sheetId="1"/>
      <sheetData sheetId="2" refreshError="1"/>
      <sheetData sheetId="3" refreshError="1"/>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d details"/>
      <sheetName val="dd canellation"/>
      <sheetName val="Account_NO_Co_code"/>
      <sheetName val="Other notes"/>
      <sheetName val="dd_details"/>
      <sheetName val="dd_canellation"/>
      <sheetName val="V-13_NRV Testing-FG"/>
      <sheetName val="Sheet2"/>
      <sheetName val="Control"/>
      <sheetName val="PARTY MASTER"/>
      <sheetName val="2003 Budget-PL-case1"/>
      <sheetName val="BS"/>
      <sheetName val="factor"/>
      <sheetName val="CASHFLOWS"/>
    </sheetNames>
    <sheetDataSet>
      <sheetData sheetId="0" refreshError="1"/>
      <sheetData sheetId="1" refreshError="1"/>
      <sheetData sheetId="2" refreshError="1">
        <row r="2">
          <cell r="A2" t="str">
            <v>0030340016502</v>
          </cell>
        </row>
        <row r="3">
          <cell r="A3" t="str">
            <v>0030340017066</v>
          </cell>
        </row>
        <row r="4">
          <cell r="A4" t="str">
            <v>0030340017358</v>
          </cell>
        </row>
        <row r="5">
          <cell r="A5" t="str">
            <v>0030340017368</v>
          </cell>
        </row>
        <row r="6">
          <cell r="A6" t="str">
            <v>0030340018750</v>
          </cell>
        </row>
        <row r="7">
          <cell r="A7" t="str">
            <v>0030340018767</v>
          </cell>
        </row>
        <row r="8">
          <cell r="A8" t="str">
            <v>0030340020239</v>
          </cell>
        </row>
        <row r="9">
          <cell r="A9" t="str">
            <v>0030340020620</v>
          </cell>
        </row>
        <row r="10">
          <cell r="A10" t="str">
            <v>0030340020637</v>
          </cell>
        </row>
        <row r="11">
          <cell r="A11" t="str">
            <v>0030340020784</v>
          </cell>
        </row>
        <row r="12">
          <cell r="A12" t="str">
            <v>0030340021147</v>
          </cell>
        </row>
        <row r="13">
          <cell r="A13" t="str">
            <v>0030340021370</v>
          </cell>
        </row>
        <row r="14">
          <cell r="A14" t="str">
            <v>0030340021380</v>
          </cell>
        </row>
        <row r="15">
          <cell r="A15" t="str">
            <v>0030340021397</v>
          </cell>
        </row>
        <row r="16">
          <cell r="A16" t="str">
            <v>0030340021405</v>
          </cell>
        </row>
        <row r="17">
          <cell r="A17" t="str">
            <v>0030340021415</v>
          </cell>
        </row>
        <row r="18">
          <cell r="A18" t="str">
            <v>0030340021761</v>
          </cell>
        </row>
        <row r="19">
          <cell r="A19" t="str">
            <v>0030340021898</v>
          </cell>
        </row>
        <row r="20">
          <cell r="A20" t="str">
            <v>0030340021906</v>
          </cell>
        </row>
        <row r="21">
          <cell r="A21" t="str">
            <v>0030340021916</v>
          </cell>
        </row>
        <row r="22">
          <cell r="A22" t="str">
            <v>0030340021933</v>
          </cell>
        </row>
        <row r="23">
          <cell r="A23" t="str">
            <v>0030340022200</v>
          </cell>
        </row>
        <row r="24">
          <cell r="A24" t="str">
            <v>0030340022364</v>
          </cell>
        </row>
        <row r="25">
          <cell r="A25" t="str">
            <v>0030340022450</v>
          </cell>
        </row>
        <row r="26">
          <cell r="A26" t="str">
            <v>0030340022632</v>
          </cell>
        </row>
        <row r="27">
          <cell r="A27" t="str">
            <v>0030340022642</v>
          </cell>
        </row>
        <row r="28">
          <cell r="A28" t="str">
            <v>0030340022659</v>
          </cell>
        </row>
        <row r="29">
          <cell r="A29" t="str">
            <v>0030340022762</v>
          </cell>
        </row>
        <row r="30">
          <cell r="A30" t="str">
            <v>0030340022865</v>
          </cell>
        </row>
        <row r="31">
          <cell r="A31" t="str">
            <v>0030340022875</v>
          </cell>
        </row>
        <row r="32">
          <cell r="A32" t="str">
            <v>0030340022951</v>
          </cell>
        </row>
        <row r="33">
          <cell r="A33" t="str">
            <v>0030340022961</v>
          </cell>
        </row>
        <row r="34">
          <cell r="A34" t="str">
            <v>0030340023012</v>
          </cell>
        </row>
        <row r="35">
          <cell r="A35" t="str">
            <v>0030340023029</v>
          </cell>
        </row>
        <row r="36">
          <cell r="A36" t="str">
            <v>0030340023039</v>
          </cell>
        </row>
        <row r="37">
          <cell r="A37" t="str">
            <v>0030340023046</v>
          </cell>
        </row>
        <row r="38">
          <cell r="A38" t="str">
            <v>0030340023056</v>
          </cell>
        </row>
        <row r="39">
          <cell r="A39" t="str">
            <v>0030340023090</v>
          </cell>
        </row>
        <row r="40">
          <cell r="A40" t="str">
            <v>0030340023108</v>
          </cell>
        </row>
        <row r="41">
          <cell r="A41" t="str">
            <v>0030340023125</v>
          </cell>
        </row>
        <row r="42">
          <cell r="A42" t="str">
            <v>0030340023176</v>
          </cell>
        </row>
        <row r="43">
          <cell r="A43" t="str">
            <v>0030340023186</v>
          </cell>
        </row>
        <row r="44">
          <cell r="A44" t="str">
            <v>0030340023193</v>
          </cell>
        </row>
        <row r="45">
          <cell r="A45" t="str">
            <v>0030340023201</v>
          </cell>
        </row>
        <row r="46">
          <cell r="A46" t="str">
            <v>0030340023211</v>
          </cell>
        </row>
        <row r="47">
          <cell r="A47" t="str">
            <v>0030340023228</v>
          </cell>
        </row>
        <row r="48">
          <cell r="A48" t="str">
            <v>0030340023255</v>
          </cell>
        </row>
        <row r="49">
          <cell r="A49" t="str">
            <v>0030340023299</v>
          </cell>
        </row>
        <row r="50">
          <cell r="A50" t="str">
            <v>0030340023307</v>
          </cell>
        </row>
        <row r="51">
          <cell r="A51" t="str">
            <v>0030340023410</v>
          </cell>
        </row>
        <row r="52">
          <cell r="A52" t="str">
            <v>0030340023444</v>
          </cell>
        </row>
        <row r="53">
          <cell r="A53" t="str">
            <v>0030340023454</v>
          </cell>
        </row>
        <row r="54">
          <cell r="A54" t="str">
            <v>0030340023461</v>
          </cell>
        </row>
        <row r="55">
          <cell r="A55" t="str">
            <v>0030340023471</v>
          </cell>
        </row>
        <row r="56">
          <cell r="A56" t="str">
            <v>0030340023488</v>
          </cell>
        </row>
        <row r="57">
          <cell r="A57" t="str">
            <v>0030340023495</v>
          </cell>
        </row>
        <row r="58">
          <cell r="A58" t="str">
            <v>0030340023506</v>
          </cell>
        </row>
        <row r="59">
          <cell r="A59" t="str">
            <v>0030340023513</v>
          </cell>
        </row>
        <row r="60">
          <cell r="A60" t="str">
            <v>0030340023564</v>
          </cell>
        </row>
        <row r="61">
          <cell r="A61" t="str">
            <v>0030340023574</v>
          </cell>
        </row>
        <row r="62">
          <cell r="A62" t="str">
            <v>0030340023650</v>
          </cell>
        </row>
        <row r="63">
          <cell r="A63" t="str">
            <v>0030340023660</v>
          </cell>
        </row>
        <row r="64">
          <cell r="A64" t="str">
            <v>0030340023677</v>
          </cell>
        </row>
        <row r="65">
          <cell r="A65" t="str">
            <v>0030340023687</v>
          </cell>
        </row>
        <row r="66">
          <cell r="A66" t="str">
            <v>0030340023694</v>
          </cell>
        </row>
        <row r="67">
          <cell r="A67" t="str">
            <v>0030340023702</v>
          </cell>
        </row>
        <row r="68">
          <cell r="A68" t="str">
            <v>0030340023712</v>
          </cell>
        </row>
        <row r="69">
          <cell r="A69" t="str">
            <v>0030340023729</v>
          </cell>
        </row>
        <row r="70">
          <cell r="A70" t="str">
            <v>0030340023739</v>
          </cell>
        </row>
        <row r="71">
          <cell r="A71" t="str">
            <v>0030340023746</v>
          </cell>
        </row>
        <row r="72">
          <cell r="A72" t="str">
            <v>0030340023756</v>
          </cell>
        </row>
        <row r="73">
          <cell r="A73" t="str">
            <v>0030340023763</v>
          </cell>
        </row>
        <row r="74">
          <cell r="A74" t="str">
            <v>0030340023773</v>
          </cell>
        </row>
        <row r="75">
          <cell r="A75" t="str">
            <v>0030340023780</v>
          </cell>
        </row>
        <row r="76">
          <cell r="A76" t="str">
            <v>0030340023790</v>
          </cell>
        </row>
        <row r="77">
          <cell r="A77" t="str">
            <v>0030340023808</v>
          </cell>
        </row>
        <row r="78">
          <cell r="A78" t="str">
            <v>0030340023815</v>
          </cell>
        </row>
        <row r="79">
          <cell r="A79" t="str">
            <v>0030340023825</v>
          </cell>
        </row>
        <row r="80">
          <cell r="A80" t="str">
            <v>0030340023832</v>
          </cell>
        </row>
        <row r="81">
          <cell r="A81" t="str">
            <v>0030340023842</v>
          </cell>
        </row>
        <row r="82">
          <cell r="A82" t="str">
            <v>0030340023859</v>
          </cell>
        </row>
        <row r="83">
          <cell r="A83" t="str">
            <v>0030340023869</v>
          </cell>
        </row>
        <row r="84">
          <cell r="A84" t="str">
            <v>0030340023893</v>
          </cell>
        </row>
        <row r="85">
          <cell r="A85" t="str">
            <v>0030340023901</v>
          </cell>
        </row>
        <row r="86">
          <cell r="A86" t="str">
            <v>0030340023911</v>
          </cell>
        </row>
        <row r="87">
          <cell r="A87" t="str">
            <v>0030340023955</v>
          </cell>
        </row>
        <row r="88">
          <cell r="A88" t="str">
            <v>0030340024023</v>
          </cell>
        </row>
        <row r="89">
          <cell r="A89" t="str">
            <v>0030340024030</v>
          </cell>
        </row>
        <row r="90">
          <cell r="A90" t="str">
            <v>0030340024040</v>
          </cell>
        </row>
        <row r="91">
          <cell r="A91" t="str">
            <v>0030340024067</v>
          </cell>
        </row>
        <row r="92">
          <cell r="A92" t="str">
            <v>0030340024074</v>
          </cell>
        </row>
        <row r="93">
          <cell r="A93" t="str">
            <v>0030340024126</v>
          </cell>
        </row>
        <row r="94">
          <cell r="A94" t="str">
            <v>0030340024136</v>
          </cell>
        </row>
        <row r="95">
          <cell r="A95" t="str">
            <v>0030340024143</v>
          </cell>
        </row>
        <row r="96">
          <cell r="A96" t="str">
            <v>0030340024153</v>
          </cell>
        </row>
        <row r="97">
          <cell r="A97" t="str">
            <v>0030340024170</v>
          </cell>
        </row>
        <row r="98">
          <cell r="A98" t="str">
            <v>0030340024187</v>
          </cell>
        </row>
        <row r="99">
          <cell r="A99" t="str">
            <v>0030340024197</v>
          </cell>
        </row>
        <row r="100">
          <cell r="A100" t="str">
            <v>0030340024205</v>
          </cell>
        </row>
        <row r="101">
          <cell r="A101" t="str">
            <v>0030340024212</v>
          </cell>
        </row>
        <row r="102">
          <cell r="A102" t="str">
            <v>0030340024222</v>
          </cell>
        </row>
        <row r="103">
          <cell r="A103" t="str">
            <v>0030340024239</v>
          </cell>
        </row>
        <row r="104">
          <cell r="A104" t="str">
            <v>0030340024249</v>
          </cell>
        </row>
        <row r="105">
          <cell r="A105" t="str">
            <v>0030340024256</v>
          </cell>
        </row>
        <row r="106">
          <cell r="A106" t="str">
            <v>0030340024266</v>
          </cell>
        </row>
        <row r="107">
          <cell r="A107" t="str">
            <v>0030340024273</v>
          </cell>
        </row>
        <row r="108">
          <cell r="A108" t="str">
            <v>0030340024499</v>
          </cell>
        </row>
        <row r="109">
          <cell r="A109" t="str">
            <v>0030340024507</v>
          </cell>
        </row>
        <row r="110">
          <cell r="A110" t="str">
            <v>0030340024514</v>
          </cell>
        </row>
        <row r="111">
          <cell r="A111" t="str">
            <v>0030340024524</v>
          </cell>
        </row>
        <row r="112">
          <cell r="A112" t="str">
            <v>0030340024541</v>
          </cell>
        </row>
        <row r="113">
          <cell r="A113" t="str">
            <v>0030340024610</v>
          </cell>
        </row>
        <row r="114">
          <cell r="A114" t="str">
            <v>0030340024870</v>
          </cell>
        </row>
        <row r="115">
          <cell r="A115" t="str">
            <v>0030340025216</v>
          </cell>
        </row>
        <row r="116">
          <cell r="A116" t="str">
            <v>0030340026062</v>
          </cell>
        </row>
        <row r="117">
          <cell r="A117" t="str">
            <v>0030340026079</v>
          </cell>
        </row>
        <row r="118">
          <cell r="A118" t="str">
            <v>0030340026086</v>
          </cell>
        </row>
        <row r="119">
          <cell r="A119" t="str">
            <v>0030340026096</v>
          </cell>
        </row>
        <row r="120">
          <cell r="A120" t="str">
            <v>0030340026104</v>
          </cell>
        </row>
        <row r="121">
          <cell r="A121" t="str">
            <v>0030340026114</v>
          </cell>
        </row>
        <row r="122">
          <cell r="A122" t="str">
            <v>0030340026165</v>
          </cell>
        </row>
        <row r="123">
          <cell r="A123" t="str">
            <v>0030340026172</v>
          </cell>
        </row>
        <row r="124">
          <cell r="A124" t="str">
            <v>0030340026182</v>
          </cell>
        </row>
        <row r="125">
          <cell r="A125" t="str">
            <v>0030340026199</v>
          </cell>
        </row>
        <row r="126">
          <cell r="A126" t="str">
            <v>0030340026200</v>
          </cell>
        </row>
        <row r="127">
          <cell r="A127" t="str">
            <v>0030340026570</v>
          </cell>
        </row>
        <row r="128">
          <cell r="A128" t="str">
            <v>0030340026735</v>
          </cell>
        </row>
        <row r="129">
          <cell r="A129" t="str">
            <v>0030340026865</v>
          </cell>
        </row>
        <row r="130">
          <cell r="A130" t="str">
            <v>0030340028177</v>
          </cell>
        </row>
        <row r="131">
          <cell r="A131" t="str">
            <v>0102340000043</v>
          </cell>
        </row>
        <row r="132">
          <cell r="A132" t="str">
            <v>0600340019726</v>
          </cell>
        </row>
        <row r="133">
          <cell r="A133" t="str">
            <v>0600340025352</v>
          </cell>
        </row>
        <row r="134">
          <cell r="A134" t="str">
            <v>0600340030766</v>
          </cell>
        </row>
        <row r="135">
          <cell r="A135" t="str">
            <v>0600340031578</v>
          </cell>
        </row>
        <row r="136">
          <cell r="A136" t="str">
            <v>0600340032871</v>
          </cell>
        </row>
        <row r="137">
          <cell r="A137" t="str">
            <v>0600340032881</v>
          </cell>
        </row>
        <row r="138">
          <cell r="A138" t="str">
            <v>0600340032994</v>
          </cell>
        </row>
        <row r="139">
          <cell r="A139" t="str">
            <v>0600340033001</v>
          </cell>
        </row>
        <row r="140">
          <cell r="A140" t="str">
            <v>0600340033018</v>
          </cell>
        </row>
        <row r="141">
          <cell r="A141" t="str">
            <v>0600340033028</v>
          </cell>
        </row>
        <row r="142">
          <cell r="A142" t="str">
            <v>0600340033035</v>
          </cell>
        </row>
        <row r="143">
          <cell r="A143" t="str">
            <v>0600340033045</v>
          </cell>
        </row>
        <row r="144">
          <cell r="A144" t="str">
            <v>0600340033052</v>
          </cell>
        </row>
        <row r="145">
          <cell r="A145" t="str">
            <v>0600340033062</v>
          </cell>
        </row>
        <row r="146">
          <cell r="A146" t="str">
            <v>0600340033079</v>
          </cell>
        </row>
        <row r="147">
          <cell r="A147" t="str">
            <v>0600340033089</v>
          </cell>
        </row>
        <row r="148">
          <cell r="A148" t="str">
            <v>0600340033096</v>
          </cell>
        </row>
        <row r="149">
          <cell r="A149" t="str">
            <v>0600340033104</v>
          </cell>
        </row>
        <row r="150">
          <cell r="A150" t="str">
            <v>0600340033114</v>
          </cell>
        </row>
        <row r="151">
          <cell r="A151" t="str">
            <v>0600340033121</v>
          </cell>
        </row>
        <row r="152">
          <cell r="A152" t="str">
            <v>0600340033131</v>
          </cell>
        </row>
        <row r="153">
          <cell r="A153" t="str">
            <v>0600340033148</v>
          </cell>
        </row>
        <row r="154">
          <cell r="A154" t="str">
            <v>0600340033158</v>
          </cell>
        </row>
        <row r="155">
          <cell r="A155" t="str">
            <v>0600340033165</v>
          </cell>
        </row>
        <row r="156">
          <cell r="A156" t="str">
            <v>0600340033175</v>
          </cell>
        </row>
        <row r="157">
          <cell r="A157" t="str">
            <v>0600340033182</v>
          </cell>
        </row>
        <row r="158">
          <cell r="A158" t="str">
            <v>0600340033580</v>
          </cell>
        </row>
        <row r="159">
          <cell r="A159" t="str">
            <v>0600340033649</v>
          </cell>
        </row>
        <row r="160">
          <cell r="A160" t="str">
            <v>0600340034365</v>
          </cell>
        </row>
        <row r="161">
          <cell r="A161" t="str">
            <v>0600340034375</v>
          </cell>
        </row>
        <row r="162">
          <cell r="A162" t="str">
            <v>0600340034382</v>
          </cell>
        </row>
        <row r="163">
          <cell r="A163" t="str">
            <v>0600340034495</v>
          </cell>
        </row>
        <row r="164">
          <cell r="A164" t="str">
            <v>0600340034503</v>
          </cell>
        </row>
        <row r="165">
          <cell r="A165" t="str">
            <v>0600340034513</v>
          </cell>
        </row>
        <row r="166">
          <cell r="A166" t="str">
            <v>0600340034520</v>
          </cell>
        </row>
        <row r="167">
          <cell r="A167" t="str">
            <v>0600340034530</v>
          </cell>
        </row>
        <row r="168">
          <cell r="A168" t="str">
            <v>0600340034547</v>
          </cell>
        </row>
        <row r="169">
          <cell r="A169" t="str">
            <v>0600340034557</v>
          </cell>
        </row>
        <row r="170">
          <cell r="A170" t="str">
            <v>0600340034564</v>
          </cell>
        </row>
        <row r="171">
          <cell r="A171" t="str">
            <v>0600340034574</v>
          </cell>
        </row>
        <row r="172">
          <cell r="A172" t="str">
            <v>0600340034581</v>
          </cell>
        </row>
        <row r="173">
          <cell r="A173" t="str">
            <v>0600340034893</v>
          </cell>
        </row>
        <row r="174">
          <cell r="A174" t="str">
            <v>0600340034962</v>
          </cell>
        </row>
        <row r="175">
          <cell r="A175" t="str">
            <v>0600340034972</v>
          </cell>
        </row>
        <row r="176">
          <cell r="A176" t="str">
            <v>0600340034989</v>
          </cell>
        </row>
        <row r="177">
          <cell r="A177" t="str">
            <v>0600340034999</v>
          </cell>
        </row>
        <row r="178">
          <cell r="A178" t="str">
            <v>0600340035006</v>
          </cell>
        </row>
        <row r="179">
          <cell r="A179" t="str">
            <v>0600340035013</v>
          </cell>
        </row>
        <row r="180">
          <cell r="A180" t="str">
            <v>0600340035023</v>
          </cell>
        </row>
        <row r="181">
          <cell r="A181" t="str">
            <v>0600340035030</v>
          </cell>
        </row>
        <row r="182">
          <cell r="A182" t="str">
            <v>0600340035030</v>
          </cell>
        </row>
        <row r="183">
          <cell r="A183" t="str">
            <v>0600340035057</v>
          </cell>
        </row>
        <row r="184">
          <cell r="A184" t="str">
            <v>0600340035067</v>
          </cell>
        </row>
        <row r="185">
          <cell r="A185" t="str">
            <v>0600340035074</v>
          </cell>
        </row>
        <row r="186">
          <cell r="A186" t="str">
            <v>0600340035084</v>
          </cell>
        </row>
        <row r="187">
          <cell r="A187" t="str">
            <v>0600340035091</v>
          </cell>
        </row>
        <row r="188">
          <cell r="A188" t="str">
            <v>0600340035212</v>
          </cell>
        </row>
        <row r="189">
          <cell r="A189" t="str">
            <v>0600340035239</v>
          </cell>
        </row>
        <row r="190">
          <cell r="A190" t="str">
            <v>0600340035246</v>
          </cell>
        </row>
        <row r="191">
          <cell r="A191" t="str">
            <v>0600340035256</v>
          </cell>
        </row>
        <row r="192">
          <cell r="A192" t="str">
            <v>0600340035263</v>
          </cell>
        </row>
        <row r="193">
          <cell r="A193" t="str">
            <v>0600340035273</v>
          </cell>
        </row>
        <row r="194">
          <cell r="A194" t="str">
            <v>0600340035280</v>
          </cell>
        </row>
        <row r="195">
          <cell r="A195" t="str">
            <v>0600340035290</v>
          </cell>
        </row>
        <row r="196">
          <cell r="A196" t="str">
            <v>0600340035393</v>
          </cell>
        </row>
        <row r="197">
          <cell r="A197" t="str">
            <v>0600340035401</v>
          </cell>
        </row>
        <row r="198">
          <cell r="A198" t="str">
            <v>0600340035411</v>
          </cell>
        </row>
        <row r="199">
          <cell r="A199" t="str">
            <v>0600340035428</v>
          </cell>
        </row>
        <row r="200">
          <cell r="A200" t="str">
            <v>0600340035438</v>
          </cell>
        </row>
        <row r="201">
          <cell r="A201" t="str">
            <v>0600340035531</v>
          </cell>
        </row>
        <row r="202">
          <cell r="A202" t="str">
            <v>0600340035568</v>
          </cell>
        </row>
        <row r="203">
          <cell r="A203" t="str">
            <v>0600340035575</v>
          </cell>
        </row>
        <row r="204">
          <cell r="A204" t="str">
            <v>0600340035585</v>
          </cell>
        </row>
        <row r="205">
          <cell r="A205" t="str">
            <v>0600340035592</v>
          </cell>
        </row>
        <row r="206">
          <cell r="A206" t="str">
            <v>0600340035627</v>
          </cell>
        </row>
        <row r="207">
          <cell r="A207" t="str">
            <v>0600340035637</v>
          </cell>
        </row>
        <row r="208">
          <cell r="A208" t="str">
            <v>0600340035644</v>
          </cell>
        </row>
        <row r="209">
          <cell r="A209" t="str">
            <v>0600340035654</v>
          </cell>
        </row>
        <row r="210">
          <cell r="A210" t="str">
            <v>0600340035688</v>
          </cell>
        </row>
        <row r="211">
          <cell r="A211" t="str">
            <v>0600340035698</v>
          </cell>
        </row>
        <row r="212">
          <cell r="A212" t="str">
            <v>0600340035706</v>
          </cell>
        </row>
        <row r="213">
          <cell r="A213" t="str">
            <v>0600340035713</v>
          </cell>
        </row>
        <row r="214">
          <cell r="A214" t="str">
            <v>0600340035730</v>
          </cell>
        </row>
        <row r="215">
          <cell r="A215" t="str">
            <v>0600340035740</v>
          </cell>
        </row>
        <row r="216">
          <cell r="A216" t="str">
            <v>0600340035757</v>
          </cell>
        </row>
        <row r="217">
          <cell r="A217" t="str">
            <v>0600340035767</v>
          </cell>
        </row>
        <row r="218">
          <cell r="A218" t="str">
            <v>0600340035774</v>
          </cell>
        </row>
        <row r="219">
          <cell r="A219" t="str">
            <v>0600340035784</v>
          </cell>
        </row>
        <row r="220">
          <cell r="A220" t="str">
            <v>0600340035791</v>
          </cell>
        </row>
        <row r="221">
          <cell r="A221" t="str">
            <v>0600340035809</v>
          </cell>
        </row>
        <row r="222">
          <cell r="A222" t="str">
            <v>0600340035843</v>
          </cell>
        </row>
        <row r="223">
          <cell r="A223" t="str">
            <v>0600340035853</v>
          </cell>
        </row>
        <row r="224">
          <cell r="A224" t="str">
            <v>0600340035860</v>
          </cell>
        </row>
        <row r="225">
          <cell r="A225" t="str">
            <v>0600340035870</v>
          </cell>
        </row>
        <row r="226">
          <cell r="A226" t="str">
            <v>0600340035887</v>
          </cell>
        </row>
        <row r="227">
          <cell r="A227" t="str">
            <v>0600340035897</v>
          </cell>
        </row>
        <row r="228">
          <cell r="A228" t="str">
            <v>0600340035905</v>
          </cell>
        </row>
        <row r="229">
          <cell r="A229" t="str">
            <v>0600340035912</v>
          </cell>
        </row>
        <row r="230">
          <cell r="A230" t="str">
            <v>600340035949.</v>
          </cell>
        </row>
        <row r="231">
          <cell r="A231" t="str">
            <v>0600340035983</v>
          </cell>
        </row>
        <row r="232">
          <cell r="A232" t="str">
            <v>0600340035990</v>
          </cell>
        </row>
        <row r="233">
          <cell r="A233" t="str">
            <v>0600350000885</v>
          </cell>
        </row>
        <row r="234">
          <cell r="A234" t="str">
            <v>0600350001722</v>
          </cell>
        </row>
        <row r="235">
          <cell r="A235" t="str">
            <v>0600350002050</v>
          </cell>
        </row>
        <row r="236">
          <cell r="A236" t="str">
            <v>0600350008477</v>
          </cell>
        </row>
        <row r="237">
          <cell r="A237" t="str">
            <v>0600350013370</v>
          </cell>
        </row>
        <row r="238">
          <cell r="A238" t="str">
            <v>0600350020182</v>
          </cell>
        </row>
        <row r="239">
          <cell r="A239" t="str">
            <v>0600350025564</v>
          </cell>
        </row>
        <row r="240">
          <cell r="A240" t="str">
            <v>0602740001242</v>
          </cell>
        </row>
        <row r="241">
          <cell r="A241" t="str">
            <v>0608510000061</v>
          </cell>
        </row>
        <row r="242">
          <cell r="A242" t="str">
            <v>5422000008892</v>
          </cell>
        </row>
        <row r="243">
          <cell r="A243" t="str">
            <v>5982300000050</v>
          </cell>
        </row>
        <row r="244">
          <cell r="A244" t="str">
            <v>5988510000024</v>
          </cell>
        </row>
        <row r="245">
          <cell r="A245" t="str">
            <v>317901011012015</v>
          </cell>
        </row>
      </sheetData>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heetName val="IO"/>
      <sheetName val="fco"/>
      <sheetName val="J"/>
    </sheetNames>
    <sheetDataSet>
      <sheetData sheetId="0" refreshError="1"/>
      <sheetData sheetId="1" refreshError="1">
        <row r="3">
          <cell r="A3" t="str">
            <v>2100</v>
          </cell>
          <cell r="I3">
            <v>39253</v>
          </cell>
        </row>
        <row r="4">
          <cell r="A4" t="str">
            <v>2100</v>
          </cell>
          <cell r="I4">
            <v>39253</v>
          </cell>
        </row>
        <row r="5">
          <cell r="A5" t="str">
            <v>2100</v>
          </cell>
          <cell r="I5">
            <v>39253</v>
          </cell>
        </row>
        <row r="6">
          <cell r="A6" t="str">
            <v>2100</v>
          </cell>
          <cell r="I6">
            <v>39252</v>
          </cell>
        </row>
        <row r="7">
          <cell r="A7" t="str">
            <v>2100</v>
          </cell>
          <cell r="I7">
            <v>39253</v>
          </cell>
        </row>
        <row r="8">
          <cell r="A8" t="str">
            <v>2100</v>
          </cell>
          <cell r="I8">
            <v>39252</v>
          </cell>
        </row>
        <row r="9">
          <cell r="A9" t="str">
            <v>2100</v>
          </cell>
          <cell r="I9">
            <v>39253</v>
          </cell>
        </row>
        <row r="10">
          <cell r="A10" t="str">
            <v>2100</v>
          </cell>
          <cell r="I10">
            <v>39253</v>
          </cell>
        </row>
        <row r="11">
          <cell r="A11" t="str">
            <v>2100</v>
          </cell>
          <cell r="I11">
            <v>39253</v>
          </cell>
        </row>
        <row r="12">
          <cell r="A12" t="str">
            <v>2100</v>
          </cell>
          <cell r="I12">
            <v>39253</v>
          </cell>
        </row>
        <row r="13">
          <cell r="A13" t="str">
            <v>2100</v>
          </cell>
          <cell r="I13">
            <v>39253</v>
          </cell>
        </row>
        <row r="14">
          <cell r="A14" t="str">
            <v>2100</v>
          </cell>
          <cell r="I14">
            <v>39253</v>
          </cell>
        </row>
        <row r="15">
          <cell r="A15" t="str">
            <v>2100</v>
          </cell>
          <cell r="I15">
            <v>39253</v>
          </cell>
        </row>
        <row r="16">
          <cell r="A16" t="str">
            <v>2100</v>
          </cell>
          <cell r="I16">
            <v>39253</v>
          </cell>
        </row>
        <row r="17">
          <cell r="A17" t="str">
            <v>2100</v>
          </cell>
          <cell r="I17">
            <v>39253</v>
          </cell>
        </row>
        <row r="18">
          <cell r="A18" t="str">
            <v>2100</v>
          </cell>
          <cell r="I18">
            <v>39260</v>
          </cell>
        </row>
        <row r="19">
          <cell r="A19" t="str">
            <v>2100</v>
          </cell>
          <cell r="I19">
            <v>39252</v>
          </cell>
        </row>
        <row r="20">
          <cell r="A20" t="str">
            <v>2100</v>
          </cell>
          <cell r="I20">
            <v>39256</v>
          </cell>
        </row>
        <row r="21">
          <cell r="A21" t="str">
            <v>2100</v>
          </cell>
          <cell r="I21">
            <v>39253</v>
          </cell>
        </row>
        <row r="22">
          <cell r="A22" t="str">
            <v>2100</v>
          </cell>
          <cell r="I22">
            <v>39253</v>
          </cell>
        </row>
        <row r="23">
          <cell r="A23" t="str">
            <v>2100</v>
          </cell>
          <cell r="I23">
            <v>39253</v>
          </cell>
        </row>
        <row r="24">
          <cell r="A24" t="str">
            <v>2100</v>
          </cell>
          <cell r="I24">
            <v>39253</v>
          </cell>
        </row>
        <row r="25">
          <cell r="A25" t="str">
            <v>2100</v>
          </cell>
          <cell r="I25">
            <v>39253</v>
          </cell>
        </row>
        <row r="26">
          <cell r="A26" t="str">
            <v>2100</v>
          </cell>
          <cell r="I26">
            <v>39253</v>
          </cell>
        </row>
        <row r="27">
          <cell r="A27" t="str">
            <v>2100</v>
          </cell>
          <cell r="I27">
            <v>39256</v>
          </cell>
        </row>
        <row r="28">
          <cell r="A28" t="str">
            <v>2100</v>
          </cell>
          <cell r="I28">
            <v>39259</v>
          </cell>
        </row>
        <row r="29">
          <cell r="A29" t="str">
            <v>2100</v>
          </cell>
          <cell r="I29">
            <v>39259</v>
          </cell>
        </row>
        <row r="30">
          <cell r="A30" t="str">
            <v>2100</v>
          </cell>
          <cell r="I30">
            <v>39259</v>
          </cell>
        </row>
        <row r="31">
          <cell r="A31" t="str">
            <v>2100</v>
          </cell>
          <cell r="I31">
            <v>39259</v>
          </cell>
        </row>
        <row r="32">
          <cell r="A32" t="str">
            <v>2100</v>
          </cell>
          <cell r="I32">
            <v>39259</v>
          </cell>
        </row>
        <row r="33">
          <cell r="A33" t="str">
            <v>2100</v>
          </cell>
          <cell r="I33">
            <v>39248</v>
          </cell>
        </row>
        <row r="34">
          <cell r="A34" t="str">
            <v>2100</v>
          </cell>
          <cell r="I34">
            <v>39248</v>
          </cell>
        </row>
        <row r="35">
          <cell r="A35" t="str">
            <v>2100</v>
          </cell>
          <cell r="I35">
            <v>39252</v>
          </cell>
        </row>
        <row r="36">
          <cell r="A36" t="str">
            <v>2100</v>
          </cell>
          <cell r="I36">
            <v>39259</v>
          </cell>
        </row>
        <row r="37">
          <cell r="A37" t="str">
            <v>2100</v>
          </cell>
          <cell r="I37">
            <v>39259</v>
          </cell>
        </row>
        <row r="38">
          <cell r="A38" t="str">
            <v>2100</v>
          </cell>
          <cell r="I38">
            <v>39251</v>
          </cell>
        </row>
        <row r="39">
          <cell r="A39" t="str">
            <v>2100</v>
          </cell>
          <cell r="I39">
            <v>39260</v>
          </cell>
        </row>
        <row r="40">
          <cell r="A40" t="str">
            <v>2100</v>
          </cell>
          <cell r="I40">
            <v>39259</v>
          </cell>
        </row>
        <row r="41">
          <cell r="A41" t="str">
            <v>2100</v>
          </cell>
          <cell r="I41">
            <v>39259</v>
          </cell>
        </row>
        <row r="42">
          <cell r="A42" t="str">
            <v>2100</v>
          </cell>
          <cell r="I42">
            <v>39260</v>
          </cell>
        </row>
        <row r="43">
          <cell r="A43" t="str">
            <v>2100</v>
          </cell>
          <cell r="I43">
            <v>39260</v>
          </cell>
        </row>
        <row r="44">
          <cell r="A44" t="str">
            <v>2100</v>
          </cell>
          <cell r="I44">
            <v>39255</v>
          </cell>
        </row>
        <row r="45">
          <cell r="A45" t="str">
            <v>2100</v>
          </cell>
          <cell r="I45">
            <v>39247</v>
          </cell>
        </row>
        <row r="46">
          <cell r="A46" t="str">
            <v>2100</v>
          </cell>
          <cell r="I46">
            <v>39255</v>
          </cell>
        </row>
        <row r="47">
          <cell r="A47" t="str">
            <v>2100</v>
          </cell>
          <cell r="I47">
            <v>39255</v>
          </cell>
        </row>
        <row r="48">
          <cell r="A48" t="str">
            <v>2100</v>
          </cell>
          <cell r="I48">
            <v>39255</v>
          </cell>
        </row>
        <row r="49">
          <cell r="A49" t="str">
            <v>2100</v>
          </cell>
          <cell r="I49">
            <v>39256</v>
          </cell>
        </row>
        <row r="50">
          <cell r="A50" t="str">
            <v>2100</v>
          </cell>
          <cell r="I50">
            <v>39256</v>
          </cell>
        </row>
        <row r="51">
          <cell r="A51" t="str">
            <v>2100</v>
          </cell>
          <cell r="I51">
            <v>39256</v>
          </cell>
        </row>
        <row r="52">
          <cell r="A52" t="str">
            <v>2100</v>
          </cell>
          <cell r="I52">
            <v>39256</v>
          </cell>
        </row>
        <row r="53">
          <cell r="A53" t="str">
            <v>2100</v>
          </cell>
          <cell r="I53">
            <v>39256</v>
          </cell>
        </row>
        <row r="54">
          <cell r="A54" t="str">
            <v>2100</v>
          </cell>
          <cell r="I54">
            <v>39256</v>
          </cell>
        </row>
        <row r="55">
          <cell r="A55" t="str">
            <v>2100</v>
          </cell>
          <cell r="I55">
            <v>39256</v>
          </cell>
        </row>
        <row r="56">
          <cell r="A56" t="str">
            <v>2100</v>
          </cell>
          <cell r="I56">
            <v>39256</v>
          </cell>
        </row>
        <row r="57">
          <cell r="A57" t="str">
            <v>2100</v>
          </cell>
          <cell r="I57">
            <v>39256</v>
          </cell>
        </row>
        <row r="58">
          <cell r="A58" t="str">
            <v>2100</v>
          </cell>
          <cell r="I58">
            <v>39256</v>
          </cell>
        </row>
        <row r="59">
          <cell r="A59" t="str">
            <v>2100</v>
          </cell>
          <cell r="I59">
            <v>39255</v>
          </cell>
        </row>
        <row r="60">
          <cell r="A60" t="str">
            <v>2100</v>
          </cell>
          <cell r="I60">
            <v>39255</v>
          </cell>
        </row>
        <row r="61">
          <cell r="A61" t="str">
            <v>2100</v>
          </cell>
          <cell r="I61">
            <v>39255</v>
          </cell>
        </row>
        <row r="62">
          <cell r="A62" t="str">
            <v>2100</v>
          </cell>
          <cell r="I62">
            <v>39255</v>
          </cell>
        </row>
        <row r="63">
          <cell r="A63" t="str">
            <v>2100</v>
          </cell>
          <cell r="I63">
            <v>39255</v>
          </cell>
        </row>
        <row r="64">
          <cell r="A64" t="str">
            <v>2100</v>
          </cell>
          <cell r="I64">
            <v>39255</v>
          </cell>
        </row>
        <row r="65">
          <cell r="A65" t="str">
            <v>2100</v>
          </cell>
          <cell r="I65">
            <v>39248</v>
          </cell>
        </row>
        <row r="66">
          <cell r="A66" t="str">
            <v>2100</v>
          </cell>
          <cell r="I66">
            <v>39245</v>
          </cell>
        </row>
        <row r="67">
          <cell r="A67" t="str">
            <v>2100</v>
          </cell>
          <cell r="I67">
            <v>39256</v>
          </cell>
        </row>
        <row r="68">
          <cell r="A68" t="str">
            <v>2100</v>
          </cell>
          <cell r="I68">
            <v>39255</v>
          </cell>
        </row>
        <row r="69">
          <cell r="A69" t="str">
            <v>2100</v>
          </cell>
          <cell r="I69">
            <v>39255</v>
          </cell>
        </row>
        <row r="70">
          <cell r="A70" t="str">
            <v>2100</v>
          </cell>
          <cell r="I70">
            <v>39258</v>
          </cell>
        </row>
        <row r="71">
          <cell r="A71" t="str">
            <v>2100</v>
          </cell>
          <cell r="I71">
            <v>39259</v>
          </cell>
        </row>
        <row r="72">
          <cell r="A72" t="str">
            <v>2100</v>
          </cell>
          <cell r="I72">
            <v>39256</v>
          </cell>
        </row>
        <row r="73">
          <cell r="A73" t="str">
            <v>2100</v>
          </cell>
          <cell r="I73">
            <v>39259</v>
          </cell>
        </row>
        <row r="74">
          <cell r="A74" t="str">
            <v>2100</v>
          </cell>
          <cell r="I74">
            <v>39256</v>
          </cell>
        </row>
        <row r="75">
          <cell r="A75" t="str">
            <v>2100</v>
          </cell>
          <cell r="I75">
            <v>39255</v>
          </cell>
        </row>
        <row r="76">
          <cell r="A76" t="str">
            <v>2100</v>
          </cell>
          <cell r="I76">
            <v>39258</v>
          </cell>
        </row>
        <row r="77">
          <cell r="A77" t="str">
            <v>2100</v>
          </cell>
          <cell r="I77">
            <v>39253</v>
          </cell>
        </row>
        <row r="78">
          <cell r="A78" t="str">
            <v>2100</v>
          </cell>
          <cell r="I78">
            <v>39259</v>
          </cell>
        </row>
        <row r="79">
          <cell r="A79" t="str">
            <v>2100</v>
          </cell>
          <cell r="I79">
            <v>39259</v>
          </cell>
        </row>
        <row r="80">
          <cell r="A80" t="str">
            <v>2100</v>
          </cell>
          <cell r="I80">
            <v>39259</v>
          </cell>
        </row>
        <row r="81">
          <cell r="A81" t="str">
            <v>2100</v>
          </cell>
          <cell r="I81">
            <v>39259</v>
          </cell>
        </row>
        <row r="82">
          <cell r="A82" t="str">
            <v>2100</v>
          </cell>
          <cell r="I82">
            <v>39259</v>
          </cell>
        </row>
        <row r="83">
          <cell r="A83" t="str">
            <v>2100</v>
          </cell>
          <cell r="I83">
            <v>39253</v>
          </cell>
        </row>
        <row r="84">
          <cell r="A84" t="str">
            <v>2100</v>
          </cell>
          <cell r="I84">
            <v>39253</v>
          </cell>
        </row>
        <row r="85">
          <cell r="A85" t="str">
            <v>2100</v>
          </cell>
          <cell r="I85">
            <v>39255</v>
          </cell>
        </row>
        <row r="86">
          <cell r="A86" t="str">
            <v>2100</v>
          </cell>
          <cell r="I86">
            <v>39253</v>
          </cell>
        </row>
        <row r="87">
          <cell r="A87" t="str">
            <v>2100</v>
          </cell>
          <cell r="I87">
            <v>39253</v>
          </cell>
        </row>
        <row r="88">
          <cell r="A88" t="str">
            <v>2100</v>
          </cell>
          <cell r="I88">
            <v>39253</v>
          </cell>
        </row>
        <row r="89">
          <cell r="A89" t="str">
            <v>2100</v>
          </cell>
          <cell r="I89">
            <v>39259</v>
          </cell>
        </row>
        <row r="90">
          <cell r="A90" t="str">
            <v>2100</v>
          </cell>
          <cell r="I90">
            <v>39253</v>
          </cell>
        </row>
        <row r="91">
          <cell r="A91" t="str">
            <v>2100</v>
          </cell>
          <cell r="I91">
            <v>39253</v>
          </cell>
        </row>
        <row r="92">
          <cell r="A92" t="str">
            <v>2100</v>
          </cell>
          <cell r="I92">
            <v>39259</v>
          </cell>
        </row>
        <row r="93">
          <cell r="A93" t="str">
            <v>2100</v>
          </cell>
          <cell r="I93">
            <v>39253</v>
          </cell>
        </row>
        <row r="94">
          <cell r="A94" t="str">
            <v>2100</v>
          </cell>
          <cell r="I94">
            <v>39253</v>
          </cell>
        </row>
        <row r="95">
          <cell r="A95" t="str">
            <v>2100</v>
          </cell>
          <cell r="I95">
            <v>39247</v>
          </cell>
        </row>
        <row r="96">
          <cell r="A96" t="str">
            <v>2100</v>
          </cell>
          <cell r="I96">
            <v>39260</v>
          </cell>
        </row>
        <row r="97">
          <cell r="A97" t="str">
            <v>2100</v>
          </cell>
          <cell r="I97">
            <v>39251</v>
          </cell>
        </row>
        <row r="98">
          <cell r="A98" t="str">
            <v>2100</v>
          </cell>
          <cell r="I98">
            <v>39253</v>
          </cell>
        </row>
        <row r="99">
          <cell r="A99" t="str">
            <v>2100</v>
          </cell>
          <cell r="I99">
            <v>39259</v>
          </cell>
        </row>
        <row r="100">
          <cell r="A100" t="str">
            <v>2100</v>
          </cell>
          <cell r="I100">
            <v>39252</v>
          </cell>
        </row>
        <row r="101">
          <cell r="A101" t="str">
            <v>2100</v>
          </cell>
          <cell r="I101">
            <v>39255</v>
          </cell>
        </row>
        <row r="102">
          <cell r="A102" t="str">
            <v>2100</v>
          </cell>
          <cell r="I102">
            <v>39259</v>
          </cell>
        </row>
        <row r="103">
          <cell r="A103" t="str">
            <v>2100</v>
          </cell>
          <cell r="I103">
            <v>39259</v>
          </cell>
        </row>
        <row r="104">
          <cell r="A104" t="str">
            <v>2100</v>
          </cell>
          <cell r="I104">
            <v>39259</v>
          </cell>
        </row>
        <row r="105">
          <cell r="A105" t="str">
            <v>2100</v>
          </cell>
          <cell r="I105">
            <v>39252</v>
          </cell>
        </row>
        <row r="106">
          <cell r="A106" t="str">
            <v>2100</v>
          </cell>
          <cell r="I106">
            <v>39252</v>
          </cell>
        </row>
        <row r="107">
          <cell r="A107" t="str">
            <v>2100</v>
          </cell>
          <cell r="I107">
            <v>39252</v>
          </cell>
        </row>
        <row r="108">
          <cell r="A108" t="str">
            <v>2100</v>
          </cell>
          <cell r="I108">
            <v>39252</v>
          </cell>
        </row>
        <row r="109">
          <cell r="A109" t="str">
            <v>2100</v>
          </cell>
          <cell r="I109">
            <v>39253</v>
          </cell>
        </row>
        <row r="110">
          <cell r="A110" t="str">
            <v>2100</v>
          </cell>
          <cell r="I110">
            <v>39251</v>
          </cell>
        </row>
        <row r="111">
          <cell r="A111" t="str">
            <v>2100</v>
          </cell>
          <cell r="I111">
            <v>39259</v>
          </cell>
        </row>
        <row r="112">
          <cell r="A112" t="str">
            <v>2100</v>
          </cell>
          <cell r="I112">
            <v>39253</v>
          </cell>
        </row>
        <row r="113">
          <cell r="A113" t="str">
            <v>2100</v>
          </cell>
          <cell r="I113">
            <v>39254</v>
          </cell>
        </row>
        <row r="114">
          <cell r="A114" t="str">
            <v>2100</v>
          </cell>
          <cell r="I114">
            <v>39259</v>
          </cell>
        </row>
        <row r="115">
          <cell r="A115" t="str">
            <v>2100</v>
          </cell>
          <cell r="I115">
            <v>39254</v>
          </cell>
        </row>
        <row r="116">
          <cell r="A116" t="str">
            <v>2100</v>
          </cell>
          <cell r="I116">
            <v>39253</v>
          </cell>
        </row>
        <row r="117">
          <cell r="A117" t="str">
            <v>2100</v>
          </cell>
          <cell r="I117">
            <v>39253</v>
          </cell>
        </row>
        <row r="118">
          <cell r="A118" t="str">
            <v>2100</v>
          </cell>
          <cell r="I118">
            <v>39252</v>
          </cell>
        </row>
        <row r="119">
          <cell r="A119" t="str">
            <v>2100</v>
          </cell>
          <cell r="I119">
            <v>39252</v>
          </cell>
        </row>
        <row r="120">
          <cell r="A120" t="str">
            <v>2100</v>
          </cell>
          <cell r="I120">
            <v>39253</v>
          </cell>
        </row>
        <row r="121">
          <cell r="A121" t="str">
            <v>2100</v>
          </cell>
          <cell r="I121">
            <v>39252</v>
          </cell>
        </row>
        <row r="122">
          <cell r="A122" t="str">
            <v>2100</v>
          </cell>
          <cell r="I122">
            <v>39254</v>
          </cell>
        </row>
        <row r="123">
          <cell r="A123" t="str">
            <v>2100</v>
          </cell>
          <cell r="I123">
            <v>39254</v>
          </cell>
        </row>
        <row r="124">
          <cell r="A124" t="str">
            <v>2100</v>
          </cell>
          <cell r="I124">
            <v>39252</v>
          </cell>
        </row>
        <row r="125">
          <cell r="A125" t="str">
            <v>2100</v>
          </cell>
          <cell r="I125">
            <v>39252</v>
          </cell>
        </row>
        <row r="126">
          <cell r="A126" t="str">
            <v>2100</v>
          </cell>
          <cell r="I126">
            <v>39252</v>
          </cell>
        </row>
        <row r="127">
          <cell r="A127" t="str">
            <v>2100</v>
          </cell>
          <cell r="I127">
            <v>39252</v>
          </cell>
        </row>
        <row r="128">
          <cell r="A128" t="str">
            <v>2100</v>
          </cell>
          <cell r="I128">
            <v>39260</v>
          </cell>
        </row>
        <row r="129">
          <cell r="A129" t="str">
            <v>2100</v>
          </cell>
          <cell r="I129">
            <v>39252</v>
          </cell>
        </row>
        <row r="130">
          <cell r="A130" t="str">
            <v>2100</v>
          </cell>
          <cell r="I130">
            <v>39252</v>
          </cell>
        </row>
        <row r="131">
          <cell r="A131" t="str">
            <v>2100</v>
          </cell>
          <cell r="I131">
            <v>39253</v>
          </cell>
        </row>
        <row r="132">
          <cell r="A132" t="str">
            <v>2100</v>
          </cell>
          <cell r="I132">
            <v>39252</v>
          </cell>
        </row>
        <row r="133">
          <cell r="A133" t="str">
            <v>2100</v>
          </cell>
          <cell r="I133">
            <v>39252</v>
          </cell>
        </row>
        <row r="134">
          <cell r="A134" t="str">
            <v>2100</v>
          </cell>
          <cell r="I134">
            <v>39258</v>
          </cell>
        </row>
        <row r="135">
          <cell r="A135" t="str">
            <v>2100</v>
          </cell>
          <cell r="I135">
            <v>39253</v>
          </cell>
        </row>
        <row r="136">
          <cell r="A136" t="str">
            <v>2100</v>
          </cell>
          <cell r="I136">
            <v>39252</v>
          </cell>
        </row>
        <row r="137">
          <cell r="A137" t="str">
            <v>2100</v>
          </cell>
          <cell r="I137">
            <v>39258</v>
          </cell>
        </row>
        <row r="138">
          <cell r="A138" t="str">
            <v>2100</v>
          </cell>
          <cell r="I138">
            <v>39259</v>
          </cell>
        </row>
        <row r="139">
          <cell r="A139" t="str">
            <v>2100</v>
          </cell>
          <cell r="I139">
            <v>39252</v>
          </cell>
        </row>
        <row r="140">
          <cell r="A140" t="str">
            <v>2100</v>
          </cell>
          <cell r="I140">
            <v>39252</v>
          </cell>
        </row>
        <row r="141">
          <cell r="A141" t="str">
            <v>2100</v>
          </cell>
          <cell r="I141">
            <v>39253</v>
          </cell>
        </row>
        <row r="142">
          <cell r="A142" t="str">
            <v>2100</v>
          </cell>
          <cell r="I142">
            <v>39253</v>
          </cell>
        </row>
        <row r="143">
          <cell r="A143" t="str">
            <v>2100</v>
          </cell>
          <cell r="I143">
            <v>39253</v>
          </cell>
        </row>
        <row r="144">
          <cell r="A144" t="str">
            <v>2100</v>
          </cell>
          <cell r="I144">
            <v>39259</v>
          </cell>
        </row>
        <row r="145">
          <cell r="A145" t="str">
            <v>2100</v>
          </cell>
          <cell r="I145">
            <v>39259</v>
          </cell>
        </row>
        <row r="146">
          <cell r="A146" t="str">
            <v>2100</v>
          </cell>
          <cell r="I146">
            <v>39256</v>
          </cell>
        </row>
        <row r="147">
          <cell r="A147" t="str">
            <v>2100</v>
          </cell>
          <cell r="I147">
            <v>39253</v>
          </cell>
        </row>
        <row r="148">
          <cell r="A148" t="str">
            <v>2100</v>
          </cell>
          <cell r="I148">
            <v>39260</v>
          </cell>
        </row>
        <row r="149">
          <cell r="A149" t="str">
            <v>2100</v>
          </cell>
          <cell r="I149">
            <v>39259</v>
          </cell>
        </row>
        <row r="150">
          <cell r="A150" t="str">
            <v>2100</v>
          </cell>
          <cell r="I150">
            <v>39260</v>
          </cell>
        </row>
        <row r="151">
          <cell r="A151" t="str">
            <v>2100</v>
          </cell>
          <cell r="I151">
            <v>39260</v>
          </cell>
        </row>
        <row r="152">
          <cell r="A152" t="str">
            <v>2100</v>
          </cell>
          <cell r="I152">
            <v>39256</v>
          </cell>
        </row>
        <row r="153">
          <cell r="A153" t="str">
            <v>2100</v>
          </cell>
          <cell r="I153">
            <v>39247</v>
          </cell>
        </row>
        <row r="154">
          <cell r="A154" t="str">
            <v>2100</v>
          </cell>
          <cell r="I154">
            <v>39259</v>
          </cell>
        </row>
        <row r="155">
          <cell r="A155" t="str">
            <v>2100</v>
          </cell>
          <cell r="I155">
            <v>39253</v>
          </cell>
        </row>
        <row r="156">
          <cell r="A156" t="str">
            <v>2100</v>
          </cell>
          <cell r="I156">
            <v>39253</v>
          </cell>
        </row>
        <row r="157">
          <cell r="A157" t="str">
            <v>2100</v>
          </cell>
          <cell r="I157">
            <v>39253</v>
          </cell>
        </row>
        <row r="158">
          <cell r="A158" t="str">
            <v>2100</v>
          </cell>
          <cell r="I158">
            <v>39259</v>
          </cell>
        </row>
        <row r="159">
          <cell r="A159" t="str">
            <v>2100</v>
          </cell>
          <cell r="I159">
            <v>39248</v>
          </cell>
        </row>
        <row r="160">
          <cell r="A160" t="str">
            <v>2100</v>
          </cell>
          <cell r="I160">
            <v>39245</v>
          </cell>
        </row>
        <row r="161">
          <cell r="A161" t="str">
            <v>2100</v>
          </cell>
          <cell r="I161">
            <v>39258</v>
          </cell>
        </row>
        <row r="162">
          <cell r="A162" t="str">
            <v>2100</v>
          </cell>
          <cell r="I162">
            <v>39258</v>
          </cell>
        </row>
        <row r="163">
          <cell r="A163" t="str">
            <v>2100</v>
          </cell>
          <cell r="I163">
            <v>39259</v>
          </cell>
        </row>
        <row r="164">
          <cell r="A164" t="str">
            <v>2100</v>
          </cell>
          <cell r="I164">
            <v>39259</v>
          </cell>
        </row>
        <row r="165">
          <cell r="A165" t="str">
            <v>2100</v>
          </cell>
          <cell r="I165">
            <v>39259</v>
          </cell>
        </row>
        <row r="166">
          <cell r="A166" t="str">
            <v>2100</v>
          </cell>
          <cell r="I166">
            <v>39256</v>
          </cell>
        </row>
        <row r="167">
          <cell r="A167" t="str">
            <v>2100</v>
          </cell>
          <cell r="I167">
            <v>39246</v>
          </cell>
        </row>
        <row r="168">
          <cell r="A168" t="str">
            <v>2100</v>
          </cell>
          <cell r="I168">
            <v>39258</v>
          </cell>
        </row>
        <row r="169">
          <cell r="A169" t="str">
            <v>2100</v>
          </cell>
          <cell r="I169">
            <v>39258</v>
          </cell>
        </row>
        <row r="170">
          <cell r="A170" t="str">
            <v>2100</v>
          </cell>
          <cell r="I170">
            <v>39253</v>
          </cell>
        </row>
        <row r="171">
          <cell r="A171" t="str">
            <v>2100</v>
          </cell>
          <cell r="I171">
            <v>39253</v>
          </cell>
        </row>
        <row r="172">
          <cell r="A172" t="str">
            <v>2100</v>
          </cell>
          <cell r="I172">
            <v>39253</v>
          </cell>
        </row>
        <row r="173">
          <cell r="A173" t="str">
            <v>2100</v>
          </cell>
          <cell r="I173">
            <v>39260</v>
          </cell>
        </row>
        <row r="174">
          <cell r="A174" t="str">
            <v>2100</v>
          </cell>
          <cell r="I174">
            <v>39245</v>
          </cell>
        </row>
        <row r="175">
          <cell r="A175" t="str">
            <v>2100</v>
          </cell>
          <cell r="I175">
            <v>39245</v>
          </cell>
        </row>
        <row r="176">
          <cell r="A176" t="str">
            <v>2100</v>
          </cell>
          <cell r="I176">
            <v>39245</v>
          </cell>
        </row>
        <row r="177">
          <cell r="A177" t="str">
            <v>2100</v>
          </cell>
          <cell r="I177">
            <v>39245</v>
          </cell>
        </row>
        <row r="178">
          <cell r="A178" t="str">
            <v>2100</v>
          </cell>
          <cell r="I178">
            <v>39245</v>
          </cell>
        </row>
        <row r="179">
          <cell r="A179" t="str">
            <v>2100</v>
          </cell>
          <cell r="I179">
            <v>39245</v>
          </cell>
        </row>
        <row r="180">
          <cell r="A180" t="str">
            <v>2100</v>
          </cell>
          <cell r="I180">
            <v>39245</v>
          </cell>
        </row>
        <row r="181">
          <cell r="A181" t="str">
            <v>2100</v>
          </cell>
          <cell r="I181">
            <v>39245</v>
          </cell>
        </row>
        <row r="182">
          <cell r="A182" t="str">
            <v>2100</v>
          </cell>
          <cell r="I182">
            <v>39259</v>
          </cell>
        </row>
        <row r="183">
          <cell r="A183" t="str">
            <v>2100</v>
          </cell>
          <cell r="I183">
            <v>39253</v>
          </cell>
        </row>
        <row r="184">
          <cell r="A184" t="str">
            <v>2100</v>
          </cell>
          <cell r="I184">
            <v>39245</v>
          </cell>
        </row>
        <row r="185">
          <cell r="A185" t="str">
            <v>2100</v>
          </cell>
          <cell r="I185">
            <v>39245</v>
          </cell>
        </row>
        <row r="186">
          <cell r="A186" t="str">
            <v>2100</v>
          </cell>
          <cell r="I186">
            <v>39253</v>
          </cell>
        </row>
        <row r="187">
          <cell r="A187" t="str">
            <v>2100</v>
          </cell>
          <cell r="I187">
            <v>39253</v>
          </cell>
        </row>
        <row r="188">
          <cell r="A188" t="str">
            <v>2100</v>
          </cell>
          <cell r="I188">
            <v>39245</v>
          </cell>
        </row>
        <row r="189">
          <cell r="A189" t="str">
            <v>2100</v>
          </cell>
          <cell r="I189">
            <v>39256</v>
          </cell>
        </row>
        <row r="190">
          <cell r="A190" t="str">
            <v>2100</v>
          </cell>
          <cell r="I190">
            <v>39259</v>
          </cell>
        </row>
        <row r="191">
          <cell r="A191" t="str">
            <v>2100</v>
          </cell>
          <cell r="I191">
            <v>39253</v>
          </cell>
        </row>
        <row r="192">
          <cell r="A192" t="str">
            <v>2100</v>
          </cell>
          <cell r="I192">
            <v>39253</v>
          </cell>
        </row>
        <row r="193">
          <cell r="A193" t="str">
            <v>2100</v>
          </cell>
          <cell r="I193">
            <v>39253</v>
          </cell>
        </row>
        <row r="194">
          <cell r="A194" t="str">
            <v>2100</v>
          </cell>
          <cell r="I194">
            <v>39259</v>
          </cell>
        </row>
        <row r="195">
          <cell r="A195" t="str">
            <v>2100</v>
          </cell>
          <cell r="I195">
            <v>39253</v>
          </cell>
        </row>
        <row r="196">
          <cell r="A196" t="str">
            <v>2100</v>
          </cell>
          <cell r="I196">
            <v>39253</v>
          </cell>
        </row>
        <row r="197">
          <cell r="A197" t="str">
            <v>2100</v>
          </cell>
          <cell r="I197">
            <v>39253</v>
          </cell>
        </row>
        <row r="198">
          <cell r="A198" t="str">
            <v>2100</v>
          </cell>
          <cell r="I198">
            <v>39253</v>
          </cell>
        </row>
        <row r="199">
          <cell r="A199" t="str">
            <v>2100</v>
          </cell>
          <cell r="I199">
            <v>39259</v>
          </cell>
        </row>
        <row r="200">
          <cell r="A200" t="str">
            <v>2100</v>
          </cell>
          <cell r="I200">
            <v>39253</v>
          </cell>
        </row>
        <row r="201">
          <cell r="A201" t="str">
            <v>2100</v>
          </cell>
          <cell r="I201">
            <v>39248</v>
          </cell>
        </row>
        <row r="202">
          <cell r="A202" t="str">
            <v>2100</v>
          </cell>
          <cell r="I202">
            <v>39248</v>
          </cell>
        </row>
        <row r="203">
          <cell r="A203" t="str">
            <v>2100</v>
          </cell>
          <cell r="I203">
            <v>39253</v>
          </cell>
        </row>
        <row r="204">
          <cell r="A204" t="str">
            <v>2100</v>
          </cell>
          <cell r="I204">
            <v>39259</v>
          </cell>
        </row>
        <row r="205">
          <cell r="A205" t="str">
            <v>2100</v>
          </cell>
          <cell r="I205">
            <v>39253</v>
          </cell>
        </row>
        <row r="206">
          <cell r="A206" t="str">
            <v>2100</v>
          </cell>
          <cell r="I206">
            <v>39259</v>
          </cell>
        </row>
        <row r="207">
          <cell r="A207" t="str">
            <v>2100</v>
          </cell>
          <cell r="I207">
            <v>39253</v>
          </cell>
        </row>
        <row r="208">
          <cell r="A208" t="str">
            <v>2100</v>
          </cell>
          <cell r="I208">
            <v>39248</v>
          </cell>
        </row>
        <row r="209">
          <cell r="A209" t="str">
            <v>2100</v>
          </cell>
          <cell r="I209">
            <v>39245</v>
          </cell>
        </row>
        <row r="210">
          <cell r="A210" t="str">
            <v>2100</v>
          </cell>
          <cell r="I210">
            <v>39256</v>
          </cell>
        </row>
        <row r="211">
          <cell r="A211" t="str">
            <v>2100</v>
          </cell>
          <cell r="I211">
            <v>39248</v>
          </cell>
        </row>
        <row r="212">
          <cell r="A212" t="str">
            <v>2100</v>
          </cell>
          <cell r="I212">
            <v>39248</v>
          </cell>
        </row>
        <row r="213">
          <cell r="A213" t="str">
            <v>2100</v>
          </cell>
          <cell r="I213">
            <v>39259</v>
          </cell>
        </row>
        <row r="214">
          <cell r="A214" t="str">
            <v>2100</v>
          </cell>
          <cell r="I214">
            <v>39253</v>
          </cell>
        </row>
        <row r="215">
          <cell r="A215" t="str">
            <v>2100</v>
          </cell>
          <cell r="I215">
            <v>39253</v>
          </cell>
        </row>
        <row r="216">
          <cell r="A216" t="str">
            <v>2100</v>
          </cell>
          <cell r="I216">
            <v>39253</v>
          </cell>
        </row>
        <row r="217">
          <cell r="A217" t="str">
            <v>2100</v>
          </cell>
          <cell r="I217">
            <v>39253</v>
          </cell>
        </row>
        <row r="218">
          <cell r="A218" t="str">
            <v>2100</v>
          </cell>
          <cell r="I218">
            <v>39259</v>
          </cell>
        </row>
        <row r="219">
          <cell r="A219" t="str">
            <v>2100</v>
          </cell>
          <cell r="I219">
            <v>39259</v>
          </cell>
        </row>
        <row r="220">
          <cell r="A220" t="str">
            <v>2100</v>
          </cell>
          <cell r="I220">
            <v>39260</v>
          </cell>
        </row>
        <row r="221">
          <cell r="A221" t="str">
            <v>2100</v>
          </cell>
          <cell r="I221">
            <v>39253</v>
          </cell>
        </row>
        <row r="222">
          <cell r="A222" t="str">
            <v>2100</v>
          </cell>
          <cell r="I222">
            <v>39253</v>
          </cell>
        </row>
        <row r="223">
          <cell r="A223" t="str">
            <v>2100</v>
          </cell>
          <cell r="I223">
            <v>39259</v>
          </cell>
        </row>
        <row r="224">
          <cell r="A224" t="str">
            <v>2100</v>
          </cell>
          <cell r="I224">
            <v>39253</v>
          </cell>
        </row>
        <row r="225">
          <cell r="A225" t="str">
            <v>2100</v>
          </cell>
          <cell r="I225">
            <v>39253</v>
          </cell>
        </row>
        <row r="226">
          <cell r="A226" t="str">
            <v>2100</v>
          </cell>
          <cell r="I226">
            <v>39253</v>
          </cell>
        </row>
        <row r="227">
          <cell r="A227" t="str">
            <v>2100</v>
          </cell>
          <cell r="I227">
            <v>39253</v>
          </cell>
        </row>
        <row r="228">
          <cell r="A228" t="str">
            <v>2100</v>
          </cell>
          <cell r="I228">
            <v>39253</v>
          </cell>
        </row>
        <row r="229">
          <cell r="A229" t="str">
            <v>2100</v>
          </cell>
          <cell r="I229">
            <v>39253</v>
          </cell>
        </row>
        <row r="230">
          <cell r="A230" t="str">
            <v>2100</v>
          </cell>
          <cell r="I230">
            <v>39253</v>
          </cell>
        </row>
        <row r="231">
          <cell r="A231" t="str">
            <v>2100</v>
          </cell>
          <cell r="I231">
            <v>39253</v>
          </cell>
        </row>
        <row r="232">
          <cell r="A232" t="str">
            <v>2100</v>
          </cell>
          <cell r="I232">
            <v>39258</v>
          </cell>
        </row>
        <row r="233">
          <cell r="A233" t="str">
            <v>2100</v>
          </cell>
          <cell r="I233">
            <v>39253</v>
          </cell>
        </row>
        <row r="234">
          <cell r="A234" t="str">
            <v>2100</v>
          </cell>
          <cell r="I234">
            <v>39260</v>
          </cell>
        </row>
        <row r="235">
          <cell r="A235" t="str">
            <v>2100</v>
          </cell>
          <cell r="I235">
            <v>39260</v>
          </cell>
        </row>
        <row r="236">
          <cell r="A236" t="str">
            <v>2100</v>
          </cell>
          <cell r="I236">
            <v>39248</v>
          </cell>
        </row>
        <row r="237">
          <cell r="A237" t="str">
            <v>2100</v>
          </cell>
          <cell r="I237">
            <v>39256</v>
          </cell>
        </row>
        <row r="238">
          <cell r="A238" t="str">
            <v>2100</v>
          </cell>
          <cell r="I238">
            <v>39260</v>
          </cell>
        </row>
        <row r="239">
          <cell r="A239" t="str">
            <v>2100</v>
          </cell>
          <cell r="I239">
            <v>39258</v>
          </cell>
        </row>
        <row r="240">
          <cell r="A240" t="str">
            <v>2100</v>
          </cell>
          <cell r="I240">
            <v>39254</v>
          </cell>
        </row>
        <row r="241">
          <cell r="A241" t="str">
            <v>2100</v>
          </cell>
          <cell r="I241">
            <v>39255</v>
          </cell>
        </row>
        <row r="242">
          <cell r="A242" t="str">
            <v>2100</v>
          </cell>
          <cell r="I242">
            <v>39253</v>
          </cell>
        </row>
        <row r="243">
          <cell r="A243" t="str">
            <v>2100</v>
          </cell>
          <cell r="I243">
            <v>39253</v>
          </cell>
        </row>
        <row r="244">
          <cell r="A244" t="str">
            <v>2100</v>
          </cell>
          <cell r="I244">
            <v>39248</v>
          </cell>
        </row>
        <row r="245">
          <cell r="A245" t="str">
            <v>2100</v>
          </cell>
          <cell r="I245">
            <v>39251</v>
          </cell>
        </row>
        <row r="246">
          <cell r="A246" t="str">
            <v>2100</v>
          </cell>
          <cell r="I246">
            <v>39255</v>
          </cell>
        </row>
        <row r="247">
          <cell r="A247" t="str">
            <v>2100</v>
          </cell>
          <cell r="I247">
            <v>39252</v>
          </cell>
        </row>
        <row r="248">
          <cell r="A248" t="str">
            <v>2100</v>
          </cell>
          <cell r="I248">
            <v>39251</v>
          </cell>
        </row>
        <row r="249">
          <cell r="A249" t="str">
            <v>2100</v>
          </cell>
          <cell r="I249">
            <v>39254</v>
          </cell>
        </row>
        <row r="250">
          <cell r="A250" t="str">
            <v>2100</v>
          </cell>
          <cell r="I250">
            <v>39251</v>
          </cell>
        </row>
        <row r="251">
          <cell r="A251" t="str">
            <v>2100</v>
          </cell>
          <cell r="I251">
            <v>39258</v>
          </cell>
        </row>
        <row r="252">
          <cell r="A252" t="str">
            <v>2100</v>
          </cell>
          <cell r="I252">
            <v>39258</v>
          </cell>
        </row>
        <row r="253">
          <cell r="A253" t="str">
            <v>2100</v>
          </cell>
          <cell r="I253">
            <v>39258</v>
          </cell>
        </row>
        <row r="254">
          <cell r="A254" t="str">
            <v>2100</v>
          </cell>
          <cell r="I254">
            <v>39254</v>
          </cell>
        </row>
        <row r="255">
          <cell r="A255" t="str">
            <v>2100</v>
          </cell>
          <cell r="I255">
            <v>39251</v>
          </cell>
        </row>
        <row r="256">
          <cell r="A256" t="str">
            <v>2100</v>
          </cell>
          <cell r="I256">
            <v>39251</v>
          </cell>
        </row>
        <row r="257">
          <cell r="A257" t="str">
            <v>2100</v>
          </cell>
          <cell r="I257">
            <v>39254</v>
          </cell>
        </row>
        <row r="258">
          <cell r="A258" t="str">
            <v>2100</v>
          </cell>
          <cell r="I258">
            <v>39254</v>
          </cell>
        </row>
        <row r="259">
          <cell r="A259" t="str">
            <v>2100</v>
          </cell>
          <cell r="I259">
            <v>39252</v>
          </cell>
        </row>
        <row r="260">
          <cell r="A260" t="str">
            <v>2100</v>
          </cell>
          <cell r="I260">
            <v>39254</v>
          </cell>
        </row>
        <row r="261">
          <cell r="A261" t="str">
            <v>2100</v>
          </cell>
          <cell r="I261">
            <v>39251</v>
          </cell>
        </row>
        <row r="262">
          <cell r="A262" t="str">
            <v>2100</v>
          </cell>
          <cell r="I262">
            <v>39254</v>
          </cell>
        </row>
        <row r="263">
          <cell r="A263" t="str">
            <v>2100</v>
          </cell>
          <cell r="I263">
            <v>39255</v>
          </cell>
        </row>
        <row r="264">
          <cell r="A264" t="str">
            <v>2100</v>
          </cell>
          <cell r="I264">
            <v>39253</v>
          </cell>
        </row>
        <row r="265">
          <cell r="A265" t="str">
            <v>2100</v>
          </cell>
          <cell r="I265">
            <v>39259</v>
          </cell>
        </row>
        <row r="266">
          <cell r="A266" t="str">
            <v>2100</v>
          </cell>
          <cell r="I266">
            <v>39251</v>
          </cell>
        </row>
        <row r="267">
          <cell r="A267" t="str">
            <v>2100</v>
          </cell>
          <cell r="I267">
            <v>39255</v>
          </cell>
        </row>
        <row r="268">
          <cell r="A268" t="str">
            <v>2100</v>
          </cell>
          <cell r="I268">
            <v>39258</v>
          </cell>
        </row>
        <row r="269">
          <cell r="A269" t="str">
            <v>2100</v>
          </cell>
          <cell r="I269">
            <v>39258</v>
          </cell>
        </row>
        <row r="270">
          <cell r="A270" t="str">
            <v>2100</v>
          </cell>
          <cell r="I270">
            <v>39248</v>
          </cell>
        </row>
        <row r="271">
          <cell r="A271" t="str">
            <v>2100</v>
          </cell>
          <cell r="I271">
            <v>39258</v>
          </cell>
        </row>
        <row r="272">
          <cell r="A272" t="str">
            <v>2100</v>
          </cell>
          <cell r="I272">
            <v>39258</v>
          </cell>
        </row>
        <row r="273">
          <cell r="A273" t="str">
            <v>2100</v>
          </cell>
          <cell r="I273">
            <v>39255</v>
          </cell>
        </row>
        <row r="274">
          <cell r="A274" t="str">
            <v>2100</v>
          </cell>
          <cell r="I274">
            <v>39253</v>
          </cell>
        </row>
        <row r="275">
          <cell r="A275" t="str">
            <v>2100</v>
          </cell>
          <cell r="I275">
            <v>39253</v>
          </cell>
        </row>
        <row r="276">
          <cell r="A276" t="str">
            <v>2100</v>
          </cell>
          <cell r="I276">
            <v>39258</v>
          </cell>
        </row>
        <row r="277">
          <cell r="A277" t="str">
            <v>2100</v>
          </cell>
          <cell r="I277">
            <v>39258</v>
          </cell>
        </row>
        <row r="278">
          <cell r="A278" t="str">
            <v>2100</v>
          </cell>
          <cell r="I278">
            <v>39258</v>
          </cell>
        </row>
        <row r="279">
          <cell r="A279" t="str">
            <v>2100</v>
          </cell>
          <cell r="I279">
            <v>39258</v>
          </cell>
        </row>
        <row r="280">
          <cell r="A280" t="str">
            <v>2100</v>
          </cell>
          <cell r="I280">
            <v>39258</v>
          </cell>
        </row>
        <row r="281">
          <cell r="A281" t="str">
            <v>2100</v>
          </cell>
          <cell r="I281">
            <v>39258</v>
          </cell>
        </row>
        <row r="282">
          <cell r="A282" t="str">
            <v>2100</v>
          </cell>
          <cell r="I282">
            <v>39258</v>
          </cell>
        </row>
        <row r="283">
          <cell r="A283" t="str">
            <v>2100</v>
          </cell>
          <cell r="I283">
            <v>39258</v>
          </cell>
        </row>
        <row r="284">
          <cell r="A284" t="str">
            <v>2100</v>
          </cell>
          <cell r="I284">
            <v>39258</v>
          </cell>
        </row>
        <row r="285">
          <cell r="A285" t="str">
            <v>2100</v>
          </cell>
          <cell r="I285">
            <v>39258</v>
          </cell>
        </row>
        <row r="286">
          <cell r="A286" t="str">
            <v>2100</v>
          </cell>
          <cell r="I286">
            <v>39258</v>
          </cell>
        </row>
        <row r="287">
          <cell r="A287" t="str">
            <v>2100</v>
          </cell>
          <cell r="I287">
            <v>39260</v>
          </cell>
        </row>
        <row r="288">
          <cell r="A288" t="str">
            <v>2100</v>
          </cell>
          <cell r="I288">
            <v>39252</v>
          </cell>
        </row>
        <row r="289">
          <cell r="A289" t="str">
            <v>2100</v>
          </cell>
          <cell r="I289">
            <v>39252</v>
          </cell>
        </row>
        <row r="290">
          <cell r="A290" t="str">
            <v>2100</v>
          </cell>
          <cell r="I290">
            <v>39252</v>
          </cell>
        </row>
        <row r="291">
          <cell r="A291" t="str">
            <v>2100</v>
          </cell>
          <cell r="I291">
            <v>39255</v>
          </cell>
        </row>
        <row r="292">
          <cell r="A292" t="str">
            <v>2100</v>
          </cell>
          <cell r="I292">
            <v>39258</v>
          </cell>
        </row>
        <row r="293">
          <cell r="A293" t="str">
            <v>2100</v>
          </cell>
          <cell r="I293">
            <v>39258</v>
          </cell>
        </row>
        <row r="294">
          <cell r="A294" t="str">
            <v>2100</v>
          </cell>
          <cell r="I294">
            <v>39258</v>
          </cell>
        </row>
        <row r="295">
          <cell r="A295" t="str">
            <v>2100</v>
          </cell>
          <cell r="I295">
            <v>39258</v>
          </cell>
        </row>
        <row r="296">
          <cell r="A296" t="str">
            <v>2100</v>
          </cell>
          <cell r="I296">
            <v>39255</v>
          </cell>
        </row>
        <row r="297">
          <cell r="A297" t="str">
            <v>2100</v>
          </cell>
          <cell r="I297">
            <v>39258</v>
          </cell>
        </row>
        <row r="298">
          <cell r="A298" t="str">
            <v>2100</v>
          </cell>
          <cell r="I298">
            <v>39258</v>
          </cell>
        </row>
        <row r="299">
          <cell r="A299" t="str">
            <v>2100</v>
          </cell>
          <cell r="I299">
            <v>39253</v>
          </cell>
        </row>
        <row r="300">
          <cell r="A300" t="str">
            <v>2100</v>
          </cell>
          <cell r="I300">
            <v>39253</v>
          </cell>
        </row>
        <row r="301">
          <cell r="A301" t="str">
            <v>2100</v>
          </cell>
          <cell r="I301">
            <v>39255</v>
          </cell>
        </row>
        <row r="302">
          <cell r="A302" t="str">
            <v>2100</v>
          </cell>
          <cell r="I302">
            <v>39255</v>
          </cell>
        </row>
        <row r="303">
          <cell r="A303" t="str">
            <v>2100</v>
          </cell>
          <cell r="I303">
            <v>39255</v>
          </cell>
        </row>
        <row r="304">
          <cell r="A304" t="str">
            <v>2100</v>
          </cell>
          <cell r="I304">
            <v>39253</v>
          </cell>
        </row>
        <row r="305">
          <cell r="A305" t="str">
            <v>2100</v>
          </cell>
          <cell r="I305">
            <v>39254</v>
          </cell>
        </row>
        <row r="306">
          <cell r="A306" t="str">
            <v>2100</v>
          </cell>
          <cell r="I306">
            <v>39254</v>
          </cell>
        </row>
        <row r="307">
          <cell r="A307" t="str">
            <v>2100</v>
          </cell>
          <cell r="I307">
            <v>39259</v>
          </cell>
        </row>
        <row r="308">
          <cell r="A308" t="str">
            <v>2100</v>
          </cell>
          <cell r="I308">
            <v>39252</v>
          </cell>
        </row>
        <row r="309">
          <cell r="A309" t="str">
            <v>2100</v>
          </cell>
          <cell r="I309">
            <v>39259</v>
          </cell>
        </row>
        <row r="310">
          <cell r="A310" t="str">
            <v>2100</v>
          </cell>
          <cell r="I310">
            <v>39252</v>
          </cell>
        </row>
        <row r="311">
          <cell r="A311" t="str">
            <v>2100</v>
          </cell>
          <cell r="I311">
            <v>39251</v>
          </cell>
        </row>
        <row r="312">
          <cell r="A312" t="str">
            <v>2100</v>
          </cell>
          <cell r="I312">
            <v>39258</v>
          </cell>
        </row>
        <row r="313">
          <cell r="A313" t="str">
            <v>2100</v>
          </cell>
          <cell r="I313">
            <v>39251</v>
          </cell>
        </row>
        <row r="314">
          <cell r="A314" t="str">
            <v>2100</v>
          </cell>
          <cell r="I314">
            <v>39258</v>
          </cell>
        </row>
        <row r="315">
          <cell r="A315" t="str">
            <v>2100</v>
          </cell>
          <cell r="I315">
            <v>39251</v>
          </cell>
        </row>
        <row r="316">
          <cell r="A316" t="str">
            <v>2100</v>
          </cell>
          <cell r="I316">
            <v>39255</v>
          </cell>
        </row>
        <row r="317">
          <cell r="A317" t="str">
            <v>2100</v>
          </cell>
          <cell r="I317">
            <v>39248</v>
          </cell>
        </row>
        <row r="318">
          <cell r="A318" t="str">
            <v>2100</v>
          </cell>
          <cell r="I318">
            <v>39258</v>
          </cell>
        </row>
        <row r="319">
          <cell r="A319" t="str">
            <v>2100</v>
          </cell>
          <cell r="I319">
            <v>39260</v>
          </cell>
        </row>
        <row r="320">
          <cell r="A320" t="str">
            <v>2100</v>
          </cell>
          <cell r="I320">
            <v>39251</v>
          </cell>
        </row>
        <row r="321">
          <cell r="A321" t="str">
            <v>2100</v>
          </cell>
          <cell r="I321">
            <v>39251</v>
          </cell>
        </row>
        <row r="322">
          <cell r="A322" t="str">
            <v>2100</v>
          </cell>
          <cell r="I322">
            <v>39258</v>
          </cell>
        </row>
        <row r="323">
          <cell r="A323" t="str">
            <v>2100</v>
          </cell>
          <cell r="I323">
            <v>39255</v>
          </cell>
        </row>
        <row r="324">
          <cell r="A324" t="str">
            <v>2100</v>
          </cell>
          <cell r="I324">
            <v>39255</v>
          </cell>
        </row>
        <row r="325">
          <cell r="A325" t="str">
            <v>2100</v>
          </cell>
          <cell r="I325">
            <v>39247</v>
          </cell>
        </row>
        <row r="326">
          <cell r="A326" t="str">
            <v>2100</v>
          </cell>
          <cell r="I326">
            <v>39247</v>
          </cell>
        </row>
        <row r="327">
          <cell r="A327" t="str">
            <v>2100</v>
          </cell>
          <cell r="I327">
            <v>39259</v>
          </cell>
        </row>
        <row r="328">
          <cell r="A328" t="str">
            <v>2100</v>
          </cell>
          <cell r="I328">
            <v>39252</v>
          </cell>
        </row>
        <row r="329">
          <cell r="A329" t="str">
            <v>2100</v>
          </cell>
          <cell r="I329">
            <v>39252</v>
          </cell>
        </row>
        <row r="330">
          <cell r="A330" t="str">
            <v>2100</v>
          </cell>
          <cell r="I330">
            <v>39259</v>
          </cell>
        </row>
        <row r="331">
          <cell r="A331" t="str">
            <v>2100</v>
          </cell>
          <cell r="I331">
            <v>39259</v>
          </cell>
        </row>
        <row r="332">
          <cell r="A332" t="str">
            <v>2100</v>
          </cell>
          <cell r="I332">
            <v>39254</v>
          </cell>
        </row>
        <row r="333">
          <cell r="A333" t="str">
            <v>2100</v>
          </cell>
          <cell r="I333">
            <v>39254</v>
          </cell>
        </row>
        <row r="334">
          <cell r="A334" t="str">
            <v>2100</v>
          </cell>
          <cell r="I334">
            <v>39259</v>
          </cell>
        </row>
        <row r="335">
          <cell r="A335" t="str">
            <v>2100</v>
          </cell>
          <cell r="I335">
            <v>39258</v>
          </cell>
        </row>
        <row r="336">
          <cell r="A336" t="str">
            <v>2100</v>
          </cell>
          <cell r="I336">
            <v>39254</v>
          </cell>
        </row>
        <row r="337">
          <cell r="A337" t="str">
            <v>2100</v>
          </cell>
          <cell r="I337">
            <v>39253</v>
          </cell>
        </row>
        <row r="338">
          <cell r="A338" t="str">
            <v>2100</v>
          </cell>
          <cell r="I338">
            <v>39253</v>
          </cell>
        </row>
        <row r="339">
          <cell r="A339" t="str">
            <v>2100</v>
          </cell>
          <cell r="I339">
            <v>39253</v>
          </cell>
        </row>
        <row r="340">
          <cell r="A340" t="str">
            <v>2100</v>
          </cell>
          <cell r="I340">
            <v>39253</v>
          </cell>
        </row>
        <row r="341">
          <cell r="A341" t="str">
            <v>2100</v>
          </cell>
          <cell r="I341">
            <v>39253</v>
          </cell>
        </row>
        <row r="342">
          <cell r="A342" t="str">
            <v>2100</v>
          </cell>
          <cell r="I342">
            <v>39253</v>
          </cell>
        </row>
        <row r="343">
          <cell r="A343" t="str">
            <v>2100</v>
          </cell>
          <cell r="I343">
            <v>39253</v>
          </cell>
        </row>
        <row r="344">
          <cell r="A344" t="str">
            <v>2100</v>
          </cell>
          <cell r="I344">
            <v>39253</v>
          </cell>
        </row>
        <row r="345">
          <cell r="A345" t="str">
            <v>2100</v>
          </cell>
          <cell r="I345">
            <v>39253</v>
          </cell>
        </row>
        <row r="346">
          <cell r="A346" t="str">
            <v>2100</v>
          </cell>
          <cell r="I346">
            <v>39253</v>
          </cell>
        </row>
        <row r="347">
          <cell r="A347" t="str">
            <v>2100</v>
          </cell>
          <cell r="I347">
            <v>39253</v>
          </cell>
        </row>
        <row r="348">
          <cell r="A348" t="str">
            <v>2100</v>
          </cell>
          <cell r="I348">
            <v>39253</v>
          </cell>
        </row>
        <row r="349">
          <cell r="A349" t="str">
            <v>2100</v>
          </cell>
          <cell r="I349">
            <v>39253</v>
          </cell>
        </row>
        <row r="350">
          <cell r="A350" t="str">
            <v>2100</v>
          </cell>
          <cell r="I350">
            <v>39253</v>
          </cell>
        </row>
        <row r="351">
          <cell r="A351" t="str">
            <v>2100</v>
          </cell>
          <cell r="I351">
            <v>39259</v>
          </cell>
        </row>
        <row r="352">
          <cell r="A352" t="str">
            <v>2100</v>
          </cell>
          <cell r="I352">
            <v>39259</v>
          </cell>
        </row>
        <row r="353">
          <cell r="A353" t="str">
            <v>2100</v>
          </cell>
          <cell r="I353">
            <v>39260</v>
          </cell>
        </row>
        <row r="354">
          <cell r="A354" t="str">
            <v>2100</v>
          </cell>
          <cell r="I354">
            <v>39260</v>
          </cell>
        </row>
        <row r="355">
          <cell r="A355" t="str">
            <v>2100</v>
          </cell>
          <cell r="I355">
            <v>39258</v>
          </cell>
        </row>
        <row r="356">
          <cell r="A356" t="str">
            <v>2100</v>
          </cell>
          <cell r="I356">
            <v>39245</v>
          </cell>
        </row>
        <row r="357">
          <cell r="A357" t="str">
            <v>2100</v>
          </cell>
          <cell r="I357">
            <v>39253</v>
          </cell>
        </row>
        <row r="358">
          <cell r="A358" t="str">
            <v>2100</v>
          </cell>
          <cell r="I358">
            <v>39253</v>
          </cell>
        </row>
        <row r="359">
          <cell r="A359" t="str">
            <v>2100</v>
          </cell>
          <cell r="I359">
            <v>39256</v>
          </cell>
        </row>
        <row r="360">
          <cell r="A360" t="str">
            <v>2100</v>
          </cell>
          <cell r="I360">
            <v>39253</v>
          </cell>
        </row>
        <row r="361">
          <cell r="A361" t="str">
            <v>2100</v>
          </cell>
          <cell r="I361">
            <v>39260</v>
          </cell>
        </row>
        <row r="362">
          <cell r="A362" t="str">
            <v>2100</v>
          </cell>
          <cell r="I362">
            <v>39253</v>
          </cell>
        </row>
        <row r="363">
          <cell r="A363" t="str">
            <v>2100</v>
          </cell>
          <cell r="I363">
            <v>39253</v>
          </cell>
        </row>
        <row r="364">
          <cell r="A364" t="str">
            <v>2100</v>
          </cell>
          <cell r="I364">
            <v>39253</v>
          </cell>
        </row>
        <row r="365">
          <cell r="A365" t="str">
            <v>2100</v>
          </cell>
          <cell r="I365">
            <v>39256</v>
          </cell>
        </row>
        <row r="366">
          <cell r="A366" t="str">
            <v>2100</v>
          </cell>
          <cell r="I366">
            <v>39247</v>
          </cell>
        </row>
        <row r="367">
          <cell r="A367" t="str">
            <v>2100</v>
          </cell>
          <cell r="I367">
            <v>39248</v>
          </cell>
        </row>
        <row r="368">
          <cell r="A368" t="str">
            <v>2100</v>
          </cell>
          <cell r="I368">
            <v>39256</v>
          </cell>
        </row>
        <row r="369">
          <cell r="A369" t="str">
            <v>2100</v>
          </cell>
          <cell r="I369">
            <v>39246</v>
          </cell>
        </row>
        <row r="370">
          <cell r="A370" t="str">
            <v>2100</v>
          </cell>
          <cell r="I370">
            <v>39253</v>
          </cell>
        </row>
        <row r="371">
          <cell r="A371" t="str">
            <v>2100</v>
          </cell>
          <cell r="I371">
            <v>39253</v>
          </cell>
        </row>
        <row r="372">
          <cell r="A372" t="str">
            <v>2100</v>
          </cell>
          <cell r="I372">
            <v>39253</v>
          </cell>
        </row>
        <row r="373">
          <cell r="A373" t="str">
            <v>2100</v>
          </cell>
          <cell r="I373">
            <v>39253</v>
          </cell>
        </row>
        <row r="374">
          <cell r="A374" t="str">
            <v>2100</v>
          </cell>
          <cell r="I374">
            <v>39253</v>
          </cell>
        </row>
        <row r="375">
          <cell r="A375" t="str">
            <v>2100</v>
          </cell>
          <cell r="I375">
            <v>39253</v>
          </cell>
        </row>
        <row r="376">
          <cell r="A376" t="str">
            <v>2100</v>
          </cell>
          <cell r="I376">
            <v>39256</v>
          </cell>
        </row>
        <row r="377">
          <cell r="A377" t="str">
            <v>2100</v>
          </cell>
          <cell r="I377">
            <v>39245</v>
          </cell>
        </row>
        <row r="378">
          <cell r="A378" t="str">
            <v>2100</v>
          </cell>
          <cell r="I378">
            <v>39253</v>
          </cell>
        </row>
        <row r="379">
          <cell r="A379" t="str">
            <v>2100</v>
          </cell>
          <cell r="I379">
            <v>39253</v>
          </cell>
        </row>
        <row r="380">
          <cell r="A380" t="str">
            <v>2100</v>
          </cell>
          <cell r="I380">
            <v>39253</v>
          </cell>
        </row>
        <row r="381">
          <cell r="A381" t="str">
            <v>2100</v>
          </cell>
          <cell r="I381">
            <v>39253</v>
          </cell>
        </row>
        <row r="382">
          <cell r="A382" t="str">
            <v>2100</v>
          </cell>
          <cell r="I382">
            <v>39253</v>
          </cell>
        </row>
        <row r="383">
          <cell r="A383" t="str">
            <v>2100</v>
          </cell>
          <cell r="I383">
            <v>39253</v>
          </cell>
        </row>
        <row r="384">
          <cell r="A384" t="str">
            <v>2100</v>
          </cell>
          <cell r="I384">
            <v>39253</v>
          </cell>
        </row>
        <row r="385">
          <cell r="A385" t="str">
            <v>2100</v>
          </cell>
          <cell r="I385">
            <v>39253</v>
          </cell>
        </row>
        <row r="386">
          <cell r="A386" t="str">
            <v>2100</v>
          </cell>
          <cell r="I386">
            <v>39253</v>
          </cell>
        </row>
        <row r="387">
          <cell r="A387" t="str">
            <v>2100</v>
          </cell>
          <cell r="I387">
            <v>39253</v>
          </cell>
        </row>
        <row r="388">
          <cell r="A388" t="str">
            <v>2100</v>
          </cell>
          <cell r="I388">
            <v>39253</v>
          </cell>
        </row>
        <row r="389">
          <cell r="A389" t="str">
            <v>2100</v>
          </cell>
          <cell r="I389">
            <v>39247</v>
          </cell>
        </row>
        <row r="390">
          <cell r="A390" t="str">
            <v>2100</v>
          </cell>
          <cell r="I390">
            <v>39253</v>
          </cell>
        </row>
        <row r="391">
          <cell r="A391" t="str">
            <v>2100</v>
          </cell>
          <cell r="I391">
            <v>39253</v>
          </cell>
        </row>
        <row r="392">
          <cell r="A392" t="str">
            <v>2100</v>
          </cell>
          <cell r="I392">
            <v>39258</v>
          </cell>
        </row>
        <row r="393">
          <cell r="A393" t="str">
            <v>2100</v>
          </cell>
          <cell r="I393">
            <v>39253</v>
          </cell>
        </row>
        <row r="394">
          <cell r="A394" t="str">
            <v>2100</v>
          </cell>
          <cell r="I394">
            <v>39253</v>
          </cell>
        </row>
        <row r="395">
          <cell r="A395" t="str">
            <v>2100</v>
          </cell>
          <cell r="I395">
            <v>39260</v>
          </cell>
        </row>
        <row r="396">
          <cell r="A396" t="str">
            <v>2100</v>
          </cell>
          <cell r="I396">
            <v>39253</v>
          </cell>
        </row>
        <row r="397">
          <cell r="A397" t="str">
            <v>2100</v>
          </cell>
          <cell r="I397">
            <v>39253</v>
          </cell>
        </row>
        <row r="398">
          <cell r="A398" t="str">
            <v>2100</v>
          </cell>
          <cell r="I398">
            <v>39253</v>
          </cell>
        </row>
        <row r="399">
          <cell r="A399" t="str">
            <v>2100</v>
          </cell>
          <cell r="I399">
            <v>39256</v>
          </cell>
        </row>
        <row r="400">
          <cell r="A400" t="str">
            <v>2100</v>
          </cell>
          <cell r="I400">
            <v>39259</v>
          </cell>
        </row>
        <row r="401">
          <cell r="A401" t="str">
            <v>2100</v>
          </cell>
          <cell r="I401">
            <v>39247</v>
          </cell>
        </row>
        <row r="402">
          <cell r="A402" t="str">
            <v>2100</v>
          </cell>
          <cell r="I402">
            <v>39248</v>
          </cell>
        </row>
        <row r="403">
          <cell r="A403" t="str">
            <v>2100</v>
          </cell>
          <cell r="I403">
            <v>39259</v>
          </cell>
        </row>
        <row r="404">
          <cell r="A404" t="str">
            <v>2100</v>
          </cell>
          <cell r="I404">
            <v>39256</v>
          </cell>
        </row>
        <row r="405">
          <cell r="A405" t="str">
            <v>2100</v>
          </cell>
          <cell r="I405">
            <v>39247</v>
          </cell>
        </row>
        <row r="406">
          <cell r="A406" t="str">
            <v>2100</v>
          </cell>
          <cell r="I406">
            <v>39245</v>
          </cell>
        </row>
        <row r="407">
          <cell r="A407" t="str">
            <v>2100</v>
          </cell>
          <cell r="I407">
            <v>39253</v>
          </cell>
        </row>
        <row r="408">
          <cell r="A408" t="str">
            <v>2100</v>
          </cell>
          <cell r="I408">
            <v>39253</v>
          </cell>
        </row>
        <row r="409">
          <cell r="A409" t="str">
            <v>2100</v>
          </cell>
          <cell r="I409">
            <v>39253</v>
          </cell>
        </row>
        <row r="410">
          <cell r="A410" t="str">
            <v>2100</v>
          </cell>
          <cell r="I410">
            <v>39248</v>
          </cell>
        </row>
        <row r="411">
          <cell r="A411" t="str">
            <v>2100</v>
          </cell>
          <cell r="I411">
            <v>39253</v>
          </cell>
        </row>
        <row r="412">
          <cell r="A412" t="str">
            <v>2100</v>
          </cell>
          <cell r="I412">
            <v>39253</v>
          </cell>
        </row>
        <row r="413">
          <cell r="A413" t="str">
            <v>2100</v>
          </cell>
          <cell r="I413">
            <v>39258</v>
          </cell>
        </row>
        <row r="414">
          <cell r="A414" t="str">
            <v>2100</v>
          </cell>
          <cell r="I414">
            <v>39258</v>
          </cell>
        </row>
        <row r="415">
          <cell r="A415" t="str">
            <v>2100</v>
          </cell>
          <cell r="I415">
            <v>39253</v>
          </cell>
        </row>
        <row r="416">
          <cell r="A416" t="str">
            <v>2100</v>
          </cell>
          <cell r="I416">
            <v>39253</v>
          </cell>
        </row>
        <row r="417">
          <cell r="A417" t="str">
            <v>2100</v>
          </cell>
          <cell r="I417">
            <v>39253</v>
          </cell>
        </row>
        <row r="418">
          <cell r="A418" t="str">
            <v>2100</v>
          </cell>
          <cell r="I418">
            <v>39253</v>
          </cell>
        </row>
        <row r="419">
          <cell r="A419" t="str">
            <v>2100</v>
          </cell>
          <cell r="I419">
            <v>39253</v>
          </cell>
        </row>
        <row r="420">
          <cell r="A420" t="str">
            <v>2100</v>
          </cell>
          <cell r="I420">
            <v>39253</v>
          </cell>
        </row>
        <row r="421">
          <cell r="A421" t="str">
            <v>2100</v>
          </cell>
          <cell r="I421">
            <v>39253</v>
          </cell>
        </row>
        <row r="422">
          <cell r="A422" t="str">
            <v>2100</v>
          </cell>
          <cell r="I422">
            <v>39253</v>
          </cell>
        </row>
        <row r="423">
          <cell r="A423" t="str">
            <v>2100</v>
          </cell>
          <cell r="I423">
            <v>39259</v>
          </cell>
        </row>
        <row r="424">
          <cell r="A424" t="str">
            <v>2100</v>
          </cell>
          <cell r="I424">
            <v>39256</v>
          </cell>
        </row>
        <row r="425">
          <cell r="A425" t="str">
            <v>2100</v>
          </cell>
          <cell r="I425">
            <v>39253</v>
          </cell>
        </row>
        <row r="426">
          <cell r="A426" t="str">
            <v>2100</v>
          </cell>
          <cell r="I426">
            <v>39259</v>
          </cell>
        </row>
        <row r="427">
          <cell r="A427" t="str">
            <v>2100</v>
          </cell>
          <cell r="I427">
            <v>39253</v>
          </cell>
        </row>
        <row r="428">
          <cell r="A428" t="str">
            <v>2100</v>
          </cell>
          <cell r="I428">
            <v>39253</v>
          </cell>
        </row>
        <row r="429">
          <cell r="A429" t="str">
            <v>2100</v>
          </cell>
          <cell r="I429">
            <v>39247</v>
          </cell>
        </row>
        <row r="430">
          <cell r="A430" t="str">
            <v>2100</v>
          </cell>
          <cell r="I430">
            <v>39253</v>
          </cell>
        </row>
        <row r="431">
          <cell r="A431" t="str">
            <v>2100</v>
          </cell>
          <cell r="I431">
            <v>39258</v>
          </cell>
        </row>
        <row r="432">
          <cell r="A432" t="str">
            <v>2100</v>
          </cell>
          <cell r="I432">
            <v>39258</v>
          </cell>
        </row>
        <row r="433">
          <cell r="A433" t="str">
            <v>2100</v>
          </cell>
          <cell r="I433">
            <v>39253</v>
          </cell>
        </row>
        <row r="434">
          <cell r="A434" t="str">
            <v>2100</v>
          </cell>
          <cell r="I434">
            <v>39253</v>
          </cell>
        </row>
        <row r="435">
          <cell r="A435" t="str">
            <v>2100</v>
          </cell>
          <cell r="I435">
            <v>39253</v>
          </cell>
        </row>
        <row r="436">
          <cell r="A436" t="str">
            <v>2100</v>
          </cell>
          <cell r="I436">
            <v>39258</v>
          </cell>
        </row>
        <row r="437">
          <cell r="A437" t="str">
            <v>2100</v>
          </cell>
          <cell r="I437">
            <v>39259</v>
          </cell>
        </row>
        <row r="438">
          <cell r="A438" t="str">
            <v>2100</v>
          </cell>
          <cell r="I438">
            <v>39247</v>
          </cell>
        </row>
        <row r="439">
          <cell r="A439" t="str">
            <v>2100</v>
          </cell>
          <cell r="I439">
            <v>39253</v>
          </cell>
        </row>
        <row r="440">
          <cell r="A440" t="str">
            <v>2100</v>
          </cell>
          <cell r="I440">
            <v>39253</v>
          </cell>
        </row>
        <row r="441">
          <cell r="A441" t="str">
            <v>2100</v>
          </cell>
          <cell r="I441">
            <v>39259</v>
          </cell>
        </row>
        <row r="442">
          <cell r="A442" t="str">
            <v>2100</v>
          </cell>
          <cell r="I442">
            <v>39253</v>
          </cell>
        </row>
        <row r="443">
          <cell r="A443" t="str">
            <v>2100</v>
          </cell>
          <cell r="I443">
            <v>39247</v>
          </cell>
        </row>
        <row r="444">
          <cell r="A444" t="str">
            <v>2100</v>
          </cell>
          <cell r="I444">
            <v>39248</v>
          </cell>
        </row>
        <row r="445">
          <cell r="A445" t="str">
            <v>2100</v>
          </cell>
          <cell r="I445">
            <v>39256</v>
          </cell>
        </row>
        <row r="446">
          <cell r="A446" t="str">
            <v>2100</v>
          </cell>
          <cell r="I446">
            <v>39245</v>
          </cell>
        </row>
        <row r="447">
          <cell r="A447" t="str">
            <v>2100</v>
          </cell>
          <cell r="I447">
            <v>39256</v>
          </cell>
        </row>
        <row r="448">
          <cell r="A448" t="str">
            <v>2100</v>
          </cell>
          <cell r="I448">
            <v>39253</v>
          </cell>
        </row>
        <row r="449">
          <cell r="A449" t="str">
            <v>2100</v>
          </cell>
          <cell r="I449">
            <v>39253</v>
          </cell>
        </row>
        <row r="450">
          <cell r="A450" t="str">
            <v>2100</v>
          </cell>
          <cell r="I450">
            <v>39245</v>
          </cell>
        </row>
        <row r="451">
          <cell r="A451" t="str">
            <v>2100</v>
          </cell>
          <cell r="I451">
            <v>39248</v>
          </cell>
        </row>
        <row r="452">
          <cell r="A452" t="str">
            <v>2100</v>
          </cell>
          <cell r="I452">
            <v>39253</v>
          </cell>
        </row>
        <row r="453">
          <cell r="A453" t="str">
            <v>2100</v>
          </cell>
          <cell r="I453">
            <v>39258</v>
          </cell>
        </row>
        <row r="454">
          <cell r="A454" t="str">
            <v>2100</v>
          </cell>
          <cell r="I454">
            <v>39253</v>
          </cell>
        </row>
        <row r="455">
          <cell r="A455" t="str">
            <v>2100</v>
          </cell>
          <cell r="I455">
            <v>39253</v>
          </cell>
        </row>
        <row r="456">
          <cell r="A456" t="str">
            <v>2100</v>
          </cell>
          <cell r="I456">
            <v>39253</v>
          </cell>
        </row>
        <row r="457">
          <cell r="A457" t="str">
            <v>2100</v>
          </cell>
          <cell r="I457">
            <v>39253</v>
          </cell>
        </row>
        <row r="458">
          <cell r="A458" t="str">
            <v>2100</v>
          </cell>
          <cell r="I458">
            <v>39253</v>
          </cell>
        </row>
        <row r="459">
          <cell r="A459" t="str">
            <v>2100</v>
          </cell>
          <cell r="I459">
            <v>39253</v>
          </cell>
        </row>
        <row r="460">
          <cell r="A460" t="str">
            <v>2100</v>
          </cell>
          <cell r="I460">
            <v>39253</v>
          </cell>
        </row>
        <row r="461">
          <cell r="A461" t="str">
            <v>2100</v>
          </cell>
          <cell r="I461">
            <v>39253</v>
          </cell>
        </row>
        <row r="462">
          <cell r="A462" t="str">
            <v>2100</v>
          </cell>
          <cell r="I462">
            <v>39253</v>
          </cell>
        </row>
        <row r="463">
          <cell r="A463" t="str">
            <v>2100</v>
          </cell>
          <cell r="I463">
            <v>39259</v>
          </cell>
        </row>
        <row r="464">
          <cell r="A464" t="str">
            <v>2100</v>
          </cell>
          <cell r="I464">
            <v>39256</v>
          </cell>
        </row>
        <row r="465">
          <cell r="A465" t="str">
            <v>2100</v>
          </cell>
          <cell r="I465">
            <v>39259</v>
          </cell>
        </row>
        <row r="466">
          <cell r="A466" t="str">
            <v>2100</v>
          </cell>
          <cell r="I466">
            <v>39253</v>
          </cell>
        </row>
        <row r="467">
          <cell r="A467" t="str">
            <v>2100</v>
          </cell>
          <cell r="I467">
            <v>39247</v>
          </cell>
        </row>
        <row r="468">
          <cell r="A468" t="str">
            <v>2100</v>
          </cell>
          <cell r="I468">
            <v>39245</v>
          </cell>
        </row>
        <row r="469">
          <cell r="A469" t="str">
            <v>2100</v>
          </cell>
          <cell r="I469">
            <v>39245</v>
          </cell>
        </row>
        <row r="470">
          <cell r="A470" t="str">
            <v>2100</v>
          </cell>
          <cell r="I470">
            <v>39253</v>
          </cell>
        </row>
        <row r="471">
          <cell r="A471" t="str">
            <v>2100</v>
          </cell>
          <cell r="I471">
            <v>39253</v>
          </cell>
        </row>
        <row r="472">
          <cell r="A472" t="str">
            <v>2100</v>
          </cell>
          <cell r="I472">
            <v>39253</v>
          </cell>
        </row>
        <row r="473">
          <cell r="A473" t="str">
            <v>2100</v>
          </cell>
          <cell r="I473">
            <v>39260</v>
          </cell>
        </row>
        <row r="474">
          <cell r="A474" t="str">
            <v>2100</v>
          </cell>
          <cell r="I474">
            <v>39253</v>
          </cell>
        </row>
        <row r="475">
          <cell r="A475" t="str">
            <v>2100</v>
          </cell>
          <cell r="I475">
            <v>39253</v>
          </cell>
        </row>
        <row r="476">
          <cell r="A476" t="str">
            <v>2100</v>
          </cell>
          <cell r="I476">
            <v>39253</v>
          </cell>
        </row>
        <row r="477">
          <cell r="A477" t="str">
            <v>2100</v>
          </cell>
          <cell r="I477">
            <v>39246</v>
          </cell>
        </row>
        <row r="478">
          <cell r="A478" t="str">
            <v>2100</v>
          </cell>
          <cell r="I478">
            <v>39253</v>
          </cell>
        </row>
        <row r="479">
          <cell r="A479" t="str">
            <v>2100</v>
          </cell>
          <cell r="I479">
            <v>39253</v>
          </cell>
        </row>
        <row r="480">
          <cell r="A480" t="str">
            <v>2100</v>
          </cell>
          <cell r="I480">
            <v>39253</v>
          </cell>
        </row>
        <row r="481">
          <cell r="A481" t="str">
            <v>2100</v>
          </cell>
          <cell r="I481">
            <v>39253</v>
          </cell>
        </row>
        <row r="482">
          <cell r="A482" t="str">
            <v>2100</v>
          </cell>
          <cell r="I482">
            <v>39253</v>
          </cell>
        </row>
        <row r="483">
          <cell r="A483" t="str">
            <v>2100</v>
          </cell>
          <cell r="I483">
            <v>39253</v>
          </cell>
        </row>
        <row r="484">
          <cell r="A484" t="str">
            <v>2100</v>
          </cell>
          <cell r="I484">
            <v>39253</v>
          </cell>
        </row>
        <row r="485">
          <cell r="A485" t="str">
            <v>2100</v>
          </cell>
          <cell r="I485">
            <v>39253</v>
          </cell>
        </row>
        <row r="486">
          <cell r="A486" t="str">
            <v>2100</v>
          </cell>
          <cell r="I486">
            <v>39253</v>
          </cell>
        </row>
        <row r="487">
          <cell r="A487" t="str">
            <v>2100</v>
          </cell>
          <cell r="I487">
            <v>39253</v>
          </cell>
        </row>
        <row r="488">
          <cell r="A488" t="str">
            <v>2100</v>
          </cell>
          <cell r="I488">
            <v>39253</v>
          </cell>
        </row>
        <row r="489">
          <cell r="A489" t="str">
            <v>2100</v>
          </cell>
          <cell r="I489">
            <v>39253</v>
          </cell>
        </row>
        <row r="490">
          <cell r="A490" t="str">
            <v>2100</v>
          </cell>
          <cell r="I490">
            <v>39253</v>
          </cell>
        </row>
        <row r="491">
          <cell r="A491" t="str">
            <v>2100</v>
          </cell>
          <cell r="I491">
            <v>39253</v>
          </cell>
        </row>
        <row r="492">
          <cell r="A492" t="str">
            <v>2100</v>
          </cell>
          <cell r="I492">
            <v>39253</v>
          </cell>
        </row>
        <row r="493">
          <cell r="A493" t="str">
            <v>2100</v>
          </cell>
          <cell r="I493">
            <v>39253</v>
          </cell>
        </row>
        <row r="494">
          <cell r="A494" t="str">
            <v>2100</v>
          </cell>
          <cell r="I494">
            <v>39253</v>
          </cell>
        </row>
        <row r="495">
          <cell r="A495" t="str">
            <v>2100</v>
          </cell>
          <cell r="I495">
            <v>39253</v>
          </cell>
        </row>
        <row r="496">
          <cell r="A496" t="str">
            <v>2100</v>
          </cell>
          <cell r="I496">
            <v>39253</v>
          </cell>
        </row>
        <row r="497">
          <cell r="A497" t="str">
            <v>2100</v>
          </cell>
          <cell r="I497">
            <v>39247</v>
          </cell>
        </row>
        <row r="498">
          <cell r="A498" t="str">
            <v>2100</v>
          </cell>
          <cell r="I498">
            <v>39253</v>
          </cell>
        </row>
        <row r="499">
          <cell r="A499" t="str">
            <v>2100</v>
          </cell>
          <cell r="I499">
            <v>39258</v>
          </cell>
        </row>
        <row r="500">
          <cell r="A500" t="str">
            <v>2100</v>
          </cell>
          <cell r="I500">
            <v>39258</v>
          </cell>
        </row>
        <row r="501">
          <cell r="A501" t="str">
            <v>2100</v>
          </cell>
          <cell r="I501">
            <v>39253</v>
          </cell>
        </row>
        <row r="502">
          <cell r="A502" t="str">
            <v>2100</v>
          </cell>
          <cell r="I502">
            <v>39253</v>
          </cell>
        </row>
        <row r="503">
          <cell r="A503" t="str">
            <v>2100</v>
          </cell>
          <cell r="I503">
            <v>39253</v>
          </cell>
        </row>
        <row r="504">
          <cell r="A504" t="str">
            <v>2100</v>
          </cell>
          <cell r="I504">
            <v>39255</v>
          </cell>
        </row>
        <row r="505">
          <cell r="A505" t="str">
            <v>2100</v>
          </cell>
          <cell r="I505">
            <v>39255</v>
          </cell>
        </row>
        <row r="506">
          <cell r="A506" t="str">
            <v>2100</v>
          </cell>
          <cell r="I506">
            <v>39255</v>
          </cell>
        </row>
        <row r="507">
          <cell r="A507" t="str">
            <v>2100</v>
          </cell>
          <cell r="I507">
            <v>39255</v>
          </cell>
        </row>
        <row r="508">
          <cell r="A508" t="str">
            <v>2100</v>
          </cell>
          <cell r="I508">
            <v>39255</v>
          </cell>
        </row>
        <row r="509">
          <cell r="A509" t="str">
            <v>2100</v>
          </cell>
          <cell r="I509">
            <v>39253</v>
          </cell>
        </row>
        <row r="510">
          <cell r="A510" t="str">
            <v>2100</v>
          </cell>
          <cell r="I510">
            <v>39259</v>
          </cell>
        </row>
        <row r="511">
          <cell r="A511" t="str">
            <v>2100</v>
          </cell>
          <cell r="I511">
            <v>39256</v>
          </cell>
        </row>
        <row r="512">
          <cell r="A512" t="str">
            <v>2100</v>
          </cell>
          <cell r="I512">
            <v>39255</v>
          </cell>
        </row>
        <row r="513">
          <cell r="A513" t="str">
            <v>2100</v>
          </cell>
          <cell r="I513">
            <v>39253</v>
          </cell>
        </row>
        <row r="514">
          <cell r="A514" t="str">
            <v>2100</v>
          </cell>
          <cell r="I514">
            <v>39255</v>
          </cell>
        </row>
        <row r="515">
          <cell r="A515" t="str">
            <v>2100</v>
          </cell>
          <cell r="I515">
            <v>39258</v>
          </cell>
        </row>
        <row r="516">
          <cell r="A516" t="str">
            <v>2100</v>
          </cell>
          <cell r="I516">
            <v>39258</v>
          </cell>
        </row>
        <row r="517">
          <cell r="A517" t="str">
            <v>2100</v>
          </cell>
          <cell r="I517">
            <v>39259</v>
          </cell>
        </row>
        <row r="518">
          <cell r="A518" t="str">
            <v>2100</v>
          </cell>
          <cell r="I518">
            <v>39255</v>
          </cell>
        </row>
        <row r="519">
          <cell r="A519" t="str">
            <v>2100</v>
          </cell>
          <cell r="I519">
            <v>39260</v>
          </cell>
        </row>
        <row r="520">
          <cell r="A520" t="str">
            <v>2100</v>
          </cell>
          <cell r="I520">
            <v>39252</v>
          </cell>
        </row>
        <row r="521">
          <cell r="A521" t="str">
            <v>2100</v>
          </cell>
          <cell r="I521">
            <v>39261</v>
          </cell>
        </row>
        <row r="522">
          <cell r="A522" t="str">
            <v>2100</v>
          </cell>
          <cell r="I522">
            <v>39253</v>
          </cell>
        </row>
        <row r="523">
          <cell r="A523" t="str">
            <v>2100</v>
          </cell>
          <cell r="I523">
            <v>39253</v>
          </cell>
        </row>
        <row r="524">
          <cell r="A524" t="str">
            <v>2100</v>
          </cell>
          <cell r="I524">
            <v>39247</v>
          </cell>
        </row>
        <row r="525">
          <cell r="A525" t="str">
            <v>2100</v>
          </cell>
          <cell r="I525">
            <v>39253</v>
          </cell>
        </row>
        <row r="526">
          <cell r="A526" t="str">
            <v>2100</v>
          </cell>
          <cell r="I526">
            <v>39253</v>
          </cell>
        </row>
        <row r="527">
          <cell r="A527" t="str">
            <v>2100</v>
          </cell>
          <cell r="I527">
            <v>39253</v>
          </cell>
        </row>
        <row r="528">
          <cell r="A528" t="str">
            <v>2100</v>
          </cell>
          <cell r="I528">
            <v>39253</v>
          </cell>
        </row>
        <row r="529">
          <cell r="A529" t="str">
            <v>2100</v>
          </cell>
          <cell r="I529">
            <v>39253</v>
          </cell>
        </row>
        <row r="530">
          <cell r="A530" t="str">
            <v>2100</v>
          </cell>
          <cell r="I530">
            <v>39253</v>
          </cell>
        </row>
        <row r="531">
          <cell r="A531" t="str">
            <v>2100</v>
          </cell>
          <cell r="I531">
            <v>39258</v>
          </cell>
        </row>
        <row r="532">
          <cell r="A532" t="str">
            <v>2100</v>
          </cell>
          <cell r="I532">
            <v>39258</v>
          </cell>
        </row>
        <row r="533">
          <cell r="A533" t="str">
            <v>2100</v>
          </cell>
          <cell r="I533">
            <v>39259</v>
          </cell>
        </row>
        <row r="534">
          <cell r="A534" t="str">
            <v>2100</v>
          </cell>
          <cell r="I534">
            <v>39251</v>
          </cell>
        </row>
        <row r="535">
          <cell r="A535" t="str">
            <v>2100</v>
          </cell>
          <cell r="I535">
            <v>39251</v>
          </cell>
        </row>
        <row r="536">
          <cell r="A536" t="str">
            <v>2100</v>
          </cell>
          <cell r="I536">
            <v>39260</v>
          </cell>
        </row>
        <row r="537">
          <cell r="A537" t="str">
            <v>2100</v>
          </cell>
          <cell r="I537">
            <v>39252</v>
          </cell>
        </row>
        <row r="538">
          <cell r="A538" t="str">
            <v>2100</v>
          </cell>
          <cell r="I538">
            <v>39252</v>
          </cell>
        </row>
        <row r="539">
          <cell r="A539" t="str">
            <v>2100</v>
          </cell>
          <cell r="I539">
            <v>39252</v>
          </cell>
        </row>
        <row r="540">
          <cell r="A540" t="str">
            <v>2100</v>
          </cell>
          <cell r="I540">
            <v>39252</v>
          </cell>
        </row>
        <row r="541">
          <cell r="A541" t="str">
            <v>2100</v>
          </cell>
          <cell r="I541">
            <v>39252</v>
          </cell>
        </row>
        <row r="542">
          <cell r="A542" t="str">
            <v>2100</v>
          </cell>
          <cell r="I542">
            <v>39252</v>
          </cell>
        </row>
        <row r="543">
          <cell r="A543" t="str">
            <v>2100</v>
          </cell>
          <cell r="I543">
            <v>39252</v>
          </cell>
        </row>
        <row r="544">
          <cell r="A544" t="str">
            <v>2100</v>
          </cell>
          <cell r="I544">
            <v>39252</v>
          </cell>
        </row>
        <row r="545">
          <cell r="A545" t="str">
            <v>2100</v>
          </cell>
          <cell r="I545">
            <v>39255</v>
          </cell>
        </row>
        <row r="546">
          <cell r="A546" t="str">
            <v>2100</v>
          </cell>
          <cell r="I546">
            <v>39245</v>
          </cell>
        </row>
        <row r="547">
          <cell r="A547" t="str">
            <v>2100</v>
          </cell>
          <cell r="I547">
            <v>39251</v>
          </cell>
        </row>
        <row r="548">
          <cell r="A548" t="str">
            <v>2100</v>
          </cell>
          <cell r="I548">
            <v>39248</v>
          </cell>
        </row>
        <row r="549">
          <cell r="A549" t="str">
            <v>2100</v>
          </cell>
          <cell r="I549">
            <v>39248</v>
          </cell>
        </row>
        <row r="550">
          <cell r="A550" t="str">
            <v>2100</v>
          </cell>
          <cell r="I550">
            <v>39248</v>
          </cell>
        </row>
        <row r="551">
          <cell r="A551" t="str">
            <v>2100</v>
          </cell>
          <cell r="I551">
            <v>39253</v>
          </cell>
        </row>
        <row r="552">
          <cell r="A552" t="str">
            <v>2100</v>
          </cell>
          <cell r="I552">
            <v>39253</v>
          </cell>
        </row>
        <row r="553">
          <cell r="A553" t="str">
            <v>2100</v>
          </cell>
          <cell r="I553">
            <v>39259</v>
          </cell>
        </row>
        <row r="554">
          <cell r="A554" t="str">
            <v>2100</v>
          </cell>
          <cell r="I554">
            <v>39251</v>
          </cell>
        </row>
        <row r="555">
          <cell r="A555" t="str">
            <v>2100</v>
          </cell>
          <cell r="I555">
            <v>39252</v>
          </cell>
        </row>
        <row r="556">
          <cell r="A556" t="str">
            <v>2100</v>
          </cell>
          <cell r="I556">
            <v>39254</v>
          </cell>
        </row>
        <row r="557">
          <cell r="A557" t="str">
            <v>2100</v>
          </cell>
          <cell r="I557">
            <v>39259</v>
          </cell>
        </row>
        <row r="558">
          <cell r="A558" t="str">
            <v>2100</v>
          </cell>
          <cell r="I558">
            <v>39259</v>
          </cell>
        </row>
        <row r="559">
          <cell r="A559" t="str">
            <v>2100</v>
          </cell>
          <cell r="I559">
            <v>39256</v>
          </cell>
        </row>
        <row r="560">
          <cell r="A560" t="str">
            <v>2100</v>
          </cell>
          <cell r="I560">
            <v>39259</v>
          </cell>
        </row>
        <row r="561">
          <cell r="A561" t="str">
            <v>2100</v>
          </cell>
          <cell r="I561">
            <v>39259</v>
          </cell>
        </row>
        <row r="562">
          <cell r="A562" t="str">
            <v>2100</v>
          </cell>
          <cell r="I562">
            <v>39248</v>
          </cell>
        </row>
        <row r="563">
          <cell r="A563" t="str">
            <v>2100</v>
          </cell>
          <cell r="I563">
            <v>39253</v>
          </cell>
        </row>
        <row r="564">
          <cell r="A564" t="str">
            <v>2100</v>
          </cell>
          <cell r="I564">
            <v>39253</v>
          </cell>
        </row>
        <row r="565">
          <cell r="A565" t="str">
            <v>2100</v>
          </cell>
          <cell r="I565">
            <v>39253</v>
          </cell>
        </row>
        <row r="566">
          <cell r="A566" t="str">
            <v>2100</v>
          </cell>
          <cell r="I566">
            <v>39259</v>
          </cell>
        </row>
        <row r="567">
          <cell r="A567" t="str">
            <v>2100</v>
          </cell>
          <cell r="I567">
            <v>39259</v>
          </cell>
        </row>
        <row r="568">
          <cell r="A568" t="str">
            <v>2100</v>
          </cell>
          <cell r="I568">
            <v>39259</v>
          </cell>
        </row>
        <row r="569">
          <cell r="A569" t="str">
            <v>2100</v>
          </cell>
          <cell r="I569">
            <v>39253</v>
          </cell>
        </row>
        <row r="570">
          <cell r="A570" t="str">
            <v>2100</v>
          </cell>
          <cell r="I570">
            <v>39253</v>
          </cell>
        </row>
        <row r="571">
          <cell r="A571" t="str">
            <v>2100</v>
          </cell>
          <cell r="I571">
            <v>39253</v>
          </cell>
        </row>
        <row r="572">
          <cell r="A572" t="str">
            <v>2100</v>
          </cell>
          <cell r="I572">
            <v>39253</v>
          </cell>
        </row>
        <row r="573">
          <cell r="A573" t="str">
            <v>2100</v>
          </cell>
          <cell r="I573">
            <v>39255</v>
          </cell>
        </row>
        <row r="574">
          <cell r="A574" t="str">
            <v>2100</v>
          </cell>
          <cell r="I574">
            <v>39253</v>
          </cell>
        </row>
        <row r="575">
          <cell r="A575" t="str">
            <v>2100</v>
          </cell>
          <cell r="I575">
            <v>39253</v>
          </cell>
        </row>
        <row r="576">
          <cell r="A576" t="str">
            <v>2100</v>
          </cell>
          <cell r="I576">
            <v>39253</v>
          </cell>
        </row>
        <row r="577">
          <cell r="A577" t="str">
            <v>2100</v>
          </cell>
          <cell r="I577">
            <v>39253</v>
          </cell>
        </row>
        <row r="578">
          <cell r="A578" t="str">
            <v>2100</v>
          </cell>
          <cell r="I578">
            <v>39253</v>
          </cell>
        </row>
        <row r="579">
          <cell r="A579" t="str">
            <v>2100</v>
          </cell>
          <cell r="I579">
            <v>39253</v>
          </cell>
        </row>
        <row r="580">
          <cell r="A580" t="str">
            <v>2100</v>
          </cell>
          <cell r="I580">
            <v>39253</v>
          </cell>
        </row>
        <row r="581">
          <cell r="A581" t="str">
            <v>2100</v>
          </cell>
          <cell r="I581">
            <v>39253</v>
          </cell>
        </row>
        <row r="582">
          <cell r="A582" t="str">
            <v>2100</v>
          </cell>
          <cell r="I582">
            <v>39253</v>
          </cell>
        </row>
        <row r="583">
          <cell r="A583" t="str">
            <v>2100</v>
          </cell>
          <cell r="I583">
            <v>39253</v>
          </cell>
        </row>
        <row r="584">
          <cell r="A584" t="str">
            <v>2100</v>
          </cell>
          <cell r="I584">
            <v>39253</v>
          </cell>
        </row>
        <row r="585">
          <cell r="A585" t="str">
            <v>2100</v>
          </cell>
          <cell r="I585">
            <v>39253</v>
          </cell>
        </row>
        <row r="586">
          <cell r="A586" t="str">
            <v>2100</v>
          </cell>
          <cell r="I586">
            <v>39258</v>
          </cell>
        </row>
        <row r="587">
          <cell r="A587" t="str">
            <v>2100</v>
          </cell>
          <cell r="I587">
            <v>39258</v>
          </cell>
        </row>
        <row r="588">
          <cell r="A588" t="str">
            <v>2100</v>
          </cell>
          <cell r="I588">
            <v>39253</v>
          </cell>
        </row>
        <row r="589">
          <cell r="A589" t="str">
            <v>2100</v>
          </cell>
          <cell r="I589">
            <v>39253</v>
          </cell>
        </row>
        <row r="590">
          <cell r="A590" t="str">
            <v>2100</v>
          </cell>
          <cell r="I590">
            <v>39253</v>
          </cell>
        </row>
        <row r="591">
          <cell r="A591" t="str">
            <v>2100</v>
          </cell>
          <cell r="I591">
            <v>39258</v>
          </cell>
        </row>
        <row r="592">
          <cell r="A592" t="str">
            <v>2100</v>
          </cell>
          <cell r="I592">
            <v>39253</v>
          </cell>
        </row>
        <row r="593">
          <cell r="A593" t="str">
            <v>2100</v>
          </cell>
          <cell r="I593">
            <v>39253</v>
          </cell>
        </row>
        <row r="594">
          <cell r="A594" t="str">
            <v>2100</v>
          </cell>
          <cell r="I594">
            <v>39256</v>
          </cell>
        </row>
        <row r="595">
          <cell r="A595" t="str">
            <v>2100</v>
          </cell>
          <cell r="I595">
            <v>39259</v>
          </cell>
        </row>
        <row r="596">
          <cell r="A596" t="str">
            <v>2100</v>
          </cell>
          <cell r="I596">
            <v>39248</v>
          </cell>
        </row>
        <row r="597">
          <cell r="A597" t="str">
            <v>2100</v>
          </cell>
          <cell r="I597">
            <v>39248</v>
          </cell>
        </row>
        <row r="598">
          <cell r="A598" t="str">
            <v>2100</v>
          </cell>
          <cell r="I598">
            <v>39248</v>
          </cell>
        </row>
        <row r="599">
          <cell r="A599" t="str">
            <v>2100</v>
          </cell>
          <cell r="I599">
            <v>39248</v>
          </cell>
        </row>
        <row r="600">
          <cell r="A600" t="str">
            <v>2100</v>
          </cell>
          <cell r="I600">
            <v>39248</v>
          </cell>
        </row>
        <row r="601">
          <cell r="A601" t="str">
            <v>2100</v>
          </cell>
          <cell r="I601">
            <v>39256</v>
          </cell>
        </row>
        <row r="602">
          <cell r="A602" t="str">
            <v>2100</v>
          </cell>
          <cell r="I602">
            <v>39251</v>
          </cell>
        </row>
        <row r="603">
          <cell r="A603" t="str">
            <v>2100</v>
          </cell>
          <cell r="I603">
            <v>39248</v>
          </cell>
        </row>
        <row r="604">
          <cell r="A604" t="str">
            <v>2100</v>
          </cell>
          <cell r="I604">
            <v>39248</v>
          </cell>
        </row>
        <row r="605">
          <cell r="A605" t="str">
            <v>2100</v>
          </cell>
          <cell r="I605">
            <v>39256</v>
          </cell>
        </row>
        <row r="606">
          <cell r="A606" t="str">
            <v>2100</v>
          </cell>
          <cell r="I606">
            <v>39256</v>
          </cell>
        </row>
        <row r="607">
          <cell r="A607" t="str">
            <v>2100</v>
          </cell>
          <cell r="I607">
            <v>39256</v>
          </cell>
        </row>
        <row r="608">
          <cell r="A608" t="str">
            <v>2100</v>
          </cell>
          <cell r="I608">
            <v>39256</v>
          </cell>
        </row>
        <row r="609">
          <cell r="A609" t="str">
            <v>2100</v>
          </cell>
          <cell r="I609">
            <v>39256</v>
          </cell>
        </row>
        <row r="610">
          <cell r="A610" t="str">
            <v>2100</v>
          </cell>
          <cell r="I610">
            <v>39251</v>
          </cell>
        </row>
        <row r="611">
          <cell r="A611" t="str">
            <v>2100</v>
          </cell>
          <cell r="I611">
            <v>39251</v>
          </cell>
        </row>
        <row r="612">
          <cell r="A612" t="str">
            <v>2100</v>
          </cell>
          <cell r="I612">
            <v>39251</v>
          </cell>
        </row>
        <row r="613">
          <cell r="A613" t="str">
            <v>2100</v>
          </cell>
          <cell r="I613">
            <v>39251</v>
          </cell>
        </row>
        <row r="614">
          <cell r="A614" t="str">
            <v>2100</v>
          </cell>
          <cell r="I614">
            <v>39251</v>
          </cell>
        </row>
        <row r="615">
          <cell r="A615" t="str">
            <v>2100</v>
          </cell>
          <cell r="I615">
            <v>39258</v>
          </cell>
        </row>
        <row r="616">
          <cell r="A616" t="str">
            <v>2100</v>
          </cell>
          <cell r="I616">
            <v>39251</v>
          </cell>
        </row>
        <row r="617">
          <cell r="A617" t="str">
            <v>2100</v>
          </cell>
          <cell r="I617">
            <v>39259</v>
          </cell>
        </row>
        <row r="618">
          <cell r="A618" t="str">
            <v>2100</v>
          </cell>
          <cell r="I618">
            <v>39259</v>
          </cell>
        </row>
        <row r="619">
          <cell r="A619" t="str">
            <v>2100</v>
          </cell>
          <cell r="I619">
            <v>39259</v>
          </cell>
        </row>
        <row r="620">
          <cell r="A620" t="str">
            <v>2100</v>
          </cell>
          <cell r="I620">
            <v>39259</v>
          </cell>
        </row>
        <row r="621">
          <cell r="A621" t="str">
            <v>2100</v>
          </cell>
          <cell r="I621">
            <v>39259</v>
          </cell>
        </row>
        <row r="622">
          <cell r="A622" t="str">
            <v>2100</v>
          </cell>
          <cell r="I622">
            <v>39259</v>
          </cell>
        </row>
        <row r="623">
          <cell r="A623" t="str">
            <v>2100</v>
          </cell>
          <cell r="I623">
            <v>39259</v>
          </cell>
        </row>
        <row r="624">
          <cell r="A624" t="str">
            <v>2100</v>
          </cell>
          <cell r="I624">
            <v>39259</v>
          </cell>
        </row>
        <row r="625">
          <cell r="A625" t="str">
            <v>2100</v>
          </cell>
          <cell r="I625">
            <v>39259</v>
          </cell>
        </row>
        <row r="626">
          <cell r="A626" t="str">
            <v>2100</v>
          </cell>
          <cell r="I626">
            <v>39251</v>
          </cell>
        </row>
        <row r="627">
          <cell r="A627" t="str">
            <v>2100</v>
          </cell>
          <cell r="I627">
            <v>39259</v>
          </cell>
        </row>
        <row r="628">
          <cell r="A628" t="str">
            <v>2100</v>
          </cell>
          <cell r="I628">
            <v>39256</v>
          </cell>
        </row>
        <row r="629">
          <cell r="A629" t="str">
            <v>2100</v>
          </cell>
          <cell r="I629">
            <v>39251</v>
          </cell>
        </row>
        <row r="630">
          <cell r="A630" t="str">
            <v>2100</v>
          </cell>
          <cell r="I630">
            <v>39251</v>
          </cell>
        </row>
        <row r="631">
          <cell r="A631" t="str">
            <v>2100</v>
          </cell>
          <cell r="I631">
            <v>39259</v>
          </cell>
        </row>
        <row r="632">
          <cell r="A632" t="str">
            <v>2100</v>
          </cell>
          <cell r="I632">
            <v>39259</v>
          </cell>
        </row>
        <row r="633">
          <cell r="A633" t="str">
            <v>2100</v>
          </cell>
          <cell r="I633">
            <v>39256</v>
          </cell>
        </row>
        <row r="634">
          <cell r="A634" t="str">
            <v>2100</v>
          </cell>
          <cell r="I634">
            <v>39256</v>
          </cell>
        </row>
        <row r="635">
          <cell r="A635" t="str">
            <v>2100</v>
          </cell>
          <cell r="I635">
            <v>39251</v>
          </cell>
        </row>
        <row r="636">
          <cell r="A636" t="str">
            <v>2100</v>
          </cell>
          <cell r="I636">
            <v>39251</v>
          </cell>
        </row>
        <row r="637">
          <cell r="A637" t="str">
            <v>2100</v>
          </cell>
          <cell r="I637">
            <v>39251</v>
          </cell>
        </row>
        <row r="638">
          <cell r="A638" t="str">
            <v>2100</v>
          </cell>
          <cell r="I638">
            <v>39251</v>
          </cell>
        </row>
        <row r="639">
          <cell r="A639" t="str">
            <v>2100</v>
          </cell>
          <cell r="I639">
            <v>39251</v>
          </cell>
        </row>
        <row r="640">
          <cell r="A640" t="str">
            <v>2100</v>
          </cell>
          <cell r="I640">
            <v>39251</v>
          </cell>
        </row>
        <row r="641">
          <cell r="A641" t="str">
            <v>2100</v>
          </cell>
          <cell r="I641">
            <v>39256</v>
          </cell>
        </row>
        <row r="642">
          <cell r="A642" t="str">
            <v>2100</v>
          </cell>
          <cell r="I642">
            <v>39251</v>
          </cell>
        </row>
        <row r="643">
          <cell r="A643" t="str">
            <v>2100</v>
          </cell>
          <cell r="I643">
            <v>39259</v>
          </cell>
        </row>
        <row r="644">
          <cell r="A644" t="str">
            <v>2100</v>
          </cell>
          <cell r="I644">
            <v>39248</v>
          </cell>
        </row>
        <row r="645">
          <cell r="A645" t="str">
            <v>2100</v>
          </cell>
          <cell r="I645">
            <v>39259</v>
          </cell>
        </row>
        <row r="646">
          <cell r="A646" t="str">
            <v>2100</v>
          </cell>
          <cell r="I646">
            <v>39259</v>
          </cell>
        </row>
        <row r="647">
          <cell r="A647" t="str">
            <v>2100</v>
          </cell>
          <cell r="I647">
            <v>39256</v>
          </cell>
        </row>
        <row r="648">
          <cell r="A648" t="str">
            <v>2100</v>
          </cell>
          <cell r="I648">
            <v>39256</v>
          </cell>
        </row>
        <row r="649">
          <cell r="A649" t="str">
            <v>2100</v>
          </cell>
          <cell r="I649">
            <v>39256</v>
          </cell>
        </row>
        <row r="650">
          <cell r="A650" t="str">
            <v>2100</v>
          </cell>
          <cell r="I650">
            <v>39248</v>
          </cell>
        </row>
        <row r="651">
          <cell r="A651" t="str">
            <v>2100</v>
          </cell>
          <cell r="I651">
            <v>39253</v>
          </cell>
        </row>
        <row r="652">
          <cell r="A652" t="str">
            <v>2100</v>
          </cell>
          <cell r="I652">
            <v>39253</v>
          </cell>
        </row>
        <row r="653">
          <cell r="A653" t="str">
            <v>2100</v>
          </cell>
          <cell r="I653">
            <v>39259</v>
          </cell>
        </row>
        <row r="654">
          <cell r="A654" t="str">
            <v>2100</v>
          </cell>
          <cell r="I654">
            <v>39258</v>
          </cell>
        </row>
        <row r="655">
          <cell r="A655" t="str">
            <v>2100</v>
          </cell>
          <cell r="I655">
            <v>39258</v>
          </cell>
        </row>
        <row r="656">
          <cell r="A656" t="str">
            <v>2100</v>
          </cell>
          <cell r="I656">
            <v>39255</v>
          </cell>
        </row>
        <row r="657">
          <cell r="A657" t="str">
            <v>2100</v>
          </cell>
          <cell r="I657">
            <v>39260</v>
          </cell>
        </row>
      </sheetData>
      <sheetData sheetId="2" refreshError="1"/>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General"/>
      <sheetName val="PART-1"/>
      <sheetName val="PART-2"/>
      <sheetName val="PART-3"/>
      <sheetName val="PART-4"/>
      <sheetName val="PART-5"/>
      <sheetName val="PART-6"/>
      <sheetName val="PART-7"/>
      <sheetName val="PART-8"/>
      <sheetName val="PART-9"/>
      <sheetName val="PART-10"/>
      <sheetName val="PART-11"/>
      <sheetName val="PART-12"/>
      <sheetName val="PART-13"/>
      <sheetName val="PART-14"/>
      <sheetName val="PART-15"/>
      <sheetName val="PART-16"/>
      <sheetName val="ANNEX1"/>
      <sheetName val="ANNEX2"/>
      <sheetName val="ANNEX3"/>
      <sheetName val="ANNEX4"/>
      <sheetName val="ANNEX5"/>
    </sheetNames>
    <sheetDataSet>
      <sheetData sheetId="0" refreshError="1"/>
      <sheetData sheetId="1"/>
      <sheetData sheetId="2">
        <row r="5">
          <cell r="B5">
            <v>0</v>
          </cell>
        </row>
        <row r="6">
          <cell r="B6">
            <v>0</v>
          </cell>
        </row>
        <row r="7">
          <cell r="B7">
            <v>0</v>
          </cell>
        </row>
        <row r="8">
          <cell r="B8">
            <v>0</v>
          </cell>
        </row>
        <row r="9">
          <cell r="B9">
            <v>0</v>
          </cell>
        </row>
        <row r="11">
          <cell r="B11">
            <v>0</v>
          </cell>
        </row>
        <row r="12">
          <cell r="B12">
            <v>0</v>
          </cell>
        </row>
        <row r="13">
          <cell r="B13">
            <v>0</v>
          </cell>
        </row>
        <row r="14">
          <cell r="B14">
            <v>0</v>
          </cell>
        </row>
        <row r="15">
          <cell r="B15">
            <v>0</v>
          </cell>
        </row>
        <row r="16">
          <cell r="B16">
            <v>0</v>
          </cell>
        </row>
        <row r="17">
          <cell r="B17">
            <v>0</v>
          </cell>
        </row>
        <row r="18">
          <cell r="B18">
            <v>0</v>
          </cell>
        </row>
        <row r="19">
          <cell r="B19">
            <v>0</v>
          </cell>
        </row>
        <row r="20">
          <cell r="B20">
            <v>0</v>
          </cell>
        </row>
        <row r="21">
          <cell r="B21">
            <v>0</v>
          </cell>
        </row>
        <row r="22">
          <cell r="B22">
            <v>0</v>
          </cell>
        </row>
        <row r="24">
          <cell r="B24">
            <v>0</v>
          </cell>
        </row>
        <row r="25">
          <cell r="B25">
            <v>0</v>
          </cell>
        </row>
        <row r="26">
          <cell r="B26">
            <v>0</v>
          </cell>
        </row>
        <row r="27">
          <cell r="B27">
            <v>0</v>
          </cell>
        </row>
        <row r="28">
          <cell r="B28">
            <v>0</v>
          </cell>
        </row>
        <row r="29">
          <cell r="B29">
            <v>0</v>
          </cell>
        </row>
        <row r="30">
          <cell r="B30">
            <v>0</v>
          </cell>
        </row>
        <row r="31">
          <cell r="B31">
            <v>0</v>
          </cell>
        </row>
        <row r="32">
          <cell r="B32">
            <v>0</v>
          </cell>
        </row>
        <row r="33">
          <cell r="B33">
            <v>0</v>
          </cell>
        </row>
        <row r="34">
          <cell r="B34">
            <v>0</v>
          </cell>
        </row>
        <row r="35">
          <cell r="B35">
            <v>0</v>
          </cell>
        </row>
        <row r="36">
          <cell r="B36">
            <v>0</v>
          </cell>
        </row>
        <row r="37">
          <cell r="B37">
            <v>0</v>
          </cell>
        </row>
        <row r="38">
          <cell r="B38">
            <v>0</v>
          </cell>
        </row>
        <row r="39">
          <cell r="B39">
            <v>0</v>
          </cell>
        </row>
        <row r="40">
          <cell r="B40">
            <v>0</v>
          </cell>
        </row>
        <row r="41">
          <cell r="B41">
            <v>0</v>
          </cell>
        </row>
        <row r="42">
          <cell r="B42">
            <v>0</v>
          </cell>
        </row>
        <row r="44">
          <cell r="B44">
            <v>0</v>
          </cell>
        </row>
        <row r="45">
          <cell r="B45">
            <v>0</v>
          </cell>
        </row>
        <row r="46">
          <cell r="B46">
            <v>0</v>
          </cell>
        </row>
        <row r="47">
          <cell r="B47">
            <v>0</v>
          </cell>
        </row>
        <row r="48">
          <cell r="B48">
            <v>0</v>
          </cell>
        </row>
        <row r="49">
          <cell r="B49">
            <v>0</v>
          </cell>
        </row>
        <row r="50">
          <cell r="B50">
            <v>0</v>
          </cell>
        </row>
        <row r="51">
          <cell r="B51">
            <v>0</v>
          </cell>
        </row>
        <row r="52">
          <cell r="B52">
            <v>0</v>
          </cell>
        </row>
        <row r="53">
          <cell r="B53">
            <v>0</v>
          </cell>
        </row>
        <row r="54">
          <cell r="B54">
            <v>0</v>
          </cell>
        </row>
        <row r="55">
          <cell r="B55">
            <v>0</v>
          </cell>
        </row>
        <row r="56">
          <cell r="B56">
            <v>0</v>
          </cell>
        </row>
        <row r="57">
          <cell r="B57">
            <v>0</v>
          </cell>
        </row>
        <row r="58">
          <cell r="B58">
            <v>0</v>
          </cell>
        </row>
        <row r="59">
          <cell r="B59">
            <v>0</v>
          </cell>
        </row>
        <row r="60">
          <cell r="B60">
            <v>0</v>
          </cell>
        </row>
        <row r="61">
          <cell r="B61">
            <v>0</v>
          </cell>
        </row>
        <row r="62">
          <cell r="B62">
            <v>0</v>
          </cell>
        </row>
        <row r="63">
          <cell r="B63">
            <v>0</v>
          </cell>
        </row>
        <row r="64">
          <cell r="B64">
            <v>0</v>
          </cell>
        </row>
        <row r="65">
          <cell r="B65">
            <v>0</v>
          </cell>
        </row>
        <row r="66">
          <cell r="B66">
            <v>0</v>
          </cell>
        </row>
        <row r="67">
          <cell r="B67">
            <v>0</v>
          </cell>
        </row>
        <row r="68">
          <cell r="B68">
            <v>0</v>
          </cell>
        </row>
        <row r="69">
          <cell r="B69">
            <v>0</v>
          </cell>
        </row>
        <row r="70">
          <cell r="B70">
            <v>0</v>
          </cell>
        </row>
        <row r="71">
          <cell r="B71">
            <v>0</v>
          </cell>
        </row>
        <row r="73">
          <cell r="B73">
            <v>0</v>
          </cell>
        </row>
        <row r="74">
          <cell r="B74">
            <v>0</v>
          </cell>
        </row>
        <row r="75">
          <cell r="B75">
            <v>0</v>
          </cell>
        </row>
        <row r="76">
          <cell r="B76">
            <v>0</v>
          </cell>
        </row>
        <row r="77">
          <cell r="B77">
            <v>0</v>
          </cell>
        </row>
        <row r="78">
          <cell r="B78">
            <v>0</v>
          </cell>
        </row>
        <row r="80">
          <cell r="B80">
            <v>0</v>
          </cell>
        </row>
        <row r="81">
          <cell r="B81">
            <v>0</v>
          </cell>
        </row>
        <row r="82">
          <cell r="B82">
            <v>0</v>
          </cell>
        </row>
        <row r="83">
          <cell r="B83">
            <v>0</v>
          </cell>
        </row>
        <row r="84">
          <cell r="B84">
            <v>0</v>
          </cell>
        </row>
        <row r="85">
          <cell r="B85">
            <v>0</v>
          </cell>
        </row>
        <row r="86">
          <cell r="B86">
            <v>0</v>
          </cell>
        </row>
        <row r="87">
          <cell r="B87">
            <v>0</v>
          </cell>
        </row>
        <row r="88">
          <cell r="B88">
            <v>0</v>
          </cell>
        </row>
        <row r="89">
          <cell r="B89">
            <v>0</v>
          </cell>
        </row>
      </sheetData>
      <sheetData sheetId="3">
        <row r="4">
          <cell r="B4">
            <v>0</v>
          </cell>
        </row>
        <row r="5">
          <cell r="B5">
            <v>0</v>
          </cell>
        </row>
        <row r="6">
          <cell r="B6">
            <v>0</v>
          </cell>
        </row>
        <row r="8">
          <cell r="B8">
            <v>0</v>
          </cell>
        </row>
        <row r="9">
          <cell r="B9">
            <v>0</v>
          </cell>
        </row>
        <row r="10">
          <cell r="B10">
            <v>0</v>
          </cell>
        </row>
        <row r="11">
          <cell r="B11">
            <v>0</v>
          </cell>
        </row>
        <row r="12">
          <cell r="B12">
            <v>0</v>
          </cell>
        </row>
        <row r="14">
          <cell r="B14">
            <v>0</v>
          </cell>
        </row>
        <row r="15">
          <cell r="B15">
            <v>0</v>
          </cell>
        </row>
        <row r="17">
          <cell r="B17">
            <v>0</v>
          </cell>
        </row>
        <row r="18">
          <cell r="B18">
            <v>0</v>
          </cell>
        </row>
        <row r="19">
          <cell r="B19">
            <v>0</v>
          </cell>
        </row>
        <row r="20">
          <cell r="B20">
            <v>0</v>
          </cell>
        </row>
        <row r="21">
          <cell r="B21">
            <v>0</v>
          </cell>
        </row>
        <row r="22">
          <cell r="B22">
            <v>0</v>
          </cell>
        </row>
        <row r="23">
          <cell r="B23">
            <v>0</v>
          </cell>
        </row>
        <row r="25">
          <cell r="B25">
            <v>0</v>
          </cell>
        </row>
        <row r="26">
          <cell r="B26">
            <v>0</v>
          </cell>
        </row>
        <row r="27">
          <cell r="B27">
            <v>0</v>
          </cell>
        </row>
        <row r="28">
          <cell r="B28">
            <v>0</v>
          </cell>
        </row>
        <row r="29">
          <cell r="B29">
            <v>0</v>
          </cell>
        </row>
        <row r="30">
          <cell r="B30">
            <v>0</v>
          </cell>
        </row>
        <row r="31">
          <cell r="B31">
            <v>0</v>
          </cell>
        </row>
        <row r="32">
          <cell r="B32">
            <v>0</v>
          </cell>
        </row>
        <row r="33">
          <cell r="B33">
            <v>0</v>
          </cell>
        </row>
        <row r="34">
          <cell r="B34">
            <v>0</v>
          </cell>
        </row>
        <row r="35">
          <cell r="B35">
            <v>0</v>
          </cell>
        </row>
        <row r="37">
          <cell r="B37">
            <v>0</v>
          </cell>
        </row>
        <row r="38">
          <cell r="B38">
            <v>0</v>
          </cell>
        </row>
        <row r="39">
          <cell r="B39">
            <v>0</v>
          </cell>
        </row>
        <row r="40">
          <cell r="B40">
            <v>0</v>
          </cell>
        </row>
        <row r="41">
          <cell r="B41">
            <v>0</v>
          </cell>
        </row>
        <row r="42">
          <cell r="B42">
            <v>0</v>
          </cell>
        </row>
        <row r="43">
          <cell r="B43">
            <v>0</v>
          </cell>
        </row>
        <row r="44">
          <cell r="B44">
            <v>0</v>
          </cell>
        </row>
        <row r="45">
          <cell r="B45">
            <v>0</v>
          </cell>
        </row>
        <row r="46">
          <cell r="B46">
            <v>0</v>
          </cell>
        </row>
        <row r="47">
          <cell r="B47">
            <v>0</v>
          </cell>
        </row>
        <row r="48">
          <cell r="B48">
            <v>0</v>
          </cell>
        </row>
        <row r="50">
          <cell r="B50">
            <v>0</v>
          </cell>
        </row>
        <row r="51">
          <cell r="B51">
            <v>0</v>
          </cell>
        </row>
        <row r="52">
          <cell r="B52">
            <v>0</v>
          </cell>
        </row>
        <row r="53">
          <cell r="B53">
            <v>0</v>
          </cell>
        </row>
        <row r="55">
          <cell r="B55">
            <v>0</v>
          </cell>
        </row>
      </sheetData>
      <sheetData sheetId="4">
        <row r="17">
          <cell r="E17">
            <v>0</v>
          </cell>
        </row>
        <row r="44">
          <cell r="E44">
            <v>0</v>
          </cell>
        </row>
        <row r="50">
          <cell r="E50">
            <v>0</v>
          </cell>
        </row>
        <row r="51">
          <cell r="E51">
            <v>0</v>
          </cell>
        </row>
      </sheetData>
      <sheetData sheetId="5">
        <row r="6">
          <cell r="B6">
            <v>0</v>
          </cell>
          <cell r="E6">
            <v>0</v>
          </cell>
          <cell r="H6">
            <v>0</v>
          </cell>
        </row>
        <row r="8">
          <cell r="B8">
            <v>0</v>
          </cell>
          <cell r="E8">
            <v>0</v>
          </cell>
          <cell r="H8">
            <v>0</v>
          </cell>
        </row>
        <row r="9">
          <cell r="B9">
            <v>0</v>
          </cell>
          <cell r="E9">
            <v>0</v>
          </cell>
          <cell r="H9">
            <v>0</v>
          </cell>
        </row>
        <row r="10">
          <cell r="B10">
            <v>0</v>
          </cell>
          <cell r="E10">
            <v>0</v>
          </cell>
          <cell r="H10">
            <v>0</v>
          </cell>
        </row>
        <row r="11">
          <cell r="B11">
            <v>0</v>
          </cell>
          <cell r="E11">
            <v>0</v>
          </cell>
          <cell r="H11">
            <v>0</v>
          </cell>
        </row>
        <row r="12">
          <cell r="B12">
            <v>0</v>
          </cell>
        </row>
      </sheetData>
      <sheetData sheetId="6">
        <row r="6">
          <cell r="C6">
            <v>0</v>
          </cell>
          <cell r="F6">
            <v>0</v>
          </cell>
          <cell r="I6">
            <v>0</v>
          </cell>
          <cell r="L6">
            <v>0</v>
          </cell>
          <cell r="O6">
            <v>0</v>
          </cell>
          <cell r="R6">
            <v>0</v>
          </cell>
        </row>
        <row r="7">
          <cell r="C7">
            <v>0</v>
          </cell>
          <cell r="F7">
            <v>0</v>
          </cell>
          <cell r="I7">
            <v>0</v>
          </cell>
          <cell r="L7">
            <v>0</v>
          </cell>
          <cell r="O7">
            <v>0</v>
          </cell>
          <cell r="R7">
            <v>0</v>
          </cell>
        </row>
        <row r="8">
          <cell r="C8">
            <v>0</v>
          </cell>
          <cell r="F8">
            <v>0</v>
          </cell>
          <cell r="I8">
            <v>0</v>
          </cell>
          <cell r="L8">
            <v>0</v>
          </cell>
          <cell r="O8">
            <v>0</v>
          </cell>
          <cell r="R8">
            <v>0</v>
          </cell>
        </row>
        <row r="15">
          <cell r="C15">
            <v>0</v>
          </cell>
          <cell r="F15">
            <v>0</v>
          </cell>
          <cell r="I15">
            <v>0</v>
          </cell>
          <cell r="L15">
            <v>0</v>
          </cell>
          <cell r="O15">
            <v>0</v>
          </cell>
          <cell r="R15">
            <v>0</v>
          </cell>
          <cell r="U15">
            <v>0</v>
          </cell>
        </row>
        <row r="16">
          <cell r="C16">
            <v>0</v>
          </cell>
          <cell r="F16">
            <v>0</v>
          </cell>
          <cell r="I16">
            <v>0</v>
          </cell>
          <cell r="L16">
            <v>0</v>
          </cell>
          <cell r="O16">
            <v>0</v>
          </cell>
          <cell r="R16">
            <v>0</v>
          </cell>
          <cell r="U16">
            <v>0</v>
          </cell>
        </row>
        <row r="17">
          <cell r="C17">
            <v>0</v>
          </cell>
          <cell r="F17">
            <v>0</v>
          </cell>
          <cell r="I17">
            <v>0</v>
          </cell>
          <cell r="L17">
            <v>0</v>
          </cell>
          <cell r="O17">
            <v>0</v>
          </cell>
          <cell r="R17">
            <v>0</v>
          </cell>
          <cell r="U17">
            <v>0</v>
          </cell>
        </row>
      </sheetData>
      <sheetData sheetId="7">
        <row r="5">
          <cell r="C5">
            <v>0</v>
          </cell>
          <cell r="F5">
            <v>0</v>
          </cell>
          <cell r="I5">
            <v>0</v>
          </cell>
          <cell r="L5">
            <v>0</v>
          </cell>
          <cell r="O5">
            <v>0</v>
          </cell>
          <cell r="R5">
            <v>0</v>
          </cell>
        </row>
        <row r="6">
          <cell r="C6">
            <v>0</v>
          </cell>
          <cell r="F6">
            <v>0</v>
          </cell>
          <cell r="I6">
            <v>0</v>
          </cell>
          <cell r="L6">
            <v>0</v>
          </cell>
          <cell r="O6">
            <v>0</v>
          </cell>
          <cell r="R6">
            <v>0</v>
          </cell>
        </row>
        <row r="7">
          <cell r="C7">
            <v>0</v>
          </cell>
          <cell r="F7">
            <v>0</v>
          </cell>
          <cell r="I7">
            <v>0</v>
          </cell>
          <cell r="L7">
            <v>0</v>
          </cell>
          <cell r="O7">
            <v>0</v>
          </cell>
          <cell r="R7">
            <v>0</v>
          </cell>
        </row>
        <row r="13">
          <cell r="C13">
            <v>0</v>
          </cell>
          <cell r="F13">
            <v>0</v>
          </cell>
          <cell r="I13">
            <v>0</v>
          </cell>
          <cell r="L13">
            <v>0</v>
          </cell>
        </row>
        <row r="14">
          <cell r="C14">
            <v>0</v>
          </cell>
          <cell r="F14">
            <v>0</v>
          </cell>
          <cell r="I14">
            <v>0</v>
          </cell>
          <cell r="L14">
            <v>0</v>
          </cell>
        </row>
        <row r="15">
          <cell r="C15">
            <v>0</v>
          </cell>
          <cell r="F15">
            <v>0</v>
          </cell>
          <cell r="I15">
            <v>0</v>
          </cell>
          <cell r="L15">
            <v>0</v>
          </cell>
        </row>
      </sheetData>
      <sheetData sheetId="8">
        <row r="6">
          <cell r="B6">
            <v>0</v>
          </cell>
        </row>
        <row r="7">
          <cell r="B7">
            <v>0</v>
          </cell>
        </row>
        <row r="8">
          <cell r="B8">
            <v>0</v>
          </cell>
        </row>
        <row r="9">
          <cell r="B9">
            <v>0</v>
          </cell>
        </row>
        <row r="11">
          <cell r="B11">
            <v>0</v>
          </cell>
        </row>
        <row r="12">
          <cell r="B12">
            <v>0</v>
          </cell>
        </row>
        <row r="13">
          <cell r="B13">
            <v>0</v>
          </cell>
        </row>
        <row r="17">
          <cell r="B17">
            <v>0</v>
          </cell>
        </row>
        <row r="18">
          <cell r="B18">
            <v>0</v>
          </cell>
        </row>
        <row r="19">
          <cell r="B19">
            <v>0</v>
          </cell>
        </row>
        <row r="22">
          <cell r="B22">
            <v>0</v>
          </cell>
        </row>
        <row r="23">
          <cell r="B23">
            <v>0</v>
          </cell>
        </row>
        <row r="24">
          <cell r="B24">
            <v>0</v>
          </cell>
        </row>
        <row r="25">
          <cell r="B25">
            <v>0</v>
          </cell>
        </row>
        <row r="26">
          <cell r="B26">
            <v>0</v>
          </cell>
        </row>
        <row r="27">
          <cell r="B27">
            <v>0</v>
          </cell>
        </row>
        <row r="30">
          <cell r="B30">
            <v>2</v>
          </cell>
        </row>
        <row r="31">
          <cell r="B31">
            <v>2</v>
          </cell>
        </row>
        <row r="32">
          <cell r="B32">
            <v>1</v>
          </cell>
        </row>
        <row r="33">
          <cell r="B33">
            <v>1</v>
          </cell>
        </row>
        <row r="34">
          <cell r="B34">
            <v>0</v>
          </cell>
        </row>
        <row r="35">
          <cell r="B35">
            <v>1</v>
          </cell>
        </row>
        <row r="36">
          <cell r="B36">
            <v>1</v>
          </cell>
        </row>
        <row r="37">
          <cell r="B37">
            <v>0</v>
          </cell>
        </row>
        <row r="38">
          <cell r="B38">
            <v>0</v>
          </cell>
        </row>
        <row r="39">
          <cell r="B39">
            <v>0</v>
          </cell>
        </row>
        <row r="40">
          <cell r="B40">
            <v>0</v>
          </cell>
        </row>
        <row r="41">
          <cell r="B41">
            <v>0</v>
          </cell>
        </row>
        <row r="42">
          <cell r="B42">
            <v>0</v>
          </cell>
        </row>
        <row r="43">
          <cell r="B43">
            <v>0</v>
          </cell>
        </row>
        <row r="44">
          <cell r="B44">
            <v>0</v>
          </cell>
        </row>
        <row r="45">
          <cell r="B45">
            <v>0</v>
          </cell>
        </row>
        <row r="46">
          <cell r="B46">
            <v>0</v>
          </cell>
        </row>
        <row r="47">
          <cell r="B47">
            <v>0</v>
          </cell>
        </row>
        <row r="48">
          <cell r="B48">
            <v>0</v>
          </cell>
        </row>
        <row r="49">
          <cell r="B49">
            <v>0</v>
          </cell>
        </row>
        <row r="50">
          <cell r="B50">
            <v>0</v>
          </cell>
        </row>
        <row r="51">
          <cell r="B51">
            <v>0</v>
          </cell>
        </row>
        <row r="52">
          <cell r="B52">
            <v>0</v>
          </cell>
        </row>
        <row r="53">
          <cell r="B53">
            <v>0</v>
          </cell>
        </row>
        <row r="54">
          <cell r="B54">
            <v>0</v>
          </cell>
        </row>
        <row r="55">
          <cell r="B55">
            <v>0</v>
          </cell>
        </row>
        <row r="56">
          <cell r="B56">
            <v>0</v>
          </cell>
        </row>
        <row r="57">
          <cell r="B57">
            <v>0</v>
          </cell>
        </row>
        <row r="58">
          <cell r="B58">
            <v>0</v>
          </cell>
        </row>
      </sheetData>
      <sheetData sheetId="9">
        <row r="3">
          <cell r="B3">
            <v>0</v>
          </cell>
        </row>
        <row r="4">
          <cell r="B4">
            <v>0</v>
          </cell>
        </row>
        <row r="5">
          <cell r="B5">
            <v>0</v>
          </cell>
        </row>
        <row r="6">
          <cell r="B6">
            <v>0</v>
          </cell>
        </row>
        <row r="7">
          <cell r="B7">
            <v>0</v>
          </cell>
        </row>
        <row r="8">
          <cell r="B8">
            <v>0</v>
          </cell>
        </row>
        <row r="9">
          <cell r="B9">
            <v>0</v>
          </cell>
        </row>
      </sheetData>
      <sheetData sheetId="10">
        <row r="7">
          <cell r="B7">
            <v>0</v>
          </cell>
        </row>
        <row r="8">
          <cell r="B8">
            <v>0</v>
          </cell>
        </row>
        <row r="9">
          <cell r="B9">
            <v>0</v>
          </cell>
        </row>
        <row r="11">
          <cell r="B11">
            <v>0</v>
          </cell>
        </row>
        <row r="12">
          <cell r="B12">
            <v>0</v>
          </cell>
        </row>
        <row r="14">
          <cell r="B14">
            <v>0</v>
          </cell>
        </row>
        <row r="16">
          <cell r="B16">
            <v>0</v>
          </cell>
        </row>
        <row r="17">
          <cell r="B17">
            <v>0</v>
          </cell>
        </row>
        <row r="23">
          <cell r="B23">
            <v>0</v>
          </cell>
        </row>
        <row r="24">
          <cell r="B24">
            <v>0</v>
          </cell>
        </row>
        <row r="26">
          <cell r="B26">
            <v>0</v>
          </cell>
        </row>
        <row r="27">
          <cell r="B27">
            <v>0</v>
          </cell>
        </row>
      </sheetData>
      <sheetData sheetId="11" refreshError="1"/>
      <sheetData sheetId="12">
        <row r="5">
          <cell r="C5">
            <v>0</v>
          </cell>
          <cell r="E5">
            <v>0</v>
          </cell>
          <cell r="G5">
            <v>0</v>
          </cell>
          <cell r="I5">
            <v>0</v>
          </cell>
          <cell r="K5">
            <v>0</v>
          </cell>
          <cell r="M5">
            <v>0</v>
          </cell>
          <cell r="O5">
            <v>0</v>
          </cell>
        </row>
        <row r="6">
          <cell r="C6">
            <v>0</v>
          </cell>
          <cell r="E6">
            <v>0</v>
          </cell>
          <cell r="G6">
            <v>0</v>
          </cell>
          <cell r="I6">
            <v>0</v>
          </cell>
          <cell r="K6">
            <v>0</v>
          </cell>
          <cell r="M6">
            <v>0</v>
          </cell>
          <cell r="O6">
            <v>0</v>
          </cell>
        </row>
        <row r="7">
          <cell r="C7">
            <v>0</v>
          </cell>
          <cell r="E7">
            <v>0</v>
          </cell>
          <cell r="G7">
            <v>0</v>
          </cell>
          <cell r="I7">
            <v>0</v>
          </cell>
          <cell r="K7">
            <v>0</v>
          </cell>
          <cell r="M7">
            <v>0</v>
          </cell>
          <cell r="O7">
            <v>0</v>
          </cell>
        </row>
        <row r="8">
          <cell r="C8">
            <v>0</v>
          </cell>
          <cell r="E8">
            <v>0</v>
          </cell>
          <cell r="G8">
            <v>0</v>
          </cell>
          <cell r="I8">
            <v>0</v>
          </cell>
          <cell r="K8">
            <v>0</v>
          </cell>
          <cell r="M8">
            <v>0</v>
          </cell>
          <cell r="O8">
            <v>0</v>
          </cell>
        </row>
        <row r="9">
          <cell r="C9">
            <v>0</v>
          </cell>
          <cell r="E9">
            <v>0</v>
          </cell>
          <cell r="G9">
            <v>0</v>
          </cell>
          <cell r="I9">
            <v>0</v>
          </cell>
          <cell r="K9">
            <v>0</v>
          </cell>
          <cell r="M9">
            <v>0</v>
          </cell>
          <cell r="O9">
            <v>0</v>
          </cell>
        </row>
        <row r="10">
          <cell r="C10">
            <v>0</v>
          </cell>
          <cell r="E10">
            <v>0</v>
          </cell>
          <cell r="G10">
            <v>0</v>
          </cell>
          <cell r="I10">
            <v>0</v>
          </cell>
          <cell r="K10">
            <v>0</v>
          </cell>
          <cell r="M10">
            <v>0</v>
          </cell>
          <cell r="O10">
            <v>0</v>
          </cell>
        </row>
        <row r="11">
          <cell r="C11">
            <v>0</v>
          </cell>
          <cell r="E11">
            <v>0</v>
          </cell>
          <cell r="G11">
            <v>0</v>
          </cell>
          <cell r="I11">
            <v>0</v>
          </cell>
          <cell r="K11">
            <v>0</v>
          </cell>
          <cell r="M11">
            <v>0</v>
          </cell>
          <cell r="O11">
            <v>0</v>
          </cell>
        </row>
        <row r="12">
          <cell r="C12">
            <v>0</v>
          </cell>
          <cell r="E12">
            <v>0</v>
          </cell>
          <cell r="G12">
            <v>0</v>
          </cell>
          <cell r="I12">
            <v>0</v>
          </cell>
          <cell r="K12">
            <v>0</v>
          </cell>
          <cell r="M12">
            <v>0</v>
          </cell>
          <cell r="O12">
            <v>0</v>
          </cell>
        </row>
        <row r="13">
          <cell r="C13">
            <v>0</v>
          </cell>
          <cell r="E13">
            <v>0</v>
          </cell>
          <cell r="G13">
            <v>0</v>
          </cell>
          <cell r="I13">
            <v>0</v>
          </cell>
          <cell r="K13">
            <v>0</v>
          </cell>
          <cell r="M13">
            <v>0</v>
          </cell>
          <cell r="O13">
            <v>0</v>
          </cell>
        </row>
        <row r="14">
          <cell r="C14">
            <v>0</v>
          </cell>
          <cell r="E14">
            <v>0</v>
          </cell>
          <cell r="G14">
            <v>0</v>
          </cell>
          <cell r="I14">
            <v>0</v>
          </cell>
          <cell r="K14">
            <v>0</v>
          </cell>
          <cell r="M14">
            <v>0</v>
          </cell>
          <cell r="O14">
            <v>0</v>
          </cell>
        </row>
      </sheetData>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AT Summary"/>
      <sheetName val="Material Unlisted Company"/>
      <sheetName val="Div"/>
      <sheetName val="Qtrly"/>
      <sheetName val="BS"/>
      <sheetName val="PL"/>
      <sheetName val="Note-P"/>
      <sheetName val="Note-B"/>
      <sheetName val="GW Indialand"/>
      <sheetName val="Note-1"/>
      <sheetName val="Note-2"/>
      <sheetName val="Break up"/>
      <sheetName val="Elimination Sec Group"/>
      <sheetName val="Qtr End Adj"/>
      <sheetName val="Sheet2"/>
      <sheetName val="Provisions"/>
      <sheetName val="Elimination SS Group"/>
      <sheetName val="Note-FA"/>
      <sheetName val="Holding"/>
      <sheetName val="AR Working"/>
      <sheetName val="Goodwill CapRes"/>
      <sheetName val="Assoc"/>
      <sheetName val="EPS"/>
      <sheetName val="CFS"/>
      <sheetName val="CF-W"/>
      <sheetName val="good min"/>
      <sheetName val="GNW"/>
      <sheetName val="Details"/>
    </sheetNames>
    <sheetDataSet>
      <sheetData sheetId="0">
        <row r="5">
          <cell r="C5">
            <v>42035</v>
          </cell>
        </row>
      </sheetData>
      <sheetData sheetId="1"/>
      <sheetData sheetId="2"/>
      <sheetData sheetId="3"/>
      <sheetData sheetId="4"/>
      <sheetData sheetId="5"/>
      <sheetData sheetId="6">
        <row r="18">
          <cell r="G18">
            <v>93895229</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irector Remuneration"/>
      <sheetName val="Copal"/>
      <sheetName val="Provision Working"/>
      <sheetName val="Doubtful"/>
      <sheetName val="Dividend Working"/>
      <sheetName val="Task"/>
      <sheetName val="Reports"/>
      <sheetName val="Sheet1"/>
      <sheetName val="DR"/>
      <sheetName val="Adv Tax (2)"/>
      <sheetName val="TB - SAP"/>
      <sheetName val="TB - Focus"/>
      <sheetName val="To Tally"/>
      <sheetName val="TB"/>
      <sheetName val="Provisions"/>
      <sheetName val="Qtr -AS"/>
      <sheetName val="Results"/>
      <sheetName val="Results_Pub"/>
      <sheetName val="BS"/>
      <sheetName val="PL"/>
      <sheetName val="CFS"/>
      <sheetName val="CF-W"/>
      <sheetName val="Note-1"/>
      <sheetName val="Note-B"/>
      <sheetName val="DT"/>
      <sheetName val="Note-FA"/>
      <sheetName val="Note-P"/>
      <sheetName val="Note-2"/>
      <sheetName val="EPS"/>
      <sheetName val="Sheet7"/>
      <sheetName val="Results (2)"/>
      <sheetName val="Div"/>
      <sheetName val="Buy Back"/>
      <sheetName val="Sheet5"/>
      <sheetName val="Sheet4"/>
      <sheetName val="Other TBs"/>
      <sheetName val="Segment YTD"/>
      <sheetName val="Tax Prov."/>
      <sheetName val="Clients"/>
      <sheetName val="Projected"/>
      <sheetName val="ARCK"/>
      <sheetName val="Sheet3"/>
      <sheetName val="Vendor bal."/>
      <sheetName val="C &amp; NC"/>
      <sheetName val="CDSL"/>
      <sheetName val="Segment Old"/>
      <sheetName val="Sheet2"/>
      <sheetName val="Segment"/>
      <sheetName val="Cap Adv"/>
      <sheetName val="PMS"/>
      <sheetName val="GNW"/>
      <sheetName val="NSDL"/>
      <sheetName val="NSE MT"/>
      <sheetName val="BSE MT"/>
      <sheetName val="LC Gupta "/>
      <sheetName val="Funds Client"/>
      <sheetName val="Funds Position"/>
      <sheetName val="14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A1" t="str">
            <v>ACC_CODE</v>
          </cell>
          <cell r="B1" t="str">
            <v>ACC_NAME</v>
          </cell>
          <cell r="C1" t="str">
            <v>GRP_ID</v>
          </cell>
          <cell r="D1" t="str">
            <v>CL_DR</v>
          </cell>
          <cell r="E1" t="str">
            <v>CL_CR</v>
          </cell>
          <cell r="F1" t="str">
            <v>Closing Balance</v>
          </cell>
        </row>
        <row r="3">
          <cell r="A3" t="str">
            <v>GA00B136</v>
          </cell>
          <cell r="B3" t="str">
            <v>ABN AMRO BANK (DIVIDEND A/C 2004-05)</v>
          </cell>
          <cell r="C3" t="str">
            <v>ABANK</v>
          </cell>
          <cell r="D3">
            <v>807.03</v>
          </cell>
          <cell r="E3">
            <v>0</v>
          </cell>
          <cell r="F3">
            <v>807.03</v>
          </cell>
        </row>
        <row r="4">
          <cell r="A4" t="str">
            <v>GA00B872</v>
          </cell>
          <cell r="B4" t="str">
            <v>AXIS BANK LTD A/C NO 912020056404872</v>
          </cell>
          <cell r="C4" t="str">
            <v>ABANK</v>
          </cell>
          <cell r="D4">
            <v>105923500</v>
          </cell>
          <cell r="E4">
            <v>1107888744</v>
          </cell>
          <cell r="F4">
            <v>-1001965244</v>
          </cell>
        </row>
        <row r="5">
          <cell r="A5" t="str">
            <v>GA00B861</v>
          </cell>
          <cell r="B5" t="str">
            <v>AXIS BANK LTD. 911030044553906 OD A/C</v>
          </cell>
          <cell r="C5" t="str">
            <v>ABANK</v>
          </cell>
          <cell r="D5">
            <v>80000000</v>
          </cell>
          <cell r="E5">
            <v>80000000</v>
          </cell>
          <cell r="F5">
            <v>0</v>
          </cell>
        </row>
        <row r="6">
          <cell r="A6" t="str">
            <v>GA00B68</v>
          </cell>
          <cell r="B6" t="str">
            <v>BANK OF PUNJAB LTD. (SRI GANGANAGAR)</v>
          </cell>
          <cell r="C6" t="str">
            <v>ABANK</v>
          </cell>
          <cell r="D6">
            <v>121980.5</v>
          </cell>
          <cell r="E6">
            <v>121980.5</v>
          </cell>
          <cell r="F6">
            <v>0</v>
          </cell>
        </row>
        <row r="7">
          <cell r="A7" t="str">
            <v>GA00B19</v>
          </cell>
          <cell r="B7" t="str">
            <v>CITI BANK (IPO  0029232229)</v>
          </cell>
          <cell r="C7" t="str">
            <v>ABANK</v>
          </cell>
          <cell r="D7">
            <v>10000</v>
          </cell>
          <cell r="E7">
            <v>0</v>
          </cell>
          <cell r="F7">
            <v>10000</v>
          </cell>
        </row>
        <row r="8">
          <cell r="A8" t="str">
            <v>GA00B51</v>
          </cell>
          <cell r="B8" t="str">
            <v>CORPORATE SALARY ACCOUNT</v>
          </cell>
          <cell r="C8" t="str">
            <v>ABANK</v>
          </cell>
          <cell r="D8">
            <v>54181451</v>
          </cell>
          <cell r="E8">
            <v>54181451</v>
          </cell>
          <cell r="F8">
            <v>0</v>
          </cell>
        </row>
        <row r="9">
          <cell r="A9" t="str">
            <v>GA00B75</v>
          </cell>
          <cell r="B9" t="str">
            <v>HDFC (WDM00302291490667)</v>
          </cell>
          <cell r="C9" t="str">
            <v>ABANK</v>
          </cell>
          <cell r="D9">
            <v>24897360079.509998</v>
          </cell>
          <cell r="E9">
            <v>23902119861.27</v>
          </cell>
          <cell r="F9">
            <v>995240218.23999786</v>
          </cell>
        </row>
        <row r="10">
          <cell r="A10" t="str">
            <v>GA00B608</v>
          </cell>
          <cell r="B10" t="str">
            <v>HDFC BANK  A/C 00030340037616</v>
          </cell>
          <cell r="C10" t="str">
            <v>ABANK</v>
          </cell>
          <cell r="D10">
            <v>11576.09</v>
          </cell>
          <cell r="E10">
            <v>0</v>
          </cell>
          <cell r="F10">
            <v>11576.09</v>
          </cell>
        </row>
        <row r="11">
          <cell r="A11" t="str">
            <v>GA00B3</v>
          </cell>
          <cell r="B11" t="str">
            <v>HDFC BANK  A/C 0030340000640 (OLD NO. 08)</v>
          </cell>
          <cell r="C11" t="str">
            <v>ABANK</v>
          </cell>
          <cell r="D11">
            <v>1038091896.58</v>
          </cell>
          <cell r="E11">
            <v>57408665.350000001</v>
          </cell>
          <cell r="F11">
            <v>980683231.23000002</v>
          </cell>
        </row>
        <row r="12">
          <cell r="A12" t="str">
            <v>GA00B607</v>
          </cell>
          <cell r="B12" t="str">
            <v>HDFC BANK A/C 00030340033640</v>
          </cell>
          <cell r="C12" t="str">
            <v>ABANK</v>
          </cell>
          <cell r="D12">
            <v>200010100</v>
          </cell>
          <cell r="E12">
            <v>200010100</v>
          </cell>
          <cell r="F12">
            <v>0</v>
          </cell>
        </row>
        <row r="13">
          <cell r="A13" t="str">
            <v>GA00B39</v>
          </cell>
          <cell r="B13" t="str">
            <v>ICICI</v>
          </cell>
          <cell r="C13" t="str">
            <v>ABANK</v>
          </cell>
          <cell r="D13">
            <v>205000</v>
          </cell>
          <cell r="E13">
            <v>120000</v>
          </cell>
          <cell r="F13">
            <v>85000</v>
          </cell>
        </row>
        <row r="14">
          <cell r="A14" t="str">
            <v>GA00B104</v>
          </cell>
          <cell r="B14" t="str">
            <v>ICICI BANK (FREE PRESS MUMBAI) A/C 15895</v>
          </cell>
          <cell r="C14" t="str">
            <v>ABANK</v>
          </cell>
          <cell r="D14">
            <v>43521597785.059998</v>
          </cell>
          <cell r="E14">
            <v>43521570873.519997</v>
          </cell>
          <cell r="F14">
            <v>26911.540000915527</v>
          </cell>
        </row>
        <row r="15">
          <cell r="A15" t="str">
            <v>GA00B127</v>
          </cell>
          <cell r="B15" t="str">
            <v>ICICI BANK - BSE  ACCOUNT</v>
          </cell>
          <cell r="C15" t="str">
            <v>ABANK</v>
          </cell>
          <cell r="D15">
            <v>50300</v>
          </cell>
          <cell r="E15">
            <v>50300</v>
          </cell>
          <cell r="F15">
            <v>0</v>
          </cell>
        </row>
        <row r="16">
          <cell r="A16" t="str">
            <v>GA00B128</v>
          </cell>
          <cell r="B16" t="str">
            <v>ICICI BANK - BSE  ACCOUNT</v>
          </cell>
          <cell r="C16" t="str">
            <v>ABANK</v>
          </cell>
          <cell r="D16">
            <v>154599999.40000001</v>
          </cell>
          <cell r="E16">
            <v>154599999.40000001</v>
          </cell>
          <cell r="F16">
            <v>0</v>
          </cell>
        </row>
        <row r="17">
          <cell r="A17" t="str">
            <v>GA00B97</v>
          </cell>
          <cell r="B17" t="str">
            <v>ICICI BANK-MEERUT</v>
          </cell>
          <cell r="C17" t="str">
            <v>ABANK</v>
          </cell>
          <cell r="D17">
            <v>30560.71</v>
          </cell>
          <cell r="E17">
            <v>30560.71</v>
          </cell>
          <cell r="F17">
            <v>0</v>
          </cell>
        </row>
        <row r="18">
          <cell r="A18" t="str">
            <v>GA00B225</v>
          </cell>
          <cell r="B18" t="str">
            <v>INDIABULLS SECURITIES LIMITED LEASED LINE A/C</v>
          </cell>
          <cell r="C18" t="str">
            <v>ABANK</v>
          </cell>
          <cell r="D18">
            <v>1.1000000000000001</v>
          </cell>
          <cell r="E18">
            <v>1.1000000000000001</v>
          </cell>
          <cell r="F18">
            <v>0</v>
          </cell>
        </row>
        <row r="19">
          <cell r="A19" t="str">
            <v>GA00B182</v>
          </cell>
          <cell r="B19" t="str">
            <v>INDIABULLS SECURITIES LTD - 0030340018143</v>
          </cell>
          <cell r="C19" t="str">
            <v>ABANK</v>
          </cell>
          <cell r="D19">
            <v>1416227289.8900001</v>
          </cell>
          <cell r="E19">
            <v>1416206873.8800001</v>
          </cell>
          <cell r="F19">
            <v>20416.009999990463</v>
          </cell>
        </row>
        <row r="20">
          <cell r="A20" t="str">
            <v>GA00B23</v>
          </cell>
          <cell r="B20" t="str">
            <v>INDIABULLS SECURITIES LTD 0062340000381 HDFC BANK</v>
          </cell>
          <cell r="C20" t="str">
            <v>ABANK</v>
          </cell>
          <cell r="D20">
            <v>1170</v>
          </cell>
          <cell r="E20">
            <v>2340</v>
          </cell>
          <cell r="F20">
            <v>-1170</v>
          </cell>
        </row>
        <row r="21">
          <cell r="A21" t="str">
            <v>GA00B522</v>
          </cell>
          <cell r="B21" t="str">
            <v>INDIABULLS SECURITIES LTD 017005000646 ICICI BANK LTD</v>
          </cell>
          <cell r="C21" t="str">
            <v>ABANK</v>
          </cell>
          <cell r="D21">
            <v>52600</v>
          </cell>
          <cell r="E21">
            <v>52600</v>
          </cell>
          <cell r="F21">
            <v>0</v>
          </cell>
        </row>
        <row r="22">
          <cell r="A22" t="str">
            <v>GA00B62</v>
          </cell>
          <cell r="B22" t="str">
            <v>INDIABULLS SECURITIES LTD 0200340000329 HDFC BANK</v>
          </cell>
          <cell r="C22" t="str">
            <v>ABANK</v>
          </cell>
          <cell r="D22">
            <v>5981.5</v>
          </cell>
          <cell r="E22">
            <v>5981.5</v>
          </cell>
          <cell r="F22">
            <v>0</v>
          </cell>
        </row>
        <row r="23">
          <cell r="A23" t="str">
            <v>GA00B78</v>
          </cell>
          <cell r="B23" t="str">
            <v>INDIABULLS SECURITIES LTD 0312000015613 HDFC BANK</v>
          </cell>
          <cell r="C23" t="str">
            <v>ABANK</v>
          </cell>
          <cell r="D23">
            <v>33184</v>
          </cell>
          <cell r="E23">
            <v>33184</v>
          </cell>
          <cell r="F23">
            <v>0</v>
          </cell>
        </row>
        <row r="24">
          <cell r="A24" t="str">
            <v>GA00B63</v>
          </cell>
          <cell r="B24" t="str">
            <v>INDIABULLS SECURITIES LTD 0362000013822 HDFC BANK</v>
          </cell>
          <cell r="C24" t="str">
            <v>ABANK</v>
          </cell>
          <cell r="D24">
            <v>1000.21</v>
          </cell>
          <cell r="E24">
            <v>1000.21</v>
          </cell>
          <cell r="F24">
            <v>0</v>
          </cell>
        </row>
        <row r="25">
          <cell r="A25" t="str">
            <v>GA00B100</v>
          </cell>
          <cell r="B25" t="str">
            <v>INDIABULLS SECURITIES LTD 1920340000014 HDFC BANK</v>
          </cell>
          <cell r="C25" t="str">
            <v>ABANK</v>
          </cell>
          <cell r="D25">
            <v>19093</v>
          </cell>
          <cell r="E25">
            <v>19093</v>
          </cell>
          <cell r="F25">
            <v>0</v>
          </cell>
        </row>
        <row r="26">
          <cell r="A26" t="str">
            <v>GA00B369</v>
          </cell>
          <cell r="B26" t="str">
            <v>INDIABULLS SECURITIES LTD CHIKMAGALUR HDFC BANK LTD</v>
          </cell>
          <cell r="C26" t="str">
            <v>ABANK</v>
          </cell>
          <cell r="D26">
            <v>10000</v>
          </cell>
          <cell r="E26">
            <v>10000</v>
          </cell>
          <cell r="F26">
            <v>0</v>
          </cell>
        </row>
        <row r="27">
          <cell r="A27" t="str">
            <v>GA00B441</v>
          </cell>
          <cell r="B27" t="str">
            <v>INDIABULLS SECURITIES LTD JOGESHWARI(WEST) HDFC BANK LTD</v>
          </cell>
          <cell r="C27" t="str">
            <v>ABANK</v>
          </cell>
          <cell r="D27">
            <v>10000</v>
          </cell>
          <cell r="E27">
            <v>10000</v>
          </cell>
          <cell r="F27">
            <v>0</v>
          </cell>
        </row>
        <row r="28">
          <cell r="A28" t="str">
            <v>GA00B243</v>
          </cell>
          <cell r="B28" t="str">
            <v>INDIABULLS SECURITIES LTD- UTI BANK LTD FOR HO</v>
          </cell>
          <cell r="C28" t="str">
            <v>ABANK</v>
          </cell>
          <cell r="D28">
            <v>4387.8599999999997</v>
          </cell>
          <cell r="E28">
            <v>8775.7199999999993</v>
          </cell>
          <cell r="F28">
            <v>-4387.8599999999997</v>
          </cell>
        </row>
        <row r="29">
          <cell r="A29" t="str">
            <v>GA00B106</v>
          </cell>
          <cell r="B29" t="str">
            <v>INDIABULLS SECURITIES LTD. - HDFC BANK 0030340012608</v>
          </cell>
          <cell r="C29" t="str">
            <v>ABANK</v>
          </cell>
          <cell r="D29">
            <v>63360</v>
          </cell>
          <cell r="E29">
            <v>63360</v>
          </cell>
          <cell r="F29">
            <v>0</v>
          </cell>
        </row>
        <row r="30">
          <cell r="A30" t="str">
            <v>GA00B178</v>
          </cell>
          <cell r="B30" t="str">
            <v>INDIABULLS SECURITIES LTD. 0670340000484 HDFC BANK</v>
          </cell>
          <cell r="C30" t="str">
            <v>ABANK</v>
          </cell>
          <cell r="D30">
            <v>58537.42</v>
          </cell>
          <cell r="E30">
            <v>58537.42</v>
          </cell>
          <cell r="F30">
            <v>0</v>
          </cell>
        </row>
        <row r="31">
          <cell r="A31" t="str">
            <v>GA00B333</v>
          </cell>
          <cell r="B31" t="str">
            <v>INDIABULLS SECURITIES LTD. 129010200013989 UTI BANK LTD.</v>
          </cell>
          <cell r="C31" t="str">
            <v>ABANK</v>
          </cell>
          <cell r="D31">
            <v>35000</v>
          </cell>
          <cell r="E31">
            <v>35000</v>
          </cell>
          <cell r="F31">
            <v>0</v>
          </cell>
        </row>
        <row r="32">
          <cell r="A32" t="str">
            <v>GA00B294</v>
          </cell>
          <cell r="B32" t="str">
            <v>INDIABULLS SECURITIES LTD. 2872340000068 HDFC BANK LTD.</v>
          </cell>
          <cell r="C32" t="str">
            <v>ABANK</v>
          </cell>
          <cell r="D32">
            <v>0</v>
          </cell>
          <cell r="E32">
            <v>25000</v>
          </cell>
          <cell r="F32">
            <v>-25000</v>
          </cell>
        </row>
        <row r="33">
          <cell r="A33" t="str">
            <v>GA00B185</v>
          </cell>
          <cell r="B33" t="str">
            <v>INDIABULLS SECURITIES LTD. DELHI HDFC BANK</v>
          </cell>
          <cell r="C33" t="str">
            <v>ABANK</v>
          </cell>
          <cell r="D33">
            <v>91041708</v>
          </cell>
          <cell r="E33">
            <v>61708</v>
          </cell>
          <cell r="F33">
            <v>90980000</v>
          </cell>
        </row>
        <row r="34">
          <cell r="A34" t="str">
            <v>GA00B211</v>
          </cell>
          <cell r="B34" t="str">
            <v>INDIABULLS SECURITIES LTD. INST. BROK. (MUM) HDFC BANK</v>
          </cell>
          <cell r="C34" t="str">
            <v>ABANK</v>
          </cell>
          <cell r="D34">
            <v>8801498.9199999999</v>
          </cell>
          <cell r="E34">
            <v>8746655.0399999991</v>
          </cell>
          <cell r="F34">
            <v>54843.88000000082</v>
          </cell>
        </row>
        <row r="35">
          <cell r="A35" t="str">
            <v>GA00B377</v>
          </cell>
          <cell r="B35" t="str">
            <v>INDIABULLS SECURITIES LTD. ZOHARI BAZAR HDFC BANK LTD</v>
          </cell>
          <cell r="C35" t="str">
            <v>ABANK</v>
          </cell>
          <cell r="D35">
            <v>10000</v>
          </cell>
          <cell r="E35">
            <v>10000</v>
          </cell>
          <cell r="F35">
            <v>0</v>
          </cell>
        </row>
        <row r="36">
          <cell r="A36" t="str">
            <v>GA00B466</v>
          </cell>
          <cell r="B36" t="str">
            <v>INDIABULLS SECURITIES LTD.276010200006514 UTI BANK LTD.</v>
          </cell>
          <cell r="C36" t="str">
            <v>ABANK</v>
          </cell>
          <cell r="D36">
            <v>112555</v>
          </cell>
          <cell r="E36">
            <v>112555</v>
          </cell>
          <cell r="F36">
            <v>0</v>
          </cell>
        </row>
        <row r="37">
          <cell r="A37" t="str">
            <v>GA00B340</v>
          </cell>
          <cell r="B37" t="str">
            <v>INDIABULLS SECURITIES LTD.KONDHWA HDFC BANK LTD.</v>
          </cell>
          <cell r="C37" t="str">
            <v>ABANK</v>
          </cell>
          <cell r="D37">
            <v>10000</v>
          </cell>
          <cell r="E37">
            <v>10000</v>
          </cell>
          <cell r="F37">
            <v>0</v>
          </cell>
        </row>
        <row r="38">
          <cell r="A38" t="str">
            <v>GA00B66</v>
          </cell>
          <cell r="B38" t="str">
            <v>INDIAN OVERSEASE BANK  SHIMOGA</v>
          </cell>
          <cell r="C38" t="str">
            <v>ABANK</v>
          </cell>
          <cell r="D38">
            <v>2226</v>
          </cell>
          <cell r="E38">
            <v>2226</v>
          </cell>
          <cell r="F38">
            <v>0</v>
          </cell>
        </row>
        <row r="39">
          <cell r="A39" t="str">
            <v>GA00B130</v>
          </cell>
          <cell r="B39" t="str">
            <v>STANDARD CHARTERED BANK-52505051059</v>
          </cell>
          <cell r="C39" t="str">
            <v>ABANK</v>
          </cell>
          <cell r="D39">
            <v>1650</v>
          </cell>
          <cell r="E39">
            <v>3300</v>
          </cell>
          <cell r="F39">
            <v>-1650</v>
          </cell>
        </row>
        <row r="40">
          <cell r="A40" t="str">
            <v>GA00B561</v>
          </cell>
          <cell r="B40" t="str">
            <v>STATE BANK OF PATIALA 65016496315</v>
          </cell>
          <cell r="C40" t="str">
            <v>ABANK</v>
          </cell>
          <cell r="D40">
            <v>0</v>
          </cell>
          <cell r="E40">
            <v>0.01</v>
          </cell>
          <cell r="F40">
            <v>-0.01</v>
          </cell>
        </row>
        <row r="41">
          <cell r="A41" t="str">
            <v>GAOOB294</v>
          </cell>
          <cell r="B41" t="str">
            <v>YES BANK LTD. 000183000002494 BUSINESS A/C</v>
          </cell>
          <cell r="C41" t="str">
            <v>ABANK</v>
          </cell>
          <cell r="D41">
            <v>0</v>
          </cell>
          <cell r="E41">
            <v>91000</v>
          </cell>
          <cell r="F41">
            <v>-91000</v>
          </cell>
        </row>
        <row r="42">
          <cell r="A42" t="str">
            <v>GA00B164</v>
          </cell>
          <cell r="B42" t="str">
            <v>ANDHRA BANK - 93286</v>
          </cell>
          <cell r="C42" t="str">
            <v>ABANKC</v>
          </cell>
          <cell r="D42">
            <v>43730075.649999999</v>
          </cell>
          <cell r="E42">
            <v>43679196.780000001</v>
          </cell>
          <cell r="F42">
            <v>50878.869999997318</v>
          </cell>
        </row>
        <row r="43">
          <cell r="A43" t="str">
            <v>GA00B850</v>
          </cell>
          <cell r="B43" t="str">
            <v>AXIS BANK - 910020000572673- IBSL. - CLIENT A/C</v>
          </cell>
          <cell r="C43" t="str">
            <v>ABANKC</v>
          </cell>
          <cell r="D43">
            <v>10000</v>
          </cell>
          <cell r="E43">
            <v>0</v>
          </cell>
          <cell r="F43">
            <v>10000</v>
          </cell>
        </row>
        <row r="44">
          <cell r="A44" t="str">
            <v>GA00B628</v>
          </cell>
          <cell r="B44" t="str">
            <v>AXIS BANK LTD .912020066513908 CLIENT A/C</v>
          </cell>
          <cell r="C44" t="str">
            <v>ABANKC</v>
          </cell>
          <cell r="D44">
            <v>598800451.67999995</v>
          </cell>
          <cell r="E44">
            <v>598800000</v>
          </cell>
          <cell r="F44">
            <v>451.67999994754791</v>
          </cell>
        </row>
        <row r="45">
          <cell r="A45" t="str">
            <v>GA00B855</v>
          </cell>
          <cell r="B45" t="str">
            <v>BANK OF BRODA 00950200000776 CLIENT A/C</v>
          </cell>
          <cell r="C45" t="str">
            <v>ABANKC</v>
          </cell>
          <cell r="D45">
            <v>233115655.49000001</v>
          </cell>
          <cell r="E45">
            <v>232759780</v>
          </cell>
          <cell r="F45">
            <v>355875.49000000954</v>
          </cell>
        </row>
        <row r="46">
          <cell r="A46" t="str">
            <v>GA00B545</v>
          </cell>
          <cell r="B46" t="str">
            <v>BANK OF INDIA (FATEH PUR BRANCH ONLY)  - 696520100000223</v>
          </cell>
          <cell r="C46" t="str">
            <v>ABANKC</v>
          </cell>
          <cell r="D46">
            <v>2294875</v>
          </cell>
          <cell r="E46">
            <v>2294875</v>
          </cell>
          <cell r="F46">
            <v>0</v>
          </cell>
        </row>
        <row r="47">
          <cell r="A47" t="str">
            <v>GA00B153</v>
          </cell>
          <cell r="B47" t="str">
            <v>BANK OF RAJASTHAN (113762)</v>
          </cell>
          <cell r="C47" t="str">
            <v>ABANKC</v>
          </cell>
          <cell r="D47">
            <v>242498895.27000001</v>
          </cell>
          <cell r="E47">
            <v>242498895.27000001</v>
          </cell>
          <cell r="F47">
            <v>0</v>
          </cell>
        </row>
        <row r="48">
          <cell r="A48" t="str">
            <v>GA00B84</v>
          </cell>
          <cell r="B48" t="str">
            <v>CANARA BANK (2309  SHIMOGA BRANCH ONLY)</v>
          </cell>
          <cell r="C48" t="str">
            <v>ABANKC</v>
          </cell>
          <cell r="D48">
            <v>64569629.009999998</v>
          </cell>
          <cell r="E48">
            <v>64569629.009999998</v>
          </cell>
          <cell r="F48">
            <v>0</v>
          </cell>
        </row>
        <row r="49">
          <cell r="A49" t="str">
            <v>GA00B856</v>
          </cell>
          <cell r="B49" t="str">
            <v>CANARA BANK (2577201017424)</v>
          </cell>
          <cell r="C49" t="str">
            <v>ABANKC</v>
          </cell>
          <cell r="D49">
            <v>81965076.359999999</v>
          </cell>
          <cell r="E49">
            <v>81885742.359999999</v>
          </cell>
          <cell r="F49">
            <v>79334</v>
          </cell>
        </row>
        <row r="50">
          <cell r="A50" t="str">
            <v>GA00B67</v>
          </cell>
          <cell r="B50" t="str">
            <v>CENTURION BANK OF PUNJAB - A/C NO. 14012320000250</v>
          </cell>
          <cell r="C50" t="str">
            <v>ABANKC</v>
          </cell>
          <cell r="D50">
            <v>687547281.32000005</v>
          </cell>
          <cell r="E50">
            <v>687547281.32000005</v>
          </cell>
          <cell r="F50">
            <v>0</v>
          </cell>
        </row>
        <row r="51">
          <cell r="A51" t="str">
            <v>GA00B265</v>
          </cell>
          <cell r="B51" t="str">
            <v>CENUTRION BANK OF PUNJAB A/C NO 0011422384061</v>
          </cell>
          <cell r="C51" t="str">
            <v>ABANKC</v>
          </cell>
          <cell r="D51">
            <v>6408771.7699999996</v>
          </cell>
          <cell r="E51">
            <v>6408771.7699999996</v>
          </cell>
          <cell r="F51">
            <v>0</v>
          </cell>
        </row>
        <row r="52">
          <cell r="A52" t="str">
            <v>GA0OD</v>
          </cell>
          <cell r="B52" t="str">
            <v>CITI BANK</v>
          </cell>
          <cell r="C52" t="str">
            <v>ABANKC</v>
          </cell>
          <cell r="D52">
            <v>468883607.45999998</v>
          </cell>
          <cell r="E52">
            <v>468883607.45999998</v>
          </cell>
          <cell r="F52">
            <v>0</v>
          </cell>
        </row>
        <row r="53">
          <cell r="A53" t="str">
            <v>GA00B28</v>
          </cell>
          <cell r="B53" t="str">
            <v>CITI BANK (DELHI) 0421751</v>
          </cell>
          <cell r="C53" t="str">
            <v>ABANKC</v>
          </cell>
          <cell r="D53">
            <v>3441966462.3699999</v>
          </cell>
          <cell r="E53">
            <v>3441966462.3699999</v>
          </cell>
          <cell r="F53">
            <v>0</v>
          </cell>
        </row>
        <row r="54">
          <cell r="A54" t="str">
            <v>GA00B03</v>
          </cell>
          <cell r="B54" t="str">
            <v>CITI BANK 325250003</v>
          </cell>
          <cell r="C54" t="str">
            <v>ABANKC</v>
          </cell>
          <cell r="D54">
            <v>1946300987.8099999</v>
          </cell>
          <cell r="E54">
            <v>1951244981.1099999</v>
          </cell>
          <cell r="F54">
            <v>-4943993.2999999523</v>
          </cell>
        </row>
        <row r="55">
          <cell r="A55" t="str">
            <v>GL1019</v>
          </cell>
          <cell r="B55" t="str">
            <v>HDFC  ACCOUNT</v>
          </cell>
          <cell r="C55" t="str">
            <v>ABANKC</v>
          </cell>
          <cell r="D55">
            <v>336624621074.08002</v>
          </cell>
          <cell r="E55">
            <v>336642164915.92999</v>
          </cell>
          <cell r="F55">
            <v>-17543841.849975586</v>
          </cell>
        </row>
        <row r="56">
          <cell r="A56" t="str">
            <v>GA0B3</v>
          </cell>
          <cell r="B56" t="str">
            <v>HDFC (DELHI) 00030340000657</v>
          </cell>
          <cell r="C56" t="str">
            <v>ABANKC</v>
          </cell>
          <cell r="D56">
            <v>22350355444.02</v>
          </cell>
          <cell r="E56">
            <v>22346511576.939999</v>
          </cell>
          <cell r="F56">
            <v>3843867.0800018311</v>
          </cell>
        </row>
        <row r="57">
          <cell r="A57" t="str">
            <v>GA00B82</v>
          </cell>
          <cell r="B57" t="str">
            <v>HDFC BANK - 00030340010716</v>
          </cell>
          <cell r="C57" t="str">
            <v>ABANKC</v>
          </cell>
          <cell r="D57">
            <v>22459158967.540001</v>
          </cell>
          <cell r="E57">
            <v>22493647354.82</v>
          </cell>
          <cell r="F57">
            <v>-34488387.279998779</v>
          </cell>
        </row>
        <row r="58">
          <cell r="A58" t="str">
            <v>GA00B740</v>
          </cell>
          <cell r="B58" t="str">
            <v>HDFC BANK - 0030340020740</v>
          </cell>
          <cell r="C58" t="str">
            <v>ABANKC</v>
          </cell>
          <cell r="D58">
            <v>17288698481.209999</v>
          </cell>
          <cell r="E58">
            <v>17364782943.27</v>
          </cell>
          <cell r="F58">
            <v>-76084462.060001373</v>
          </cell>
        </row>
        <row r="59">
          <cell r="A59" t="str">
            <v>GA00B606</v>
          </cell>
          <cell r="B59" t="str">
            <v>HDFC BANK A/C 00030340033633</v>
          </cell>
          <cell r="C59" t="str">
            <v>ABANKC</v>
          </cell>
          <cell r="D59">
            <v>10000</v>
          </cell>
          <cell r="E59">
            <v>10000</v>
          </cell>
          <cell r="F59">
            <v>0</v>
          </cell>
        </row>
        <row r="60">
          <cell r="A60" t="str">
            <v>GA00B625</v>
          </cell>
          <cell r="B60" t="str">
            <v>HDFC BANK A/C 00030340052965</v>
          </cell>
          <cell r="C60" t="str">
            <v>ABANKC</v>
          </cell>
          <cell r="D60">
            <v>2160069212.5</v>
          </cell>
          <cell r="E60">
            <v>2160053108.3200002</v>
          </cell>
          <cell r="F60">
            <v>16104.179999828339</v>
          </cell>
        </row>
        <row r="61">
          <cell r="A61" t="str">
            <v>GA00B800</v>
          </cell>
          <cell r="B61" t="str">
            <v>HDFC BANK LTD- CLIENT -00030340062619</v>
          </cell>
          <cell r="C61" t="str">
            <v>ABANKC</v>
          </cell>
          <cell r="D61">
            <v>2213836.14</v>
          </cell>
          <cell r="E61">
            <v>1960076.99</v>
          </cell>
          <cell r="F61">
            <v>253759.15000000014</v>
          </cell>
        </row>
        <row r="62">
          <cell r="A62" t="str">
            <v>GA0B5</v>
          </cell>
          <cell r="B62" t="str">
            <v>HDFC BANK LTD. - 0030340015511</v>
          </cell>
          <cell r="C62" t="str">
            <v>ABANKC</v>
          </cell>
          <cell r="D62">
            <v>13939864837.290001</v>
          </cell>
          <cell r="E62">
            <v>13943688704.35</v>
          </cell>
          <cell r="F62">
            <v>-3823867.0599994659</v>
          </cell>
        </row>
        <row r="63">
          <cell r="A63" t="str">
            <v>GA00B860</v>
          </cell>
          <cell r="B63" t="str">
            <v>HDFC BANK LTD. MCX SX 00030340047441 CLIENT A/C</v>
          </cell>
          <cell r="C63" t="str">
            <v>ABANKC</v>
          </cell>
          <cell r="D63">
            <v>10000</v>
          </cell>
          <cell r="E63">
            <v>0</v>
          </cell>
          <cell r="F63">
            <v>10000</v>
          </cell>
        </row>
        <row r="64">
          <cell r="A64" t="str">
            <v>GA00B7</v>
          </cell>
          <cell r="B64" t="str">
            <v>HDFC DELHI A/C</v>
          </cell>
          <cell r="C64" t="str">
            <v>ABANKC</v>
          </cell>
          <cell r="D64">
            <v>49727290276.110001</v>
          </cell>
          <cell r="E64">
            <v>49735908759.580002</v>
          </cell>
          <cell r="F64">
            <v>-8618483.4700012207</v>
          </cell>
        </row>
        <row r="65">
          <cell r="A65" t="str">
            <v>GA00B109</v>
          </cell>
          <cell r="B65" t="str">
            <v>HSBC</v>
          </cell>
          <cell r="C65" t="str">
            <v>ABANKC</v>
          </cell>
          <cell r="D65">
            <v>1072371058.47</v>
          </cell>
          <cell r="E65">
            <v>1071897986.33</v>
          </cell>
          <cell r="F65">
            <v>473072.13999998569</v>
          </cell>
        </row>
        <row r="66">
          <cell r="A66" t="str">
            <v>GA00B5</v>
          </cell>
          <cell r="B66" t="str">
            <v>ICICI BANK  &lt;DELHI&gt; 05/22</v>
          </cell>
          <cell r="C66" t="str">
            <v>ABANKC</v>
          </cell>
          <cell r="D66">
            <v>36933457906.269997</v>
          </cell>
          <cell r="E66">
            <v>36935239140.010002</v>
          </cell>
          <cell r="F66">
            <v>-1781233.7400054932</v>
          </cell>
        </row>
        <row r="67">
          <cell r="A67" t="str">
            <v>GA00B80</v>
          </cell>
          <cell r="B67" t="str">
            <v>ICICI BANK DELHI  (1648)</v>
          </cell>
          <cell r="C67" t="str">
            <v>ABANKC</v>
          </cell>
          <cell r="D67">
            <v>7127909307.6499996</v>
          </cell>
          <cell r="E67">
            <v>7127909307.6499996</v>
          </cell>
          <cell r="F67">
            <v>0</v>
          </cell>
        </row>
        <row r="68">
          <cell r="A68" t="str">
            <v>GA00B254</v>
          </cell>
          <cell r="B68" t="str">
            <v>ICICI BANK  000705034254</v>
          </cell>
          <cell r="C68" t="str">
            <v>ABANKC</v>
          </cell>
          <cell r="D68">
            <v>5384288632.8500004</v>
          </cell>
          <cell r="E68">
            <v>5387448771.3900003</v>
          </cell>
          <cell r="F68">
            <v>-3160138.5399999619</v>
          </cell>
        </row>
        <row r="69">
          <cell r="A69" t="str">
            <v>GA00B73</v>
          </cell>
          <cell r="B69" t="str">
            <v>IDBI</v>
          </cell>
          <cell r="C69" t="str">
            <v>ABANKC</v>
          </cell>
          <cell r="D69">
            <v>4732493851.9899998</v>
          </cell>
          <cell r="E69">
            <v>4729672593.7700005</v>
          </cell>
          <cell r="F69">
            <v>2821258.2199993134</v>
          </cell>
        </row>
        <row r="70">
          <cell r="A70" t="str">
            <v>GA00B507</v>
          </cell>
          <cell r="B70" t="str">
            <v>INDIABULLS SECURITIES LTD. BANK OF INDIA (600320110000136)</v>
          </cell>
          <cell r="C70" t="str">
            <v>ABANKC</v>
          </cell>
          <cell r="D70">
            <v>865390626.42999995</v>
          </cell>
          <cell r="E70">
            <v>865285650</v>
          </cell>
          <cell r="F70">
            <v>104976.42999994755</v>
          </cell>
        </row>
        <row r="71">
          <cell r="A71" t="str">
            <v>GA00B77</v>
          </cell>
          <cell r="B71" t="str">
            <v>INDUSIND BANK</v>
          </cell>
          <cell r="C71" t="str">
            <v>ABANKC</v>
          </cell>
          <cell r="D71">
            <v>1954201126.2</v>
          </cell>
          <cell r="E71">
            <v>1954027045.25</v>
          </cell>
          <cell r="F71">
            <v>174080.95000004768</v>
          </cell>
        </row>
        <row r="72">
          <cell r="A72" t="str">
            <v>GA00B590</v>
          </cell>
          <cell r="B72" t="str">
            <v>INDUSIND BANK 0148-AZ0161-050</v>
          </cell>
          <cell r="C72" t="str">
            <v>ABANKC</v>
          </cell>
          <cell r="D72">
            <v>14840492115.75</v>
          </cell>
          <cell r="E72">
            <v>14841355922.83</v>
          </cell>
          <cell r="F72">
            <v>-863807.07999992371</v>
          </cell>
        </row>
        <row r="73">
          <cell r="A73" t="str">
            <v>GA00B859</v>
          </cell>
          <cell r="B73" t="str">
            <v>INDUSIND BANK A/C - 0148-AZ0161-051 CLIENT A/C</v>
          </cell>
          <cell r="C73" t="str">
            <v>ABANKC</v>
          </cell>
          <cell r="D73">
            <v>10271965</v>
          </cell>
          <cell r="E73">
            <v>10271965</v>
          </cell>
          <cell r="F73">
            <v>0</v>
          </cell>
        </row>
        <row r="74">
          <cell r="A74" t="str">
            <v>GA00B131</v>
          </cell>
          <cell r="B74" t="str">
            <v>ING VYSYA BANK</v>
          </cell>
          <cell r="C74" t="str">
            <v>ABANKC</v>
          </cell>
          <cell r="D74">
            <v>744365811.5</v>
          </cell>
          <cell r="E74">
            <v>743175982.07000005</v>
          </cell>
          <cell r="F74">
            <v>1189829.4299999475</v>
          </cell>
        </row>
        <row r="75">
          <cell r="A75" t="str">
            <v>GA00B626</v>
          </cell>
          <cell r="B75" t="str">
            <v>KARNATAKA BANK 1012000100631101 CLIENT A/C</v>
          </cell>
          <cell r="C75" t="str">
            <v>ABANKC</v>
          </cell>
          <cell r="D75">
            <v>209831</v>
          </cell>
          <cell r="E75">
            <v>0</v>
          </cell>
          <cell r="F75">
            <v>209831</v>
          </cell>
        </row>
        <row r="76">
          <cell r="A76" t="str">
            <v>GA00B146</v>
          </cell>
          <cell r="B76" t="str">
            <v>KARUR VYSYA BANK</v>
          </cell>
          <cell r="C76" t="str">
            <v>ABANKC</v>
          </cell>
          <cell r="D76">
            <v>210111074.50999999</v>
          </cell>
          <cell r="E76">
            <v>209921487.41999999</v>
          </cell>
          <cell r="F76">
            <v>189587.09000000358</v>
          </cell>
        </row>
        <row r="77">
          <cell r="A77" t="str">
            <v>GA00B250</v>
          </cell>
          <cell r="B77" t="str">
            <v>PNB A/C NO.   1988002100183894</v>
          </cell>
          <cell r="C77" t="str">
            <v>ABANKC</v>
          </cell>
          <cell r="D77">
            <v>2275797836.5</v>
          </cell>
          <cell r="E77">
            <v>2275460747.04</v>
          </cell>
          <cell r="F77">
            <v>337089.46000003815</v>
          </cell>
        </row>
        <row r="78">
          <cell r="A78" t="str">
            <v>GA00B101</v>
          </cell>
          <cell r="B78" t="str">
            <v>PUNJAB NATIONAL BANK (5148)</v>
          </cell>
          <cell r="C78" t="str">
            <v>ABANKC</v>
          </cell>
          <cell r="D78">
            <v>3681729.48</v>
          </cell>
          <cell r="E78">
            <v>3681729.48</v>
          </cell>
          <cell r="F78">
            <v>0</v>
          </cell>
        </row>
        <row r="79">
          <cell r="A79" t="str">
            <v>GA00B71</v>
          </cell>
          <cell r="B79" t="str">
            <v>RATNAKAR BANK  - A/C</v>
          </cell>
          <cell r="C79" t="str">
            <v>ABANKC</v>
          </cell>
          <cell r="D79">
            <v>1622889924.96</v>
          </cell>
          <cell r="E79">
            <v>1622045946.1500001</v>
          </cell>
          <cell r="F79">
            <v>843978.80999994278</v>
          </cell>
        </row>
        <row r="80">
          <cell r="A80" t="str">
            <v>GA00B10</v>
          </cell>
          <cell r="B80" t="str">
            <v>STANDARD CHARTER (VASANT</v>
          </cell>
          <cell r="C80" t="str">
            <v>ABANKC</v>
          </cell>
          <cell r="D80">
            <v>5206702843.75</v>
          </cell>
          <cell r="E80">
            <v>5206640181.2799997</v>
          </cell>
          <cell r="F80">
            <v>62662.470000267029</v>
          </cell>
        </row>
        <row r="81">
          <cell r="A81" t="str">
            <v>GA00B857</v>
          </cell>
          <cell r="B81" t="str">
            <v>STATE BANK OF INDIA (00000031269652734)</v>
          </cell>
          <cell r="C81" t="str">
            <v>ABANKC</v>
          </cell>
          <cell r="D81">
            <v>8935979.0700000003</v>
          </cell>
          <cell r="E81">
            <v>8405303.8399999999</v>
          </cell>
          <cell r="F81">
            <v>530675.23000000045</v>
          </cell>
        </row>
        <row r="82">
          <cell r="A82" t="str">
            <v>GA00B854</v>
          </cell>
          <cell r="B82" t="str">
            <v>STATE BANK OF INDIA CLIENT A/C NO 31142881327</v>
          </cell>
          <cell r="C82" t="str">
            <v>ABANKC</v>
          </cell>
          <cell r="D82">
            <v>4305860</v>
          </cell>
          <cell r="E82">
            <v>4305860</v>
          </cell>
          <cell r="F82">
            <v>0</v>
          </cell>
        </row>
        <row r="83">
          <cell r="A83" t="str">
            <v>GA00B183</v>
          </cell>
          <cell r="B83" t="str">
            <v>SYNDICATE BANK 90363050000067</v>
          </cell>
          <cell r="C83" t="str">
            <v>ABANKC</v>
          </cell>
          <cell r="D83">
            <v>280250582.38999999</v>
          </cell>
          <cell r="E83">
            <v>279757900.63999999</v>
          </cell>
          <cell r="F83">
            <v>492681.75</v>
          </cell>
        </row>
        <row r="84">
          <cell r="A84" t="str">
            <v>GA00B492</v>
          </cell>
          <cell r="B84" t="str">
            <v>UNION BANK OF INDIA ( 1804 JALANA BRANCH ONLY)</v>
          </cell>
          <cell r="C84" t="str">
            <v>ABANKC</v>
          </cell>
          <cell r="D84">
            <v>2740500</v>
          </cell>
          <cell r="E84">
            <v>2740500</v>
          </cell>
          <cell r="F84">
            <v>0</v>
          </cell>
        </row>
        <row r="85">
          <cell r="A85" t="str">
            <v>GA00B191</v>
          </cell>
          <cell r="B85" t="str">
            <v>UNION BANK OF INDIA - CLIENT A/C</v>
          </cell>
          <cell r="C85" t="str">
            <v>ABANKC</v>
          </cell>
          <cell r="D85">
            <v>5278204510.1700001</v>
          </cell>
          <cell r="E85">
            <v>5277869357.7600002</v>
          </cell>
          <cell r="F85">
            <v>335152.40999984741</v>
          </cell>
        </row>
        <row r="86">
          <cell r="A86" t="str">
            <v>GA00B598</v>
          </cell>
          <cell r="B86" t="str">
            <v>UTI A/C NO 392010200001687 CLIENTA/C</v>
          </cell>
          <cell r="C86" t="str">
            <v>ABANKC</v>
          </cell>
          <cell r="D86">
            <v>3081671209.4000001</v>
          </cell>
          <cell r="E86">
            <v>3081671209.4000001</v>
          </cell>
          <cell r="F86">
            <v>0</v>
          </cell>
        </row>
        <row r="87">
          <cell r="A87" t="str">
            <v>GA00B603</v>
          </cell>
          <cell r="B87" t="str">
            <v>UTI BANK (007010200049799)</v>
          </cell>
          <cell r="C87" t="str">
            <v>ABANKC</v>
          </cell>
          <cell r="D87">
            <v>1559252188.9400001</v>
          </cell>
          <cell r="E87">
            <v>1558660165.8800001</v>
          </cell>
          <cell r="F87">
            <v>592023.05999994278</v>
          </cell>
        </row>
        <row r="88">
          <cell r="A88" t="str">
            <v>GA00B11</v>
          </cell>
          <cell r="B88" t="str">
            <v>UTI BANK &lt;DELHI&gt; 9867</v>
          </cell>
          <cell r="C88" t="str">
            <v>ABANKC</v>
          </cell>
          <cell r="D88">
            <v>13649112794.719999</v>
          </cell>
          <cell r="E88">
            <v>13650606657.17</v>
          </cell>
          <cell r="F88">
            <v>-1493862.4500007629</v>
          </cell>
        </row>
        <row r="89">
          <cell r="A89" t="str">
            <v>GA00B14</v>
          </cell>
          <cell r="B89" t="str">
            <v>UTI BANK &lt;MUMBAI&gt; CA 2781</v>
          </cell>
          <cell r="C89" t="str">
            <v>ABANKC</v>
          </cell>
          <cell r="D89">
            <v>103880855.45999999</v>
          </cell>
          <cell r="E89">
            <v>103880855.45999999</v>
          </cell>
          <cell r="F89">
            <v>0</v>
          </cell>
        </row>
        <row r="90">
          <cell r="A90" t="str">
            <v>GA00B610</v>
          </cell>
          <cell r="B90" t="str">
            <v>YES BANK - CLIENT ACCOUNT 000284000001354</v>
          </cell>
          <cell r="C90" t="str">
            <v>ABANKC</v>
          </cell>
          <cell r="D90">
            <v>1882903401.6400001</v>
          </cell>
          <cell r="E90">
            <v>1882213000</v>
          </cell>
          <cell r="F90">
            <v>690401.6400001049</v>
          </cell>
        </row>
        <row r="91">
          <cell r="A91" t="str">
            <v>GYESB</v>
          </cell>
          <cell r="B91" t="str">
            <v>YES BANK 000281300000076</v>
          </cell>
          <cell r="C91" t="str">
            <v>ABANKC</v>
          </cell>
          <cell r="D91">
            <v>2385722480.9299998</v>
          </cell>
          <cell r="E91">
            <v>2385722480.9299998</v>
          </cell>
          <cell r="F91">
            <v>0</v>
          </cell>
        </row>
        <row r="92">
          <cell r="A92" t="str">
            <v>GA00B630</v>
          </cell>
          <cell r="B92" t="str">
            <v>YES BANK LTD 000185600000310 MCXSX EXCHNG DUES A/C</v>
          </cell>
          <cell r="C92" t="str">
            <v>ABANKED</v>
          </cell>
          <cell r="D92">
            <v>70000</v>
          </cell>
          <cell r="E92">
            <v>70000</v>
          </cell>
          <cell r="F92">
            <v>0</v>
          </cell>
        </row>
        <row r="93">
          <cell r="A93" t="str">
            <v>GA00B550</v>
          </cell>
          <cell r="B93" t="str">
            <v>AXIS BANK - 910020000663449 -IBSL. - BSE SETTLEMENT A/C</v>
          </cell>
          <cell r="C93" t="str">
            <v>ABANKS</v>
          </cell>
          <cell r="D93">
            <v>9245376354.6100006</v>
          </cell>
          <cell r="E93">
            <v>9233032427.0200005</v>
          </cell>
          <cell r="F93">
            <v>12343927.590000153</v>
          </cell>
        </row>
        <row r="94">
          <cell r="A94" t="str">
            <v>GA00B1</v>
          </cell>
          <cell r="B94" t="str">
            <v>HDFC BANK (246 CLEARING A/C 02)</v>
          </cell>
          <cell r="C94" t="str">
            <v>ABANKS</v>
          </cell>
          <cell r="D94">
            <v>17344329802.84</v>
          </cell>
          <cell r="E94">
            <v>17344229802.84</v>
          </cell>
          <cell r="F94">
            <v>100000</v>
          </cell>
        </row>
        <row r="95">
          <cell r="A95" t="str">
            <v>GA00B605</v>
          </cell>
          <cell r="B95" t="str">
            <v>HDFC BANK A/C 00990630003199</v>
          </cell>
          <cell r="C95" t="str">
            <v>ABANKS</v>
          </cell>
          <cell r="D95">
            <v>134091553.28</v>
          </cell>
          <cell r="E95">
            <v>133214905.59999999</v>
          </cell>
          <cell r="F95">
            <v>876647.68000000715</v>
          </cell>
        </row>
        <row r="96">
          <cell r="A96" t="str">
            <v>GA00B852</v>
          </cell>
          <cell r="B96" t="str">
            <v>HDFC BANK LTD.(INST &amp; CLIENT SETT)- 00030340042231</v>
          </cell>
          <cell r="C96" t="str">
            <v>ABANKS</v>
          </cell>
          <cell r="D96">
            <v>20000</v>
          </cell>
          <cell r="E96">
            <v>10000</v>
          </cell>
          <cell r="F96">
            <v>10000</v>
          </cell>
        </row>
        <row r="97">
          <cell r="A97" t="str">
            <v>GA00B81</v>
          </cell>
          <cell r="B97" t="str">
            <v>HDFC F&amp;O CLEARING (0990630001246)</v>
          </cell>
          <cell r="C97" t="str">
            <v>ABANKS</v>
          </cell>
          <cell r="D97">
            <v>37097280561.800003</v>
          </cell>
          <cell r="E97">
            <v>37097180561.800003</v>
          </cell>
          <cell r="F97">
            <v>100000</v>
          </cell>
        </row>
        <row r="98">
          <cell r="A98" t="str">
            <v>GA00B125</v>
          </cell>
          <cell r="B98" t="str">
            <v>ICICI BANK - BSE CLEARING ACCOUNT</v>
          </cell>
          <cell r="C98" t="str">
            <v>ABANKS</v>
          </cell>
          <cell r="D98">
            <v>28136246251.34</v>
          </cell>
          <cell r="E98">
            <v>28136233640.790001</v>
          </cell>
          <cell r="F98">
            <v>12610.549999237061</v>
          </cell>
        </row>
        <row r="99">
          <cell r="A99" t="str">
            <v>GA00B126</v>
          </cell>
          <cell r="B99" t="str">
            <v>ISL BSE F&amp;O SETTLA/C ICICI BANK LTD 000405058620</v>
          </cell>
          <cell r="C99" t="str">
            <v>ABANKS</v>
          </cell>
          <cell r="D99">
            <v>700000</v>
          </cell>
          <cell r="E99">
            <v>509293.55</v>
          </cell>
          <cell r="F99">
            <v>190706.45</v>
          </cell>
        </row>
        <row r="100">
          <cell r="A100" t="str">
            <v>GA00B851</v>
          </cell>
          <cell r="B100" t="str">
            <v>STANDARD CHART.BANK-ISL(INST&amp; CLIENT SETT) -53105024583</v>
          </cell>
          <cell r="C100" t="str">
            <v>ABANKS</v>
          </cell>
          <cell r="D100">
            <v>100000</v>
          </cell>
          <cell r="E100">
            <v>100000</v>
          </cell>
          <cell r="F100">
            <v>0</v>
          </cell>
        </row>
        <row r="101">
          <cell r="A101" t="str">
            <v>GA00B633</v>
          </cell>
          <cell r="B101" t="str">
            <v>YES BANK LTD 000185600000341 MCXSX CASH SETT A/C</v>
          </cell>
          <cell r="C101" t="str">
            <v>ABANKS</v>
          </cell>
          <cell r="D101">
            <v>70000</v>
          </cell>
          <cell r="E101">
            <v>70000</v>
          </cell>
          <cell r="F101">
            <v>0</v>
          </cell>
        </row>
        <row r="102">
          <cell r="A102" t="str">
            <v>GI090</v>
          </cell>
          <cell r="B102" t="str">
            <v>ABHISHEK KUMAR IMPREST A/C(L)</v>
          </cell>
          <cell r="C102" t="str">
            <v>ACASH</v>
          </cell>
          <cell r="D102">
            <v>10000</v>
          </cell>
          <cell r="E102">
            <v>10000</v>
          </cell>
          <cell r="F102">
            <v>0</v>
          </cell>
        </row>
        <row r="103">
          <cell r="A103" t="str">
            <v>GAJKH</v>
          </cell>
          <cell r="B103" t="str">
            <v>AJAY KHANDELWAL IMP A/C (ISL3591)</v>
          </cell>
          <cell r="C103" t="str">
            <v>ACASH</v>
          </cell>
          <cell r="D103">
            <v>18720</v>
          </cell>
          <cell r="E103">
            <v>18720</v>
          </cell>
          <cell r="F103">
            <v>0</v>
          </cell>
        </row>
        <row r="104">
          <cell r="A104" t="str">
            <v>GI0361</v>
          </cell>
          <cell r="B104" t="str">
            <v>AKOLA ONLINE PETTY CASH A/C</v>
          </cell>
          <cell r="C104" t="str">
            <v>ACASH</v>
          </cell>
          <cell r="D104">
            <v>51195</v>
          </cell>
          <cell r="E104">
            <v>51195</v>
          </cell>
          <cell r="F104">
            <v>0</v>
          </cell>
        </row>
        <row r="105">
          <cell r="A105" t="str">
            <v>GACHO</v>
          </cell>
          <cell r="B105" t="str">
            <v>AMITABH CHOWLA (ISL/17174) IMP A/C</v>
          </cell>
          <cell r="C105" t="str">
            <v>ACASH</v>
          </cell>
          <cell r="D105">
            <v>13638</v>
          </cell>
          <cell r="E105">
            <v>13638</v>
          </cell>
          <cell r="F105">
            <v>0</v>
          </cell>
        </row>
        <row r="106">
          <cell r="A106" t="str">
            <v>GI0112</v>
          </cell>
          <cell r="B106" t="str">
            <v>AMITABH SENGUPTA IMPREST A/C(L)</v>
          </cell>
          <cell r="C106" t="str">
            <v>ACASH</v>
          </cell>
          <cell r="D106">
            <v>10000</v>
          </cell>
          <cell r="E106">
            <v>10000</v>
          </cell>
          <cell r="F106">
            <v>0</v>
          </cell>
        </row>
        <row r="107">
          <cell r="A107" t="str">
            <v>GANILM</v>
          </cell>
          <cell r="B107" t="str">
            <v>ANIL MALHAN IMPREST A/C</v>
          </cell>
          <cell r="C107" t="str">
            <v>ACASH</v>
          </cell>
          <cell r="D107">
            <v>45000</v>
          </cell>
          <cell r="E107">
            <v>45000</v>
          </cell>
          <cell r="F107">
            <v>0</v>
          </cell>
        </row>
        <row r="108">
          <cell r="A108" t="str">
            <v>GAKRI</v>
          </cell>
          <cell r="B108" t="str">
            <v>ANURAG KRISHNA</v>
          </cell>
          <cell r="C108" t="str">
            <v>ACASH</v>
          </cell>
          <cell r="D108">
            <v>11611</v>
          </cell>
          <cell r="E108">
            <v>11611</v>
          </cell>
          <cell r="F108">
            <v>0</v>
          </cell>
        </row>
        <row r="109">
          <cell r="A109" t="str">
            <v>GARBI</v>
          </cell>
          <cell r="B109" t="str">
            <v>ARBINDA MAJHI IMPREST</v>
          </cell>
          <cell r="C109" t="str">
            <v>ACASH</v>
          </cell>
          <cell r="D109">
            <v>13779</v>
          </cell>
          <cell r="E109">
            <v>13779</v>
          </cell>
          <cell r="F109">
            <v>0</v>
          </cell>
        </row>
        <row r="110">
          <cell r="A110" t="str">
            <v>GBEAN</v>
          </cell>
          <cell r="B110" t="str">
            <v>BEANT SARAH SINGH IMP. A/C</v>
          </cell>
          <cell r="C110" t="str">
            <v>ACASH</v>
          </cell>
          <cell r="D110">
            <v>500</v>
          </cell>
          <cell r="E110">
            <v>500</v>
          </cell>
          <cell r="F110">
            <v>0</v>
          </cell>
        </row>
        <row r="111">
          <cell r="A111" t="str">
            <v>GI096</v>
          </cell>
          <cell r="B111" t="str">
            <v>BHIMAVARAM PETTY CASH A/C</v>
          </cell>
          <cell r="C111" t="str">
            <v>ACASH</v>
          </cell>
          <cell r="D111">
            <v>348266</v>
          </cell>
          <cell r="E111">
            <v>348266</v>
          </cell>
          <cell r="F111">
            <v>0</v>
          </cell>
        </row>
        <row r="112">
          <cell r="A112" t="str">
            <v>GI089</v>
          </cell>
          <cell r="B112" t="str">
            <v>BRAJENDRA SINGH IMPREST A/C(L)</v>
          </cell>
          <cell r="C112" t="str">
            <v>ACASH</v>
          </cell>
          <cell r="D112">
            <v>10000</v>
          </cell>
          <cell r="E112">
            <v>10000</v>
          </cell>
          <cell r="F112">
            <v>0</v>
          </cell>
        </row>
        <row r="113">
          <cell r="A113" t="str">
            <v>GI0347</v>
          </cell>
          <cell r="B113" t="str">
            <v>DAHISAR PETTY CASH A/C</v>
          </cell>
          <cell r="C113" t="str">
            <v>ACASH</v>
          </cell>
          <cell r="D113">
            <v>13517</v>
          </cell>
          <cell r="E113">
            <v>13517</v>
          </cell>
          <cell r="F113">
            <v>0</v>
          </cell>
        </row>
        <row r="114">
          <cell r="A114" t="str">
            <v>GI079</v>
          </cell>
          <cell r="B114" t="str">
            <v>DARYAGANJ PETTY CASH</v>
          </cell>
          <cell r="C114" t="str">
            <v>ACASH</v>
          </cell>
          <cell r="D114">
            <v>1776</v>
          </cell>
          <cell r="E114">
            <v>1776</v>
          </cell>
          <cell r="F114">
            <v>0</v>
          </cell>
        </row>
        <row r="115">
          <cell r="A115" t="str">
            <v>GDEBU</v>
          </cell>
          <cell r="B115" t="str">
            <v>DEBU CHOUDHARY IMPEREST A/C</v>
          </cell>
          <cell r="C115" t="str">
            <v>ACASH</v>
          </cell>
          <cell r="D115">
            <v>1940</v>
          </cell>
          <cell r="E115">
            <v>1940</v>
          </cell>
          <cell r="F115">
            <v>0</v>
          </cell>
        </row>
        <row r="116">
          <cell r="A116" t="str">
            <v>GI0110</v>
          </cell>
          <cell r="B116" t="str">
            <v>GHATKOPAR  MUMBAI</v>
          </cell>
          <cell r="C116" t="str">
            <v>ACASH</v>
          </cell>
          <cell r="D116">
            <v>3000</v>
          </cell>
          <cell r="E116">
            <v>3000</v>
          </cell>
          <cell r="F116">
            <v>0</v>
          </cell>
        </row>
        <row r="117">
          <cell r="A117" t="str">
            <v>GJSRA</v>
          </cell>
          <cell r="B117" t="str">
            <v>J S RAMAN IMP A/C (ISL/9617)</v>
          </cell>
          <cell r="C117" t="str">
            <v>ACASH</v>
          </cell>
          <cell r="D117">
            <v>7000</v>
          </cell>
          <cell r="E117">
            <v>7000</v>
          </cell>
          <cell r="F117">
            <v>0</v>
          </cell>
        </row>
        <row r="118">
          <cell r="A118" t="str">
            <v>GI0144</v>
          </cell>
          <cell r="B118" t="str">
            <v>JOGENDER SINGH IMPEREST A/C</v>
          </cell>
          <cell r="C118" t="str">
            <v>ACASH</v>
          </cell>
          <cell r="D118">
            <v>102000</v>
          </cell>
          <cell r="E118">
            <v>102000</v>
          </cell>
          <cell r="F118">
            <v>0</v>
          </cell>
        </row>
        <row r="119">
          <cell r="A119" t="str">
            <v>GI0143</v>
          </cell>
          <cell r="B119" t="str">
            <v>KANPUR DSTB. PETTY CASH A/C</v>
          </cell>
          <cell r="C119" t="str">
            <v>ACASH</v>
          </cell>
          <cell r="D119">
            <v>52500</v>
          </cell>
          <cell r="E119">
            <v>52500</v>
          </cell>
          <cell r="F119">
            <v>0</v>
          </cell>
        </row>
        <row r="120">
          <cell r="A120" t="str">
            <v>GI030</v>
          </cell>
          <cell r="B120" t="str">
            <v>KAVITA K MEHTA IMPEREST A</v>
          </cell>
          <cell r="C120" t="str">
            <v>ACASH</v>
          </cell>
          <cell r="D120">
            <v>99728</v>
          </cell>
          <cell r="E120">
            <v>99728</v>
          </cell>
          <cell r="F120">
            <v>0</v>
          </cell>
        </row>
        <row r="121">
          <cell r="A121" t="str">
            <v>GMKUM</v>
          </cell>
          <cell r="B121" t="str">
            <v>MAHESH KUMAR IMP A/C DRIVER</v>
          </cell>
          <cell r="C121" t="str">
            <v>ACASH</v>
          </cell>
          <cell r="D121">
            <v>500</v>
          </cell>
          <cell r="E121">
            <v>500</v>
          </cell>
          <cell r="F121">
            <v>0</v>
          </cell>
        </row>
        <row r="122">
          <cell r="A122" t="str">
            <v>GI0101</v>
          </cell>
          <cell r="B122" t="str">
            <v>MAYANK SINGHAL IMPREST A/C(L)</v>
          </cell>
          <cell r="C122" t="str">
            <v>ACASH</v>
          </cell>
          <cell r="D122">
            <v>13852.5</v>
          </cell>
          <cell r="E122">
            <v>13852.5</v>
          </cell>
          <cell r="F122">
            <v>0</v>
          </cell>
        </row>
        <row r="123">
          <cell r="A123" t="str">
            <v>GI0369</v>
          </cell>
          <cell r="B123" t="str">
            <v>MEERUT ONLINE PETTY CASH A/C</v>
          </cell>
          <cell r="C123" t="str">
            <v>ACASH</v>
          </cell>
          <cell r="D123">
            <v>20000</v>
          </cell>
          <cell r="E123">
            <v>20000</v>
          </cell>
          <cell r="F123">
            <v>0</v>
          </cell>
        </row>
        <row r="124">
          <cell r="A124" t="str">
            <v>GI0402</v>
          </cell>
          <cell r="B124" t="str">
            <v>MODI NAGAR PETTY CASH A/C</v>
          </cell>
          <cell r="C124" t="str">
            <v>ACASH</v>
          </cell>
          <cell r="D124">
            <v>36000</v>
          </cell>
          <cell r="E124">
            <v>36000</v>
          </cell>
          <cell r="F124">
            <v>0</v>
          </cell>
        </row>
        <row r="125">
          <cell r="A125" t="str">
            <v>GI0111</v>
          </cell>
          <cell r="B125" t="str">
            <v>MOHIT JAIN IMPEREST A/C(L)</v>
          </cell>
          <cell r="C125" t="str">
            <v>ACASH</v>
          </cell>
          <cell r="D125">
            <v>10000</v>
          </cell>
          <cell r="E125">
            <v>10000</v>
          </cell>
          <cell r="F125">
            <v>0</v>
          </cell>
        </row>
        <row r="126">
          <cell r="A126" t="str">
            <v>GINAR</v>
          </cell>
          <cell r="B126" t="str">
            <v>NARENDER KUMAR DAHIYA IMP A/C</v>
          </cell>
          <cell r="C126" t="str">
            <v>ACASH</v>
          </cell>
          <cell r="D126">
            <v>6000</v>
          </cell>
          <cell r="E126">
            <v>6000</v>
          </cell>
          <cell r="F126">
            <v>0</v>
          </cell>
        </row>
        <row r="127">
          <cell r="A127" t="str">
            <v>GIPAN</v>
          </cell>
          <cell r="B127" t="str">
            <v>PANKAJ MISHRA IMP A/C</v>
          </cell>
          <cell r="C127" t="str">
            <v>ACASH</v>
          </cell>
          <cell r="D127">
            <v>2000</v>
          </cell>
          <cell r="E127">
            <v>2000</v>
          </cell>
          <cell r="F127">
            <v>0</v>
          </cell>
        </row>
        <row r="128">
          <cell r="A128" t="str">
            <v>GPINTU</v>
          </cell>
          <cell r="B128" t="str">
            <v>PINTU KUMAR IMP A/C</v>
          </cell>
          <cell r="C128" t="str">
            <v>ACASH</v>
          </cell>
          <cell r="D128">
            <v>5000</v>
          </cell>
          <cell r="E128">
            <v>5000</v>
          </cell>
          <cell r="F128">
            <v>0</v>
          </cell>
        </row>
        <row r="129">
          <cell r="A129" t="str">
            <v>GPRAA</v>
          </cell>
          <cell r="B129" t="str">
            <v>PRAKASH DUTTA IMPEREST A/C</v>
          </cell>
          <cell r="C129" t="str">
            <v>ACASH</v>
          </cell>
          <cell r="D129">
            <v>62760</v>
          </cell>
          <cell r="E129">
            <v>62760</v>
          </cell>
          <cell r="F129">
            <v>0</v>
          </cell>
        </row>
        <row r="130">
          <cell r="A130" t="str">
            <v>GRNYA</v>
          </cell>
          <cell r="B130" t="str">
            <v>R. N. YADAV IMP A/C</v>
          </cell>
          <cell r="C130" t="str">
            <v>ACASH</v>
          </cell>
          <cell r="D130">
            <v>5000</v>
          </cell>
          <cell r="E130">
            <v>5000</v>
          </cell>
          <cell r="F130">
            <v>0</v>
          </cell>
        </row>
        <row r="131">
          <cell r="A131" t="str">
            <v>GI0113</v>
          </cell>
          <cell r="B131" t="str">
            <v>RAJESH KUMAR IMPEREST A/C(L)</v>
          </cell>
          <cell r="C131" t="str">
            <v>ACASH</v>
          </cell>
          <cell r="D131">
            <v>10000</v>
          </cell>
          <cell r="E131">
            <v>10000</v>
          </cell>
          <cell r="F131">
            <v>0</v>
          </cell>
        </row>
        <row r="132">
          <cell r="A132" t="str">
            <v>GI0448</v>
          </cell>
          <cell r="B132" t="str">
            <v>SAGAR PETTY CASH A/C</v>
          </cell>
          <cell r="C132" t="str">
            <v>ACASH</v>
          </cell>
          <cell r="D132">
            <v>2400</v>
          </cell>
          <cell r="E132">
            <v>2400</v>
          </cell>
          <cell r="F132">
            <v>0</v>
          </cell>
        </row>
        <row r="133">
          <cell r="A133" t="str">
            <v>GI0266</v>
          </cell>
          <cell r="B133" t="str">
            <v>SAHRANPUR PETTY CASH A/C ( CLOSED )</v>
          </cell>
          <cell r="C133" t="str">
            <v>ACASH</v>
          </cell>
          <cell r="D133">
            <v>20000</v>
          </cell>
          <cell r="E133">
            <v>20000</v>
          </cell>
          <cell r="F133">
            <v>0</v>
          </cell>
        </row>
        <row r="134">
          <cell r="A134" t="str">
            <v>GSANDE</v>
          </cell>
          <cell r="B134" t="str">
            <v>SANDEEP KUMAR IMP A/C IBCL/10800</v>
          </cell>
          <cell r="C134" t="str">
            <v>ACASH</v>
          </cell>
          <cell r="D134">
            <v>5710</v>
          </cell>
          <cell r="E134">
            <v>5710</v>
          </cell>
          <cell r="F134">
            <v>0</v>
          </cell>
        </row>
        <row r="135">
          <cell r="A135" t="str">
            <v>GSSRI</v>
          </cell>
          <cell r="B135" t="str">
            <v>SHALABH SRIVASTAVA</v>
          </cell>
          <cell r="C135" t="str">
            <v>ACASH</v>
          </cell>
          <cell r="D135">
            <v>11400</v>
          </cell>
          <cell r="E135">
            <v>11400</v>
          </cell>
          <cell r="F135">
            <v>0</v>
          </cell>
        </row>
        <row r="136">
          <cell r="A136" t="str">
            <v>GSGUP</v>
          </cell>
          <cell r="B136" t="str">
            <v>SHILPI GUPTA</v>
          </cell>
          <cell r="C136" t="str">
            <v>ACASH</v>
          </cell>
          <cell r="D136">
            <v>13722</v>
          </cell>
          <cell r="E136">
            <v>13722</v>
          </cell>
          <cell r="F136">
            <v>0</v>
          </cell>
        </row>
        <row r="137">
          <cell r="A137" t="str">
            <v>GTIRE</v>
          </cell>
          <cell r="B137" t="str">
            <v>TIRATH SINGH NEGI IMP A/C</v>
          </cell>
          <cell r="C137" t="str">
            <v>ACASH</v>
          </cell>
          <cell r="D137">
            <v>8998</v>
          </cell>
          <cell r="E137">
            <v>8998</v>
          </cell>
          <cell r="F137">
            <v>0</v>
          </cell>
        </row>
        <row r="138">
          <cell r="A138" t="str">
            <v>GVMOH</v>
          </cell>
          <cell r="B138" t="str">
            <v>V MOHAN IMP A/C (RR)</v>
          </cell>
          <cell r="C138" t="str">
            <v>ACASH</v>
          </cell>
          <cell r="D138">
            <v>500</v>
          </cell>
          <cell r="E138">
            <v>500</v>
          </cell>
          <cell r="F138">
            <v>0</v>
          </cell>
        </row>
        <row r="139">
          <cell r="A139" t="str">
            <v>GVIKU</v>
          </cell>
          <cell r="B139" t="str">
            <v>VINOD KUMAR IMP. A/C</v>
          </cell>
          <cell r="C139" t="str">
            <v>ACASH</v>
          </cell>
          <cell r="D139">
            <v>1940</v>
          </cell>
          <cell r="E139">
            <v>1940</v>
          </cell>
          <cell r="F139">
            <v>0</v>
          </cell>
        </row>
        <row r="140">
          <cell r="A140" t="str">
            <v>GI073</v>
          </cell>
          <cell r="B140" t="str">
            <v>VIRENDER RAWAT IMPEREST</v>
          </cell>
          <cell r="C140" t="str">
            <v>ACASH</v>
          </cell>
          <cell r="D140">
            <v>1000</v>
          </cell>
          <cell r="E140">
            <v>1000</v>
          </cell>
          <cell r="F140">
            <v>0</v>
          </cell>
        </row>
        <row r="141">
          <cell r="A141" t="str">
            <v>GI0109</v>
          </cell>
          <cell r="B141" t="str">
            <v>VIRPAL RATHORE IMPEREST A/C(L)</v>
          </cell>
          <cell r="C141" t="str">
            <v>ACASH</v>
          </cell>
          <cell r="D141">
            <v>10000</v>
          </cell>
          <cell r="E141">
            <v>10000</v>
          </cell>
          <cell r="F141">
            <v>0</v>
          </cell>
        </row>
        <row r="142">
          <cell r="A142" t="str">
            <v>GL10130</v>
          </cell>
          <cell r="B142" t="str">
            <v>ACCOUNT TO BE OPEN</v>
          </cell>
          <cell r="C142" t="str">
            <v>ADEBT</v>
          </cell>
          <cell r="D142">
            <v>161700</v>
          </cell>
          <cell r="E142">
            <v>161700</v>
          </cell>
          <cell r="F142">
            <v>0</v>
          </cell>
        </row>
        <row r="143">
          <cell r="A143" t="str">
            <v>GADVCDP</v>
          </cell>
          <cell r="B143" t="str">
            <v>ADVANCE  FROM CUSTOMERS - DP</v>
          </cell>
          <cell r="C143" t="str">
            <v>ADEBT</v>
          </cell>
          <cell r="D143">
            <v>0</v>
          </cell>
          <cell r="E143">
            <v>5432398</v>
          </cell>
          <cell r="F143">
            <v>-5432398</v>
          </cell>
        </row>
        <row r="144">
          <cell r="A144" t="str">
            <v>GADVC</v>
          </cell>
          <cell r="B144" t="str">
            <v>ADVANCE FROM CUSTOMERS</v>
          </cell>
          <cell r="C144" t="str">
            <v>ADEBT</v>
          </cell>
          <cell r="D144">
            <v>3166771</v>
          </cell>
          <cell r="E144">
            <v>4153725</v>
          </cell>
          <cell r="F144">
            <v>-986954</v>
          </cell>
        </row>
        <row r="145">
          <cell r="A145" t="str">
            <v>GA05090</v>
          </cell>
          <cell r="B145" t="str">
            <v>BALANCING ACCOUNT</v>
          </cell>
          <cell r="C145" t="str">
            <v>ADEBT</v>
          </cell>
          <cell r="D145">
            <v>2964104463.6399999</v>
          </cell>
          <cell r="E145">
            <v>2964104463.8800001</v>
          </cell>
          <cell r="F145">
            <v>-0.24000024795532227</v>
          </cell>
        </row>
        <row r="146">
          <cell r="A146" t="str">
            <v>GI01001</v>
          </cell>
          <cell r="B146" t="str">
            <v>BROKERAGE CHARGES RECIVABLE</v>
          </cell>
          <cell r="C146" t="str">
            <v>ADEBT</v>
          </cell>
          <cell r="D146">
            <v>20461100298.48</v>
          </cell>
          <cell r="E146">
            <v>20456710365.41</v>
          </cell>
          <cell r="F146">
            <v>4389933.0699996948</v>
          </cell>
        </row>
        <row r="147">
          <cell r="A147" t="str">
            <v>GA0B1</v>
          </cell>
          <cell r="B147" t="str">
            <v>CLEARED CH. IN HDFC BANK</v>
          </cell>
          <cell r="C147" t="str">
            <v>ADEBT</v>
          </cell>
          <cell r="D147">
            <v>146064367</v>
          </cell>
          <cell r="E147">
            <v>146708223.61000001</v>
          </cell>
          <cell r="F147">
            <v>-643856.61000001431</v>
          </cell>
        </row>
        <row r="148">
          <cell r="A148" t="str">
            <v>GLD1</v>
          </cell>
          <cell r="B148" t="str">
            <v>DEBTORS TO BE ALLOCATED</v>
          </cell>
          <cell r="C148" t="str">
            <v>ADEBT</v>
          </cell>
          <cell r="D148">
            <v>21680</v>
          </cell>
          <cell r="E148">
            <v>21680</v>
          </cell>
          <cell r="F148">
            <v>0</v>
          </cell>
        </row>
        <row r="149">
          <cell r="A149" t="str">
            <v>GDGG</v>
          </cell>
          <cell r="B149" t="str">
            <v>GREEN GARDEN PRIVATE LIMITED</v>
          </cell>
          <cell r="C149" t="str">
            <v>ADEBT</v>
          </cell>
          <cell r="D149">
            <v>53932800</v>
          </cell>
          <cell r="E149">
            <v>53932800</v>
          </cell>
          <cell r="F149">
            <v>0</v>
          </cell>
        </row>
        <row r="150">
          <cell r="A150" t="str">
            <v>GMFBR</v>
          </cell>
          <cell r="B150" t="str">
            <v>MUTUAL FUND BROKERAGE RECEIVABLE</v>
          </cell>
          <cell r="C150" t="str">
            <v>ADEBT</v>
          </cell>
          <cell r="D150">
            <v>2827921.15</v>
          </cell>
          <cell r="E150">
            <v>2806755.88</v>
          </cell>
          <cell r="F150">
            <v>21165.270000000019</v>
          </cell>
        </row>
        <row r="151">
          <cell r="A151" t="str">
            <v>GA05055</v>
          </cell>
          <cell r="B151" t="str">
            <v>SUNDRY BROKERS A/C.</v>
          </cell>
          <cell r="C151" t="str">
            <v>ADEBT</v>
          </cell>
          <cell r="D151">
            <v>5022</v>
          </cell>
          <cell r="E151">
            <v>5022</v>
          </cell>
          <cell r="F151">
            <v>0</v>
          </cell>
        </row>
        <row r="152">
          <cell r="A152" t="str">
            <v>GA05050</v>
          </cell>
          <cell r="B152" t="str">
            <v>SUNDRY DEBTORS A/C.</v>
          </cell>
          <cell r="C152" t="str">
            <v>ADEBT</v>
          </cell>
          <cell r="D152">
            <v>562729412107.43005</v>
          </cell>
          <cell r="E152">
            <v>563320691659.53003</v>
          </cell>
          <cell r="F152">
            <v>-591279552.09997559</v>
          </cell>
        </row>
        <row r="153">
          <cell r="A153" t="str">
            <v>GA05011</v>
          </cell>
          <cell r="B153" t="str">
            <v>SUSPENSE A/C(INDIABULLS)</v>
          </cell>
          <cell r="C153" t="str">
            <v>ADEBT</v>
          </cell>
          <cell r="D153">
            <v>23455</v>
          </cell>
          <cell r="E153">
            <v>23455</v>
          </cell>
          <cell r="F153">
            <v>0</v>
          </cell>
        </row>
        <row r="154">
          <cell r="A154" t="str">
            <v>GL1028</v>
          </cell>
          <cell r="B154" t="str">
            <v>WDM BROKERAGE RECIVABLES</v>
          </cell>
          <cell r="C154" t="str">
            <v>ADEBT</v>
          </cell>
          <cell r="D154">
            <v>1866192</v>
          </cell>
          <cell r="E154">
            <v>1950397</v>
          </cell>
          <cell r="F154">
            <v>-84205</v>
          </cell>
        </row>
        <row r="155">
          <cell r="A155" t="str">
            <v>GNABCSLB</v>
          </cell>
          <cell r="B155" t="str">
            <v>ABC MARGIN - NSE (SLB)</v>
          </cell>
          <cell r="C155" t="str">
            <v>ADEPO</v>
          </cell>
          <cell r="D155">
            <v>500000</v>
          </cell>
          <cell r="E155">
            <v>0</v>
          </cell>
          <cell r="F155">
            <v>500000</v>
          </cell>
        </row>
        <row r="156">
          <cell r="A156" t="str">
            <v>GADMG</v>
          </cell>
          <cell r="B156" t="str">
            <v>ADDITIOMAL MARGIN WITH NSE</v>
          </cell>
          <cell r="C156" t="str">
            <v>ADEPO</v>
          </cell>
          <cell r="D156">
            <v>60000000</v>
          </cell>
          <cell r="E156">
            <v>60000000</v>
          </cell>
          <cell r="F156">
            <v>0</v>
          </cell>
        </row>
        <row r="157">
          <cell r="A157" t="str">
            <v>GBCTGF</v>
          </cell>
          <cell r="B157" t="str">
            <v>BSE COLLATERAL -TRADE GUARANTEE FEE</v>
          </cell>
          <cell r="C157" t="str">
            <v>ADEPO</v>
          </cell>
          <cell r="D157">
            <v>1000000</v>
          </cell>
          <cell r="E157">
            <v>0</v>
          </cell>
          <cell r="F157">
            <v>1000000</v>
          </cell>
        </row>
        <row r="158">
          <cell r="A158" t="str">
            <v>GBCDEP</v>
          </cell>
          <cell r="B158" t="str">
            <v>BSE COLLATERAL DEPOSIT (BASE CAPITAL)</v>
          </cell>
          <cell r="C158" t="str">
            <v>ADEPO</v>
          </cell>
          <cell r="D158">
            <v>1000000</v>
          </cell>
          <cell r="E158">
            <v>0</v>
          </cell>
          <cell r="F158">
            <v>1000000</v>
          </cell>
        </row>
        <row r="159">
          <cell r="A159" t="str">
            <v>GL01220</v>
          </cell>
          <cell r="B159" t="str">
            <v>BSE MARGIN A/C</v>
          </cell>
          <cell r="C159" t="str">
            <v>ADEPO</v>
          </cell>
          <cell r="D159">
            <v>2561330898</v>
          </cell>
          <cell r="E159">
            <v>2560830898</v>
          </cell>
          <cell r="F159">
            <v>500000</v>
          </cell>
        </row>
        <row r="160">
          <cell r="A160" t="str">
            <v>GBDEP</v>
          </cell>
          <cell r="B160" t="str">
            <v>BSE SECURITY DEPOSIT</v>
          </cell>
          <cell r="C160" t="str">
            <v>ADEPO</v>
          </cell>
          <cell r="D160">
            <v>500000</v>
          </cell>
          <cell r="E160">
            <v>0</v>
          </cell>
          <cell r="F160">
            <v>500000</v>
          </cell>
        </row>
        <row r="161">
          <cell r="A161" t="str">
            <v>GSNCD</v>
          </cell>
          <cell r="B161" t="str">
            <v>EMPANALMENT OF DP WITH NCDEX</v>
          </cell>
          <cell r="C161" t="str">
            <v>ADEPO</v>
          </cell>
          <cell r="D161">
            <v>500000</v>
          </cell>
          <cell r="E161">
            <v>0</v>
          </cell>
          <cell r="F161">
            <v>500000</v>
          </cell>
        </row>
        <row r="162">
          <cell r="A162" t="str">
            <v>GA0035</v>
          </cell>
          <cell r="B162" t="str">
            <v>NSE DEPOSITS</v>
          </cell>
          <cell r="C162" t="str">
            <v>ADEPO</v>
          </cell>
          <cell r="D162">
            <v>5008000</v>
          </cell>
          <cell r="E162">
            <v>8000</v>
          </cell>
          <cell r="F162">
            <v>5000000</v>
          </cell>
        </row>
        <row r="163">
          <cell r="A163" t="str">
            <v>GA0036</v>
          </cell>
          <cell r="B163" t="str">
            <v>NSE DEPOSITS - ARBITRATION</v>
          </cell>
          <cell r="C163" t="str">
            <v>ADEPO</v>
          </cell>
          <cell r="D163">
            <v>7469360.4299999997</v>
          </cell>
          <cell r="E163">
            <v>0</v>
          </cell>
          <cell r="F163">
            <v>7469360.4299999997</v>
          </cell>
        </row>
        <row r="164">
          <cell r="A164" t="str">
            <v>GL01012</v>
          </cell>
          <cell r="B164" t="str">
            <v>NSE F&amp;O ADDITIONAL MARGIN A/C</v>
          </cell>
          <cell r="C164" t="str">
            <v>ADEPO</v>
          </cell>
          <cell r="D164">
            <v>14400000</v>
          </cell>
          <cell r="E164">
            <v>14400000</v>
          </cell>
          <cell r="F164">
            <v>0</v>
          </cell>
        </row>
        <row r="165">
          <cell r="A165" t="str">
            <v>GA0072</v>
          </cell>
          <cell r="B165" t="str">
            <v>NSE FUTURES SEGMENT MARGI</v>
          </cell>
          <cell r="C165" t="str">
            <v>ADEPO</v>
          </cell>
          <cell r="D165">
            <v>200000</v>
          </cell>
          <cell r="E165">
            <v>0</v>
          </cell>
          <cell r="F165">
            <v>200000</v>
          </cell>
        </row>
        <row r="166">
          <cell r="A166" t="str">
            <v>GL01005</v>
          </cell>
          <cell r="B166" t="str">
            <v>NSE MARGIN A/C</v>
          </cell>
          <cell r="C166" t="str">
            <v>ADEPO</v>
          </cell>
          <cell r="D166">
            <v>5425000000</v>
          </cell>
          <cell r="E166">
            <v>5415000000</v>
          </cell>
          <cell r="F166">
            <v>10000000</v>
          </cell>
        </row>
        <row r="167">
          <cell r="A167" t="str">
            <v>GA0304</v>
          </cell>
          <cell r="B167" t="str">
            <v>NSE SECURITY FOR WHOLESAL</v>
          </cell>
          <cell r="C167" t="str">
            <v>ADEPO</v>
          </cell>
          <cell r="D167">
            <v>15000000</v>
          </cell>
          <cell r="E167">
            <v>10000000</v>
          </cell>
          <cell r="F167">
            <v>5000000</v>
          </cell>
        </row>
        <row r="168">
          <cell r="A168" t="str">
            <v>GL01006</v>
          </cell>
          <cell r="B168" t="str">
            <v>RETAIL DEBT MARKET</v>
          </cell>
          <cell r="C168" t="str">
            <v>ADEPO</v>
          </cell>
          <cell r="D168">
            <v>500000</v>
          </cell>
          <cell r="E168">
            <v>0</v>
          </cell>
          <cell r="F168">
            <v>500000</v>
          </cell>
        </row>
        <row r="169">
          <cell r="A169" t="str">
            <v>GA0442</v>
          </cell>
          <cell r="B169" t="str">
            <v>SECURITY DEPOSIT WITH CDS</v>
          </cell>
          <cell r="C169" t="str">
            <v>ADEPO</v>
          </cell>
          <cell r="D169">
            <v>250000</v>
          </cell>
          <cell r="E169">
            <v>0</v>
          </cell>
          <cell r="F169">
            <v>250000</v>
          </cell>
        </row>
        <row r="170">
          <cell r="A170" t="str">
            <v>GAMCX</v>
          </cell>
          <cell r="B170" t="str">
            <v>SECURITY DEPOSIT WITH MCX</v>
          </cell>
          <cell r="C170" t="str">
            <v>ADEPO</v>
          </cell>
          <cell r="D170">
            <v>500000</v>
          </cell>
          <cell r="E170">
            <v>0</v>
          </cell>
          <cell r="F170">
            <v>500000</v>
          </cell>
        </row>
        <row r="171">
          <cell r="A171" t="str">
            <v>GA0120</v>
          </cell>
          <cell r="B171" t="str">
            <v>SECURITY FOR FUTURE SEGME</v>
          </cell>
          <cell r="C171" t="str">
            <v>ADEPO</v>
          </cell>
          <cell r="D171">
            <v>600000</v>
          </cell>
          <cell r="E171">
            <v>0</v>
          </cell>
          <cell r="F171">
            <v>600000</v>
          </cell>
        </row>
        <row r="172">
          <cell r="A172" t="str">
            <v>GSNSC</v>
          </cell>
          <cell r="B172" t="str">
            <v>SECURITY IN NSCCL FOR F &amp; O</v>
          </cell>
          <cell r="C172" t="str">
            <v>ADEPO</v>
          </cell>
          <cell r="D172">
            <v>2500000</v>
          </cell>
          <cell r="E172">
            <v>0</v>
          </cell>
          <cell r="F172">
            <v>2500000</v>
          </cell>
        </row>
        <row r="173">
          <cell r="A173" t="str">
            <v>GANSDL</v>
          </cell>
          <cell r="B173" t="str">
            <v>SECURITY WITH NSDL</v>
          </cell>
          <cell r="C173" t="str">
            <v>ADEPO</v>
          </cell>
          <cell r="D173">
            <v>1000000</v>
          </cell>
          <cell r="E173">
            <v>0</v>
          </cell>
          <cell r="F173">
            <v>1000000</v>
          </cell>
        </row>
        <row r="174">
          <cell r="A174" t="str">
            <v>GANSE</v>
          </cell>
          <cell r="B174" t="str">
            <v>SECURITY WITH NSE</v>
          </cell>
          <cell r="C174" t="str">
            <v>ADEPO</v>
          </cell>
          <cell r="D174">
            <v>5000000</v>
          </cell>
          <cell r="E174">
            <v>0</v>
          </cell>
          <cell r="F174">
            <v>5000000</v>
          </cell>
        </row>
        <row r="175">
          <cell r="A175" t="str">
            <v>GE0039</v>
          </cell>
          <cell r="B175" t="str">
            <v>VSAT DEPOSIT</v>
          </cell>
          <cell r="C175" t="str">
            <v>ADEPO</v>
          </cell>
          <cell r="D175">
            <v>12553272.23</v>
          </cell>
          <cell r="E175">
            <v>0</v>
          </cell>
          <cell r="F175">
            <v>12553272.23</v>
          </cell>
        </row>
        <row r="176">
          <cell r="A176" t="str">
            <v>GBSVD</v>
          </cell>
          <cell r="B176" t="str">
            <v>VSAT DEPOSIT (BSE)</v>
          </cell>
          <cell r="C176" t="str">
            <v>ADEPO</v>
          </cell>
          <cell r="D176">
            <v>4230000</v>
          </cell>
          <cell r="E176">
            <v>0</v>
          </cell>
          <cell r="F176">
            <v>4230000</v>
          </cell>
        </row>
        <row r="177">
          <cell r="A177" t="str">
            <v>GAJOY</v>
          </cell>
          <cell r="B177" t="str">
            <v xml:space="preserve"> AJOY DAS</v>
          </cell>
          <cell r="C177" t="str">
            <v>ADVAN</v>
          </cell>
          <cell r="D177">
            <v>15000</v>
          </cell>
          <cell r="E177">
            <v>15000</v>
          </cell>
          <cell r="F177">
            <v>0</v>
          </cell>
        </row>
        <row r="178">
          <cell r="A178" t="str">
            <v>GAUHA</v>
          </cell>
          <cell r="B178" t="str">
            <v xml:space="preserve"> AUTOHANGAR PVT LTD</v>
          </cell>
          <cell r="C178" t="str">
            <v>ADVAN</v>
          </cell>
          <cell r="D178">
            <v>1353792</v>
          </cell>
          <cell r="E178">
            <v>1353792</v>
          </cell>
          <cell r="F178">
            <v>0</v>
          </cell>
        </row>
        <row r="179">
          <cell r="A179" t="str">
            <v>GBILH</v>
          </cell>
          <cell r="B179" t="str">
            <v xml:space="preserve"> BILHARYANA</v>
          </cell>
          <cell r="C179" t="str">
            <v>ADVAN</v>
          </cell>
          <cell r="D179">
            <v>4543</v>
          </cell>
          <cell r="E179">
            <v>4543</v>
          </cell>
          <cell r="F179">
            <v>0</v>
          </cell>
        </row>
        <row r="180">
          <cell r="A180" t="str">
            <v>GGOPL</v>
          </cell>
          <cell r="B180" t="str">
            <v xml:space="preserve"> GOPAL FOR TEA</v>
          </cell>
          <cell r="C180" t="str">
            <v>ADVAN</v>
          </cell>
          <cell r="D180">
            <v>11920</v>
          </cell>
          <cell r="E180">
            <v>11920</v>
          </cell>
          <cell r="F180">
            <v>0</v>
          </cell>
        </row>
        <row r="181">
          <cell r="A181" t="str">
            <v>GIN2C</v>
          </cell>
          <cell r="B181" t="str">
            <v xml:space="preserve"> IN2CABLE INDIA LTD</v>
          </cell>
          <cell r="C181" t="str">
            <v>ADVAN</v>
          </cell>
          <cell r="D181">
            <v>27550</v>
          </cell>
          <cell r="E181">
            <v>27550</v>
          </cell>
          <cell r="F181">
            <v>0</v>
          </cell>
        </row>
        <row r="182">
          <cell r="A182" t="str">
            <v>GLAXMI</v>
          </cell>
          <cell r="B182" t="str">
            <v xml:space="preserve"> LUXMI NARAYANA AMIRTH</v>
          </cell>
          <cell r="C182" t="str">
            <v>ADVAN</v>
          </cell>
          <cell r="D182">
            <v>60234.25</v>
          </cell>
          <cell r="E182">
            <v>60234.25</v>
          </cell>
          <cell r="F182">
            <v>0</v>
          </cell>
        </row>
        <row r="183">
          <cell r="A183" t="str">
            <v>GMRAS</v>
          </cell>
          <cell r="B183" t="str">
            <v xml:space="preserve"> M R ASSOCIATES</v>
          </cell>
          <cell r="C183" t="str">
            <v>ADVAN</v>
          </cell>
          <cell r="D183">
            <v>20470</v>
          </cell>
          <cell r="E183">
            <v>20470</v>
          </cell>
          <cell r="F183">
            <v>0</v>
          </cell>
        </row>
        <row r="184">
          <cell r="A184" t="str">
            <v>GMURU</v>
          </cell>
          <cell r="B184" t="str">
            <v xml:space="preserve"> MURUGAN TEA STAL</v>
          </cell>
          <cell r="C184" t="str">
            <v>ADVAN</v>
          </cell>
          <cell r="D184">
            <v>28893.5</v>
          </cell>
          <cell r="E184">
            <v>28893.5</v>
          </cell>
          <cell r="F184">
            <v>0</v>
          </cell>
        </row>
        <row r="185">
          <cell r="A185" t="str">
            <v>GPPAR</v>
          </cell>
          <cell r="B185" t="str">
            <v xml:space="preserve"> P PRABHAKAR VARMA</v>
          </cell>
          <cell r="C185" t="str">
            <v>ADVAN</v>
          </cell>
          <cell r="D185">
            <v>15539</v>
          </cell>
          <cell r="E185">
            <v>15539</v>
          </cell>
          <cell r="F185">
            <v>0</v>
          </cell>
        </row>
        <row r="186">
          <cell r="A186" t="str">
            <v>GPARD</v>
          </cell>
          <cell r="B186" t="str">
            <v xml:space="preserve"> PRADEEP. M</v>
          </cell>
          <cell r="C186" t="str">
            <v>ADVAN</v>
          </cell>
          <cell r="D186">
            <v>15000</v>
          </cell>
          <cell r="E186">
            <v>15000</v>
          </cell>
          <cell r="F186">
            <v>0</v>
          </cell>
        </row>
        <row r="187">
          <cell r="A187" t="str">
            <v>GPRAK</v>
          </cell>
          <cell r="B187" t="str">
            <v xml:space="preserve"> PRAKASH CHANDRA SUTHAR</v>
          </cell>
          <cell r="C187" t="str">
            <v>ADVAN</v>
          </cell>
          <cell r="D187">
            <v>473009</v>
          </cell>
          <cell r="E187">
            <v>473009</v>
          </cell>
          <cell r="F187">
            <v>0</v>
          </cell>
        </row>
        <row r="188">
          <cell r="A188" t="str">
            <v>GSALE</v>
          </cell>
          <cell r="B188" t="str">
            <v xml:space="preserve"> SALES EMPORIUM</v>
          </cell>
          <cell r="C188" t="str">
            <v>ADVAN</v>
          </cell>
          <cell r="D188">
            <v>24000</v>
          </cell>
          <cell r="E188">
            <v>24000</v>
          </cell>
          <cell r="F188">
            <v>0</v>
          </cell>
        </row>
        <row r="189">
          <cell r="A189" t="str">
            <v>GSUDHI</v>
          </cell>
          <cell r="B189" t="str">
            <v xml:space="preserve"> SUDHIRENDER SINGH</v>
          </cell>
          <cell r="C189" t="str">
            <v>ADVAN</v>
          </cell>
          <cell r="D189">
            <v>80404</v>
          </cell>
          <cell r="E189">
            <v>80404</v>
          </cell>
          <cell r="F189">
            <v>0</v>
          </cell>
        </row>
        <row r="190">
          <cell r="A190" t="str">
            <v>GAVIEN</v>
          </cell>
          <cell r="B190" t="str">
            <v>A VINEET ENTERPRISES</v>
          </cell>
          <cell r="C190" t="str">
            <v>ADVAN</v>
          </cell>
          <cell r="D190">
            <v>615</v>
          </cell>
          <cell r="E190">
            <v>615</v>
          </cell>
          <cell r="F190">
            <v>0</v>
          </cell>
        </row>
        <row r="191">
          <cell r="A191" t="str">
            <v>GACON</v>
          </cell>
          <cell r="B191" t="str">
            <v>A. D. CONSULTANCY</v>
          </cell>
          <cell r="C191" t="str">
            <v>ADVAN</v>
          </cell>
          <cell r="D191">
            <v>3378</v>
          </cell>
          <cell r="E191">
            <v>3378</v>
          </cell>
          <cell r="F191">
            <v>0</v>
          </cell>
        </row>
        <row r="192">
          <cell r="A192" t="str">
            <v>GAKSD</v>
          </cell>
          <cell r="B192" t="str">
            <v>A.K. INDUSTRIES</v>
          </cell>
          <cell r="C192" t="str">
            <v>ADVAN</v>
          </cell>
          <cell r="D192">
            <v>1750</v>
          </cell>
          <cell r="E192">
            <v>1750</v>
          </cell>
          <cell r="F192">
            <v>0</v>
          </cell>
        </row>
        <row r="193">
          <cell r="A193" t="str">
            <v>GASFU</v>
          </cell>
          <cell r="B193" t="str">
            <v>A.S. FURNISHINGS</v>
          </cell>
          <cell r="C193" t="str">
            <v>ADVAN</v>
          </cell>
          <cell r="D193">
            <v>170000</v>
          </cell>
          <cell r="E193">
            <v>170000</v>
          </cell>
          <cell r="F193">
            <v>0</v>
          </cell>
        </row>
        <row r="194">
          <cell r="A194" t="str">
            <v>GADAR</v>
          </cell>
          <cell r="B194" t="str">
            <v>AADARSH AIRCON</v>
          </cell>
          <cell r="C194" t="str">
            <v>ADVAN</v>
          </cell>
          <cell r="D194">
            <v>62875</v>
          </cell>
          <cell r="E194">
            <v>62875</v>
          </cell>
          <cell r="F194">
            <v>0</v>
          </cell>
        </row>
        <row r="195">
          <cell r="A195" t="str">
            <v>GAARA</v>
          </cell>
          <cell r="B195" t="str">
            <v>AAR ASSOCIATES</v>
          </cell>
          <cell r="C195" t="str">
            <v>ADVAN</v>
          </cell>
          <cell r="D195">
            <v>182479</v>
          </cell>
          <cell r="E195">
            <v>182479</v>
          </cell>
          <cell r="F195">
            <v>0</v>
          </cell>
        </row>
        <row r="196">
          <cell r="A196" t="str">
            <v>GABCC</v>
          </cell>
          <cell r="B196" t="str">
            <v>ABC CONSULTANTS PRIVATE LTD</v>
          </cell>
          <cell r="C196" t="str">
            <v>ADVAN</v>
          </cell>
          <cell r="D196">
            <v>108000</v>
          </cell>
          <cell r="E196">
            <v>108000</v>
          </cell>
          <cell r="F196">
            <v>0</v>
          </cell>
        </row>
        <row r="197">
          <cell r="A197" t="str">
            <v>GABUU</v>
          </cell>
          <cell r="B197" t="str">
            <v>ABDUL</v>
          </cell>
          <cell r="C197" t="str">
            <v>ADVAN</v>
          </cell>
          <cell r="D197">
            <v>6739</v>
          </cell>
          <cell r="E197">
            <v>6739</v>
          </cell>
          <cell r="F197">
            <v>0</v>
          </cell>
        </row>
        <row r="198">
          <cell r="A198" t="str">
            <v>GABMA</v>
          </cell>
          <cell r="B198" t="str">
            <v>ABDUL MAJID HASMANI</v>
          </cell>
          <cell r="C198" t="str">
            <v>ADVAN</v>
          </cell>
          <cell r="D198">
            <v>29172</v>
          </cell>
          <cell r="E198">
            <v>29172</v>
          </cell>
          <cell r="F198">
            <v>0</v>
          </cell>
        </row>
        <row r="199">
          <cell r="A199" t="str">
            <v>GABHA</v>
          </cell>
          <cell r="B199" t="str">
            <v>ABHAYS SHOPPEE</v>
          </cell>
          <cell r="C199" t="str">
            <v>ADVAN</v>
          </cell>
          <cell r="D199">
            <v>5700</v>
          </cell>
          <cell r="E199">
            <v>5700</v>
          </cell>
          <cell r="F199">
            <v>0</v>
          </cell>
        </row>
        <row r="200">
          <cell r="A200" t="str">
            <v>GARRC</v>
          </cell>
          <cell r="B200" t="str">
            <v>ABIRAMI COMPUTERS</v>
          </cell>
          <cell r="C200" t="str">
            <v>ADVAN</v>
          </cell>
          <cell r="D200">
            <v>6800</v>
          </cell>
          <cell r="E200">
            <v>6800</v>
          </cell>
          <cell r="F200">
            <v>0</v>
          </cell>
        </row>
        <row r="201">
          <cell r="A201" t="str">
            <v>GACWO</v>
          </cell>
          <cell r="B201" t="str">
            <v>AC WORLD</v>
          </cell>
          <cell r="C201" t="str">
            <v>ADVAN</v>
          </cell>
          <cell r="D201">
            <v>69466</v>
          </cell>
          <cell r="E201">
            <v>69466</v>
          </cell>
          <cell r="F201">
            <v>0</v>
          </cell>
        </row>
        <row r="202">
          <cell r="A202" t="str">
            <v>GACTRL</v>
          </cell>
          <cell r="B202" t="str">
            <v>ACCEL TRANSMATIC LTD.</v>
          </cell>
          <cell r="C202" t="str">
            <v>ADVAN</v>
          </cell>
          <cell r="D202">
            <v>182363</v>
          </cell>
          <cell r="E202">
            <v>182363</v>
          </cell>
          <cell r="F202">
            <v>0</v>
          </cell>
        </row>
        <row r="203">
          <cell r="A203" t="str">
            <v>GACCO</v>
          </cell>
          <cell r="B203" t="str">
            <v>ACCOUNTS OFFICER DCS &amp; EM</v>
          </cell>
          <cell r="C203" t="str">
            <v>ADVAN</v>
          </cell>
          <cell r="D203">
            <v>5000</v>
          </cell>
          <cell r="E203">
            <v>5000</v>
          </cell>
          <cell r="F203">
            <v>0</v>
          </cell>
        </row>
        <row r="204">
          <cell r="A204" t="str">
            <v>GATEC</v>
          </cell>
          <cell r="B204" t="str">
            <v>ACENET TECHNOLOGIES INDIA (P) LTD.</v>
          </cell>
          <cell r="C204" t="str">
            <v>ADVAN</v>
          </cell>
          <cell r="D204">
            <v>32250</v>
          </cell>
          <cell r="E204">
            <v>32250</v>
          </cell>
          <cell r="F204">
            <v>0</v>
          </cell>
        </row>
        <row r="205">
          <cell r="A205" t="str">
            <v>GACTIV</v>
          </cell>
          <cell r="B205" t="str">
            <v>ACTIVA SOFTECH LTD</v>
          </cell>
          <cell r="C205" t="str">
            <v>ADVAN</v>
          </cell>
          <cell r="D205">
            <v>12000</v>
          </cell>
          <cell r="E205">
            <v>12000</v>
          </cell>
          <cell r="F205">
            <v>0</v>
          </cell>
        </row>
        <row r="206">
          <cell r="A206" t="str">
            <v>GA0336</v>
          </cell>
          <cell r="B206" t="str">
            <v>AD WORLD</v>
          </cell>
          <cell r="C206" t="str">
            <v>ADVAN</v>
          </cell>
          <cell r="D206">
            <v>274555</v>
          </cell>
          <cell r="E206">
            <v>274555</v>
          </cell>
          <cell r="F206">
            <v>0</v>
          </cell>
        </row>
        <row r="207">
          <cell r="A207" t="str">
            <v>GADVAN</v>
          </cell>
          <cell r="B207" t="str">
            <v>ADVANCE COMPUTER</v>
          </cell>
          <cell r="C207" t="str">
            <v>ADVAN</v>
          </cell>
          <cell r="D207">
            <v>1600</v>
          </cell>
          <cell r="E207">
            <v>1600</v>
          </cell>
          <cell r="F207">
            <v>0</v>
          </cell>
        </row>
        <row r="208">
          <cell r="A208" t="str">
            <v>GADES</v>
          </cell>
          <cell r="B208" t="str">
            <v>ADVANCES</v>
          </cell>
          <cell r="C208" t="str">
            <v>ADVAN</v>
          </cell>
          <cell r="D208">
            <v>668605</v>
          </cell>
          <cell r="E208">
            <v>668605</v>
          </cell>
          <cell r="F208">
            <v>0</v>
          </cell>
        </row>
        <row r="209">
          <cell r="A209" t="str">
            <v>GADWE</v>
          </cell>
          <cell r="B209" t="str">
            <v>ADWEB TECHNOLOGIES</v>
          </cell>
          <cell r="C209" t="str">
            <v>ADVAN</v>
          </cell>
          <cell r="D209">
            <v>56100</v>
          </cell>
          <cell r="E209">
            <v>56100</v>
          </cell>
          <cell r="F209">
            <v>0</v>
          </cell>
        </row>
        <row r="210">
          <cell r="A210" t="str">
            <v>GAEGIS</v>
          </cell>
          <cell r="B210" t="str">
            <v>AEGIS INFOWARE</v>
          </cell>
          <cell r="C210" t="str">
            <v>ADVAN</v>
          </cell>
          <cell r="D210">
            <v>15000</v>
          </cell>
          <cell r="E210">
            <v>15000</v>
          </cell>
          <cell r="F210">
            <v>0</v>
          </cell>
        </row>
        <row r="211">
          <cell r="A211" t="str">
            <v>GAEPR</v>
          </cell>
          <cell r="B211" t="str">
            <v>AESHA PROPERTIES</v>
          </cell>
          <cell r="C211" t="str">
            <v>ADVAN</v>
          </cell>
          <cell r="D211">
            <v>5130</v>
          </cell>
          <cell r="E211">
            <v>5130</v>
          </cell>
          <cell r="F211">
            <v>0</v>
          </cell>
        </row>
        <row r="212">
          <cell r="A212" t="str">
            <v>GAGEL</v>
          </cell>
          <cell r="B212" t="str">
            <v>AGARWAL ELECTRONICS</v>
          </cell>
          <cell r="C212" t="str">
            <v>ADVAN</v>
          </cell>
          <cell r="D212">
            <v>54000</v>
          </cell>
          <cell r="E212">
            <v>54000</v>
          </cell>
          <cell r="F212">
            <v>0</v>
          </cell>
        </row>
        <row r="213">
          <cell r="A213" t="str">
            <v>GATEN</v>
          </cell>
          <cell r="B213" t="str">
            <v>AIR TECH ENGINEERS</v>
          </cell>
          <cell r="C213" t="str">
            <v>ADVAN</v>
          </cell>
          <cell r="D213">
            <v>103</v>
          </cell>
          <cell r="E213">
            <v>103</v>
          </cell>
          <cell r="F213">
            <v>0</v>
          </cell>
        </row>
        <row r="214">
          <cell r="A214" t="str">
            <v>GAIRI</v>
          </cell>
          <cell r="B214" t="str">
            <v>AIRONET NETWORKS</v>
          </cell>
          <cell r="C214" t="str">
            <v>ADVAN</v>
          </cell>
          <cell r="D214">
            <v>612</v>
          </cell>
          <cell r="E214">
            <v>612</v>
          </cell>
          <cell r="F214">
            <v>0</v>
          </cell>
        </row>
        <row r="215">
          <cell r="A215" t="str">
            <v>GAJAI</v>
          </cell>
          <cell r="B215" t="str">
            <v>AJAI AGARWAL</v>
          </cell>
          <cell r="C215" t="str">
            <v>ADVAN</v>
          </cell>
          <cell r="D215">
            <v>57813</v>
          </cell>
          <cell r="E215">
            <v>57813</v>
          </cell>
          <cell r="F215">
            <v>0</v>
          </cell>
        </row>
        <row r="216">
          <cell r="A216" t="str">
            <v>GAJIT</v>
          </cell>
          <cell r="B216" t="str">
            <v>AJIT</v>
          </cell>
          <cell r="C216" t="str">
            <v>ADVAN</v>
          </cell>
          <cell r="D216">
            <v>10000</v>
          </cell>
          <cell r="E216">
            <v>10000</v>
          </cell>
          <cell r="F216">
            <v>0</v>
          </cell>
        </row>
        <row r="217">
          <cell r="A217" t="str">
            <v>GAJEL</v>
          </cell>
          <cell r="B217" t="str">
            <v>AJMERA ELECTRONICS</v>
          </cell>
          <cell r="C217" t="str">
            <v>ADVAN</v>
          </cell>
          <cell r="D217">
            <v>72080</v>
          </cell>
          <cell r="E217">
            <v>72080</v>
          </cell>
          <cell r="F217">
            <v>0</v>
          </cell>
        </row>
        <row r="218">
          <cell r="A218" t="str">
            <v>GAKAN</v>
          </cell>
          <cell r="B218" t="str">
            <v>AKANATH SHRINIVASARAO BELAMKAR &amp; NAMADEV SHRINIVAS</v>
          </cell>
          <cell r="C218" t="str">
            <v>ADVAN</v>
          </cell>
          <cell r="D218">
            <v>108375</v>
          </cell>
          <cell r="E218">
            <v>108375</v>
          </cell>
          <cell r="F218">
            <v>0</v>
          </cell>
        </row>
        <row r="219">
          <cell r="A219" t="str">
            <v>GAKBA</v>
          </cell>
          <cell r="B219" t="str">
            <v>AKBARALLYS</v>
          </cell>
          <cell r="C219" t="str">
            <v>ADVAN</v>
          </cell>
          <cell r="D219">
            <v>17345</v>
          </cell>
          <cell r="E219">
            <v>17345</v>
          </cell>
          <cell r="F219">
            <v>0</v>
          </cell>
        </row>
        <row r="220">
          <cell r="A220" t="str">
            <v>GAKHTA</v>
          </cell>
          <cell r="B220" t="str">
            <v>AKHTAR ALAM</v>
          </cell>
          <cell r="C220" t="str">
            <v>ADVAN</v>
          </cell>
          <cell r="D220">
            <v>33750</v>
          </cell>
          <cell r="E220">
            <v>33750</v>
          </cell>
          <cell r="F220">
            <v>0</v>
          </cell>
        </row>
        <row r="221">
          <cell r="A221" t="str">
            <v>GAKSH</v>
          </cell>
          <cell r="B221" t="str">
            <v>AKSHAY TIWARI LOAN ACCOUNT</v>
          </cell>
          <cell r="C221" t="str">
            <v>ADVAN</v>
          </cell>
          <cell r="D221">
            <v>4500</v>
          </cell>
          <cell r="E221">
            <v>4500</v>
          </cell>
          <cell r="F221">
            <v>0</v>
          </cell>
        </row>
        <row r="222">
          <cell r="A222" t="str">
            <v>GALFAAC</v>
          </cell>
          <cell r="B222" t="str">
            <v>ALFA AIR CONDITIONERS</v>
          </cell>
          <cell r="C222" t="str">
            <v>ADVAN</v>
          </cell>
          <cell r="D222">
            <v>56300</v>
          </cell>
          <cell r="E222">
            <v>56300</v>
          </cell>
          <cell r="F222">
            <v>0</v>
          </cell>
        </row>
        <row r="223">
          <cell r="A223" t="str">
            <v>GALFEN</v>
          </cell>
          <cell r="B223" t="str">
            <v>ALFA ENTERPRISE</v>
          </cell>
          <cell r="C223" t="str">
            <v>ADVAN</v>
          </cell>
          <cell r="D223">
            <v>13966</v>
          </cell>
          <cell r="E223">
            <v>13966</v>
          </cell>
          <cell r="F223">
            <v>0</v>
          </cell>
        </row>
        <row r="224">
          <cell r="A224" t="str">
            <v>GAAS</v>
          </cell>
          <cell r="B224" t="str">
            <v>ALLIANCE SIGNOTECH</v>
          </cell>
          <cell r="C224" t="str">
            <v>ADVAN</v>
          </cell>
          <cell r="D224">
            <v>3775</v>
          </cell>
          <cell r="E224">
            <v>3775</v>
          </cell>
          <cell r="F224">
            <v>0</v>
          </cell>
        </row>
        <row r="225">
          <cell r="A225" t="str">
            <v>GALEL</v>
          </cell>
          <cell r="B225" t="str">
            <v>ALLIED ELECTRONICS</v>
          </cell>
          <cell r="C225" t="str">
            <v>ADVAN</v>
          </cell>
          <cell r="D225">
            <v>58680</v>
          </cell>
          <cell r="E225">
            <v>58680</v>
          </cell>
          <cell r="F225">
            <v>0</v>
          </cell>
        </row>
        <row r="226">
          <cell r="A226" t="str">
            <v>GALLS</v>
          </cell>
          <cell r="B226" t="str">
            <v>ALLIED STORES</v>
          </cell>
          <cell r="C226" t="str">
            <v>ADVAN</v>
          </cell>
          <cell r="D226">
            <v>3238</v>
          </cell>
          <cell r="E226">
            <v>3238</v>
          </cell>
          <cell r="F226">
            <v>0</v>
          </cell>
        </row>
        <row r="227">
          <cell r="A227" t="str">
            <v>GALEN</v>
          </cell>
          <cell r="B227" t="str">
            <v>ALPHA ENTERPRISE</v>
          </cell>
          <cell r="C227" t="str">
            <v>ADVAN</v>
          </cell>
          <cell r="D227">
            <v>16000</v>
          </cell>
          <cell r="E227">
            <v>16000</v>
          </cell>
          <cell r="F227">
            <v>0</v>
          </cell>
        </row>
        <row r="228">
          <cell r="A228" t="str">
            <v>GALWO</v>
          </cell>
          <cell r="B228" t="str">
            <v>ALWAR ONLINE PVT LTD</v>
          </cell>
          <cell r="C228" t="str">
            <v>ADVAN</v>
          </cell>
          <cell r="D228">
            <v>3010</v>
          </cell>
          <cell r="E228">
            <v>3010</v>
          </cell>
          <cell r="F228">
            <v>0</v>
          </cell>
        </row>
        <row r="229">
          <cell r="A229" t="str">
            <v>GAMEL</v>
          </cell>
          <cell r="B229" t="str">
            <v>AMARDEEP ELECTRONICS</v>
          </cell>
          <cell r="C229" t="str">
            <v>ADVAN</v>
          </cell>
          <cell r="D229">
            <v>247300</v>
          </cell>
          <cell r="E229">
            <v>247300</v>
          </cell>
          <cell r="F229">
            <v>0</v>
          </cell>
        </row>
        <row r="230">
          <cell r="A230" t="str">
            <v>GAMJS</v>
          </cell>
          <cell r="B230" t="str">
            <v>AMARJEET SINGH JUNEJA</v>
          </cell>
          <cell r="C230" t="str">
            <v>ADVAN</v>
          </cell>
          <cell r="D230">
            <v>15427</v>
          </cell>
          <cell r="E230">
            <v>15427</v>
          </cell>
          <cell r="F230">
            <v>0</v>
          </cell>
        </row>
        <row r="231">
          <cell r="A231" t="str">
            <v>GAMAS</v>
          </cell>
          <cell r="B231" t="str">
            <v>AMARPREET SINGH</v>
          </cell>
          <cell r="C231" t="str">
            <v>ADVAN</v>
          </cell>
          <cell r="D231">
            <v>1234</v>
          </cell>
          <cell r="E231">
            <v>1234</v>
          </cell>
          <cell r="F231">
            <v>0</v>
          </cell>
        </row>
        <row r="232">
          <cell r="A232" t="str">
            <v>GAMBA</v>
          </cell>
          <cell r="B232" t="str">
            <v>AMBALA HOME APPLIANCES</v>
          </cell>
          <cell r="C232" t="str">
            <v>ADVAN</v>
          </cell>
          <cell r="D232">
            <v>4140</v>
          </cell>
          <cell r="E232">
            <v>4140</v>
          </cell>
          <cell r="F232">
            <v>0</v>
          </cell>
        </row>
        <row r="233">
          <cell r="A233" t="str">
            <v>GAMBT</v>
          </cell>
          <cell r="B233" t="str">
            <v>AMBIENT COMPUTRONICS PVT. LTD.</v>
          </cell>
          <cell r="C233" t="str">
            <v>ADVAN</v>
          </cell>
          <cell r="D233">
            <v>37598</v>
          </cell>
          <cell r="E233">
            <v>37598</v>
          </cell>
          <cell r="F233">
            <v>0</v>
          </cell>
        </row>
        <row r="234">
          <cell r="A234" t="str">
            <v>GAMTR</v>
          </cell>
          <cell r="B234" t="str">
            <v>AMBIKA TOUR &amp; TRAVELLS</v>
          </cell>
          <cell r="C234" t="str">
            <v>ADVAN</v>
          </cell>
          <cell r="D234">
            <v>4500</v>
          </cell>
          <cell r="E234">
            <v>4500</v>
          </cell>
          <cell r="F234">
            <v>0</v>
          </cell>
        </row>
        <row r="235">
          <cell r="A235" t="str">
            <v>GAMIC</v>
          </cell>
          <cell r="B235" t="str">
            <v>AMITESHWAR CHOWDHARI</v>
          </cell>
          <cell r="C235" t="str">
            <v>ADVAN</v>
          </cell>
          <cell r="D235">
            <v>4745</v>
          </cell>
          <cell r="E235">
            <v>4745</v>
          </cell>
          <cell r="F235">
            <v>0</v>
          </cell>
        </row>
        <row r="236">
          <cell r="A236" t="str">
            <v>GAMSO</v>
          </cell>
          <cell r="B236" t="str">
            <v>AMSON POWERTRONICS</v>
          </cell>
          <cell r="C236" t="str">
            <v>ADVAN</v>
          </cell>
          <cell r="D236">
            <v>13500</v>
          </cell>
          <cell r="E236">
            <v>13500</v>
          </cell>
          <cell r="F236">
            <v>0</v>
          </cell>
        </row>
        <row r="237">
          <cell r="A237" t="str">
            <v>GANEL</v>
          </cell>
          <cell r="B237" t="str">
            <v>ANA ELECTRONICS AND APPLIANCES</v>
          </cell>
          <cell r="C237" t="str">
            <v>ADVAN</v>
          </cell>
          <cell r="D237">
            <v>64500</v>
          </cell>
          <cell r="E237">
            <v>64500</v>
          </cell>
          <cell r="F237">
            <v>0</v>
          </cell>
        </row>
        <row r="238">
          <cell r="A238" t="str">
            <v>GANPL</v>
          </cell>
          <cell r="B238" t="str">
            <v>ANIL PLASTICS</v>
          </cell>
          <cell r="C238" t="str">
            <v>ADVAN</v>
          </cell>
          <cell r="D238">
            <v>33750</v>
          </cell>
          <cell r="E238">
            <v>33750</v>
          </cell>
          <cell r="F238">
            <v>0</v>
          </cell>
        </row>
        <row r="239">
          <cell r="A239" t="str">
            <v>GANIL</v>
          </cell>
          <cell r="B239" t="str">
            <v>ANIL SINGHI</v>
          </cell>
          <cell r="C239" t="str">
            <v>ADVAN</v>
          </cell>
          <cell r="D239">
            <v>6000</v>
          </cell>
          <cell r="E239">
            <v>6000</v>
          </cell>
          <cell r="F239">
            <v>0</v>
          </cell>
        </row>
        <row r="240">
          <cell r="A240" t="str">
            <v>GANVE</v>
          </cell>
          <cell r="B240" t="str">
            <v>ANIL VED MEHTA</v>
          </cell>
          <cell r="C240" t="str">
            <v>ADVAN</v>
          </cell>
          <cell r="D240">
            <v>52479</v>
          </cell>
          <cell r="E240">
            <v>52479</v>
          </cell>
          <cell r="F240">
            <v>0</v>
          </cell>
        </row>
        <row r="241">
          <cell r="A241" t="str">
            <v>GANJA</v>
          </cell>
          <cell r="B241" t="str">
            <v>ANJANA JAYESH VYAS</v>
          </cell>
          <cell r="C241" t="str">
            <v>ADVAN</v>
          </cell>
          <cell r="D241">
            <v>0.02</v>
          </cell>
          <cell r="E241">
            <v>0.02</v>
          </cell>
          <cell r="F241">
            <v>0</v>
          </cell>
        </row>
        <row r="242">
          <cell r="A242" t="str">
            <v>GANJN</v>
          </cell>
          <cell r="B242" t="str">
            <v>ANJNABEN NITINBHAI PATADIA</v>
          </cell>
          <cell r="C242" t="str">
            <v>ADVAN</v>
          </cell>
          <cell r="D242">
            <v>49000</v>
          </cell>
          <cell r="E242">
            <v>49000</v>
          </cell>
          <cell r="F242">
            <v>0</v>
          </cell>
        </row>
        <row r="243">
          <cell r="A243" t="str">
            <v>GANKIT</v>
          </cell>
          <cell r="B243" t="str">
            <v>ANKIT DECORATORS</v>
          </cell>
          <cell r="C243" t="str">
            <v>ADVAN</v>
          </cell>
          <cell r="D243">
            <v>69600</v>
          </cell>
          <cell r="E243">
            <v>69600</v>
          </cell>
          <cell r="F243">
            <v>0</v>
          </cell>
        </row>
        <row r="244">
          <cell r="A244" t="str">
            <v>GANKUR</v>
          </cell>
          <cell r="B244" t="str">
            <v>ANKUR</v>
          </cell>
          <cell r="C244" t="str">
            <v>ADVAN</v>
          </cell>
          <cell r="D244">
            <v>133780</v>
          </cell>
          <cell r="E244">
            <v>133780</v>
          </cell>
          <cell r="F244">
            <v>0</v>
          </cell>
        </row>
        <row r="245">
          <cell r="A245" t="str">
            <v>GANVD</v>
          </cell>
          <cell r="B245" t="str">
            <v>ANKUR V DALAL</v>
          </cell>
          <cell r="C245" t="str">
            <v>ADVAN</v>
          </cell>
          <cell r="D245">
            <v>7000</v>
          </cell>
          <cell r="E245">
            <v>7000</v>
          </cell>
          <cell r="F245">
            <v>0</v>
          </cell>
        </row>
        <row r="246">
          <cell r="A246" t="str">
            <v>GAHEN</v>
          </cell>
          <cell r="B246" t="str">
            <v>ANTHER HORTICS ENTERPRISES</v>
          </cell>
          <cell r="C246" t="str">
            <v>ADVAN</v>
          </cell>
          <cell r="D246">
            <v>7470</v>
          </cell>
          <cell r="E246">
            <v>7470</v>
          </cell>
          <cell r="F246">
            <v>0</v>
          </cell>
        </row>
        <row r="247">
          <cell r="A247" t="str">
            <v>GANUB</v>
          </cell>
          <cell r="B247" t="str">
            <v>ANU BUSINESS CORPORATION</v>
          </cell>
          <cell r="C247" t="str">
            <v>ADVAN</v>
          </cell>
          <cell r="D247">
            <v>4500</v>
          </cell>
          <cell r="E247">
            <v>4500</v>
          </cell>
          <cell r="F247">
            <v>0</v>
          </cell>
        </row>
        <row r="248">
          <cell r="A248" t="str">
            <v>GANUJ</v>
          </cell>
          <cell r="B248" t="str">
            <v>ANUJIT KAUR SETHI</v>
          </cell>
          <cell r="C248" t="str">
            <v>ADVAN</v>
          </cell>
          <cell r="D248">
            <v>12000</v>
          </cell>
          <cell r="E248">
            <v>12000</v>
          </cell>
          <cell r="F248">
            <v>0</v>
          </cell>
        </row>
        <row r="249">
          <cell r="A249" t="str">
            <v>GANUR</v>
          </cell>
          <cell r="B249" t="str">
            <v>ANURADHA SARAF SIDDHARTHA SARAF &amp; SAURAV SARAF</v>
          </cell>
          <cell r="C249" t="str">
            <v>ADVAN</v>
          </cell>
          <cell r="D249">
            <v>704310</v>
          </cell>
          <cell r="E249">
            <v>704310</v>
          </cell>
          <cell r="F249">
            <v>0</v>
          </cell>
        </row>
        <row r="250">
          <cell r="A250" t="str">
            <v>GANURA</v>
          </cell>
          <cell r="B250" t="str">
            <v>ANURAG  ELECTRONIS</v>
          </cell>
          <cell r="C250" t="str">
            <v>ADVAN</v>
          </cell>
          <cell r="D250">
            <v>36810</v>
          </cell>
          <cell r="E250">
            <v>36810</v>
          </cell>
          <cell r="F250">
            <v>0</v>
          </cell>
        </row>
        <row r="251">
          <cell r="A251" t="str">
            <v>GARAS</v>
          </cell>
          <cell r="B251" t="str">
            <v>AR.A.S. APPLIANCES PVT. LTD.</v>
          </cell>
          <cell r="C251" t="str">
            <v>ADVAN</v>
          </cell>
          <cell r="D251">
            <v>26860</v>
          </cell>
          <cell r="E251">
            <v>26860</v>
          </cell>
          <cell r="F251">
            <v>0</v>
          </cell>
        </row>
        <row r="252">
          <cell r="A252" t="str">
            <v>GARCI</v>
          </cell>
          <cell r="B252" t="str">
            <v>ARC INFOTECH (P) LTD.</v>
          </cell>
          <cell r="C252" t="str">
            <v>ADVAN</v>
          </cell>
          <cell r="D252">
            <v>890976</v>
          </cell>
          <cell r="E252">
            <v>890976</v>
          </cell>
          <cell r="F252">
            <v>0</v>
          </cell>
        </row>
        <row r="253">
          <cell r="A253" t="str">
            <v>GARCH</v>
          </cell>
          <cell r="B253" t="str">
            <v>ARCHE ASSOCIATES</v>
          </cell>
          <cell r="C253" t="str">
            <v>ADVAN</v>
          </cell>
          <cell r="D253">
            <v>231312</v>
          </cell>
          <cell r="E253">
            <v>231312</v>
          </cell>
          <cell r="F253">
            <v>0</v>
          </cell>
        </row>
        <row r="254">
          <cell r="A254" t="str">
            <v>GARMF</v>
          </cell>
          <cell r="B254" t="str">
            <v>ARM FOODS PVT LTD</v>
          </cell>
          <cell r="C254" t="str">
            <v>ADVAN</v>
          </cell>
          <cell r="D254">
            <v>286531</v>
          </cell>
          <cell r="E254">
            <v>286531</v>
          </cell>
          <cell r="F254">
            <v>0</v>
          </cell>
        </row>
        <row r="255">
          <cell r="A255" t="str">
            <v>GARPH</v>
          </cell>
          <cell r="B255" t="str">
            <v>ARORA PHOTOSTAT</v>
          </cell>
          <cell r="C255" t="str">
            <v>ADVAN</v>
          </cell>
          <cell r="D255">
            <v>15034</v>
          </cell>
          <cell r="E255">
            <v>15034</v>
          </cell>
          <cell r="F255">
            <v>0</v>
          </cell>
        </row>
        <row r="256">
          <cell r="A256" t="str">
            <v>GARUN</v>
          </cell>
          <cell r="B256" t="str">
            <v>ARUN JAIN</v>
          </cell>
          <cell r="C256" t="str">
            <v>ADVAN</v>
          </cell>
          <cell r="D256">
            <v>39953</v>
          </cell>
          <cell r="E256">
            <v>39953</v>
          </cell>
          <cell r="F256">
            <v>0</v>
          </cell>
        </row>
        <row r="257">
          <cell r="A257" t="str">
            <v>GARUK</v>
          </cell>
          <cell r="B257" t="str">
            <v>ARUN KUMAR JAIN</v>
          </cell>
          <cell r="C257" t="str">
            <v>ADVAN</v>
          </cell>
          <cell r="D257">
            <v>9000</v>
          </cell>
          <cell r="E257">
            <v>9000</v>
          </cell>
          <cell r="F257">
            <v>0</v>
          </cell>
        </row>
        <row r="258">
          <cell r="A258" t="str">
            <v>GASHE</v>
          </cell>
          <cell r="B258" t="str">
            <v>ASHOK ELECTRICALS</v>
          </cell>
          <cell r="C258" t="str">
            <v>ADVAN</v>
          </cell>
          <cell r="D258">
            <v>62475</v>
          </cell>
          <cell r="E258">
            <v>62475</v>
          </cell>
          <cell r="F258">
            <v>0</v>
          </cell>
        </row>
        <row r="259">
          <cell r="A259" t="str">
            <v>GMOCO</v>
          </cell>
          <cell r="B259" t="str">
            <v>ASHOK SB</v>
          </cell>
          <cell r="C259" t="str">
            <v>ADVAN</v>
          </cell>
          <cell r="D259">
            <v>6000</v>
          </cell>
          <cell r="E259">
            <v>6000</v>
          </cell>
          <cell r="F259">
            <v>0</v>
          </cell>
        </row>
        <row r="260">
          <cell r="A260" t="str">
            <v>GASHU</v>
          </cell>
          <cell r="B260" t="str">
            <v>ASHUTOSH ENTERPRISE</v>
          </cell>
          <cell r="C260" t="str">
            <v>ADVAN</v>
          </cell>
          <cell r="D260">
            <v>138</v>
          </cell>
          <cell r="E260">
            <v>138</v>
          </cell>
          <cell r="F260">
            <v>0</v>
          </cell>
        </row>
        <row r="261">
          <cell r="A261" t="str">
            <v>GATRA</v>
          </cell>
          <cell r="B261" t="str">
            <v>ASIAN TRADERS</v>
          </cell>
          <cell r="C261" t="str">
            <v>ADVAN</v>
          </cell>
          <cell r="D261">
            <v>14061</v>
          </cell>
          <cell r="E261">
            <v>14061</v>
          </cell>
          <cell r="F261">
            <v>0</v>
          </cell>
        </row>
        <row r="262">
          <cell r="A262" t="str">
            <v>GAIVA</v>
          </cell>
          <cell r="B262" t="str">
            <v>ASSOCIATED INDO-VIETNAM AGENCIES</v>
          </cell>
          <cell r="C262" t="str">
            <v>ADVAN</v>
          </cell>
          <cell r="D262">
            <v>6200</v>
          </cell>
          <cell r="E262">
            <v>6200</v>
          </cell>
          <cell r="F262">
            <v>0</v>
          </cell>
        </row>
        <row r="263">
          <cell r="A263" t="str">
            <v>GASTI</v>
          </cell>
          <cell r="B263" t="str">
            <v>ASTITVA CONSTRUCTION</v>
          </cell>
          <cell r="C263" t="str">
            <v>ADVAN</v>
          </cell>
          <cell r="D263">
            <v>10000</v>
          </cell>
          <cell r="E263">
            <v>10000</v>
          </cell>
          <cell r="F263">
            <v>0</v>
          </cell>
        </row>
        <row r="264">
          <cell r="A264" t="str">
            <v>GASTA</v>
          </cell>
          <cell r="B264" t="str">
            <v>ASTRA ADVERTISING</v>
          </cell>
          <cell r="C264" t="str">
            <v>ADVAN</v>
          </cell>
          <cell r="D264">
            <v>146783</v>
          </cell>
          <cell r="E264">
            <v>146783</v>
          </cell>
          <cell r="F264">
            <v>0</v>
          </cell>
        </row>
        <row r="265">
          <cell r="A265" t="str">
            <v>GAUSA</v>
          </cell>
          <cell r="B265" t="str">
            <v>AUSAF MIRZA</v>
          </cell>
          <cell r="C265" t="str">
            <v>ADVAN</v>
          </cell>
          <cell r="D265">
            <v>2146</v>
          </cell>
          <cell r="E265">
            <v>2146</v>
          </cell>
          <cell r="F265">
            <v>0</v>
          </cell>
        </row>
        <row r="266">
          <cell r="A266" t="str">
            <v>GAUTO</v>
          </cell>
          <cell r="B266" t="str">
            <v>AUTO VENDERS</v>
          </cell>
          <cell r="C266" t="str">
            <v>ADVAN</v>
          </cell>
          <cell r="D266">
            <v>55924</v>
          </cell>
          <cell r="E266">
            <v>55924</v>
          </cell>
          <cell r="F266">
            <v>0</v>
          </cell>
        </row>
        <row r="267">
          <cell r="A267" t="str">
            <v>GAVDH</v>
          </cell>
          <cell r="B267" t="str">
            <v>AVDHOOT CORPORATION</v>
          </cell>
          <cell r="C267" t="str">
            <v>ADVAN</v>
          </cell>
          <cell r="D267">
            <v>19767</v>
          </cell>
          <cell r="E267">
            <v>19767</v>
          </cell>
          <cell r="F267">
            <v>0</v>
          </cell>
        </row>
        <row r="268">
          <cell r="A268" t="str">
            <v>GAYES</v>
          </cell>
          <cell r="B268" t="str">
            <v>AYESHA MAJUMDAR</v>
          </cell>
          <cell r="C268" t="str">
            <v>ADVAN</v>
          </cell>
          <cell r="D268">
            <v>18730</v>
          </cell>
          <cell r="E268">
            <v>18730</v>
          </cell>
          <cell r="F268">
            <v>0</v>
          </cell>
        </row>
        <row r="269">
          <cell r="A269" t="str">
            <v>GAYUB</v>
          </cell>
          <cell r="B269" t="str">
            <v>AYUB S. MULLAN</v>
          </cell>
          <cell r="C269" t="str">
            <v>ADVAN</v>
          </cell>
          <cell r="D269">
            <v>116577</v>
          </cell>
          <cell r="E269">
            <v>116577</v>
          </cell>
          <cell r="F269">
            <v>0</v>
          </cell>
        </row>
        <row r="270">
          <cell r="A270" t="str">
            <v>GAKHT</v>
          </cell>
          <cell r="B270" t="str">
            <v>AZAD ENTERPRISES</v>
          </cell>
          <cell r="C270" t="str">
            <v>ADVAN</v>
          </cell>
          <cell r="D270">
            <v>108822</v>
          </cell>
          <cell r="E270">
            <v>108822</v>
          </cell>
          <cell r="F270">
            <v>0</v>
          </cell>
        </row>
        <row r="271">
          <cell r="A271" t="str">
            <v>GBVEN</v>
          </cell>
          <cell r="B271" t="str">
            <v>B.VENKATA RAMANA REDDY</v>
          </cell>
          <cell r="C271" t="str">
            <v>ADVAN</v>
          </cell>
          <cell r="D271">
            <v>3000</v>
          </cell>
          <cell r="E271">
            <v>3000</v>
          </cell>
          <cell r="F271">
            <v>0</v>
          </cell>
        </row>
        <row r="272">
          <cell r="A272" t="str">
            <v>GBABU</v>
          </cell>
          <cell r="B272" t="str">
            <v>BABU</v>
          </cell>
          <cell r="C272" t="str">
            <v>ADVAN</v>
          </cell>
          <cell r="D272">
            <v>9500</v>
          </cell>
          <cell r="E272">
            <v>9500</v>
          </cell>
          <cell r="F272">
            <v>0</v>
          </cell>
        </row>
        <row r="273">
          <cell r="A273" t="str">
            <v>GBAGM</v>
          </cell>
          <cell r="B273" t="str">
            <v>BAGMAR TRADERS</v>
          </cell>
          <cell r="C273" t="str">
            <v>ADVAN</v>
          </cell>
          <cell r="D273">
            <v>22500</v>
          </cell>
          <cell r="E273">
            <v>22500</v>
          </cell>
          <cell r="F273">
            <v>0</v>
          </cell>
        </row>
        <row r="274">
          <cell r="A274" t="str">
            <v>GBAJA</v>
          </cell>
          <cell r="B274" t="str">
            <v>BAJAJ ELECTRONICS</v>
          </cell>
          <cell r="C274" t="str">
            <v>ADVAN</v>
          </cell>
          <cell r="D274">
            <v>7500</v>
          </cell>
          <cell r="E274">
            <v>7500</v>
          </cell>
          <cell r="F274">
            <v>0</v>
          </cell>
        </row>
        <row r="275">
          <cell r="A275" t="str">
            <v>GBALT</v>
          </cell>
          <cell r="B275" t="str">
            <v>BALA TOURIST</v>
          </cell>
          <cell r="C275" t="str">
            <v>ADVAN</v>
          </cell>
          <cell r="D275">
            <v>1420</v>
          </cell>
          <cell r="E275">
            <v>1420</v>
          </cell>
          <cell r="F275">
            <v>0</v>
          </cell>
        </row>
        <row r="276">
          <cell r="A276" t="str">
            <v>GBAJI</v>
          </cell>
          <cell r="B276" t="str">
            <v>BALAJI COMPUTERS</v>
          </cell>
          <cell r="C276" t="str">
            <v>ADVAN</v>
          </cell>
          <cell r="D276">
            <v>14950</v>
          </cell>
          <cell r="E276">
            <v>14950</v>
          </cell>
          <cell r="F276">
            <v>0</v>
          </cell>
        </row>
        <row r="277">
          <cell r="A277" t="str">
            <v>GBALA</v>
          </cell>
          <cell r="B277" t="str">
            <v>BALAJI TRAVELS PVT LTD</v>
          </cell>
          <cell r="C277" t="str">
            <v>ADVAN</v>
          </cell>
          <cell r="D277">
            <v>62780</v>
          </cell>
          <cell r="E277">
            <v>62780</v>
          </cell>
          <cell r="F277">
            <v>0</v>
          </cell>
        </row>
        <row r="278">
          <cell r="A278" t="str">
            <v>GBALY</v>
          </cell>
          <cell r="B278" t="str">
            <v>BALBIR YADAV</v>
          </cell>
          <cell r="C278" t="str">
            <v>ADVAN</v>
          </cell>
          <cell r="D278">
            <v>26609</v>
          </cell>
          <cell r="E278">
            <v>26609</v>
          </cell>
          <cell r="F278">
            <v>0</v>
          </cell>
        </row>
        <row r="279">
          <cell r="A279" t="str">
            <v>GBALD</v>
          </cell>
          <cell r="B279" t="str">
            <v>BALDEV RAJ ARORA</v>
          </cell>
          <cell r="C279" t="str">
            <v>ADVAN</v>
          </cell>
          <cell r="D279">
            <v>116700</v>
          </cell>
          <cell r="E279">
            <v>116700</v>
          </cell>
          <cell r="F279">
            <v>0</v>
          </cell>
        </row>
        <row r="280">
          <cell r="A280" t="str">
            <v>GBALW</v>
          </cell>
          <cell r="B280" t="str">
            <v>BALWANT SINGH</v>
          </cell>
          <cell r="C280" t="str">
            <v>ADVAN</v>
          </cell>
          <cell r="D280">
            <v>95500</v>
          </cell>
          <cell r="E280">
            <v>95500</v>
          </cell>
          <cell r="F280">
            <v>0</v>
          </cell>
        </row>
        <row r="281">
          <cell r="A281" t="str">
            <v>GBJES</v>
          </cell>
          <cell r="B281" t="str">
            <v>BANGALORE JESUIT EDUCATIONAL SOCIETY</v>
          </cell>
          <cell r="C281" t="str">
            <v>ADVAN</v>
          </cell>
          <cell r="D281">
            <v>416371</v>
          </cell>
          <cell r="E281">
            <v>416371</v>
          </cell>
          <cell r="F281">
            <v>0</v>
          </cell>
        </row>
        <row r="282">
          <cell r="A282" t="str">
            <v>GBAIN</v>
          </cell>
          <cell r="B282" t="str">
            <v>BANSAL INDUSTRIES</v>
          </cell>
          <cell r="C282" t="str">
            <v>ADVAN</v>
          </cell>
          <cell r="D282">
            <v>17850</v>
          </cell>
          <cell r="E282">
            <v>17850</v>
          </cell>
          <cell r="F282">
            <v>0</v>
          </cell>
        </row>
        <row r="283">
          <cell r="A283" t="str">
            <v>GBANS</v>
          </cell>
          <cell r="B283" t="str">
            <v>BANSI TRADE CONDOMINIUM</v>
          </cell>
          <cell r="C283" t="str">
            <v>ADVAN</v>
          </cell>
          <cell r="D283">
            <v>30268</v>
          </cell>
          <cell r="E283">
            <v>30268</v>
          </cell>
          <cell r="F283">
            <v>0</v>
          </cell>
        </row>
        <row r="284">
          <cell r="A284" t="str">
            <v>GBANY</v>
          </cell>
          <cell r="B284" t="str">
            <v>BANYAN CONSTRUCTIONS</v>
          </cell>
          <cell r="C284" t="str">
            <v>ADVAN</v>
          </cell>
          <cell r="D284">
            <v>10349</v>
          </cell>
          <cell r="E284">
            <v>10349</v>
          </cell>
          <cell r="F284">
            <v>0</v>
          </cell>
        </row>
        <row r="285">
          <cell r="A285" t="str">
            <v>GBEEC</v>
          </cell>
          <cell r="B285" t="str">
            <v>BEECHAMS PRESS PVT. LTD.</v>
          </cell>
          <cell r="C285" t="str">
            <v>ADVAN</v>
          </cell>
          <cell r="D285">
            <v>3740</v>
          </cell>
          <cell r="E285">
            <v>3740</v>
          </cell>
          <cell r="F285">
            <v>0</v>
          </cell>
        </row>
        <row r="286">
          <cell r="A286" t="str">
            <v>GBELA</v>
          </cell>
          <cell r="B286" t="str">
            <v>BELAX ELECTRONICS</v>
          </cell>
          <cell r="C286" t="str">
            <v>ADVAN</v>
          </cell>
          <cell r="D286">
            <v>28600</v>
          </cell>
          <cell r="E286">
            <v>28600</v>
          </cell>
          <cell r="F286">
            <v>0</v>
          </cell>
        </row>
        <row r="287">
          <cell r="A287" t="str">
            <v>GBERW</v>
          </cell>
          <cell r="B287" t="str">
            <v>BERWAL ENTERPRISES DTDC COURIER</v>
          </cell>
          <cell r="C287" t="str">
            <v>ADVAN</v>
          </cell>
          <cell r="D287">
            <v>1181</v>
          </cell>
          <cell r="E287">
            <v>1181</v>
          </cell>
          <cell r="F287">
            <v>0</v>
          </cell>
        </row>
        <row r="288">
          <cell r="A288" t="str">
            <v>GBHSIN</v>
          </cell>
          <cell r="B288" t="str">
            <v>BHAGAWANT SINGH</v>
          </cell>
          <cell r="C288" t="str">
            <v>ADVAN</v>
          </cell>
          <cell r="D288">
            <v>1788</v>
          </cell>
          <cell r="E288">
            <v>1788</v>
          </cell>
          <cell r="F288">
            <v>0</v>
          </cell>
        </row>
        <row r="289">
          <cell r="A289" t="str">
            <v>GBGKA</v>
          </cell>
          <cell r="B289" t="str">
            <v>BHAGIRATHI KANODIA</v>
          </cell>
          <cell r="C289" t="str">
            <v>ADVAN</v>
          </cell>
          <cell r="D289">
            <v>24637</v>
          </cell>
          <cell r="E289">
            <v>24637</v>
          </cell>
          <cell r="F289">
            <v>0</v>
          </cell>
        </row>
        <row r="290">
          <cell r="A290" t="str">
            <v>GBHGS</v>
          </cell>
          <cell r="B290" t="str">
            <v>BHAGWATI BANQUETS AND HOTLES LTD</v>
          </cell>
          <cell r="C290" t="str">
            <v>ADVAN</v>
          </cell>
          <cell r="D290">
            <v>3819</v>
          </cell>
          <cell r="E290">
            <v>3819</v>
          </cell>
          <cell r="F290">
            <v>0</v>
          </cell>
        </row>
        <row r="291">
          <cell r="A291" t="str">
            <v>GBHAGW</v>
          </cell>
          <cell r="B291" t="str">
            <v>BHAGWATI TRADERS</v>
          </cell>
          <cell r="C291" t="str">
            <v>ADVAN</v>
          </cell>
          <cell r="D291">
            <v>5906</v>
          </cell>
          <cell r="E291">
            <v>5906</v>
          </cell>
          <cell r="F291">
            <v>0</v>
          </cell>
        </row>
        <row r="292">
          <cell r="A292" t="str">
            <v>GBHYA</v>
          </cell>
          <cell r="B292" t="str">
            <v>BHAGYA SHREE STATIONERS &amp; SUPPLIERS</v>
          </cell>
          <cell r="C292" t="str">
            <v>ADVAN</v>
          </cell>
          <cell r="D292">
            <v>2063</v>
          </cell>
          <cell r="E292">
            <v>2063</v>
          </cell>
          <cell r="F292">
            <v>0</v>
          </cell>
        </row>
        <row r="293">
          <cell r="A293" t="str">
            <v>GBTSP</v>
          </cell>
          <cell r="B293" t="str">
            <v>BHARAT TELE SHOP</v>
          </cell>
          <cell r="C293" t="str">
            <v>ADVAN</v>
          </cell>
          <cell r="D293">
            <v>3960</v>
          </cell>
          <cell r="E293">
            <v>3960</v>
          </cell>
          <cell r="F293">
            <v>0</v>
          </cell>
        </row>
        <row r="294">
          <cell r="A294" t="str">
            <v>GBHPT</v>
          </cell>
          <cell r="B294" t="str">
            <v>BHART PETROLIUM</v>
          </cell>
          <cell r="C294" t="str">
            <v>ADVAN</v>
          </cell>
          <cell r="D294">
            <v>25044</v>
          </cell>
          <cell r="E294">
            <v>25044</v>
          </cell>
          <cell r="F294">
            <v>0</v>
          </cell>
        </row>
        <row r="295">
          <cell r="A295" t="str">
            <v>GBHAI</v>
          </cell>
          <cell r="B295" t="str">
            <v>BHARTI INFOTEL LIMITED</v>
          </cell>
          <cell r="C295" t="str">
            <v>ADVAN</v>
          </cell>
          <cell r="D295">
            <v>2959002</v>
          </cell>
          <cell r="E295">
            <v>2959002</v>
          </cell>
          <cell r="F295">
            <v>0</v>
          </cell>
        </row>
        <row r="296">
          <cell r="A296" t="str">
            <v>GBHART</v>
          </cell>
          <cell r="B296" t="str">
            <v>BHARTI TELETECH LIMITED</v>
          </cell>
          <cell r="C296" t="str">
            <v>ADVAN</v>
          </cell>
          <cell r="D296">
            <v>25867</v>
          </cell>
          <cell r="E296">
            <v>25867</v>
          </cell>
          <cell r="F296">
            <v>0</v>
          </cell>
        </row>
        <row r="297">
          <cell r="A297" t="str">
            <v>GBHAS</v>
          </cell>
          <cell r="B297" t="str">
            <v>BHASIN AGENCIES</v>
          </cell>
          <cell r="C297" t="str">
            <v>ADVAN</v>
          </cell>
          <cell r="D297">
            <v>15625</v>
          </cell>
          <cell r="E297">
            <v>15625</v>
          </cell>
          <cell r="F297">
            <v>0</v>
          </cell>
        </row>
        <row r="298">
          <cell r="A298" t="str">
            <v>GBHSH</v>
          </cell>
          <cell r="B298" t="str">
            <v>BHAVIN SHAH</v>
          </cell>
          <cell r="C298" t="str">
            <v>ADVAN</v>
          </cell>
          <cell r="D298">
            <v>5000</v>
          </cell>
          <cell r="E298">
            <v>5000</v>
          </cell>
          <cell r="F298">
            <v>0</v>
          </cell>
        </row>
        <row r="299">
          <cell r="A299" t="str">
            <v>GBHAW</v>
          </cell>
          <cell r="B299" t="str">
            <v>BHAWNA SINGH</v>
          </cell>
          <cell r="C299" t="str">
            <v>ADVAN</v>
          </cell>
          <cell r="D299">
            <v>14273</v>
          </cell>
          <cell r="E299">
            <v>14273</v>
          </cell>
          <cell r="F299">
            <v>0</v>
          </cell>
        </row>
        <row r="300">
          <cell r="A300" t="str">
            <v>GBHOM</v>
          </cell>
          <cell r="B300" t="str">
            <v>BHOMBAL MONDAL</v>
          </cell>
          <cell r="C300" t="str">
            <v>ADVAN</v>
          </cell>
          <cell r="D300">
            <v>2612.5</v>
          </cell>
          <cell r="E300">
            <v>2612.5</v>
          </cell>
          <cell r="F300">
            <v>0</v>
          </cell>
        </row>
        <row r="301">
          <cell r="A301" t="str">
            <v>GBIGB</v>
          </cell>
          <cell r="B301" t="str">
            <v>BIG BYTE</v>
          </cell>
          <cell r="C301" t="str">
            <v>ADVAN</v>
          </cell>
          <cell r="D301">
            <v>6864</v>
          </cell>
          <cell r="E301">
            <v>6864</v>
          </cell>
          <cell r="F301">
            <v>0</v>
          </cell>
        </row>
        <row r="302">
          <cell r="A302" t="str">
            <v>GBIKA</v>
          </cell>
          <cell r="B302" t="str">
            <v>BIKASH PATRA</v>
          </cell>
          <cell r="C302" t="str">
            <v>ADVAN</v>
          </cell>
          <cell r="D302">
            <v>16800</v>
          </cell>
          <cell r="E302">
            <v>16800</v>
          </cell>
          <cell r="F302">
            <v>0</v>
          </cell>
        </row>
        <row r="303">
          <cell r="A303" t="str">
            <v>GBILA</v>
          </cell>
          <cell r="B303" t="str">
            <v>BILLA COOLERS</v>
          </cell>
          <cell r="C303" t="str">
            <v>ADVAN</v>
          </cell>
          <cell r="D303">
            <v>30737</v>
          </cell>
          <cell r="E303">
            <v>30737</v>
          </cell>
          <cell r="F303">
            <v>0</v>
          </cell>
        </row>
        <row r="304">
          <cell r="A304" t="str">
            <v>GBIPI</v>
          </cell>
          <cell r="B304" t="str">
            <v>BIPIN ENTERPRISES</v>
          </cell>
          <cell r="C304" t="str">
            <v>ADVAN</v>
          </cell>
          <cell r="D304">
            <v>842</v>
          </cell>
          <cell r="E304">
            <v>842</v>
          </cell>
          <cell r="F304">
            <v>0</v>
          </cell>
        </row>
        <row r="305">
          <cell r="A305" t="str">
            <v>GBISM</v>
          </cell>
          <cell r="B305" t="str">
            <v>BISMI ELECTRONICS</v>
          </cell>
          <cell r="C305" t="str">
            <v>ADVAN</v>
          </cell>
          <cell r="D305">
            <v>74500</v>
          </cell>
          <cell r="E305">
            <v>74500</v>
          </cell>
          <cell r="F305">
            <v>0</v>
          </cell>
        </row>
        <row r="306">
          <cell r="A306" t="str">
            <v>GBISW</v>
          </cell>
          <cell r="B306" t="str">
            <v>BISWAJIT MAJUMDER</v>
          </cell>
          <cell r="C306" t="str">
            <v>ADVAN</v>
          </cell>
          <cell r="D306">
            <v>800</v>
          </cell>
          <cell r="E306">
            <v>800</v>
          </cell>
          <cell r="F306">
            <v>0</v>
          </cell>
        </row>
        <row r="307">
          <cell r="A307" t="str">
            <v>GBITU</v>
          </cell>
          <cell r="B307" t="str">
            <v>BITTU AUTO ELECTRIC WORKS</v>
          </cell>
          <cell r="C307" t="str">
            <v>ADVAN</v>
          </cell>
          <cell r="D307">
            <v>36750</v>
          </cell>
          <cell r="E307">
            <v>36750</v>
          </cell>
          <cell r="F307">
            <v>0</v>
          </cell>
        </row>
        <row r="308">
          <cell r="A308" t="str">
            <v>GBLAC</v>
          </cell>
          <cell r="B308" t="str">
            <v>BLACK BELT COMMANDOS SECURITY SYSTEMS</v>
          </cell>
          <cell r="C308" t="str">
            <v>ADVAN</v>
          </cell>
          <cell r="D308">
            <v>2358</v>
          </cell>
          <cell r="E308">
            <v>2358</v>
          </cell>
          <cell r="F308">
            <v>0</v>
          </cell>
        </row>
        <row r="309">
          <cell r="A309" t="str">
            <v>GBLOW</v>
          </cell>
          <cell r="B309" t="str">
            <v>BLOW PLAST LIMITED</v>
          </cell>
          <cell r="C309" t="str">
            <v>ADVAN</v>
          </cell>
          <cell r="D309">
            <v>320337</v>
          </cell>
          <cell r="E309">
            <v>320337</v>
          </cell>
          <cell r="F309">
            <v>0</v>
          </cell>
        </row>
        <row r="310">
          <cell r="A310" t="str">
            <v>GBLCH</v>
          </cell>
          <cell r="B310" t="str">
            <v>BLUE CHIP OWNERS SERVICE SOCIETY LTD</v>
          </cell>
          <cell r="C310" t="str">
            <v>ADVAN</v>
          </cell>
          <cell r="D310">
            <v>8120</v>
          </cell>
          <cell r="E310">
            <v>8120</v>
          </cell>
          <cell r="F310">
            <v>0</v>
          </cell>
        </row>
        <row r="311">
          <cell r="A311" t="str">
            <v>GBOMB</v>
          </cell>
          <cell r="B311" t="str">
            <v>BOMBAY HOME COMFORTS</v>
          </cell>
          <cell r="C311" t="str">
            <v>ADVAN</v>
          </cell>
          <cell r="D311">
            <v>6900</v>
          </cell>
          <cell r="E311">
            <v>6900</v>
          </cell>
          <cell r="F311">
            <v>0</v>
          </cell>
        </row>
        <row r="312">
          <cell r="A312" t="str">
            <v>GNSEL</v>
          </cell>
          <cell r="B312" t="str">
            <v>BOMBAY STOCK EXCHANGE LIMITED</v>
          </cell>
          <cell r="C312" t="str">
            <v>ADVAN</v>
          </cell>
          <cell r="D312">
            <v>6376055</v>
          </cell>
          <cell r="E312">
            <v>47639</v>
          </cell>
          <cell r="F312">
            <v>6328416</v>
          </cell>
        </row>
        <row r="313">
          <cell r="A313" t="str">
            <v>GBOST</v>
          </cell>
          <cell r="B313" t="str">
            <v>BOMBAY STUDIO</v>
          </cell>
          <cell r="C313" t="str">
            <v>ADVAN</v>
          </cell>
          <cell r="D313">
            <v>300</v>
          </cell>
          <cell r="E313">
            <v>300</v>
          </cell>
          <cell r="F313">
            <v>0</v>
          </cell>
        </row>
        <row r="314">
          <cell r="A314" t="str">
            <v>GBRUN</v>
          </cell>
          <cell r="B314" t="str">
            <v>BRUNDAVAN ENTERPRISES</v>
          </cell>
          <cell r="C314" t="str">
            <v>ADVAN</v>
          </cell>
          <cell r="D314">
            <v>4564</v>
          </cell>
          <cell r="E314">
            <v>4564</v>
          </cell>
          <cell r="F314">
            <v>0</v>
          </cell>
        </row>
        <row r="315">
          <cell r="A315" t="str">
            <v>GCAPI</v>
          </cell>
          <cell r="B315" t="str">
            <v>CAPITAL SKY SHOP</v>
          </cell>
          <cell r="C315" t="str">
            <v>ADVAN</v>
          </cell>
          <cell r="D315">
            <v>955</v>
          </cell>
          <cell r="E315">
            <v>955</v>
          </cell>
          <cell r="F315">
            <v>0</v>
          </cell>
        </row>
        <row r="316">
          <cell r="A316" t="str">
            <v>GCAPT</v>
          </cell>
          <cell r="B316" t="str">
            <v>CAPITAL TRADERS</v>
          </cell>
          <cell r="C316" t="str">
            <v>ADVAN</v>
          </cell>
          <cell r="D316">
            <v>9918</v>
          </cell>
          <cell r="E316">
            <v>9918</v>
          </cell>
          <cell r="F316">
            <v>0</v>
          </cell>
        </row>
        <row r="317">
          <cell r="A317" t="str">
            <v>GCARE</v>
          </cell>
          <cell r="B317" t="str">
            <v>CARE ENTERPRISE</v>
          </cell>
          <cell r="C317" t="str">
            <v>ADVAN</v>
          </cell>
          <cell r="D317">
            <v>4280</v>
          </cell>
          <cell r="E317">
            <v>4280</v>
          </cell>
          <cell r="F317">
            <v>0</v>
          </cell>
        </row>
        <row r="318">
          <cell r="A318" t="str">
            <v>GLMRGN</v>
          </cell>
          <cell r="B318" t="str">
            <v>CASH MARGIN ACCOUNT</v>
          </cell>
          <cell r="C318" t="str">
            <v>ADVAN</v>
          </cell>
          <cell r="D318">
            <v>85863488638.149994</v>
          </cell>
          <cell r="E318">
            <v>85863493638.149994</v>
          </cell>
          <cell r="F318">
            <v>-5000</v>
          </cell>
        </row>
        <row r="319">
          <cell r="A319" t="str">
            <v>GCASY</v>
          </cell>
          <cell r="B319" t="str">
            <v>CAT SYSTEMS</v>
          </cell>
          <cell r="C319" t="str">
            <v>ADVAN</v>
          </cell>
          <cell r="D319">
            <v>3305</v>
          </cell>
          <cell r="E319">
            <v>3305</v>
          </cell>
          <cell r="F319">
            <v>0</v>
          </cell>
        </row>
        <row r="320">
          <cell r="A320" t="str">
            <v>GCEAR</v>
          </cell>
          <cell r="B320" t="str">
            <v>CEAR DRINKING WATER</v>
          </cell>
          <cell r="C320" t="str">
            <v>ADVAN</v>
          </cell>
          <cell r="D320">
            <v>2280</v>
          </cell>
          <cell r="E320">
            <v>2280</v>
          </cell>
          <cell r="F320">
            <v>0</v>
          </cell>
        </row>
        <row r="321">
          <cell r="A321" t="str">
            <v>GCEDA</v>
          </cell>
          <cell r="B321" t="str">
            <v>CEDAR ENGINEERS &amp; SYSTEM P. LTD.</v>
          </cell>
          <cell r="C321" t="str">
            <v>ADVAN</v>
          </cell>
          <cell r="D321">
            <v>77700</v>
          </cell>
          <cell r="E321">
            <v>77700</v>
          </cell>
          <cell r="F321">
            <v>0</v>
          </cell>
        </row>
        <row r="322">
          <cell r="A322" t="str">
            <v>GCENV</v>
          </cell>
          <cell r="B322" t="str">
            <v>CENVAT REFUND CLAIM</v>
          </cell>
          <cell r="C322" t="str">
            <v>ADVAN</v>
          </cell>
          <cell r="D322">
            <v>1690941</v>
          </cell>
          <cell r="E322">
            <v>1690941</v>
          </cell>
          <cell r="F322">
            <v>0</v>
          </cell>
        </row>
        <row r="323">
          <cell r="A323" t="str">
            <v>GCENVR</v>
          </cell>
          <cell r="B323" t="str">
            <v>CENVAT REFUND RECEIVABLE</v>
          </cell>
          <cell r="C323" t="str">
            <v>ADVAN</v>
          </cell>
          <cell r="D323">
            <v>1015167</v>
          </cell>
          <cell r="E323">
            <v>1015167</v>
          </cell>
          <cell r="F323">
            <v>0</v>
          </cell>
        </row>
        <row r="324">
          <cell r="A324" t="str">
            <v>GCESC</v>
          </cell>
          <cell r="B324" t="str">
            <v>CESC LIMITED</v>
          </cell>
          <cell r="C324" t="str">
            <v>ADVAN</v>
          </cell>
          <cell r="D324">
            <v>600000</v>
          </cell>
          <cell r="E324">
            <v>600000</v>
          </cell>
          <cell r="F324">
            <v>0</v>
          </cell>
        </row>
        <row r="325">
          <cell r="A325" t="str">
            <v>GCHAB</v>
          </cell>
          <cell r="B325" t="str">
            <v>CHANDRA BALASUBRAMANIAN</v>
          </cell>
          <cell r="C325" t="str">
            <v>ADVAN</v>
          </cell>
          <cell r="D325">
            <v>23001</v>
          </cell>
          <cell r="E325">
            <v>23001</v>
          </cell>
          <cell r="F325">
            <v>0</v>
          </cell>
        </row>
        <row r="326">
          <cell r="A326" t="str">
            <v>GCHELM</v>
          </cell>
          <cell r="B326" t="str">
            <v>CHELLAMANI &amp; CO.</v>
          </cell>
          <cell r="C326" t="str">
            <v>ADVAN</v>
          </cell>
          <cell r="D326">
            <v>2995</v>
          </cell>
          <cell r="E326">
            <v>2995</v>
          </cell>
          <cell r="F326">
            <v>0</v>
          </cell>
        </row>
        <row r="327">
          <cell r="A327" t="str">
            <v>GCHIT</v>
          </cell>
          <cell r="B327" t="str">
            <v>CHITRITA GOOPTU</v>
          </cell>
          <cell r="C327" t="str">
            <v>ADVAN</v>
          </cell>
          <cell r="D327">
            <v>18730</v>
          </cell>
          <cell r="E327">
            <v>18730</v>
          </cell>
          <cell r="F327">
            <v>0</v>
          </cell>
        </row>
        <row r="328">
          <cell r="A328" t="str">
            <v>GCHOC</v>
          </cell>
          <cell r="B328" t="str">
            <v>CHOICE FURNITURE HOUSE</v>
          </cell>
          <cell r="C328" t="str">
            <v>ADVAN</v>
          </cell>
          <cell r="D328">
            <v>5489.25</v>
          </cell>
          <cell r="E328">
            <v>5489.25</v>
          </cell>
          <cell r="F328">
            <v>0</v>
          </cell>
        </row>
        <row r="329">
          <cell r="A329" t="str">
            <v>GCHOI</v>
          </cell>
          <cell r="B329" t="str">
            <v>CHOICE SOLUTIONS LTD</v>
          </cell>
          <cell r="C329" t="str">
            <v>ADVAN</v>
          </cell>
          <cell r="D329">
            <v>4188</v>
          </cell>
          <cell r="E329">
            <v>4188</v>
          </cell>
          <cell r="F329">
            <v>0</v>
          </cell>
        </row>
        <row r="330">
          <cell r="A330" t="str">
            <v>GCHOP</v>
          </cell>
          <cell r="B330" t="str">
            <v>CHOPRA ELECTONICS</v>
          </cell>
          <cell r="C330" t="str">
            <v>ADVAN</v>
          </cell>
          <cell r="D330">
            <v>4080</v>
          </cell>
          <cell r="E330">
            <v>4080</v>
          </cell>
          <cell r="F330">
            <v>0</v>
          </cell>
        </row>
        <row r="331">
          <cell r="A331" t="str">
            <v>GCHOW</v>
          </cell>
          <cell r="B331" t="str">
            <v>CHOWDHURY ELECTRONICS</v>
          </cell>
          <cell r="C331" t="str">
            <v>ADVAN</v>
          </cell>
          <cell r="D331">
            <v>6500</v>
          </cell>
          <cell r="E331">
            <v>6500</v>
          </cell>
          <cell r="F331">
            <v>0</v>
          </cell>
        </row>
        <row r="332">
          <cell r="A332" t="str">
            <v>GCCOA</v>
          </cell>
          <cell r="B332" t="str">
            <v>CITY COLLEGE OF ACCOUNTS</v>
          </cell>
          <cell r="C332" t="str">
            <v>ADVAN</v>
          </cell>
          <cell r="D332">
            <v>64750</v>
          </cell>
          <cell r="E332">
            <v>64750</v>
          </cell>
          <cell r="F332">
            <v>0</v>
          </cell>
        </row>
        <row r="333">
          <cell r="A333" t="str">
            <v>GCITF</v>
          </cell>
          <cell r="B333" t="str">
            <v>CITY FURNITURE HOUSE</v>
          </cell>
          <cell r="C333" t="str">
            <v>ADVAN</v>
          </cell>
          <cell r="D333">
            <v>16714</v>
          </cell>
          <cell r="E333">
            <v>16714</v>
          </cell>
          <cell r="F333">
            <v>0</v>
          </cell>
        </row>
        <row r="334">
          <cell r="A334" t="str">
            <v>GCLIP</v>
          </cell>
          <cell r="B334" t="str">
            <v>CLIPSS ZONE</v>
          </cell>
          <cell r="C334" t="str">
            <v>ADVAN</v>
          </cell>
          <cell r="D334">
            <v>3250</v>
          </cell>
          <cell r="E334">
            <v>3250</v>
          </cell>
          <cell r="F334">
            <v>0</v>
          </cell>
        </row>
        <row r="335">
          <cell r="A335" t="str">
            <v>GCOPD</v>
          </cell>
          <cell r="B335" t="str">
            <v>COMPLETE ADVERTISING</v>
          </cell>
          <cell r="C335" t="str">
            <v>ADVAN</v>
          </cell>
          <cell r="D335">
            <v>1280</v>
          </cell>
          <cell r="E335">
            <v>1280</v>
          </cell>
          <cell r="F335">
            <v>0</v>
          </cell>
        </row>
        <row r="336">
          <cell r="A336" t="str">
            <v>GCCS1</v>
          </cell>
          <cell r="B336" t="str">
            <v>COMPLITE COMPUTER SOLUTION</v>
          </cell>
          <cell r="C336" t="str">
            <v>ADVAN</v>
          </cell>
          <cell r="D336">
            <v>4600</v>
          </cell>
          <cell r="E336">
            <v>4600</v>
          </cell>
          <cell r="F336">
            <v>0</v>
          </cell>
        </row>
        <row r="337">
          <cell r="A337" t="str">
            <v>GCOWI</v>
          </cell>
          <cell r="B337" t="str">
            <v>COMPU WIZARDS</v>
          </cell>
          <cell r="C337" t="str">
            <v>ADVAN</v>
          </cell>
          <cell r="D337">
            <v>16350</v>
          </cell>
          <cell r="E337">
            <v>16350</v>
          </cell>
          <cell r="F337">
            <v>0</v>
          </cell>
        </row>
        <row r="338">
          <cell r="A338" t="str">
            <v>GCATS</v>
          </cell>
          <cell r="B338" t="str">
            <v>COMPUTER AND TELECOM SYSTEMS</v>
          </cell>
          <cell r="C338" t="str">
            <v>ADVAN</v>
          </cell>
          <cell r="D338">
            <v>2850</v>
          </cell>
          <cell r="E338">
            <v>2850</v>
          </cell>
          <cell r="F338">
            <v>0</v>
          </cell>
        </row>
        <row r="339">
          <cell r="A339" t="str">
            <v>GCOBZ</v>
          </cell>
          <cell r="B339" t="str">
            <v>COMPUTER BAZAR</v>
          </cell>
          <cell r="C339" t="str">
            <v>ADVAN</v>
          </cell>
          <cell r="D339">
            <v>266400</v>
          </cell>
          <cell r="E339">
            <v>266400</v>
          </cell>
          <cell r="F339">
            <v>0</v>
          </cell>
        </row>
        <row r="340">
          <cell r="A340" t="str">
            <v>GCOCL</v>
          </cell>
          <cell r="B340" t="str">
            <v>COMPUTER CLINIC</v>
          </cell>
          <cell r="C340" t="str">
            <v>ADVAN</v>
          </cell>
          <cell r="D340">
            <v>2860</v>
          </cell>
          <cell r="E340">
            <v>2860</v>
          </cell>
          <cell r="F340">
            <v>0</v>
          </cell>
        </row>
        <row r="341">
          <cell r="A341" t="str">
            <v>GCSHO</v>
          </cell>
          <cell r="B341" t="str">
            <v>COMPUTER SHOPPEE INDIA</v>
          </cell>
          <cell r="C341" t="str">
            <v>ADVAN</v>
          </cell>
          <cell r="D341">
            <v>68300</v>
          </cell>
          <cell r="E341">
            <v>68300</v>
          </cell>
          <cell r="F341">
            <v>0</v>
          </cell>
        </row>
        <row r="342">
          <cell r="A342" t="str">
            <v>GCOSY</v>
          </cell>
          <cell r="B342" t="str">
            <v>COMPUTER SYSTEM &amp; SERVICES</v>
          </cell>
          <cell r="C342" t="str">
            <v>ADVAN</v>
          </cell>
          <cell r="D342">
            <v>14200</v>
          </cell>
          <cell r="E342">
            <v>14200</v>
          </cell>
          <cell r="F342">
            <v>0</v>
          </cell>
        </row>
        <row r="343">
          <cell r="A343" t="str">
            <v>GCOMT</v>
          </cell>
          <cell r="B343" t="str">
            <v>COMPUTER WORLD</v>
          </cell>
          <cell r="C343" t="str">
            <v>ADVAN</v>
          </cell>
          <cell r="D343">
            <v>29500</v>
          </cell>
          <cell r="E343">
            <v>29500</v>
          </cell>
          <cell r="F343">
            <v>0</v>
          </cell>
        </row>
        <row r="344">
          <cell r="A344" t="str">
            <v>GCONC</v>
          </cell>
          <cell r="B344" t="str">
            <v>CONCEPT INTERIOR</v>
          </cell>
          <cell r="C344" t="str">
            <v>ADVAN</v>
          </cell>
          <cell r="D344">
            <v>2370</v>
          </cell>
          <cell r="E344">
            <v>2370</v>
          </cell>
          <cell r="F344">
            <v>0</v>
          </cell>
        </row>
        <row r="345">
          <cell r="A345" t="str">
            <v>GCOSC</v>
          </cell>
          <cell r="B345" t="str">
            <v>COPY SCAN</v>
          </cell>
          <cell r="C345" t="str">
            <v>ADVAN</v>
          </cell>
          <cell r="D345">
            <v>300</v>
          </cell>
          <cell r="E345">
            <v>300</v>
          </cell>
          <cell r="F345">
            <v>0</v>
          </cell>
        </row>
        <row r="346">
          <cell r="A346" t="str">
            <v>GCOSM</v>
          </cell>
          <cell r="B346" t="str">
            <v>COSMO DIES &amp; COMPONENTS PVT LTD</v>
          </cell>
          <cell r="C346" t="str">
            <v>ADVAN</v>
          </cell>
          <cell r="D346">
            <v>14300</v>
          </cell>
          <cell r="E346">
            <v>14300</v>
          </cell>
          <cell r="F346">
            <v>0</v>
          </cell>
        </row>
        <row r="347">
          <cell r="A347" t="str">
            <v>GCREC</v>
          </cell>
          <cell r="B347" t="str">
            <v>CREATION COMPUTERS</v>
          </cell>
          <cell r="C347" t="str">
            <v>ADVAN</v>
          </cell>
          <cell r="D347">
            <v>12178</v>
          </cell>
          <cell r="E347">
            <v>12178</v>
          </cell>
          <cell r="F347">
            <v>0</v>
          </cell>
        </row>
        <row r="348">
          <cell r="A348" t="str">
            <v>GCRCO</v>
          </cell>
          <cell r="B348" t="str">
            <v>CREATIVE COMPUTERS</v>
          </cell>
          <cell r="C348" t="str">
            <v>ADVAN</v>
          </cell>
          <cell r="D348">
            <v>42650</v>
          </cell>
          <cell r="E348">
            <v>42650</v>
          </cell>
          <cell r="F348">
            <v>0</v>
          </cell>
        </row>
        <row r="349">
          <cell r="A349" t="str">
            <v>GCROW</v>
          </cell>
          <cell r="B349" t="str">
            <v>CROWN WORLDWIDE MOVERS PVT LTD</v>
          </cell>
          <cell r="C349" t="str">
            <v>ADVAN</v>
          </cell>
          <cell r="D349">
            <v>105000</v>
          </cell>
          <cell r="E349">
            <v>105000</v>
          </cell>
          <cell r="F349">
            <v>0</v>
          </cell>
        </row>
        <row r="350">
          <cell r="A350" t="str">
            <v>GCSIT</v>
          </cell>
          <cell r="B350" t="str">
            <v>CSI TELECOM P. LTD.</v>
          </cell>
          <cell r="C350" t="str">
            <v>ADVAN</v>
          </cell>
          <cell r="D350">
            <v>19500</v>
          </cell>
          <cell r="E350">
            <v>19500</v>
          </cell>
          <cell r="F350">
            <v>0</v>
          </cell>
        </row>
        <row r="351">
          <cell r="A351" t="str">
            <v>GCYBE</v>
          </cell>
          <cell r="B351" t="str">
            <v>CYBER DEN</v>
          </cell>
          <cell r="C351" t="str">
            <v>ADVAN</v>
          </cell>
          <cell r="D351">
            <v>60887</v>
          </cell>
          <cell r="E351">
            <v>60887</v>
          </cell>
          <cell r="F351">
            <v>0</v>
          </cell>
        </row>
        <row r="352">
          <cell r="A352" t="str">
            <v>GCYBV</v>
          </cell>
          <cell r="B352" t="str">
            <v>CYBER VALLEY</v>
          </cell>
          <cell r="C352" t="str">
            <v>ADVAN</v>
          </cell>
          <cell r="D352">
            <v>3450</v>
          </cell>
          <cell r="E352">
            <v>3450</v>
          </cell>
          <cell r="F352">
            <v>0</v>
          </cell>
        </row>
        <row r="353">
          <cell r="A353" t="str">
            <v>GCYRU</v>
          </cell>
          <cell r="B353" t="str">
            <v>CYRUS BHARUCHA</v>
          </cell>
          <cell r="C353" t="str">
            <v>ADVAN</v>
          </cell>
          <cell r="D353">
            <v>9748</v>
          </cell>
          <cell r="E353">
            <v>9748</v>
          </cell>
          <cell r="F353">
            <v>0</v>
          </cell>
        </row>
        <row r="354">
          <cell r="A354" t="str">
            <v>GDINT</v>
          </cell>
          <cell r="B354" t="str">
            <v>D INTERIORS</v>
          </cell>
          <cell r="C354" t="str">
            <v>ADVAN</v>
          </cell>
          <cell r="D354">
            <v>110338</v>
          </cell>
          <cell r="E354">
            <v>110338</v>
          </cell>
          <cell r="F354">
            <v>0</v>
          </cell>
        </row>
        <row r="355">
          <cell r="A355" t="str">
            <v>GE0055A</v>
          </cell>
          <cell r="B355" t="str">
            <v>D MAT CHARGES RECEIVABLE</v>
          </cell>
          <cell r="C355" t="str">
            <v>ADVAN</v>
          </cell>
          <cell r="D355">
            <v>35680.620000000003</v>
          </cell>
          <cell r="E355">
            <v>35680.620000000003</v>
          </cell>
          <cell r="F355">
            <v>0</v>
          </cell>
        </row>
        <row r="356">
          <cell r="A356" t="str">
            <v>GA0419</v>
          </cell>
          <cell r="B356" t="str">
            <v>D.M.ENTERPRISES P. LTD.</v>
          </cell>
          <cell r="C356" t="str">
            <v>ADVAN</v>
          </cell>
          <cell r="D356">
            <v>22200</v>
          </cell>
          <cell r="E356">
            <v>22200</v>
          </cell>
          <cell r="F356">
            <v>0</v>
          </cell>
        </row>
        <row r="357">
          <cell r="A357" t="str">
            <v>GADPR</v>
          </cell>
          <cell r="B357" t="str">
            <v>D.P INCOME RECEIVABLE</v>
          </cell>
          <cell r="C357" t="str">
            <v>ADVAN</v>
          </cell>
          <cell r="D357">
            <v>14830889.67</v>
          </cell>
          <cell r="E357">
            <v>14830889.67</v>
          </cell>
          <cell r="F357">
            <v>0</v>
          </cell>
        </row>
        <row r="358">
          <cell r="A358" t="str">
            <v>GDAMC</v>
          </cell>
          <cell r="B358" t="str">
            <v>DAMC</v>
          </cell>
          <cell r="C358" t="str">
            <v>ADVAN</v>
          </cell>
          <cell r="D358">
            <v>2100</v>
          </cell>
          <cell r="E358">
            <v>2100</v>
          </cell>
          <cell r="F358">
            <v>0</v>
          </cell>
        </row>
        <row r="359">
          <cell r="A359" t="str">
            <v>GDART</v>
          </cell>
          <cell r="B359" t="str">
            <v>DART COMMUNICATIONS PVT LTD</v>
          </cell>
          <cell r="C359" t="str">
            <v>ADVAN</v>
          </cell>
          <cell r="D359">
            <v>1134</v>
          </cell>
          <cell r="E359">
            <v>1134</v>
          </cell>
          <cell r="F359">
            <v>0</v>
          </cell>
        </row>
        <row r="360">
          <cell r="A360" t="str">
            <v>GDATA</v>
          </cell>
          <cell r="B360" t="str">
            <v>DATA HARD INFO. SYSTEMS PVT LTD</v>
          </cell>
          <cell r="C360" t="str">
            <v>ADVAN</v>
          </cell>
          <cell r="D360">
            <v>57417</v>
          </cell>
          <cell r="E360">
            <v>57417</v>
          </cell>
          <cell r="F360">
            <v>0</v>
          </cell>
        </row>
        <row r="361">
          <cell r="A361" t="str">
            <v>GADATA</v>
          </cell>
          <cell r="B361" t="str">
            <v>DATA STRUCTURE</v>
          </cell>
          <cell r="C361" t="str">
            <v>ADVAN</v>
          </cell>
          <cell r="D361">
            <v>66600</v>
          </cell>
          <cell r="E361">
            <v>66600</v>
          </cell>
          <cell r="F361">
            <v>0</v>
          </cell>
        </row>
        <row r="362">
          <cell r="A362" t="str">
            <v>GDDON</v>
          </cell>
          <cell r="B362" t="str">
            <v>DDON MUSIC CENTRE</v>
          </cell>
          <cell r="C362" t="str">
            <v>ADVAN</v>
          </cell>
          <cell r="D362">
            <v>1500</v>
          </cell>
          <cell r="E362">
            <v>1500</v>
          </cell>
          <cell r="F362">
            <v>0</v>
          </cell>
        </row>
        <row r="363">
          <cell r="A363" t="str">
            <v>GDECU</v>
          </cell>
          <cell r="B363" t="str">
            <v>DE CURVES</v>
          </cell>
          <cell r="C363" t="str">
            <v>ADVAN</v>
          </cell>
          <cell r="D363">
            <v>100000</v>
          </cell>
          <cell r="E363">
            <v>100000</v>
          </cell>
          <cell r="F363">
            <v>0</v>
          </cell>
        </row>
        <row r="364">
          <cell r="A364" t="str">
            <v>GDEEN</v>
          </cell>
          <cell r="B364" t="str">
            <v>DEEN M SHAIKH</v>
          </cell>
          <cell r="C364" t="str">
            <v>ADVAN</v>
          </cell>
          <cell r="D364">
            <v>96777</v>
          </cell>
          <cell r="E364">
            <v>96777</v>
          </cell>
          <cell r="F364">
            <v>0</v>
          </cell>
        </row>
        <row r="365">
          <cell r="A365" t="str">
            <v>GDEJU</v>
          </cell>
          <cell r="B365" t="str">
            <v>DEEPA S. JURIANI</v>
          </cell>
          <cell r="C365" t="str">
            <v>ADVAN</v>
          </cell>
          <cell r="D365">
            <v>45307</v>
          </cell>
          <cell r="E365">
            <v>45307</v>
          </cell>
          <cell r="F365">
            <v>0</v>
          </cell>
        </row>
        <row r="366">
          <cell r="A366" t="str">
            <v>GDETE</v>
          </cell>
          <cell r="B366" t="str">
            <v>DEEPAK  TEA VENDOR</v>
          </cell>
          <cell r="C366" t="str">
            <v>ADVAN</v>
          </cell>
          <cell r="D366">
            <v>26530</v>
          </cell>
          <cell r="E366">
            <v>26530</v>
          </cell>
          <cell r="F366">
            <v>0</v>
          </cell>
        </row>
        <row r="367">
          <cell r="A367" t="str">
            <v>GDEBT</v>
          </cell>
          <cell r="B367" t="str">
            <v>DEEPAK BATRA</v>
          </cell>
          <cell r="C367" t="str">
            <v>ADVAN</v>
          </cell>
          <cell r="D367">
            <v>2000</v>
          </cell>
          <cell r="E367">
            <v>2000</v>
          </cell>
          <cell r="F367">
            <v>0</v>
          </cell>
        </row>
        <row r="368">
          <cell r="A368" t="str">
            <v>GDEST</v>
          </cell>
          <cell r="B368" t="str">
            <v>DEEPAK STATIONERY</v>
          </cell>
          <cell r="C368" t="str">
            <v>ADVAN</v>
          </cell>
          <cell r="D368">
            <v>1057</v>
          </cell>
          <cell r="E368">
            <v>1057</v>
          </cell>
          <cell r="F368">
            <v>0</v>
          </cell>
        </row>
        <row r="369">
          <cell r="A369" t="str">
            <v>GDENI</v>
          </cell>
          <cell r="B369" t="str">
            <v>DENIS MALCOM &amp; CO.</v>
          </cell>
          <cell r="C369" t="str">
            <v>ADVAN</v>
          </cell>
          <cell r="D369">
            <v>187740</v>
          </cell>
          <cell r="E369">
            <v>187740</v>
          </cell>
          <cell r="F369">
            <v>0</v>
          </cell>
        </row>
        <row r="370">
          <cell r="A370" t="str">
            <v>GDESFR</v>
          </cell>
          <cell r="B370" t="str">
            <v>DESIGN FURNITURE WORKS</v>
          </cell>
          <cell r="C370" t="str">
            <v>ADVAN</v>
          </cell>
          <cell r="D370">
            <v>11760</v>
          </cell>
          <cell r="E370">
            <v>11760</v>
          </cell>
          <cell r="F370">
            <v>0</v>
          </cell>
        </row>
        <row r="371">
          <cell r="A371" t="str">
            <v>GDESPE</v>
          </cell>
          <cell r="B371" t="str">
            <v>DESIGN PERCEPTIONS</v>
          </cell>
          <cell r="C371" t="str">
            <v>ADVAN</v>
          </cell>
          <cell r="D371">
            <v>101000</v>
          </cell>
          <cell r="E371">
            <v>101000</v>
          </cell>
          <cell r="F371">
            <v>0</v>
          </cell>
        </row>
        <row r="372">
          <cell r="A372" t="str">
            <v>GDESP</v>
          </cell>
          <cell r="B372" t="str">
            <v>DESIGN SPHERE</v>
          </cell>
          <cell r="C372" t="str">
            <v>ADVAN</v>
          </cell>
          <cell r="D372">
            <v>834768</v>
          </cell>
          <cell r="E372">
            <v>834768</v>
          </cell>
          <cell r="F372">
            <v>0</v>
          </cell>
        </row>
        <row r="373">
          <cell r="A373" t="str">
            <v>GDSTU</v>
          </cell>
          <cell r="B373" t="str">
            <v>DESIGN STUDIO</v>
          </cell>
          <cell r="C373" t="str">
            <v>ADVAN</v>
          </cell>
          <cell r="D373">
            <v>309297</v>
          </cell>
          <cell r="E373">
            <v>309297</v>
          </cell>
          <cell r="F373">
            <v>0</v>
          </cell>
        </row>
        <row r="374">
          <cell r="A374" t="str">
            <v>GDESIG</v>
          </cell>
          <cell r="B374" t="str">
            <v>DESIGNO</v>
          </cell>
          <cell r="C374" t="str">
            <v>ADVAN</v>
          </cell>
          <cell r="D374">
            <v>9563</v>
          </cell>
          <cell r="E374">
            <v>9563</v>
          </cell>
          <cell r="F374">
            <v>0</v>
          </cell>
        </row>
        <row r="375">
          <cell r="A375" t="str">
            <v>GDEVJ</v>
          </cell>
          <cell r="B375" t="str">
            <v>DEVIBAI T. JURANI</v>
          </cell>
          <cell r="C375" t="str">
            <v>ADVAN</v>
          </cell>
          <cell r="D375">
            <v>63807</v>
          </cell>
          <cell r="E375">
            <v>63807</v>
          </cell>
          <cell r="F375">
            <v>0</v>
          </cell>
        </row>
        <row r="376">
          <cell r="A376" t="str">
            <v>GDEVP</v>
          </cell>
          <cell r="B376" t="str">
            <v>DEVPRASAD RAMPRASAD</v>
          </cell>
          <cell r="C376" t="str">
            <v>ADVAN</v>
          </cell>
          <cell r="D376">
            <v>3500</v>
          </cell>
          <cell r="E376">
            <v>3500</v>
          </cell>
          <cell r="F376">
            <v>0</v>
          </cell>
        </row>
        <row r="377">
          <cell r="A377" t="str">
            <v>GDECY</v>
          </cell>
          <cell r="B377" t="str">
            <v>DEVYANI DEEPAK KANKAL</v>
          </cell>
          <cell r="C377" t="str">
            <v>ADVAN</v>
          </cell>
          <cell r="D377">
            <v>55600</v>
          </cell>
          <cell r="E377">
            <v>55600</v>
          </cell>
          <cell r="F377">
            <v>0</v>
          </cell>
        </row>
        <row r="378">
          <cell r="A378" t="str">
            <v>GDHIN</v>
          </cell>
          <cell r="B378" t="str">
            <v>DHINGRA SAFE WORKS</v>
          </cell>
          <cell r="C378" t="str">
            <v>ADVAN</v>
          </cell>
          <cell r="D378">
            <v>47435</v>
          </cell>
          <cell r="E378">
            <v>47435</v>
          </cell>
          <cell r="F378">
            <v>0</v>
          </cell>
        </row>
        <row r="379">
          <cell r="A379" t="str">
            <v>GDPKH</v>
          </cell>
          <cell r="B379" t="str">
            <v>DHIREN P.KHODA</v>
          </cell>
          <cell r="C379" t="str">
            <v>ADVAN</v>
          </cell>
          <cell r="D379">
            <v>100000</v>
          </cell>
          <cell r="E379">
            <v>100000</v>
          </cell>
          <cell r="F379">
            <v>0</v>
          </cell>
        </row>
        <row r="380">
          <cell r="A380" t="str">
            <v>GDHRT</v>
          </cell>
          <cell r="B380" t="str">
            <v>DHRUV TECHNO SEATS</v>
          </cell>
          <cell r="C380" t="str">
            <v>ADVAN</v>
          </cell>
          <cell r="D380">
            <v>23875</v>
          </cell>
          <cell r="E380">
            <v>23875</v>
          </cell>
          <cell r="F380">
            <v>0</v>
          </cell>
        </row>
        <row r="381">
          <cell r="A381" t="str">
            <v>GDIIN</v>
          </cell>
          <cell r="B381" t="str">
            <v>DIGITEK INFOTECH PVT. LTD.</v>
          </cell>
          <cell r="C381" t="str">
            <v>ADVAN</v>
          </cell>
          <cell r="D381">
            <v>25300</v>
          </cell>
          <cell r="E381">
            <v>25300</v>
          </cell>
          <cell r="F381">
            <v>0</v>
          </cell>
        </row>
        <row r="382">
          <cell r="A382" t="str">
            <v>GDITR</v>
          </cell>
          <cell r="B382" t="str">
            <v>DIGITRON</v>
          </cell>
          <cell r="C382" t="str">
            <v>ADVAN</v>
          </cell>
          <cell r="D382">
            <v>2630</v>
          </cell>
          <cell r="E382">
            <v>2630</v>
          </cell>
          <cell r="F382">
            <v>0</v>
          </cell>
        </row>
        <row r="383">
          <cell r="A383" t="str">
            <v>GDIKS</v>
          </cell>
          <cell r="B383" t="str">
            <v>DIKSHA COMPUTERS</v>
          </cell>
          <cell r="C383" t="str">
            <v>ADVAN</v>
          </cell>
          <cell r="D383">
            <v>900</v>
          </cell>
          <cell r="E383">
            <v>900</v>
          </cell>
          <cell r="F383">
            <v>0</v>
          </cell>
        </row>
        <row r="384">
          <cell r="A384" t="str">
            <v>GDIMA</v>
          </cell>
          <cell r="B384" t="str">
            <v>DILIP MALAIYA</v>
          </cell>
          <cell r="C384" t="str">
            <v>ADVAN</v>
          </cell>
          <cell r="D384">
            <v>54912</v>
          </cell>
          <cell r="E384">
            <v>54912</v>
          </cell>
          <cell r="F384">
            <v>0</v>
          </cell>
        </row>
        <row r="385">
          <cell r="A385" t="str">
            <v>GDINS</v>
          </cell>
          <cell r="B385" t="str">
            <v>DINESH</v>
          </cell>
          <cell r="C385" t="str">
            <v>ADVAN</v>
          </cell>
          <cell r="D385">
            <v>2313</v>
          </cell>
          <cell r="E385">
            <v>2313</v>
          </cell>
          <cell r="F385">
            <v>0</v>
          </cell>
        </row>
        <row r="386">
          <cell r="A386" t="str">
            <v>GDIKU</v>
          </cell>
          <cell r="B386" t="str">
            <v>DINESHKUMAR DHOOT</v>
          </cell>
          <cell r="C386" t="str">
            <v>ADVAN</v>
          </cell>
          <cell r="D386">
            <v>17590</v>
          </cell>
          <cell r="E386">
            <v>17590</v>
          </cell>
          <cell r="F386">
            <v>0</v>
          </cell>
        </row>
        <row r="387">
          <cell r="A387" t="str">
            <v>GDSHA</v>
          </cell>
          <cell r="B387" t="str">
            <v>DIPAK V. SHAH</v>
          </cell>
          <cell r="C387" t="str">
            <v>ADVAN</v>
          </cell>
          <cell r="D387">
            <v>10000</v>
          </cell>
          <cell r="E387">
            <v>10000</v>
          </cell>
          <cell r="F387">
            <v>0</v>
          </cell>
        </row>
        <row r="388">
          <cell r="A388" t="str">
            <v>GL007</v>
          </cell>
          <cell r="B388" t="str">
            <v>DIVYESH B SHAH LOAN A/C</v>
          </cell>
          <cell r="C388" t="str">
            <v>ADVAN</v>
          </cell>
          <cell r="D388">
            <v>88892</v>
          </cell>
          <cell r="E388">
            <v>88892</v>
          </cell>
          <cell r="F388">
            <v>0</v>
          </cell>
        </row>
        <row r="389">
          <cell r="A389" t="str">
            <v>GDRSR</v>
          </cell>
          <cell r="B389" t="str">
            <v>DREAMZ SERVICES</v>
          </cell>
          <cell r="C389" t="str">
            <v>ADVAN</v>
          </cell>
          <cell r="D389">
            <v>1438</v>
          </cell>
          <cell r="E389">
            <v>1438</v>
          </cell>
          <cell r="F389">
            <v>0</v>
          </cell>
        </row>
        <row r="390">
          <cell r="A390" t="str">
            <v>GDENT</v>
          </cell>
          <cell r="B390" t="str">
            <v>DURGA ENTERPRISE</v>
          </cell>
          <cell r="C390" t="str">
            <v>ADVAN</v>
          </cell>
          <cell r="D390">
            <v>13613</v>
          </cell>
          <cell r="E390">
            <v>13613</v>
          </cell>
          <cell r="F390">
            <v>0</v>
          </cell>
        </row>
        <row r="391">
          <cell r="A391" t="str">
            <v>GDUGA</v>
          </cell>
          <cell r="B391" t="str">
            <v>DURGA STATIONERS</v>
          </cell>
          <cell r="C391" t="str">
            <v>ADVAN</v>
          </cell>
          <cell r="D391">
            <v>2833</v>
          </cell>
          <cell r="E391">
            <v>2833</v>
          </cell>
          <cell r="F391">
            <v>0</v>
          </cell>
        </row>
        <row r="392">
          <cell r="A392" t="str">
            <v>GDUTR</v>
          </cell>
          <cell r="B392" t="str">
            <v>DURGA TRAVELS</v>
          </cell>
          <cell r="C392" t="str">
            <v>ADVAN</v>
          </cell>
          <cell r="D392">
            <v>124</v>
          </cell>
          <cell r="E392">
            <v>124</v>
          </cell>
          <cell r="F392">
            <v>0</v>
          </cell>
        </row>
        <row r="393">
          <cell r="A393" t="str">
            <v>GI04004</v>
          </cell>
          <cell r="B393" t="str">
            <v>DYNAMIC WEB TECNOLOGIES (P) LTD</v>
          </cell>
          <cell r="C393" t="str">
            <v>ADVAN</v>
          </cell>
          <cell r="D393">
            <v>347000</v>
          </cell>
          <cell r="E393">
            <v>347000</v>
          </cell>
          <cell r="F393">
            <v>0</v>
          </cell>
        </row>
        <row r="394">
          <cell r="A394" t="str">
            <v>GEWOR</v>
          </cell>
          <cell r="B394" t="str">
            <v>E WORLD</v>
          </cell>
          <cell r="C394" t="str">
            <v>ADVAN</v>
          </cell>
          <cell r="D394">
            <v>21300</v>
          </cell>
          <cell r="E394">
            <v>21300</v>
          </cell>
          <cell r="F394">
            <v>0</v>
          </cell>
        </row>
        <row r="395">
          <cell r="A395" t="str">
            <v>GECOR</v>
          </cell>
          <cell r="B395" t="str">
            <v>ECONOMIC REFRIGERATION</v>
          </cell>
          <cell r="C395" t="str">
            <v>ADVAN</v>
          </cell>
          <cell r="D395">
            <v>10300</v>
          </cell>
          <cell r="E395">
            <v>10300</v>
          </cell>
          <cell r="F395">
            <v>0</v>
          </cell>
        </row>
        <row r="396">
          <cell r="A396" t="str">
            <v>GELEM</v>
          </cell>
          <cell r="B396" t="str">
            <v>ELECTRONIC EMPORIUM</v>
          </cell>
          <cell r="C396" t="str">
            <v>ADVAN</v>
          </cell>
          <cell r="D396">
            <v>7350</v>
          </cell>
          <cell r="E396">
            <v>7350</v>
          </cell>
          <cell r="F396">
            <v>0</v>
          </cell>
        </row>
        <row r="397">
          <cell r="A397" t="str">
            <v>GELCT</v>
          </cell>
          <cell r="B397" t="str">
            <v>ELECTRONICS ENGINER</v>
          </cell>
          <cell r="C397" t="str">
            <v>ADVAN</v>
          </cell>
          <cell r="D397">
            <v>3238.8</v>
          </cell>
          <cell r="E397">
            <v>3238.8</v>
          </cell>
          <cell r="F397">
            <v>0</v>
          </cell>
        </row>
        <row r="398">
          <cell r="A398" t="str">
            <v>GENAR</v>
          </cell>
          <cell r="B398" t="str">
            <v>ENAR TRADE &amp; SERVICES</v>
          </cell>
          <cell r="C398" t="str">
            <v>ADVAN</v>
          </cell>
          <cell r="D398">
            <v>55000</v>
          </cell>
          <cell r="E398">
            <v>55000</v>
          </cell>
          <cell r="F398">
            <v>0</v>
          </cell>
        </row>
        <row r="399">
          <cell r="A399" t="str">
            <v>GENDL</v>
          </cell>
          <cell r="B399" t="str">
            <v>ENDLESS IDEAS</v>
          </cell>
          <cell r="C399" t="str">
            <v>ADVAN</v>
          </cell>
          <cell r="D399">
            <v>318524</v>
          </cell>
          <cell r="E399">
            <v>318524</v>
          </cell>
          <cell r="F399">
            <v>0</v>
          </cell>
        </row>
        <row r="400">
          <cell r="A400" t="str">
            <v>GENHA</v>
          </cell>
          <cell r="B400" t="str">
            <v>ENHANCE SYSTEMS PRIVATE LIMITED</v>
          </cell>
          <cell r="C400" t="str">
            <v>ADVAN</v>
          </cell>
          <cell r="D400">
            <v>140000</v>
          </cell>
          <cell r="E400">
            <v>140000</v>
          </cell>
          <cell r="F400">
            <v>0</v>
          </cell>
        </row>
        <row r="401">
          <cell r="A401" t="str">
            <v>GENSP</v>
          </cell>
          <cell r="B401" t="str">
            <v>ENSPIRE</v>
          </cell>
          <cell r="C401" t="str">
            <v>ADVAN</v>
          </cell>
          <cell r="D401">
            <v>11113</v>
          </cell>
          <cell r="E401">
            <v>11113</v>
          </cell>
          <cell r="F401">
            <v>0</v>
          </cell>
        </row>
        <row r="402">
          <cell r="A402" t="str">
            <v>GESBE</v>
          </cell>
          <cell r="B402" t="str">
            <v>ESBEE INFOSYS</v>
          </cell>
          <cell r="C402" t="str">
            <v>ADVAN</v>
          </cell>
          <cell r="D402">
            <v>7413</v>
          </cell>
          <cell r="E402">
            <v>7413</v>
          </cell>
          <cell r="F402">
            <v>0</v>
          </cell>
        </row>
        <row r="403">
          <cell r="A403" t="str">
            <v>GESKA</v>
          </cell>
          <cell r="B403" t="str">
            <v>ESKAY ENTERPRISES</v>
          </cell>
          <cell r="C403" t="str">
            <v>ADVAN</v>
          </cell>
          <cell r="D403">
            <v>8421</v>
          </cell>
          <cell r="E403">
            <v>8421</v>
          </cell>
          <cell r="F403">
            <v>0</v>
          </cell>
        </row>
        <row r="404">
          <cell r="A404" t="str">
            <v>GESPE</v>
          </cell>
          <cell r="B404" t="str">
            <v>ESPEE XEROX</v>
          </cell>
          <cell r="C404" t="str">
            <v>ADVAN</v>
          </cell>
          <cell r="D404">
            <v>5662.5</v>
          </cell>
          <cell r="E404">
            <v>5662.5</v>
          </cell>
          <cell r="F404">
            <v>0</v>
          </cell>
        </row>
        <row r="405">
          <cell r="A405" t="str">
            <v>GEXIN</v>
          </cell>
          <cell r="B405" t="str">
            <v>EXIN EXTERIOR</v>
          </cell>
          <cell r="C405" t="str">
            <v>ADVAN</v>
          </cell>
          <cell r="D405">
            <v>121250</v>
          </cell>
          <cell r="E405">
            <v>121250</v>
          </cell>
          <cell r="F405">
            <v>0</v>
          </cell>
        </row>
        <row r="406">
          <cell r="A406" t="str">
            <v>GEXFC</v>
          </cell>
          <cell r="B406" t="str">
            <v>EXPRESS FLIGHT COURIER</v>
          </cell>
          <cell r="C406" t="str">
            <v>ADVAN</v>
          </cell>
          <cell r="D406">
            <v>4498.2299999999996</v>
          </cell>
          <cell r="E406">
            <v>4498.2299999999996</v>
          </cell>
          <cell r="F406">
            <v>0</v>
          </cell>
        </row>
        <row r="407">
          <cell r="A407" t="str">
            <v>GFSSA</v>
          </cell>
          <cell r="B407" t="str">
            <v>F S SAGGU</v>
          </cell>
          <cell r="C407" t="str">
            <v>ADVAN</v>
          </cell>
          <cell r="D407">
            <v>14980</v>
          </cell>
          <cell r="E407">
            <v>14980</v>
          </cell>
          <cell r="F407">
            <v>0</v>
          </cell>
        </row>
        <row r="408">
          <cell r="A408" t="str">
            <v>GFAIR</v>
          </cell>
          <cell r="B408" t="str">
            <v>FAIR DEAL ENTERPRISE</v>
          </cell>
          <cell r="C408" t="str">
            <v>ADVAN</v>
          </cell>
          <cell r="D408">
            <v>150000.5</v>
          </cell>
          <cell r="E408">
            <v>150000.5</v>
          </cell>
          <cell r="F408">
            <v>0</v>
          </cell>
        </row>
        <row r="409">
          <cell r="A409" t="str">
            <v>GFARD</v>
          </cell>
          <cell r="B409" t="str">
            <v>FARIDA  M SHAIKH</v>
          </cell>
          <cell r="C409" t="str">
            <v>ADVAN</v>
          </cell>
          <cell r="D409">
            <v>96777</v>
          </cell>
          <cell r="E409">
            <v>96777</v>
          </cell>
          <cell r="F409">
            <v>0</v>
          </cell>
        </row>
        <row r="410">
          <cell r="A410" t="str">
            <v>GFASTC</v>
          </cell>
          <cell r="B410" t="str">
            <v>FAST TRACK COMPUTER</v>
          </cell>
          <cell r="C410" t="str">
            <v>ADVAN</v>
          </cell>
          <cell r="D410">
            <v>15012</v>
          </cell>
          <cell r="E410">
            <v>15012</v>
          </cell>
          <cell r="F410">
            <v>0</v>
          </cell>
        </row>
        <row r="411">
          <cell r="A411" t="str">
            <v>GFAXO</v>
          </cell>
          <cell r="B411" t="str">
            <v>FAX0FINE COMMUNICATION (INDIA) LTD.</v>
          </cell>
          <cell r="C411" t="str">
            <v>ADVAN</v>
          </cell>
          <cell r="D411">
            <v>40342</v>
          </cell>
          <cell r="E411">
            <v>40342</v>
          </cell>
          <cell r="F411">
            <v>0</v>
          </cell>
        </row>
        <row r="412">
          <cell r="A412" t="str">
            <v>GFINE</v>
          </cell>
          <cell r="B412" t="str">
            <v>FINE PRINT</v>
          </cell>
          <cell r="C412" t="str">
            <v>ADVAN</v>
          </cell>
          <cell r="D412">
            <v>4258</v>
          </cell>
          <cell r="E412">
            <v>4258</v>
          </cell>
          <cell r="F412">
            <v>0</v>
          </cell>
        </row>
        <row r="413">
          <cell r="A413" t="str">
            <v>GFLYK</v>
          </cell>
          <cell r="B413" t="str">
            <v>FLYKING COURIER SERVICE</v>
          </cell>
          <cell r="C413" t="str">
            <v>ADVAN</v>
          </cell>
          <cell r="D413">
            <v>99</v>
          </cell>
          <cell r="E413">
            <v>99</v>
          </cell>
          <cell r="F413">
            <v>0</v>
          </cell>
        </row>
        <row r="414">
          <cell r="A414" t="str">
            <v>GFORT</v>
          </cell>
          <cell r="B414" t="str">
            <v>FORTE GRAND</v>
          </cell>
          <cell r="C414" t="str">
            <v>ADVAN</v>
          </cell>
          <cell r="D414">
            <v>25000</v>
          </cell>
          <cell r="E414">
            <v>25000</v>
          </cell>
          <cell r="F414">
            <v>0</v>
          </cell>
        </row>
        <row r="415">
          <cell r="A415" t="str">
            <v>GAFP</v>
          </cell>
          <cell r="B415" t="str">
            <v>FREEZECO (P) LTD.</v>
          </cell>
          <cell r="C415" t="str">
            <v>ADVAN</v>
          </cell>
          <cell r="D415">
            <v>107343</v>
          </cell>
          <cell r="E415">
            <v>107343</v>
          </cell>
          <cell r="F415">
            <v>0</v>
          </cell>
        </row>
        <row r="416">
          <cell r="A416" t="str">
            <v>GFURC</v>
          </cell>
          <cell r="B416" t="str">
            <v>FUTURE COMP</v>
          </cell>
          <cell r="C416" t="str">
            <v>ADVAN</v>
          </cell>
          <cell r="D416">
            <v>7300</v>
          </cell>
          <cell r="E416">
            <v>7300</v>
          </cell>
          <cell r="F416">
            <v>0</v>
          </cell>
        </row>
        <row r="417">
          <cell r="A417" t="str">
            <v>GGSBA</v>
          </cell>
          <cell r="B417" t="str">
            <v>G.S. BASSON &amp; ASSOCIATES</v>
          </cell>
          <cell r="C417" t="str">
            <v>ADVAN</v>
          </cell>
          <cell r="D417">
            <v>48052</v>
          </cell>
          <cell r="E417">
            <v>48052</v>
          </cell>
          <cell r="F417">
            <v>0</v>
          </cell>
        </row>
        <row r="418">
          <cell r="A418" t="str">
            <v>GGSHO</v>
          </cell>
          <cell r="B418" t="str">
            <v>G.S. HOUSING PRIVATE LIMITED</v>
          </cell>
          <cell r="C418" t="str">
            <v>ADVAN</v>
          </cell>
          <cell r="D418">
            <v>358695</v>
          </cell>
          <cell r="E418">
            <v>358695</v>
          </cell>
          <cell r="F418">
            <v>0</v>
          </cell>
        </row>
        <row r="419">
          <cell r="A419" t="str">
            <v>GL12</v>
          </cell>
          <cell r="B419" t="str">
            <v>GAGAN BANGA LOAN A/C</v>
          </cell>
          <cell r="C419" t="str">
            <v>ADVAN</v>
          </cell>
          <cell r="D419">
            <v>150000</v>
          </cell>
          <cell r="E419">
            <v>150000</v>
          </cell>
          <cell r="F419">
            <v>0</v>
          </cell>
        </row>
        <row r="420">
          <cell r="A420" t="str">
            <v>GGAGA</v>
          </cell>
          <cell r="B420" t="str">
            <v>GAGRATS - ADVOCATES</v>
          </cell>
          <cell r="C420" t="str">
            <v>ADVAN</v>
          </cell>
          <cell r="D420">
            <v>155000</v>
          </cell>
          <cell r="E420">
            <v>155000</v>
          </cell>
          <cell r="F420">
            <v>0</v>
          </cell>
        </row>
        <row r="421">
          <cell r="A421" t="str">
            <v>GA00112</v>
          </cell>
          <cell r="B421" t="str">
            <v>GAJENDRA NAGPAL LOAN A/C</v>
          </cell>
          <cell r="C421" t="str">
            <v>ADVAN</v>
          </cell>
          <cell r="D421">
            <v>266670</v>
          </cell>
          <cell r="E421">
            <v>266670</v>
          </cell>
          <cell r="F421">
            <v>0</v>
          </cell>
        </row>
        <row r="422">
          <cell r="A422" t="str">
            <v>GGALE</v>
          </cell>
          <cell r="B422" t="str">
            <v>GALA ELECTRICALS PVT.LTD</v>
          </cell>
          <cell r="C422" t="str">
            <v>ADVAN</v>
          </cell>
          <cell r="D422">
            <v>2220</v>
          </cell>
          <cell r="E422">
            <v>2220</v>
          </cell>
          <cell r="F422">
            <v>0</v>
          </cell>
        </row>
        <row r="423">
          <cell r="A423" t="str">
            <v>GGALX</v>
          </cell>
          <cell r="B423" t="str">
            <v>GALAXY</v>
          </cell>
          <cell r="C423" t="str">
            <v>ADVAN</v>
          </cell>
          <cell r="D423">
            <v>29250</v>
          </cell>
          <cell r="E423">
            <v>29250</v>
          </cell>
          <cell r="F423">
            <v>0</v>
          </cell>
        </row>
        <row r="424">
          <cell r="A424" t="str">
            <v>GGALC</v>
          </cell>
          <cell r="B424" t="str">
            <v>GALAXY COMMUNICATION</v>
          </cell>
          <cell r="C424" t="str">
            <v>ADVAN</v>
          </cell>
          <cell r="D424">
            <v>4050</v>
          </cell>
          <cell r="E424">
            <v>4050</v>
          </cell>
          <cell r="F424">
            <v>0</v>
          </cell>
        </row>
        <row r="425">
          <cell r="A425" t="str">
            <v>GGLXY</v>
          </cell>
          <cell r="B425" t="str">
            <v>GALAXY INFOCOM PVT. LTD.</v>
          </cell>
          <cell r="C425" t="str">
            <v>ADVAN</v>
          </cell>
          <cell r="D425">
            <v>169150</v>
          </cell>
          <cell r="E425">
            <v>169150</v>
          </cell>
          <cell r="F425">
            <v>0</v>
          </cell>
        </row>
        <row r="426">
          <cell r="A426" t="str">
            <v>GGANA</v>
          </cell>
          <cell r="B426" t="str">
            <v>GANESH ANANDRAO JAGDALE</v>
          </cell>
          <cell r="C426" t="str">
            <v>ADVAN</v>
          </cell>
          <cell r="D426">
            <v>55080</v>
          </cell>
          <cell r="E426">
            <v>55080</v>
          </cell>
          <cell r="F426">
            <v>0</v>
          </cell>
        </row>
        <row r="427">
          <cell r="A427" t="str">
            <v>GGANE</v>
          </cell>
          <cell r="B427" t="str">
            <v>GANESH ELECTRONICS</v>
          </cell>
          <cell r="C427" t="str">
            <v>ADVAN</v>
          </cell>
          <cell r="D427">
            <v>6699</v>
          </cell>
          <cell r="E427">
            <v>6699</v>
          </cell>
          <cell r="F427">
            <v>0</v>
          </cell>
        </row>
        <row r="428">
          <cell r="A428" t="str">
            <v>GGANG</v>
          </cell>
          <cell r="B428" t="str">
            <v>GANGA CONSTRUCTION</v>
          </cell>
          <cell r="C428" t="str">
            <v>ADVAN</v>
          </cell>
          <cell r="D428">
            <v>5910</v>
          </cell>
          <cell r="E428">
            <v>5910</v>
          </cell>
          <cell r="F428">
            <v>0</v>
          </cell>
        </row>
        <row r="429">
          <cell r="A429" t="str">
            <v>GGRAG</v>
          </cell>
          <cell r="B429" t="str">
            <v>GARG ELECTRICALS</v>
          </cell>
          <cell r="C429" t="str">
            <v>ADVAN</v>
          </cell>
          <cell r="D429">
            <v>3125</v>
          </cell>
          <cell r="E429">
            <v>3125</v>
          </cell>
          <cell r="F429">
            <v>0</v>
          </cell>
        </row>
        <row r="430">
          <cell r="A430" t="str">
            <v>GGMOH</v>
          </cell>
          <cell r="B430" t="str">
            <v>GAURI MOHAN</v>
          </cell>
          <cell r="C430" t="str">
            <v>ADVAN</v>
          </cell>
          <cell r="D430">
            <v>62760</v>
          </cell>
          <cell r="E430">
            <v>62760</v>
          </cell>
          <cell r="F430">
            <v>0</v>
          </cell>
        </row>
        <row r="431">
          <cell r="A431" t="str">
            <v>GGAUI</v>
          </cell>
          <cell r="B431" t="str">
            <v>GAURI MUKUL GUPTA</v>
          </cell>
          <cell r="C431" t="str">
            <v>ADVAN</v>
          </cell>
          <cell r="D431">
            <v>20000</v>
          </cell>
          <cell r="E431">
            <v>20000</v>
          </cell>
          <cell r="F431">
            <v>0</v>
          </cell>
        </row>
        <row r="432">
          <cell r="A432" t="str">
            <v>GGAYA</v>
          </cell>
          <cell r="B432" t="str">
            <v>GAYATRI DEVI DHOOMSING CHAUDHARI</v>
          </cell>
          <cell r="C432" t="str">
            <v>ADVAN</v>
          </cell>
          <cell r="D432">
            <v>29592</v>
          </cell>
          <cell r="E432">
            <v>29592</v>
          </cell>
          <cell r="F432">
            <v>0</v>
          </cell>
        </row>
        <row r="433">
          <cell r="A433" t="str">
            <v>GGETP</v>
          </cell>
          <cell r="B433" t="str">
            <v>GEETAJALI PUBLICITY</v>
          </cell>
          <cell r="C433" t="str">
            <v>ADVAN</v>
          </cell>
          <cell r="D433">
            <v>11640</v>
          </cell>
          <cell r="E433">
            <v>11640</v>
          </cell>
          <cell r="F433">
            <v>0</v>
          </cell>
        </row>
        <row r="434">
          <cell r="A434" t="str">
            <v>GGEMC</v>
          </cell>
          <cell r="B434" t="str">
            <v>GEM CARRIERS</v>
          </cell>
          <cell r="C434" t="str">
            <v>ADVAN</v>
          </cell>
          <cell r="D434">
            <v>1572</v>
          </cell>
          <cell r="E434">
            <v>1572</v>
          </cell>
          <cell r="F434">
            <v>0</v>
          </cell>
        </row>
        <row r="435">
          <cell r="A435" t="str">
            <v>GGEMF</v>
          </cell>
          <cell r="B435" t="str">
            <v>GEM FURNITURE</v>
          </cell>
          <cell r="C435" t="str">
            <v>ADVAN</v>
          </cell>
          <cell r="D435">
            <v>6310</v>
          </cell>
          <cell r="E435">
            <v>6310</v>
          </cell>
          <cell r="F435">
            <v>0</v>
          </cell>
        </row>
        <row r="436">
          <cell r="A436" t="str">
            <v>GGIFT</v>
          </cell>
          <cell r="B436" t="str">
            <v>GIFT HOUSE</v>
          </cell>
          <cell r="C436" t="str">
            <v>ADVAN</v>
          </cell>
          <cell r="D436">
            <v>12463</v>
          </cell>
          <cell r="E436">
            <v>12463</v>
          </cell>
          <cell r="F436">
            <v>0</v>
          </cell>
        </row>
        <row r="437">
          <cell r="A437" t="str">
            <v>GGITA</v>
          </cell>
          <cell r="B437" t="str">
            <v>GITANJALI ENGINEER</v>
          </cell>
          <cell r="C437" t="str">
            <v>ADVAN</v>
          </cell>
          <cell r="D437">
            <v>107892</v>
          </cell>
          <cell r="E437">
            <v>107892</v>
          </cell>
          <cell r="F437">
            <v>0</v>
          </cell>
        </row>
        <row r="438">
          <cell r="A438" t="str">
            <v>GGECO</v>
          </cell>
          <cell r="B438" t="str">
            <v>GLOBE ELECTRIC COMPANY</v>
          </cell>
          <cell r="C438" t="str">
            <v>ADVAN</v>
          </cell>
          <cell r="D438">
            <v>12500</v>
          </cell>
          <cell r="E438">
            <v>12500</v>
          </cell>
          <cell r="F438">
            <v>0</v>
          </cell>
        </row>
        <row r="439">
          <cell r="A439" t="str">
            <v>GGMTR</v>
          </cell>
          <cell r="B439" t="str">
            <v>GM TRADING COMPANY</v>
          </cell>
          <cell r="C439" t="str">
            <v>ADVAN</v>
          </cell>
          <cell r="D439">
            <v>18000</v>
          </cell>
          <cell r="E439">
            <v>18000</v>
          </cell>
          <cell r="F439">
            <v>0</v>
          </cell>
        </row>
        <row r="440">
          <cell r="A440" t="str">
            <v>GGOEC</v>
          </cell>
          <cell r="B440" t="str">
            <v>GOEL TRADING CO.</v>
          </cell>
          <cell r="C440" t="str">
            <v>ADVAN</v>
          </cell>
          <cell r="D440">
            <v>2015</v>
          </cell>
          <cell r="E440">
            <v>2015</v>
          </cell>
          <cell r="F440">
            <v>0</v>
          </cell>
        </row>
        <row r="441">
          <cell r="A441" t="str">
            <v>GGOTV</v>
          </cell>
          <cell r="B441" t="str">
            <v>GOEL TV CENTRE</v>
          </cell>
          <cell r="C441" t="str">
            <v>ADVAN</v>
          </cell>
          <cell r="D441">
            <v>6375</v>
          </cell>
          <cell r="E441">
            <v>6375</v>
          </cell>
          <cell r="F441">
            <v>0</v>
          </cell>
        </row>
        <row r="442">
          <cell r="A442" t="str">
            <v>GGOGA</v>
          </cell>
          <cell r="B442" t="str">
            <v>GOGATE SALES (NASIK) PVT LTD</v>
          </cell>
          <cell r="C442" t="str">
            <v>ADVAN</v>
          </cell>
          <cell r="D442">
            <v>11500</v>
          </cell>
          <cell r="E442">
            <v>11500</v>
          </cell>
          <cell r="F442">
            <v>0</v>
          </cell>
        </row>
        <row r="443">
          <cell r="A443" t="str">
            <v>GGOVI</v>
          </cell>
          <cell r="B443" t="str">
            <v>GOVIND PRAJAPATI</v>
          </cell>
          <cell r="C443" t="str">
            <v>ADVAN</v>
          </cell>
          <cell r="D443">
            <v>6880</v>
          </cell>
          <cell r="E443">
            <v>6880</v>
          </cell>
          <cell r="F443">
            <v>0</v>
          </cell>
        </row>
        <row r="444">
          <cell r="A444" t="str">
            <v>GGOYA</v>
          </cell>
          <cell r="B444" t="str">
            <v>GOYAL STEEL FURNITURE</v>
          </cell>
          <cell r="C444" t="str">
            <v>ADVAN</v>
          </cell>
          <cell r="D444">
            <v>70110</v>
          </cell>
          <cell r="E444">
            <v>70110</v>
          </cell>
          <cell r="F444">
            <v>0</v>
          </cell>
        </row>
        <row r="445">
          <cell r="A445" t="str">
            <v>GGMH</v>
          </cell>
          <cell r="B445" t="str">
            <v>GRAND MAGRATH HOTEL</v>
          </cell>
          <cell r="C445" t="str">
            <v>ADVAN</v>
          </cell>
          <cell r="D445">
            <v>306</v>
          </cell>
          <cell r="E445">
            <v>306</v>
          </cell>
          <cell r="F445">
            <v>0</v>
          </cell>
        </row>
        <row r="446">
          <cell r="A446" t="str">
            <v>GGRAF</v>
          </cell>
          <cell r="B446" t="str">
            <v>GRAPHIC CREATIONS</v>
          </cell>
          <cell r="C446" t="str">
            <v>ADVAN</v>
          </cell>
          <cell r="D446">
            <v>277109</v>
          </cell>
          <cell r="E446">
            <v>277109</v>
          </cell>
          <cell r="F446">
            <v>0</v>
          </cell>
        </row>
        <row r="447">
          <cell r="A447" t="str">
            <v>GGSCO</v>
          </cell>
          <cell r="B447" t="str">
            <v>GREENWOOD SALES CORPORATION</v>
          </cell>
          <cell r="C447" t="str">
            <v>ADVAN</v>
          </cell>
          <cell r="D447">
            <v>48760</v>
          </cell>
          <cell r="E447">
            <v>48760</v>
          </cell>
          <cell r="F447">
            <v>0</v>
          </cell>
        </row>
        <row r="448">
          <cell r="A448" t="str">
            <v>GGRIP</v>
          </cell>
          <cell r="B448" t="str">
            <v>GRIP AGENCIES</v>
          </cell>
          <cell r="C448" t="str">
            <v>ADVAN</v>
          </cell>
          <cell r="D448">
            <v>3022</v>
          </cell>
          <cell r="E448">
            <v>3022</v>
          </cell>
          <cell r="F448">
            <v>0</v>
          </cell>
        </row>
        <row r="449">
          <cell r="A449" t="str">
            <v>GGUDD</v>
          </cell>
          <cell r="B449" t="str">
            <v>GUDDU</v>
          </cell>
          <cell r="C449" t="str">
            <v>ADVAN</v>
          </cell>
          <cell r="D449">
            <v>5200</v>
          </cell>
          <cell r="E449">
            <v>5200</v>
          </cell>
          <cell r="F449">
            <v>0</v>
          </cell>
        </row>
        <row r="450">
          <cell r="A450" t="str">
            <v>GGUHE</v>
          </cell>
          <cell r="B450" t="str">
            <v>GULABCHAND HEMRAJ KATARIYA</v>
          </cell>
          <cell r="C450" t="str">
            <v>ADVAN</v>
          </cell>
          <cell r="D450">
            <v>11268</v>
          </cell>
          <cell r="E450">
            <v>11268</v>
          </cell>
          <cell r="F450">
            <v>0</v>
          </cell>
        </row>
        <row r="451">
          <cell r="A451" t="str">
            <v>GGULA</v>
          </cell>
          <cell r="B451" t="str">
            <v>GULATI ELECTRONICS</v>
          </cell>
          <cell r="C451" t="str">
            <v>ADVAN</v>
          </cell>
          <cell r="D451">
            <v>25500</v>
          </cell>
          <cell r="E451">
            <v>25500</v>
          </cell>
          <cell r="F451">
            <v>0</v>
          </cell>
        </row>
        <row r="452">
          <cell r="A452" t="str">
            <v>GGUPS</v>
          </cell>
          <cell r="B452" t="str">
            <v>GUPTA SONS</v>
          </cell>
          <cell r="C452" t="str">
            <v>ADVAN</v>
          </cell>
          <cell r="D452">
            <v>7033</v>
          </cell>
          <cell r="E452">
            <v>7033</v>
          </cell>
          <cell r="F452">
            <v>0</v>
          </cell>
        </row>
        <row r="453">
          <cell r="A453" t="str">
            <v>GHAMI</v>
          </cell>
          <cell r="B453" t="str">
            <v>HAMILTON &amp; COMPANY LTD.</v>
          </cell>
          <cell r="C453" t="str">
            <v>ADVAN</v>
          </cell>
          <cell r="D453">
            <v>3381770</v>
          </cell>
          <cell r="E453">
            <v>3381770</v>
          </cell>
          <cell r="F453">
            <v>0</v>
          </cell>
        </row>
        <row r="454">
          <cell r="A454" t="str">
            <v>GHARA</v>
          </cell>
          <cell r="B454" t="str">
            <v>HARIHARAN RAJARAM</v>
          </cell>
          <cell r="C454" t="str">
            <v>ADVAN</v>
          </cell>
          <cell r="D454">
            <v>92203</v>
          </cell>
          <cell r="E454">
            <v>92203</v>
          </cell>
          <cell r="F454">
            <v>0</v>
          </cell>
        </row>
        <row r="455">
          <cell r="A455" t="str">
            <v>GHANA</v>
          </cell>
          <cell r="B455" t="str">
            <v>HARISH NAGPAL</v>
          </cell>
          <cell r="C455" t="str">
            <v>ADVAN</v>
          </cell>
          <cell r="D455">
            <v>3655</v>
          </cell>
          <cell r="E455">
            <v>3655</v>
          </cell>
          <cell r="F455">
            <v>0</v>
          </cell>
        </row>
        <row r="456">
          <cell r="A456" t="str">
            <v>GHARN</v>
          </cell>
          <cell r="B456" t="str">
            <v>HARNOOR TELECOMMUNICTIONS</v>
          </cell>
          <cell r="C456" t="str">
            <v>ADVAN</v>
          </cell>
          <cell r="D456">
            <v>3450</v>
          </cell>
          <cell r="E456">
            <v>3450</v>
          </cell>
          <cell r="F456">
            <v>0</v>
          </cell>
        </row>
        <row r="457">
          <cell r="A457" t="str">
            <v>GHASU</v>
          </cell>
          <cell r="B457" t="str">
            <v>HASUDHA FLYWAY PVT. LTD</v>
          </cell>
          <cell r="C457" t="str">
            <v>ADVAN</v>
          </cell>
          <cell r="D457">
            <v>673</v>
          </cell>
          <cell r="E457">
            <v>673</v>
          </cell>
          <cell r="F457">
            <v>0</v>
          </cell>
        </row>
        <row r="458">
          <cell r="A458" t="str">
            <v>GHEMA</v>
          </cell>
          <cell r="B458" t="str">
            <v>HEMANT TULSIDAS SURATWALA</v>
          </cell>
          <cell r="C458" t="str">
            <v>ADVAN</v>
          </cell>
          <cell r="D458">
            <v>74919</v>
          </cell>
          <cell r="E458">
            <v>74919</v>
          </cell>
          <cell r="F458">
            <v>0</v>
          </cell>
        </row>
        <row r="459">
          <cell r="A459" t="str">
            <v>GHIFI</v>
          </cell>
          <cell r="B459" t="str">
            <v>HI-FI</v>
          </cell>
          <cell r="C459" t="str">
            <v>ADVAN</v>
          </cell>
          <cell r="D459">
            <v>2889</v>
          </cell>
          <cell r="E459">
            <v>2889</v>
          </cell>
          <cell r="F459">
            <v>0</v>
          </cell>
        </row>
        <row r="460">
          <cell r="A460" t="str">
            <v>GHIMA</v>
          </cell>
          <cell r="B460" t="str">
            <v>HIMANSHU A SHAH</v>
          </cell>
          <cell r="C460" t="str">
            <v>ADVAN</v>
          </cell>
          <cell r="D460">
            <v>58000</v>
          </cell>
          <cell r="E460">
            <v>58000</v>
          </cell>
          <cell r="F460">
            <v>0</v>
          </cell>
        </row>
        <row r="461">
          <cell r="A461" t="str">
            <v>GHIMM</v>
          </cell>
          <cell r="B461" t="str">
            <v>HIMMATBHAI RAJABHAI PATEL</v>
          </cell>
          <cell r="C461" t="str">
            <v>ADVAN</v>
          </cell>
          <cell r="D461">
            <v>37995</v>
          </cell>
          <cell r="E461">
            <v>37995</v>
          </cell>
          <cell r="F461">
            <v>0</v>
          </cell>
        </row>
        <row r="462">
          <cell r="A462" t="str">
            <v>GAHAC</v>
          </cell>
          <cell r="B462" t="str">
            <v>HIMSHILA AIR CONDITION</v>
          </cell>
          <cell r="C462" t="str">
            <v>ADVAN</v>
          </cell>
          <cell r="D462">
            <v>137150</v>
          </cell>
          <cell r="E462">
            <v>137150</v>
          </cell>
          <cell r="F462">
            <v>0</v>
          </cell>
        </row>
        <row r="463">
          <cell r="A463" t="str">
            <v>GHISA</v>
          </cell>
          <cell r="B463" t="str">
            <v>HITESH SANGVI</v>
          </cell>
          <cell r="C463" t="str">
            <v>ADVAN</v>
          </cell>
          <cell r="D463">
            <v>46414</v>
          </cell>
          <cell r="E463">
            <v>46414</v>
          </cell>
          <cell r="F463">
            <v>0</v>
          </cell>
        </row>
        <row r="464">
          <cell r="A464" t="str">
            <v>GHOLL</v>
          </cell>
          <cell r="B464" t="str">
            <v>HOLLASONS TRADING COMPANY (P) LTD.</v>
          </cell>
          <cell r="C464" t="str">
            <v>ADVAN</v>
          </cell>
          <cell r="D464">
            <v>3536</v>
          </cell>
          <cell r="E464">
            <v>3536</v>
          </cell>
          <cell r="F464">
            <v>0</v>
          </cell>
        </row>
        <row r="465">
          <cell r="A465" t="str">
            <v>GHOMH</v>
          </cell>
          <cell r="B465" t="str">
            <v>HOME &amp; HYGIENE</v>
          </cell>
          <cell r="C465" t="str">
            <v>ADVAN</v>
          </cell>
          <cell r="D465">
            <v>6890</v>
          </cell>
          <cell r="E465">
            <v>6890</v>
          </cell>
          <cell r="F465">
            <v>0</v>
          </cell>
        </row>
        <row r="466">
          <cell r="A466" t="str">
            <v>GHOLI</v>
          </cell>
          <cell r="B466" t="str">
            <v>HOME LIFE ASSOCIATES</v>
          </cell>
          <cell r="C466" t="str">
            <v>ADVAN</v>
          </cell>
          <cell r="D466">
            <v>19278</v>
          </cell>
          <cell r="E466">
            <v>19278</v>
          </cell>
          <cell r="F466">
            <v>0</v>
          </cell>
        </row>
        <row r="467">
          <cell r="A467" t="str">
            <v>GHORIZ</v>
          </cell>
          <cell r="B467" t="str">
            <v>HORIZON</v>
          </cell>
          <cell r="C467" t="str">
            <v>ADVAN</v>
          </cell>
          <cell r="D467">
            <v>151</v>
          </cell>
          <cell r="E467">
            <v>151</v>
          </cell>
          <cell r="F467">
            <v>0</v>
          </cell>
        </row>
        <row r="468">
          <cell r="A468" t="str">
            <v>GHORI</v>
          </cell>
          <cell r="B468" t="str">
            <v>HORIZON SYSTEMS &amp; COMMUNICATION PVT. LTD.</v>
          </cell>
          <cell r="C468" t="str">
            <v>ADVAN</v>
          </cell>
          <cell r="D468">
            <v>20700</v>
          </cell>
          <cell r="E468">
            <v>20700</v>
          </cell>
          <cell r="F468">
            <v>0</v>
          </cell>
        </row>
        <row r="469">
          <cell r="A469" t="str">
            <v>GHAZC</v>
          </cell>
          <cell r="B469" t="str">
            <v>HORIZONS COURIER SERVICES NASIK</v>
          </cell>
          <cell r="C469" t="str">
            <v>ADVAN</v>
          </cell>
          <cell r="D469">
            <v>661</v>
          </cell>
          <cell r="E469">
            <v>661</v>
          </cell>
          <cell r="F469">
            <v>0</v>
          </cell>
        </row>
        <row r="470">
          <cell r="A470" t="str">
            <v>GHOTL</v>
          </cell>
          <cell r="B470" t="str">
            <v>HOTEL HILTOP</v>
          </cell>
          <cell r="C470" t="str">
            <v>ADVAN</v>
          </cell>
          <cell r="D470">
            <v>47862</v>
          </cell>
          <cell r="E470">
            <v>47862</v>
          </cell>
          <cell r="F470">
            <v>0</v>
          </cell>
        </row>
        <row r="471">
          <cell r="A471" t="str">
            <v>GPRID</v>
          </cell>
          <cell r="B471" t="str">
            <v>HOTEL PRIDE</v>
          </cell>
          <cell r="C471" t="str">
            <v>ADVAN</v>
          </cell>
          <cell r="D471">
            <v>6612</v>
          </cell>
          <cell r="E471">
            <v>6612</v>
          </cell>
          <cell r="F471">
            <v>0</v>
          </cell>
        </row>
        <row r="472">
          <cell r="A472" t="str">
            <v>GILGI</v>
          </cell>
          <cell r="B472" t="str">
            <v>ICICI LOMBARD GENERAL INSURANCE CO.LTD</v>
          </cell>
          <cell r="C472" t="str">
            <v>ADVAN</v>
          </cell>
          <cell r="D472">
            <v>163688</v>
          </cell>
          <cell r="E472">
            <v>163688</v>
          </cell>
          <cell r="F472">
            <v>0</v>
          </cell>
        </row>
        <row r="473">
          <cell r="A473" t="str">
            <v>GIDEAS</v>
          </cell>
          <cell r="B473" t="str">
            <v>IDEAS GALORE</v>
          </cell>
          <cell r="C473" t="str">
            <v>ADVAN</v>
          </cell>
          <cell r="D473">
            <v>23388</v>
          </cell>
          <cell r="E473">
            <v>23388</v>
          </cell>
          <cell r="F473">
            <v>0</v>
          </cell>
        </row>
        <row r="474">
          <cell r="A474" t="str">
            <v>GILFSL</v>
          </cell>
          <cell r="B474" t="str">
            <v>IL&amp;FS (LOAN)</v>
          </cell>
          <cell r="C474" t="str">
            <v>ADVAN</v>
          </cell>
          <cell r="D474">
            <v>815913</v>
          </cell>
          <cell r="E474">
            <v>815913</v>
          </cell>
          <cell r="F474">
            <v>0</v>
          </cell>
        </row>
        <row r="475">
          <cell r="A475" t="str">
            <v>GILSL</v>
          </cell>
          <cell r="B475" t="str">
            <v>IL&amp;FS (SECURITY LENDINGA/C)</v>
          </cell>
          <cell r="C475" t="str">
            <v>ADVAN</v>
          </cell>
          <cell r="D475">
            <v>12113368.300000001</v>
          </cell>
          <cell r="E475">
            <v>12113368.300000001</v>
          </cell>
          <cell r="F475">
            <v>0</v>
          </cell>
        </row>
        <row r="476">
          <cell r="A476" t="str">
            <v>GIMPC</v>
          </cell>
          <cell r="B476" t="str">
            <v>IMPEL COMPUTER</v>
          </cell>
          <cell r="C476" t="str">
            <v>ADVAN</v>
          </cell>
          <cell r="D476">
            <v>24750</v>
          </cell>
          <cell r="E476">
            <v>24750</v>
          </cell>
          <cell r="F476">
            <v>0</v>
          </cell>
        </row>
        <row r="477">
          <cell r="A477" t="str">
            <v>GIMPU</v>
          </cell>
          <cell r="B477" t="str">
            <v>IMPULZ SYSTEMS</v>
          </cell>
          <cell r="C477" t="str">
            <v>ADVAN</v>
          </cell>
          <cell r="D477">
            <v>105300</v>
          </cell>
          <cell r="E477">
            <v>105300</v>
          </cell>
          <cell r="F477">
            <v>0</v>
          </cell>
        </row>
        <row r="478">
          <cell r="A478" t="str">
            <v>GAIFST</v>
          </cell>
          <cell r="B478" t="str">
            <v>INDEMINIFICATION MONEY - IFSL</v>
          </cell>
          <cell r="C478" t="str">
            <v>ADVAN</v>
          </cell>
          <cell r="D478">
            <v>129200000</v>
          </cell>
          <cell r="E478">
            <v>129200000</v>
          </cell>
          <cell r="F478">
            <v>0</v>
          </cell>
        </row>
        <row r="479">
          <cell r="A479" t="str">
            <v>GINELEC</v>
          </cell>
          <cell r="B479" t="str">
            <v>INDIA ELECTROMECH</v>
          </cell>
          <cell r="C479" t="str">
            <v>ADVAN</v>
          </cell>
          <cell r="D479">
            <v>25953</v>
          </cell>
          <cell r="E479">
            <v>25953</v>
          </cell>
          <cell r="F479">
            <v>0</v>
          </cell>
        </row>
        <row r="480">
          <cell r="A480" t="str">
            <v>GINDO</v>
          </cell>
          <cell r="B480" t="str">
            <v>INDIA RADIO &amp; ELECTRIC CORP.</v>
          </cell>
          <cell r="C480" t="str">
            <v>ADVAN</v>
          </cell>
          <cell r="D480">
            <v>12900</v>
          </cell>
          <cell r="E480">
            <v>12900</v>
          </cell>
          <cell r="F480">
            <v>0</v>
          </cell>
        </row>
        <row r="481">
          <cell r="A481" t="str">
            <v>GICPL</v>
          </cell>
          <cell r="B481" t="str">
            <v>INDIABULLS COMMODITIES P. LTD.</v>
          </cell>
          <cell r="C481" t="str">
            <v>ADVAN</v>
          </cell>
          <cell r="D481">
            <v>384292</v>
          </cell>
          <cell r="E481">
            <v>384292</v>
          </cell>
          <cell r="F481">
            <v>0</v>
          </cell>
        </row>
        <row r="482">
          <cell r="A482" t="str">
            <v>GICSL</v>
          </cell>
          <cell r="B482" t="str">
            <v>INDIABULLS CREDIT SERVICES LIMITED</v>
          </cell>
          <cell r="C482" t="str">
            <v>ADVAN</v>
          </cell>
          <cell r="D482">
            <v>133153363</v>
          </cell>
          <cell r="E482">
            <v>133153363</v>
          </cell>
          <cell r="F482">
            <v>0</v>
          </cell>
        </row>
        <row r="483">
          <cell r="A483" t="str">
            <v>GAIEL</v>
          </cell>
          <cell r="B483" t="str">
            <v>INDIABULLS ESTATE LIMITED</v>
          </cell>
          <cell r="C483" t="str">
            <v>ADVAN</v>
          </cell>
          <cell r="D483">
            <v>500000</v>
          </cell>
          <cell r="E483">
            <v>500000</v>
          </cell>
          <cell r="F483">
            <v>0</v>
          </cell>
        </row>
        <row r="484">
          <cell r="A484" t="str">
            <v>GAIFCPL</v>
          </cell>
          <cell r="B484" t="str">
            <v>INDIABULLS FINANCE COMPANY PVT LIMITED</v>
          </cell>
          <cell r="C484" t="str">
            <v>ADVAN</v>
          </cell>
          <cell r="D484">
            <v>2822510400</v>
          </cell>
          <cell r="E484">
            <v>2822510400</v>
          </cell>
          <cell r="F484">
            <v>0</v>
          </cell>
        </row>
        <row r="485">
          <cell r="A485" t="str">
            <v>GAIFSL</v>
          </cell>
          <cell r="B485" t="str">
            <v>INDIABULLS FINANCIAL SERVICES LTD.</v>
          </cell>
          <cell r="C485" t="str">
            <v>ADVAN</v>
          </cell>
          <cell r="D485">
            <v>161513732</v>
          </cell>
          <cell r="E485">
            <v>161513732</v>
          </cell>
          <cell r="F485">
            <v>0</v>
          </cell>
        </row>
        <row r="486">
          <cell r="A486" t="str">
            <v>GINPC</v>
          </cell>
          <cell r="B486" t="str">
            <v>INDIAN POWER CONTROLS</v>
          </cell>
          <cell r="C486" t="str">
            <v>ADVAN</v>
          </cell>
          <cell r="D486">
            <v>33800</v>
          </cell>
          <cell r="E486">
            <v>33800</v>
          </cell>
          <cell r="F486">
            <v>0</v>
          </cell>
        </row>
        <row r="487">
          <cell r="A487" t="str">
            <v>GINDIT</v>
          </cell>
          <cell r="B487" t="str">
            <v>INDITRAVEL PRIVATE LIMITED</v>
          </cell>
          <cell r="C487" t="str">
            <v>ADVAN</v>
          </cell>
          <cell r="D487">
            <v>247</v>
          </cell>
          <cell r="E487">
            <v>247</v>
          </cell>
          <cell r="F487">
            <v>0</v>
          </cell>
        </row>
        <row r="488">
          <cell r="A488" t="str">
            <v>GINFU</v>
          </cell>
          <cell r="B488" t="str">
            <v>INDORA FURNITURE WORKS</v>
          </cell>
          <cell r="C488" t="str">
            <v>ADVAN</v>
          </cell>
          <cell r="D488">
            <v>32750</v>
          </cell>
          <cell r="E488">
            <v>32750</v>
          </cell>
          <cell r="F488">
            <v>0</v>
          </cell>
        </row>
        <row r="489">
          <cell r="A489" t="str">
            <v>GINDU</v>
          </cell>
          <cell r="B489" t="str">
            <v>INDUSTRIAL EQUIPMENTS COMPANY</v>
          </cell>
          <cell r="C489" t="str">
            <v>ADVAN</v>
          </cell>
          <cell r="D489">
            <v>324</v>
          </cell>
          <cell r="E489">
            <v>324</v>
          </cell>
          <cell r="F489">
            <v>0</v>
          </cell>
        </row>
        <row r="490">
          <cell r="A490" t="str">
            <v>GINFT</v>
          </cell>
          <cell r="B490" t="str">
            <v>INFINITE TECHNOLOGIES</v>
          </cell>
          <cell r="C490" t="str">
            <v>ADVAN</v>
          </cell>
          <cell r="D490">
            <v>35000</v>
          </cell>
          <cell r="E490">
            <v>35000</v>
          </cell>
          <cell r="F490">
            <v>0</v>
          </cell>
        </row>
        <row r="491">
          <cell r="A491" t="str">
            <v>GINSO</v>
          </cell>
          <cell r="B491" t="str">
            <v>INFO SOLUTIONS</v>
          </cell>
          <cell r="C491" t="str">
            <v>ADVAN</v>
          </cell>
          <cell r="D491">
            <v>2655</v>
          </cell>
          <cell r="E491">
            <v>2655</v>
          </cell>
          <cell r="F491">
            <v>0</v>
          </cell>
        </row>
        <row r="492">
          <cell r="A492" t="str">
            <v>GINFC</v>
          </cell>
          <cell r="B492" t="str">
            <v>INFOCOM</v>
          </cell>
          <cell r="C492" t="str">
            <v>ADVAN</v>
          </cell>
          <cell r="D492">
            <v>9300</v>
          </cell>
          <cell r="E492">
            <v>9300</v>
          </cell>
          <cell r="F492">
            <v>0</v>
          </cell>
        </row>
        <row r="493">
          <cell r="A493" t="str">
            <v>GINFS</v>
          </cell>
          <cell r="B493" t="str">
            <v>INFOSYSTEMS</v>
          </cell>
          <cell r="C493" t="str">
            <v>ADVAN</v>
          </cell>
          <cell r="D493">
            <v>108550</v>
          </cell>
          <cell r="E493">
            <v>108550</v>
          </cell>
          <cell r="F493">
            <v>0</v>
          </cell>
        </row>
        <row r="494">
          <cell r="A494" t="str">
            <v>GNTEK</v>
          </cell>
          <cell r="B494" t="str">
            <v>INFOTEK COMPUTER SERVICES</v>
          </cell>
          <cell r="C494" t="str">
            <v>ADVAN</v>
          </cell>
          <cell r="D494">
            <v>93650</v>
          </cell>
          <cell r="E494">
            <v>93650</v>
          </cell>
          <cell r="F494">
            <v>0</v>
          </cell>
        </row>
        <row r="495">
          <cell r="A495" t="str">
            <v>GINGR</v>
          </cell>
          <cell r="B495" t="str">
            <v>INGRAM ASSOCIATES</v>
          </cell>
          <cell r="C495" t="str">
            <v>ADVAN</v>
          </cell>
          <cell r="D495">
            <v>22640</v>
          </cell>
          <cell r="E495">
            <v>22640</v>
          </cell>
          <cell r="F495">
            <v>0</v>
          </cell>
        </row>
        <row r="496">
          <cell r="A496" t="str">
            <v>GITRA</v>
          </cell>
          <cell r="B496" t="str">
            <v>INSTANT TRADE AGENCY</v>
          </cell>
          <cell r="C496" t="str">
            <v>ADVAN</v>
          </cell>
          <cell r="D496">
            <v>77</v>
          </cell>
          <cell r="E496">
            <v>77</v>
          </cell>
          <cell r="F496">
            <v>0</v>
          </cell>
        </row>
        <row r="497">
          <cell r="A497" t="str">
            <v>GAIRC</v>
          </cell>
          <cell r="B497" t="str">
            <v>INSURANCE RECOVERABLE</v>
          </cell>
          <cell r="C497" t="str">
            <v>ADVAN</v>
          </cell>
          <cell r="D497">
            <v>22800</v>
          </cell>
          <cell r="E497">
            <v>22800</v>
          </cell>
          <cell r="F497">
            <v>0</v>
          </cell>
        </row>
        <row r="498">
          <cell r="A498" t="str">
            <v>GINEA</v>
          </cell>
          <cell r="B498" t="str">
            <v>INTERNATIONAL ELECTRONICS AGENCY</v>
          </cell>
          <cell r="C498" t="str">
            <v>ADVAN</v>
          </cell>
          <cell r="D498">
            <v>7550</v>
          </cell>
          <cell r="E498">
            <v>7550</v>
          </cell>
          <cell r="F498">
            <v>0</v>
          </cell>
        </row>
        <row r="499">
          <cell r="A499" t="str">
            <v>GIRUP</v>
          </cell>
          <cell r="B499" t="str">
            <v>IRUPATI COURIERS</v>
          </cell>
          <cell r="C499" t="str">
            <v>ADVAN</v>
          </cell>
          <cell r="D499">
            <v>6500</v>
          </cell>
          <cell r="E499">
            <v>6500</v>
          </cell>
          <cell r="F499">
            <v>0</v>
          </cell>
        </row>
        <row r="500">
          <cell r="A500" t="str">
            <v>GINSHT</v>
          </cell>
          <cell r="B500" t="str">
            <v>ISHT COMPUTERS</v>
          </cell>
          <cell r="C500" t="str">
            <v>ADVAN</v>
          </cell>
          <cell r="D500">
            <v>1150</v>
          </cell>
          <cell r="E500">
            <v>1150</v>
          </cell>
          <cell r="F500">
            <v>0</v>
          </cell>
        </row>
        <row r="501">
          <cell r="A501" t="str">
            <v>GITCL</v>
          </cell>
          <cell r="B501" t="str">
            <v>ITC LIMITED</v>
          </cell>
          <cell r="C501" t="str">
            <v>ADVAN</v>
          </cell>
          <cell r="D501">
            <v>112050</v>
          </cell>
          <cell r="E501">
            <v>112050</v>
          </cell>
          <cell r="F501">
            <v>0</v>
          </cell>
        </row>
        <row r="502">
          <cell r="A502" t="str">
            <v>GJJAT</v>
          </cell>
          <cell r="B502" t="str">
            <v>J.J.AUTOMOTIVE LTD</v>
          </cell>
          <cell r="C502" t="str">
            <v>ADVAN</v>
          </cell>
          <cell r="D502">
            <v>526101</v>
          </cell>
          <cell r="E502">
            <v>526101</v>
          </cell>
          <cell r="F502">
            <v>0</v>
          </cell>
        </row>
        <row r="503">
          <cell r="A503" t="str">
            <v>GJKFU</v>
          </cell>
          <cell r="B503" t="str">
            <v>J.K.FURNITURES</v>
          </cell>
          <cell r="C503" t="str">
            <v>ADVAN</v>
          </cell>
          <cell r="D503">
            <v>1730</v>
          </cell>
          <cell r="E503">
            <v>1730</v>
          </cell>
          <cell r="F503">
            <v>0</v>
          </cell>
        </row>
        <row r="504">
          <cell r="A504" t="str">
            <v>GJACO</v>
          </cell>
          <cell r="B504" t="str">
            <v>JACOB OOMEN</v>
          </cell>
          <cell r="C504" t="str">
            <v>ADVAN</v>
          </cell>
          <cell r="D504">
            <v>55080</v>
          </cell>
          <cell r="E504">
            <v>55080</v>
          </cell>
          <cell r="F504">
            <v>0</v>
          </cell>
        </row>
        <row r="505">
          <cell r="A505" t="str">
            <v>GJAGA</v>
          </cell>
          <cell r="B505" t="str">
            <v>JAGAT SHANTILAL THAKKAR</v>
          </cell>
          <cell r="C505" t="str">
            <v>ADVAN</v>
          </cell>
          <cell r="D505">
            <v>19360</v>
          </cell>
          <cell r="E505">
            <v>19360</v>
          </cell>
          <cell r="F505">
            <v>0</v>
          </cell>
        </row>
        <row r="506">
          <cell r="A506" t="str">
            <v>GJABI</v>
          </cell>
          <cell r="B506" t="str">
            <v>JAGDISH SINGH BINDRA</v>
          </cell>
          <cell r="C506" t="str">
            <v>ADVAN</v>
          </cell>
          <cell r="D506">
            <v>205134</v>
          </cell>
          <cell r="E506">
            <v>205134</v>
          </cell>
          <cell r="F506">
            <v>0</v>
          </cell>
        </row>
        <row r="507">
          <cell r="A507" t="str">
            <v>GJAIG</v>
          </cell>
          <cell r="B507" t="str">
            <v>JAI GURU FURNITURE</v>
          </cell>
          <cell r="C507" t="str">
            <v>ADVAN</v>
          </cell>
          <cell r="D507">
            <v>15625</v>
          </cell>
          <cell r="E507">
            <v>15625</v>
          </cell>
          <cell r="F507">
            <v>0</v>
          </cell>
        </row>
        <row r="508">
          <cell r="A508" t="str">
            <v>GJANF</v>
          </cell>
          <cell r="B508" t="str">
            <v>JAIN FURNITURE</v>
          </cell>
          <cell r="C508" t="str">
            <v>ADVAN</v>
          </cell>
          <cell r="D508">
            <v>1</v>
          </cell>
          <cell r="E508">
            <v>1</v>
          </cell>
          <cell r="F508">
            <v>0</v>
          </cell>
        </row>
        <row r="509">
          <cell r="A509" t="str">
            <v>GJAIR</v>
          </cell>
          <cell r="B509" t="str">
            <v>JAIN IRON &amp; HARDWARE STORE</v>
          </cell>
          <cell r="C509" t="str">
            <v>ADVAN</v>
          </cell>
          <cell r="D509">
            <v>35966</v>
          </cell>
          <cell r="E509">
            <v>35966</v>
          </cell>
          <cell r="F509">
            <v>0</v>
          </cell>
        </row>
        <row r="510">
          <cell r="A510" t="str">
            <v>GJASW</v>
          </cell>
          <cell r="B510" t="str">
            <v>JAIN STEEL WORKS</v>
          </cell>
          <cell r="C510" t="str">
            <v>ADVAN</v>
          </cell>
          <cell r="D510">
            <v>1596</v>
          </cell>
          <cell r="E510">
            <v>1596</v>
          </cell>
          <cell r="F510">
            <v>0</v>
          </cell>
        </row>
        <row r="511">
          <cell r="A511" t="str">
            <v>GJAIS</v>
          </cell>
          <cell r="B511" t="str">
            <v>JAISHANKAR PRIBHDAS AHUJA</v>
          </cell>
          <cell r="C511" t="str">
            <v>ADVAN</v>
          </cell>
          <cell r="D511">
            <v>49587</v>
          </cell>
          <cell r="E511">
            <v>49587</v>
          </cell>
          <cell r="F511">
            <v>0</v>
          </cell>
        </row>
        <row r="512">
          <cell r="A512" t="str">
            <v>GJANK</v>
          </cell>
          <cell r="B512" t="str">
            <v>JANKI SHARMA &amp; SONS</v>
          </cell>
          <cell r="C512" t="str">
            <v>ADVAN</v>
          </cell>
          <cell r="D512">
            <v>5982</v>
          </cell>
          <cell r="E512">
            <v>5982</v>
          </cell>
          <cell r="F512">
            <v>0</v>
          </cell>
        </row>
        <row r="513">
          <cell r="A513" t="str">
            <v>GJASP</v>
          </cell>
          <cell r="B513" t="str">
            <v>JASPREET SINGH &amp; PREET KANWAR SINGH</v>
          </cell>
          <cell r="C513" t="str">
            <v>ADVAN</v>
          </cell>
          <cell r="D513">
            <v>77959</v>
          </cell>
          <cell r="E513">
            <v>77959</v>
          </cell>
          <cell r="F513">
            <v>0</v>
          </cell>
        </row>
        <row r="514">
          <cell r="A514" t="str">
            <v>GJAEL</v>
          </cell>
          <cell r="B514" t="str">
            <v>JATINDRA ELECTRONICS</v>
          </cell>
          <cell r="C514" t="str">
            <v>ADVAN</v>
          </cell>
          <cell r="D514">
            <v>3680</v>
          </cell>
          <cell r="E514">
            <v>3680</v>
          </cell>
          <cell r="F514">
            <v>0</v>
          </cell>
        </row>
        <row r="515">
          <cell r="A515" t="str">
            <v>GJAYO</v>
          </cell>
          <cell r="B515" t="str">
            <v>JAYA ENCLAVE OWNERS WELFARE ASSOCIATION</v>
          </cell>
          <cell r="C515" t="str">
            <v>ADVAN</v>
          </cell>
          <cell r="D515">
            <v>49999.88</v>
          </cell>
          <cell r="E515">
            <v>49999.88</v>
          </cell>
          <cell r="F515">
            <v>0</v>
          </cell>
        </row>
        <row r="516">
          <cell r="A516" t="str">
            <v>GJAYC</v>
          </cell>
          <cell r="B516" t="str">
            <v>JAYACHANDRAN &amp; BALASUNDRAM</v>
          </cell>
          <cell r="C516" t="str">
            <v>ADVAN</v>
          </cell>
          <cell r="D516">
            <v>176270</v>
          </cell>
          <cell r="E516">
            <v>176270</v>
          </cell>
          <cell r="F516">
            <v>0</v>
          </cell>
        </row>
        <row r="517">
          <cell r="A517" t="str">
            <v>GJAYS</v>
          </cell>
          <cell r="B517" t="str">
            <v>JAYESH ELECTRICAL &amp; HARDWARES</v>
          </cell>
          <cell r="C517" t="str">
            <v>ADVAN</v>
          </cell>
          <cell r="D517">
            <v>45480</v>
          </cell>
          <cell r="E517">
            <v>45480</v>
          </cell>
          <cell r="F517">
            <v>0</v>
          </cell>
        </row>
        <row r="518">
          <cell r="A518" t="str">
            <v>GJAYG</v>
          </cell>
          <cell r="B518" t="str">
            <v>JAYESH GUJJAR</v>
          </cell>
          <cell r="C518" t="str">
            <v>ADVAN</v>
          </cell>
          <cell r="D518">
            <v>112</v>
          </cell>
          <cell r="E518">
            <v>112</v>
          </cell>
          <cell r="F518">
            <v>0</v>
          </cell>
        </row>
        <row r="519">
          <cell r="A519" t="str">
            <v>GJAYL</v>
          </cell>
          <cell r="B519" t="str">
            <v>JAYLAXMI FURNISHING PVT. LTD.</v>
          </cell>
          <cell r="C519" t="str">
            <v>ADVAN</v>
          </cell>
          <cell r="D519">
            <v>4181</v>
          </cell>
          <cell r="E519">
            <v>4181</v>
          </cell>
          <cell r="F519">
            <v>0</v>
          </cell>
        </row>
        <row r="520">
          <cell r="A520" t="str">
            <v>GJITN</v>
          </cell>
          <cell r="B520" t="str">
            <v>JITENDRA SUNDER KANKAL</v>
          </cell>
          <cell r="C520" t="str">
            <v>ADVAN</v>
          </cell>
          <cell r="D520">
            <v>38250</v>
          </cell>
          <cell r="E520">
            <v>38250</v>
          </cell>
          <cell r="F520">
            <v>0</v>
          </cell>
        </row>
        <row r="521">
          <cell r="A521" t="str">
            <v>GJIWA</v>
          </cell>
          <cell r="B521" t="str">
            <v>JIWAN STEEL FURNITURE</v>
          </cell>
          <cell r="C521" t="str">
            <v>ADVAN</v>
          </cell>
          <cell r="D521">
            <v>109637</v>
          </cell>
          <cell r="E521">
            <v>109637</v>
          </cell>
          <cell r="F521">
            <v>0</v>
          </cell>
        </row>
        <row r="522">
          <cell r="A522" t="str">
            <v>GJMDT</v>
          </cell>
          <cell r="B522" t="str">
            <v>JMD DOT COM</v>
          </cell>
          <cell r="C522" t="str">
            <v>ADVAN</v>
          </cell>
          <cell r="D522">
            <v>2500</v>
          </cell>
          <cell r="E522">
            <v>2500</v>
          </cell>
          <cell r="F522">
            <v>0</v>
          </cell>
        </row>
        <row r="523">
          <cell r="A523" t="str">
            <v>GJOSP</v>
          </cell>
          <cell r="B523" t="str">
            <v>JOSEPH</v>
          </cell>
          <cell r="C523" t="str">
            <v>ADVAN</v>
          </cell>
          <cell r="D523">
            <v>10079</v>
          </cell>
          <cell r="E523">
            <v>10079</v>
          </cell>
          <cell r="F523">
            <v>0</v>
          </cell>
        </row>
        <row r="524">
          <cell r="A524" t="str">
            <v>GJYOT</v>
          </cell>
          <cell r="B524" t="str">
            <v>JYOTI NARENDRA PUJARA</v>
          </cell>
          <cell r="C524" t="str">
            <v>ADVAN</v>
          </cell>
          <cell r="D524">
            <v>108020</v>
          </cell>
          <cell r="E524">
            <v>108020</v>
          </cell>
          <cell r="F524">
            <v>0</v>
          </cell>
        </row>
        <row r="525">
          <cell r="A525" t="str">
            <v>GKKRE</v>
          </cell>
          <cell r="B525" t="str">
            <v>K. K. REFRIGERATION</v>
          </cell>
          <cell r="C525" t="str">
            <v>ADVAN</v>
          </cell>
          <cell r="D525">
            <v>1000</v>
          </cell>
          <cell r="E525">
            <v>1000</v>
          </cell>
          <cell r="F525">
            <v>0</v>
          </cell>
        </row>
        <row r="526">
          <cell r="A526" t="str">
            <v>GKLML</v>
          </cell>
          <cell r="B526" t="str">
            <v>K. RANGA RAJU</v>
          </cell>
          <cell r="C526" t="str">
            <v>ADVAN</v>
          </cell>
          <cell r="D526">
            <v>50336</v>
          </cell>
          <cell r="E526">
            <v>50336</v>
          </cell>
          <cell r="F526">
            <v>0</v>
          </cell>
        </row>
        <row r="527">
          <cell r="A527" t="str">
            <v>GKKEN</v>
          </cell>
          <cell r="B527" t="str">
            <v>K.K. ENTERPRISES</v>
          </cell>
          <cell r="C527" t="str">
            <v>ADVAN</v>
          </cell>
          <cell r="D527">
            <v>27261</v>
          </cell>
          <cell r="E527">
            <v>27261</v>
          </cell>
          <cell r="F527">
            <v>0</v>
          </cell>
        </row>
        <row r="528">
          <cell r="A528" t="str">
            <v>GKMEL</v>
          </cell>
          <cell r="B528" t="str">
            <v>K.M.ELECTRONICS</v>
          </cell>
          <cell r="C528" t="str">
            <v>ADVAN</v>
          </cell>
          <cell r="D528">
            <v>12000</v>
          </cell>
          <cell r="E528">
            <v>12000</v>
          </cell>
          <cell r="F528">
            <v>0</v>
          </cell>
        </row>
        <row r="529">
          <cell r="A529" t="str">
            <v>GKADI</v>
          </cell>
          <cell r="B529" t="str">
            <v>KADIMI CONSTRUCTION PVT LTD</v>
          </cell>
          <cell r="C529" t="str">
            <v>ADVAN</v>
          </cell>
          <cell r="D529">
            <v>2380025</v>
          </cell>
          <cell r="E529">
            <v>2380025</v>
          </cell>
          <cell r="F529">
            <v>0</v>
          </cell>
        </row>
        <row r="530">
          <cell r="A530" t="str">
            <v>GKAIE</v>
          </cell>
          <cell r="B530" t="str">
            <v>KAIZEN ENTERPRISES</v>
          </cell>
          <cell r="C530" t="str">
            <v>ADVAN</v>
          </cell>
          <cell r="D530">
            <v>8200</v>
          </cell>
          <cell r="E530">
            <v>8200</v>
          </cell>
          <cell r="F530">
            <v>0</v>
          </cell>
        </row>
        <row r="531">
          <cell r="A531" t="str">
            <v>GKALP</v>
          </cell>
          <cell r="B531" t="str">
            <v>KALPANA CHHOTRAY</v>
          </cell>
          <cell r="C531" t="str">
            <v>ADVAN</v>
          </cell>
          <cell r="D531">
            <v>76064</v>
          </cell>
          <cell r="E531">
            <v>76064</v>
          </cell>
          <cell r="F531">
            <v>0</v>
          </cell>
        </row>
        <row r="532">
          <cell r="A532" t="str">
            <v>GKARK</v>
          </cell>
          <cell r="B532" t="str">
            <v>KALPANA RAJENDRA KATARIYA</v>
          </cell>
          <cell r="C532" t="str">
            <v>ADVAN</v>
          </cell>
          <cell r="D532">
            <v>10945</v>
          </cell>
          <cell r="E532">
            <v>10945</v>
          </cell>
          <cell r="F532">
            <v>0</v>
          </cell>
        </row>
        <row r="533">
          <cell r="A533" t="str">
            <v>GKADE</v>
          </cell>
          <cell r="B533" t="str">
            <v>KALPTARU DEVELOPERS</v>
          </cell>
          <cell r="C533" t="str">
            <v>ADVAN</v>
          </cell>
          <cell r="D533">
            <v>751161</v>
          </cell>
          <cell r="E533">
            <v>751161</v>
          </cell>
          <cell r="F533">
            <v>0</v>
          </cell>
        </row>
        <row r="534">
          <cell r="A534" t="str">
            <v>GKALY</v>
          </cell>
          <cell r="B534" t="str">
            <v>KALYAN ELECTRIX</v>
          </cell>
          <cell r="C534" t="str">
            <v>ADVAN</v>
          </cell>
          <cell r="D534">
            <v>12980</v>
          </cell>
          <cell r="E534">
            <v>12980</v>
          </cell>
          <cell r="F534">
            <v>0</v>
          </cell>
        </row>
        <row r="535">
          <cell r="A535" t="str">
            <v>GKAMAL</v>
          </cell>
          <cell r="B535" t="str">
            <v>KAMAL ELECTRIC</v>
          </cell>
          <cell r="C535" t="str">
            <v>ADVAN</v>
          </cell>
          <cell r="D535">
            <v>7425</v>
          </cell>
          <cell r="E535">
            <v>7425</v>
          </cell>
          <cell r="F535">
            <v>0</v>
          </cell>
        </row>
        <row r="536">
          <cell r="A536" t="str">
            <v>GKASA</v>
          </cell>
          <cell r="B536" t="str">
            <v>KAMALIA SALES</v>
          </cell>
          <cell r="C536" t="str">
            <v>ADVAN</v>
          </cell>
          <cell r="D536">
            <v>12200</v>
          </cell>
          <cell r="E536">
            <v>12200</v>
          </cell>
          <cell r="F536">
            <v>0</v>
          </cell>
        </row>
        <row r="537">
          <cell r="A537" t="str">
            <v>GKAMD</v>
          </cell>
          <cell r="B537" t="str">
            <v>KAMLADEVI MOHANANI</v>
          </cell>
          <cell r="C537" t="str">
            <v>ADVAN</v>
          </cell>
          <cell r="D537">
            <v>76462</v>
          </cell>
          <cell r="E537">
            <v>76462</v>
          </cell>
          <cell r="F537">
            <v>0</v>
          </cell>
        </row>
        <row r="538">
          <cell r="A538" t="str">
            <v>GKANDK</v>
          </cell>
          <cell r="B538" t="str">
            <v>KANDKUR AGENCY</v>
          </cell>
          <cell r="C538" t="str">
            <v>ADVAN</v>
          </cell>
          <cell r="D538">
            <v>5690</v>
          </cell>
          <cell r="E538">
            <v>5690</v>
          </cell>
          <cell r="F538">
            <v>0</v>
          </cell>
        </row>
        <row r="539">
          <cell r="A539" t="str">
            <v>GKANT</v>
          </cell>
          <cell r="B539" t="str">
            <v>KANTA CHANDRA</v>
          </cell>
          <cell r="C539" t="str">
            <v>ADVAN</v>
          </cell>
          <cell r="D539">
            <v>33750</v>
          </cell>
          <cell r="E539">
            <v>33750</v>
          </cell>
          <cell r="F539">
            <v>0</v>
          </cell>
        </row>
        <row r="540">
          <cell r="A540" t="str">
            <v>GKATH</v>
          </cell>
          <cell r="B540" t="str">
            <v>KANTHI ENTERPRISES</v>
          </cell>
          <cell r="C540" t="str">
            <v>ADVAN</v>
          </cell>
          <cell r="D540">
            <v>12656</v>
          </cell>
          <cell r="E540">
            <v>12656</v>
          </cell>
          <cell r="F540">
            <v>0</v>
          </cell>
        </row>
        <row r="541">
          <cell r="A541" t="str">
            <v>GKATI</v>
          </cell>
          <cell r="B541" t="str">
            <v>KARTIK ENTERPRISE</v>
          </cell>
          <cell r="C541" t="str">
            <v>ADVAN</v>
          </cell>
          <cell r="D541">
            <v>6160</v>
          </cell>
          <cell r="E541">
            <v>6160</v>
          </cell>
          <cell r="F541">
            <v>0</v>
          </cell>
        </row>
        <row r="542">
          <cell r="A542" t="str">
            <v>GKART</v>
          </cell>
          <cell r="B542" t="str">
            <v>KARTIKEYA MARKETING</v>
          </cell>
          <cell r="C542" t="str">
            <v>ADVAN</v>
          </cell>
          <cell r="D542">
            <v>75875</v>
          </cell>
          <cell r="E542">
            <v>75875</v>
          </cell>
          <cell r="F542">
            <v>0</v>
          </cell>
        </row>
        <row r="543">
          <cell r="A543" t="str">
            <v>GKARU</v>
          </cell>
          <cell r="B543" t="str">
            <v>KARUNA NEON &amp; PLASTICS</v>
          </cell>
          <cell r="C543" t="str">
            <v>ADVAN</v>
          </cell>
          <cell r="D543">
            <v>11981</v>
          </cell>
          <cell r="E543">
            <v>11981</v>
          </cell>
          <cell r="F543">
            <v>0</v>
          </cell>
        </row>
        <row r="544">
          <cell r="A544" t="str">
            <v>GA0246</v>
          </cell>
          <cell r="B544" t="str">
            <v>KAVI KUMAR LOAN A/C</v>
          </cell>
          <cell r="C544" t="str">
            <v>ADVAN</v>
          </cell>
          <cell r="D544">
            <v>325000</v>
          </cell>
          <cell r="E544">
            <v>325000</v>
          </cell>
          <cell r="F544">
            <v>0</v>
          </cell>
        </row>
        <row r="545">
          <cell r="A545" t="str">
            <v>GKAGB</v>
          </cell>
          <cell r="B545" t="str">
            <v>KAVITA G. BIJLANI</v>
          </cell>
          <cell r="C545" t="str">
            <v>ADVAN</v>
          </cell>
          <cell r="D545">
            <v>13656</v>
          </cell>
          <cell r="E545">
            <v>13656</v>
          </cell>
          <cell r="F545">
            <v>0</v>
          </cell>
        </row>
        <row r="546">
          <cell r="A546" t="str">
            <v>GKENW</v>
          </cell>
          <cell r="B546" t="str">
            <v>KENWOOD CORPARATION</v>
          </cell>
          <cell r="C546" t="str">
            <v>ADVAN</v>
          </cell>
          <cell r="D546">
            <v>13000</v>
          </cell>
          <cell r="E546">
            <v>13000</v>
          </cell>
          <cell r="F546">
            <v>0</v>
          </cell>
        </row>
        <row r="547">
          <cell r="A547" t="str">
            <v>GKHOS</v>
          </cell>
          <cell r="B547" t="str">
            <v>KHOSLA ELECTRONICS PVT LTD</v>
          </cell>
          <cell r="C547" t="str">
            <v>ADVAN</v>
          </cell>
          <cell r="D547">
            <v>15200</v>
          </cell>
          <cell r="E547">
            <v>15200</v>
          </cell>
          <cell r="F547">
            <v>0</v>
          </cell>
        </row>
        <row r="548">
          <cell r="A548" t="str">
            <v>GKHUR</v>
          </cell>
          <cell r="B548" t="str">
            <v>KHURANA TELE SHOP</v>
          </cell>
          <cell r="C548" t="str">
            <v>ADVAN</v>
          </cell>
          <cell r="D548">
            <v>7500</v>
          </cell>
          <cell r="E548">
            <v>7500</v>
          </cell>
          <cell r="F548">
            <v>0</v>
          </cell>
        </row>
        <row r="549">
          <cell r="A549" t="str">
            <v>GKOAL</v>
          </cell>
          <cell r="B549" t="str">
            <v>KILBURN OFFICE AUTOMATION LIMITED</v>
          </cell>
          <cell r="C549" t="str">
            <v>ADVAN</v>
          </cell>
          <cell r="D549">
            <v>401744</v>
          </cell>
          <cell r="E549">
            <v>401744</v>
          </cell>
          <cell r="F549">
            <v>0</v>
          </cell>
        </row>
        <row r="550">
          <cell r="A550" t="str">
            <v>GKICO</v>
          </cell>
          <cell r="B550" t="str">
            <v>KIRAN COMPUTERS</v>
          </cell>
          <cell r="C550" t="str">
            <v>ADVAN</v>
          </cell>
          <cell r="D550">
            <v>3500</v>
          </cell>
          <cell r="E550">
            <v>3500</v>
          </cell>
          <cell r="F550">
            <v>0</v>
          </cell>
        </row>
        <row r="551">
          <cell r="A551" t="str">
            <v>GKIRN</v>
          </cell>
          <cell r="B551" t="str">
            <v>KIRAN GUPTA</v>
          </cell>
          <cell r="C551" t="str">
            <v>ADVAN</v>
          </cell>
          <cell r="D551">
            <v>272359</v>
          </cell>
          <cell r="E551">
            <v>272359</v>
          </cell>
          <cell r="F551">
            <v>0</v>
          </cell>
        </row>
        <row r="552">
          <cell r="A552" t="str">
            <v>GKIMO</v>
          </cell>
          <cell r="B552" t="str">
            <v>KIRAN MODI XEROX</v>
          </cell>
          <cell r="C552" t="str">
            <v>ADVAN</v>
          </cell>
          <cell r="D552">
            <v>6501.75</v>
          </cell>
          <cell r="E552">
            <v>6501.75</v>
          </cell>
          <cell r="F552">
            <v>0</v>
          </cell>
        </row>
        <row r="553">
          <cell r="A553" t="str">
            <v>GKIDA</v>
          </cell>
          <cell r="B553" t="str">
            <v>KIRTIDA JAGDISH BHUTA</v>
          </cell>
          <cell r="C553" t="str">
            <v>ADVAN</v>
          </cell>
          <cell r="D553">
            <v>58144</v>
          </cell>
          <cell r="E553">
            <v>58144</v>
          </cell>
          <cell r="F553">
            <v>0</v>
          </cell>
        </row>
        <row r="554">
          <cell r="A554" t="str">
            <v>GKIKA</v>
          </cell>
          <cell r="B554" t="str">
            <v>KISHOR KANJI SHAH</v>
          </cell>
          <cell r="C554" t="str">
            <v>ADVAN</v>
          </cell>
          <cell r="D554">
            <v>32803</v>
          </cell>
          <cell r="E554">
            <v>32803</v>
          </cell>
          <cell r="F554">
            <v>0</v>
          </cell>
        </row>
        <row r="555">
          <cell r="A555" t="str">
            <v>GKIVI</v>
          </cell>
          <cell r="B555" t="str">
            <v>KISHORE VISHWANATH BACHHUKA</v>
          </cell>
          <cell r="C555" t="str">
            <v>ADVAN</v>
          </cell>
          <cell r="D555">
            <v>342760</v>
          </cell>
          <cell r="E555">
            <v>342760</v>
          </cell>
          <cell r="F555">
            <v>0</v>
          </cell>
        </row>
        <row r="556">
          <cell r="A556" t="str">
            <v>GKOTE</v>
          </cell>
          <cell r="B556" t="str">
            <v>KOHINOOR TELEVIDEO</v>
          </cell>
          <cell r="C556" t="str">
            <v>ADVAN</v>
          </cell>
          <cell r="D556">
            <v>130000</v>
          </cell>
          <cell r="E556">
            <v>130000</v>
          </cell>
          <cell r="F556">
            <v>0</v>
          </cell>
        </row>
        <row r="557">
          <cell r="A557" t="str">
            <v>GKOAS</v>
          </cell>
          <cell r="B557" t="str">
            <v>KOHLI ASSOCIATES</v>
          </cell>
          <cell r="C557" t="str">
            <v>ADVAN</v>
          </cell>
          <cell r="D557">
            <v>8813</v>
          </cell>
          <cell r="E557">
            <v>8813</v>
          </cell>
          <cell r="F557">
            <v>0</v>
          </cell>
        </row>
        <row r="558">
          <cell r="A558" t="str">
            <v>GKOND</v>
          </cell>
          <cell r="B558" t="str">
            <v>KONDAAS AUTOMATION PVT. LTD.</v>
          </cell>
          <cell r="C558" t="str">
            <v>ADVAN</v>
          </cell>
          <cell r="D558">
            <v>42500</v>
          </cell>
          <cell r="E558">
            <v>42500</v>
          </cell>
          <cell r="F558">
            <v>0</v>
          </cell>
        </row>
        <row r="559">
          <cell r="A559" t="str">
            <v>GKOOL</v>
          </cell>
          <cell r="B559" t="str">
            <v>KOOL CORNER</v>
          </cell>
          <cell r="C559" t="str">
            <v>ADVAN</v>
          </cell>
          <cell r="D559">
            <v>8000</v>
          </cell>
          <cell r="E559">
            <v>8000</v>
          </cell>
          <cell r="F559">
            <v>0</v>
          </cell>
        </row>
        <row r="560">
          <cell r="A560" t="str">
            <v>GKONE</v>
          </cell>
          <cell r="B560" t="str">
            <v>KOOL NEST</v>
          </cell>
          <cell r="C560" t="str">
            <v>ADVAN</v>
          </cell>
          <cell r="D560">
            <v>13573</v>
          </cell>
          <cell r="E560">
            <v>13573</v>
          </cell>
          <cell r="F560">
            <v>0</v>
          </cell>
        </row>
        <row r="561">
          <cell r="A561" t="str">
            <v>GKOTA</v>
          </cell>
          <cell r="B561" t="str">
            <v>KOTA ENTERPRISES</v>
          </cell>
          <cell r="C561" t="str">
            <v>ADVAN</v>
          </cell>
          <cell r="D561">
            <v>2595</v>
          </cell>
          <cell r="E561">
            <v>2595</v>
          </cell>
          <cell r="F561">
            <v>0</v>
          </cell>
        </row>
        <row r="562">
          <cell r="A562" t="str">
            <v>GKMIL</v>
          </cell>
          <cell r="B562" t="str">
            <v>KOTAK MAHINDRA INVESTMENT LIMITED</v>
          </cell>
          <cell r="C562" t="str">
            <v>ADVAN</v>
          </cell>
          <cell r="D562">
            <v>99900000</v>
          </cell>
          <cell r="E562">
            <v>99900000</v>
          </cell>
          <cell r="F562">
            <v>0</v>
          </cell>
        </row>
        <row r="563">
          <cell r="A563" t="str">
            <v>GKRIS</v>
          </cell>
          <cell r="B563" t="str">
            <v>KRISHAN CHANDRA</v>
          </cell>
          <cell r="C563" t="str">
            <v>ADVAN</v>
          </cell>
          <cell r="D563">
            <v>33750</v>
          </cell>
          <cell r="E563">
            <v>33750</v>
          </cell>
          <cell r="F563">
            <v>0</v>
          </cell>
        </row>
        <row r="564">
          <cell r="A564" t="str">
            <v>GKRIE</v>
          </cell>
          <cell r="B564" t="str">
            <v>KRISHANA ELECTRICALS</v>
          </cell>
          <cell r="C564" t="str">
            <v>ADVAN</v>
          </cell>
          <cell r="D564">
            <v>4755</v>
          </cell>
          <cell r="E564">
            <v>4755</v>
          </cell>
          <cell r="F564">
            <v>0</v>
          </cell>
        </row>
        <row r="565">
          <cell r="A565" t="str">
            <v>GKRIN</v>
          </cell>
          <cell r="B565" t="str">
            <v>KRISHNA GULATI</v>
          </cell>
          <cell r="C565" t="str">
            <v>ADVAN</v>
          </cell>
          <cell r="D565">
            <v>14421</v>
          </cell>
          <cell r="E565">
            <v>14421</v>
          </cell>
          <cell r="F565">
            <v>0</v>
          </cell>
        </row>
        <row r="566">
          <cell r="A566" t="str">
            <v>GKISN</v>
          </cell>
          <cell r="B566" t="str">
            <v>KRISHNA KUMAR</v>
          </cell>
          <cell r="C566" t="str">
            <v>ADVAN</v>
          </cell>
          <cell r="D566">
            <v>15000</v>
          </cell>
          <cell r="E566">
            <v>15000</v>
          </cell>
          <cell r="F566">
            <v>0</v>
          </cell>
        </row>
        <row r="567">
          <cell r="A567" t="str">
            <v>GKRVA</v>
          </cell>
          <cell r="B567" t="str">
            <v>KRV ARCADE AR PLAZA SOCIETY</v>
          </cell>
          <cell r="C567" t="str">
            <v>ADVAN</v>
          </cell>
          <cell r="D567">
            <v>15582</v>
          </cell>
          <cell r="E567">
            <v>15582</v>
          </cell>
          <cell r="F567">
            <v>0</v>
          </cell>
        </row>
        <row r="568">
          <cell r="A568" t="str">
            <v>GKMAD</v>
          </cell>
          <cell r="B568" t="str">
            <v>KUMAR ADVERTISERS</v>
          </cell>
          <cell r="C568" t="str">
            <v>ADVAN</v>
          </cell>
          <cell r="D568">
            <v>8160</v>
          </cell>
          <cell r="E568">
            <v>8160</v>
          </cell>
          <cell r="F568">
            <v>0</v>
          </cell>
        </row>
        <row r="569">
          <cell r="A569" t="str">
            <v>GKUTH</v>
          </cell>
          <cell r="B569" t="str">
            <v>KUNAL THAPAR</v>
          </cell>
          <cell r="C569" t="str">
            <v>ADVAN</v>
          </cell>
          <cell r="D569">
            <v>617</v>
          </cell>
          <cell r="E569">
            <v>617</v>
          </cell>
          <cell r="F569">
            <v>0</v>
          </cell>
        </row>
        <row r="570">
          <cell r="A570" t="str">
            <v>GKUNL</v>
          </cell>
          <cell r="B570" t="str">
            <v>KUNDANLAL SOBHACHAND MANDELECHA</v>
          </cell>
          <cell r="C570" t="str">
            <v>ADVAN</v>
          </cell>
          <cell r="D570">
            <v>6628</v>
          </cell>
          <cell r="E570">
            <v>6628</v>
          </cell>
          <cell r="F570">
            <v>0</v>
          </cell>
        </row>
        <row r="571">
          <cell r="A571" t="str">
            <v>GKUSU</v>
          </cell>
          <cell r="B571" t="str">
            <v>KUSUM AJAY MODY</v>
          </cell>
          <cell r="C571" t="str">
            <v>ADVAN</v>
          </cell>
          <cell r="D571">
            <v>16524</v>
          </cell>
          <cell r="E571">
            <v>16524</v>
          </cell>
          <cell r="F571">
            <v>0</v>
          </cell>
        </row>
        <row r="572">
          <cell r="A572" t="str">
            <v>GLGEL</v>
          </cell>
          <cell r="B572" t="str">
            <v>L G  ELECTRONICS INDIA PVT. LTD.</v>
          </cell>
          <cell r="C572" t="str">
            <v>ADVAN</v>
          </cell>
          <cell r="D572">
            <v>359000</v>
          </cell>
          <cell r="E572">
            <v>359000</v>
          </cell>
          <cell r="F572">
            <v>0</v>
          </cell>
        </row>
        <row r="573">
          <cell r="A573" t="str">
            <v>GLACH</v>
          </cell>
          <cell r="B573" t="str">
            <v>LACHMI GEHIMAL MANGHNANI</v>
          </cell>
          <cell r="C573" t="str">
            <v>ADVAN</v>
          </cell>
          <cell r="D573">
            <v>650000</v>
          </cell>
          <cell r="E573">
            <v>650000</v>
          </cell>
          <cell r="F573">
            <v>0</v>
          </cell>
        </row>
        <row r="574">
          <cell r="A574" t="str">
            <v>GLAKH</v>
          </cell>
          <cell r="B574" t="str">
            <v>LAKHICHAND KESHAVDAS GANGWANI</v>
          </cell>
          <cell r="C574" t="str">
            <v>ADVAN</v>
          </cell>
          <cell r="D574">
            <v>40586</v>
          </cell>
          <cell r="E574">
            <v>40586</v>
          </cell>
          <cell r="F574">
            <v>0</v>
          </cell>
        </row>
        <row r="575">
          <cell r="A575" t="str">
            <v>GLAKS</v>
          </cell>
          <cell r="B575" t="str">
            <v>LAKSHMI DISTRIBUTORS</v>
          </cell>
          <cell r="C575" t="str">
            <v>ADVAN</v>
          </cell>
          <cell r="D575">
            <v>23900</v>
          </cell>
          <cell r="E575">
            <v>23900</v>
          </cell>
          <cell r="F575">
            <v>0</v>
          </cell>
        </row>
        <row r="576">
          <cell r="A576" t="str">
            <v>GLANC</v>
          </cell>
          <cell r="B576" t="str">
            <v>LANCER INFOTECH</v>
          </cell>
          <cell r="C576" t="str">
            <v>ADVAN</v>
          </cell>
          <cell r="D576">
            <v>28950</v>
          </cell>
          <cell r="E576">
            <v>28950</v>
          </cell>
          <cell r="F576">
            <v>0</v>
          </cell>
        </row>
        <row r="577">
          <cell r="A577" t="str">
            <v>GLATA</v>
          </cell>
          <cell r="B577" t="str">
            <v>LATA LALCHAND MUTHIYAN</v>
          </cell>
          <cell r="C577" t="str">
            <v>ADVAN</v>
          </cell>
          <cell r="D577">
            <v>6628</v>
          </cell>
          <cell r="E577">
            <v>6628</v>
          </cell>
          <cell r="F577">
            <v>0</v>
          </cell>
        </row>
        <row r="578">
          <cell r="A578" t="str">
            <v>GALATH</v>
          </cell>
          <cell r="B578" t="str">
            <v>LATHA MOHANDAS</v>
          </cell>
          <cell r="C578" t="str">
            <v>ADVAN</v>
          </cell>
          <cell r="D578">
            <v>6000</v>
          </cell>
          <cell r="E578">
            <v>6000</v>
          </cell>
          <cell r="F578">
            <v>0</v>
          </cell>
        </row>
        <row r="579">
          <cell r="A579" t="str">
            <v>GLATH</v>
          </cell>
          <cell r="B579" t="str">
            <v>LATHA RAGHUNATH</v>
          </cell>
          <cell r="C579" t="str">
            <v>ADVAN</v>
          </cell>
          <cell r="D579">
            <v>23001</v>
          </cell>
          <cell r="E579">
            <v>23001</v>
          </cell>
          <cell r="F579">
            <v>0</v>
          </cell>
        </row>
        <row r="580">
          <cell r="A580" t="str">
            <v>GLAXAG</v>
          </cell>
          <cell r="B580" t="str">
            <v>LAXMI AGENCIES</v>
          </cell>
          <cell r="C580" t="str">
            <v>ADVAN</v>
          </cell>
          <cell r="D580">
            <v>144000</v>
          </cell>
          <cell r="E580">
            <v>144000</v>
          </cell>
          <cell r="F580">
            <v>0</v>
          </cell>
        </row>
        <row r="581">
          <cell r="A581" t="str">
            <v>GLTPR</v>
          </cell>
          <cell r="B581" t="str">
            <v>LAXMI TIMBER PRODUCTS</v>
          </cell>
          <cell r="C581" t="str">
            <v>ADVAN</v>
          </cell>
          <cell r="D581">
            <v>1067806</v>
          </cell>
          <cell r="E581">
            <v>1067806</v>
          </cell>
          <cell r="F581">
            <v>0</v>
          </cell>
        </row>
        <row r="582">
          <cell r="A582" t="str">
            <v>GLIFE</v>
          </cell>
          <cell r="B582" t="str">
            <v>LIFE STYLE FURNITURE &amp; INTERIOR</v>
          </cell>
          <cell r="C582" t="str">
            <v>ADVAN</v>
          </cell>
          <cell r="D582">
            <v>66612</v>
          </cell>
          <cell r="E582">
            <v>66612</v>
          </cell>
          <cell r="F582">
            <v>0</v>
          </cell>
        </row>
        <row r="583">
          <cell r="A583" t="str">
            <v>GLPPL</v>
          </cell>
          <cell r="B583" t="str">
            <v>LIPPO PROPERTIES P. LTD.</v>
          </cell>
          <cell r="C583" t="str">
            <v>ADVAN</v>
          </cell>
          <cell r="D583">
            <v>2867880</v>
          </cell>
          <cell r="E583">
            <v>2867880</v>
          </cell>
          <cell r="F583">
            <v>0</v>
          </cell>
        </row>
        <row r="584">
          <cell r="A584" t="str">
            <v>GLIVI</v>
          </cell>
          <cell r="B584" t="str">
            <v>LIVISTA</v>
          </cell>
          <cell r="C584" t="str">
            <v>ADVAN</v>
          </cell>
          <cell r="D584">
            <v>30140</v>
          </cell>
          <cell r="E584">
            <v>30140</v>
          </cell>
          <cell r="F584">
            <v>0</v>
          </cell>
        </row>
        <row r="585">
          <cell r="A585" t="str">
            <v>GLKVP</v>
          </cell>
          <cell r="B585" t="str">
            <v>LKV PROJECTS</v>
          </cell>
          <cell r="C585" t="str">
            <v>ADVAN</v>
          </cell>
          <cell r="D585">
            <v>427500</v>
          </cell>
          <cell r="E585">
            <v>427500</v>
          </cell>
          <cell r="F585">
            <v>0</v>
          </cell>
        </row>
        <row r="586">
          <cell r="A586" t="str">
            <v>GE0095</v>
          </cell>
          <cell r="B586" t="str">
            <v>LOAN ACCOUNT CALCUTTA</v>
          </cell>
          <cell r="C586" t="str">
            <v>ADVAN</v>
          </cell>
          <cell r="D586">
            <v>126336</v>
          </cell>
          <cell r="E586">
            <v>126336</v>
          </cell>
          <cell r="F586">
            <v>0</v>
          </cell>
        </row>
        <row r="587">
          <cell r="A587" t="str">
            <v>GLOKU</v>
          </cell>
          <cell r="B587" t="str">
            <v>LOVE KUSH SHARMA</v>
          </cell>
          <cell r="C587" t="str">
            <v>ADVAN</v>
          </cell>
          <cell r="D587">
            <v>561</v>
          </cell>
          <cell r="E587">
            <v>561</v>
          </cell>
          <cell r="F587">
            <v>0</v>
          </cell>
        </row>
        <row r="588">
          <cell r="A588" t="str">
            <v>GLUCK</v>
          </cell>
          <cell r="B588" t="str">
            <v>LUCKY STEEL FURNITURE INDUSTRIES &amp; TRD</v>
          </cell>
          <cell r="C588" t="str">
            <v>ADVAN</v>
          </cell>
          <cell r="D588">
            <v>8750</v>
          </cell>
          <cell r="E588">
            <v>8750</v>
          </cell>
          <cell r="F588">
            <v>0</v>
          </cell>
        </row>
        <row r="589">
          <cell r="A589" t="str">
            <v>GLUIS</v>
          </cell>
          <cell r="B589" t="str">
            <v>LUIS D CRUZ</v>
          </cell>
          <cell r="C589" t="str">
            <v>ADVAN</v>
          </cell>
          <cell r="D589">
            <v>15588</v>
          </cell>
          <cell r="E589">
            <v>15588</v>
          </cell>
          <cell r="F589">
            <v>0</v>
          </cell>
        </row>
        <row r="590">
          <cell r="A590" t="str">
            <v>GLUXM</v>
          </cell>
          <cell r="B590" t="str">
            <v>LUXMI GLASS EMPORIUM</v>
          </cell>
          <cell r="C590" t="str">
            <v>ADVAN</v>
          </cell>
          <cell r="D590">
            <v>3930</v>
          </cell>
          <cell r="E590">
            <v>3930</v>
          </cell>
          <cell r="F590">
            <v>0</v>
          </cell>
        </row>
        <row r="591">
          <cell r="A591" t="str">
            <v>GMGEL</v>
          </cell>
          <cell r="B591" t="str">
            <v>M.G. ELECTRICALS</v>
          </cell>
          <cell r="C591" t="str">
            <v>ADVAN</v>
          </cell>
          <cell r="D591">
            <v>3200</v>
          </cell>
          <cell r="E591">
            <v>3200</v>
          </cell>
          <cell r="F591">
            <v>0</v>
          </cell>
        </row>
        <row r="592">
          <cell r="A592" t="str">
            <v>GMGTD</v>
          </cell>
          <cell r="B592" t="str">
            <v>M.G.TRADERS</v>
          </cell>
          <cell r="C592" t="str">
            <v>ADVAN</v>
          </cell>
          <cell r="D592">
            <v>29187</v>
          </cell>
          <cell r="E592">
            <v>29187</v>
          </cell>
          <cell r="F592">
            <v>0</v>
          </cell>
        </row>
        <row r="593">
          <cell r="A593" t="str">
            <v>GMMPA</v>
          </cell>
          <cell r="B593" t="str">
            <v>M.M. PATIL INVESTMENT &amp; LEASING PVT. LTD</v>
          </cell>
          <cell r="C593" t="str">
            <v>ADVAN</v>
          </cell>
          <cell r="D593">
            <v>296806</v>
          </cell>
          <cell r="E593">
            <v>296806</v>
          </cell>
          <cell r="F593">
            <v>0</v>
          </cell>
        </row>
        <row r="594">
          <cell r="A594" t="str">
            <v>GMREN</v>
          </cell>
          <cell r="B594" t="str">
            <v>M.R. ENGINEERING WORKS</v>
          </cell>
          <cell r="C594" t="str">
            <v>ADVAN</v>
          </cell>
          <cell r="D594">
            <v>404</v>
          </cell>
          <cell r="E594">
            <v>404</v>
          </cell>
          <cell r="F594">
            <v>0</v>
          </cell>
        </row>
        <row r="595">
          <cell r="A595" t="str">
            <v>GMSRE</v>
          </cell>
          <cell r="B595" t="str">
            <v>M.S. REFRIGERATION</v>
          </cell>
          <cell r="C595" t="str">
            <v>ADVAN</v>
          </cell>
          <cell r="D595">
            <v>3648</v>
          </cell>
          <cell r="E595">
            <v>3648</v>
          </cell>
          <cell r="F595">
            <v>0</v>
          </cell>
        </row>
        <row r="596">
          <cell r="A596" t="str">
            <v>GGVIS</v>
          </cell>
          <cell r="B596" t="str">
            <v>M/S G. VISHIN &amp; SONS</v>
          </cell>
          <cell r="C596" t="str">
            <v>ADVAN</v>
          </cell>
          <cell r="D596">
            <v>97017</v>
          </cell>
          <cell r="E596">
            <v>97017</v>
          </cell>
          <cell r="F596">
            <v>0</v>
          </cell>
        </row>
        <row r="597">
          <cell r="A597" t="str">
            <v>GKOCH</v>
          </cell>
          <cell r="B597" t="str">
            <v>M/S KOCHHAR MELAMINE INDUSTRIES P. LTD.</v>
          </cell>
          <cell r="C597" t="str">
            <v>ADVAN</v>
          </cell>
          <cell r="D597">
            <v>138949</v>
          </cell>
          <cell r="E597">
            <v>138949</v>
          </cell>
          <cell r="F597">
            <v>0</v>
          </cell>
        </row>
        <row r="598">
          <cell r="A598" t="str">
            <v>GYADE</v>
          </cell>
          <cell r="B598" t="str">
            <v>M/S YASHDEEP CONDTRUCTIONS</v>
          </cell>
          <cell r="C598" t="str">
            <v>ADVAN</v>
          </cell>
          <cell r="D598">
            <v>115724</v>
          </cell>
          <cell r="E598">
            <v>115724</v>
          </cell>
          <cell r="F598">
            <v>0</v>
          </cell>
        </row>
        <row r="599">
          <cell r="A599" t="str">
            <v>GMAAA</v>
          </cell>
          <cell r="B599" t="str">
            <v>MAA AASHAPURA ARTS</v>
          </cell>
          <cell r="C599" t="str">
            <v>ADVAN</v>
          </cell>
          <cell r="D599">
            <v>7000</v>
          </cell>
          <cell r="E599">
            <v>7000</v>
          </cell>
          <cell r="F599">
            <v>0</v>
          </cell>
        </row>
        <row r="600">
          <cell r="A600" t="str">
            <v>GMAAK</v>
          </cell>
          <cell r="B600" t="str">
            <v>MAAKAALA</v>
          </cell>
          <cell r="C600" t="str">
            <v>ADVAN</v>
          </cell>
          <cell r="D600">
            <v>115100</v>
          </cell>
          <cell r="E600">
            <v>115100</v>
          </cell>
          <cell r="F600">
            <v>0</v>
          </cell>
        </row>
        <row r="601">
          <cell r="A601" t="str">
            <v>GMADC</v>
          </cell>
          <cell r="B601" t="str">
            <v>MADAAN CONTRACTORS AND BUILDERS</v>
          </cell>
          <cell r="C601" t="str">
            <v>ADVAN</v>
          </cell>
          <cell r="D601">
            <v>14000</v>
          </cell>
          <cell r="E601">
            <v>14000</v>
          </cell>
          <cell r="F601">
            <v>0</v>
          </cell>
        </row>
        <row r="602">
          <cell r="A602" t="str">
            <v>GMARP</v>
          </cell>
          <cell r="B602" t="str">
            <v>MADANKUWAR REKHACHAND PARAKH</v>
          </cell>
          <cell r="C602" t="str">
            <v>ADVAN</v>
          </cell>
          <cell r="D602">
            <v>227544</v>
          </cell>
          <cell r="E602">
            <v>227544</v>
          </cell>
          <cell r="F602">
            <v>0</v>
          </cell>
        </row>
        <row r="603">
          <cell r="A603" t="str">
            <v>GMAEL</v>
          </cell>
          <cell r="B603" t="str">
            <v>MADHU ELECTRONICS</v>
          </cell>
          <cell r="C603" t="str">
            <v>ADVAN</v>
          </cell>
          <cell r="D603">
            <v>247300</v>
          </cell>
          <cell r="E603">
            <v>247300</v>
          </cell>
          <cell r="F603">
            <v>0</v>
          </cell>
        </row>
        <row r="604">
          <cell r="A604" t="str">
            <v>GMADHU</v>
          </cell>
          <cell r="B604" t="str">
            <v>MADHU KOHLI</v>
          </cell>
          <cell r="C604" t="str">
            <v>ADVAN</v>
          </cell>
          <cell r="D604">
            <v>105023</v>
          </cell>
          <cell r="E604">
            <v>105023</v>
          </cell>
          <cell r="F604">
            <v>0</v>
          </cell>
        </row>
        <row r="605">
          <cell r="A605" t="str">
            <v>GMAGN</v>
          </cell>
          <cell r="B605" t="str">
            <v>MAGNUM PESTICIDES CORPORATION</v>
          </cell>
          <cell r="C605" t="str">
            <v>ADVAN</v>
          </cell>
          <cell r="D605">
            <v>4801</v>
          </cell>
          <cell r="E605">
            <v>4801</v>
          </cell>
          <cell r="F605">
            <v>0</v>
          </cell>
        </row>
        <row r="606">
          <cell r="A606" t="str">
            <v>GMAHL</v>
          </cell>
          <cell r="B606" t="str">
            <v>MAHALINGA UNITED AIR EXPRESS</v>
          </cell>
          <cell r="C606" t="str">
            <v>ADVAN</v>
          </cell>
          <cell r="D606">
            <v>119</v>
          </cell>
          <cell r="E606">
            <v>119</v>
          </cell>
          <cell r="F606">
            <v>0</v>
          </cell>
        </row>
        <row r="607">
          <cell r="A607" t="str">
            <v>GMKAC</v>
          </cell>
          <cell r="B607" t="str">
            <v>MAHARASHTRA KALA ACADEMY</v>
          </cell>
          <cell r="C607" t="str">
            <v>ADVAN</v>
          </cell>
          <cell r="D607">
            <v>15000</v>
          </cell>
          <cell r="E607">
            <v>15000</v>
          </cell>
          <cell r="F607">
            <v>0</v>
          </cell>
        </row>
        <row r="608">
          <cell r="A608" t="str">
            <v>GMAEN</v>
          </cell>
          <cell r="B608" t="str">
            <v>MAHESHWARI ENTERPRISES</v>
          </cell>
          <cell r="C608" t="str">
            <v>ADVAN</v>
          </cell>
          <cell r="D608">
            <v>18630</v>
          </cell>
          <cell r="E608">
            <v>18630</v>
          </cell>
          <cell r="F608">
            <v>0</v>
          </cell>
        </row>
        <row r="609">
          <cell r="A609" t="str">
            <v>GMAS</v>
          </cell>
          <cell r="B609" t="str">
            <v>MANGLAM SYSTEMS</v>
          </cell>
          <cell r="C609" t="str">
            <v>ADVAN</v>
          </cell>
          <cell r="D609">
            <v>48750</v>
          </cell>
          <cell r="E609">
            <v>48750</v>
          </cell>
          <cell r="F609">
            <v>0</v>
          </cell>
        </row>
        <row r="610">
          <cell r="A610" t="str">
            <v>GMANS</v>
          </cell>
          <cell r="B610" t="str">
            <v>MANI SERVICES</v>
          </cell>
          <cell r="C610" t="str">
            <v>ADVAN</v>
          </cell>
          <cell r="D610">
            <v>34200</v>
          </cell>
          <cell r="E610">
            <v>34200</v>
          </cell>
          <cell r="F610">
            <v>0</v>
          </cell>
        </row>
        <row r="611">
          <cell r="A611" t="str">
            <v>GMANIE</v>
          </cell>
          <cell r="B611" t="str">
            <v>MANISH ENTERPRISES</v>
          </cell>
          <cell r="C611" t="str">
            <v>ADVAN</v>
          </cell>
          <cell r="D611">
            <v>337</v>
          </cell>
          <cell r="E611">
            <v>337</v>
          </cell>
          <cell r="F611">
            <v>0</v>
          </cell>
        </row>
        <row r="612">
          <cell r="A612" t="str">
            <v>GMAHP</v>
          </cell>
          <cell r="B612" t="str">
            <v>MANISHA H PAMNANI</v>
          </cell>
          <cell r="C612" t="str">
            <v>ADVAN</v>
          </cell>
          <cell r="D612">
            <v>1964</v>
          </cell>
          <cell r="E612">
            <v>1964</v>
          </cell>
          <cell r="F612">
            <v>0</v>
          </cell>
        </row>
        <row r="613">
          <cell r="A613" t="str">
            <v>GMANE</v>
          </cell>
          <cell r="B613" t="str">
            <v>MANJEET SINGH SETHI</v>
          </cell>
          <cell r="C613" t="str">
            <v>ADVAN</v>
          </cell>
          <cell r="D613">
            <v>12590</v>
          </cell>
          <cell r="E613">
            <v>12590</v>
          </cell>
          <cell r="F613">
            <v>0</v>
          </cell>
        </row>
        <row r="614">
          <cell r="A614" t="str">
            <v>GMANU</v>
          </cell>
          <cell r="B614" t="str">
            <v>MANJU JAIN</v>
          </cell>
          <cell r="C614" t="str">
            <v>ADVAN</v>
          </cell>
          <cell r="D614">
            <v>90095</v>
          </cell>
          <cell r="E614">
            <v>90095</v>
          </cell>
          <cell r="F614">
            <v>0</v>
          </cell>
        </row>
        <row r="615">
          <cell r="A615" t="str">
            <v>GMARA</v>
          </cell>
          <cell r="B615" t="str">
            <v>MANJU RAVI KUMAR</v>
          </cell>
          <cell r="C615" t="str">
            <v>ADVAN</v>
          </cell>
          <cell r="D615">
            <v>23001</v>
          </cell>
          <cell r="E615">
            <v>23001</v>
          </cell>
          <cell r="F615">
            <v>0</v>
          </cell>
        </row>
        <row r="616">
          <cell r="A616" t="str">
            <v>GMANL</v>
          </cell>
          <cell r="B616" t="str">
            <v>MANO ELECTRICALS</v>
          </cell>
          <cell r="C616" t="str">
            <v>ADVAN</v>
          </cell>
          <cell r="D616">
            <v>7135</v>
          </cell>
          <cell r="E616">
            <v>7135</v>
          </cell>
          <cell r="F616">
            <v>0</v>
          </cell>
        </row>
        <row r="617">
          <cell r="A617" t="str">
            <v>GMANM</v>
          </cell>
          <cell r="B617" t="str">
            <v>MANOJ KUMAR SAHU</v>
          </cell>
          <cell r="C617" t="str">
            <v>ADVAN</v>
          </cell>
          <cell r="D617">
            <v>3000</v>
          </cell>
          <cell r="E617">
            <v>3000</v>
          </cell>
          <cell r="F617">
            <v>0</v>
          </cell>
        </row>
        <row r="618">
          <cell r="A618" t="str">
            <v>GTAMB</v>
          </cell>
          <cell r="B618" t="str">
            <v>MANOJ TAMBOLI</v>
          </cell>
          <cell r="C618" t="str">
            <v>ADVAN</v>
          </cell>
          <cell r="D618">
            <v>5127</v>
          </cell>
          <cell r="E618">
            <v>5127</v>
          </cell>
          <cell r="F618">
            <v>0</v>
          </cell>
        </row>
        <row r="619">
          <cell r="A619" t="str">
            <v>GMANR</v>
          </cell>
          <cell r="B619" t="str">
            <v>MANSA RAM MAHAJAN</v>
          </cell>
          <cell r="C619" t="str">
            <v>ADVAN</v>
          </cell>
          <cell r="D619">
            <v>3517</v>
          </cell>
          <cell r="E619">
            <v>3517</v>
          </cell>
          <cell r="F619">
            <v>0</v>
          </cell>
        </row>
        <row r="620">
          <cell r="A620" t="str">
            <v>GMELE</v>
          </cell>
          <cell r="B620" t="str">
            <v>MARAGATHAM ELECTROSTATS</v>
          </cell>
          <cell r="C620" t="str">
            <v>ADVAN</v>
          </cell>
          <cell r="D620">
            <v>695.04</v>
          </cell>
          <cell r="E620">
            <v>695.04</v>
          </cell>
          <cell r="F620">
            <v>0</v>
          </cell>
        </row>
        <row r="621">
          <cell r="A621" t="str">
            <v>GM002</v>
          </cell>
          <cell r="B621" t="str">
            <v>MARGIN FROM MDS</v>
          </cell>
          <cell r="C621" t="str">
            <v>ADVAN</v>
          </cell>
          <cell r="D621">
            <v>343940.84</v>
          </cell>
          <cell r="E621">
            <v>343940.84</v>
          </cell>
          <cell r="F621">
            <v>0</v>
          </cell>
        </row>
        <row r="622">
          <cell r="A622" t="str">
            <v>GMACO</v>
          </cell>
          <cell r="B622" t="str">
            <v>MARK COM SERVICES</v>
          </cell>
          <cell r="C622" t="str">
            <v>ADVAN</v>
          </cell>
          <cell r="D622">
            <v>9000</v>
          </cell>
          <cell r="E622">
            <v>9000</v>
          </cell>
          <cell r="F622">
            <v>0</v>
          </cell>
        </row>
        <row r="623">
          <cell r="A623" t="str">
            <v>GMARU</v>
          </cell>
          <cell r="B623" t="str">
            <v>MARU ELECTRONICS</v>
          </cell>
          <cell r="C623" t="str">
            <v>ADVAN</v>
          </cell>
          <cell r="D623">
            <v>67387</v>
          </cell>
          <cell r="E623">
            <v>67387</v>
          </cell>
          <cell r="F623">
            <v>0</v>
          </cell>
        </row>
        <row r="624">
          <cell r="A624" t="str">
            <v>GMAELE</v>
          </cell>
          <cell r="B624" t="str">
            <v>MARUTHAM ELECTRICALS</v>
          </cell>
          <cell r="C624" t="str">
            <v>ADVAN</v>
          </cell>
          <cell r="D624">
            <v>6240</v>
          </cell>
          <cell r="E624">
            <v>6240</v>
          </cell>
          <cell r="F624">
            <v>0</v>
          </cell>
        </row>
        <row r="625">
          <cell r="A625" t="str">
            <v>GMARN</v>
          </cell>
          <cell r="B625" t="str">
            <v>MARYANN D CRUZ</v>
          </cell>
          <cell r="C625" t="str">
            <v>ADVAN</v>
          </cell>
          <cell r="D625">
            <v>15588</v>
          </cell>
          <cell r="E625">
            <v>15588</v>
          </cell>
          <cell r="F625">
            <v>0</v>
          </cell>
        </row>
        <row r="626">
          <cell r="A626" t="str">
            <v>GMAST</v>
          </cell>
          <cell r="B626" t="str">
            <v>MASTER ASHMEET SINGH</v>
          </cell>
          <cell r="C626" t="str">
            <v>ADVAN</v>
          </cell>
          <cell r="D626">
            <v>14980</v>
          </cell>
          <cell r="E626">
            <v>14980</v>
          </cell>
          <cell r="F626">
            <v>0</v>
          </cell>
        </row>
        <row r="627">
          <cell r="A627" t="str">
            <v>GMASC</v>
          </cell>
          <cell r="B627" t="str">
            <v>MASTER CONSULTANCY SERVICES</v>
          </cell>
          <cell r="C627" t="str">
            <v>ADVAN</v>
          </cell>
          <cell r="D627">
            <v>38500</v>
          </cell>
          <cell r="E627">
            <v>38500</v>
          </cell>
          <cell r="F627">
            <v>0</v>
          </cell>
        </row>
        <row r="628">
          <cell r="A628" t="str">
            <v>GMATC</v>
          </cell>
          <cell r="B628" t="str">
            <v>MATRIX CONSULTANTS</v>
          </cell>
          <cell r="C628" t="str">
            <v>ADVAN</v>
          </cell>
          <cell r="D628">
            <v>1823</v>
          </cell>
          <cell r="E628">
            <v>1823</v>
          </cell>
          <cell r="F628">
            <v>0</v>
          </cell>
        </row>
        <row r="629">
          <cell r="A629" t="str">
            <v>GMAULI</v>
          </cell>
          <cell r="B629" t="str">
            <v>MAULI STEEL FABRICRATERS</v>
          </cell>
          <cell r="C629" t="str">
            <v>ADVAN</v>
          </cell>
          <cell r="D629">
            <v>9000</v>
          </cell>
          <cell r="E629">
            <v>9000</v>
          </cell>
          <cell r="F629">
            <v>0</v>
          </cell>
        </row>
        <row r="630">
          <cell r="A630" t="str">
            <v>GMAXF</v>
          </cell>
          <cell r="B630" t="str">
            <v>MAX FREEZE ENGINEERS</v>
          </cell>
          <cell r="C630" t="str">
            <v>ADVAN</v>
          </cell>
          <cell r="D630">
            <v>27450</v>
          </cell>
          <cell r="E630">
            <v>27450</v>
          </cell>
          <cell r="F630">
            <v>0</v>
          </cell>
        </row>
        <row r="631">
          <cell r="A631" t="str">
            <v>GMAXB</v>
          </cell>
          <cell r="B631" t="str">
            <v>MAXBEN FINANCE PVT. LTD</v>
          </cell>
          <cell r="C631" t="str">
            <v>ADVAN</v>
          </cell>
          <cell r="D631">
            <v>5100</v>
          </cell>
          <cell r="E631">
            <v>5100</v>
          </cell>
          <cell r="F631">
            <v>0</v>
          </cell>
        </row>
        <row r="632">
          <cell r="A632" t="str">
            <v>GMAXX</v>
          </cell>
          <cell r="B632" t="str">
            <v>MAXXIS COMMUNICATIONS PVT.LTD</v>
          </cell>
          <cell r="C632" t="str">
            <v>ADVAN</v>
          </cell>
          <cell r="D632">
            <v>700</v>
          </cell>
          <cell r="E632">
            <v>700</v>
          </cell>
          <cell r="F632">
            <v>0</v>
          </cell>
        </row>
        <row r="633">
          <cell r="A633" t="str">
            <v>GMEDI</v>
          </cell>
          <cell r="B633" t="str">
            <v>MEDIA SYSTEM</v>
          </cell>
          <cell r="C633" t="str">
            <v>ADVAN</v>
          </cell>
          <cell r="D633">
            <v>50740</v>
          </cell>
          <cell r="E633">
            <v>50740</v>
          </cell>
          <cell r="F633">
            <v>0</v>
          </cell>
        </row>
        <row r="634">
          <cell r="A634" t="str">
            <v>GMEEN</v>
          </cell>
          <cell r="B634" t="str">
            <v>MEENA R SHAH</v>
          </cell>
          <cell r="C634" t="str">
            <v>ADVAN</v>
          </cell>
          <cell r="D634">
            <v>33880</v>
          </cell>
          <cell r="E634">
            <v>33880</v>
          </cell>
          <cell r="F634">
            <v>0</v>
          </cell>
        </row>
        <row r="635">
          <cell r="A635" t="str">
            <v>GMEGD</v>
          </cell>
          <cell r="B635" t="str">
            <v>MEGA DISTRIBUTORS</v>
          </cell>
          <cell r="C635" t="str">
            <v>ADVAN</v>
          </cell>
          <cell r="D635">
            <v>226</v>
          </cell>
          <cell r="E635">
            <v>226</v>
          </cell>
          <cell r="F635">
            <v>0</v>
          </cell>
        </row>
        <row r="636">
          <cell r="A636" t="str">
            <v>GMEGA</v>
          </cell>
          <cell r="B636" t="str">
            <v>MEGA HERTZ TECHNOLOGIES</v>
          </cell>
          <cell r="C636" t="str">
            <v>ADVAN</v>
          </cell>
          <cell r="D636">
            <v>13825</v>
          </cell>
          <cell r="E636">
            <v>13825</v>
          </cell>
          <cell r="F636">
            <v>0</v>
          </cell>
        </row>
        <row r="637">
          <cell r="A637" t="str">
            <v>GMICR</v>
          </cell>
          <cell r="B637" t="str">
            <v>MICRONET SOLUTIONS</v>
          </cell>
          <cell r="C637" t="str">
            <v>ADVAN</v>
          </cell>
          <cell r="D637">
            <v>3500</v>
          </cell>
          <cell r="E637">
            <v>3500</v>
          </cell>
          <cell r="F637">
            <v>0</v>
          </cell>
        </row>
        <row r="638">
          <cell r="A638" t="str">
            <v>GMCSS</v>
          </cell>
          <cell r="B638" t="str">
            <v>MICROSENSE COMPUTER SALES AND SERVICES</v>
          </cell>
          <cell r="C638" t="str">
            <v>ADVAN</v>
          </cell>
          <cell r="D638">
            <v>3400</v>
          </cell>
          <cell r="E638">
            <v>3400</v>
          </cell>
          <cell r="F638">
            <v>0</v>
          </cell>
        </row>
        <row r="639">
          <cell r="A639" t="str">
            <v>GMILD</v>
          </cell>
          <cell r="B639" t="str">
            <v>MILAN DECORATORS</v>
          </cell>
          <cell r="C639" t="str">
            <v>ADVAN</v>
          </cell>
          <cell r="D639">
            <v>2858</v>
          </cell>
          <cell r="E639">
            <v>2858</v>
          </cell>
          <cell r="F639">
            <v>0</v>
          </cell>
        </row>
        <row r="640">
          <cell r="A640" t="str">
            <v>GMITH</v>
          </cell>
          <cell r="B640" t="str">
            <v>MITHI SOFTWARE TECHNOLOGIES PVT LTD</v>
          </cell>
          <cell r="C640" t="str">
            <v>ADVAN</v>
          </cell>
          <cell r="D640">
            <v>20000</v>
          </cell>
          <cell r="E640">
            <v>20000</v>
          </cell>
          <cell r="F640">
            <v>0</v>
          </cell>
        </row>
        <row r="641">
          <cell r="A641" t="str">
            <v>GMNSC</v>
          </cell>
          <cell r="B641" t="str">
            <v>MNS COMPUTER</v>
          </cell>
          <cell r="C641" t="str">
            <v>ADVAN</v>
          </cell>
          <cell r="D641">
            <v>63712</v>
          </cell>
          <cell r="E641">
            <v>63712</v>
          </cell>
          <cell r="F641">
            <v>0</v>
          </cell>
        </row>
        <row r="642">
          <cell r="A642" t="str">
            <v>GMOGA</v>
          </cell>
          <cell r="B642" t="str">
            <v>MOBILE GALLERY</v>
          </cell>
          <cell r="C642" t="str">
            <v>ADVAN</v>
          </cell>
          <cell r="D642">
            <v>19200</v>
          </cell>
          <cell r="E642">
            <v>19200</v>
          </cell>
          <cell r="F642">
            <v>0</v>
          </cell>
        </row>
        <row r="643">
          <cell r="A643" t="str">
            <v>GMJUN</v>
          </cell>
          <cell r="B643" t="str">
            <v>MOBILE JUNCTION</v>
          </cell>
          <cell r="C643" t="str">
            <v>ADVAN</v>
          </cell>
          <cell r="D643">
            <v>1561</v>
          </cell>
          <cell r="E643">
            <v>1561</v>
          </cell>
          <cell r="F643">
            <v>0</v>
          </cell>
        </row>
        <row r="644">
          <cell r="A644" t="str">
            <v>GMODR</v>
          </cell>
          <cell r="B644" t="str">
            <v>MODERN FURNITURE HOUSE</v>
          </cell>
          <cell r="C644" t="str">
            <v>ADVAN</v>
          </cell>
          <cell r="D644">
            <v>276063</v>
          </cell>
          <cell r="E644">
            <v>276063</v>
          </cell>
          <cell r="F644">
            <v>0</v>
          </cell>
        </row>
        <row r="645">
          <cell r="A645" t="str">
            <v>GMODY</v>
          </cell>
          <cell r="B645" t="str">
            <v>MODY FOUNDATION</v>
          </cell>
          <cell r="C645" t="str">
            <v>ADVAN</v>
          </cell>
          <cell r="D645">
            <v>60000</v>
          </cell>
          <cell r="E645">
            <v>60000</v>
          </cell>
          <cell r="F645">
            <v>0</v>
          </cell>
        </row>
        <row r="646">
          <cell r="A646" t="str">
            <v>GMOJI</v>
          </cell>
          <cell r="B646" t="str">
            <v>MOJIKA APPLIANCES PVT. LTD.</v>
          </cell>
          <cell r="C646" t="str">
            <v>ADVAN</v>
          </cell>
          <cell r="D646">
            <v>5440</v>
          </cell>
          <cell r="E646">
            <v>5440</v>
          </cell>
          <cell r="F646">
            <v>0</v>
          </cell>
        </row>
        <row r="647">
          <cell r="A647" t="str">
            <v>GMONA</v>
          </cell>
          <cell r="B647" t="str">
            <v>MONA V. PUNJABI</v>
          </cell>
          <cell r="C647" t="str">
            <v>ADVAN</v>
          </cell>
          <cell r="D647">
            <v>109699</v>
          </cell>
          <cell r="E647">
            <v>109699</v>
          </cell>
          <cell r="F647">
            <v>0</v>
          </cell>
        </row>
        <row r="648">
          <cell r="A648" t="str">
            <v>GMONI</v>
          </cell>
          <cell r="B648" t="str">
            <v>MONISHA ENTERPRISES</v>
          </cell>
          <cell r="C648" t="str">
            <v>ADVAN</v>
          </cell>
          <cell r="D648">
            <v>9203.89</v>
          </cell>
          <cell r="E648">
            <v>9203.89</v>
          </cell>
          <cell r="F648">
            <v>0</v>
          </cell>
        </row>
        <row r="649">
          <cell r="A649" t="str">
            <v>GMONL</v>
          </cell>
          <cell r="B649" t="str">
            <v>MOONA LALL &amp; SONS PVT. LTD</v>
          </cell>
          <cell r="C649" t="str">
            <v>ADVAN</v>
          </cell>
          <cell r="D649">
            <v>21400</v>
          </cell>
          <cell r="E649">
            <v>21400</v>
          </cell>
          <cell r="F649">
            <v>0</v>
          </cell>
        </row>
        <row r="650">
          <cell r="A650" t="str">
            <v>GMMCA</v>
          </cell>
          <cell r="B650" t="str">
            <v>MORISON MENON CHARTERED ACCOUTANT</v>
          </cell>
          <cell r="C650" t="str">
            <v>ADVAN</v>
          </cell>
          <cell r="D650">
            <v>75420</v>
          </cell>
          <cell r="E650">
            <v>75420</v>
          </cell>
          <cell r="F650">
            <v>0</v>
          </cell>
        </row>
        <row r="651">
          <cell r="A651" t="str">
            <v>GMOTI</v>
          </cell>
          <cell r="B651" t="str">
            <v>MOTI PESSUMAL TAHILRAMANI</v>
          </cell>
          <cell r="C651" t="str">
            <v>ADVAN</v>
          </cell>
          <cell r="D651">
            <v>49584</v>
          </cell>
          <cell r="E651">
            <v>49584</v>
          </cell>
          <cell r="F651">
            <v>0</v>
          </cell>
        </row>
        <row r="652">
          <cell r="A652" t="str">
            <v>GMPLF</v>
          </cell>
          <cell r="B652" t="str">
            <v>MPL FORD</v>
          </cell>
          <cell r="C652" t="str">
            <v>ADVAN</v>
          </cell>
          <cell r="D652">
            <v>78052</v>
          </cell>
          <cell r="E652">
            <v>78052</v>
          </cell>
          <cell r="F652">
            <v>0</v>
          </cell>
        </row>
        <row r="653">
          <cell r="A653" t="str">
            <v>GABED</v>
          </cell>
          <cell r="B653" t="str">
            <v>MRS. ABEDA PEERPASHAHUSENI INAMDAR</v>
          </cell>
          <cell r="C653" t="str">
            <v>ADVAN</v>
          </cell>
          <cell r="D653">
            <v>25245</v>
          </cell>
          <cell r="E653">
            <v>25245</v>
          </cell>
          <cell r="F653">
            <v>0</v>
          </cell>
        </row>
        <row r="654">
          <cell r="A654" t="str">
            <v>GMUKK</v>
          </cell>
          <cell r="B654" t="str">
            <v>MUKESH KANJANI</v>
          </cell>
          <cell r="C654" t="str">
            <v>ADVAN</v>
          </cell>
          <cell r="D654">
            <v>114052</v>
          </cell>
          <cell r="E654">
            <v>114052</v>
          </cell>
          <cell r="F654">
            <v>0</v>
          </cell>
        </row>
        <row r="655">
          <cell r="A655" t="str">
            <v>GMUKL</v>
          </cell>
          <cell r="B655" t="str">
            <v>MUKUL R GUPTA</v>
          </cell>
          <cell r="C655" t="str">
            <v>ADVAN</v>
          </cell>
          <cell r="D655">
            <v>12000</v>
          </cell>
          <cell r="E655">
            <v>12000</v>
          </cell>
          <cell r="F655">
            <v>0</v>
          </cell>
        </row>
        <row r="656">
          <cell r="A656" t="str">
            <v>GMURI</v>
          </cell>
          <cell r="B656" t="str">
            <v>MURIEL BRANCO &amp; ANTHONY BRANCO</v>
          </cell>
          <cell r="C656" t="str">
            <v>ADVAN</v>
          </cell>
          <cell r="D656">
            <v>76042</v>
          </cell>
          <cell r="E656">
            <v>76042</v>
          </cell>
          <cell r="F656">
            <v>0</v>
          </cell>
        </row>
        <row r="657">
          <cell r="A657" t="str">
            <v>GMURT</v>
          </cell>
          <cell r="B657" t="str">
            <v>MURTHI AGENCIES</v>
          </cell>
          <cell r="C657" t="str">
            <v>ADVAN</v>
          </cell>
          <cell r="D657">
            <v>989</v>
          </cell>
          <cell r="E657">
            <v>989</v>
          </cell>
          <cell r="F657">
            <v>0</v>
          </cell>
        </row>
        <row r="658">
          <cell r="A658" t="str">
            <v>GMUSK</v>
          </cell>
          <cell r="B658" t="str">
            <v>MUSKAN VENITIAN BLINDS ENTERPRISES</v>
          </cell>
          <cell r="C658" t="str">
            <v>ADVAN</v>
          </cell>
          <cell r="D658">
            <v>10654</v>
          </cell>
          <cell r="E658">
            <v>10654</v>
          </cell>
          <cell r="F658">
            <v>0</v>
          </cell>
        </row>
        <row r="659">
          <cell r="A659" t="str">
            <v>GMYIT</v>
          </cell>
          <cell r="B659" t="str">
            <v>MY IT CENTER INDIA PVT. LTD.</v>
          </cell>
          <cell r="C659" t="str">
            <v>ADVAN</v>
          </cell>
          <cell r="D659">
            <v>9450</v>
          </cell>
          <cell r="E659">
            <v>9450</v>
          </cell>
          <cell r="F659">
            <v>0</v>
          </cell>
        </row>
        <row r="660">
          <cell r="A660" t="str">
            <v>GNCOM</v>
          </cell>
          <cell r="B660" t="str">
            <v>N COMPUTECH</v>
          </cell>
          <cell r="C660" t="str">
            <v>ADVAN</v>
          </cell>
          <cell r="D660">
            <v>8100</v>
          </cell>
          <cell r="E660">
            <v>8100</v>
          </cell>
          <cell r="F660">
            <v>0</v>
          </cell>
        </row>
        <row r="661">
          <cell r="A661" t="str">
            <v>GNPOR</v>
          </cell>
          <cell r="B661" t="str">
            <v>N PORUS INFOTEK</v>
          </cell>
          <cell r="C661" t="str">
            <v>ADVAN</v>
          </cell>
          <cell r="D661">
            <v>19420</v>
          </cell>
          <cell r="E661">
            <v>19420</v>
          </cell>
          <cell r="F661">
            <v>0</v>
          </cell>
        </row>
        <row r="662">
          <cell r="A662" t="str">
            <v>GNAAU</v>
          </cell>
          <cell r="B662" t="str">
            <v>NANDA AUTOMOBILES PVT LTD</v>
          </cell>
          <cell r="C662" t="str">
            <v>ADVAN</v>
          </cell>
          <cell r="D662">
            <v>20000</v>
          </cell>
          <cell r="E662">
            <v>20000</v>
          </cell>
          <cell r="F662">
            <v>0</v>
          </cell>
        </row>
        <row r="663">
          <cell r="A663" t="str">
            <v>GNARH</v>
          </cell>
          <cell r="B663" t="str">
            <v>NARANBHAI H PATEL (HUF)</v>
          </cell>
          <cell r="C663" t="str">
            <v>ADVAN</v>
          </cell>
          <cell r="D663">
            <v>134148</v>
          </cell>
          <cell r="E663">
            <v>134148</v>
          </cell>
          <cell r="F663">
            <v>0</v>
          </cell>
        </row>
        <row r="664">
          <cell r="A664" t="str">
            <v>GNARE</v>
          </cell>
          <cell r="B664" t="str">
            <v>NARENDRA PAL SINGH</v>
          </cell>
          <cell r="C664" t="str">
            <v>ADVAN</v>
          </cell>
          <cell r="D664">
            <v>37880</v>
          </cell>
          <cell r="E664">
            <v>37880</v>
          </cell>
          <cell r="F664">
            <v>0</v>
          </cell>
        </row>
        <row r="665">
          <cell r="A665" t="str">
            <v>GNARM</v>
          </cell>
          <cell r="B665" t="str">
            <v>NARESH RATILAL MAKWANA</v>
          </cell>
          <cell r="C665" t="str">
            <v>ADVAN</v>
          </cell>
          <cell r="D665">
            <v>1060</v>
          </cell>
          <cell r="E665">
            <v>1060</v>
          </cell>
          <cell r="F665">
            <v>0</v>
          </cell>
        </row>
        <row r="666">
          <cell r="A666" t="str">
            <v>GNARI</v>
          </cell>
          <cell r="B666" t="str">
            <v>NARINDER KAUR</v>
          </cell>
          <cell r="C666" t="str">
            <v>ADVAN</v>
          </cell>
          <cell r="D666">
            <v>14980</v>
          </cell>
          <cell r="E666">
            <v>14980</v>
          </cell>
          <cell r="F666">
            <v>0</v>
          </cell>
        </row>
        <row r="667">
          <cell r="A667" t="str">
            <v>GNACS</v>
          </cell>
          <cell r="B667" t="str">
            <v>NATIONAL COMMERCIAL SERVICES</v>
          </cell>
          <cell r="C667" t="str">
            <v>ADVAN</v>
          </cell>
          <cell r="D667">
            <v>388</v>
          </cell>
          <cell r="E667">
            <v>388</v>
          </cell>
          <cell r="F667">
            <v>0</v>
          </cell>
        </row>
        <row r="668">
          <cell r="A668" t="str">
            <v>GNTON</v>
          </cell>
          <cell r="B668" t="str">
            <v>NATIONAL ELECTRONICS</v>
          </cell>
          <cell r="C668" t="str">
            <v>ADVAN</v>
          </cell>
          <cell r="D668">
            <v>6500</v>
          </cell>
          <cell r="E668">
            <v>6500</v>
          </cell>
          <cell r="F668">
            <v>0</v>
          </cell>
        </row>
        <row r="669">
          <cell r="A669" t="str">
            <v>GNSCCL</v>
          </cell>
          <cell r="B669" t="str">
            <v>NATIONAL SECURITIES CLEARING CORPORATION LTD</v>
          </cell>
          <cell r="C669" t="str">
            <v>ADVAN</v>
          </cell>
          <cell r="D669">
            <v>737641.61</v>
          </cell>
          <cell r="E669">
            <v>39848.339999999997</v>
          </cell>
          <cell r="F669">
            <v>697793.27</v>
          </cell>
        </row>
        <row r="670">
          <cell r="A670" t="str">
            <v>GBSEL</v>
          </cell>
          <cell r="B670" t="str">
            <v>NATIONAL STOCK EXCHANGE LIMITED</v>
          </cell>
          <cell r="C670" t="str">
            <v>ADVAN</v>
          </cell>
          <cell r="D670">
            <v>19153.5</v>
          </cell>
          <cell r="E670">
            <v>0</v>
          </cell>
          <cell r="F670">
            <v>19153.5</v>
          </cell>
        </row>
        <row r="671">
          <cell r="A671" t="str">
            <v>GNAST</v>
          </cell>
          <cell r="B671" t="str">
            <v>NATIONAL STOCK EXCHANGE OF INDIA LIMITED</v>
          </cell>
          <cell r="C671" t="str">
            <v>ADVAN</v>
          </cell>
          <cell r="D671">
            <v>3952052.01</v>
          </cell>
          <cell r="E671">
            <v>455460.44</v>
          </cell>
          <cell r="F671">
            <v>3496591.57</v>
          </cell>
        </row>
        <row r="672">
          <cell r="A672" t="str">
            <v>GNAKO</v>
          </cell>
          <cell r="B672" t="str">
            <v>NAVEEN KOTHARI</v>
          </cell>
          <cell r="C672" t="str">
            <v>ADVAN</v>
          </cell>
          <cell r="D672">
            <v>1842</v>
          </cell>
          <cell r="E672">
            <v>1842</v>
          </cell>
          <cell r="F672">
            <v>0</v>
          </cell>
        </row>
        <row r="673">
          <cell r="A673" t="str">
            <v>GNAVI</v>
          </cell>
          <cell r="B673" t="str">
            <v>NAVIN INTERNATIONAL</v>
          </cell>
          <cell r="C673" t="str">
            <v>ADVAN</v>
          </cell>
          <cell r="D673">
            <v>46967</v>
          </cell>
          <cell r="E673">
            <v>46967</v>
          </cell>
          <cell r="F673">
            <v>0</v>
          </cell>
        </row>
        <row r="674">
          <cell r="A674" t="str">
            <v>GNAVK</v>
          </cell>
          <cell r="B674" t="str">
            <v>NAVKETAN CONSTUCTION PVT LTD</v>
          </cell>
          <cell r="C674" t="str">
            <v>ADVAN</v>
          </cell>
          <cell r="D674">
            <v>10000</v>
          </cell>
          <cell r="E674">
            <v>10000</v>
          </cell>
          <cell r="F674">
            <v>0</v>
          </cell>
        </row>
        <row r="675">
          <cell r="A675" t="str">
            <v>GNAYA</v>
          </cell>
          <cell r="B675" t="str">
            <v>NAYANA SURYAKANT PATEL</v>
          </cell>
          <cell r="C675" t="str">
            <v>ADVAN</v>
          </cell>
          <cell r="D675">
            <v>179824</v>
          </cell>
          <cell r="E675">
            <v>179824</v>
          </cell>
          <cell r="F675">
            <v>0</v>
          </cell>
        </row>
        <row r="676">
          <cell r="A676" t="str">
            <v>GNDTVLT</v>
          </cell>
          <cell r="B676" t="str">
            <v>NDTV LTD</v>
          </cell>
          <cell r="C676" t="str">
            <v>ADVAN</v>
          </cell>
          <cell r="D676">
            <v>149360</v>
          </cell>
          <cell r="E676">
            <v>149360</v>
          </cell>
          <cell r="F676">
            <v>0</v>
          </cell>
        </row>
        <row r="677">
          <cell r="A677" t="str">
            <v>GNEKH</v>
          </cell>
          <cell r="B677" t="str">
            <v>NEELAM KHANNA</v>
          </cell>
          <cell r="C677" t="str">
            <v>ADVAN</v>
          </cell>
          <cell r="D677">
            <v>50000</v>
          </cell>
          <cell r="E677">
            <v>50000</v>
          </cell>
          <cell r="F677">
            <v>0</v>
          </cell>
        </row>
        <row r="678">
          <cell r="A678" t="str">
            <v>GNEKA</v>
          </cell>
          <cell r="B678" t="str">
            <v>NEELKANT</v>
          </cell>
          <cell r="C678" t="str">
            <v>ADVAN</v>
          </cell>
          <cell r="D678">
            <v>2200</v>
          </cell>
          <cell r="E678">
            <v>2200</v>
          </cell>
          <cell r="F678">
            <v>0</v>
          </cell>
        </row>
        <row r="679">
          <cell r="A679" t="str">
            <v>GNEEL</v>
          </cell>
          <cell r="B679" t="str">
            <v>NEELU CHANDRA</v>
          </cell>
          <cell r="C679" t="str">
            <v>ADVAN</v>
          </cell>
          <cell r="D679">
            <v>60000</v>
          </cell>
          <cell r="E679">
            <v>60000</v>
          </cell>
          <cell r="F679">
            <v>0</v>
          </cell>
        </row>
        <row r="680">
          <cell r="A680" t="str">
            <v>GNEMI</v>
          </cell>
          <cell r="B680" t="str">
            <v>NEMINATH FURNITURE</v>
          </cell>
          <cell r="C680" t="str">
            <v>ADVAN</v>
          </cell>
          <cell r="D680">
            <v>3015</v>
          </cell>
          <cell r="E680">
            <v>3015</v>
          </cell>
          <cell r="F680">
            <v>0</v>
          </cell>
        </row>
        <row r="681">
          <cell r="A681" t="str">
            <v>GNETC</v>
          </cell>
          <cell r="B681" t="str">
            <v>NETCOM</v>
          </cell>
          <cell r="C681" t="str">
            <v>ADVAN</v>
          </cell>
          <cell r="D681">
            <v>21500</v>
          </cell>
          <cell r="E681">
            <v>21500</v>
          </cell>
          <cell r="F681">
            <v>0</v>
          </cell>
        </row>
        <row r="682">
          <cell r="A682" t="str">
            <v>GNETR</v>
          </cell>
          <cell r="B682" t="str">
            <v>NETRA ENTERPRISES</v>
          </cell>
          <cell r="C682" t="str">
            <v>ADVAN</v>
          </cell>
          <cell r="D682">
            <v>3000</v>
          </cell>
          <cell r="E682">
            <v>3000</v>
          </cell>
          <cell r="F682">
            <v>0</v>
          </cell>
        </row>
        <row r="683">
          <cell r="A683" t="str">
            <v>GNUET</v>
          </cell>
          <cell r="B683" t="str">
            <v>NEU-TECH COMPUTER</v>
          </cell>
          <cell r="C683" t="str">
            <v>ADVAN</v>
          </cell>
          <cell r="D683">
            <v>25600</v>
          </cell>
          <cell r="E683">
            <v>25600</v>
          </cell>
          <cell r="F683">
            <v>0</v>
          </cell>
        </row>
        <row r="684">
          <cell r="A684" t="str">
            <v>GNEDC</v>
          </cell>
          <cell r="B684" t="str">
            <v>NEW DART EXPRESS</v>
          </cell>
          <cell r="C684" t="str">
            <v>ADVAN</v>
          </cell>
          <cell r="D684">
            <v>80</v>
          </cell>
          <cell r="E684">
            <v>80</v>
          </cell>
          <cell r="F684">
            <v>0</v>
          </cell>
        </row>
        <row r="685">
          <cell r="A685" t="str">
            <v>GNDTV</v>
          </cell>
          <cell r="B685" t="str">
            <v>NEW DELHI TELEVISION LIMITED</v>
          </cell>
          <cell r="C685" t="str">
            <v>ADVAN</v>
          </cell>
          <cell r="D685">
            <v>1364642</v>
          </cell>
          <cell r="E685">
            <v>1364642</v>
          </cell>
          <cell r="F685">
            <v>0</v>
          </cell>
        </row>
        <row r="686">
          <cell r="A686" t="str">
            <v>GNEWI</v>
          </cell>
          <cell r="B686" t="str">
            <v>NEW IMPERIAL TRAVELS</v>
          </cell>
          <cell r="C686" t="str">
            <v>ADVAN</v>
          </cell>
          <cell r="D686">
            <v>12371</v>
          </cell>
          <cell r="E686">
            <v>12371</v>
          </cell>
          <cell r="F686">
            <v>0</v>
          </cell>
        </row>
        <row r="687">
          <cell r="A687" t="str">
            <v>GNEWE</v>
          </cell>
          <cell r="B687" t="str">
            <v>NEW REGAL TAXI SERVICE</v>
          </cell>
          <cell r="C687" t="str">
            <v>ADVAN</v>
          </cell>
          <cell r="D687">
            <v>58049</v>
          </cell>
          <cell r="E687">
            <v>58049</v>
          </cell>
          <cell r="F687">
            <v>0</v>
          </cell>
        </row>
        <row r="688">
          <cell r="A688" t="str">
            <v>GNSFH</v>
          </cell>
          <cell r="B688" t="str">
            <v>NEW STEEL FURNITURE HOUSE</v>
          </cell>
          <cell r="C688" t="str">
            <v>ADVAN</v>
          </cell>
          <cell r="D688">
            <v>12138</v>
          </cell>
          <cell r="E688">
            <v>12138</v>
          </cell>
          <cell r="F688">
            <v>0</v>
          </cell>
        </row>
        <row r="689">
          <cell r="A689" t="str">
            <v>GNGRE</v>
          </cell>
          <cell r="B689" t="str">
            <v>NG RESEARCH &amp; TECHNOLOGIES</v>
          </cell>
          <cell r="C689" t="str">
            <v>ADVAN</v>
          </cell>
          <cell r="D689">
            <v>39400</v>
          </cell>
          <cell r="E689">
            <v>39400</v>
          </cell>
          <cell r="F689">
            <v>0</v>
          </cell>
        </row>
        <row r="690">
          <cell r="A690" t="str">
            <v>GNIHI</v>
          </cell>
          <cell r="B690" t="str">
            <v>NIHIT FINANCIAL CONSULTANTS PVT LTD</v>
          </cell>
          <cell r="C690" t="str">
            <v>ADVAN</v>
          </cell>
          <cell r="D690">
            <v>97348</v>
          </cell>
          <cell r="E690">
            <v>97348</v>
          </cell>
          <cell r="F690">
            <v>0</v>
          </cell>
        </row>
        <row r="691">
          <cell r="A691" t="str">
            <v>GNIKJ</v>
          </cell>
          <cell r="B691" t="str">
            <v>NIKHIL JASAVANTRAI SALOT</v>
          </cell>
          <cell r="C691" t="str">
            <v>ADVAN</v>
          </cell>
          <cell r="D691">
            <v>130867</v>
          </cell>
          <cell r="E691">
            <v>130867</v>
          </cell>
          <cell r="F691">
            <v>0</v>
          </cell>
        </row>
        <row r="692">
          <cell r="A692" t="str">
            <v>GNILA</v>
          </cell>
          <cell r="B692" t="str">
            <v>NILANBHAI RANJITBHAI GORAGANDHI</v>
          </cell>
          <cell r="C692" t="str">
            <v>ADVAN</v>
          </cell>
          <cell r="D692">
            <v>94490</v>
          </cell>
          <cell r="E692">
            <v>94490</v>
          </cell>
          <cell r="F692">
            <v>0</v>
          </cell>
        </row>
        <row r="693">
          <cell r="A693" t="str">
            <v>GNILE</v>
          </cell>
          <cell r="B693" t="str">
            <v>NILESH VYAVHARE</v>
          </cell>
          <cell r="C693" t="str">
            <v>ADVAN</v>
          </cell>
          <cell r="D693">
            <v>153614</v>
          </cell>
          <cell r="E693">
            <v>153614</v>
          </cell>
          <cell r="F693">
            <v>0</v>
          </cell>
        </row>
        <row r="694">
          <cell r="A694" t="str">
            <v>GNILG</v>
          </cell>
          <cell r="B694" t="str">
            <v>NILGIRI INFRASTRUCTURE LIMITED</v>
          </cell>
          <cell r="C694" t="str">
            <v>ADVAN</v>
          </cell>
          <cell r="D694">
            <v>5000</v>
          </cell>
          <cell r="E694">
            <v>5000</v>
          </cell>
          <cell r="F694">
            <v>0</v>
          </cell>
        </row>
        <row r="695">
          <cell r="A695" t="str">
            <v>GNISP</v>
          </cell>
          <cell r="B695" t="str">
            <v>NIS SPARTA LTD</v>
          </cell>
          <cell r="C695" t="str">
            <v>ADVAN</v>
          </cell>
          <cell r="D695">
            <v>29070</v>
          </cell>
          <cell r="E695">
            <v>29070</v>
          </cell>
          <cell r="F695">
            <v>0</v>
          </cell>
        </row>
        <row r="696">
          <cell r="A696" t="str">
            <v>GNITA</v>
          </cell>
          <cell r="B696" t="str">
            <v>NITABEN BIPIN KUMAR PATEL</v>
          </cell>
          <cell r="C696" t="str">
            <v>ADVAN</v>
          </cell>
          <cell r="D696">
            <v>29604</v>
          </cell>
          <cell r="E696">
            <v>29604</v>
          </cell>
          <cell r="F696">
            <v>0</v>
          </cell>
        </row>
        <row r="697">
          <cell r="A697" t="str">
            <v>GNITV</v>
          </cell>
          <cell r="B697" t="str">
            <v>NITIN VISPUTE</v>
          </cell>
          <cell r="C697" t="str">
            <v>ADVAN</v>
          </cell>
          <cell r="D697">
            <v>9848</v>
          </cell>
          <cell r="E697">
            <v>9848</v>
          </cell>
          <cell r="F697">
            <v>0</v>
          </cell>
        </row>
        <row r="698">
          <cell r="A698" t="str">
            <v>GOTIL</v>
          </cell>
          <cell r="B698" t="str">
            <v>OASIS TOURS INDIA PVT LTD</v>
          </cell>
          <cell r="C698" t="str">
            <v>ADVAN</v>
          </cell>
          <cell r="D698">
            <v>6492</v>
          </cell>
          <cell r="E698">
            <v>6492</v>
          </cell>
          <cell r="F698">
            <v>0</v>
          </cell>
        </row>
        <row r="699">
          <cell r="A699" t="str">
            <v>GODCC</v>
          </cell>
          <cell r="B699" t="str">
            <v>ODC SERVICES</v>
          </cell>
          <cell r="C699" t="str">
            <v>ADVAN</v>
          </cell>
          <cell r="D699">
            <v>2724</v>
          </cell>
          <cell r="E699">
            <v>2724</v>
          </cell>
          <cell r="F699">
            <v>0</v>
          </cell>
        </row>
        <row r="700">
          <cell r="A700" t="str">
            <v>GOMET</v>
          </cell>
          <cell r="B700" t="str">
            <v>OM ENTERPRISES</v>
          </cell>
          <cell r="C700" t="str">
            <v>ADVAN</v>
          </cell>
          <cell r="D700">
            <v>12800</v>
          </cell>
          <cell r="E700">
            <v>12800</v>
          </cell>
          <cell r="F700">
            <v>0</v>
          </cell>
        </row>
        <row r="701">
          <cell r="A701" t="str">
            <v>GL01</v>
          </cell>
          <cell r="B701" t="str">
            <v>OM SINGH LOAN A/C</v>
          </cell>
          <cell r="C701" t="str">
            <v>ADVAN</v>
          </cell>
          <cell r="D701">
            <v>66000</v>
          </cell>
          <cell r="E701">
            <v>66000</v>
          </cell>
          <cell r="F701">
            <v>0</v>
          </cell>
        </row>
        <row r="702">
          <cell r="A702" t="str">
            <v>GOMXM</v>
          </cell>
          <cell r="B702" t="str">
            <v>OMAX MARKETING</v>
          </cell>
          <cell r="C702" t="str">
            <v>ADVAN</v>
          </cell>
          <cell r="D702">
            <v>53400</v>
          </cell>
          <cell r="E702">
            <v>53400</v>
          </cell>
          <cell r="F702">
            <v>0</v>
          </cell>
        </row>
        <row r="703">
          <cell r="A703" t="str">
            <v>GOMAX</v>
          </cell>
          <cell r="B703" t="str">
            <v>OMAX OFFICE EQUIPMENTS</v>
          </cell>
          <cell r="C703" t="str">
            <v>ADVAN</v>
          </cell>
          <cell r="D703">
            <v>68750</v>
          </cell>
          <cell r="E703">
            <v>68750</v>
          </cell>
          <cell r="F703">
            <v>0</v>
          </cell>
        </row>
        <row r="704">
          <cell r="A704" t="str">
            <v>GOMEG</v>
          </cell>
          <cell r="B704" t="str">
            <v>OMEGA INTERIORS</v>
          </cell>
          <cell r="C704" t="str">
            <v>ADVAN</v>
          </cell>
          <cell r="D704">
            <v>786000</v>
          </cell>
          <cell r="E704">
            <v>786000</v>
          </cell>
          <cell r="F704">
            <v>0</v>
          </cell>
        </row>
        <row r="705">
          <cell r="A705" t="str">
            <v>GORXP</v>
          </cell>
          <cell r="B705" t="str">
            <v>ORIENT EXPRESS SERVICES</v>
          </cell>
          <cell r="C705" t="str">
            <v>ADVAN</v>
          </cell>
          <cell r="D705">
            <v>26</v>
          </cell>
          <cell r="E705">
            <v>26</v>
          </cell>
          <cell r="F705">
            <v>0</v>
          </cell>
        </row>
        <row r="706">
          <cell r="A706" t="str">
            <v>GOELT</v>
          </cell>
          <cell r="B706" t="str">
            <v>ORIGIN EXPRESS LTD</v>
          </cell>
          <cell r="C706" t="str">
            <v>ADVAN</v>
          </cell>
          <cell r="D706">
            <v>223</v>
          </cell>
          <cell r="E706">
            <v>223</v>
          </cell>
          <cell r="F706">
            <v>0</v>
          </cell>
        </row>
        <row r="707">
          <cell r="A707" t="str">
            <v>GOVSE</v>
          </cell>
          <cell r="B707" t="str">
            <v>OVERSEAS TRADE AGENCIES</v>
          </cell>
          <cell r="C707" t="str">
            <v>ADVAN</v>
          </cell>
          <cell r="D707">
            <v>18000</v>
          </cell>
          <cell r="E707">
            <v>18000</v>
          </cell>
          <cell r="F707">
            <v>0</v>
          </cell>
        </row>
        <row r="708">
          <cell r="A708" t="str">
            <v>GOXFO</v>
          </cell>
          <cell r="B708" t="str">
            <v>OXFORD STATIONERS &amp; COMPUTERS</v>
          </cell>
          <cell r="C708" t="str">
            <v>ADVAN</v>
          </cell>
          <cell r="D708">
            <v>4406</v>
          </cell>
          <cell r="E708">
            <v>4406</v>
          </cell>
          <cell r="F708">
            <v>0</v>
          </cell>
        </row>
        <row r="709">
          <cell r="A709" t="str">
            <v>GPBIN</v>
          </cell>
          <cell r="B709" t="str">
            <v>P B INDRAJIT REDDY</v>
          </cell>
          <cell r="C709" t="str">
            <v>ADVAN</v>
          </cell>
          <cell r="D709">
            <v>129012</v>
          </cell>
          <cell r="E709">
            <v>129012</v>
          </cell>
          <cell r="F709">
            <v>0</v>
          </cell>
        </row>
        <row r="710">
          <cell r="A710" t="str">
            <v>GPRGU</v>
          </cell>
          <cell r="B710" t="str">
            <v>P R GULATI</v>
          </cell>
          <cell r="C710" t="str">
            <v>ADVAN</v>
          </cell>
          <cell r="D710">
            <v>13300</v>
          </cell>
          <cell r="E710">
            <v>13300</v>
          </cell>
          <cell r="F710">
            <v>0</v>
          </cell>
        </row>
        <row r="711">
          <cell r="A711" t="str">
            <v>GPAIN</v>
          </cell>
          <cell r="B711" t="str">
            <v>PACE INFOTECH</v>
          </cell>
          <cell r="C711" t="str">
            <v>ADVAN</v>
          </cell>
          <cell r="D711">
            <v>109395</v>
          </cell>
          <cell r="E711">
            <v>109395</v>
          </cell>
          <cell r="F711">
            <v>0</v>
          </cell>
        </row>
        <row r="712">
          <cell r="A712" t="str">
            <v>GPAPO</v>
          </cell>
          <cell r="B712" t="str">
            <v>PACER POWER SOLUTION PVT LTD</v>
          </cell>
          <cell r="C712" t="str">
            <v>ADVAN</v>
          </cell>
          <cell r="D712">
            <v>37242</v>
          </cell>
          <cell r="E712">
            <v>37242</v>
          </cell>
          <cell r="F712">
            <v>0</v>
          </cell>
        </row>
        <row r="713">
          <cell r="A713" t="str">
            <v>GPAEN</v>
          </cell>
          <cell r="B713" t="str">
            <v>PACIFIC ENGERGY SYSTEM</v>
          </cell>
          <cell r="C713" t="str">
            <v>ADVAN</v>
          </cell>
          <cell r="D713">
            <v>24792</v>
          </cell>
          <cell r="E713">
            <v>24792</v>
          </cell>
          <cell r="F713">
            <v>0</v>
          </cell>
        </row>
        <row r="714">
          <cell r="A714" t="str">
            <v>GPACI</v>
          </cell>
          <cell r="B714" t="str">
            <v>PACIFIC MACHINERY AND EQUIPMENTS PRIVATE LIMITED</v>
          </cell>
          <cell r="C714" t="str">
            <v>ADVAN</v>
          </cell>
          <cell r="D714">
            <v>8507340</v>
          </cell>
          <cell r="E714">
            <v>8507340</v>
          </cell>
          <cell r="F714">
            <v>0</v>
          </cell>
        </row>
        <row r="715">
          <cell r="A715" t="str">
            <v>GPAPA</v>
          </cell>
          <cell r="B715" t="str">
            <v>PADAM PANI TIWARI</v>
          </cell>
          <cell r="C715" t="str">
            <v>ADVAN</v>
          </cell>
          <cell r="D715">
            <v>15000</v>
          </cell>
          <cell r="E715">
            <v>15000</v>
          </cell>
          <cell r="F715">
            <v>0</v>
          </cell>
        </row>
        <row r="716">
          <cell r="A716" t="str">
            <v>GPAIS</v>
          </cell>
          <cell r="B716" t="str">
            <v>PAIS PLASTICS</v>
          </cell>
          <cell r="C716" t="str">
            <v>ADVAN</v>
          </cell>
          <cell r="D716">
            <v>9260</v>
          </cell>
          <cell r="E716">
            <v>9260</v>
          </cell>
          <cell r="F716">
            <v>0</v>
          </cell>
        </row>
        <row r="717">
          <cell r="A717" t="str">
            <v>GPALL</v>
          </cell>
          <cell r="B717" t="str">
            <v>PALLAVI CHAWLA</v>
          </cell>
          <cell r="C717" t="str">
            <v>ADVAN</v>
          </cell>
          <cell r="D717">
            <v>362500</v>
          </cell>
          <cell r="E717">
            <v>362500</v>
          </cell>
          <cell r="F717">
            <v>0</v>
          </cell>
        </row>
        <row r="718">
          <cell r="A718" t="str">
            <v>GPANC</v>
          </cell>
          <cell r="B718" t="str">
            <v>PANCHETI ENGINEERS &amp; CONTRACTORS</v>
          </cell>
          <cell r="C718" t="str">
            <v>ADVAN</v>
          </cell>
          <cell r="D718">
            <v>33670</v>
          </cell>
          <cell r="E718">
            <v>33670</v>
          </cell>
          <cell r="F718">
            <v>0</v>
          </cell>
        </row>
        <row r="719">
          <cell r="A719" t="str">
            <v>GPARCO</v>
          </cell>
          <cell r="B719" t="str">
            <v>PARAS COMPUTER</v>
          </cell>
          <cell r="C719" t="str">
            <v>ADVAN</v>
          </cell>
          <cell r="D719">
            <v>55800</v>
          </cell>
          <cell r="E719">
            <v>55800</v>
          </cell>
          <cell r="F719">
            <v>0</v>
          </cell>
        </row>
        <row r="720">
          <cell r="A720" t="str">
            <v>GPAJU</v>
          </cell>
          <cell r="B720" t="str">
            <v>PARASMAL JUGRAJ  JAIN</v>
          </cell>
          <cell r="C720" t="str">
            <v>ADVAN</v>
          </cell>
          <cell r="D720">
            <v>1100000</v>
          </cell>
          <cell r="E720">
            <v>1100000</v>
          </cell>
          <cell r="F720">
            <v>0</v>
          </cell>
        </row>
        <row r="721">
          <cell r="A721" t="str">
            <v>GPARE</v>
          </cell>
          <cell r="B721" t="str">
            <v>PARESHKUMAR ARVINSBHAI PATADIA</v>
          </cell>
          <cell r="C721" t="str">
            <v>ADVAN</v>
          </cell>
          <cell r="D721">
            <v>8000</v>
          </cell>
          <cell r="E721">
            <v>8000</v>
          </cell>
          <cell r="F721">
            <v>0</v>
          </cell>
        </row>
        <row r="722">
          <cell r="A722" t="str">
            <v>GPAEL</v>
          </cell>
          <cell r="B722" t="str">
            <v>PARIMALA ELECTRICS</v>
          </cell>
          <cell r="C722" t="str">
            <v>ADVAN</v>
          </cell>
          <cell r="D722">
            <v>70600</v>
          </cell>
          <cell r="E722">
            <v>70600</v>
          </cell>
          <cell r="F722">
            <v>0</v>
          </cell>
        </row>
        <row r="723">
          <cell r="A723" t="str">
            <v>GPARI</v>
          </cell>
          <cell r="B723" t="str">
            <v>PARIS STATIONERY &amp; XEROX</v>
          </cell>
          <cell r="C723" t="str">
            <v>ADVAN</v>
          </cell>
          <cell r="D723">
            <v>13904.5</v>
          </cell>
          <cell r="E723">
            <v>13904.5</v>
          </cell>
          <cell r="F723">
            <v>0</v>
          </cell>
        </row>
        <row r="724">
          <cell r="A724" t="str">
            <v>GPAHI</v>
          </cell>
          <cell r="B724" t="str">
            <v>PARUL HIREN CHHEDA</v>
          </cell>
          <cell r="C724" t="str">
            <v>ADVAN</v>
          </cell>
          <cell r="D724">
            <v>73424</v>
          </cell>
          <cell r="E724">
            <v>73424</v>
          </cell>
          <cell r="F724">
            <v>0</v>
          </cell>
        </row>
        <row r="725">
          <cell r="A725" t="str">
            <v>GPARV</v>
          </cell>
          <cell r="B725" t="str">
            <v>PARVINDAR SINGH</v>
          </cell>
          <cell r="C725" t="str">
            <v>ADVAN</v>
          </cell>
          <cell r="D725">
            <v>6300</v>
          </cell>
          <cell r="E725">
            <v>6300</v>
          </cell>
          <cell r="F725">
            <v>0</v>
          </cell>
        </row>
        <row r="726">
          <cell r="A726" t="str">
            <v>GPASC</v>
          </cell>
          <cell r="B726" t="str">
            <v>PASCHIM GUJARAT VIJ CO LTD</v>
          </cell>
          <cell r="C726" t="str">
            <v>ADVAN</v>
          </cell>
          <cell r="D726">
            <v>8134</v>
          </cell>
          <cell r="E726">
            <v>8134</v>
          </cell>
          <cell r="F726">
            <v>0</v>
          </cell>
        </row>
        <row r="727">
          <cell r="A727" t="str">
            <v>GPBAG</v>
          </cell>
          <cell r="B727" t="str">
            <v>PAVAN BAGARIA</v>
          </cell>
          <cell r="C727" t="str">
            <v>ADVAN</v>
          </cell>
          <cell r="D727">
            <v>9900</v>
          </cell>
          <cell r="E727">
            <v>9900</v>
          </cell>
          <cell r="F727">
            <v>0</v>
          </cell>
        </row>
        <row r="728">
          <cell r="A728" t="str">
            <v>GPAWA</v>
          </cell>
          <cell r="B728" t="str">
            <v>PAWAN AIRWAYS COURIERS</v>
          </cell>
          <cell r="C728" t="str">
            <v>ADVAN</v>
          </cell>
          <cell r="D728">
            <v>1783</v>
          </cell>
          <cell r="E728">
            <v>1783</v>
          </cell>
          <cell r="F728">
            <v>0</v>
          </cell>
        </row>
        <row r="729">
          <cell r="A729" t="str">
            <v>GPGAU</v>
          </cell>
          <cell r="B729" t="str">
            <v>PG AUTOMATION SERVICES</v>
          </cell>
          <cell r="C729" t="str">
            <v>ADVAN</v>
          </cell>
          <cell r="D729">
            <v>18611.2</v>
          </cell>
          <cell r="E729">
            <v>18611.2</v>
          </cell>
          <cell r="F729">
            <v>0</v>
          </cell>
        </row>
        <row r="730">
          <cell r="A730" t="str">
            <v>GAPINK</v>
          </cell>
          <cell r="B730" t="str">
            <v>PINKCITY MOTORS PVT. LTD.</v>
          </cell>
          <cell r="C730" t="str">
            <v>ADVAN</v>
          </cell>
          <cell r="D730">
            <v>701006</v>
          </cell>
          <cell r="E730">
            <v>701006</v>
          </cell>
          <cell r="F730">
            <v>0</v>
          </cell>
        </row>
        <row r="731">
          <cell r="A731" t="str">
            <v>GPION</v>
          </cell>
          <cell r="B731" t="str">
            <v>PIONEER PROPERTY MANAGEMENT LTD.</v>
          </cell>
          <cell r="C731" t="str">
            <v>ADVAN</v>
          </cell>
          <cell r="D731">
            <v>29348</v>
          </cell>
          <cell r="E731">
            <v>29348</v>
          </cell>
          <cell r="F731">
            <v>0</v>
          </cell>
        </row>
        <row r="732">
          <cell r="A732" t="str">
            <v>GPIYU</v>
          </cell>
          <cell r="B732" t="str">
            <v>PIYUSH N SANGHVI</v>
          </cell>
          <cell r="C732" t="str">
            <v>ADVAN</v>
          </cell>
          <cell r="D732">
            <v>41441</v>
          </cell>
          <cell r="E732">
            <v>41441</v>
          </cell>
          <cell r="F732">
            <v>0</v>
          </cell>
        </row>
        <row r="733">
          <cell r="A733" t="str">
            <v>GPLAN</v>
          </cell>
          <cell r="B733" t="str">
            <v>PLANET E - COM SOLUTIONS (P)  LTD</v>
          </cell>
          <cell r="C733" t="str">
            <v>ADVAN</v>
          </cell>
          <cell r="D733">
            <v>92500</v>
          </cell>
          <cell r="E733">
            <v>92500</v>
          </cell>
          <cell r="F733">
            <v>0</v>
          </cell>
        </row>
        <row r="734">
          <cell r="A734" t="str">
            <v>GPOLU</v>
          </cell>
          <cell r="B734" t="str">
            <v>POOJA LUBRICANTS</v>
          </cell>
          <cell r="C734" t="str">
            <v>ADVAN</v>
          </cell>
          <cell r="D734">
            <v>2400</v>
          </cell>
          <cell r="E734">
            <v>2400</v>
          </cell>
          <cell r="F734">
            <v>0</v>
          </cell>
        </row>
        <row r="735">
          <cell r="A735" t="str">
            <v>GPOCO</v>
          </cell>
          <cell r="B735" t="str">
            <v>POONAM COURIERS</v>
          </cell>
          <cell r="C735" t="str">
            <v>ADVAN</v>
          </cell>
          <cell r="D735">
            <v>2751</v>
          </cell>
          <cell r="E735">
            <v>2751</v>
          </cell>
          <cell r="F735">
            <v>0</v>
          </cell>
        </row>
        <row r="736">
          <cell r="A736" t="str">
            <v>GPOPL</v>
          </cell>
          <cell r="B736" t="str">
            <v>POPULAR ELECTRICAL COMPANY</v>
          </cell>
          <cell r="C736" t="str">
            <v>ADVAN</v>
          </cell>
          <cell r="D736">
            <v>5510</v>
          </cell>
          <cell r="E736">
            <v>5510</v>
          </cell>
          <cell r="F736">
            <v>0</v>
          </cell>
        </row>
        <row r="737">
          <cell r="A737" t="str">
            <v>GPOWR</v>
          </cell>
          <cell r="B737" t="str">
            <v>POWER CONTROL SYSTEMS</v>
          </cell>
          <cell r="C737" t="str">
            <v>ADVAN</v>
          </cell>
          <cell r="D737">
            <v>194000</v>
          </cell>
          <cell r="E737">
            <v>194000</v>
          </cell>
          <cell r="F737">
            <v>0</v>
          </cell>
        </row>
        <row r="738">
          <cell r="A738" t="str">
            <v>GPOWSO</v>
          </cell>
          <cell r="B738" t="str">
            <v>POWER TECH SOLUTION</v>
          </cell>
          <cell r="C738" t="str">
            <v>ADVAN</v>
          </cell>
          <cell r="D738">
            <v>35850</v>
          </cell>
          <cell r="E738">
            <v>35850</v>
          </cell>
          <cell r="F738">
            <v>0</v>
          </cell>
        </row>
        <row r="739">
          <cell r="A739" t="str">
            <v>GPRSH</v>
          </cell>
          <cell r="B739" t="str">
            <v>PRABHA SHEETARAM SHETTY</v>
          </cell>
          <cell r="C739" t="str">
            <v>ADVAN</v>
          </cell>
          <cell r="D739">
            <v>588808</v>
          </cell>
          <cell r="E739">
            <v>588808</v>
          </cell>
          <cell r="F739">
            <v>0</v>
          </cell>
        </row>
        <row r="740">
          <cell r="A740" t="str">
            <v>GPRDH</v>
          </cell>
          <cell r="B740" t="str">
            <v>PRADEEP I. DHINGRA GOPAL I. DHINGRA &amp; SHYAM I. DHINGRA</v>
          </cell>
          <cell r="C740" t="str">
            <v>ADVAN</v>
          </cell>
          <cell r="D740">
            <v>107100</v>
          </cell>
          <cell r="E740">
            <v>107100</v>
          </cell>
          <cell r="F740">
            <v>0</v>
          </cell>
        </row>
        <row r="741">
          <cell r="A741" t="str">
            <v>GPRAE</v>
          </cell>
          <cell r="B741" t="str">
            <v>PRADEEP TULISDAS SURATWALA</v>
          </cell>
          <cell r="C741" t="str">
            <v>ADVAN</v>
          </cell>
          <cell r="D741">
            <v>8500</v>
          </cell>
          <cell r="E741">
            <v>8500</v>
          </cell>
          <cell r="F741">
            <v>0</v>
          </cell>
        </row>
        <row r="742">
          <cell r="A742" t="str">
            <v>GPRKA</v>
          </cell>
          <cell r="B742" t="str">
            <v>PRAKASH A CHAWLA</v>
          </cell>
          <cell r="C742" t="str">
            <v>ADVAN</v>
          </cell>
          <cell r="D742">
            <v>46551</v>
          </cell>
          <cell r="E742">
            <v>46551</v>
          </cell>
          <cell r="F742">
            <v>0</v>
          </cell>
        </row>
        <row r="743">
          <cell r="A743" t="str">
            <v>GPRAX</v>
          </cell>
          <cell r="B743" t="str">
            <v>PRAKASH XEROX</v>
          </cell>
          <cell r="C743" t="str">
            <v>ADVAN</v>
          </cell>
          <cell r="D743">
            <v>3738</v>
          </cell>
          <cell r="E743">
            <v>3738</v>
          </cell>
          <cell r="F743">
            <v>0</v>
          </cell>
        </row>
        <row r="744">
          <cell r="A744" t="str">
            <v>GPRSU</v>
          </cell>
          <cell r="B744" t="str">
            <v>PRAMILA SUGANCHAND RAKA</v>
          </cell>
          <cell r="C744" t="str">
            <v>ADVAN</v>
          </cell>
          <cell r="D744">
            <v>91326</v>
          </cell>
          <cell r="E744">
            <v>91326</v>
          </cell>
          <cell r="F744">
            <v>0</v>
          </cell>
        </row>
        <row r="745">
          <cell r="A745" t="str">
            <v>GPRAP</v>
          </cell>
          <cell r="B745" t="str">
            <v>PRATAP CHAND SINGHI</v>
          </cell>
          <cell r="C745" t="str">
            <v>ADVAN</v>
          </cell>
          <cell r="D745">
            <v>9600</v>
          </cell>
          <cell r="E745">
            <v>9600</v>
          </cell>
          <cell r="F745">
            <v>0</v>
          </cell>
        </row>
        <row r="746">
          <cell r="A746" t="str">
            <v>GPRKU</v>
          </cell>
          <cell r="B746" t="str">
            <v>PRATAP KUMAR HIRALAL SHAH</v>
          </cell>
          <cell r="C746" t="str">
            <v>ADVAN</v>
          </cell>
          <cell r="D746">
            <v>197841</v>
          </cell>
          <cell r="E746">
            <v>197841</v>
          </cell>
          <cell r="F746">
            <v>0</v>
          </cell>
        </row>
        <row r="747">
          <cell r="A747" t="str">
            <v>GPRAV</v>
          </cell>
          <cell r="B747" t="str">
            <v>PRAVEEN JAIN</v>
          </cell>
          <cell r="C747" t="str">
            <v>ADVAN</v>
          </cell>
          <cell r="D747">
            <v>173549</v>
          </cell>
          <cell r="E747">
            <v>173549</v>
          </cell>
          <cell r="F747">
            <v>0</v>
          </cell>
        </row>
        <row r="748">
          <cell r="A748" t="str">
            <v>GPRECI</v>
          </cell>
          <cell r="B748" t="str">
            <v>PRECIOUS ELECTRICALS</v>
          </cell>
          <cell r="C748" t="str">
            <v>ADVAN</v>
          </cell>
          <cell r="D748">
            <v>119225</v>
          </cell>
          <cell r="E748">
            <v>119225</v>
          </cell>
          <cell r="F748">
            <v>0</v>
          </cell>
        </row>
        <row r="749">
          <cell r="A749" t="str">
            <v>GPREC</v>
          </cell>
          <cell r="B749" t="str">
            <v>PRECISE ELECTRONICS PVT. LTD.</v>
          </cell>
          <cell r="C749" t="str">
            <v>ADVAN</v>
          </cell>
          <cell r="D749">
            <v>6000</v>
          </cell>
          <cell r="E749">
            <v>6000</v>
          </cell>
          <cell r="F749">
            <v>0</v>
          </cell>
        </row>
        <row r="750">
          <cell r="A750" t="str">
            <v>GPRED</v>
          </cell>
          <cell r="B750" t="str">
            <v>PREM CHAND &amp; SONS</v>
          </cell>
          <cell r="C750" t="str">
            <v>ADVAN</v>
          </cell>
          <cell r="D750">
            <v>209107</v>
          </cell>
          <cell r="E750">
            <v>209107</v>
          </cell>
          <cell r="F750">
            <v>0</v>
          </cell>
        </row>
        <row r="751">
          <cell r="A751" t="str">
            <v>GPREA</v>
          </cell>
          <cell r="B751" t="str">
            <v>PREMIER APPLIANCES "N" ELECTRICALS</v>
          </cell>
          <cell r="C751" t="str">
            <v>ADVAN</v>
          </cell>
          <cell r="D751">
            <v>2750</v>
          </cell>
          <cell r="E751">
            <v>2750</v>
          </cell>
          <cell r="F751">
            <v>0</v>
          </cell>
        </row>
        <row r="752">
          <cell r="A752" t="str">
            <v>GPREMS</v>
          </cell>
          <cell r="B752" t="str">
            <v>PREMIER SALES</v>
          </cell>
          <cell r="C752" t="str">
            <v>ADVAN</v>
          </cell>
          <cell r="D752">
            <v>64000</v>
          </cell>
          <cell r="E752">
            <v>64000</v>
          </cell>
          <cell r="F752">
            <v>0</v>
          </cell>
        </row>
        <row r="753">
          <cell r="A753" t="str">
            <v>GPRJA</v>
          </cell>
          <cell r="B753" t="str">
            <v>PREMLATA JANAKRAJ GUPTA</v>
          </cell>
          <cell r="C753" t="str">
            <v>ADVAN</v>
          </cell>
          <cell r="D753">
            <v>150000</v>
          </cell>
          <cell r="E753">
            <v>150000</v>
          </cell>
          <cell r="F753">
            <v>0</v>
          </cell>
        </row>
        <row r="754">
          <cell r="A754" t="str">
            <v>GPRIR</v>
          </cell>
          <cell r="B754" t="str">
            <v>PRIME REAL ESTATE</v>
          </cell>
          <cell r="C754" t="str">
            <v>ADVAN</v>
          </cell>
          <cell r="D754">
            <v>3960</v>
          </cell>
          <cell r="E754">
            <v>3960</v>
          </cell>
          <cell r="F754">
            <v>0</v>
          </cell>
        </row>
        <row r="755">
          <cell r="A755" t="str">
            <v>GPRTI</v>
          </cell>
          <cell r="B755" t="str">
            <v>PRITIBEN PRABHUDASBHAI PAREKH</v>
          </cell>
          <cell r="C755" t="str">
            <v>ADVAN</v>
          </cell>
          <cell r="D755">
            <v>49000</v>
          </cell>
          <cell r="E755">
            <v>49000</v>
          </cell>
          <cell r="F755">
            <v>0</v>
          </cell>
        </row>
        <row r="756">
          <cell r="A756" t="str">
            <v>GPRVE</v>
          </cell>
          <cell r="B756" t="str">
            <v>PRIYANKA VED MEHTA</v>
          </cell>
          <cell r="C756" t="str">
            <v>ADVAN</v>
          </cell>
          <cell r="D756">
            <v>106029</v>
          </cell>
          <cell r="E756">
            <v>106029</v>
          </cell>
          <cell r="F756">
            <v>0</v>
          </cell>
        </row>
        <row r="757">
          <cell r="A757" t="str">
            <v>GPROD</v>
          </cell>
          <cell r="B757" t="str">
            <v>PROFICIENT TECHNOLOGIES</v>
          </cell>
          <cell r="C757" t="str">
            <v>ADVAN</v>
          </cell>
          <cell r="D757">
            <v>8100</v>
          </cell>
          <cell r="E757">
            <v>8100</v>
          </cell>
          <cell r="F757">
            <v>0</v>
          </cell>
        </row>
        <row r="758">
          <cell r="A758" t="str">
            <v>GPROG</v>
          </cell>
          <cell r="B758" t="str">
            <v>PROGREESSIVE X'PANSIA</v>
          </cell>
          <cell r="C758" t="str">
            <v>ADVAN</v>
          </cell>
          <cell r="D758">
            <v>4488</v>
          </cell>
          <cell r="E758">
            <v>4488</v>
          </cell>
          <cell r="F758">
            <v>0</v>
          </cell>
        </row>
        <row r="759">
          <cell r="A759" t="str">
            <v>GPITE</v>
          </cell>
          <cell r="B759" t="str">
            <v>PROTOCOL INFO TECH</v>
          </cell>
          <cell r="C759" t="str">
            <v>ADVAN</v>
          </cell>
          <cell r="D759">
            <v>71390</v>
          </cell>
          <cell r="E759">
            <v>71390</v>
          </cell>
          <cell r="F759">
            <v>0</v>
          </cell>
        </row>
        <row r="760">
          <cell r="A760" t="str">
            <v>GPROT</v>
          </cell>
          <cell r="B760" t="str">
            <v>PROTON CONTROL SYSTEMS</v>
          </cell>
          <cell r="C760" t="str">
            <v>ADVAN</v>
          </cell>
          <cell r="D760">
            <v>58250</v>
          </cell>
          <cell r="E760">
            <v>58250</v>
          </cell>
          <cell r="F760">
            <v>0</v>
          </cell>
        </row>
        <row r="761">
          <cell r="A761" t="str">
            <v>GPUJA</v>
          </cell>
          <cell r="B761" t="str">
            <v>PUJA ENTERPRISES</v>
          </cell>
          <cell r="C761" t="str">
            <v>ADVAN</v>
          </cell>
          <cell r="D761">
            <v>5318</v>
          </cell>
          <cell r="E761">
            <v>5318</v>
          </cell>
          <cell r="F761">
            <v>0</v>
          </cell>
        </row>
        <row r="762">
          <cell r="A762" t="str">
            <v>GPUNJ</v>
          </cell>
          <cell r="B762" t="str">
            <v>PUNJAB DIESELS(AGENCIES)</v>
          </cell>
          <cell r="C762" t="str">
            <v>ADVAN</v>
          </cell>
          <cell r="D762">
            <v>13250</v>
          </cell>
          <cell r="E762">
            <v>13250</v>
          </cell>
          <cell r="F762">
            <v>0</v>
          </cell>
        </row>
        <row r="763">
          <cell r="A763" t="str">
            <v>GPUNK</v>
          </cell>
          <cell r="B763" t="str">
            <v>PUNJAB KESRI GROUP</v>
          </cell>
          <cell r="C763" t="str">
            <v>ADVAN</v>
          </cell>
          <cell r="D763">
            <v>6000</v>
          </cell>
          <cell r="E763">
            <v>6000</v>
          </cell>
          <cell r="F763">
            <v>0</v>
          </cell>
        </row>
        <row r="764">
          <cell r="A764" t="str">
            <v>GPURE</v>
          </cell>
          <cell r="B764" t="str">
            <v>PURE DEALS CONSULTANTS</v>
          </cell>
          <cell r="C764" t="str">
            <v>ADVAN</v>
          </cell>
          <cell r="D764">
            <v>7546</v>
          </cell>
          <cell r="E764">
            <v>7546</v>
          </cell>
          <cell r="F764">
            <v>0</v>
          </cell>
        </row>
        <row r="765">
          <cell r="A765" t="str">
            <v>GPURN</v>
          </cell>
          <cell r="B765" t="str">
            <v>PURNIMA AGARWAL</v>
          </cell>
          <cell r="C765" t="str">
            <v>ADVAN</v>
          </cell>
          <cell r="D765">
            <v>57813</v>
          </cell>
          <cell r="E765">
            <v>57813</v>
          </cell>
          <cell r="F765">
            <v>0</v>
          </cell>
        </row>
        <row r="766">
          <cell r="A766" t="str">
            <v>GPUJR</v>
          </cell>
          <cell r="B766" t="str">
            <v>PUSHPA JAMNADAS RAJWANI</v>
          </cell>
          <cell r="C766" t="str">
            <v>ADVAN</v>
          </cell>
          <cell r="D766">
            <v>71071</v>
          </cell>
          <cell r="E766">
            <v>71071</v>
          </cell>
          <cell r="F766">
            <v>0</v>
          </cell>
        </row>
        <row r="767">
          <cell r="A767" t="str">
            <v>GQUAS</v>
          </cell>
          <cell r="B767" t="str">
            <v>QUANTUAMO SERVICE</v>
          </cell>
          <cell r="C767" t="str">
            <v>ADVAN</v>
          </cell>
          <cell r="D767">
            <v>222</v>
          </cell>
          <cell r="E767">
            <v>222</v>
          </cell>
          <cell r="F767">
            <v>0</v>
          </cell>
        </row>
        <row r="768">
          <cell r="A768" t="str">
            <v>GQUAN</v>
          </cell>
          <cell r="B768" t="str">
            <v>QUANTUM LINK COMMUNICATIONS PVT. LTD</v>
          </cell>
          <cell r="C768" t="str">
            <v>ADVAN</v>
          </cell>
          <cell r="D768">
            <v>22500</v>
          </cell>
          <cell r="E768">
            <v>22500</v>
          </cell>
          <cell r="F768">
            <v>0</v>
          </cell>
        </row>
        <row r="769">
          <cell r="A769" t="str">
            <v>GQUTE</v>
          </cell>
          <cell r="B769" t="str">
            <v>QUANTUM TECHNOLOGIES &amp;  SERVICES</v>
          </cell>
          <cell r="C769" t="str">
            <v>ADVAN</v>
          </cell>
          <cell r="D769">
            <v>13475</v>
          </cell>
          <cell r="E769">
            <v>13475</v>
          </cell>
          <cell r="F769">
            <v>0</v>
          </cell>
        </row>
        <row r="770">
          <cell r="A770" t="str">
            <v>GRKCP</v>
          </cell>
          <cell r="B770" t="str">
            <v>R K COMPUTERS &amp; COMMUNICATIONS</v>
          </cell>
          <cell r="C770" t="str">
            <v>ADVAN</v>
          </cell>
          <cell r="D770">
            <v>2200</v>
          </cell>
          <cell r="E770">
            <v>2200</v>
          </cell>
          <cell r="F770">
            <v>0</v>
          </cell>
        </row>
        <row r="771">
          <cell r="A771" t="str">
            <v>GRDNA</v>
          </cell>
          <cell r="B771" t="str">
            <v>R. D. NAIK</v>
          </cell>
          <cell r="C771" t="str">
            <v>ADVAN</v>
          </cell>
          <cell r="D771">
            <v>21933.75</v>
          </cell>
          <cell r="E771">
            <v>21933.75</v>
          </cell>
          <cell r="F771">
            <v>0</v>
          </cell>
        </row>
        <row r="772">
          <cell r="A772" t="str">
            <v>GRRAD</v>
          </cell>
          <cell r="B772" t="str">
            <v>R. RADHAKRISHNAN</v>
          </cell>
          <cell r="C772" t="str">
            <v>ADVAN</v>
          </cell>
          <cell r="D772">
            <v>456</v>
          </cell>
          <cell r="E772">
            <v>456</v>
          </cell>
          <cell r="F772">
            <v>0</v>
          </cell>
        </row>
        <row r="773">
          <cell r="A773" t="str">
            <v>GRBTR</v>
          </cell>
          <cell r="B773" t="str">
            <v>R.B.TRADING CO.</v>
          </cell>
          <cell r="C773" t="str">
            <v>ADVAN</v>
          </cell>
          <cell r="D773">
            <v>1725</v>
          </cell>
          <cell r="E773">
            <v>1725</v>
          </cell>
          <cell r="F773">
            <v>0</v>
          </cell>
        </row>
        <row r="774">
          <cell r="A774" t="str">
            <v>GRKMA</v>
          </cell>
          <cell r="B774" t="str">
            <v>R.K. MANI</v>
          </cell>
          <cell r="C774" t="str">
            <v>ADVAN</v>
          </cell>
          <cell r="D774">
            <v>67130</v>
          </cell>
          <cell r="E774">
            <v>67130</v>
          </cell>
          <cell r="F774">
            <v>0</v>
          </cell>
        </row>
        <row r="775">
          <cell r="A775" t="str">
            <v>GRKGR</v>
          </cell>
          <cell r="B775" t="str">
            <v>R.K.GROUP</v>
          </cell>
          <cell r="C775" t="str">
            <v>ADVAN</v>
          </cell>
          <cell r="D775">
            <v>16999</v>
          </cell>
          <cell r="E775">
            <v>16999</v>
          </cell>
          <cell r="F775">
            <v>0</v>
          </cell>
        </row>
        <row r="776">
          <cell r="A776" t="str">
            <v>GRPUSH</v>
          </cell>
          <cell r="B776" t="str">
            <v>R.PUSHPARAJ</v>
          </cell>
          <cell r="C776" t="str">
            <v>ADVAN</v>
          </cell>
          <cell r="D776">
            <v>4800</v>
          </cell>
          <cell r="E776">
            <v>4800</v>
          </cell>
          <cell r="F776">
            <v>0</v>
          </cell>
        </row>
        <row r="777">
          <cell r="A777" t="str">
            <v>GRSEN</v>
          </cell>
          <cell r="B777" t="str">
            <v>R.S. ENTERPRISES</v>
          </cell>
          <cell r="C777" t="str">
            <v>ADVAN</v>
          </cell>
          <cell r="D777">
            <v>45750</v>
          </cell>
          <cell r="E777">
            <v>45750</v>
          </cell>
          <cell r="F777">
            <v>0</v>
          </cell>
        </row>
        <row r="778">
          <cell r="A778" t="str">
            <v>GRAPO</v>
          </cell>
          <cell r="B778" t="str">
            <v>RACHANA POWERCOM PVT LTD</v>
          </cell>
          <cell r="C778" t="str">
            <v>ADVAN</v>
          </cell>
          <cell r="D778">
            <v>17000</v>
          </cell>
          <cell r="E778">
            <v>17000</v>
          </cell>
          <cell r="F778">
            <v>0</v>
          </cell>
        </row>
        <row r="779">
          <cell r="A779" t="str">
            <v>GRPPL</v>
          </cell>
          <cell r="B779" t="str">
            <v>RACHANA POWERCOM PVT. LTD.</v>
          </cell>
          <cell r="C779" t="str">
            <v>ADVAN</v>
          </cell>
          <cell r="D779">
            <v>17244</v>
          </cell>
          <cell r="E779">
            <v>17244</v>
          </cell>
          <cell r="F779">
            <v>0</v>
          </cell>
        </row>
        <row r="780">
          <cell r="A780" t="str">
            <v>GRACH</v>
          </cell>
          <cell r="B780" t="str">
            <v>RACHNA SINGH</v>
          </cell>
          <cell r="C780" t="str">
            <v>ADVAN</v>
          </cell>
          <cell r="D780">
            <v>14980</v>
          </cell>
          <cell r="E780">
            <v>14980</v>
          </cell>
          <cell r="F780">
            <v>0</v>
          </cell>
        </row>
        <row r="781">
          <cell r="A781" t="str">
            <v>GRADI</v>
          </cell>
          <cell r="B781" t="str">
            <v>RADIANT ELECTRONICS</v>
          </cell>
          <cell r="C781" t="str">
            <v>ADVAN</v>
          </cell>
          <cell r="D781">
            <v>21500</v>
          </cell>
          <cell r="E781">
            <v>21500</v>
          </cell>
          <cell r="F781">
            <v>0</v>
          </cell>
        </row>
        <row r="782">
          <cell r="A782" t="str">
            <v>GRAHO</v>
          </cell>
          <cell r="B782" t="str">
            <v>RADIANT HOSPITALITY SERVICES</v>
          </cell>
          <cell r="C782" t="str">
            <v>ADVAN</v>
          </cell>
          <cell r="D782">
            <v>206840</v>
          </cell>
          <cell r="E782">
            <v>206840</v>
          </cell>
          <cell r="F782">
            <v>0</v>
          </cell>
        </row>
        <row r="783">
          <cell r="A783" t="str">
            <v>GRCLH</v>
          </cell>
          <cell r="B783" t="str">
            <v>RADIO CENTRE &amp; LIGHT HOUSE</v>
          </cell>
          <cell r="C783" t="str">
            <v>ADVAN</v>
          </cell>
          <cell r="D783">
            <v>6400</v>
          </cell>
          <cell r="E783">
            <v>6400</v>
          </cell>
          <cell r="F783">
            <v>0</v>
          </cell>
        </row>
        <row r="784">
          <cell r="A784" t="str">
            <v>GRAGA</v>
          </cell>
          <cell r="B784" t="str">
            <v>RAGA INFOTECH</v>
          </cell>
          <cell r="C784" t="str">
            <v>ADVAN</v>
          </cell>
          <cell r="D784">
            <v>10500</v>
          </cell>
          <cell r="E784">
            <v>10500</v>
          </cell>
          <cell r="F784">
            <v>0</v>
          </cell>
        </row>
        <row r="785">
          <cell r="A785" t="str">
            <v>GRAAG</v>
          </cell>
          <cell r="B785" t="str">
            <v>RAGHAVENDRA AGENCIES</v>
          </cell>
          <cell r="C785" t="str">
            <v>ADVAN</v>
          </cell>
          <cell r="D785">
            <v>134</v>
          </cell>
          <cell r="E785">
            <v>134</v>
          </cell>
          <cell r="F785">
            <v>0</v>
          </cell>
        </row>
        <row r="786">
          <cell r="A786" t="str">
            <v>GRAGI</v>
          </cell>
          <cell r="B786" t="str">
            <v>RAGINI MOHAN</v>
          </cell>
          <cell r="C786" t="str">
            <v>ADVAN</v>
          </cell>
          <cell r="D786">
            <v>60000</v>
          </cell>
          <cell r="E786">
            <v>60000</v>
          </cell>
          <cell r="F786">
            <v>0</v>
          </cell>
        </row>
        <row r="787">
          <cell r="A787" t="str">
            <v>GRAHY</v>
          </cell>
          <cell r="B787" t="str">
            <v>RAHUL YADAV</v>
          </cell>
          <cell r="C787" t="str">
            <v>ADVAN</v>
          </cell>
          <cell r="D787">
            <v>4500</v>
          </cell>
          <cell r="E787">
            <v>4500</v>
          </cell>
          <cell r="F787">
            <v>0</v>
          </cell>
        </row>
        <row r="788">
          <cell r="A788" t="str">
            <v>GRAJC</v>
          </cell>
          <cell r="B788" t="str">
            <v>RAJ &amp; COMPANY</v>
          </cell>
          <cell r="C788" t="str">
            <v>ADVAN</v>
          </cell>
          <cell r="D788">
            <v>2352</v>
          </cell>
          <cell r="E788">
            <v>2352</v>
          </cell>
          <cell r="F788">
            <v>0</v>
          </cell>
        </row>
        <row r="789">
          <cell r="A789" t="str">
            <v>GRCOP</v>
          </cell>
          <cell r="B789" t="str">
            <v>RAJ COPY CENTRE</v>
          </cell>
          <cell r="C789" t="str">
            <v>ADVAN</v>
          </cell>
          <cell r="D789">
            <v>499.11</v>
          </cell>
          <cell r="E789">
            <v>499.11</v>
          </cell>
          <cell r="F789">
            <v>0</v>
          </cell>
        </row>
        <row r="790">
          <cell r="A790" t="str">
            <v>GRAJQ</v>
          </cell>
          <cell r="B790" t="str">
            <v>RAJ KUMAR  PRABHA TELECOM</v>
          </cell>
          <cell r="C790" t="str">
            <v>ADVAN</v>
          </cell>
          <cell r="D790">
            <v>3600</v>
          </cell>
          <cell r="E790">
            <v>3600</v>
          </cell>
          <cell r="F790">
            <v>0</v>
          </cell>
        </row>
        <row r="791">
          <cell r="A791" t="str">
            <v>GRAJK</v>
          </cell>
          <cell r="B791" t="str">
            <v>RAJ KUMAR DHURKA</v>
          </cell>
          <cell r="C791" t="str">
            <v>ADVAN</v>
          </cell>
          <cell r="D791">
            <v>159120</v>
          </cell>
          <cell r="E791">
            <v>159120</v>
          </cell>
          <cell r="F791">
            <v>0</v>
          </cell>
        </row>
        <row r="792">
          <cell r="A792" t="str">
            <v>GRAJJ</v>
          </cell>
          <cell r="B792" t="str">
            <v>RAJ SINGH JHALA</v>
          </cell>
          <cell r="C792" t="str">
            <v>ADVAN</v>
          </cell>
          <cell r="D792">
            <v>3254</v>
          </cell>
          <cell r="E792">
            <v>3254</v>
          </cell>
          <cell r="F792">
            <v>0</v>
          </cell>
        </row>
        <row r="793">
          <cell r="A793" t="str">
            <v>GRAJT</v>
          </cell>
          <cell r="B793" t="str">
            <v>RAJA ELECTRICALS TRADERS</v>
          </cell>
          <cell r="C793" t="str">
            <v>ADVAN</v>
          </cell>
          <cell r="D793">
            <v>3000</v>
          </cell>
          <cell r="E793">
            <v>3000</v>
          </cell>
          <cell r="F793">
            <v>0</v>
          </cell>
        </row>
        <row r="794">
          <cell r="A794" t="str">
            <v>GRANA</v>
          </cell>
          <cell r="B794" t="str">
            <v>RAJAN SHUKLA &amp; COMPANY</v>
          </cell>
          <cell r="C794" t="str">
            <v>ADVAN</v>
          </cell>
          <cell r="D794">
            <v>3497.44</v>
          </cell>
          <cell r="E794">
            <v>3497.44</v>
          </cell>
          <cell r="F794">
            <v>0</v>
          </cell>
        </row>
        <row r="795">
          <cell r="A795" t="str">
            <v>GRAJD</v>
          </cell>
          <cell r="B795" t="str">
            <v>RAJDEEP ELECTRONICS</v>
          </cell>
          <cell r="C795" t="str">
            <v>ADVAN</v>
          </cell>
          <cell r="D795">
            <v>4990</v>
          </cell>
          <cell r="E795">
            <v>4990</v>
          </cell>
          <cell r="F795">
            <v>0</v>
          </cell>
        </row>
        <row r="796">
          <cell r="A796" t="str">
            <v>GRAJG</v>
          </cell>
          <cell r="B796" t="str">
            <v>RAJEEV GULATI</v>
          </cell>
          <cell r="C796" t="str">
            <v>ADVAN</v>
          </cell>
          <cell r="D796">
            <v>13300</v>
          </cell>
          <cell r="E796">
            <v>13300</v>
          </cell>
          <cell r="F796">
            <v>0</v>
          </cell>
        </row>
        <row r="797">
          <cell r="A797" t="str">
            <v>GRAJN</v>
          </cell>
          <cell r="B797" t="str">
            <v>RAJENDER KUMAR</v>
          </cell>
          <cell r="C797" t="str">
            <v>ADVAN</v>
          </cell>
          <cell r="D797">
            <v>18500</v>
          </cell>
          <cell r="E797">
            <v>18500</v>
          </cell>
          <cell r="F797">
            <v>0</v>
          </cell>
        </row>
        <row r="798">
          <cell r="A798" t="str">
            <v>GRJTH</v>
          </cell>
          <cell r="B798" t="str">
            <v>RAJENDRA AMRITLAL THAKRAR HUF</v>
          </cell>
          <cell r="C798" t="str">
            <v>ADVAN</v>
          </cell>
          <cell r="D798">
            <v>55493</v>
          </cell>
          <cell r="E798">
            <v>55493</v>
          </cell>
          <cell r="F798">
            <v>0</v>
          </cell>
        </row>
        <row r="799">
          <cell r="A799" t="str">
            <v>GRAEL</v>
          </cell>
          <cell r="B799" t="str">
            <v>RAJENDRA ELECTRICALS</v>
          </cell>
          <cell r="C799" t="str">
            <v>ADVAN</v>
          </cell>
          <cell r="D799">
            <v>1875</v>
          </cell>
          <cell r="E799">
            <v>1875</v>
          </cell>
          <cell r="F799">
            <v>0</v>
          </cell>
        </row>
        <row r="800">
          <cell r="A800" t="str">
            <v>GRAJEL</v>
          </cell>
          <cell r="B800" t="str">
            <v>RAJENDRA ELECTRICALS</v>
          </cell>
          <cell r="C800" t="str">
            <v>ADVAN</v>
          </cell>
          <cell r="D800">
            <v>2464</v>
          </cell>
          <cell r="E800">
            <v>2464</v>
          </cell>
          <cell r="F800">
            <v>0</v>
          </cell>
        </row>
        <row r="801">
          <cell r="A801" t="str">
            <v>GRMAN</v>
          </cell>
          <cell r="B801" t="str">
            <v>RAJENDRA MANDANLAL GUGALE</v>
          </cell>
          <cell r="C801" t="str">
            <v>ADVAN</v>
          </cell>
          <cell r="D801">
            <v>374387</v>
          </cell>
          <cell r="E801">
            <v>374387</v>
          </cell>
          <cell r="F801">
            <v>0</v>
          </cell>
        </row>
        <row r="802">
          <cell r="A802" t="str">
            <v>GRJES</v>
          </cell>
          <cell r="B802" t="str">
            <v>RAJESH AGGARWAL</v>
          </cell>
          <cell r="C802" t="str">
            <v>ADVAN</v>
          </cell>
          <cell r="D802">
            <v>36720</v>
          </cell>
          <cell r="E802">
            <v>36720</v>
          </cell>
          <cell r="F802">
            <v>0</v>
          </cell>
        </row>
        <row r="803">
          <cell r="A803" t="str">
            <v>GRAJB</v>
          </cell>
          <cell r="B803" t="str">
            <v>RAJESH BATRA</v>
          </cell>
          <cell r="C803" t="str">
            <v>ADVAN</v>
          </cell>
          <cell r="D803">
            <v>75000</v>
          </cell>
          <cell r="E803">
            <v>75000</v>
          </cell>
          <cell r="F803">
            <v>0</v>
          </cell>
        </row>
        <row r="804">
          <cell r="A804" t="str">
            <v>GRAJW</v>
          </cell>
          <cell r="B804" t="str">
            <v>RAJESH GAWADE</v>
          </cell>
          <cell r="C804" t="str">
            <v>ADVAN</v>
          </cell>
          <cell r="D804">
            <v>7700</v>
          </cell>
          <cell r="E804">
            <v>7700</v>
          </cell>
          <cell r="F804">
            <v>0</v>
          </cell>
        </row>
        <row r="805">
          <cell r="A805" t="str">
            <v>GRAGU</v>
          </cell>
          <cell r="B805" t="str">
            <v>RAJIV GULATI</v>
          </cell>
          <cell r="C805" t="str">
            <v>ADVAN</v>
          </cell>
          <cell r="D805">
            <v>98</v>
          </cell>
          <cell r="E805">
            <v>98</v>
          </cell>
          <cell r="F805">
            <v>0</v>
          </cell>
        </row>
        <row r="806">
          <cell r="A806" t="str">
            <v>GIRAJI</v>
          </cell>
          <cell r="B806" t="str">
            <v>RAJIV RATTAN IMPREST A/C</v>
          </cell>
          <cell r="C806" t="str">
            <v>ADVAN</v>
          </cell>
          <cell r="D806">
            <v>91100</v>
          </cell>
          <cell r="E806">
            <v>91100</v>
          </cell>
          <cell r="F806">
            <v>0</v>
          </cell>
        </row>
        <row r="807">
          <cell r="A807" t="str">
            <v>GRATI</v>
          </cell>
          <cell r="B807" t="str">
            <v>RAJTILAK STATIONERS</v>
          </cell>
          <cell r="C807" t="str">
            <v>ADVAN</v>
          </cell>
          <cell r="D807">
            <v>23234</v>
          </cell>
          <cell r="E807">
            <v>23234</v>
          </cell>
          <cell r="F807">
            <v>0</v>
          </cell>
        </row>
        <row r="808">
          <cell r="A808" t="str">
            <v>GRAJZ</v>
          </cell>
          <cell r="B808" t="str">
            <v>RAJU SRIVASTAVA</v>
          </cell>
          <cell r="C808" t="str">
            <v>ADVAN</v>
          </cell>
          <cell r="D808">
            <v>8114</v>
          </cell>
          <cell r="E808">
            <v>8114</v>
          </cell>
          <cell r="F808">
            <v>0</v>
          </cell>
        </row>
        <row r="809">
          <cell r="A809" t="str">
            <v>GRKES</v>
          </cell>
          <cell r="B809" t="str">
            <v>RAKESH</v>
          </cell>
          <cell r="C809" t="str">
            <v>ADVAN</v>
          </cell>
          <cell r="D809">
            <v>500</v>
          </cell>
          <cell r="E809">
            <v>500</v>
          </cell>
          <cell r="F809">
            <v>0</v>
          </cell>
        </row>
        <row r="810">
          <cell r="A810" t="str">
            <v>GRAKE</v>
          </cell>
          <cell r="B810" t="str">
            <v>RAKESH GUPTA</v>
          </cell>
          <cell r="C810" t="str">
            <v>ADVAN</v>
          </cell>
          <cell r="D810">
            <v>77605</v>
          </cell>
          <cell r="E810">
            <v>77605</v>
          </cell>
          <cell r="F810">
            <v>0</v>
          </cell>
        </row>
        <row r="811">
          <cell r="A811" t="str">
            <v>GRARM</v>
          </cell>
          <cell r="B811" t="str">
            <v>RAKESH R. MEHTA</v>
          </cell>
          <cell r="C811" t="str">
            <v>ADVAN</v>
          </cell>
          <cell r="D811">
            <v>2805</v>
          </cell>
          <cell r="E811">
            <v>2805</v>
          </cell>
          <cell r="F811">
            <v>0</v>
          </cell>
        </row>
        <row r="812">
          <cell r="A812" t="str">
            <v>GRAKH</v>
          </cell>
          <cell r="B812" t="str">
            <v>RAKESH SOLANKI</v>
          </cell>
          <cell r="C812" t="str">
            <v>ADVAN</v>
          </cell>
          <cell r="D812">
            <v>10489</v>
          </cell>
          <cell r="E812">
            <v>10489</v>
          </cell>
          <cell r="F812">
            <v>0</v>
          </cell>
        </row>
        <row r="813">
          <cell r="A813" t="str">
            <v>GRAMIF</v>
          </cell>
          <cell r="B813" t="str">
            <v>RAM INFOTECH</v>
          </cell>
          <cell r="C813" t="str">
            <v>ADVAN</v>
          </cell>
          <cell r="D813">
            <v>80000</v>
          </cell>
          <cell r="E813">
            <v>80000</v>
          </cell>
          <cell r="F813">
            <v>0</v>
          </cell>
        </row>
        <row r="814">
          <cell r="A814" t="str">
            <v>GRAMK</v>
          </cell>
          <cell r="B814" t="str">
            <v>RAM KUMAR RANA</v>
          </cell>
          <cell r="C814" t="str">
            <v>ADVAN</v>
          </cell>
          <cell r="D814">
            <v>337700</v>
          </cell>
          <cell r="E814">
            <v>337700</v>
          </cell>
          <cell r="F814">
            <v>0</v>
          </cell>
        </row>
        <row r="815">
          <cell r="A815" t="str">
            <v>GRASA</v>
          </cell>
          <cell r="B815" t="str">
            <v>RAM SAGAR SINGH (IMPREST)</v>
          </cell>
          <cell r="C815" t="str">
            <v>ADVAN</v>
          </cell>
          <cell r="D815">
            <v>41685</v>
          </cell>
          <cell r="E815">
            <v>41685</v>
          </cell>
          <cell r="F815">
            <v>0</v>
          </cell>
        </row>
        <row r="816">
          <cell r="A816" t="str">
            <v>GRAMG</v>
          </cell>
          <cell r="B816" t="str">
            <v>RAMESH D. GUPTA</v>
          </cell>
          <cell r="C816" t="str">
            <v>ADVAN</v>
          </cell>
          <cell r="D816">
            <v>157822</v>
          </cell>
          <cell r="E816">
            <v>157822</v>
          </cell>
          <cell r="F816">
            <v>0</v>
          </cell>
        </row>
        <row r="817">
          <cell r="A817" t="str">
            <v>GRDEV</v>
          </cell>
          <cell r="B817" t="str">
            <v>RAMESH DEVJANI</v>
          </cell>
          <cell r="C817" t="str">
            <v>ADVAN</v>
          </cell>
          <cell r="D817">
            <v>90300</v>
          </cell>
          <cell r="E817">
            <v>90300</v>
          </cell>
          <cell r="F817">
            <v>0</v>
          </cell>
        </row>
        <row r="818">
          <cell r="A818" t="str">
            <v>GRAMV</v>
          </cell>
          <cell r="B818" t="str">
            <v>RAMVEL COMPUTERS &amp; ELECTRONICS</v>
          </cell>
          <cell r="C818" t="str">
            <v>ADVAN</v>
          </cell>
          <cell r="D818">
            <v>1500</v>
          </cell>
          <cell r="E818">
            <v>1500</v>
          </cell>
          <cell r="F818">
            <v>0</v>
          </cell>
        </row>
        <row r="819">
          <cell r="A819" t="str">
            <v>GRANE</v>
          </cell>
          <cell r="B819" t="str">
            <v>RANJAN ELECTRONICS</v>
          </cell>
          <cell r="C819" t="str">
            <v>ADVAN</v>
          </cell>
          <cell r="D819">
            <v>24115</v>
          </cell>
          <cell r="E819">
            <v>24115</v>
          </cell>
          <cell r="F819">
            <v>0</v>
          </cell>
        </row>
        <row r="820">
          <cell r="A820" t="str">
            <v>GRANJ</v>
          </cell>
          <cell r="B820" t="str">
            <v>RANJANA SINGHI</v>
          </cell>
          <cell r="C820" t="str">
            <v>ADVAN</v>
          </cell>
          <cell r="D820">
            <v>71114</v>
          </cell>
          <cell r="E820">
            <v>71114</v>
          </cell>
          <cell r="F820">
            <v>0</v>
          </cell>
        </row>
        <row r="821">
          <cell r="A821" t="str">
            <v>GRAO</v>
          </cell>
          <cell r="B821" t="str">
            <v>RAO ENTERPRIISES  STORE</v>
          </cell>
          <cell r="C821" t="str">
            <v>ADVAN</v>
          </cell>
          <cell r="D821">
            <v>7250</v>
          </cell>
          <cell r="E821">
            <v>7250</v>
          </cell>
          <cell r="F821">
            <v>0</v>
          </cell>
        </row>
        <row r="822">
          <cell r="A822" t="str">
            <v>GRAPI</v>
          </cell>
          <cell r="B822" t="str">
            <v>RAPID COMPUTER SERVICES</v>
          </cell>
          <cell r="C822" t="str">
            <v>ADVAN</v>
          </cell>
          <cell r="D822">
            <v>40600</v>
          </cell>
          <cell r="E822">
            <v>40600</v>
          </cell>
          <cell r="F822">
            <v>0</v>
          </cell>
        </row>
        <row r="823">
          <cell r="A823" t="str">
            <v>GRATA</v>
          </cell>
          <cell r="B823" t="str">
            <v>RATAN LAL GARG</v>
          </cell>
          <cell r="C823" t="str">
            <v>ADVAN</v>
          </cell>
          <cell r="D823">
            <v>18500</v>
          </cell>
          <cell r="E823">
            <v>18500</v>
          </cell>
          <cell r="F823">
            <v>0</v>
          </cell>
        </row>
        <row r="824">
          <cell r="A824" t="str">
            <v>GRAVT</v>
          </cell>
          <cell r="B824" t="str">
            <v>RAVI INTERIOR WORK</v>
          </cell>
          <cell r="C824" t="str">
            <v>ADVAN</v>
          </cell>
          <cell r="D824">
            <v>31621</v>
          </cell>
          <cell r="E824">
            <v>31621</v>
          </cell>
          <cell r="F824">
            <v>0</v>
          </cell>
        </row>
        <row r="825">
          <cell r="A825" t="str">
            <v>GRAYM</v>
          </cell>
          <cell r="B825" t="str">
            <v>RAYMAL K RABARI</v>
          </cell>
          <cell r="C825" t="str">
            <v>ADVAN</v>
          </cell>
          <cell r="D825">
            <v>3938</v>
          </cell>
          <cell r="E825">
            <v>3938</v>
          </cell>
          <cell r="F825">
            <v>0</v>
          </cell>
        </row>
        <row r="826">
          <cell r="A826" t="str">
            <v>GREGA</v>
          </cell>
          <cell r="B826" t="str">
            <v>REGAL ELECTRONICS</v>
          </cell>
          <cell r="C826" t="str">
            <v>ADVAN</v>
          </cell>
          <cell r="D826">
            <v>7400</v>
          </cell>
          <cell r="E826">
            <v>7400</v>
          </cell>
          <cell r="F826">
            <v>0</v>
          </cell>
        </row>
        <row r="827">
          <cell r="A827" t="str">
            <v>GRELW</v>
          </cell>
          <cell r="B827" t="str">
            <v>RELAINCE WEB STORE LTD</v>
          </cell>
          <cell r="C827" t="str">
            <v>ADVAN</v>
          </cell>
          <cell r="D827">
            <v>1999</v>
          </cell>
          <cell r="E827">
            <v>1999</v>
          </cell>
          <cell r="F827">
            <v>0</v>
          </cell>
        </row>
        <row r="828">
          <cell r="A828" t="str">
            <v>GRELI</v>
          </cell>
          <cell r="B828" t="str">
            <v>RELIABLE SOFTWARE SYSTEM PVT. LTD.</v>
          </cell>
          <cell r="C828" t="str">
            <v>ADVAN</v>
          </cell>
          <cell r="D828">
            <v>14244</v>
          </cell>
          <cell r="E828">
            <v>14244</v>
          </cell>
          <cell r="F828">
            <v>0</v>
          </cell>
        </row>
        <row r="829">
          <cell r="A829" t="str">
            <v>GRELB</v>
          </cell>
          <cell r="B829" t="str">
            <v>RELIANCE BO</v>
          </cell>
          <cell r="C829" t="str">
            <v>ADVAN</v>
          </cell>
          <cell r="D829">
            <v>1921</v>
          </cell>
          <cell r="E829">
            <v>1921</v>
          </cell>
          <cell r="F829">
            <v>0</v>
          </cell>
        </row>
        <row r="830">
          <cell r="A830" t="str">
            <v>GRAPT</v>
          </cell>
          <cell r="B830" t="str">
            <v>REMESH PATEL</v>
          </cell>
          <cell r="C830" t="str">
            <v>ADVAN</v>
          </cell>
          <cell r="D830">
            <v>2723</v>
          </cell>
          <cell r="E830">
            <v>2723</v>
          </cell>
          <cell r="F830">
            <v>0</v>
          </cell>
        </row>
        <row r="831">
          <cell r="A831" t="str">
            <v>GRESH</v>
          </cell>
          <cell r="B831" t="str">
            <v>RESHMA SUSHIL MUTHIYAN</v>
          </cell>
          <cell r="C831" t="str">
            <v>ADVAN</v>
          </cell>
          <cell r="D831">
            <v>20444</v>
          </cell>
          <cell r="E831">
            <v>20444</v>
          </cell>
          <cell r="F831">
            <v>0</v>
          </cell>
        </row>
        <row r="832">
          <cell r="A832" t="str">
            <v>GREVA</v>
          </cell>
          <cell r="B832" t="str">
            <v>REVANKAR ELECTRICALS</v>
          </cell>
          <cell r="C832" t="str">
            <v>ADVAN</v>
          </cell>
          <cell r="D832">
            <v>1750</v>
          </cell>
          <cell r="E832">
            <v>1750</v>
          </cell>
          <cell r="F832">
            <v>0</v>
          </cell>
        </row>
        <row r="833">
          <cell r="A833" t="str">
            <v>GRHYT</v>
          </cell>
          <cell r="B833" t="str">
            <v>RHYTHM HOUSE</v>
          </cell>
          <cell r="C833" t="str">
            <v>ADVAN</v>
          </cell>
          <cell r="D833">
            <v>37200</v>
          </cell>
          <cell r="E833">
            <v>37200</v>
          </cell>
          <cell r="F833">
            <v>0</v>
          </cell>
        </row>
        <row r="834">
          <cell r="A834" t="str">
            <v>GRIGR</v>
          </cell>
          <cell r="B834" t="str">
            <v>RIGHT RESOURCES</v>
          </cell>
          <cell r="C834" t="str">
            <v>ADVAN</v>
          </cell>
          <cell r="D834">
            <v>2872</v>
          </cell>
          <cell r="E834">
            <v>2872</v>
          </cell>
          <cell r="F834">
            <v>0</v>
          </cell>
        </row>
        <row r="835">
          <cell r="A835" t="str">
            <v>GRKAP</v>
          </cell>
          <cell r="B835" t="str">
            <v>RISHI KAPOOR</v>
          </cell>
          <cell r="C835" t="str">
            <v>ADVAN</v>
          </cell>
          <cell r="D835">
            <v>48966</v>
          </cell>
          <cell r="E835">
            <v>48966</v>
          </cell>
          <cell r="F835">
            <v>0</v>
          </cell>
        </row>
        <row r="836">
          <cell r="A836" t="str">
            <v>GRIYA</v>
          </cell>
          <cell r="B836" t="str">
            <v>RIYA TRAVELS</v>
          </cell>
          <cell r="C836" t="str">
            <v>ADVAN</v>
          </cell>
          <cell r="D836">
            <v>16000</v>
          </cell>
          <cell r="E836">
            <v>16000</v>
          </cell>
          <cell r="F836">
            <v>0</v>
          </cell>
        </row>
        <row r="837">
          <cell r="A837" t="str">
            <v>GROHH</v>
          </cell>
          <cell r="B837" t="str">
            <v>ROHIT HARISHCHANDRA</v>
          </cell>
          <cell r="C837" t="str">
            <v>ADVAN</v>
          </cell>
          <cell r="D837">
            <v>19865</v>
          </cell>
          <cell r="E837">
            <v>19865</v>
          </cell>
          <cell r="F837">
            <v>0</v>
          </cell>
        </row>
        <row r="838">
          <cell r="A838" t="str">
            <v>GRSDU</v>
          </cell>
          <cell r="B838" t="str">
            <v>RSD UPPAL IMPEREST A/C</v>
          </cell>
          <cell r="C838" t="str">
            <v>ADVAN</v>
          </cell>
          <cell r="D838">
            <v>6006</v>
          </cell>
          <cell r="E838">
            <v>6006</v>
          </cell>
          <cell r="F838">
            <v>0</v>
          </cell>
        </row>
        <row r="839">
          <cell r="A839" t="str">
            <v>GRUBY</v>
          </cell>
          <cell r="B839" t="str">
            <v>RUBY KIRTIBHAI PATEL</v>
          </cell>
          <cell r="C839" t="str">
            <v>ADVAN</v>
          </cell>
          <cell r="D839">
            <v>179824</v>
          </cell>
          <cell r="E839">
            <v>179824</v>
          </cell>
          <cell r="F839">
            <v>0</v>
          </cell>
        </row>
        <row r="840">
          <cell r="A840" t="str">
            <v>GRUJU</v>
          </cell>
          <cell r="B840" t="str">
            <v>RUJUTA JATIN SHAH</v>
          </cell>
          <cell r="C840" t="str">
            <v>ADVAN</v>
          </cell>
          <cell r="D840">
            <v>71675</v>
          </cell>
          <cell r="E840">
            <v>71675</v>
          </cell>
          <cell r="F840">
            <v>0</v>
          </cell>
        </row>
        <row r="841">
          <cell r="A841" t="str">
            <v>GSSEL</v>
          </cell>
          <cell r="B841" t="str">
            <v>S S ELECTRICALS</v>
          </cell>
          <cell r="C841" t="str">
            <v>ADVAN</v>
          </cell>
          <cell r="D841">
            <v>21888</v>
          </cell>
          <cell r="E841">
            <v>21888</v>
          </cell>
          <cell r="F841">
            <v>0</v>
          </cell>
        </row>
        <row r="842">
          <cell r="A842" t="str">
            <v>GSTPR</v>
          </cell>
          <cell r="B842" t="str">
            <v>S T PRASAD</v>
          </cell>
          <cell r="C842" t="str">
            <v>ADVAN</v>
          </cell>
          <cell r="D842">
            <v>76521</v>
          </cell>
          <cell r="E842">
            <v>76521</v>
          </cell>
          <cell r="F842">
            <v>0</v>
          </cell>
        </row>
        <row r="843">
          <cell r="A843" t="str">
            <v>GSAZA</v>
          </cell>
          <cell r="B843" t="str">
            <v>S. AZAGAPPAN</v>
          </cell>
          <cell r="C843" t="str">
            <v>ADVAN</v>
          </cell>
          <cell r="D843">
            <v>3548</v>
          </cell>
          <cell r="E843">
            <v>3548</v>
          </cell>
          <cell r="F843">
            <v>0</v>
          </cell>
        </row>
        <row r="844">
          <cell r="A844" t="str">
            <v>GSKDE</v>
          </cell>
          <cell r="B844" t="str">
            <v>S. KUMAR DECOR</v>
          </cell>
          <cell r="C844" t="str">
            <v>ADVAN</v>
          </cell>
          <cell r="D844">
            <v>68000</v>
          </cell>
          <cell r="E844">
            <v>68000</v>
          </cell>
          <cell r="F844">
            <v>0</v>
          </cell>
        </row>
        <row r="845">
          <cell r="A845" t="str">
            <v>GSGTR</v>
          </cell>
          <cell r="B845" t="str">
            <v>S.G.TRADERS</v>
          </cell>
          <cell r="C845" t="str">
            <v>ADVAN</v>
          </cell>
          <cell r="D845">
            <v>12426</v>
          </cell>
          <cell r="E845">
            <v>12426</v>
          </cell>
          <cell r="F845">
            <v>0</v>
          </cell>
        </row>
        <row r="846">
          <cell r="A846" t="str">
            <v>GSPIN</v>
          </cell>
          <cell r="B846" t="str">
            <v>S.P. INFOCOM</v>
          </cell>
          <cell r="C846" t="str">
            <v>ADVAN</v>
          </cell>
          <cell r="D846">
            <v>10132</v>
          </cell>
          <cell r="E846">
            <v>10132</v>
          </cell>
          <cell r="F846">
            <v>0</v>
          </cell>
        </row>
        <row r="847">
          <cell r="A847" t="str">
            <v>GSABI</v>
          </cell>
          <cell r="B847" t="str">
            <v>SABINA MOHMADSALIM DHOLIA</v>
          </cell>
          <cell r="C847" t="str">
            <v>ADVAN</v>
          </cell>
          <cell r="D847">
            <v>22299</v>
          </cell>
          <cell r="E847">
            <v>22299</v>
          </cell>
          <cell r="F847">
            <v>0</v>
          </cell>
        </row>
        <row r="848">
          <cell r="A848" t="str">
            <v>GSCHE</v>
          </cell>
          <cell r="B848" t="str">
            <v>SACHDEVA ELECTRONICS PVT. LTD.</v>
          </cell>
          <cell r="C848" t="str">
            <v>ADVAN</v>
          </cell>
          <cell r="D848">
            <v>7800</v>
          </cell>
          <cell r="E848">
            <v>7800</v>
          </cell>
          <cell r="F848">
            <v>0</v>
          </cell>
        </row>
        <row r="849">
          <cell r="A849" t="str">
            <v>GSADK</v>
          </cell>
          <cell r="B849" t="str">
            <v>SADHNA KANJANI</v>
          </cell>
          <cell r="C849" t="str">
            <v>ADVAN</v>
          </cell>
          <cell r="D849">
            <v>114146</v>
          </cell>
          <cell r="E849">
            <v>114146</v>
          </cell>
          <cell r="F849">
            <v>0</v>
          </cell>
        </row>
        <row r="850">
          <cell r="A850" t="str">
            <v>GSAFE</v>
          </cell>
          <cell r="B850" t="str">
            <v>SAFE POWER TECHNOLOGIES (P) LTD.</v>
          </cell>
          <cell r="C850" t="str">
            <v>ADVAN</v>
          </cell>
          <cell r="D850">
            <v>19500</v>
          </cell>
          <cell r="E850">
            <v>19500</v>
          </cell>
          <cell r="F850">
            <v>0</v>
          </cell>
        </row>
        <row r="851">
          <cell r="A851" t="str">
            <v>GSAFI</v>
          </cell>
          <cell r="B851" t="str">
            <v>SAFIYA MOHMADRAFIQ DHOLIA</v>
          </cell>
          <cell r="C851" t="str">
            <v>ADVAN</v>
          </cell>
          <cell r="D851">
            <v>16533</v>
          </cell>
          <cell r="E851">
            <v>16533</v>
          </cell>
          <cell r="F851">
            <v>0</v>
          </cell>
        </row>
        <row r="852">
          <cell r="A852" t="str">
            <v>GSAHN</v>
          </cell>
          <cell r="B852" t="str">
            <v>SAHANI ELECTRICALS</v>
          </cell>
          <cell r="C852" t="str">
            <v>ADVAN</v>
          </cell>
          <cell r="D852">
            <v>20000</v>
          </cell>
          <cell r="E852">
            <v>20000</v>
          </cell>
          <cell r="F852">
            <v>0</v>
          </cell>
        </row>
        <row r="853">
          <cell r="A853" t="str">
            <v>GSAHE</v>
          </cell>
          <cell r="B853" t="str">
            <v>SAHEDA BANU MOHMADKASIM DHOLIA</v>
          </cell>
          <cell r="C853" t="str">
            <v>ADVAN</v>
          </cell>
          <cell r="D853">
            <v>17799</v>
          </cell>
          <cell r="E853">
            <v>17799</v>
          </cell>
          <cell r="F853">
            <v>0</v>
          </cell>
        </row>
        <row r="854">
          <cell r="A854" t="str">
            <v>GSABR</v>
          </cell>
          <cell r="B854" t="str">
            <v>SAHNI BROTHERS</v>
          </cell>
          <cell r="C854" t="str">
            <v>ADVAN</v>
          </cell>
          <cell r="D854">
            <v>1500</v>
          </cell>
          <cell r="E854">
            <v>1500</v>
          </cell>
          <cell r="F854">
            <v>0</v>
          </cell>
        </row>
        <row r="855">
          <cell r="A855" t="str">
            <v>GSAIA</v>
          </cell>
          <cell r="B855" t="str">
            <v>SAI AIRCON</v>
          </cell>
          <cell r="C855" t="str">
            <v>ADVAN</v>
          </cell>
          <cell r="D855">
            <v>291867</v>
          </cell>
          <cell r="E855">
            <v>291867</v>
          </cell>
          <cell r="F855">
            <v>0</v>
          </cell>
        </row>
        <row r="856">
          <cell r="A856" t="str">
            <v>GSAEN</v>
          </cell>
          <cell r="B856" t="str">
            <v>SAI ENTERPRISES</v>
          </cell>
          <cell r="C856" t="str">
            <v>ADVAN</v>
          </cell>
          <cell r="D856">
            <v>100</v>
          </cell>
          <cell r="E856">
            <v>100</v>
          </cell>
          <cell r="F856">
            <v>0</v>
          </cell>
        </row>
        <row r="857">
          <cell r="A857" t="str">
            <v>GSAIS</v>
          </cell>
          <cell r="B857" t="str">
            <v>SAICON SALES</v>
          </cell>
          <cell r="C857" t="str">
            <v>ADVAN</v>
          </cell>
          <cell r="D857">
            <v>14824</v>
          </cell>
          <cell r="E857">
            <v>14824</v>
          </cell>
          <cell r="F857">
            <v>0</v>
          </cell>
        </row>
        <row r="858">
          <cell r="A858" t="str">
            <v>GSAIG</v>
          </cell>
          <cell r="B858" t="str">
            <v>SAIGANESH COMPUTERS</v>
          </cell>
          <cell r="C858" t="str">
            <v>ADVAN</v>
          </cell>
          <cell r="D858">
            <v>20413</v>
          </cell>
          <cell r="E858">
            <v>20413</v>
          </cell>
          <cell r="F858">
            <v>0</v>
          </cell>
        </row>
        <row r="859">
          <cell r="A859" t="str">
            <v>GSALR</v>
          </cell>
          <cell r="B859" t="str">
            <v>SALIG RAM JIWAN LAL &amp; CO.</v>
          </cell>
          <cell r="C859" t="str">
            <v>ADVAN</v>
          </cell>
          <cell r="D859">
            <v>5500</v>
          </cell>
          <cell r="E859">
            <v>5500</v>
          </cell>
          <cell r="F859">
            <v>0</v>
          </cell>
        </row>
        <row r="860">
          <cell r="A860" t="str">
            <v>GSABH</v>
          </cell>
          <cell r="B860" t="str">
            <v>SAMATBHAI MAKWANA</v>
          </cell>
          <cell r="C860" t="str">
            <v>ADVAN</v>
          </cell>
          <cell r="D860">
            <v>13104</v>
          </cell>
          <cell r="E860">
            <v>13104</v>
          </cell>
          <cell r="F860">
            <v>0</v>
          </cell>
        </row>
        <row r="861">
          <cell r="A861" t="str">
            <v>GSAMB</v>
          </cell>
          <cell r="B861" t="str">
            <v>SAMBHAV ENTERPRISES</v>
          </cell>
          <cell r="C861" t="str">
            <v>ADVAN</v>
          </cell>
          <cell r="D861">
            <v>15400</v>
          </cell>
          <cell r="E861">
            <v>15400</v>
          </cell>
          <cell r="F861">
            <v>0</v>
          </cell>
        </row>
        <row r="862">
          <cell r="A862" t="str">
            <v>GISAME</v>
          </cell>
          <cell r="B862" t="str">
            <v>SAMEER GEHLAUT IMPREST A/C</v>
          </cell>
          <cell r="C862" t="str">
            <v>ADVAN</v>
          </cell>
          <cell r="D862">
            <v>91100</v>
          </cell>
          <cell r="E862">
            <v>91100</v>
          </cell>
          <cell r="F862">
            <v>0</v>
          </cell>
        </row>
        <row r="863">
          <cell r="A863" t="str">
            <v>GSTIW</v>
          </cell>
          <cell r="B863" t="str">
            <v>SAMIT TIWARI</v>
          </cell>
          <cell r="C863" t="str">
            <v>ADVAN</v>
          </cell>
          <cell r="D863">
            <v>2651</v>
          </cell>
          <cell r="E863">
            <v>2651</v>
          </cell>
          <cell r="F863">
            <v>0</v>
          </cell>
        </row>
        <row r="864">
          <cell r="A864" t="str">
            <v>GSAME</v>
          </cell>
          <cell r="B864" t="str">
            <v>SAMRAT ELECTRONICS &amp; TECHNOLOGY</v>
          </cell>
          <cell r="C864" t="str">
            <v>ADVAN</v>
          </cell>
          <cell r="D864">
            <v>9450</v>
          </cell>
          <cell r="E864">
            <v>9450</v>
          </cell>
          <cell r="F864">
            <v>0</v>
          </cell>
        </row>
        <row r="865">
          <cell r="A865" t="str">
            <v>GSACO</v>
          </cell>
          <cell r="B865" t="str">
            <v>SAN COMPUTEK</v>
          </cell>
          <cell r="C865" t="str">
            <v>ADVAN</v>
          </cell>
          <cell r="D865">
            <v>128475</v>
          </cell>
          <cell r="E865">
            <v>128475</v>
          </cell>
          <cell r="F865">
            <v>0</v>
          </cell>
        </row>
        <row r="866">
          <cell r="A866" t="str">
            <v>GSANCH</v>
          </cell>
          <cell r="B866" t="str">
            <v>SANDEEP CHAUGULE</v>
          </cell>
          <cell r="C866" t="str">
            <v>ADVAN</v>
          </cell>
          <cell r="D866">
            <v>1262</v>
          </cell>
          <cell r="E866">
            <v>1262</v>
          </cell>
          <cell r="F866">
            <v>0</v>
          </cell>
        </row>
        <row r="867">
          <cell r="A867" t="str">
            <v>GSMAN</v>
          </cell>
          <cell r="B867" t="str">
            <v>SANGAM MACHINERY STORE</v>
          </cell>
          <cell r="C867" t="str">
            <v>ADVAN</v>
          </cell>
          <cell r="D867">
            <v>39100</v>
          </cell>
          <cell r="E867">
            <v>39100</v>
          </cell>
          <cell r="F867">
            <v>0</v>
          </cell>
        </row>
        <row r="868">
          <cell r="A868" t="str">
            <v>GLSAN</v>
          </cell>
          <cell r="B868" t="str">
            <v>SANJAY KUMAR TALREJA LOAN A/C</v>
          </cell>
          <cell r="C868" t="str">
            <v>ADVAN</v>
          </cell>
          <cell r="D868">
            <v>11000</v>
          </cell>
          <cell r="E868">
            <v>11000</v>
          </cell>
          <cell r="F868">
            <v>0</v>
          </cell>
        </row>
        <row r="869">
          <cell r="A869" t="str">
            <v>GSANJE</v>
          </cell>
          <cell r="B869" t="str">
            <v>SANJEEV KUMAR</v>
          </cell>
          <cell r="C869" t="str">
            <v>ADVAN</v>
          </cell>
          <cell r="D869">
            <v>3672</v>
          </cell>
          <cell r="E869">
            <v>3672</v>
          </cell>
          <cell r="F869">
            <v>0</v>
          </cell>
        </row>
        <row r="870">
          <cell r="A870" t="str">
            <v>GLSAJ</v>
          </cell>
          <cell r="B870" t="str">
            <v>SANJEEV RANJAN - LOAN A/C</v>
          </cell>
          <cell r="C870" t="str">
            <v>ADVAN</v>
          </cell>
          <cell r="D870">
            <v>92000</v>
          </cell>
          <cell r="E870">
            <v>92000</v>
          </cell>
          <cell r="F870">
            <v>0</v>
          </cell>
        </row>
        <row r="871">
          <cell r="A871" t="str">
            <v>GSANTO</v>
          </cell>
          <cell r="B871" t="str">
            <v>SANTOSH ELECTRIC WORKS</v>
          </cell>
          <cell r="C871" t="str">
            <v>ADVAN</v>
          </cell>
          <cell r="D871">
            <v>24388</v>
          </cell>
          <cell r="E871">
            <v>24388</v>
          </cell>
          <cell r="F871">
            <v>0</v>
          </cell>
        </row>
        <row r="872">
          <cell r="A872" t="str">
            <v>GSAPP</v>
          </cell>
          <cell r="B872" t="str">
            <v>SAPPHIRE INFOMATIQUE</v>
          </cell>
          <cell r="C872" t="str">
            <v>ADVAN</v>
          </cell>
          <cell r="D872">
            <v>25140</v>
          </cell>
          <cell r="E872">
            <v>25140</v>
          </cell>
          <cell r="F872">
            <v>0</v>
          </cell>
        </row>
        <row r="873">
          <cell r="A873" t="str">
            <v>GSARA</v>
          </cell>
          <cell r="B873" t="str">
            <v>SARASWATI COMPUTER'S</v>
          </cell>
          <cell r="C873" t="str">
            <v>ADVAN</v>
          </cell>
          <cell r="D873">
            <v>1242</v>
          </cell>
          <cell r="E873">
            <v>1242</v>
          </cell>
          <cell r="F873">
            <v>0</v>
          </cell>
        </row>
        <row r="874">
          <cell r="A874" t="str">
            <v>GSCAD</v>
          </cell>
          <cell r="B874" t="str">
            <v>SAROSH CONSTRUCTION &amp; DEVELOPERS</v>
          </cell>
          <cell r="C874" t="str">
            <v>ADVAN</v>
          </cell>
          <cell r="D874">
            <v>80049</v>
          </cell>
          <cell r="E874">
            <v>80049</v>
          </cell>
          <cell r="F874">
            <v>0</v>
          </cell>
        </row>
        <row r="875">
          <cell r="A875" t="str">
            <v>GSTEJ</v>
          </cell>
          <cell r="B875" t="str">
            <v>SATEJ ADVERTISING</v>
          </cell>
          <cell r="C875" t="str">
            <v>ADVAN</v>
          </cell>
          <cell r="D875">
            <v>16821</v>
          </cell>
          <cell r="E875">
            <v>16821</v>
          </cell>
          <cell r="F875">
            <v>0</v>
          </cell>
        </row>
        <row r="876">
          <cell r="A876" t="str">
            <v>GSAKM</v>
          </cell>
          <cell r="B876" t="str">
            <v>SATISH KUMAR MISHRA</v>
          </cell>
          <cell r="C876" t="str">
            <v>ADVAN</v>
          </cell>
          <cell r="D876">
            <v>1032</v>
          </cell>
          <cell r="E876">
            <v>1032</v>
          </cell>
          <cell r="F876">
            <v>0</v>
          </cell>
        </row>
        <row r="877">
          <cell r="A877" t="str">
            <v>GSATA</v>
          </cell>
          <cell r="B877" t="str">
            <v>SATPAL SINGH SETHI &amp; ASSOCIATES</v>
          </cell>
          <cell r="C877" t="str">
            <v>ADVAN</v>
          </cell>
          <cell r="D877">
            <v>263970</v>
          </cell>
          <cell r="E877">
            <v>263970</v>
          </cell>
          <cell r="F877">
            <v>0</v>
          </cell>
        </row>
        <row r="878">
          <cell r="A878" t="str">
            <v>GSAVT</v>
          </cell>
          <cell r="B878" t="str">
            <v>SAVI TECHNOLOGY</v>
          </cell>
          <cell r="C878" t="str">
            <v>ADVAN</v>
          </cell>
          <cell r="D878">
            <v>50562.5</v>
          </cell>
          <cell r="E878">
            <v>50562.5</v>
          </cell>
          <cell r="F878">
            <v>0</v>
          </cell>
        </row>
        <row r="879">
          <cell r="A879" t="str">
            <v>GSAVI</v>
          </cell>
          <cell r="B879" t="str">
            <v>SAVITA AGARWAL</v>
          </cell>
          <cell r="C879" t="str">
            <v>ADVAN</v>
          </cell>
          <cell r="D879">
            <v>28380</v>
          </cell>
          <cell r="E879">
            <v>28380</v>
          </cell>
          <cell r="F879">
            <v>0</v>
          </cell>
        </row>
        <row r="880">
          <cell r="A880" t="str">
            <v>GSAWA</v>
          </cell>
          <cell r="B880" t="str">
            <v>SAWAN AIRCON</v>
          </cell>
          <cell r="C880" t="str">
            <v>ADVAN</v>
          </cell>
          <cell r="D880">
            <v>63000</v>
          </cell>
          <cell r="E880">
            <v>63000</v>
          </cell>
          <cell r="F880">
            <v>0</v>
          </cell>
        </row>
        <row r="881">
          <cell r="A881" t="str">
            <v>GSDSS</v>
          </cell>
          <cell r="B881" t="str">
            <v>SDS SALES PRIVATE LIMITED</v>
          </cell>
          <cell r="C881" t="str">
            <v>ADVAN</v>
          </cell>
          <cell r="D881">
            <v>495</v>
          </cell>
          <cell r="E881">
            <v>495</v>
          </cell>
          <cell r="F881">
            <v>0</v>
          </cell>
        </row>
        <row r="882">
          <cell r="A882" t="str">
            <v>GSEEM</v>
          </cell>
          <cell r="B882" t="str">
            <v>SEEMA PRAKASH JAIN</v>
          </cell>
          <cell r="C882" t="str">
            <v>ADVAN</v>
          </cell>
          <cell r="D882">
            <v>117595</v>
          </cell>
          <cell r="E882">
            <v>117595</v>
          </cell>
          <cell r="F882">
            <v>0</v>
          </cell>
        </row>
        <row r="883">
          <cell r="A883" t="str">
            <v>GSELV</v>
          </cell>
          <cell r="B883" t="str">
            <v>SELVEL ADVERTISING PRIVATE LIMITED</v>
          </cell>
          <cell r="C883" t="str">
            <v>ADVAN</v>
          </cell>
          <cell r="D883">
            <v>9505</v>
          </cell>
          <cell r="E883">
            <v>9505</v>
          </cell>
          <cell r="F883">
            <v>0</v>
          </cell>
        </row>
        <row r="884">
          <cell r="A884" t="str">
            <v>GSERVI</v>
          </cell>
          <cell r="B884" t="str">
            <v>SERVICOS DE RADIO MUNDIAL</v>
          </cell>
          <cell r="C884" t="str">
            <v>ADVAN</v>
          </cell>
          <cell r="D884">
            <v>6490</v>
          </cell>
          <cell r="E884">
            <v>6490</v>
          </cell>
          <cell r="F884">
            <v>0</v>
          </cell>
        </row>
        <row r="885">
          <cell r="A885" t="str">
            <v>GSETH</v>
          </cell>
          <cell r="B885" t="str">
            <v>SETH SERVICES</v>
          </cell>
          <cell r="C885" t="str">
            <v>ADVAN</v>
          </cell>
          <cell r="D885">
            <v>5506.25</v>
          </cell>
          <cell r="E885">
            <v>5506.25</v>
          </cell>
          <cell r="F885">
            <v>0</v>
          </cell>
        </row>
        <row r="886">
          <cell r="A886" t="str">
            <v>GSETE</v>
          </cell>
          <cell r="B886" t="str">
            <v>SETHI ELECTROSTAT</v>
          </cell>
          <cell r="C886" t="str">
            <v>ADVAN</v>
          </cell>
          <cell r="D886">
            <v>5323</v>
          </cell>
          <cell r="E886">
            <v>5323</v>
          </cell>
          <cell r="F886">
            <v>0</v>
          </cell>
        </row>
        <row r="887">
          <cell r="A887" t="str">
            <v>GSEVE</v>
          </cell>
          <cell r="B887" t="str">
            <v>SEVEN HILLS AGENCIES</v>
          </cell>
          <cell r="C887" t="str">
            <v>ADVAN</v>
          </cell>
          <cell r="D887">
            <v>7293</v>
          </cell>
          <cell r="E887">
            <v>7293</v>
          </cell>
          <cell r="F887">
            <v>0</v>
          </cell>
        </row>
        <row r="888">
          <cell r="A888" t="str">
            <v>GSEVN</v>
          </cell>
          <cell r="B888" t="str">
            <v>SEVEN SEAS EXPRESS</v>
          </cell>
          <cell r="C888" t="str">
            <v>ADVAN</v>
          </cell>
          <cell r="D888">
            <v>13449</v>
          </cell>
          <cell r="E888">
            <v>13449</v>
          </cell>
          <cell r="F888">
            <v>0</v>
          </cell>
        </row>
        <row r="889">
          <cell r="A889" t="str">
            <v>GSHAI</v>
          </cell>
          <cell r="B889" t="str">
            <v>SHAIL AGARWAL</v>
          </cell>
          <cell r="C889" t="str">
            <v>ADVAN</v>
          </cell>
          <cell r="D889">
            <v>14000</v>
          </cell>
          <cell r="E889">
            <v>14000</v>
          </cell>
          <cell r="F889">
            <v>0</v>
          </cell>
        </row>
        <row r="890">
          <cell r="A890" t="str">
            <v>GASA</v>
          </cell>
          <cell r="B890" t="str">
            <v>SHAKTI APPLIANCES</v>
          </cell>
          <cell r="C890" t="str">
            <v>ADVAN</v>
          </cell>
          <cell r="D890">
            <v>8150</v>
          </cell>
          <cell r="E890">
            <v>8150</v>
          </cell>
          <cell r="F890">
            <v>0</v>
          </cell>
        </row>
        <row r="891">
          <cell r="A891" t="str">
            <v>GSHAC</v>
          </cell>
          <cell r="B891" t="str">
            <v>SHAKTI COPY CENTRE</v>
          </cell>
          <cell r="C891" t="str">
            <v>ADVAN</v>
          </cell>
          <cell r="D891">
            <v>55</v>
          </cell>
          <cell r="E891">
            <v>55</v>
          </cell>
          <cell r="F891">
            <v>0</v>
          </cell>
        </row>
        <row r="892">
          <cell r="A892" t="str">
            <v>GSHBS</v>
          </cell>
          <cell r="B892" t="str">
            <v>SHALINI BAJIRAO SAWANT</v>
          </cell>
          <cell r="C892" t="str">
            <v>ADVAN</v>
          </cell>
          <cell r="D892">
            <v>81408</v>
          </cell>
          <cell r="E892">
            <v>81408</v>
          </cell>
          <cell r="F892">
            <v>0</v>
          </cell>
        </row>
        <row r="893">
          <cell r="A893" t="str">
            <v>GSHAO</v>
          </cell>
          <cell r="B893" t="str">
            <v>SHALOM SEATING SYSTEM</v>
          </cell>
          <cell r="C893" t="str">
            <v>ADVAN</v>
          </cell>
          <cell r="D893">
            <v>61594</v>
          </cell>
          <cell r="E893">
            <v>61594</v>
          </cell>
          <cell r="F893">
            <v>0</v>
          </cell>
        </row>
        <row r="894">
          <cell r="A894" t="str">
            <v>GSHCB</v>
          </cell>
          <cell r="B894" t="str">
            <v>SHANKAR C BHOIR</v>
          </cell>
          <cell r="C894" t="str">
            <v>ADVAN</v>
          </cell>
          <cell r="D894">
            <v>785</v>
          </cell>
          <cell r="E894">
            <v>785</v>
          </cell>
          <cell r="F894">
            <v>0</v>
          </cell>
        </row>
        <row r="895">
          <cell r="A895" t="str">
            <v>GSNCI</v>
          </cell>
          <cell r="B895" t="str">
            <v>SHANTI CARPET INDUSTRIES</v>
          </cell>
          <cell r="C895" t="str">
            <v>ADVAN</v>
          </cell>
          <cell r="D895">
            <v>91257</v>
          </cell>
          <cell r="E895">
            <v>91257</v>
          </cell>
          <cell r="F895">
            <v>0</v>
          </cell>
        </row>
        <row r="896">
          <cell r="A896" t="str">
            <v>GSTEA</v>
          </cell>
          <cell r="B896" t="str">
            <v>SHANTI TEA STALL</v>
          </cell>
          <cell r="C896" t="str">
            <v>ADVAN</v>
          </cell>
          <cell r="D896">
            <v>4100</v>
          </cell>
          <cell r="E896">
            <v>4100</v>
          </cell>
          <cell r="F896">
            <v>0</v>
          </cell>
        </row>
        <row r="897">
          <cell r="A897" t="str">
            <v>GSHAN</v>
          </cell>
          <cell r="B897" t="str">
            <v>SHANTILAL BABUBHAI SURATWALA</v>
          </cell>
          <cell r="C897" t="str">
            <v>ADVAN</v>
          </cell>
          <cell r="D897">
            <v>95217</v>
          </cell>
          <cell r="E897">
            <v>95217</v>
          </cell>
          <cell r="F897">
            <v>0</v>
          </cell>
        </row>
        <row r="898">
          <cell r="A898" t="str">
            <v>GSHEY</v>
          </cell>
          <cell r="B898" t="str">
            <v>SHARDA ELECTRICITY</v>
          </cell>
          <cell r="C898" t="str">
            <v>ADVAN</v>
          </cell>
          <cell r="D898">
            <v>3701</v>
          </cell>
          <cell r="E898">
            <v>3701</v>
          </cell>
          <cell r="F898">
            <v>0</v>
          </cell>
        </row>
        <row r="899">
          <cell r="A899" t="str">
            <v>GONGC</v>
          </cell>
          <cell r="B899" t="str">
            <v>SHARE APPLICATION MONEY (ONGC)</v>
          </cell>
          <cell r="C899" t="str">
            <v>ADVAN</v>
          </cell>
          <cell r="D899">
            <v>61220250</v>
          </cell>
          <cell r="E899">
            <v>61220250</v>
          </cell>
          <cell r="F899">
            <v>0</v>
          </cell>
        </row>
        <row r="900">
          <cell r="A900" t="str">
            <v>GPNB</v>
          </cell>
          <cell r="B900" t="str">
            <v>SHARE APPLICATION MONEY - PNB</v>
          </cell>
          <cell r="C900" t="str">
            <v>ADVAN</v>
          </cell>
          <cell r="D900">
            <v>20</v>
          </cell>
          <cell r="E900">
            <v>20</v>
          </cell>
          <cell r="F900">
            <v>0</v>
          </cell>
        </row>
        <row r="901">
          <cell r="A901" t="str">
            <v>GSWOO</v>
          </cell>
          <cell r="B901" t="str">
            <v>SHARMA WOOD WORK</v>
          </cell>
          <cell r="C901" t="str">
            <v>ADVAN</v>
          </cell>
          <cell r="D901">
            <v>3000</v>
          </cell>
          <cell r="E901">
            <v>3000</v>
          </cell>
          <cell r="F901">
            <v>0</v>
          </cell>
        </row>
        <row r="902">
          <cell r="A902" t="str">
            <v>GSHAS</v>
          </cell>
          <cell r="B902" t="str">
            <v>SHASHI ADVERTISING</v>
          </cell>
          <cell r="C902" t="str">
            <v>ADVAN</v>
          </cell>
          <cell r="D902">
            <v>9750</v>
          </cell>
          <cell r="E902">
            <v>9750</v>
          </cell>
          <cell r="F902">
            <v>0</v>
          </cell>
        </row>
        <row r="903">
          <cell r="A903" t="str">
            <v>GSHSH</v>
          </cell>
          <cell r="B903" t="str">
            <v>SHASHIRA FOODS AND FARMS</v>
          </cell>
          <cell r="C903" t="str">
            <v>ADVAN</v>
          </cell>
          <cell r="D903">
            <v>3840</v>
          </cell>
          <cell r="E903">
            <v>3840</v>
          </cell>
          <cell r="F903">
            <v>0</v>
          </cell>
        </row>
        <row r="904">
          <cell r="A904" t="str">
            <v>GSHAU</v>
          </cell>
          <cell r="B904" t="str">
            <v>SHAUKAT RADIUM ADVERTISING MEDIA</v>
          </cell>
          <cell r="C904" t="str">
            <v>ADVAN</v>
          </cell>
          <cell r="D904">
            <v>9690</v>
          </cell>
          <cell r="E904">
            <v>9690</v>
          </cell>
          <cell r="F904">
            <v>0</v>
          </cell>
        </row>
        <row r="905">
          <cell r="A905" t="str">
            <v>GSHEI</v>
          </cell>
          <cell r="B905" t="str">
            <v>SHEEL INFOTECH</v>
          </cell>
          <cell r="C905" t="str">
            <v>ADVAN</v>
          </cell>
          <cell r="D905">
            <v>20700</v>
          </cell>
          <cell r="E905">
            <v>20700</v>
          </cell>
          <cell r="F905">
            <v>0</v>
          </cell>
        </row>
        <row r="906">
          <cell r="A906" t="str">
            <v>GSHEL</v>
          </cell>
          <cell r="B906" t="str">
            <v>SHELIN INDUSTRIES</v>
          </cell>
          <cell r="C906" t="str">
            <v>ADVAN</v>
          </cell>
          <cell r="D906">
            <v>140000</v>
          </cell>
          <cell r="E906">
            <v>140000</v>
          </cell>
          <cell r="F906">
            <v>0</v>
          </cell>
        </row>
        <row r="907">
          <cell r="A907" t="str">
            <v>GSHIN</v>
          </cell>
          <cell r="B907" t="str">
            <v>SHILP INTERIOR</v>
          </cell>
          <cell r="C907" t="str">
            <v>ADVAN</v>
          </cell>
          <cell r="D907">
            <v>4775</v>
          </cell>
          <cell r="E907">
            <v>4775</v>
          </cell>
          <cell r="F907">
            <v>0</v>
          </cell>
        </row>
        <row r="908">
          <cell r="A908" t="str">
            <v>GSSTA</v>
          </cell>
          <cell r="B908" t="str">
            <v>SHIV  STATIONERY ITEM</v>
          </cell>
          <cell r="C908" t="str">
            <v>ADVAN</v>
          </cell>
          <cell r="D908">
            <v>9406</v>
          </cell>
          <cell r="E908">
            <v>9406</v>
          </cell>
          <cell r="F908">
            <v>0</v>
          </cell>
        </row>
        <row r="909">
          <cell r="A909" t="str">
            <v>GSHSE</v>
          </cell>
          <cell r="B909" t="str">
            <v>SHIV SHAKTI  INTERNATIONAL COURIER</v>
          </cell>
          <cell r="C909" t="str">
            <v>ADVAN</v>
          </cell>
          <cell r="D909">
            <v>770</v>
          </cell>
          <cell r="E909">
            <v>770</v>
          </cell>
          <cell r="F909">
            <v>0</v>
          </cell>
        </row>
        <row r="910">
          <cell r="A910" t="str">
            <v>GSHIT</v>
          </cell>
          <cell r="B910" t="str">
            <v>SHIVA TIWARI</v>
          </cell>
          <cell r="C910" t="str">
            <v>ADVAN</v>
          </cell>
          <cell r="D910">
            <v>6323</v>
          </cell>
          <cell r="E910">
            <v>6323</v>
          </cell>
          <cell r="F910">
            <v>0</v>
          </cell>
        </row>
        <row r="911">
          <cell r="A911" t="str">
            <v>GSHPA</v>
          </cell>
          <cell r="B911" t="str">
            <v>SHIVAM PANELS</v>
          </cell>
          <cell r="C911" t="str">
            <v>ADVAN</v>
          </cell>
          <cell r="D911">
            <v>51808</v>
          </cell>
          <cell r="E911">
            <v>51808</v>
          </cell>
          <cell r="F911">
            <v>0</v>
          </cell>
        </row>
        <row r="912">
          <cell r="A912" t="str">
            <v>GSHOB</v>
          </cell>
          <cell r="B912" t="str">
            <v>SHOBHIT AGENCIES</v>
          </cell>
          <cell r="C912" t="str">
            <v>ADVAN</v>
          </cell>
          <cell r="D912">
            <v>2150</v>
          </cell>
          <cell r="E912">
            <v>2150</v>
          </cell>
          <cell r="F912">
            <v>0</v>
          </cell>
        </row>
        <row r="913">
          <cell r="A913" t="str">
            <v>GSAMM</v>
          </cell>
          <cell r="B913" t="str">
            <v>SHREE AMMANNA ESTATES</v>
          </cell>
          <cell r="C913" t="str">
            <v>ADVAN</v>
          </cell>
          <cell r="D913">
            <v>20062</v>
          </cell>
          <cell r="E913">
            <v>20062</v>
          </cell>
          <cell r="F913">
            <v>0</v>
          </cell>
        </row>
        <row r="914">
          <cell r="A914" t="str">
            <v>GSHBA</v>
          </cell>
          <cell r="B914" t="str">
            <v>SHREE BALAJI</v>
          </cell>
          <cell r="C914" t="str">
            <v>ADVAN</v>
          </cell>
          <cell r="D914">
            <v>108</v>
          </cell>
          <cell r="E914">
            <v>108</v>
          </cell>
          <cell r="F914">
            <v>0</v>
          </cell>
        </row>
        <row r="915">
          <cell r="A915" t="str">
            <v>GSHRD</v>
          </cell>
          <cell r="B915" t="str">
            <v>SHREE DHARMACHAKRA EXPRESS</v>
          </cell>
          <cell r="C915" t="str">
            <v>ADVAN</v>
          </cell>
          <cell r="D915">
            <v>562</v>
          </cell>
          <cell r="E915">
            <v>562</v>
          </cell>
          <cell r="F915">
            <v>0</v>
          </cell>
        </row>
        <row r="916">
          <cell r="A916" t="str">
            <v>GSHDU</v>
          </cell>
          <cell r="B916" t="str">
            <v>SHREE DURGA ENTERPRISES</v>
          </cell>
          <cell r="C916" t="str">
            <v>ADVAN</v>
          </cell>
          <cell r="D916">
            <v>5450</v>
          </cell>
          <cell r="E916">
            <v>5450</v>
          </cell>
          <cell r="F916">
            <v>0</v>
          </cell>
        </row>
        <row r="917">
          <cell r="A917" t="str">
            <v>GSHGA</v>
          </cell>
          <cell r="B917" t="str">
            <v>SHREE GANESH KNITTING &amp; MANUFACTURING MILLS</v>
          </cell>
          <cell r="C917" t="str">
            <v>ADVAN</v>
          </cell>
          <cell r="D917">
            <v>388939</v>
          </cell>
          <cell r="E917">
            <v>388939</v>
          </cell>
          <cell r="F917">
            <v>0</v>
          </cell>
        </row>
        <row r="918">
          <cell r="A918" t="str">
            <v>GSHRO</v>
          </cell>
          <cell r="B918" t="str">
            <v>SHREE GANESHA ON LINE SERVICES</v>
          </cell>
          <cell r="C918" t="str">
            <v>ADVAN</v>
          </cell>
          <cell r="D918">
            <v>1246</v>
          </cell>
          <cell r="E918">
            <v>1246</v>
          </cell>
          <cell r="F918">
            <v>0</v>
          </cell>
        </row>
        <row r="919">
          <cell r="A919" t="str">
            <v>GSLAC</v>
          </cell>
          <cell r="B919" t="str">
            <v>SHREE LAKSHMI COMMUNICATIONS</v>
          </cell>
          <cell r="C919" t="str">
            <v>ADVAN</v>
          </cell>
          <cell r="D919">
            <v>84</v>
          </cell>
          <cell r="E919">
            <v>84</v>
          </cell>
          <cell r="F919">
            <v>0</v>
          </cell>
        </row>
        <row r="920">
          <cell r="A920" t="str">
            <v>GSPJA</v>
          </cell>
          <cell r="B920" t="str">
            <v>SHREE POOJA  AIRWAYS</v>
          </cell>
          <cell r="C920" t="str">
            <v>ADVAN</v>
          </cell>
          <cell r="D920">
            <v>2530</v>
          </cell>
          <cell r="E920">
            <v>2530</v>
          </cell>
          <cell r="F920">
            <v>0</v>
          </cell>
        </row>
        <row r="921">
          <cell r="A921" t="str">
            <v>GSBAL</v>
          </cell>
          <cell r="B921" t="str">
            <v>SHRI BALAJI CONTRACTOR'S &amp; SUPPLIERS</v>
          </cell>
          <cell r="C921" t="str">
            <v>ADVAN</v>
          </cell>
          <cell r="D921">
            <v>116250</v>
          </cell>
          <cell r="E921">
            <v>116250</v>
          </cell>
          <cell r="F921">
            <v>0</v>
          </cell>
        </row>
        <row r="922">
          <cell r="A922" t="str">
            <v>GDETR</v>
          </cell>
          <cell r="B922" t="str">
            <v>SHRI DEEPAK TRIVEDI</v>
          </cell>
          <cell r="C922" t="str">
            <v>ADVAN</v>
          </cell>
          <cell r="D922">
            <v>1823</v>
          </cell>
          <cell r="E922">
            <v>1823</v>
          </cell>
          <cell r="F922">
            <v>0</v>
          </cell>
        </row>
        <row r="923">
          <cell r="A923" t="str">
            <v>GSIEN</v>
          </cell>
          <cell r="B923" t="str">
            <v>SHRI ENTERPRISES</v>
          </cell>
          <cell r="C923" t="str">
            <v>ADVAN</v>
          </cell>
          <cell r="D923">
            <v>2650</v>
          </cell>
          <cell r="E923">
            <v>2650</v>
          </cell>
          <cell r="F923">
            <v>0</v>
          </cell>
        </row>
        <row r="924">
          <cell r="A924" t="str">
            <v>GSLEC</v>
          </cell>
          <cell r="B924" t="str">
            <v>SHRI LAKSHMI TRADERS &amp; ENGG. CORPORATION</v>
          </cell>
          <cell r="C924" t="str">
            <v>ADVAN</v>
          </cell>
          <cell r="D924">
            <v>2420</v>
          </cell>
          <cell r="E924">
            <v>2420</v>
          </cell>
          <cell r="F924">
            <v>0</v>
          </cell>
        </row>
        <row r="925">
          <cell r="A925" t="str">
            <v>GSHTI</v>
          </cell>
          <cell r="B925" t="str">
            <v>SHRI TIRUPATI COURIER SERVICES</v>
          </cell>
          <cell r="C925" t="str">
            <v>ADVAN</v>
          </cell>
          <cell r="D925">
            <v>2590</v>
          </cell>
          <cell r="E925">
            <v>2590</v>
          </cell>
          <cell r="F925">
            <v>0</v>
          </cell>
        </row>
        <row r="926">
          <cell r="A926" t="str">
            <v>GSVEN</v>
          </cell>
          <cell r="B926" t="str">
            <v>SHRI VENKTESH EMPORIUM</v>
          </cell>
          <cell r="C926" t="str">
            <v>ADVAN</v>
          </cell>
          <cell r="D926">
            <v>8000</v>
          </cell>
          <cell r="E926">
            <v>8000</v>
          </cell>
          <cell r="F926">
            <v>0</v>
          </cell>
        </row>
        <row r="927">
          <cell r="A927" t="str">
            <v>GSRAM</v>
          </cell>
          <cell r="B927" t="str">
            <v>SHRIRAM ELECTRONICS</v>
          </cell>
          <cell r="C927" t="str">
            <v>ADVAN</v>
          </cell>
          <cell r="D927">
            <v>6400</v>
          </cell>
          <cell r="E927">
            <v>6400</v>
          </cell>
          <cell r="F927">
            <v>0</v>
          </cell>
        </row>
        <row r="928">
          <cell r="A928" t="str">
            <v>GSCOP</v>
          </cell>
          <cell r="B928" t="str">
            <v>SHUBAM COMPUTERS</v>
          </cell>
          <cell r="C928" t="str">
            <v>ADVAN</v>
          </cell>
          <cell r="D928">
            <v>2475</v>
          </cell>
          <cell r="E928">
            <v>2475</v>
          </cell>
          <cell r="F928">
            <v>0</v>
          </cell>
        </row>
        <row r="929">
          <cell r="A929" t="str">
            <v>GSHUS</v>
          </cell>
          <cell r="B929" t="str">
            <v>SHUSBINDU MANUFACTURING PVT LTD</v>
          </cell>
          <cell r="C929" t="str">
            <v>ADVAN</v>
          </cell>
          <cell r="D929">
            <v>405278</v>
          </cell>
          <cell r="E929">
            <v>405278</v>
          </cell>
          <cell r="F929">
            <v>0</v>
          </cell>
        </row>
        <row r="930">
          <cell r="A930" t="str">
            <v>GSIDR</v>
          </cell>
          <cell r="B930" t="str">
            <v>SIDDARAM</v>
          </cell>
          <cell r="C930" t="str">
            <v>ADVAN</v>
          </cell>
          <cell r="D930">
            <v>558</v>
          </cell>
          <cell r="E930">
            <v>558</v>
          </cell>
          <cell r="F930">
            <v>0</v>
          </cell>
        </row>
        <row r="931">
          <cell r="A931" t="str">
            <v>GSIGT</v>
          </cell>
          <cell r="B931" t="str">
            <v>SIGN TIME</v>
          </cell>
          <cell r="C931" t="str">
            <v>ADVAN</v>
          </cell>
          <cell r="D931">
            <v>20500</v>
          </cell>
          <cell r="E931">
            <v>20500</v>
          </cell>
          <cell r="F931">
            <v>0</v>
          </cell>
        </row>
        <row r="932">
          <cell r="A932" t="str">
            <v>GSIGN</v>
          </cell>
          <cell r="B932" t="str">
            <v>SIGN WORLD</v>
          </cell>
          <cell r="C932" t="str">
            <v>ADVAN</v>
          </cell>
          <cell r="D932">
            <v>1800</v>
          </cell>
          <cell r="E932">
            <v>1800</v>
          </cell>
          <cell r="F932">
            <v>0</v>
          </cell>
        </row>
        <row r="933">
          <cell r="A933" t="str">
            <v>GSILV</v>
          </cell>
          <cell r="B933" t="str">
            <v>SILVER POINT</v>
          </cell>
          <cell r="C933" t="str">
            <v>ADVAN</v>
          </cell>
          <cell r="D933">
            <v>36556</v>
          </cell>
          <cell r="E933">
            <v>36556</v>
          </cell>
          <cell r="F933">
            <v>0</v>
          </cell>
        </row>
        <row r="934">
          <cell r="A934" t="str">
            <v>GSIMP</v>
          </cell>
          <cell r="B934" t="str">
            <v>SIMPLE TECHNOLOGIES</v>
          </cell>
          <cell r="C934" t="str">
            <v>ADVAN</v>
          </cell>
          <cell r="D934">
            <v>1100</v>
          </cell>
          <cell r="E934">
            <v>1100</v>
          </cell>
          <cell r="F934">
            <v>0</v>
          </cell>
        </row>
        <row r="935">
          <cell r="A935" t="str">
            <v>GSIMR</v>
          </cell>
          <cell r="B935" t="str">
            <v>SIMRAN COMPUTER HOUSE</v>
          </cell>
          <cell r="C935" t="str">
            <v>ADVAN</v>
          </cell>
          <cell r="D935">
            <v>4975</v>
          </cell>
          <cell r="E935">
            <v>4975</v>
          </cell>
          <cell r="F935">
            <v>0</v>
          </cell>
        </row>
        <row r="936">
          <cell r="A936" t="str">
            <v>GSINGL</v>
          </cell>
          <cell r="B936" t="str">
            <v>SINGHAL ENTERPRISES</v>
          </cell>
          <cell r="C936" t="str">
            <v>ADVAN</v>
          </cell>
          <cell r="D936">
            <v>5200</v>
          </cell>
          <cell r="E936">
            <v>5200</v>
          </cell>
          <cell r="F936">
            <v>0</v>
          </cell>
        </row>
        <row r="937">
          <cell r="A937" t="str">
            <v>GSISI</v>
          </cell>
          <cell r="B937" t="str">
            <v>SISIR MOHAPATRA</v>
          </cell>
          <cell r="C937" t="str">
            <v>ADVAN</v>
          </cell>
          <cell r="D937">
            <v>100000</v>
          </cell>
          <cell r="E937">
            <v>100000</v>
          </cell>
          <cell r="F937">
            <v>0</v>
          </cell>
        </row>
        <row r="938">
          <cell r="A938" t="str">
            <v>GSLVP</v>
          </cell>
          <cell r="B938" t="str">
            <v>SLV PROPERTIES PVT. LTD.</v>
          </cell>
          <cell r="C938" t="str">
            <v>ADVAN</v>
          </cell>
          <cell r="D938">
            <v>4284</v>
          </cell>
          <cell r="E938">
            <v>4284</v>
          </cell>
          <cell r="F938">
            <v>0</v>
          </cell>
        </row>
        <row r="939">
          <cell r="A939" t="str">
            <v>GSMAR</v>
          </cell>
          <cell r="B939" t="str">
            <v>SMART BRAINZ</v>
          </cell>
          <cell r="C939" t="str">
            <v>ADVAN</v>
          </cell>
          <cell r="D939">
            <v>18603</v>
          </cell>
          <cell r="E939">
            <v>18603</v>
          </cell>
          <cell r="F939">
            <v>0</v>
          </cell>
        </row>
        <row r="940">
          <cell r="A940" t="str">
            <v>GMART</v>
          </cell>
          <cell r="B940" t="str">
            <v>SMART COURIER SERVICES</v>
          </cell>
          <cell r="C940" t="str">
            <v>ADVAN</v>
          </cell>
          <cell r="D940">
            <v>11530</v>
          </cell>
          <cell r="E940">
            <v>11530</v>
          </cell>
          <cell r="F940">
            <v>0</v>
          </cell>
        </row>
        <row r="941">
          <cell r="A941" t="str">
            <v>GSCRI</v>
          </cell>
          <cell r="B941" t="str">
            <v>SMS COURIER</v>
          </cell>
          <cell r="C941" t="str">
            <v>ADVAN</v>
          </cell>
          <cell r="D941">
            <v>519</v>
          </cell>
          <cell r="E941">
            <v>519</v>
          </cell>
          <cell r="F941">
            <v>0</v>
          </cell>
        </row>
        <row r="942">
          <cell r="A942" t="str">
            <v>GSOLU</v>
          </cell>
          <cell r="B942" t="str">
            <v>SOLUTIONS</v>
          </cell>
          <cell r="C942" t="str">
            <v>ADVAN</v>
          </cell>
          <cell r="D942">
            <v>26160</v>
          </cell>
          <cell r="E942">
            <v>26160</v>
          </cell>
          <cell r="F942">
            <v>0</v>
          </cell>
        </row>
        <row r="943">
          <cell r="A943" t="str">
            <v>GSOND</v>
          </cell>
          <cell r="B943" t="str">
            <v>SONDHI &amp; ASSOCIATES</v>
          </cell>
          <cell r="C943" t="str">
            <v>ADVAN</v>
          </cell>
          <cell r="D943">
            <v>1599</v>
          </cell>
          <cell r="E943">
            <v>1599</v>
          </cell>
          <cell r="F943">
            <v>0</v>
          </cell>
        </row>
        <row r="944">
          <cell r="A944" t="str">
            <v>GSONS</v>
          </cell>
          <cell r="B944" t="str">
            <v>SONI S. RAWLANI</v>
          </cell>
          <cell r="C944" t="str">
            <v>ADVAN</v>
          </cell>
          <cell r="D944">
            <v>109699</v>
          </cell>
          <cell r="E944">
            <v>109699</v>
          </cell>
          <cell r="F944">
            <v>0</v>
          </cell>
        </row>
        <row r="945">
          <cell r="A945" t="str">
            <v>GSOWR</v>
          </cell>
          <cell r="B945" t="str">
            <v>SOWRYA COMPUTERS &amp; COMMUNICATIONS</v>
          </cell>
          <cell r="C945" t="str">
            <v>ADVAN</v>
          </cell>
          <cell r="D945">
            <v>72250</v>
          </cell>
          <cell r="E945">
            <v>72250</v>
          </cell>
          <cell r="F945">
            <v>0</v>
          </cell>
        </row>
        <row r="946">
          <cell r="A946" t="str">
            <v>GSPCT</v>
          </cell>
          <cell r="B946" t="str">
            <v>SPECTRUM COMPUTERS</v>
          </cell>
          <cell r="C946" t="str">
            <v>ADVAN</v>
          </cell>
          <cell r="D946">
            <v>21800</v>
          </cell>
          <cell r="E946">
            <v>21800</v>
          </cell>
          <cell r="F946">
            <v>0</v>
          </cell>
        </row>
        <row r="947">
          <cell r="A947" t="str">
            <v>GSPEO</v>
          </cell>
          <cell r="B947" t="str">
            <v>SPEED ONLINE PVT. LTD</v>
          </cell>
          <cell r="C947" t="str">
            <v>ADVAN</v>
          </cell>
          <cell r="D947">
            <v>530</v>
          </cell>
          <cell r="E947">
            <v>530</v>
          </cell>
          <cell r="F947">
            <v>0</v>
          </cell>
        </row>
        <row r="948">
          <cell r="A948" t="str">
            <v>GSPEN</v>
          </cell>
          <cell r="B948" t="str">
            <v>SPENGINEERS</v>
          </cell>
          <cell r="C948" t="str">
            <v>ADVAN</v>
          </cell>
          <cell r="D948">
            <v>2390</v>
          </cell>
          <cell r="E948">
            <v>2390</v>
          </cell>
          <cell r="F948">
            <v>0</v>
          </cell>
        </row>
        <row r="949">
          <cell r="A949" t="str">
            <v>GSPID</v>
          </cell>
          <cell r="B949" t="str">
            <v>SPIDER SOFTWARE PVT. LTD</v>
          </cell>
          <cell r="C949" t="str">
            <v>ADVAN</v>
          </cell>
          <cell r="D949">
            <v>4073</v>
          </cell>
          <cell r="E949">
            <v>4073</v>
          </cell>
          <cell r="F949">
            <v>0</v>
          </cell>
        </row>
        <row r="950">
          <cell r="A950" t="str">
            <v>GSREE</v>
          </cell>
          <cell r="B950" t="str">
            <v>SREE RAMASWAMY MEIYAMMAI CHARITABLE TRUST</v>
          </cell>
          <cell r="C950" t="str">
            <v>ADVAN</v>
          </cell>
          <cell r="D950">
            <v>17118</v>
          </cell>
          <cell r="E950">
            <v>17118</v>
          </cell>
          <cell r="F950">
            <v>0</v>
          </cell>
        </row>
        <row r="951">
          <cell r="A951" t="str">
            <v>GSRRA</v>
          </cell>
          <cell r="B951" t="str">
            <v>SREE SARAVANA PAPERS</v>
          </cell>
          <cell r="C951" t="str">
            <v>ADVAN</v>
          </cell>
          <cell r="D951">
            <v>15569</v>
          </cell>
          <cell r="E951">
            <v>15569</v>
          </cell>
          <cell r="F951">
            <v>0</v>
          </cell>
        </row>
        <row r="952">
          <cell r="A952" t="str">
            <v>GANUD</v>
          </cell>
          <cell r="B952" t="str">
            <v>SRI ANURADHA ENTERPRISES</v>
          </cell>
          <cell r="C952" t="str">
            <v>ADVAN</v>
          </cell>
          <cell r="D952">
            <v>3100</v>
          </cell>
          <cell r="E952">
            <v>3100</v>
          </cell>
          <cell r="F952">
            <v>0</v>
          </cell>
        </row>
        <row r="953">
          <cell r="A953" t="str">
            <v>GSRIAE</v>
          </cell>
          <cell r="B953" t="str">
            <v>SRI AUROMIRA ENTERPRISES</v>
          </cell>
          <cell r="C953" t="str">
            <v>ADVAN</v>
          </cell>
          <cell r="D953">
            <v>13375</v>
          </cell>
          <cell r="E953">
            <v>13375</v>
          </cell>
          <cell r="F953">
            <v>0</v>
          </cell>
        </row>
        <row r="954">
          <cell r="A954" t="str">
            <v>GASBE</v>
          </cell>
          <cell r="B954" t="str">
            <v>SRI BALAJI ENTERPRISES</v>
          </cell>
          <cell r="C954" t="str">
            <v>ADVAN</v>
          </cell>
          <cell r="D954">
            <v>46</v>
          </cell>
          <cell r="E954">
            <v>46</v>
          </cell>
          <cell r="F954">
            <v>0</v>
          </cell>
        </row>
        <row r="955">
          <cell r="A955" t="str">
            <v>GSAIB</v>
          </cell>
          <cell r="B955" t="str">
            <v>SRI BALAJI TELECOM SERVICES</v>
          </cell>
          <cell r="C955" t="str">
            <v>ADVAN</v>
          </cell>
          <cell r="D955">
            <v>8366</v>
          </cell>
          <cell r="E955">
            <v>8366</v>
          </cell>
          <cell r="F955">
            <v>0</v>
          </cell>
        </row>
        <row r="956">
          <cell r="A956" t="str">
            <v>GSOSR</v>
          </cell>
          <cell r="B956" t="str">
            <v>SRI OM SAI RAM ENTERPRISES</v>
          </cell>
          <cell r="C956" t="str">
            <v>ADVAN</v>
          </cell>
          <cell r="D956">
            <v>845</v>
          </cell>
          <cell r="E956">
            <v>845</v>
          </cell>
          <cell r="F956">
            <v>0</v>
          </cell>
        </row>
        <row r="957">
          <cell r="A957" t="str">
            <v>GSRPA</v>
          </cell>
          <cell r="B957" t="str">
            <v>SRI PAVAN COMPUTER</v>
          </cell>
          <cell r="C957" t="str">
            <v>ADVAN</v>
          </cell>
          <cell r="D957">
            <v>21000</v>
          </cell>
          <cell r="E957">
            <v>21000</v>
          </cell>
          <cell r="F957">
            <v>0</v>
          </cell>
        </row>
        <row r="958">
          <cell r="A958" t="str">
            <v>GSRIR</v>
          </cell>
          <cell r="B958" t="str">
            <v>SRI RADHA KRISHNA VIHAR</v>
          </cell>
          <cell r="C958" t="str">
            <v>ADVAN</v>
          </cell>
          <cell r="D958">
            <v>81258</v>
          </cell>
          <cell r="E958">
            <v>81258</v>
          </cell>
          <cell r="F958">
            <v>0</v>
          </cell>
        </row>
        <row r="959">
          <cell r="A959" t="str">
            <v>GSRAA</v>
          </cell>
          <cell r="B959" t="str">
            <v>SRI RAM AGENCIES</v>
          </cell>
          <cell r="C959" t="str">
            <v>ADVAN</v>
          </cell>
          <cell r="D959">
            <v>31087</v>
          </cell>
          <cell r="E959">
            <v>31087</v>
          </cell>
          <cell r="F959">
            <v>0</v>
          </cell>
        </row>
        <row r="960">
          <cell r="A960" t="str">
            <v>GSRSG</v>
          </cell>
          <cell r="B960" t="str">
            <v>SRI SAI GRAHPHICS</v>
          </cell>
          <cell r="C960" t="str">
            <v>ADVAN</v>
          </cell>
          <cell r="D960">
            <v>72</v>
          </cell>
          <cell r="E960">
            <v>72</v>
          </cell>
          <cell r="F960">
            <v>0</v>
          </cell>
        </row>
        <row r="961">
          <cell r="A961" t="str">
            <v>GSRIN</v>
          </cell>
          <cell r="B961" t="str">
            <v>SRINIVAS SALES CORPORATION</v>
          </cell>
          <cell r="C961" t="str">
            <v>ADVAN</v>
          </cell>
          <cell r="D961">
            <v>5200</v>
          </cell>
          <cell r="E961">
            <v>5200</v>
          </cell>
          <cell r="F961">
            <v>0</v>
          </cell>
        </row>
        <row r="962">
          <cell r="A962" t="str">
            <v>GSRIM</v>
          </cell>
          <cell r="B962" t="str">
            <v>SRINIVASA MURTHY T. V</v>
          </cell>
          <cell r="C962" t="str">
            <v>ADVAN</v>
          </cell>
          <cell r="D962">
            <v>34120</v>
          </cell>
          <cell r="E962">
            <v>34120</v>
          </cell>
          <cell r="F962">
            <v>0</v>
          </cell>
        </row>
        <row r="963">
          <cell r="A963" t="str">
            <v>GSTAN</v>
          </cell>
          <cell r="B963" t="str">
            <v>ST.ANTONY WOOD WORKS</v>
          </cell>
          <cell r="C963" t="str">
            <v>ADVAN</v>
          </cell>
          <cell r="D963">
            <v>3838</v>
          </cell>
          <cell r="E963">
            <v>3838</v>
          </cell>
          <cell r="F963">
            <v>0</v>
          </cell>
        </row>
        <row r="964">
          <cell r="A964" t="str">
            <v>GSTAE</v>
          </cell>
          <cell r="B964" t="str">
            <v>STAR ENGINEERING WORKS</v>
          </cell>
          <cell r="C964" t="str">
            <v>ADVAN</v>
          </cell>
          <cell r="D964">
            <v>12004</v>
          </cell>
          <cell r="E964">
            <v>12004</v>
          </cell>
          <cell r="F964">
            <v>0</v>
          </cell>
        </row>
        <row r="965">
          <cell r="A965" t="str">
            <v>GSTAR</v>
          </cell>
          <cell r="B965" t="str">
            <v>STAR INDIA  LIMITED</v>
          </cell>
          <cell r="C965" t="str">
            <v>ADVAN</v>
          </cell>
          <cell r="D965">
            <v>3608.8</v>
          </cell>
          <cell r="E965">
            <v>3608.8</v>
          </cell>
          <cell r="F965">
            <v>0</v>
          </cell>
        </row>
        <row r="966">
          <cell r="A966" t="str">
            <v>GSTEE</v>
          </cell>
          <cell r="B966" t="str">
            <v>STEEL WOOD FURNITURE</v>
          </cell>
          <cell r="C966" t="str">
            <v>ADVAN</v>
          </cell>
          <cell r="D966">
            <v>395000</v>
          </cell>
          <cell r="E966">
            <v>395000</v>
          </cell>
          <cell r="F966">
            <v>0</v>
          </cell>
        </row>
        <row r="967">
          <cell r="A967" t="str">
            <v>GSTHA</v>
          </cell>
          <cell r="B967" t="str">
            <v>STHAPATYA ARCHITECTS</v>
          </cell>
          <cell r="C967" t="str">
            <v>ADVAN</v>
          </cell>
          <cell r="D967">
            <v>178125</v>
          </cell>
          <cell r="E967">
            <v>178125</v>
          </cell>
          <cell r="F967">
            <v>0</v>
          </cell>
        </row>
        <row r="968">
          <cell r="A968" t="str">
            <v>GA1001</v>
          </cell>
          <cell r="B968" t="str">
            <v>STOCK HOLDING CORPORATION OF INDIA LTD</v>
          </cell>
          <cell r="C968" t="str">
            <v>ADVAN</v>
          </cell>
          <cell r="D968">
            <v>39717.19</v>
          </cell>
          <cell r="E968">
            <v>39717.19</v>
          </cell>
          <cell r="F968">
            <v>0</v>
          </cell>
        </row>
        <row r="969">
          <cell r="A969" t="str">
            <v>GSUBB</v>
          </cell>
          <cell r="B969" t="str">
            <v>SUBH SHREE STATIONERY</v>
          </cell>
          <cell r="C969" t="str">
            <v>ADVAN</v>
          </cell>
          <cell r="D969">
            <v>29223.35</v>
          </cell>
          <cell r="E969">
            <v>29223.35</v>
          </cell>
          <cell r="F969">
            <v>0</v>
          </cell>
        </row>
        <row r="970">
          <cell r="A970" t="str">
            <v>GSUBHEL</v>
          </cell>
          <cell r="B970" t="str">
            <v>SUBHASH ELECTRICALS</v>
          </cell>
          <cell r="C970" t="str">
            <v>ADVAN</v>
          </cell>
          <cell r="D970">
            <v>6825</v>
          </cell>
          <cell r="E970">
            <v>6825</v>
          </cell>
          <cell r="F970">
            <v>0</v>
          </cell>
        </row>
        <row r="971">
          <cell r="A971" t="str">
            <v>GSUBM</v>
          </cell>
          <cell r="B971" t="str">
            <v>SUBHASH MORE KEVIN</v>
          </cell>
          <cell r="C971" t="str">
            <v>ADVAN</v>
          </cell>
          <cell r="D971">
            <v>10000</v>
          </cell>
          <cell r="E971">
            <v>10000</v>
          </cell>
          <cell r="F971">
            <v>0</v>
          </cell>
        </row>
        <row r="972">
          <cell r="A972" t="str">
            <v>GSUBY</v>
          </cell>
          <cell r="B972" t="str">
            <v>SUBRAMANYA</v>
          </cell>
          <cell r="C972" t="str">
            <v>ADVAN</v>
          </cell>
          <cell r="D972">
            <v>9277.15</v>
          </cell>
          <cell r="E972">
            <v>9277.15</v>
          </cell>
          <cell r="F972">
            <v>0</v>
          </cell>
        </row>
        <row r="973">
          <cell r="A973" t="str">
            <v>GSUDP</v>
          </cell>
          <cell r="B973" t="str">
            <v>SUDHA PROPERTY</v>
          </cell>
          <cell r="C973" t="str">
            <v>ADVAN</v>
          </cell>
          <cell r="D973">
            <v>12346</v>
          </cell>
          <cell r="E973">
            <v>12346</v>
          </cell>
          <cell r="F973">
            <v>0</v>
          </cell>
        </row>
        <row r="974">
          <cell r="A974" t="str">
            <v>GSUDB</v>
          </cell>
          <cell r="B974" t="str">
            <v>SUDHIR KUMAR BARDIA</v>
          </cell>
          <cell r="C974" t="str">
            <v>ADVAN</v>
          </cell>
          <cell r="D974">
            <v>55735</v>
          </cell>
          <cell r="E974">
            <v>55735</v>
          </cell>
          <cell r="F974">
            <v>0</v>
          </cell>
        </row>
        <row r="975">
          <cell r="A975" t="str">
            <v>GSUGA</v>
          </cell>
          <cell r="B975" t="str">
            <v>SUGANDHA GEN POWER WORKS</v>
          </cell>
          <cell r="C975" t="str">
            <v>ADVAN</v>
          </cell>
          <cell r="D975">
            <v>10750</v>
          </cell>
          <cell r="E975">
            <v>10750</v>
          </cell>
          <cell r="F975">
            <v>0</v>
          </cell>
        </row>
        <row r="976">
          <cell r="A976" t="str">
            <v>GSUKB</v>
          </cell>
          <cell r="B976" t="str">
            <v>SUKHBIR SINGH RATHI</v>
          </cell>
          <cell r="C976" t="str">
            <v>ADVAN</v>
          </cell>
          <cell r="D976">
            <v>65660</v>
          </cell>
          <cell r="E976">
            <v>65660</v>
          </cell>
          <cell r="F976">
            <v>0</v>
          </cell>
        </row>
        <row r="977">
          <cell r="A977" t="str">
            <v>GSUKH</v>
          </cell>
          <cell r="B977" t="str">
            <v>SUKHJINDER &amp; ASSOCIATES</v>
          </cell>
          <cell r="C977" t="str">
            <v>ADVAN</v>
          </cell>
          <cell r="D977">
            <v>38750</v>
          </cell>
          <cell r="E977">
            <v>38750</v>
          </cell>
          <cell r="F977">
            <v>0</v>
          </cell>
        </row>
        <row r="978">
          <cell r="A978" t="str">
            <v>GSUKHA</v>
          </cell>
          <cell r="B978" t="str">
            <v>SUKHMANI ASSOCIATES</v>
          </cell>
          <cell r="C978" t="str">
            <v>ADVAN</v>
          </cell>
          <cell r="D978">
            <v>113516</v>
          </cell>
          <cell r="E978">
            <v>113516</v>
          </cell>
          <cell r="F978">
            <v>0</v>
          </cell>
        </row>
        <row r="979">
          <cell r="A979" t="str">
            <v>GSULT</v>
          </cell>
          <cell r="B979" t="str">
            <v>SULTAN SAFE INDUSTRIES</v>
          </cell>
          <cell r="C979" t="str">
            <v>ADVAN</v>
          </cell>
          <cell r="D979">
            <v>3000</v>
          </cell>
          <cell r="E979">
            <v>3000</v>
          </cell>
          <cell r="F979">
            <v>0</v>
          </cell>
        </row>
        <row r="980">
          <cell r="A980" t="str">
            <v>GSUTE</v>
          </cell>
          <cell r="B980" t="str">
            <v>SUMAN TABECK</v>
          </cell>
          <cell r="C980" t="str">
            <v>ADVAN</v>
          </cell>
          <cell r="D980">
            <v>2240</v>
          </cell>
          <cell r="E980">
            <v>2240</v>
          </cell>
          <cell r="F980">
            <v>0</v>
          </cell>
        </row>
        <row r="981">
          <cell r="A981" t="str">
            <v>GSUMI</v>
          </cell>
          <cell r="B981" t="str">
            <v>SUMIT B GUPTA</v>
          </cell>
          <cell r="C981" t="str">
            <v>ADVAN</v>
          </cell>
          <cell r="D981">
            <v>880154</v>
          </cell>
          <cell r="E981">
            <v>880154</v>
          </cell>
          <cell r="F981">
            <v>0</v>
          </cell>
        </row>
        <row r="982">
          <cell r="A982" t="str">
            <v>GSUNG</v>
          </cell>
          <cell r="B982" t="str">
            <v>SUN GLOW SIGNS</v>
          </cell>
          <cell r="C982" t="str">
            <v>ADVAN</v>
          </cell>
          <cell r="D982">
            <v>7500</v>
          </cell>
          <cell r="E982">
            <v>7500</v>
          </cell>
          <cell r="F982">
            <v>0</v>
          </cell>
        </row>
        <row r="983">
          <cell r="A983" t="str">
            <v>GSUND</v>
          </cell>
          <cell r="B983" t="str">
            <v>SUNDARAM TRADERS</v>
          </cell>
          <cell r="C983" t="str">
            <v>ADVAN</v>
          </cell>
          <cell r="D983">
            <v>9510</v>
          </cell>
          <cell r="E983">
            <v>9510</v>
          </cell>
          <cell r="F983">
            <v>0</v>
          </cell>
        </row>
        <row r="984">
          <cell r="A984" t="str">
            <v>GSUNT</v>
          </cell>
          <cell r="B984" t="str">
            <v>SUNDER T. SHETTY</v>
          </cell>
          <cell r="C984" t="str">
            <v>ADVAN</v>
          </cell>
          <cell r="D984">
            <v>30294</v>
          </cell>
          <cell r="E984">
            <v>30294</v>
          </cell>
          <cell r="F984">
            <v>0</v>
          </cell>
        </row>
        <row r="985">
          <cell r="A985" t="str">
            <v>GSUNK</v>
          </cell>
          <cell r="B985" t="str">
            <v>SUNDERDAS KALYANJI KANKAL HUF</v>
          </cell>
          <cell r="C985" t="str">
            <v>ADVAN</v>
          </cell>
          <cell r="D985">
            <v>20655</v>
          </cell>
          <cell r="E985">
            <v>20655</v>
          </cell>
          <cell r="F985">
            <v>0</v>
          </cell>
        </row>
        <row r="986">
          <cell r="A986" t="str">
            <v>GSUNA</v>
          </cell>
          <cell r="B986" t="str">
            <v>SUNIL ARJANDAS LALWANI</v>
          </cell>
          <cell r="C986" t="str">
            <v>ADVAN</v>
          </cell>
          <cell r="D986">
            <v>53031</v>
          </cell>
          <cell r="E986">
            <v>53031</v>
          </cell>
          <cell r="F986">
            <v>0</v>
          </cell>
        </row>
        <row r="987">
          <cell r="A987" t="str">
            <v>GSUNJ</v>
          </cell>
          <cell r="B987" t="str">
            <v>SUNIL JAIN</v>
          </cell>
          <cell r="C987" t="str">
            <v>ADVAN</v>
          </cell>
          <cell r="D987">
            <v>221618</v>
          </cell>
          <cell r="E987">
            <v>221618</v>
          </cell>
          <cell r="F987">
            <v>0</v>
          </cell>
        </row>
        <row r="988">
          <cell r="A988" t="str">
            <v>GSUNS</v>
          </cell>
          <cell r="B988" t="str">
            <v>SUNIL S. RAWLANI</v>
          </cell>
          <cell r="C988" t="str">
            <v>ADVAN</v>
          </cell>
          <cell r="D988">
            <v>109699</v>
          </cell>
          <cell r="E988">
            <v>109699</v>
          </cell>
          <cell r="F988">
            <v>0</v>
          </cell>
        </row>
        <row r="989">
          <cell r="A989" t="str">
            <v>GSUNI</v>
          </cell>
          <cell r="B989" t="str">
            <v>SUNILBHAI RANJITBHAI GORAGANDHI</v>
          </cell>
          <cell r="C989" t="str">
            <v>ADVAN</v>
          </cell>
          <cell r="D989">
            <v>94490</v>
          </cell>
          <cell r="E989">
            <v>94490</v>
          </cell>
          <cell r="F989">
            <v>0</v>
          </cell>
        </row>
        <row r="990">
          <cell r="A990" t="str">
            <v>GSUNY</v>
          </cell>
          <cell r="B990" t="str">
            <v>SUNNY ENTERPRISES</v>
          </cell>
          <cell r="C990" t="str">
            <v>ADVAN</v>
          </cell>
          <cell r="D990">
            <v>8459</v>
          </cell>
          <cell r="E990">
            <v>8459</v>
          </cell>
          <cell r="F990">
            <v>0</v>
          </cell>
        </row>
        <row r="991">
          <cell r="A991" t="str">
            <v>GASP</v>
          </cell>
          <cell r="B991" t="str">
            <v>SUPER ELECTRONICS</v>
          </cell>
          <cell r="C991" t="str">
            <v>ADVAN</v>
          </cell>
          <cell r="D991">
            <v>11581</v>
          </cell>
          <cell r="E991">
            <v>11581</v>
          </cell>
          <cell r="F991">
            <v>0</v>
          </cell>
        </row>
        <row r="992">
          <cell r="A992" t="str">
            <v>GSCOM</v>
          </cell>
          <cell r="B992" t="str">
            <v>SUPREME COMPUTERS</v>
          </cell>
          <cell r="C992" t="str">
            <v>ADVAN</v>
          </cell>
          <cell r="D992">
            <v>81650</v>
          </cell>
          <cell r="E992">
            <v>81650</v>
          </cell>
          <cell r="F992">
            <v>0</v>
          </cell>
        </row>
        <row r="993">
          <cell r="A993" t="str">
            <v>GSUPC</v>
          </cell>
          <cell r="B993" t="str">
            <v>SUPREME COMPUTERS INDIA PVT. LTD.</v>
          </cell>
          <cell r="C993" t="str">
            <v>ADVAN</v>
          </cell>
          <cell r="D993">
            <v>88325</v>
          </cell>
          <cell r="E993">
            <v>88325</v>
          </cell>
          <cell r="F993">
            <v>0</v>
          </cell>
        </row>
        <row r="994">
          <cell r="A994" t="str">
            <v>GSUPR</v>
          </cell>
          <cell r="B994" t="str">
            <v>SUPRIYA KUMAR GOOPTU</v>
          </cell>
          <cell r="C994" t="str">
            <v>ADVAN</v>
          </cell>
          <cell r="D994">
            <v>18730</v>
          </cell>
          <cell r="E994">
            <v>18730</v>
          </cell>
          <cell r="F994">
            <v>0</v>
          </cell>
        </row>
        <row r="995">
          <cell r="A995" t="str">
            <v>GSURA</v>
          </cell>
          <cell r="B995" t="str">
            <v>SURAJ KHANDELWAL</v>
          </cell>
          <cell r="C995" t="str">
            <v>ADVAN</v>
          </cell>
          <cell r="D995">
            <v>108020</v>
          </cell>
          <cell r="E995">
            <v>108020</v>
          </cell>
          <cell r="F995">
            <v>0</v>
          </cell>
        </row>
        <row r="996">
          <cell r="A996" t="str">
            <v>GSURAN</v>
          </cell>
          <cell r="B996" t="str">
            <v>SURANA BROTHERS</v>
          </cell>
          <cell r="C996" t="str">
            <v>ADVAN</v>
          </cell>
          <cell r="D996">
            <v>30480</v>
          </cell>
          <cell r="E996">
            <v>30480</v>
          </cell>
          <cell r="F996">
            <v>0</v>
          </cell>
        </row>
        <row r="997">
          <cell r="A997" t="str">
            <v>GSURC</v>
          </cell>
          <cell r="B997" t="str">
            <v>SURENDRA COMMERCIAL &amp; EXIM PRIVATE LIMITED</v>
          </cell>
          <cell r="C997" t="str">
            <v>ADVAN</v>
          </cell>
          <cell r="D997">
            <v>947760</v>
          </cell>
          <cell r="E997">
            <v>947760</v>
          </cell>
          <cell r="F997">
            <v>0</v>
          </cell>
        </row>
        <row r="998">
          <cell r="A998" t="str">
            <v>GSURN</v>
          </cell>
          <cell r="B998" t="str">
            <v>SURENDRA LUDHANI</v>
          </cell>
          <cell r="C998" t="str">
            <v>ADVAN</v>
          </cell>
          <cell r="D998">
            <v>48000</v>
          </cell>
          <cell r="E998">
            <v>48000</v>
          </cell>
          <cell r="F998">
            <v>0</v>
          </cell>
        </row>
        <row r="999">
          <cell r="A999" t="str">
            <v>GSURG</v>
          </cell>
          <cell r="B999" t="str">
            <v>SURGE  ELECTRICALS</v>
          </cell>
          <cell r="C999" t="str">
            <v>ADVAN</v>
          </cell>
          <cell r="D999">
            <v>23200</v>
          </cell>
          <cell r="E999">
            <v>23200</v>
          </cell>
          <cell r="F999">
            <v>0</v>
          </cell>
        </row>
        <row r="1000">
          <cell r="A1000" t="str">
            <v>GSURJ</v>
          </cell>
          <cell r="B1000" t="str">
            <v>SURJEET SINGH ARORA</v>
          </cell>
          <cell r="C1000" t="str">
            <v>ADVAN</v>
          </cell>
          <cell r="D1000">
            <v>81747</v>
          </cell>
          <cell r="E1000">
            <v>81747</v>
          </cell>
          <cell r="F1000">
            <v>0</v>
          </cell>
        </row>
        <row r="1001">
          <cell r="A1001" t="str">
            <v>GSURK</v>
          </cell>
          <cell r="B1001" t="str">
            <v>SURKSHA STEEL WORKS</v>
          </cell>
          <cell r="C1001" t="str">
            <v>ADVAN</v>
          </cell>
          <cell r="D1001">
            <v>2450</v>
          </cell>
          <cell r="E1001">
            <v>2450</v>
          </cell>
          <cell r="F1001">
            <v>0</v>
          </cell>
        </row>
        <row r="1002">
          <cell r="A1002" t="str">
            <v>GSAGE</v>
          </cell>
          <cell r="B1002" t="str">
            <v>SUVIDHA AGENCY</v>
          </cell>
          <cell r="C1002" t="str">
            <v>ADVAN</v>
          </cell>
          <cell r="D1002">
            <v>2936</v>
          </cell>
          <cell r="E1002">
            <v>2936</v>
          </cell>
          <cell r="F1002">
            <v>0</v>
          </cell>
        </row>
        <row r="1003">
          <cell r="A1003" t="str">
            <v>GSUYO</v>
          </cell>
          <cell r="B1003" t="str">
            <v>SUYOG CONSTRUCTIONS</v>
          </cell>
          <cell r="C1003" t="str">
            <v>ADVAN</v>
          </cell>
          <cell r="D1003">
            <v>73323</v>
          </cell>
          <cell r="E1003">
            <v>73323</v>
          </cell>
          <cell r="F1003">
            <v>0</v>
          </cell>
        </row>
        <row r="1004">
          <cell r="A1004" t="str">
            <v>GSWRE</v>
          </cell>
          <cell r="B1004" t="str">
            <v>SWASTIK REAL ESTATES (INDIA) PVT. LTD.</v>
          </cell>
          <cell r="C1004" t="str">
            <v>ADVAN</v>
          </cell>
          <cell r="D1004">
            <v>3219</v>
          </cell>
          <cell r="E1004">
            <v>3219</v>
          </cell>
          <cell r="F1004">
            <v>0</v>
          </cell>
        </row>
        <row r="1005">
          <cell r="A1005" t="str">
            <v>GTTMO</v>
          </cell>
          <cell r="B1005" t="str">
            <v>T &amp; T MOTORS LIMITED</v>
          </cell>
          <cell r="C1005" t="str">
            <v>ADVAN</v>
          </cell>
          <cell r="D1005">
            <v>4239376</v>
          </cell>
          <cell r="E1005">
            <v>4239376</v>
          </cell>
          <cell r="F1005">
            <v>0</v>
          </cell>
        </row>
        <row r="1006">
          <cell r="A1006" t="str">
            <v>GTVCO</v>
          </cell>
          <cell r="B1006" t="str">
            <v>T. V. COMPLEX</v>
          </cell>
          <cell r="C1006" t="str">
            <v>ADVAN</v>
          </cell>
          <cell r="D1006">
            <v>6600</v>
          </cell>
          <cell r="E1006">
            <v>6600</v>
          </cell>
          <cell r="F1006">
            <v>0</v>
          </cell>
        </row>
        <row r="1007">
          <cell r="A1007" t="str">
            <v>GATPF</v>
          </cell>
          <cell r="B1007" t="str">
            <v>T.P FURNITURES</v>
          </cell>
          <cell r="C1007" t="str">
            <v>ADVAN</v>
          </cell>
          <cell r="D1007">
            <v>1200</v>
          </cell>
          <cell r="E1007">
            <v>1200</v>
          </cell>
          <cell r="F1007">
            <v>0</v>
          </cell>
        </row>
        <row r="1008">
          <cell r="A1008" t="str">
            <v>GTAGO</v>
          </cell>
          <cell r="B1008" t="str">
            <v>TAGORE GRACIAS</v>
          </cell>
          <cell r="C1008" t="str">
            <v>ADVAN</v>
          </cell>
          <cell r="D1008">
            <v>66650</v>
          </cell>
          <cell r="E1008">
            <v>66650</v>
          </cell>
          <cell r="F1008">
            <v>0</v>
          </cell>
        </row>
        <row r="1009">
          <cell r="A1009" t="str">
            <v>GTAJP</v>
          </cell>
          <cell r="B1009" t="str">
            <v>TAJ PRESIDENT</v>
          </cell>
          <cell r="C1009" t="str">
            <v>ADVAN</v>
          </cell>
          <cell r="D1009">
            <v>47703</v>
          </cell>
          <cell r="E1009">
            <v>47703</v>
          </cell>
          <cell r="F1009">
            <v>0</v>
          </cell>
        </row>
        <row r="1010">
          <cell r="A1010" t="str">
            <v>GTAKS</v>
          </cell>
          <cell r="B1010" t="str">
            <v>TAKSHEELA ENTERPRISE</v>
          </cell>
          <cell r="C1010" t="str">
            <v>ADVAN</v>
          </cell>
          <cell r="D1010">
            <v>7800</v>
          </cell>
          <cell r="E1010">
            <v>7800</v>
          </cell>
          <cell r="F1010">
            <v>0</v>
          </cell>
        </row>
        <row r="1011">
          <cell r="A1011" t="str">
            <v>GTAPO</v>
          </cell>
          <cell r="B1011" t="str">
            <v>TAPOVAN (MANINAGAR) OWNERS ASSOCIATION</v>
          </cell>
          <cell r="C1011" t="str">
            <v>ADVAN</v>
          </cell>
          <cell r="D1011">
            <v>24354</v>
          </cell>
          <cell r="E1011">
            <v>24354</v>
          </cell>
          <cell r="F1011">
            <v>0</v>
          </cell>
        </row>
        <row r="1012">
          <cell r="A1012" t="str">
            <v>GTPTL</v>
          </cell>
          <cell r="B1012" t="str">
            <v>TASC PHARMACEUTICALS LTD</v>
          </cell>
          <cell r="C1012" t="str">
            <v>ADVAN</v>
          </cell>
          <cell r="D1012">
            <v>217224</v>
          </cell>
          <cell r="E1012">
            <v>217224</v>
          </cell>
          <cell r="F1012">
            <v>0</v>
          </cell>
        </row>
        <row r="1013">
          <cell r="A1013" t="str">
            <v>GTASH</v>
          </cell>
          <cell r="B1013" t="str">
            <v>TASHKENT XEROX &amp; STATIONARY MART</v>
          </cell>
          <cell r="C1013" t="str">
            <v>ADVAN</v>
          </cell>
          <cell r="D1013">
            <v>931</v>
          </cell>
          <cell r="E1013">
            <v>931</v>
          </cell>
          <cell r="F1013">
            <v>0</v>
          </cell>
        </row>
        <row r="1014">
          <cell r="A1014" t="str">
            <v>GTAIG</v>
          </cell>
          <cell r="B1014" t="str">
            <v>TATA AIG GENERAL INSURANCE CO. LTD.</v>
          </cell>
          <cell r="C1014" t="str">
            <v>ADVAN</v>
          </cell>
          <cell r="D1014">
            <v>219130</v>
          </cell>
          <cell r="E1014">
            <v>219130</v>
          </cell>
          <cell r="F1014">
            <v>0</v>
          </cell>
        </row>
        <row r="1015">
          <cell r="A1015" t="str">
            <v>GTIPT</v>
          </cell>
          <cell r="B1015" t="str">
            <v>TELECOMMUNICATORS (INDIA) PVT. LTD.</v>
          </cell>
          <cell r="C1015" t="str">
            <v>ADVAN</v>
          </cell>
          <cell r="D1015">
            <v>52500</v>
          </cell>
          <cell r="E1015">
            <v>52500</v>
          </cell>
          <cell r="F1015">
            <v>0</v>
          </cell>
        </row>
        <row r="1016">
          <cell r="A1016" t="str">
            <v>GTHEA</v>
          </cell>
          <cell r="B1016" t="str">
            <v>THE ATELIER</v>
          </cell>
          <cell r="C1016" t="str">
            <v>ADVAN</v>
          </cell>
          <cell r="D1016">
            <v>409500</v>
          </cell>
          <cell r="E1016">
            <v>409500</v>
          </cell>
          <cell r="F1016">
            <v>0</v>
          </cell>
        </row>
        <row r="1017">
          <cell r="A1017" t="str">
            <v>GBEST</v>
          </cell>
          <cell r="B1017" t="str">
            <v>THE B.E.S. &amp; T. UNDERTAKING</v>
          </cell>
          <cell r="C1017" t="str">
            <v>ADVAN</v>
          </cell>
          <cell r="D1017">
            <v>105523</v>
          </cell>
          <cell r="E1017">
            <v>105523</v>
          </cell>
          <cell r="F1017">
            <v>0</v>
          </cell>
        </row>
        <row r="1018">
          <cell r="A1018" t="str">
            <v>GCOAS</v>
          </cell>
          <cell r="B1018" t="str">
            <v>THE COASTAL TRADERS</v>
          </cell>
          <cell r="C1018" t="str">
            <v>ADVAN</v>
          </cell>
          <cell r="D1018">
            <v>45650</v>
          </cell>
          <cell r="E1018">
            <v>45650</v>
          </cell>
          <cell r="F1018">
            <v>0</v>
          </cell>
        </row>
        <row r="1019">
          <cell r="A1019" t="str">
            <v>GDESI</v>
          </cell>
          <cell r="B1019" t="str">
            <v>THE DESIGN CELL</v>
          </cell>
          <cell r="C1019" t="str">
            <v>ADVAN</v>
          </cell>
          <cell r="D1019">
            <v>625000</v>
          </cell>
          <cell r="E1019">
            <v>625000</v>
          </cell>
          <cell r="F1019">
            <v>0</v>
          </cell>
        </row>
        <row r="1020">
          <cell r="A1020" t="str">
            <v>GIHCL</v>
          </cell>
          <cell r="B1020" t="str">
            <v>THE INDIAN HOTELS COMPANY LTD.</v>
          </cell>
          <cell r="C1020" t="str">
            <v>ADVAN</v>
          </cell>
          <cell r="D1020">
            <v>60674</v>
          </cell>
          <cell r="E1020">
            <v>60674</v>
          </cell>
          <cell r="F1020">
            <v>0</v>
          </cell>
        </row>
        <row r="1021">
          <cell r="A1021" t="str">
            <v>GTINP</v>
          </cell>
          <cell r="B1021" t="str">
            <v>THE INDIAN NATIONAL PRESS (P) LTD.</v>
          </cell>
          <cell r="C1021" t="str">
            <v>ADVAN</v>
          </cell>
          <cell r="D1021">
            <v>4794800</v>
          </cell>
          <cell r="E1021">
            <v>4794800</v>
          </cell>
          <cell r="F1021">
            <v>0</v>
          </cell>
        </row>
        <row r="1022">
          <cell r="A1022" t="str">
            <v>GINNO</v>
          </cell>
          <cell r="B1022" t="str">
            <v>THE INNOVATORS</v>
          </cell>
          <cell r="C1022" t="str">
            <v>ADVAN</v>
          </cell>
          <cell r="D1022">
            <v>6000</v>
          </cell>
          <cell r="E1022">
            <v>6000</v>
          </cell>
          <cell r="F1022">
            <v>0</v>
          </cell>
        </row>
        <row r="1023">
          <cell r="A1023" t="str">
            <v>GTOPL</v>
          </cell>
          <cell r="B1023" t="str">
            <v>TOPLINE</v>
          </cell>
          <cell r="C1023" t="str">
            <v>ADVAN</v>
          </cell>
          <cell r="D1023">
            <v>99375</v>
          </cell>
          <cell r="E1023">
            <v>99375</v>
          </cell>
          <cell r="F1023">
            <v>0</v>
          </cell>
        </row>
        <row r="1024">
          <cell r="A1024" t="str">
            <v>GTRIN</v>
          </cell>
          <cell r="B1024" t="str">
            <v>TREND INTERNATIONAL</v>
          </cell>
          <cell r="C1024" t="str">
            <v>ADVAN</v>
          </cell>
          <cell r="D1024">
            <v>2577</v>
          </cell>
          <cell r="E1024">
            <v>2577</v>
          </cell>
          <cell r="F1024">
            <v>0</v>
          </cell>
        </row>
        <row r="1025">
          <cell r="A1025" t="str">
            <v>GTRIS</v>
          </cell>
          <cell r="B1025" t="str">
            <v>TRIBHUVAN SINGH</v>
          </cell>
          <cell r="C1025" t="str">
            <v>ADVAN</v>
          </cell>
          <cell r="D1025">
            <v>10338</v>
          </cell>
          <cell r="E1025">
            <v>10338</v>
          </cell>
          <cell r="F1025">
            <v>0</v>
          </cell>
        </row>
        <row r="1026">
          <cell r="A1026" t="str">
            <v>GTRAG</v>
          </cell>
          <cell r="B1026" t="str">
            <v>TRIPTA AGGARWAL</v>
          </cell>
          <cell r="C1026" t="str">
            <v>ADVAN</v>
          </cell>
          <cell r="D1026">
            <v>505</v>
          </cell>
          <cell r="E1026">
            <v>505</v>
          </cell>
          <cell r="F1026">
            <v>0</v>
          </cell>
        </row>
        <row r="1027">
          <cell r="A1027" t="str">
            <v>GTUKA</v>
          </cell>
          <cell r="B1027" t="str">
            <v>TUKARAM ELECTRICALS</v>
          </cell>
          <cell r="C1027" t="str">
            <v>ADVAN</v>
          </cell>
          <cell r="D1027">
            <v>1000</v>
          </cell>
          <cell r="E1027">
            <v>1000</v>
          </cell>
          <cell r="F1027">
            <v>0</v>
          </cell>
        </row>
        <row r="1028">
          <cell r="A1028" t="str">
            <v>GTVTO</v>
          </cell>
          <cell r="B1028" t="str">
            <v>TV TODAY NETWORK LTD.</v>
          </cell>
          <cell r="C1028" t="str">
            <v>ADVAN</v>
          </cell>
          <cell r="D1028">
            <v>4435623</v>
          </cell>
          <cell r="E1028">
            <v>4435623</v>
          </cell>
          <cell r="F1028">
            <v>0</v>
          </cell>
        </row>
        <row r="1029">
          <cell r="A1029" t="str">
            <v>GTVSE</v>
          </cell>
          <cell r="B1029" t="str">
            <v>TVS ELECTRONICS</v>
          </cell>
          <cell r="C1029" t="str">
            <v>ADVAN</v>
          </cell>
          <cell r="D1029">
            <v>4176</v>
          </cell>
          <cell r="E1029">
            <v>4176</v>
          </cell>
          <cell r="F1029">
            <v>0</v>
          </cell>
        </row>
        <row r="1030">
          <cell r="A1030" t="str">
            <v>GUKAY</v>
          </cell>
          <cell r="B1030" t="str">
            <v>U &amp; KAY POWER SYSTEMS (P) LTD.</v>
          </cell>
          <cell r="C1030" t="str">
            <v>ADVAN</v>
          </cell>
          <cell r="D1030">
            <v>201572</v>
          </cell>
          <cell r="E1030">
            <v>201572</v>
          </cell>
          <cell r="F1030">
            <v>0</v>
          </cell>
        </row>
        <row r="1031">
          <cell r="A1031" t="str">
            <v>GUPWE</v>
          </cell>
          <cell r="B1031" t="str">
            <v>U.P WELDING WORKS</v>
          </cell>
          <cell r="C1031" t="str">
            <v>ADVAN</v>
          </cell>
          <cell r="D1031">
            <v>5000</v>
          </cell>
          <cell r="E1031">
            <v>5000</v>
          </cell>
          <cell r="F1031">
            <v>0</v>
          </cell>
        </row>
        <row r="1032">
          <cell r="A1032" t="str">
            <v>GUDGA</v>
          </cell>
          <cell r="B1032" t="str">
            <v>UDAY S GANDHI</v>
          </cell>
          <cell r="C1032" t="str">
            <v>ADVAN</v>
          </cell>
          <cell r="D1032">
            <v>412717</v>
          </cell>
          <cell r="E1032">
            <v>412717</v>
          </cell>
          <cell r="F1032">
            <v>0</v>
          </cell>
        </row>
        <row r="1033">
          <cell r="A1033" t="str">
            <v>GULTN</v>
          </cell>
          <cell r="B1033" t="str">
            <v>ULTIMATE INTERNATIONAL P. LTD.</v>
          </cell>
          <cell r="C1033" t="str">
            <v>ADVAN</v>
          </cell>
          <cell r="D1033">
            <v>50000</v>
          </cell>
          <cell r="E1033">
            <v>50000</v>
          </cell>
          <cell r="F1033">
            <v>0</v>
          </cell>
        </row>
        <row r="1034">
          <cell r="A1034" t="str">
            <v>GUMAI</v>
          </cell>
          <cell r="B1034" t="str">
            <v>UMA INTERNATIONAL</v>
          </cell>
          <cell r="C1034" t="str">
            <v>ADVAN</v>
          </cell>
          <cell r="D1034">
            <v>1247</v>
          </cell>
          <cell r="E1034">
            <v>1247</v>
          </cell>
          <cell r="F1034">
            <v>0</v>
          </cell>
        </row>
        <row r="1035">
          <cell r="A1035" t="str">
            <v>GUMAK</v>
          </cell>
          <cell r="B1035" t="str">
            <v>UMAKANT GIRIJASHANKAR JANI</v>
          </cell>
          <cell r="C1035" t="str">
            <v>ADVAN</v>
          </cell>
          <cell r="D1035">
            <v>448160</v>
          </cell>
          <cell r="E1035">
            <v>448160</v>
          </cell>
          <cell r="F1035">
            <v>0</v>
          </cell>
        </row>
        <row r="1036">
          <cell r="A1036" t="str">
            <v>GUNIC</v>
          </cell>
          <cell r="B1036" t="str">
            <v>UNICOOL ENGINEERS</v>
          </cell>
          <cell r="C1036" t="str">
            <v>ADVAN</v>
          </cell>
          <cell r="D1036">
            <v>56700</v>
          </cell>
          <cell r="E1036">
            <v>56700</v>
          </cell>
          <cell r="F1036">
            <v>0</v>
          </cell>
        </row>
        <row r="1037">
          <cell r="A1037" t="str">
            <v>GUNCO</v>
          </cell>
          <cell r="B1037" t="str">
            <v>UNICORN TECHNOLOGIES</v>
          </cell>
          <cell r="C1037" t="str">
            <v>ADVAN</v>
          </cell>
          <cell r="D1037">
            <v>69079</v>
          </cell>
          <cell r="E1037">
            <v>69079</v>
          </cell>
          <cell r="F1037">
            <v>0</v>
          </cell>
        </row>
        <row r="1038">
          <cell r="A1038" t="str">
            <v>GUNIQ</v>
          </cell>
          <cell r="B1038" t="str">
            <v>UNIQUE AIR CONDITIONERS</v>
          </cell>
          <cell r="C1038" t="str">
            <v>ADVAN</v>
          </cell>
          <cell r="D1038">
            <v>4298</v>
          </cell>
          <cell r="E1038">
            <v>4298</v>
          </cell>
          <cell r="F1038">
            <v>0</v>
          </cell>
        </row>
        <row r="1039">
          <cell r="A1039" t="str">
            <v>GUNIE</v>
          </cell>
          <cell r="B1039" t="str">
            <v>UNIQUE ELECTROGURAD SYSTEM (P) LTD.</v>
          </cell>
          <cell r="C1039" t="str">
            <v>ADVAN</v>
          </cell>
          <cell r="D1039">
            <v>31720</v>
          </cell>
          <cell r="E1039">
            <v>31720</v>
          </cell>
          <cell r="F1039">
            <v>0</v>
          </cell>
        </row>
        <row r="1040">
          <cell r="A1040" t="str">
            <v>GUAIR</v>
          </cell>
          <cell r="B1040" t="str">
            <v>UNITED AIR  EXPRESS</v>
          </cell>
          <cell r="C1040" t="str">
            <v>ADVAN</v>
          </cell>
          <cell r="D1040">
            <v>72</v>
          </cell>
          <cell r="E1040">
            <v>72</v>
          </cell>
          <cell r="F1040">
            <v>0</v>
          </cell>
        </row>
        <row r="1041">
          <cell r="A1041" t="str">
            <v>GUNMC</v>
          </cell>
          <cell r="B1041" t="str">
            <v>UNIVERSAL MEDIA CO.</v>
          </cell>
          <cell r="C1041" t="str">
            <v>ADVAN</v>
          </cell>
          <cell r="D1041">
            <v>30000</v>
          </cell>
          <cell r="E1041">
            <v>30000</v>
          </cell>
          <cell r="F1041">
            <v>0</v>
          </cell>
        </row>
        <row r="1042">
          <cell r="A1042" t="str">
            <v>GUNSO</v>
          </cell>
          <cell r="B1042" t="str">
            <v>UNIVERSAL SOLUTIONS</v>
          </cell>
          <cell r="C1042" t="str">
            <v>ADVAN</v>
          </cell>
          <cell r="D1042">
            <v>22700</v>
          </cell>
          <cell r="E1042">
            <v>22700</v>
          </cell>
          <cell r="F1042">
            <v>0</v>
          </cell>
        </row>
        <row r="1043">
          <cell r="A1043" t="str">
            <v>GUPPA</v>
          </cell>
          <cell r="B1043" t="str">
            <v>UPPALAPATI BUCHI VENKATAPATHI</v>
          </cell>
          <cell r="C1043" t="str">
            <v>ADVAN</v>
          </cell>
          <cell r="D1043">
            <v>6000</v>
          </cell>
          <cell r="E1043">
            <v>6000</v>
          </cell>
          <cell r="F1043">
            <v>0</v>
          </cell>
        </row>
        <row r="1044">
          <cell r="A1044" t="str">
            <v>GUSHD</v>
          </cell>
          <cell r="B1044" t="str">
            <v>USHA DINANATH DHURI &amp; RAJESH DINANATH DHURI</v>
          </cell>
          <cell r="C1044" t="str">
            <v>ADVAN</v>
          </cell>
          <cell r="D1044">
            <v>320384</v>
          </cell>
          <cell r="E1044">
            <v>320384</v>
          </cell>
          <cell r="F1044">
            <v>0</v>
          </cell>
        </row>
        <row r="1045">
          <cell r="A1045" t="str">
            <v>GUSHR</v>
          </cell>
          <cell r="B1045" t="str">
            <v>USHA REFRIGERATION &amp; AIR CONDITIONERS</v>
          </cell>
          <cell r="C1045" t="str">
            <v>ADVAN</v>
          </cell>
          <cell r="D1045">
            <v>25100</v>
          </cell>
          <cell r="E1045">
            <v>25100</v>
          </cell>
          <cell r="F1045">
            <v>0</v>
          </cell>
        </row>
        <row r="1046">
          <cell r="A1046" t="str">
            <v>GVVBA</v>
          </cell>
          <cell r="B1046" t="str">
            <v>V V BASAVAIAH</v>
          </cell>
          <cell r="C1046" t="str">
            <v>ADVAN</v>
          </cell>
          <cell r="D1046">
            <v>63608</v>
          </cell>
          <cell r="E1046">
            <v>63608</v>
          </cell>
          <cell r="F1046">
            <v>0</v>
          </cell>
        </row>
        <row r="1047">
          <cell r="A1047" t="str">
            <v>GVSFI</v>
          </cell>
          <cell r="B1047" t="str">
            <v>V.S.FINANCE LTD.</v>
          </cell>
          <cell r="C1047" t="str">
            <v>ADVAN</v>
          </cell>
          <cell r="D1047">
            <v>95022</v>
          </cell>
          <cell r="E1047">
            <v>95022</v>
          </cell>
          <cell r="F1047">
            <v>0</v>
          </cell>
        </row>
        <row r="1048">
          <cell r="A1048" t="str">
            <v>GVVPR</v>
          </cell>
          <cell r="B1048" t="str">
            <v>V.V. PRABHU</v>
          </cell>
          <cell r="C1048" t="str">
            <v>ADVAN</v>
          </cell>
          <cell r="D1048">
            <v>144401</v>
          </cell>
          <cell r="E1048">
            <v>144401</v>
          </cell>
          <cell r="F1048">
            <v>0</v>
          </cell>
        </row>
        <row r="1049">
          <cell r="A1049" t="str">
            <v>GVAIM</v>
          </cell>
          <cell r="B1049" t="str">
            <v>VAISHALL VIKAS MANDLECHA</v>
          </cell>
          <cell r="C1049" t="str">
            <v>ADVAN</v>
          </cell>
          <cell r="D1049">
            <v>11268</v>
          </cell>
          <cell r="E1049">
            <v>11268</v>
          </cell>
          <cell r="F1049">
            <v>0</v>
          </cell>
        </row>
        <row r="1050">
          <cell r="A1050" t="str">
            <v>GVAIS</v>
          </cell>
          <cell r="B1050" t="str">
            <v>VAISHNAVI FURNITURE</v>
          </cell>
          <cell r="C1050" t="str">
            <v>ADVAN</v>
          </cell>
          <cell r="D1050">
            <v>13860</v>
          </cell>
          <cell r="E1050">
            <v>13860</v>
          </cell>
          <cell r="F1050">
            <v>0</v>
          </cell>
        </row>
        <row r="1051">
          <cell r="A1051" t="str">
            <v>GVANI</v>
          </cell>
          <cell r="B1051" t="str">
            <v>VANITHA INFO SYSTEMS</v>
          </cell>
          <cell r="C1051" t="str">
            <v>ADVAN</v>
          </cell>
          <cell r="D1051">
            <v>6298</v>
          </cell>
          <cell r="E1051">
            <v>6298</v>
          </cell>
          <cell r="F1051">
            <v>0</v>
          </cell>
        </row>
        <row r="1052">
          <cell r="A1052" t="str">
            <v>GVARN</v>
          </cell>
          <cell r="B1052" t="str">
            <v>VARUN CAR AGENCY PVT LTD</v>
          </cell>
          <cell r="C1052" t="str">
            <v>ADVAN</v>
          </cell>
          <cell r="D1052">
            <v>72285</v>
          </cell>
          <cell r="E1052">
            <v>72285</v>
          </cell>
          <cell r="F1052">
            <v>0</v>
          </cell>
        </row>
        <row r="1053">
          <cell r="A1053" t="str">
            <v>GVACO</v>
          </cell>
          <cell r="B1053" t="str">
            <v>VASTU CONSTRUCTION</v>
          </cell>
          <cell r="C1053" t="str">
            <v>ADVAN</v>
          </cell>
          <cell r="D1053">
            <v>300000</v>
          </cell>
          <cell r="E1053">
            <v>300000</v>
          </cell>
          <cell r="F1053">
            <v>0</v>
          </cell>
        </row>
        <row r="1054">
          <cell r="A1054" t="str">
            <v>GVSHI</v>
          </cell>
          <cell r="B1054" t="str">
            <v>VASTU SHILPA (D.SRI RAMA MURTHY</v>
          </cell>
          <cell r="C1054" t="str">
            <v>ADVAN</v>
          </cell>
          <cell r="D1054">
            <v>525000</v>
          </cell>
          <cell r="E1054">
            <v>525000</v>
          </cell>
          <cell r="F1054">
            <v>0</v>
          </cell>
        </row>
        <row r="1055">
          <cell r="A1055" t="str">
            <v>GVATA</v>
          </cell>
          <cell r="B1055" t="str">
            <v>VATS ADVERTISING</v>
          </cell>
          <cell r="C1055" t="str">
            <v>ADVAN</v>
          </cell>
          <cell r="D1055">
            <v>1161</v>
          </cell>
          <cell r="E1055">
            <v>1161</v>
          </cell>
          <cell r="F1055">
            <v>0</v>
          </cell>
        </row>
        <row r="1056">
          <cell r="A1056" t="str">
            <v>GVCARE</v>
          </cell>
          <cell r="B1056" t="str">
            <v>VCARE COMPUTER PROFESSIONAL</v>
          </cell>
          <cell r="C1056" t="str">
            <v>ADVAN</v>
          </cell>
          <cell r="D1056">
            <v>6225</v>
          </cell>
          <cell r="E1056">
            <v>6225</v>
          </cell>
          <cell r="F1056">
            <v>0</v>
          </cell>
        </row>
        <row r="1057">
          <cell r="A1057" t="str">
            <v>GVELA</v>
          </cell>
          <cell r="B1057" t="str">
            <v>VELANKANNI ENTERPRISES</v>
          </cell>
          <cell r="C1057" t="str">
            <v>ADVAN</v>
          </cell>
          <cell r="D1057">
            <v>55197</v>
          </cell>
          <cell r="E1057">
            <v>55197</v>
          </cell>
          <cell r="F1057">
            <v>0</v>
          </cell>
        </row>
        <row r="1058">
          <cell r="A1058" t="str">
            <v>GVELY</v>
          </cell>
          <cell r="B1058" t="str">
            <v>VELAYUTHAM</v>
          </cell>
          <cell r="C1058" t="str">
            <v>ADVAN</v>
          </cell>
          <cell r="D1058">
            <v>6557.5</v>
          </cell>
          <cell r="E1058">
            <v>6557.5</v>
          </cell>
          <cell r="F1058">
            <v>0</v>
          </cell>
        </row>
        <row r="1059">
          <cell r="A1059" t="str">
            <v>GVENS</v>
          </cell>
          <cell r="B1059" t="str">
            <v>VENKATESAN</v>
          </cell>
          <cell r="C1059" t="str">
            <v>ADVAN</v>
          </cell>
          <cell r="D1059">
            <v>3534.9</v>
          </cell>
          <cell r="E1059">
            <v>3534.9</v>
          </cell>
          <cell r="F1059">
            <v>0</v>
          </cell>
        </row>
        <row r="1060">
          <cell r="A1060" t="str">
            <v>GVENF</v>
          </cell>
          <cell r="B1060" t="str">
            <v>VENKATESWARA FIRNITURE</v>
          </cell>
          <cell r="C1060" t="str">
            <v>ADVAN</v>
          </cell>
          <cell r="D1060">
            <v>1000</v>
          </cell>
          <cell r="E1060">
            <v>1000</v>
          </cell>
          <cell r="F1060">
            <v>0</v>
          </cell>
        </row>
        <row r="1061">
          <cell r="A1061" t="str">
            <v>GVNCM</v>
          </cell>
          <cell r="B1061" t="str">
            <v>VENUS COMPUTECH</v>
          </cell>
          <cell r="C1061" t="str">
            <v>ADVAN</v>
          </cell>
          <cell r="D1061">
            <v>6125</v>
          </cell>
          <cell r="E1061">
            <v>6125</v>
          </cell>
          <cell r="F1061">
            <v>0</v>
          </cell>
        </row>
        <row r="1062">
          <cell r="A1062" t="str">
            <v>GVICR</v>
          </cell>
          <cell r="B1062" t="str">
            <v>VICTORIA RESORTS &amp; CONSTRUCTIONS</v>
          </cell>
          <cell r="C1062" t="str">
            <v>ADVAN</v>
          </cell>
          <cell r="D1062">
            <v>292340</v>
          </cell>
          <cell r="E1062">
            <v>292340</v>
          </cell>
          <cell r="F1062">
            <v>0</v>
          </cell>
        </row>
        <row r="1063">
          <cell r="A1063" t="str">
            <v>GVIAGR</v>
          </cell>
          <cell r="B1063" t="str">
            <v>VIJAY AGRAWAL</v>
          </cell>
          <cell r="C1063" t="str">
            <v>ADVAN</v>
          </cell>
          <cell r="D1063">
            <v>729</v>
          </cell>
          <cell r="E1063">
            <v>729</v>
          </cell>
          <cell r="F1063">
            <v>0</v>
          </cell>
        </row>
        <row r="1064">
          <cell r="A1064" t="str">
            <v>GVIJG</v>
          </cell>
          <cell r="B1064" t="str">
            <v>VIJAY GABA</v>
          </cell>
          <cell r="C1064" t="str">
            <v>ADVAN</v>
          </cell>
          <cell r="D1064">
            <v>15000</v>
          </cell>
          <cell r="E1064">
            <v>15000</v>
          </cell>
          <cell r="F1064">
            <v>0</v>
          </cell>
        </row>
        <row r="1065">
          <cell r="A1065" t="str">
            <v>GVNTE</v>
          </cell>
          <cell r="B1065" t="str">
            <v>VINEET ENTERPRISES</v>
          </cell>
          <cell r="C1065" t="str">
            <v>ADVAN</v>
          </cell>
          <cell r="D1065">
            <v>615</v>
          </cell>
          <cell r="E1065">
            <v>615</v>
          </cell>
          <cell r="F1065">
            <v>0</v>
          </cell>
        </row>
        <row r="1066">
          <cell r="A1066" t="str">
            <v>GVINK</v>
          </cell>
          <cell r="B1066" t="str">
            <v>VINEET KUMAR</v>
          </cell>
          <cell r="C1066" t="str">
            <v>ADVAN</v>
          </cell>
          <cell r="D1066">
            <v>3492</v>
          </cell>
          <cell r="E1066">
            <v>3492</v>
          </cell>
          <cell r="F1066">
            <v>0</v>
          </cell>
        </row>
        <row r="1067">
          <cell r="A1067" t="str">
            <v>GVNIT</v>
          </cell>
          <cell r="B1067" t="str">
            <v>VINEET WADHAWA</v>
          </cell>
          <cell r="C1067" t="str">
            <v>ADVAN</v>
          </cell>
          <cell r="D1067">
            <v>14197</v>
          </cell>
          <cell r="E1067">
            <v>14197</v>
          </cell>
          <cell r="F1067">
            <v>0</v>
          </cell>
        </row>
        <row r="1068">
          <cell r="A1068" t="str">
            <v>GVINOE</v>
          </cell>
          <cell r="B1068" t="str">
            <v>VINOD ENTERPRISES</v>
          </cell>
          <cell r="C1068" t="str">
            <v>ADVAN</v>
          </cell>
          <cell r="D1068">
            <v>4694</v>
          </cell>
          <cell r="E1068">
            <v>4694</v>
          </cell>
          <cell r="F1068">
            <v>0</v>
          </cell>
        </row>
        <row r="1069">
          <cell r="A1069" t="str">
            <v>GVINP</v>
          </cell>
          <cell r="B1069" t="str">
            <v>VINOD N. PUNJABI</v>
          </cell>
          <cell r="C1069" t="str">
            <v>ADVAN</v>
          </cell>
          <cell r="D1069">
            <v>109699</v>
          </cell>
          <cell r="E1069">
            <v>109699</v>
          </cell>
          <cell r="F1069">
            <v>0</v>
          </cell>
        </row>
        <row r="1070">
          <cell r="A1070" t="str">
            <v>GVICO</v>
          </cell>
          <cell r="B1070" t="str">
            <v>VIRATECH SOFTWARE  &amp; COMMUNICATION LTD</v>
          </cell>
          <cell r="C1070" t="str">
            <v>ADVAN</v>
          </cell>
          <cell r="D1070">
            <v>1101</v>
          </cell>
          <cell r="E1070">
            <v>1101</v>
          </cell>
          <cell r="F1070">
            <v>0</v>
          </cell>
        </row>
        <row r="1071">
          <cell r="A1071" t="str">
            <v>GVIRE</v>
          </cell>
          <cell r="B1071" t="str">
            <v>VIRESH DAYALAL VYAS</v>
          </cell>
          <cell r="C1071" t="str">
            <v>ADVAN</v>
          </cell>
          <cell r="D1071">
            <v>0.02</v>
          </cell>
          <cell r="E1071">
            <v>0.02</v>
          </cell>
          <cell r="F1071">
            <v>0</v>
          </cell>
        </row>
        <row r="1072">
          <cell r="A1072" t="str">
            <v>GVENT</v>
          </cell>
          <cell r="B1072" t="str">
            <v>VISHAL ENTERPRISES</v>
          </cell>
          <cell r="C1072" t="str">
            <v>ADVAN</v>
          </cell>
          <cell r="D1072">
            <v>1</v>
          </cell>
          <cell r="E1072">
            <v>1</v>
          </cell>
          <cell r="F1072">
            <v>0</v>
          </cell>
        </row>
        <row r="1073">
          <cell r="A1073" t="str">
            <v>GVIEN</v>
          </cell>
          <cell r="B1073" t="str">
            <v>VISHWASI 2000 ENTERPRISES</v>
          </cell>
          <cell r="C1073" t="str">
            <v>ADVAN</v>
          </cell>
          <cell r="D1073">
            <v>1600</v>
          </cell>
          <cell r="E1073">
            <v>1600</v>
          </cell>
          <cell r="F1073">
            <v>0</v>
          </cell>
        </row>
        <row r="1074">
          <cell r="A1074" t="str">
            <v>GVSAI</v>
          </cell>
          <cell r="B1074" t="str">
            <v>VSAT INSURANCE RECOVERABLE</v>
          </cell>
          <cell r="C1074" t="str">
            <v>ADVAN</v>
          </cell>
          <cell r="D1074">
            <v>75960.429999999993</v>
          </cell>
          <cell r="E1074">
            <v>75960.429999999993</v>
          </cell>
          <cell r="F1074">
            <v>0</v>
          </cell>
        </row>
        <row r="1075">
          <cell r="A1075" t="str">
            <v>GVSRT</v>
          </cell>
          <cell r="B1075" t="str">
            <v>VSR TRUST</v>
          </cell>
          <cell r="C1075" t="str">
            <v>ADVAN</v>
          </cell>
          <cell r="D1075">
            <v>68064</v>
          </cell>
          <cell r="E1075">
            <v>68064</v>
          </cell>
          <cell r="F1075">
            <v>0</v>
          </cell>
        </row>
        <row r="1076">
          <cell r="A1076" t="str">
            <v>GWINF</v>
          </cell>
          <cell r="B1076" t="str">
            <v>WADHWA INFOCOM</v>
          </cell>
          <cell r="C1076" t="str">
            <v>ADVAN</v>
          </cell>
          <cell r="D1076">
            <v>2800</v>
          </cell>
          <cell r="E1076">
            <v>2800</v>
          </cell>
          <cell r="F1076">
            <v>0</v>
          </cell>
        </row>
        <row r="1077">
          <cell r="A1077" t="str">
            <v>GWALM</v>
          </cell>
          <cell r="B1077" t="str">
            <v>WAL-MART STORES (P) LTD.</v>
          </cell>
          <cell r="C1077" t="str">
            <v>ADVAN</v>
          </cell>
          <cell r="D1077">
            <v>17500</v>
          </cell>
          <cell r="E1077">
            <v>17500</v>
          </cell>
          <cell r="F1077">
            <v>0</v>
          </cell>
        </row>
        <row r="1078">
          <cell r="A1078" t="str">
            <v>GWASS</v>
          </cell>
          <cell r="B1078" t="str">
            <v>WASIM SHEIKH</v>
          </cell>
          <cell r="C1078" t="str">
            <v>ADVAN</v>
          </cell>
          <cell r="D1078">
            <v>6162</v>
          </cell>
          <cell r="E1078">
            <v>6162</v>
          </cell>
          <cell r="F1078">
            <v>0</v>
          </cell>
        </row>
        <row r="1079">
          <cell r="A1079" t="str">
            <v>GWEAR</v>
          </cell>
          <cell r="B1079" t="str">
            <v>WEARTECH ENGINEERS</v>
          </cell>
          <cell r="C1079" t="str">
            <v>ADVAN</v>
          </cell>
          <cell r="D1079">
            <v>35750</v>
          </cell>
          <cell r="E1079">
            <v>35750</v>
          </cell>
          <cell r="F1079">
            <v>0</v>
          </cell>
        </row>
        <row r="1080">
          <cell r="A1080" t="str">
            <v>GWELC</v>
          </cell>
          <cell r="B1080" t="str">
            <v>WELCOME TRAVELS</v>
          </cell>
          <cell r="C1080" t="str">
            <v>ADVAN</v>
          </cell>
          <cell r="D1080">
            <v>71011</v>
          </cell>
          <cell r="E1080">
            <v>71011</v>
          </cell>
          <cell r="F1080">
            <v>0</v>
          </cell>
        </row>
        <row r="1081">
          <cell r="A1081" t="str">
            <v>GWOOD</v>
          </cell>
          <cell r="B1081" t="str">
            <v>WOOD PECKER</v>
          </cell>
          <cell r="C1081" t="str">
            <v>ADVAN</v>
          </cell>
          <cell r="D1081">
            <v>339638</v>
          </cell>
          <cell r="E1081">
            <v>339638</v>
          </cell>
          <cell r="F1081">
            <v>0</v>
          </cell>
        </row>
        <row r="1082">
          <cell r="A1082" t="str">
            <v>GWODFR</v>
          </cell>
          <cell r="B1082" t="str">
            <v>WOODCORE FURNITURE &amp; FURNISHERS</v>
          </cell>
          <cell r="C1082" t="str">
            <v>ADVAN</v>
          </cell>
          <cell r="D1082">
            <v>3262</v>
          </cell>
          <cell r="E1082">
            <v>3262</v>
          </cell>
          <cell r="F1082">
            <v>0</v>
          </cell>
        </row>
        <row r="1083">
          <cell r="A1083" t="str">
            <v>GWODIN</v>
          </cell>
          <cell r="B1083" t="str">
            <v>WOODEK INTERIORS</v>
          </cell>
          <cell r="C1083" t="str">
            <v>ADVAN</v>
          </cell>
          <cell r="D1083">
            <v>3307</v>
          </cell>
          <cell r="E1083">
            <v>3307</v>
          </cell>
          <cell r="F1083">
            <v>0</v>
          </cell>
        </row>
        <row r="1084">
          <cell r="A1084" t="str">
            <v>GWOOM</v>
          </cell>
          <cell r="B1084" t="str">
            <v>WOODS &amp; METAL</v>
          </cell>
          <cell r="C1084" t="str">
            <v>ADVAN</v>
          </cell>
          <cell r="D1084">
            <v>100000</v>
          </cell>
          <cell r="E1084">
            <v>100000</v>
          </cell>
          <cell r="F1084">
            <v>0</v>
          </cell>
        </row>
        <row r="1085">
          <cell r="A1085" t="str">
            <v>GWORK</v>
          </cell>
          <cell r="B1085" t="str">
            <v>WORKRITE</v>
          </cell>
          <cell r="C1085" t="str">
            <v>ADVAN</v>
          </cell>
          <cell r="D1085">
            <v>63438</v>
          </cell>
          <cell r="E1085">
            <v>63438</v>
          </cell>
          <cell r="F1085">
            <v>0</v>
          </cell>
        </row>
        <row r="1086">
          <cell r="A1086" t="str">
            <v>GWORL</v>
          </cell>
          <cell r="B1086" t="str">
            <v>WORLD LINKS</v>
          </cell>
          <cell r="C1086" t="str">
            <v>ADVAN</v>
          </cell>
          <cell r="D1086">
            <v>6655</v>
          </cell>
          <cell r="E1086">
            <v>6655</v>
          </cell>
          <cell r="F1086">
            <v>0</v>
          </cell>
        </row>
        <row r="1087">
          <cell r="A1087" t="str">
            <v>GYMST</v>
          </cell>
          <cell r="B1087" t="str">
            <v>YASH MOTOR STORE</v>
          </cell>
          <cell r="C1087" t="str">
            <v>ADVAN</v>
          </cell>
          <cell r="D1087">
            <v>26000</v>
          </cell>
          <cell r="E1087">
            <v>26000</v>
          </cell>
          <cell r="F1087">
            <v>0</v>
          </cell>
        </row>
        <row r="1088">
          <cell r="A1088" t="str">
            <v>GYESI</v>
          </cell>
          <cell r="B1088" t="str">
            <v>YES INFOSYS</v>
          </cell>
          <cell r="C1088" t="str">
            <v>ADVAN</v>
          </cell>
          <cell r="D1088">
            <v>3675</v>
          </cell>
          <cell r="E1088">
            <v>3675</v>
          </cell>
          <cell r="F1088">
            <v>0</v>
          </cell>
        </row>
        <row r="1089">
          <cell r="A1089" t="str">
            <v>GYGES</v>
          </cell>
          <cell r="B1089" t="str">
            <v>YOGESH KUMAR BABULAL BHATT</v>
          </cell>
          <cell r="C1089" t="str">
            <v>ADVAN</v>
          </cell>
          <cell r="D1089">
            <v>29604</v>
          </cell>
          <cell r="E1089">
            <v>29604</v>
          </cell>
          <cell r="F1089">
            <v>0</v>
          </cell>
        </row>
        <row r="1090">
          <cell r="A1090" t="str">
            <v>GYUVR</v>
          </cell>
          <cell r="B1090" t="str">
            <v>YUVRAJ SINGH CHOUDHRY LOAN A/C</v>
          </cell>
          <cell r="C1090" t="str">
            <v>ADVAN</v>
          </cell>
          <cell r="D1090">
            <v>75000</v>
          </cell>
          <cell r="E1090">
            <v>75000</v>
          </cell>
          <cell r="F1090">
            <v>0</v>
          </cell>
        </row>
        <row r="1091">
          <cell r="A1091" t="str">
            <v>GLZEA</v>
          </cell>
          <cell r="B1091" t="str">
            <v>ZEAUL ARFIN KHAN LOAN A/C</v>
          </cell>
          <cell r="C1091" t="str">
            <v>ADVAN</v>
          </cell>
          <cell r="D1091">
            <v>1000</v>
          </cell>
          <cell r="E1091">
            <v>1000</v>
          </cell>
          <cell r="F1091">
            <v>0</v>
          </cell>
        </row>
        <row r="1092">
          <cell r="A1092" t="str">
            <v>GZEDF</v>
          </cell>
          <cell r="B1092" t="str">
            <v>ZED FURNITURE INDUSTRIES</v>
          </cell>
          <cell r="C1092" t="str">
            <v>ADVAN</v>
          </cell>
          <cell r="D1092">
            <v>8467</v>
          </cell>
          <cell r="E1092">
            <v>8467</v>
          </cell>
          <cell r="F1092">
            <v>0</v>
          </cell>
        </row>
        <row r="1093">
          <cell r="A1093" t="str">
            <v>GZENE</v>
          </cell>
          <cell r="B1093" t="str">
            <v>ZENITH ELECTRIC STORES</v>
          </cell>
          <cell r="C1093" t="str">
            <v>ADVAN</v>
          </cell>
          <cell r="D1093">
            <v>25500</v>
          </cell>
          <cell r="E1093">
            <v>25500</v>
          </cell>
          <cell r="F1093">
            <v>0</v>
          </cell>
        </row>
        <row r="1094">
          <cell r="A1094" t="str">
            <v>GZODI</v>
          </cell>
          <cell r="B1094" t="str">
            <v>ZODIAC EXPRESS PVT. LTD.</v>
          </cell>
          <cell r="C1094" t="str">
            <v>ADVAN</v>
          </cell>
          <cell r="D1094">
            <v>153</v>
          </cell>
          <cell r="E1094">
            <v>153</v>
          </cell>
          <cell r="F1094">
            <v>0</v>
          </cell>
        </row>
        <row r="1095">
          <cell r="A1095" t="str">
            <v>GA0OABC</v>
          </cell>
          <cell r="B1095" t="str">
            <v>FDR FOR ABC - BSE</v>
          </cell>
          <cell r="C1095" t="str">
            <v>AFDR</v>
          </cell>
          <cell r="D1095">
            <v>10000000</v>
          </cell>
          <cell r="E1095">
            <v>10000000</v>
          </cell>
          <cell r="F1095">
            <v>0</v>
          </cell>
        </row>
        <row r="1096">
          <cell r="A1096" t="str">
            <v>GA0OMAB</v>
          </cell>
          <cell r="B1096" t="str">
            <v>FDR FOR MABC</v>
          </cell>
          <cell r="C1096" t="str">
            <v>AFDR</v>
          </cell>
          <cell r="D1096">
            <v>4950000006</v>
          </cell>
          <cell r="E1096">
            <v>4950000006</v>
          </cell>
          <cell r="F1096">
            <v>0</v>
          </cell>
        </row>
        <row r="1097">
          <cell r="A1097" t="str">
            <v>GFDR</v>
          </cell>
          <cell r="B1097" t="str">
            <v>FDR GENERAL</v>
          </cell>
          <cell r="C1097" t="str">
            <v>AFDR</v>
          </cell>
          <cell r="D1097">
            <v>0</v>
          </cell>
          <cell r="E1097">
            <v>595012350.88999999</v>
          </cell>
          <cell r="F1097">
            <v>-595012350.88999999</v>
          </cell>
        </row>
        <row r="1098">
          <cell r="A1098" t="str">
            <v>GAIBG</v>
          </cell>
          <cell r="B1098" t="str">
            <v>DEPOSIT FOR CORPORATE GUARANTEE</v>
          </cell>
          <cell r="C1098" t="str">
            <v>ASECO</v>
          </cell>
          <cell r="D1098">
            <v>580000000</v>
          </cell>
          <cell r="E1098">
            <v>580000000</v>
          </cell>
          <cell r="F1098">
            <v>0</v>
          </cell>
        </row>
        <row r="1099">
          <cell r="A1099" t="str">
            <v>GQFLYS</v>
          </cell>
          <cell r="B1099" t="str">
            <v>QUICK N FLY EXPRESS (SECURIY DEPOSIT)</v>
          </cell>
          <cell r="C1099" t="str">
            <v>ASECO</v>
          </cell>
          <cell r="D1099">
            <v>100000</v>
          </cell>
          <cell r="E1099">
            <v>100000</v>
          </cell>
          <cell r="F1099">
            <v>0</v>
          </cell>
        </row>
        <row r="1100">
          <cell r="A1100" t="str">
            <v>GSEC26</v>
          </cell>
          <cell r="B1100" t="str">
            <v>SECURITY DEPOSIT FROM BALARAMAN</v>
          </cell>
          <cell r="C1100" t="str">
            <v>ASECO</v>
          </cell>
          <cell r="D1100">
            <v>69315</v>
          </cell>
          <cell r="E1100">
            <v>69315</v>
          </cell>
          <cell r="F1100">
            <v>0</v>
          </cell>
        </row>
        <row r="1101">
          <cell r="A1101" t="str">
            <v>GNSED</v>
          </cell>
          <cell r="B1101" t="str">
            <v>SECURITY DEPOSIT(ARBITRATION)-NSE</v>
          </cell>
          <cell r="C1101" t="str">
            <v>ASECO</v>
          </cell>
          <cell r="D1101">
            <v>3257600</v>
          </cell>
          <cell r="E1101">
            <v>3257600</v>
          </cell>
          <cell r="F1101">
            <v>0</v>
          </cell>
        </row>
        <row r="1102">
          <cell r="A1102" t="str">
            <v>GSECC</v>
          </cell>
          <cell r="B1102" t="str">
            <v>SECURITY FOR GENERATOR (COCHIN)</v>
          </cell>
          <cell r="C1102" t="str">
            <v>ASECO</v>
          </cell>
          <cell r="D1102">
            <v>30000</v>
          </cell>
          <cell r="E1102">
            <v>30000</v>
          </cell>
          <cell r="F1102">
            <v>0</v>
          </cell>
        </row>
        <row r="1103">
          <cell r="A1103" t="str">
            <v>GATDEL</v>
          </cell>
          <cell r="B1103" t="str">
            <v>SECURITY TELEPHONE DELHI</v>
          </cell>
          <cell r="C1103" t="str">
            <v>ASECO</v>
          </cell>
          <cell r="D1103">
            <v>100000</v>
          </cell>
          <cell r="E1103">
            <v>100000</v>
          </cell>
          <cell r="F1103">
            <v>0</v>
          </cell>
        </row>
        <row r="1104">
          <cell r="A1104" t="str">
            <v>GSCBTR</v>
          </cell>
          <cell r="B1104" t="str">
            <v>SECRUTY COIMBTOOR</v>
          </cell>
          <cell r="C1104" t="str">
            <v>ASECU</v>
          </cell>
          <cell r="D1104">
            <v>160000</v>
          </cell>
          <cell r="E1104">
            <v>160000</v>
          </cell>
          <cell r="F1104">
            <v>0</v>
          </cell>
        </row>
        <row r="1105">
          <cell r="A1105" t="str">
            <v>GA0022</v>
          </cell>
          <cell r="B1105" t="str">
            <v>SECURITY  DEPOSIT SJUNG (SGOCH)</v>
          </cell>
          <cell r="C1105" t="str">
            <v>ASECU</v>
          </cell>
          <cell r="D1105">
            <v>100000</v>
          </cell>
          <cell r="E1105">
            <v>100000</v>
          </cell>
          <cell r="F1105">
            <v>0</v>
          </cell>
        </row>
        <row r="1106">
          <cell r="A1106" t="str">
            <v>GKOLK</v>
          </cell>
          <cell r="B1106" t="str">
            <v>SECURITY DEPOSIT (DALHOUSIE)</v>
          </cell>
          <cell r="C1106" t="str">
            <v>ASECU</v>
          </cell>
          <cell r="D1106">
            <v>1183333.3400000001</v>
          </cell>
          <cell r="E1106">
            <v>1183333.3400000001</v>
          </cell>
          <cell r="F1106">
            <v>0</v>
          </cell>
        </row>
        <row r="1107">
          <cell r="A1107" t="str">
            <v>GSECOC</v>
          </cell>
          <cell r="B1107" t="str">
            <v>SECURITY DEPOSIT COCHIN</v>
          </cell>
          <cell r="C1107" t="str">
            <v>ASECU</v>
          </cell>
          <cell r="D1107">
            <v>3675</v>
          </cell>
          <cell r="E1107">
            <v>3675</v>
          </cell>
          <cell r="F1107">
            <v>0</v>
          </cell>
        </row>
        <row r="1108">
          <cell r="A1108" t="str">
            <v>GSEMAH</v>
          </cell>
          <cell r="B1108" t="str">
            <v>SECURITY DEPOSIT FOR MAHIM BRANCH</v>
          </cell>
          <cell r="C1108" t="str">
            <v>ASECU</v>
          </cell>
          <cell r="D1108">
            <v>500000</v>
          </cell>
          <cell r="E1108">
            <v>500000</v>
          </cell>
          <cell r="F1108">
            <v>0</v>
          </cell>
        </row>
        <row r="1109">
          <cell r="A1109" t="str">
            <v>GSCGHATW</v>
          </cell>
          <cell r="B1109" t="str">
            <v>SECURITY DEPOSIT GHATKOPAR - (W) -MAHARASHTRA</v>
          </cell>
          <cell r="C1109" t="str">
            <v>ASECU</v>
          </cell>
          <cell r="D1109">
            <v>962500</v>
          </cell>
          <cell r="E1109">
            <v>962500</v>
          </cell>
          <cell r="F1109">
            <v>0</v>
          </cell>
        </row>
        <row r="1110">
          <cell r="A1110" t="str">
            <v>GA0319</v>
          </cell>
          <cell r="B1110" t="str">
            <v>SECURITY DEPOSIT HO (SANTOSH)</v>
          </cell>
          <cell r="C1110" t="str">
            <v>ASECU</v>
          </cell>
          <cell r="D1110">
            <v>100000</v>
          </cell>
          <cell r="E1110">
            <v>100000</v>
          </cell>
          <cell r="F1110">
            <v>0</v>
          </cell>
        </row>
        <row r="1111">
          <cell r="A1111" t="str">
            <v>GSEKB</v>
          </cell>
          <cell r="B1111" t="str">
            <v>SECURITY DEPOSIT KAROL BAGH</v>
          </cell>
          <cell r="C1111" t="str">
            <v>ASECU</v>
          </cell>
          <cell r="D1111">
            <v>228000</v>
          </cell>
          <cell r="E1111">
            <v>228000</v>
          </cell>
          <cell r="F1111">
            <v>0</v>
          </cell>
        </row>
        <row r="1112">
          <cell r="A1112" t="str">
            <v>GSEKU</v>
          </cell>
          <cell r="B1112" t="str">
            <v>SECURITY DEPOSIT KURNOOL</v>
          </cell>
          <cell r="C1112" t="str">
            <v>ASECU</v>
          </cell>
          <cell r="D1112">
            <v>50000</v>
          </cell>
          <cell r="E1112">
            <v>50000</v>
          </cell>
          <cell r="F1112">
            <v>0</v>
          </cell>
        </row>
        <row r="1113">
          <cell r="A1113" t="str">
            <v>GSEMOH</v>
          </cell>
          <cell r="B1113" t="str">
            <v>SECURITY DEPOSIT MOHALI</v>
          </cell>
          <cell r="C1113" t="str">
            <v>ASECU</v>
          </cell>
          <cell r="D1113">
            <v>49500</v>
          </cell>
          <cell r="E1113">
            <v>49500</v>
          </cell>
          <cell r="F1113">
            <v>0</v>
          </cell>
        </row>
        <row r="1114">
          <cell r="A1114" t="str">
            <v>GSEABO</v>
          </cell>
          <cell r="B1114" t="str">
            <v>SECURITY DEPOSIT OF ABOHAR PIRTHVI PLACE (PUNJAB)</v>
          </cell>
          <cell r="C1114" t="str">
            <v>ASECU</v>
          </cell>
          <cell r="D1114">
            <v>12600</v>
          </cell>
          <cell r="E1114">
            <v>12600</v>
          </cell>
          <cell r="F1114">
            <v>0</v>
          </cell>
        </row>
        <row r="1115">
          <cell r="A1115" t="str">
            <v>GSEBATA</v>
          </cell>
          <cell r="B1115" t="str">
            <v>SECURITY DEPOSIT OF BATALA (PUNJAB)</v>
          </cell>
          <cell r="C1115" t="str">
            <v>ASECU</v>
          </cell>
          <cell r="D1115">
            <v>33000</v>
          </cell>
          <cell r="E1115">
            <v>33000</v>
          </cell>
          <cell r="F1115">
            <v>0</v>
          </cell>
        </row>
        <row r="1116">
          <cell r="A1116" t="str">
            <v>GSEBEG</v>
          </cell>
          <cell r="B1116" t="str">
            <v>SECURITY DEPOSIT OF BELLARY GANDHI NAGAR BRANCH</v>
          </cell>
          <cell r="C1116" t="str">
            <v>ASECU</v>
          </cell>
          <cell r="D1116">
            <v>15000</v>
          </cell>
          <cell r="E1116">
            <v>15000</v>
          </cell>
          <cell r="F1116">
            <v>0</v>
          </cell>
        </row>
        <row r="1117">
          <cell r="A1117" t="str">
            <v>GSEMOG</v>
          </cell>
          <cell r="B1117" t="str">
            <v>SECURITY DEPOSIT OF MOGA GITA THEATER GT ROAD</v>
          </cell>
          <cell r="C1117" t="str">
            <v>ASECU</v>
          </cell>
          <cell r="D1117">
            <v>60000</v>
          </cell>
          <cell r="E1117">
            <v>60000</v>
          </cell>
          <cell r="F1117">
            <v>0</v>
          </cell>
        </row>
        <row r="1118">
          <cell r="A1118" t="str">
            <v>GSENAS</v>
          </cell>
          <cell r="B1118" t="str">
            <v>SECURITY DEPOSIT OF NASHIK  SUYOJIT SANKUL BRANCH</v>
          </cell>
          <cell r="C1118" t="str">
            <v>ASECU</v>
          </cell>
          <cell r="D1118">
            <v>216000</v>
          </cell>
          <cell r="E1118">
            <v>216000</v>
          </cell>
          <cell r="F1118">
            <v>0</v>
          </cell>
        </row>
        <row r="1119">
          <cell r="A1119" t="str">
            <v>GSESUL</v>
          </cell>
          <cell r="B1119" t="str">
            <v>SECURITY DEPOSIT OF SULTANPUR UP OFFLINE</v>
          </cell>
          <cell r="C1119" t="str">
            <v>ASECU</v>
          </cell>
          <cell r="D1119">
            <v>22500</v>
          </cell>
          <cell r="E1119">
            <v>22500</v>
          </cell>
          <cell r="F1119">
            <v>0</v>
          </cell>
        </row>
        <row r="1120">
          <cell r="A1120" t="str">
            <v>GSESO</v>
          </cell>
          <cell r="B1120" t="str">
            <v>SECURITY DEPOSIT SOUTH  EXTENSION (DELHI)</v>
          </cell>
          <cell r="C1120" t="str">
            <v>ASECU</v>
          </cell>
          <cell r="D1120">
            <v>950000</v>
          </cell>
          <cell r="E1120">
            <v>950000</v>
          </cell>
          <cell r="F1120">
            <v>0</v>
          </cell>
        </row>
        <row r="1121">
          <cell r="A1121" t="str">
            <v>GSEDEL</v>
          </cell>
          <cell r="B1121" t="str">
            <v>SECURITY DEPOSIT SRINIVASPURI</v>
          </cell>
          <cell r="C1121" t="str">
            <v>ASECU</v>
          </cell>
          <cell r="D1121">
            <v>2730000</v>
          </cell>
          <cell r="E1121">
            <v>2730000</v>
          </cell>
          <cell r="F1121">
            <v>0</v>
          </cell>
        </row>
        <row r="1122">
          <cell r="A1122" t="str">
            <v>GSETRI</v>
          </cell>
          <cell r="B1122" t="str">
            <v>SECURITY DEPOSIT TRICHUR (COCHIN)</v>
          </cell>
          <cell r="C1122" t="str">
            <v>ASECU</v>
          </cell>
          <cell r="D1122">
            <v>84000</v>
          </cell>
          <cell r="E1122">
            <v>84000</v>
          </cell>
          <cell r="F1122">
            <v>0</v>
          </cell>
        </row>
        <row r="1123">
          <cell r="A1123" t="str">
            <v>GSEPO</v>
          </cell>
          <cell r="B1123" t="str">
            <v>SECURITY DEPOSITS MUMBAI (POWAI)</v>
          </cell>
          <cell r="C1123" t="str">
            <v>ASECU</v>
          </cell>
          <cell r="D1123">
            <v>909000</v>
          </cell>
          <cell r="E1123">
            <v>909000</v>
          </cell>
          <cell r="F1123">
            <v>0</v>
          </cell>
        </row>
        <row r="1124">
          <cell r="A1124" t="str">
            <v>GANHO</v>
          </cell>
          <cell r="B1124" t="str">
            <v>SECURITY FOR A N HOUSE</v>
          </cell>
          <cell r="C1124" t="str">
            <v>ASECU</v>
          </cell>
          <cell r="D1124">
            <v>67500</v>
          </cell>
          <cell r="E1124">
            <v>67500</v>
          </cell>
          <cell r="F1124">
            <v>0</v>
          </cell>
        </row>
        <row r="1125">
          <cell r="A1125" t="str">
            <v>GA0375</v>
          </cell>
          <cell r="B1125" t="str">
            <v>SECURITY FOR ALLAHABAD PR</v>
          </cell>
          <cell r="C1125" t="str">
            <v>ASECU</v>
          </cell>
          <cell r="D1125">
            <v>36600</v>
          </cell>
          <cell r="E1125">
            <v>36600</v>
          </cell>
          <cell r="F1125">
            <v>0</v>
          </cell>
        </row>
        <row r="1126">
          <cell r="A1126" t="str">
            <v>GSECB</v>
          </cell>
          <cell r="B1126" t="str">
            <v>SECURITY FOR BHOPAL PREMISES</v>
          </cell>
          <cell r="C1126" t="str">
            <v>ASECU</v>
          </cell>
          <cell r="D1126">
            <v>81000</v>
          </cell>
          <cell r="E1126">
            <v>81000</v>
          </cell>
          <cell r="F1126">
            <v>0</v>
          </cell>
        </row>
        <row r="1127">
          <cell r="A1127" t="str">
            <v>GA0393</v>
          </cell>
          <cell r="B1127" t="str">
            <v>SECURITY FOR COCHIN PREMI</v>
          </cell>
          <cell r="C1127" t="str">
            <v>ASECU</v>
          </cell>
          <cell r="D1127">
            <v>72000</v>
          </cell>
          <cell r="E1127">
            <v>72000</v>
          </cell>
          <cell r="F1127">
            <v>0</v>
          </cell>
        </row>
        <row r="1128">
          <cell r="A1128" t="str">
            <v>GSCDR</v>
          </cell>
          <cell r="B1128" t="str">
            <v>SECURITY FOR DARYAGANJ PREMISES</v>
          </cell>
          <cell r="C1128" t="str">
            <v>ASECU</v>
          </cell>
          <cell r="D1128">
            <v>66000</v>
          </cell>
          <cell r="E1128">
            <v>66000</v>
          </cell>
          <cell r="F1128">
            <v>0</v>
          </cell>
        </row>
        <row r="1129">
          <cell r="A1129" t="str">
            <v>GASECG</v>
          </cell>
          <cell r="B1129" t="str">
            <v>SECURITY FOR GUEST HOUSE</v>
          </cell>
          <cell r="C1129" t="str">
            <v>ASECU</v>
          </cell>
          <cell r="D1129">
            <v>37600</v>
          </cell>
          <cell r="E1129">
            <v>37600</v>
          </cell>
          <cell r="F1129">
            <v>0</v>
          </cell>
        </row>
        <row r="1130">
          <cell r="A1130" t="str">
            <v>GSFGP</v>
          </cell>
          <cell r="B1130" t="str">
            <v>SECURITY FOR GWALIOR PREMISES</v>
          </cell>
          <cell r="C1130" t="str">
            <v>ASECU</v>
          </cell>
          <cell r="D1130">
            <v>48000</v>
          </cell>
          <cell r="E1130">
            <v>48000</v>
          </cell>
          <cell r="F1130">
            <v>0</v>
          </cell>
        </row>
        <row r="1131">
          <cell r="A1131" t="str">
            <v>GSEKM</v>
          </cell>
          <cell r="B1131" t="str">
            <v>SECURITY FOR KADIMI HOUSE(MONTHLY)</v>
          </cell>
          <cell r="C1131" t="str">
            <v>ASECU</v>
          </cell>
          <cell r="D1131">
            <v>1026000</v>
          </cell>
          <cell r="E1131">
            <v>1026000</v>
          </cell>
          <cell r="F1131">
            <v>0</v>
          </cell>
        </row>
        <row r="1132">
          <cell r="A1132" t="str">
            <v>GSECK</v>
          </cell>
          <cell r="B1132" t="str">
            <v>SECURITY FOR KANPUR PREMISES (NEW)</v>
          </cell>
          <cell r="C1132" t="str">
            <v>ASECU</v>
          </cell>
          <cell r="D1132">
            <v>36000</v>
          </cell>
          <cell r="E1132">
            <v>36000</v>
          </cell>
          <cell r="F1132">
            <v>0</v>
          </cell>
        </row>
        <row r="1133">
          <cell r="A1133" t="str">
            <v>GA0409</v>
          </cell>
          <cell r="B1133" t="str">
            <v>SECURITY FOR MARINE DRIVE</v>
          </cell>
          <cell r="C1133" t="str">
            <v>ASECU</v>
          </cell>
          <cell r="D1133">
            <v>1000000</v>
          </cell>
          <cell r="E1133">
            <v>1000000</v>
          </cell>
          <cell r="F1133">
            <v>0</v>
          </cell>
        </row>
        <row r="1134">
          <cell r="A1134" t="str">
            <v>GA0391</v>
          </cell>
          <cell r="B1134" t="str">
            <v>SECURITY FOR MEERUT PREMI</v>
          </cell>
          <cell r="C1134" t="str">
            <v>ASECU</v>
          </cell>
          <cell r="D1134">
            <v>48000</v>
          </cell>
          <cell r="E1134">
            <v>48000</v>
          </cell>
          <cell r="F1134">
            <v>0</v>
          </cell>
        </row>
        <row r="1135">
          <cell r="A1135" t="str">
            <v>GSFMH</v>
          </cell>
          <cell r="B1135" t="str">
            <v>SECURITY FOR MUMBAI PREMISES</v>
          </cell>
          <cell r="C1135" t="str">
            <v>ASECU</v>
          </cell>
          <cell r="D1135">
            <v>2400000</v>
          </cell>
          <cell r="E1135">
            <v>2400000</v>
          </cell>
          <cell r="F1135">
            <v>0</v>
          </cell>
        </row>
        <row r="1136">
          <cell r="A1136" t="str">
            <v>GSECT</v>
          </cell>
          <cell r="B1136" t="str">
            <v>SECURITY FOR PREMISES (A)</v>
          </cell>
          <cell r="C1136" t="str">
            <v>ASECU</v>
          </cell>
          <cell r="D1136">
            <v>58000</v>
          </cell>
          <cell r="E1136">
            <v>58000</v>
          </cell>
          <cell r="F1136">
            <v>0</v>
          </cell>
        </row>
        <row r="1137">
          <cell r="A1137" t="str">
            <v>GA0521</v>
          </cell>
          <cell r="B1137" t="str">
            <v>SECURITY RENT AHMDABAD</v>
          </cell>
          <cell r="C1137" t="str">
            <v>ASECU</v>
          </cell>
          <cell r="D1137">
            <v>200000</v>
          </cell>
          <cell r="E1137">
            <v>200000</v>
          </cell>
          <cell r="F1137">
            <v>0</v>
          </cell>
        </row>
        <row r="1138">
          <cell r="A1138" t="str">
            <v>GACHAN</v>
          </cell>
          <cell r="B1138" t="str">
            <v>SECURITY RENT CHANDIGARH</v>
          </cell>
          <cell r="C1138" t="str">
            <v>ASECU</v>
          </cell>
          <cell r="D1138">
            <v>52500</v>
          </cell>
          <cell r="E1138">
            <v>52500</v>
          </cell>
          <cell r="F1138">
            <v>0</v>
          </cell>
        </row>
        <row r="1139">
          <cell r="A1139" t="str">
            <v>GVARA</v>
          </cell>
          <cell r="B1139" t="str">
            <v>SECURITY RENT- VARANSI</v>
          </cell>
          <cell r="C1139" t="str">
            <v>ASECU</v>
          </cell>
          <cell r="D1139">
            <v>21188</v>
          </cell>
          <cell r="E1139">
            <v>21188</v>
          </cell>
          <cell r="F1139">
            <v>0</v>
          </cell>
        </row>
        <row r="1140">
          <cell r="A1140" t="str">
            <v>GSE02</v>
          </cell>
          <cell r="B1140" t="str">
            <v>SECUTITY DEPOSIT KANPUR EXTENSION (UNNAO)</v>
          </cell>
          <cell r="C1140" t="str">
            <v>ASECU</v>
          </cell>
          <cell r="D1140">
            <v>12000</v>
          </cell>
          <cell r="E1140">
            <v>12000</v>
          </cell>
          <cell r="F1140">
            <v>0</v>
          </cell>
        </row>
        <row r="1141">
          <cell r="A1141" t="str">
            <v>GSTOCK</v>
          </cell>
          <cell r="B1141" t="str">
            <v>STOCK OF SECURITIES</v>
          </cell>
          <cell r="C1141" t="str">
            <v>ASTOC</v>
          </cell>
          <cell r="D1141">
            <v>50139557.789999999</v>
          </cell>
          <cell r="E1141">
            <v>50139557.789999999</v>
          </cell>
          <cell r="F1141">
            <v>0</v>
          </cell>
        </row>
        <row r="1142">
          <cell r="A1142" t="str">
            <v>GA0343</v>
          </cell>
          <cell r="B1142" t="str">
            <v>ADVANCE TAX FY2002-03</v>
          </cell>
          <cell r="C1142" t="str">
            <v>ATDSA</v>
          </cell>
          <cell r="D1142">
            <v>15495551</v>
          </cell>
          <cell r="E1142">
            <v>15495551</v>
          </cell>
          <cell r="F1142">
            <v>0</v>
          </cell>
        </row>
        <row r="1143">
          <cell r="A1143" t="str">
            <v>GA0342</v>
          </cell>
          <cell r="B1143" t="str">
            <v>ADVANCE TAX FY2003-04</v>
          </cell>
          <cell r="C1143" t="str">
            <v>ATDSA</v>
          </cell>
          <cell r="D1143">
            <v>36233750</v>
          </cell>
          <cell r="E1143">
            <v>36233750</v>
          </cell>
          <cell r="F1143">
            <v>0</v>
          </cell>
        </row>
        <row r="1144">
          <cell r="A1144" t="str">
            <v>GEIT</v>
          </cell>
          <cell r="B1144" t="str">
            <v>INCOME TAX 2003-04</v>
          </cell>
          <cell r="C1144" t="str">
            <v>ATDSA</v>
          </cell>
          <cell r="D1144">
            <v>67780838</v>
          </cell>
          <cell r="E1144">
            <v>67780838</v>
          </cell>
          <cell r="F1144">
            <v>0</v>
          </cell>
        </row>
        <row r="1145">
          <cell r="A1145" t="str">
            <v>GA101</v>
          </cell>
          <cell r="B1145" t="str">
            <v>TDS DEDUCTED - CLIENTS FY 2011-12</v>
          </cell>
          <cell r="C1145" t="str">
            <v>ATDSA</v>
          </cell>
          <cell r="D1145">
            <v>2567559</v>
          </cell>
          <cell r="E1145">
            <v>0</v>
          </cell>
          <cell r="F1145">
            <v>2567559</v>
          </cell>
        </row>
        <row r="1146">
          <cell r="A1146" t="str">
            <v>GA103</v>
          </cell>
          <cell r="B1146" t="str">
            <v>TDS DEDUCTED - CLIENTS FY 2012-13</v>
          </cell>
          <cell r="C1146" t="str">
            <v>ATDSA</v>
          </cell>
          <cell r="D1146">
            <v>870195</v>
          </cell>
          <cell r="E1146">
            <v>0</v>
          </cell>
          <cell r="F1146">
            <v>870195</v>
          </cell>
        </row>
        <row r="1147">
          <cell r="A1147" t="str">
            <v>GA104</v>
          </cell>
          <cell r="B1147" t="str">
            <v>TDS DEDUCTED - CLIENTS FY 2013-14</v>
          </cell>
          <cell r="C1147" t="str">
            <v>ATDSA</v>
          </cell>
          <cell r="D1147">
            <v>100841</v>
          </cell>
          <cell r="E1147">
            <v>0</v>
          </cell>
          <cell r="F1147">
            <v>100841</v>
          </cell>
        </row>
        <row r="1148">
          <cell r="A1148" t="str">
            <v>GA105</v>
          </cell>
          <cell r="B1148" t="str">
            <v>TDS DEDUCTED - CLIENTS FY 2014-15</v>
          </cell>
          <cell r="C1148" t="str">
            <v>ATDSA</v>
          </cell>
          <cell r="D1148">
            <v>139848</v>
          </cell>
          <cell r="E1148">
            <v>0</v>
          </cell>
          <cell r="F1148">
            <v>139848</v>
          </cell>
        </row>
        <row r="1149">
          <cell r="A1149" t="str">
            <v>GA082</v>
          </cell>
          <cell r="B1149" t="str">
            <v>TDS DEDUCTED DIVIDEND - 2002-03</v>
          </cell>
          <cell r="C1149" t="str">
            <v>ATDSA</v>
          </cell>
          <cell r="D1149">
            <v>1839517.32</v>
          </cell>
          <cell r="E1149">
            <v>1839517.32</v>
          </cell>
          <cell r="F1149">
            <v>0</v>
          </cell>
        </row>
        <row r="1150">
          <cell r="A1150" t="str">
            <v>GA084</v>
          </cell>
          <cell r="B1150" t="str">
            <v>TDS DEDUCTED DIVIDEND - 2003-04</v>
          </cell>
          <cell r="C1150" t="str">
            <v>ATDSA</v>
          </cell>
          <cell r="D1150">
            <v>12277</v>
          </cell>
          <cell r="E1150">
            <v>12277</v>
          </cell>
          <cell r="F1150">
            <v>0</v>
          </cell>
        </row>
        <row r="1151">
          <cell r="A1151" t="str">
            <v>GA081</v>
          </cell>
          <cell r="B1151" t="str">
            <v>TDS DEDUCTED OTHER - 2002-03</v>
          </cell>
          <cell r="C1151" t="str">
            <v>ATDSA</v>
          </cell>
          <cell r="D1151">
            <v>4086825.93</v>
          </cell>
          <cell r="E1151">
            <v>4086825.93</v>
          </cell>
          <cell r="F1151">
            <v>0</v>
          </cell>
        </row>
        <row r="1152">
          <cell r="A1152" t="str">
            <v>GA079</v>
          </cell>
          <cell r="B1152" t="str">
            <v>TDS DEDUCTED OTHERS - 2001-02</v>
          </cell>
          <cell r="C1152" t="str">
            <v>ATDSA</v>
          </cell>
          <cell r="D1152">
            <v>882105.39</v>
          </cell>
          <cell r="E1152">
            <v>882105.39</v>
          </cell>
          <cell r="F1152">
            <v>0</v>
          </cell>
        </row>
        <row r="1153">
          <cell r="A1153" t="str">
            <v>GA083</v>
          </cell>
          <cell r="B1153" t="str">
            <v>TDS DEDUCTED OTHERS - 2003-04</v>
          </cell>
          <cell r="C1153" t="str">
            <v>ATDSA</v>
          </cell>
          <cell r="D1153">
            <v>6322275.5</v>
          </cell>
          <cell r="E1153">
            <v>6322275.5</v>
          </cell>
          <cell r="F1153">
            <v>0</v>
          </cell>
        </row>
        <row r="1154">
          <cell r="A1154" t="str">
            <v>GA092</v>
          </cell>
          <cell r="B1154" t="str">
            <v>TDS DEDUCTED OTHERS 2007-08</v>
          </cell>
          <cell r="C1154" t="str">
            <v>ATDSA</v>
          </cell>
          <cell r="D1154">
            <v>16088886.99</v>
          </cell>
          <cell r="E1154">
            <v>0</v>
          </cell>
          <cell r="F1154">
            <v>16088886.99</v>
          </cell>
        </row>
        <row r="1155">
          <cell r="A1155" t="str">
            <v>GA097</v>
          </cell>
          <cell r="B1155" t="str">
            <v>TDS DEDUCTED OTHERS 2009-10</v>
          </cell>
          <cell r="C1155" t="str">
            <v>ATDSA</v>
          </cell>
          <cell r="D1155">
            <v>6568867</v>
          </cell>
          <cell r="E1155">
            <v>0</v>
          </cell>
          <cell r="F1155">
            <v>6568867</v>
          </cell>
        </row>
        <row r="1156">
          <cell r="A1156" t="str">
            <v>GA100</v>
          </cell>
          <cell r="B1156" t="str">
            <v>TDS DEDUCTED OTHERS 2010-11</v>
          </cell>
          <cell r="C1156" t="str">
            <v>ATDSA</v>
          </cell>
          <cell r="D1156">
            <v>10021843</v>
          </cell>
          <cell r="E1156">
            <v>0</v>
          </cell>
          <cell r="F1156">
            <v>10021843</v>
          </cell>
        </row>
        <row r="1157">
          <cell r="A1157" t="str">
            <v>GFDTD0708</v>
          </cell>
          <cell r="B1157" t="str">
            <v>TDS ON FD 2007-08</v>
          </cell>
          <cell r="C1157" t="str">
            <v>ATDSA</v>
          </cell>
          <cell r="D1157">
            <v>2712712.87</v>
          </cell>
          <cell r="E1157">
            <v>0</v>
          </cell>
          <cell r="F1157">
            <v>2712712.87</v>
          </cell>
        </row>
        <row r="1158">
          <cell r="A1158" t="str">
            <v>GL0042</v>
          </cell>
          <cell r="B1158" t="str">
            <v>12% CUMM REDEEMABLE PREFERNCE SHARE CAPITAL</v>
          </cell>
          <cell r="C1158" t="str">
            <v>CAPIT</v>
          </cell>
          <cell r="D1158">
            <v>452700000</v>
          </cell>
          <cell r="E1158">
            <v>452700000</v>
          </cell>
          <cell r="F1158">
            <v>0</v>
          </cell>
        </row>
        <row r="1159">
          <cell r="A1159" t="str">
            <v>GCON</v>
          </cell>
          <cell r="B1159" t="str">
            <v>CONTROL ACCOUNT</v>
          </cell>
          <cell r="C1159" t="str">
            <v>CAPIT</v>
          </cell>
          <cell r="D1159">
            <v>1222464111.3800001</v>
          </cell>
          <cell r="E1159">
            <v>0</v>
          </cell>
          <cell r="F1159">
            <v>1222464111.3800001</v>
          </cell>
        </row>
        <row r="1160">
          <cell r="A1160" t="str">
            <v>GLCDP</v>
          </cell>
          <cell r="B1160" t="str">
            <v>CORPORATE DIVIDEND TAX PAYABLE</v>
          </cell>
          <cell r="C1160" t="str">
            <v>CDT</v>
          </cell>
          <cell r="D1160">
            <v>1556517</v>
          </cell>
          <cell r="E1160">
            <v>1556517</v>
          </cell>
          <cell r="F1160">
            <v>0</v>
          </cell>
        </row>
        <row r="1161">
          <cell r="A1161" t="str">
            <v>GE0056</v>
          </cell>
          <cell r="B1161" t="str">
            <v>BAD DEBTS WRITTEN OFF</v>
          </cell>
          <cell r="C1161" t="str">
            <v>E03</v>
          </cell>
          <cell r="D1161">
            <v>0</v>
          </cell>
          <cell r="E1161">
            <v>342526.91</v>
          </cell>
          <cell r="F1161">
            <v>-342526.91</v>
          </cell>
        </row>
        <row r="1162">
          <cell r="A1162" t="str">
            <v>GBSEP</v>
          </cell>
          <cell r="B1162" t="str">
            <v>BSE PENALTY CHARGES</v>
          </cell>
          <cell r="C1162" t="str">
            <v>EAME</v>
          </cell>
          <cell r="D1162">
            <v>5618</v>
          </cell>
          <cell r="E1162">
            <v>5618</v>
          </cell>
          <cell r="F1162">
            <v>0</v>
          </cell>
        </row>
        <row r="1163">
          <cell r="A1163" t="str">
            <v>GNSEP</v>
          </cell>
          <cell r="B1163" t="str">
            <v>NSE PENALTY CHARGES</v>
          </cell>
          <cell r="C1163" t="str">
            <v>EAME</v>
          </cell>
          <cell r="D1163">
            <v>57819.22</v>
          </cell>
          <cell r="E1163">
            <v>65214.16</v>
          </cell>
          <cell r="F1163">
            <v>-7394.9400000000023</v>
          </cell>
        </row>
        <row r="1164">
          <cell r="A1164" t="str">
            <v>GASE</v>
          </cell>
          <cell r="B1164" t="str">
            <v>SHORT &amp; EXCESS</v>
          </cell>
          <cell r="C1164" t="str">
            <v>EAME</v>
          </cell>
          <cell r="D1164">
            <v>67.13</v>
          </cell>
          <cell r="E1164">
            <v>23.79</v>
          </cell>
          <cell r="F1164">
            <v>43.339999999999996</v>
          </cell>
        </row>
        <row r="1165">
          <cell r="A1165" t="str">
            <v>GOFFI</v>
          </cell>
          <cell r="B1165" t="str">
            <v>OFFICE MAINTENANCE</v>
          </cell>
          <cell r="C1165" t="str">
            <v>EAOM</v>
          </cell>
          <cell r="D1165">
            <v>4</v>
          </cell>
          <cell r="E1165">
            <v>4</v>
          </cell>
          <cell r="F1165">
            <v>0</v>
          </cell>
        </row>
        <row r="1166">
          <cell r="A1166" t="str">
            <v>GRATE</v>
          </cell>
          <cell r="B1166" t="str">
            <v>RATES &amp; TAXES</v>
          </cell>
          <cell r="C1166" t="str">
            <v>EART</v>
          </cell>
          <cell r="D1166">
            <v>35672</v>
          </cell>
          <cell r="E1166">
            <v>0</v>
          </cell>
          <cell r="F1166">
            <v>35672</v>
          </cell>
        </row>
        <row r="1167">
          <cell r="A1167" t="str">
            <v>GBANK</v>
          </cell>
          <cell r="B1167" t="str">
            <v>BANK CHARGES</v>
          </cell>
          <cell r="C1167" t="str">
            <v>EIBC</v>
          </cell>
          <cell r="D1167">
            <v>45004.49</v>
          </cell>
          <cell r="E1167">
            <v>15612.36</v>
          </cell>
          <cell r="F1167">
            <v>29392.129999999997</v>
          </cell>
        </row>
        <row r="1168">
          <cell r="A1168" t="str">
            <v>GL00118</v>
          </cell>
          <cell r="B1168" t="str">
            <v>BSE TRANSACTION CHARGES (EXP)</v>
          </cell>
          <cell r="C1168" t="str">
            <v>EOTC</v>
          </cell>
          <cell r="D1168">
            <v>81636</v>
          </cell>
          <cell r="E1168">
            <v>0</v>
          </cell>
          <cell r="F1168">
            <v>81636</v>
          </cell>
        </row>
        <row r="1169">
          <cell r="A1169" t="str">
            <v>GICAR</v>
          </cell>
          <cell r="B1169" t="str">
            <v>CAR HONDA ACCORD</v>
          </cell>
          <cell r="C1169" t="str">
            <v>FASSET</v>
          </cell>
          <cell r="D1169">
            <v>1533566</v>
          </cell>
          <cell r="E1169">
            <v>1533566</v>
          </cell>
          <cell r="F1169">
            <v>0</v>
          </cell>
        </row>
        <row r="1170">
          <cell r="A1170" t="str">
            <v>GAF18</v>
          </cell>
          <cell r="B1170" t="str">
            <v>FAN KANPUR</v>
          </cell>
          <cell r="C1170" t="str">
            <v>FASSET</v>
          </cell>
          <cell r="D1170">
            <v>2534</v>
          </cell>
          <cell r="E1170">
            <v>2534</v>
          </cell>
          <cell r="F1170">
            <v>0</v>
          </cell>
        </row>
        <row r="1171">
          <cell r="A1171" t="str">
            <v>GAAPM01</v>
          </cell>
          <cell r="B1171" t="str">
            <v>FURNITURE &amp; FITTINGS - AMALAPURAM</v>
          </cell>
          <cell r="C1171" t="str">
            <v>FASSET</v>
          </cell>
          <cell r="D1171">
            <v>34686</v>
          </cell>
          <cell r="E1171">
            <v>34686</v>
          </cell>
          <cell r="F1171">
            <v>0</v>
          </cell>
        </row>
        <row r="1172">
          <cell r="A1172" t="str">
            <v>GAFBD12</v>
          </cell>
          <cell r="B1172" t="str">
            <v>FURNITURE &amp; FIXTURE-FARIDABAD</v>
          </cell>
          <cell r="C1172" t="str">
            <v>FASSET</v>
          </cell>
          <cell r="D1172">
            <v>65565</v>
          </cell>
          <cell r="E1172">
            <v>65565</v>
          </cell>
          <cell r="F1172">
            <v>0</v>
          </cell>
        </row>
        <row r="1173">
          <cell r="A1173" t="str">
            <v>GGRAJ</v>
          </cell>
          <cell r="B1173" t="str">
            <v>GLOW SIGN BOARD</v>
          </cell>
          <cell r="C1173" t="str">
            <v>FASSET</v>
          </cell>
          <cell r="D1173">
            <v>1500</v>
          </cell>
          <cell r="E1173">
            <v>1500</v>
          </cell>
          <cell r="F1173">
            <v>0</v>
          </cell>
        </row>
        <row r="1174">
          <cell r="A1174" t="str">
            <v>GGTAN</v>
          </cell>
          <cell r="B1174" t="str">
            <v>GLOW SIGN BOARD TANAKU</v>
          </cell>
          <cell r="C1174" t="str">
            <v>FASSET</v>
          </cell>
          <cell r="D1174">
            <v>10275</v>
          </cell>
          <cell r="E1174">
            <v>10275</v>
          </cell>
          <cell r="F1174">
            <v>0</v>
          </cell>
        </row>
        <row r="1175">
          <cell r="A1175" t="str">
            <v>GAF17</v>
          </cell>
          <cell r="B1175" t="str">
            <v>TELEVISION KANPUR</v>
          </cell>
          <cell r="C1175" t="str">
            <v>FASSET</v>
          </cell>
          <cell r="D1175">
            <v>9536</v>
          </cell>
          <cell r="E1175">
            <v>9536</v>
          </cell>
          <cell r="F1175">
            <v>0</v>
          </cell>
        </row>
        <row r="1176">
          <cell r="A1176" t="str">
            <v>GAFD05</v>
          </cell>
          <cell r="B1176" t="str">
            <v>UPS/CVT FARIDABAD</v>
          </cell>
          <cell r="C1176" t="str">
            <v>FASSET</v>
          </cell>
          <cell r="D1176">
            <v>215331</v>
          </cell>
          <cell r="E1176">
            <v>215331</v>
          </cell>
          <cell r="F1176">
            <v>0</v>
          </cell>
        </row>
        <row r="1177">
          <cell r="A1177" t="str">
            <v>GAOC</v>
          </cell>
          <cell r="B1177" t="str">
            <v>ACCOUNT OPENING CHARGES-INDIABULLS</v>
          </cell>
          <cell r="C1177" t="str">
            <v>IAC</v>
          </cell>
          <cell r="D1177">
            <v>1201.5</v>
          </cell>
          <cell r="E1177">
            <v>181026</v>
          </cell>
          <cell r="F1177">
            <v>-179824.5</v>
          </cell>
        </row>
        <row r="1178">
          <cell r="A1178" t="str">
            <v>GBROKS</v>
          </cell>
          <cell r="B1178" t="str">
            <v>BROKERAGE &amp; SERVICE CHARGES</v>
          </cell>
          <cell r="C1178" t="str">
            <v>IGB</v>
          </cell>
          <cell r="D1178">
            <v>19763</v>
          </cell>
          <cell r="E1178">
            <v>1626354.34</v>
          </cell>
          <cell r="F1178">
            <v>-1606591.34</v>
          </cell>
        </row>
        <row r="1179">
          <cell r="A1179" t="str">
            <v>GCBROK</v>
          </cell>
          <cell r="B1179" t="str">
            <v>BROKERAGE CDS</v>
          </cell>
          <cell r="C1179" t="str">
            <v>IGB</v>
          </cell>
          <cell r="D1179">
            <v>729</v>
          </cell>
          <cell r="E1179">
            <v>1224236.3</v>
          </cell>
          <cell r="F1179">
            <v>-1223507.3</v>
          </cell>
        </row>
        <row r="1180">
          <cell r="A1180" t="str">
            <v>GBROK</v>
          </cell>
          <cell r="B1180" t="str">
            <v>BROKERAGE INCOME</v>
          </cell>
          <cell r="C1180" t="str">
            <v>IGB</v>
          </cell>
          <cell r="D1180">
            <v>3593</v>
          </cell>
          <cell r="E1180">
            <v>75669600.319999993</v>
          </cell>
          <cell r="F1180">
            <v>-75666007.319999993</v>
          </cell>
        </row>
        <row r="1181">
          <cell r="A1181" t="str">
            <v>GBBROK</v>
          </cell>
          <cell r="B1181" t="str">
            <v>BROKERAGE INCOME BSE</v>
          </cell>
          <cell r="C1181" t="str">
            <v>IGB</v>
          </cell>
          <cell r="D1181">
            <v>403</v>
          </cell>
          <cell r="E1181">
            <v>5507342.4400000004</v>
          </cell>
          <cell r="F1181">
            <v>-5506939.4400000004</v>
          </cell>
        </row>
        <row r="1182">
          <cell r="A1182" t="str">
            <v>GFBROK</v>
          </cell>
          <cell r="B1182" t="str">
            <v>BROKERAGE INCOME F&amp;O</v>
          </cell>
          <cell r="C1182" t="str">
            <v>IGB</v>
          </cell>
          <cell r="D1182">
            <v>5129</v>
          </cell>
          <cell r="E1182">
            <v>82364357.640000001</v>
          </cell>
          <cell r="F1182">
            <v>-82359228.640000001</v>
          </cell>
        </row>
        <row r="1183">
          <cell r="A1183" t="str">
            <v>GIDP</v>
          </cell>
          <cell r="B1183" t="str">
            <v>D.P. INCOME</v>
          </cell>
          <cell r="C1183" t="str">
            <v>IGD</v>
          </cell>
          <cell r="D1183">
            <v>0</v>
          </cell>
          <cell r="E1183">
            <v>68250847.640000001</v>
          </cell>
          <cell r="F1183">
            <v>-68250847.640000001</v>
          </cell>
        </row>
        <row r="1184">
          <cell r="A1184" t="str">
            <v>GI01004</v>
          </cell>
          <cell r="B1184" t="str">
            <v>#INTEREST FROM CLIENTS</v>
          </cell>
          <cell r="C1184" t="str">
            <v>IGM</v>
          </cell>
          <cell r="D1184">
            <v>4864724.67</v>
          </cell>
          <cell r="E1184">
            <v>4864724.67</v>
          </cell>
          <cell r="F1184">
            <v>0</v>
          </cell>
        </row>
        <row r="1185">
          <cell r="A1185" t="str">
            <v>GIDELAY</v>
          </cell>
          <cell r="B1185" t="str">
            <v>CHARGES FOR DELAYED PAYMENT</v>
          </cell>
          <cell r="C1185" t="str">
            <v>IGM</v>
          </cell>
          <cell r="D1185">
            <v>16371.37</v>
          </cell>
          <cell r="E1185">
            <v>8024988.79</v>
          </cell>
          <cell r="F1185">
            <v>-8008617.4199999999</v>
          </cell>
        </row>
        <row r="1186">
          <cell r="A1186" t="str">
            <v>GIFO</v>
          </cell>
          <cell r="B1186" t="str">
            <v>CHARGES FOR FO POSITION</v>
          </cell>
          <cell r="C1186" t="str">
            <v>IGM</v>
          </cell>
          <cell r="D1186">
            <v>0</v>
          </cell>
          <cell r="E1186">
            <v>8197783.9000000004</v>
          </cell>
          <cell r="F1186">
            <v>-8197783.9000000004</v>
          </cell>
        </row>
        <row r="1187">
          <cell r="A1187" t="str">
            <v>GINT1</v>
          </cell>
          <cell r="B1187" t="str">
            <v>INTEREST</v>
          </cell>
          <cell r="C1187" t="str">
            <v>IGM</v>
          </cell>
          <cell r="D1187">
            <v>2092619.37</v>
          </cell>
          <cell r="E1187">
            <v>2092619.37</v>
          </cell>
          <cell r="F1187">
            <v>0</v>
          </cell>
        </row>
        <row r="1188">
          <cell r="A1188" t="str">
            <v>GINTI</v>
          </cell>
          <cell r="B1188" t="str">
            <v>INTEREST INCOME</v>
          </cell>
          <cell r="C1188" t="str">
            <v>IGM</v>
          </cell>
          <cell r="D1188">
            <v>1362854.63</v>
          </cell>
          <cell r="E1188">
            <v>1362854.63</v>
          </cell>
          <cell r="F1188">
            <v>0</v>
          </cell>
        </row>
        <row r="1189">
          <cell r="A1189" t="str">
            <v>GINTDP</v>
          </cell>
          <cell r="B1189" t="str">
            <v>INTEREST ON DP CLIENTS</v>
          </cell>
          <cell r="C1189" t="str">
            <v>IGM</v>
          </cell>
          <cell r="D1189">
            <v>0</v>
          </cell>
          <cell r="E1189">
            <v>640108.30000000005</v>
          </cell>
          <cell r="F1189">
            <v>-640108.30000000005</v>
          </cell>
        </row>
        <row r="1190">
          <cell r="A1190" t="str">
            <v>GINT</v>
          </cell>
          <cell r="B1190" t="str">
            <v>INTEREST ON MARGIN FUNDING</v>
          </cell>
          <cell r="C1190" t="str">
            <v>IGM</v>
          </cell>
          <cell r="D1190">
            <v>0</v>
          </cell>
          <cell r="E1190">
            <v>641498.24</v>
          </cell>
          <cell r="F1190">
            <v>-641498.24</v>
          </cell>
        </row>
        <row r="1191">
          <cell r="A1191" t="str">
            <v>GL01002</v>
          </cell>
          <cell r="B1191" t="str">
            <v>OTHER CHARGES (INCLUDING TRANSACTION CHARGES)</v>
          </cell>
          <cell r="C1191" t="str">
            <v>IGT</v>
          </cell>
          <cell r="D1191">
            <v>11697672.49</v>
          </cell>
          <cell r="E1191">
            <v>4924624.3499999996</v>
          </cell>
          <cell r="F1191">
            <v>6773048.1400000006</v>
          </cell>
        </row>
        <row r="1192">
          <cell r="A1192" t="str">
            <v>GTRANS</v>
          </cell>
          <cell r="B1192" t="str">
            <v>OTHER CHARGES (INCLUDING TRANSACTION CHARGES)</v>
          </cell>
          <cell r="C1192" t="str">
            <v>IGT</v>
          </cell>
          <cell r="D1192">
            <v>325685</v>
          </cell>
          <cell r="E1192">
            <v>4039162.26</v>
          </cell>
          <cell r="F1192">
            <v>-3713477.26</v>
          </cell>
        </row>
        <row r="1193">
          <cell r="A1193" t="str">
            <v>GTRXNCG</v>
          </cell>
          <cell r="B1193" t="str">
            <v>OTHER CHARGES (INCLUDING TRANSACTION CHARGES)</v>
          </cell>
          <cell r="C1193" t="str">
            <v>IGT</v>
          </cell>
          <cell r="D1193">
            <v>656668.19999999995</v>
          </cell>
          <cell r="E1193">
            <v>7453077.54</v>
          </cell>
          <cell r="F1193">
            <v>-6796409.3399999999</v>
          </cell>
        </row>
        <row r="1194">
          <cell r="A1194" t="str">
            <v>GBTRANS</v>
          </cell>
          <cell r="B1194" t="str">
            <v>OTHER CHARGES (INCLUDING TRANSACTION CHARGES) BSE</v>
          </cell>
          <cell r="C1194" t="str">
            <v>IGT</v>
          </cell>
          <cell r="D1194">
            <v>10784</v>
          </cell>
          <cell r="E1194">
            <v>271884.37</v>
          </cell>
          <cell r="F1194">
            <v>-261100.37</v>
          </cell>
        </row>
        <row r="1195">
          <cell r="A1195" t="str">
            <v>GCTRANS</v>
          </cell>
          <cell r="B1195" t="str">
            <v>OTHER CHARGES (INCLUDING TRANSACTION CHARGES) CDS</v>
          </cell>
          <cell r="C1195" t="str">
            <v>IGT</v>
          </cell>
          <cell r="D1195">
            <v>4056</v>
          </cell>
          <cell r="E1195">
            <v>47882.2</v>
          </cell>
          <cell r="F1195">
            <v>-43826.2</v>
          </cell>
        </row>
        <row r="1196">
          <cell r="A1196" t="str">
            <v>GFTRANS</v>
          </cell>
          <cell r="B1196" t="str">
            <v>OTHER CHARGES (INCLUDING TRANSACTION CHARGES) F&amp;O</v>
          </cell>
          <cell r="C1196" t="str">
            <v>IGT</v>
          </cell>
          <cell r="D1196">
            <v>933683.86</v>
          </cell>
          <cell r="E1196">
            <v>7386620.3399999999</v>
          </cell>
          <cell r="F1196">
            <v>-6452936.4799999995</v>
          </cell>
        </row>
        <row r="1197">
          <cell r="A1197" t="str">
            <v>GTRAN</v>
          </cell>
          <cell r="B1197" t="str">
            <v>OTHER CHARGES (INCLUDING TRANSACTION CHARGES) REFUND</v>
          </cell>
          <cell r="C1197" t="str">
            <v>IGT</v>
          </cell>
          <cell r="D1197">
            <v>956264.51</v>
          </cell>
          <cell r="E1197">
            <v>88181.1</v>
          </cell>
          <cell r="F1197">
            <v>868083.41</v>
          </cell>
        </row>
        <row r="1198">
          <cell r="A1198" t="str">
            <v>GSDTX</v>
          </cell>
          <cell r="B1198" t="str">
            <v>OTHER CHARGES (INCLUDING TRANSACTION CHARGES)SERVICE TAX</v>
          </cell>
          <cell r="C1198" t="str">
            <v>IGT</v>
          </cell>
          <cell r="D1198">
            <v>804582</v>
          </cell>
          <cell r="E1198">
            <v>0</v>
          </cell>
          <cell r="F1198">
            <v>804582</v>
          </cell>
        </row>
        <row r="1199">
          <cell r="A1199" t="str">
            <v>GSDT</v>
          </cell>
          <cell r="B1199" t="str">
            <v>OTHER PROCESSING CHARGES</v>
          </cell>
          <cell r="C1199" t="str">
            <v>IGT</v>
          </cell>
          <cell r="D1199">
            <v>0</v>
          </cell>
          <cell r="E1199">
            <v>10292806.869999999</v>
          </cell>
          <cell r="F1199">
            <v>-10292806.869999999</v>
          </cell>
        </row>
        <row r="1200">
          <cell r="A1200" t="str">
            <v>GTML</v>
          </cell>
          <cell r="B1200" t="str">
            <v>SHARE APPLICATION MONEY - TECH MAHINDRA LTD.</v>
          </cell>
          <cell r="C1200" t="str">
            <v>INVES</v>
          </cell>
          <cell r="D1200">
            <v>456248175</v>
          </cell>
          <cell r="E1200">
            <v>456248175</v>
          </cell>
          <cell r="F1200">
            <v>0</v>
          </cell>
        </row>
        <row r="1201">
          <cell r="A1201" t="str">
            <v>GTRADE</v>
          </cell>
          <cell r="B1201" t="str">
            <v>TRADING ACCOUNT</v>
          </cell>
          <cell r="C1201" t="str">
            <v>INVES</v>
          </cell>
          <cell r="D1201">
            <v>73244721.640000001</v>
          </cell>
          <cell r="E1201">
            <v>73244721.640000001</v>
          </cell>
          <cell r="F1201">
            <v>0</v>
          </cell>
        </row>
        <row r="1202">
          <cell r="A1202" t="str">
            <v>GIPOC</v>
          </cell>
          <cell r="B1202" t="str">
            <v>IPO COMMISSION RECD</v>
          </cell>
          <cell r="C1202" t="str">
            <v>IOM</v>
          </cell>
          <cell r="D1202">
            <v>0</v>
          </cell>
          <cell r="E1202">
            <v>3851.46</v>
          </cell>
          <cell r="F1202">
            <v>-3851.46</v>
          </cell>
        </row>
        <row r="1203">
          <cell r="A1203" t="str">
            <v>GI01010</v>
          </cell>
          <cell r="B1203" t="str">
            <v>POWER ACTIVATION CHARGES</v>
          </cell>
          <cell r="C1203" t="str">
            <v>IOM</v>
          </cell>
          <cell r="D1203">
            <v>29948</v>
          </cell>
          <cell r="E1203">
            <v>222188</v>
          </cell>
          <cell r="F1203">
            <v>-192240</v>
          </cell>
        </row>
        <row r="1204">
          <cell r="A1204" t="str">
            <v>IMC</v>
          </cell>
          <cell r="B1204" t="str">
            <v>ACCOUNT MAINTENANCE CHARGES</v>
          </cell>
          <cell r="C1204" t="str">
            <v>IOTHER</v>
          </cell>
          <cell r="D1204">
            <v>531086.80000000005</v>
          </cell>
          <cell r="E1204">
            <v>59301.64</v>
          </cell>
          <cell r="F1204">
            <v>471785.16000000003</v>
          </cell>
        </row>
        <row r="1205">
          <cell r="A1205" t="str">
            <v>GINTCUST</v>
          </cell>
          <cell r="B1205" t="str">
            <v>INTEREST PAYABLE ON CUSTODIAL FD</v>
          </cell>
          <cell r="C1205" t="str">
            <v>L05</v>
          </cell>
          <cell r="D1205">
            <v>12924223.779999999</v>
          </cell>
          <cell r="E1205">
            <v>0</v>
          </cell>
          <cell r="F1205">
            <v>12924223.779999999</v>
          </cell>
        </row>
        <row r="1206">
          <cell r="A1206" t="str">
            <v>GARRSA</v>
          </cell>
          <cell r="B1206" t="str">
            <v>SALARY ARREARS</v>
          </cell>
          <cell r="C1206" t="str">
            <v>L05</v>
          </cell>
          <cell r="D1206">
            <v>13236</v>
          </cell>
          <cell r="E1206">
            <v>13236</v>
          </cell>
          <cell r="F1206">
            <v>0</v>
          </cell>
        </row>
        <row r="1207">
          <cell r="A1207" t="str">
            <v>GL1048</v>
          </cell>
          <cell r="B1207" t="str">
            <v>ALLAHABAD BANK IPO</v>
          </cell>
          <cell r="C1207" t="str">
            <v>LDIV</v>
          </cell>
          <cell r="D1207">
            <v>725700</v>
          </cell>
          <cell r="E1207">
            <v>725700</v>
          </cell>
          <cell r="F1207">
            <v>0</v>
          </cell>
        </row>
        <row r="1208">
          <cell r="A1208" t="str">
            <v>GL1050</v>
          </cell>
          <cell r="B1208" t="str">
            <v>BALPHARMA RIGHT ISSUE</v>
          </cell>
          <cell r="C1208" t="str">
            <v>LDIV</v>
          </cell>
          <cell r="D1208">
            <v>13800</v>
          </cell>
          <cell r="E1208">
            <v>13800</v>
          </cell>
          <cell r="F1208">
            <v>0</v>
          </cell>
        </row>
        <row r="1209">
          <cell r="A1209" t="str">
            <v>GL1071</v>
          </cell>
          <cell r="B1209" t="str">
            <v>BHARAT FORGE LTD. WARRENT</v>
          </cell>
          <cell r="C1209" t="str">
            <v>LDIV</v>
          </cell>
          <cell r="D1209">
            <v>36207</v>
          </cell>
          <cell r="E1209">
            <v>36207</v>
          </cell>
          <cell r="F1209">
            <v>0</v>
          </cell>
        </row>
        <row r="1210">
          <cell r="A1210" t="str">
            <v>GL1112</v>
          </cell>
          <cell r="B1210" t="str">
            <v>CALL MONEY ICICI BANK LIMITED</v>
          </cell>
          <cell r="C1210" t="str">
            <v>LDIV</v>
          </cell>
          <cell r="D1210">
            <v>286260</v>
          </cell>
          <cell r="E1210">
            <v>286260</v>
          </cell>
          <cell r="F1210">
            <v>0</v>
          </cell>
        </row>
        <row r="1211">
          <cell r="A1211" t="str">
            <v>GL1119</v>
          </cell>
          <cell r="B1211" t="str">
            <v>CALL MONEY NETWORK 18 MEDIA &amp; INVESTMENTS LTD</v>
          </cell>
          <cell r="C1211" t="str">
            <v>LDIV</v>
          </cell>
          <cell r="D1211">
            <v>1079.83</v>
          </cell>
          <cell r="E1211">
            <v>1079.83</v>
          </cell>
          <cell r="F1211">
            <v>0</v>
          </cell>
        </row>
        <row r="1212">
          <cell r="A1212" t="str">
            <v>GL1113</v>
          </cell>
          <cell r="B1212" t="str">
            <v>CALL MONEY ORIENT PAPER &amp; INDUSTRIES LTD</v>
          </cell>
          <cell r="C1212" t="str">
            <v>LDIV</v>
          </cell>
          <cell r="D1212">
            <v>5400</v>
          </cell>
          <cell r="E1212">
            <v>5400</v>
          </cell>
          <cell r="F1212">
            <v>0</v>
          </cell>
        </row>
        <row r="1213">
          <cell r="A1213" t="str">
            <v>GL1031</v>
          </cell>
          <cell r="B1213" t="str">
            <v>CENTURION BANK RIGHT ISSUE</v>
          </cell>
          <cell r="C1213" t="str">
            <v>LDIV</v>
          </cell>
          <cell r="D1213">
            <v>77120</v>
          </cell>
          <cell r="E1213">
            <v>77120</v>
          </cell>
          <cell r="F1213">
            <v>0</v>
          </cell>
        </row>
        <row r="1214">
          <cell r="A1214" t="str">
            <v>GL1038</v>
          </cell>
          <cell r="B1214" t="str">
            <v>CESC RIGHT ISSUE</v>
          </cell>
          <cell r="C1214" t="str">
            <v>LDIV</v>
          </cell>
          <cell r="D1214">
            <v>3360</v>
          </cell>
          <cell r="E1214">
            <v>3360</v>
          </cell>
          <cell r="F1214">
            <v>0</v>
          </cell>
        </row>
        <row r="1215">
          <cell r="A1215" t="str">
            <v>GL1025</v>
          </cell>
          <cell r="B1215" t="str">
            <v>CHOLAMANDALAM RIGHT ISSUE</v>
          </cell>
          <cell r="C1215" t="str">
            <v>LDIV</v>
          </cell>
          <cell r="D1215">
            <v>46750</v>
          </cell>
          <cell r="E1215">
            <v>46750</v>
          </cell>
          <cell r="F1215">
            <v>0</v>
          </cell>
        </row>
        <row r="1216">
          <cell r="A1216" t="str">
            <v>GL1073</v>
          </cell>
          <cell r="B1216" t="str">
            <v>CONV. JVSL WARR</v>
          </cell>
          <cell r="C1216" t="str">
            <v>LDIV</v>
          </cell>
          <cell r="D1216">
            <v>266080</v>
          </cell>
          <cell r="E1216">
            <v>266080</v>
          </cell>
          <cell r="F1216">
            <v>0</v>
          </cell>
        </row>
        <row r="1217">
          <cell r="A1217" t="str">
            <v>GLDIVIDEND</v>
          </cell>
          <cell r="B1217" t="str">
            <v>DIVIDEND (CLIENT)</v>
          </cell>
          <cell r="C1217" t="str">
            <v>LDIV</v>
          </cell>
          <cell r="D1217">
            <v>3504062.23</v>
          </cell>
          <cell r="E1217">
            <v>3504062.23</v>
          </cell>
          <cell r="F1217">
            <v>0</v>
          </cell>
        </row>
        <row r="1218">
          <cell r="A1218" t="str">
            <v>GL01DIV</v>
          </cell>
          <cell r="B1218" t="str">
            <v>DIVIDEND PAYABLE</v>
          </cell>
          <cell r="C1218" t="str">
            <v>LDIV</v>
          </cell>
          <cell r="D1218">
            <v>173477661.41</v>
          </cell>
          <cell r="E1218">
            <v>173477661.41</v>
          </cell>
          <cell r="F1218">
            <v>0</v>
          </cell>
        </row>
        <row r="1219">
          <cell r="A1219" t="str">
            <v>GL01015</v>
          </cell>
          <cell r="B1219" t="str">
            <v>DIVIDEND PAYABLE ONLINE</v>
          </cell>
          <cell r="C1219" t="str">
            <v>LDIV</v>
          </cell>
          <cell r="D1219">
            <v>8754.24</v>
          </cell>
          <cell r="E1219">
            <v>8754.24</v>
          </cell>
          <cell r="F1219">
            <v>0</v>
          </cell>
        </row>
        <row r="1220">
          <cell r="A1220" t="str">
            <v>GI01009</v>
          </cell>
          <cell r="B1220" t="str">
            <v>FRACTIONAL SHARES A/C</v>
          </cell>
          <cell r="C1220" t="str">
            <v>LDIV</v>
          </cell>
          <cell r="D1220">
            <v>4792.45</v>
          </cell>
          <cell r="E1220">
            <v>4792.45</v>
          </cell>
          <cell r="F1220">
            <v>0</v>
          </cell>
        </row>
        <row r="1221">
          <cell r="A1221" t="str">
            <v>GL1036</v>
          </cell>
          <cell r="B1221" t="str">
            <v>GIC HOUSING FINANCE RIGHT ISSUE</v>
          </cell>
          <cell r="C1221" t="str">
            <v>LDIV</v>
          </cell>
          <cell r="D1221">
            <v>78160</v>
          </cell>
          <cell r="E1221">
            <v>78160</v>
          </cell>
          <cell r="F1221">
            <v>0</v>
          </cell>
        </row>
        <row r="1222">
          <cell r="A1222" t="str">
            <v>GL1027</v>
          </cell>
          <cell r="B1222" t="str">
            <v>ICICI BANK PARTLY PAID</v>
          </cell>
          <cell r="C1222" t="str">
            <v>LDIV</v>
          </cell>
          <cell r="D1222">
            <v>91400</v>
          </cell>
          <cell r="E1222">
            <v>91400</v>
          </cell>
          <cell r="F1222">
            <v>0</v>
          </cell>
        </row>
        <row r="1223">
          <cell r="A1223" t="str">
            <v>GAIFD</v>
          </cell>
          <cell r="B1223" t="str">
            <v>INDIABULLS FINANCIAL SERVICES DIVIDEND</v>
          </cell>
          <cell r="C1223" t="str">
            <v>LDIV</v>
          </cell>
          <cell r="D1223">
            <v>49528761.030000001</v>
          </cell>
          <cell r="E1223">
            <v>49528761.030000001</v>
          </cell>
          <cell r="F1223">
            <v>0</v>
          </cell>
        </row>
        <row r="1224">
          <cell r="A1224" t="str">
            <v>GL1044</v>
          </cell>
          <cell r="B1224" t="str">
            <v>ING VYSYA BANK RIGHT ISSUE</v>
          </cell>
          <cell r="C1224" t="str">
            <v>LDIV</v>
          </cell>
          <cell r="D1224">
            <v>2232825</v>
          </cell>
          <cell r="E1224">
            <v>2232825</v>
          </cell>
          <cell r="F1224">
            <v>0</v>
          </cell>
        </row>
        <row r="1225">
          <cell r="A1225" t="str">
            <v>GL1045</v>
          </cell>
          <cell r="B1225" t="str">
            <v>JAIPRAKASH HYDRO POWER LTD - IPO</v>
          </cell>
          <cell r="C1225" t="str">
            <v>LDIV</v>
          </cell>
          <cell r="D1225">
            <v>1286400</v>
          </cell>
          <cell r="E1225">
            <v>1286400</v>
          </cell>
          <cell r="F1225">
            <v>0</v>
          </cell>
        </row>
        <row r="1226">
          <cell r="A1226" t="str">
            <v>GL1042</v>
          </cell>
          <cell r="B1226" t="str">
            <v>KARNATAKA  BANK  RIGHT ISSUE</v>
          </cell>
          <cell r="C1226" t="str">
            <v>LDIV</v>
          </cell>
          <cell r="D1226">
            <v>1884880</v>
          </cell>
          <cell r="E1226">
            <v>1884880</v>
          </cell>
          <cell r="F1226">
            <v>0</v>
          </cell>
        </row>
        <row r="1227">
          <cell r="A1227" t="str">
            <v>GL1052</v>
          </cell>
          <cell r="B1227" t="str">
            <v>LAKSHMI VILAS BANK RIGHT ISSUE</v>
          </cell>
          <cell r="C1227" t="str">
            <v>LDIV</v>
          </cell>
          <cell r="D1227">
            <v>1075305</v>
          </cell>
          <cell r="E1227">
            <v>1075305</v>
          </cell>
          <cell r="F1227">
            <v>0</v>
          </cell>
        </row>
        <row r="1228">
          <cell r="A1228" t="str">
            <v>GL1035</v>
          </cell>
          <cell r="B1228" t="str">
            <v>MAWANA SUGAR RIGHT ISSUE</v>
          </cell>
          <cell r="C1228" t="str">
            <v>LDIV</v>
          </cell>
          <cell r="D1228">
            <v>9789</v>
          </cell>
          <cell r="E1228">
            <v>9789</v>
          </cell>
          <cell r="F1228">
            <v>0</v>
          </cell>
        </row>
        <row r="1229">
          <cell r="A1229" t="str">
            <v>GL1024</v>
          </cell>
          <cell r="B1229" t="str">
            <v>ONGC PUBLIC ISSUE PREFERENCE</v>
          </cell>
          <cell r="C1229" t="str">
            <v>LDIV</v>
          </cell>
          <cell r="D1229">
            <v>765000</v>
          </cell>
          <cell r="E1229">
            <v>765000</v>
          </cell>
          <cell r="F1229">
            <v>0</v>
          </cell>
        </row>
        <row r="1230">
          <cell r="A1230" t="str">
            <v>GL1051</v>
          </cell>
          <cell r="B1230" t="str">
            <v>OUDH SUGAR RIGHT ISSUE</v>
          </cell>
          <cell r="C1230" t="str">
            <v>LDIV</v>
          </cell>
          <cell r="D1230">
            <v>543000</v>
          </cell>
          <cell r="E1230">
            <v>543000</v>
          </cell>
          <cell r="F1230">
            <v>0</v>
          </cell>
        </row>
        <row r="1231">
          <cell r="A1231" t="str">
            <v>GL1103</v>
          </cell>
          <cell r="B1231" t="str">
            <v>RIGHT ISSUE ADITYA BIRLA NUVO</v>
          </cell>
          <cell r="C1231" t="str">
            <v>LDIV</v>
          </cell>
          <cell r="D1231">
            <v>88816</v>
          </cell>
          <cell r="E1231">
            <v>88816</v>
          </cell>
          <cell r="F1231">
            <v>0</v>
          </cell>
        </row>
        <row r="1232">
          <cell r="A1232" t="str">
            <v>GL1079</v>
          </cell>
          <cell r="B1232" t="str">
            <v>RIGHT ISSUE AGRODUTCH LTD.</v>
          </cell>
          <cell r="C1232" t="str">
            <v>LDIV</v>
          </cell>
          <cell r="D1232">
            <v>342500</v>
          </cell>
          <cell r="E1232">
            <v>342500</v>
          </cell>
          <cell r="F1232">
            <v>0</v>
          </cell>
        </row>
        <row r="1233">
          <cell r="A1233" t="str">
            <v>GL1057</v>
          </cell>
          <cell r="B1233" t="str">
            <v>RIGHT ISSUE APPAPER</v>
          </cell>
          <cell r="C1233" t="str">
            <v>LDIV</v>
          </cell>
          <cell r="D1233">
            <v>464550</v>
          </cell>
          <cell r="E1233">
            <v>464550</v>
          </cell>
          <cell r="F1233">
            <v>0</v>
          </cell>
        </row>
        <row r="1234">
          <cell r="A1234" t="str">
            <v>GL1069</v>
          </cell>
          <cell r="B1234" t="str">
            <v>RIGHT ISSUE APW</v>
          </cell>
          <cell r="C1234" t="str">
            <v>LDIV</v>
          </cell>
          <cell r="D1234">
            <v>47080</v>
          </cell>
          <cell r="E1234">
            <v>47080</v>
          </cell>
          <cell r="F1234">
            <v>0</v>
          </cell>
        </row>
        <row r="1235">
          <cell r="A1235" t="str">
            <v>GL1092</v>
          </cell>
          <cell r="B1235" t="str">
            <v>RIGHT ISSUE BHARAT GEAR LTD</v>
          </cell>
          <cell r="C1235" t="str">
            <v>LDIV</v>
          </cell>
          <cell r="D1235">
            <v>22000</v>
          </cell>
          <cell r="E1235">
            <v>22000</v>
          </cell>
          <cell r="F1235">
            <v>0</v>
          </cell>
        </row>
        <row r="1236">
          <cell r="A1236" t="str">
            <v>GL1078</v>
          </cell>
          <cell r="B1236" t="str">
            <v>RIGHT ISSUE CEAT LTD.</v>
          </cell>
          <cell r="C1236" t="str">
            <v>LDIV</v>
          </cell>
          <cell r="D1236">
            <v>3318950</v>
          </cell>
          <cell r="E1236">
            <v>3318950</v>
          </cell>
          <cell r="F1236">
            <v>0</v>
          </cell>
        </row>
        <row r="1237">
          <cell r="A1237" t="str">
            <v>GL1066</v>
          </cell>
          <cell r="B1237" t="str">
            <v>RIGHT ISSUE CENTURY EXTRUSIONS</v>
          </cell>
          <cell r="C1237" t="str">
            <v>LDIV</v>
          </cell>
          <cell r="D1237">
            <v>120035</v>
          </cell>
          <cell r="E1237">
            <v>120035</v>
          </cell>
          <cell r="F1237">
            <v>0</v>
          </cell>
        </row>
        <row r="1238">
          <cell r="A1238" t="str">
            <v>GL1063</v>
          </cell>
          <cell r="B1238" t="str">
            <v>RIGHT ISSUE COLOR CHIPS</v>
          </cell>
          <cell r="C1238" t="str">
            <v>LDIV</v>
          </cell>
          <cell r="D1238">
            <v>469087.5</v>
          </cell>
          <cell r="E1238">
            <v>469087.5</v>
          </cell>
          <cell r="F1238">
            <v>0</v>
          </cell>
        </row>
        <row r="1239">
          <cell r="A1239" t="str">
            <v>GL1091</v>
          </cell>
          <cell r="B1239" t="str">
            <v>RIGHT ISSUE DIGVIJAY CEMENT</v>
          </cell>
          <cell r="C1239" t="str">
            <v>LDIV</v>
          </cell>
          <cell r="D1239">
            <v>54400</v>
          </cell>
          <cell r="E1239">
            <v>54400</v>
          </cell>
          <cell r="F1239">
            <v>0</v>
          </cell>
        </row>
        <row r="1240">
          <cell r="A1240" t="str">
            <v>GL1076</v>
          </cell>
          <cell r="B1240" t="str">
            <v>RIGHT ISSUE DOLPHIN</v>
          </cell>
          <cell r="C1240" t="str">
            <v>LDIV</v>
          </cell>
          <cell r="D1240">
            <v>43200</v>
          </cell>
          <cell r="E1240">
            <v>43200</v>
          </cell>
          <cell r="F1240">
            <v>0</v>
          </cell>
        </row>
        <row r="1241">
          <cell r="A1241" t="str">
            <v>GL1055</v>
          </cell>
          <cell r="B1241" t="str">
            <v>RIGHT ISSUE ENNORE FOUNDRIES LTD.</v>
          </cell>
          <cell r="C1241" t="str">
            <v>LDIV</v>
          </cell>
          <cell r="D1241">
            <v>1963200</v>
          </cell>
          <cell r="E1241">
            <v>1963200</v>
          </cell>
          <cell r="F1241">
            <v>0</v>
          </cell>
        </row>
        <row r="1242">
          <cell r="A1242" t="str">
            <v>GL1116</v>
          </cell>
          <cell r="B1242" t="str">
            <v>RIGHT ISSUE EXIDE INDUSTRIES LTD</v>
          </cell>
          <cell r="C1242" t="str">
            <v>LDIV</v>
          </cell>
          <cell r="D1242">
            <v>990</v>
          </cell>
          <cell r="E1242">
            <v>990</v>
          </cell>
          <cell r="F1242">
            <v>0</v>
          </cell>
        </row>
        <row r="1243">
          <cell r="A1243" t="str">
            <v>GL1058</v>
          </cell>
          <cell r="B1243" t="str">
            <v>RIGHT ISSUE GATI LTD.</v>
          </cell>
          <cell r="C1243" t="str">
            <v>LDIV</v>
          </cell>
          <cell r="D1243">
            <v>68580</v>
          </cell>
          <cell r="E1243">
            <v>68580</v>
          </cell>
          <cell r="F1243">
            <v>0</v>
          </cell>
        </row>
        <row r="1244">
          <cell r="A1244" t="str">
            <v>GL1096</v>
          </cell>
          <cell r="B1244" t="str">
            <v>RIGHT ISSUE GRUH FINANCE</v>
          </cell>
          <cell r="C1244" t="str">
            <v>LDIV</v>
          </cell>
          <cell r="D1244">
            <v>11250</v>
          </cell>
          <cell r="E1244">
            <v>11250</v>
          </cell>
          <cell r="F1244">
            <v>0</v>
          </cell>
        </row>
        <row r="1245">
          <cell r="A1245" t="str">
            <v>GL1108</v>
          </cell>
          <cell r="B1245" t="str">
            <v>RIGHT ISSUE GTL INFRASTRUCTURE LTD.</v>
          </cell>
          <cell r="C1245" t="str">
            <v>LDIV</v>
          </cell>
          <cell r="D1245">
            <v>277890</v>
          </cell>
          <cell r="E1245">
            <v>277890</v>
          </cell>
          <cell r="F1245">
            <v>0</v>
          </cell>
        </row>
        <row r="1246">
          <cell r="A1246" t="str">
            <v>GL1074</v>
          </cell>
          <cell r="B1246" t="str">
            <v>RIGHT ISSUE HINDALCO</v>
          </cell>
          <cell r="C1246" t="str">
            <v>LDIV</v>
          </cell>
          <cell r="D1246">
            <v>2931530</v>
          </cell>
          <cell r="E1246">
            <v>2931530</v>
          </cell>
          <cell r="F1246">
            <v>0</v>
          </cell>
        </row>
        <row r="1247">
          <cell r="A1247" t="str">
            <v>GL1095</v>
          </cell>
          <cell r="B1247" t="str">
            <v>RIGHT ISSUE HINDUSTAN OIL EXP. LTD</v>
          </cell>
          <cell r="C1247" t="str">
            <v>LDIV</v>
          </cell>
          <cell r="D1247">
            <v>225340</v>
          </cell>
          <cell r="E1247">
            <v>225340</v>
          </cell>
          <cell r="F1247">
            <v>0</v>
          </cell>
        </row>
        <row r="1248">
          <cell r="A1248" t="str">
            <v>GL1114</v>
          </cell>
          <cell r="B1248" t="str">
            <v>RIGHT ISSUE HINDUSTAN OIL EXPLORATION COMPANY LTD</v>
          </cell>
          <cell r="C1248" t="str">
            <v>LDIV</v>
          </cell>
          <cell r="D1248">
            <v>15444</v>
          </cell>
          <cell r="E1248">
            <v>15444</v>
          </cell>
          <cell r="F1248">
            <v>0</v>
          </cell>
        </row>
        <row r="1249">
          <cell r="A1249" t="str">
            <v>GL1118</v>
          </cell>
          <cell r="B1249" t="str">
            <v>RIGHT ISSUE INDIAN HOTELS COMPANY LTD</v>
          </cell>
          <cell r="C1249" t="str">
            <v>LDIV</v>
          </cell>
          <cell r="D1249">
            <v>14000</v>
          </cell>
          <cell r="E1249">
            <v>14000</v>
          </cell>
          <cell r="F1249">
            <v>0</v>
          </cell>
        </row>
        <row r="1250">
          <cell r="A1250" t="str">
            <v>GL1111</v>
          </cell>
          <cell r="B1250" t="str">
            <v>RIGHT ISSUE ITD CEMENTATION INDIA LTD</v>
          </cell>
          <cell r="C1250" t="str">
            <v>LDIV</v>
          </cell>
          <cell r="D1250">
            <v>85000</v>
          </cell>
          <cell r="E1250">
            <v>85000</v>
          </cell>
          <cell r="F1250">
            <v>0</v>
          </cell>
        </row>
        <row r="1251">
          <cell r="A1251" t="str">
            <v>GL1097</v>
          </cell>
          <cell r="B1251" t="str">
            <v>RIGHT ISSUE ITD CEMENTATION LTD</v>
          </cell>
          <cell r="C1251" t="str">
            <v>LDIV</v>
          </cell>
          <cell r="D1251">
            <v>24500</v>
          </cell>
          <cell r="E1251">
            <v>24500</v>
          </cell>
          <cell r="F1251">
            <v>0</v>
          </cell>
        </row>
        <row r="1252">
          <cell r="A1252" t="str">
            <v>GL1056</v>
          </cell>
          <cell r="B1252" t="str">
            <v>RIGHT ISSUE JMC PROJECT</v>
          </cell>
          <cell r="C1252" t="str">
            <v>LDIV</v>
          </cell>
          <cell r="D1252">
            <v>1594710</v>
          </cell>
          <cell r="E1252">
            <v>1594710</v>
          </cell>
          <cell r="F1252">
            <v>0</v>
          </cell>
        </row>
        <row r="1253">
          <cell r="A1253" t="str">
            <v>GL1104</v>
          </cell>
          <cell r="B1253" t="str">
            <v>RIGHT ISSUE KARUR VYSYA BANK</v>
          </cell>
          <cell r="C1253" t="str">
            <v>LDIV</v>
          </cell>
          <cell r="D1253">
            <v>242140</v>
          </cell>
          <cell r="E1253">
            <v>242140</v>
          </cell>
          <cell r="F1253">
            <v>0</v>
          </cell>
        </row>
        <row r="1254">
          <cell r="A1254" t="str">
            <v>GL1083</v>
          </cell>
          <cell r="B1254" t="str">
            <v>RIGHT ISSUE KILBURN ENG</v>
          </cell>
          <cell r="C1254" t="str">
            <v>LDIV</v>
          </cell>
          <cell r="D1254">
            <v>5000</v>
          </cell>
          <cell r="E1254">
            <v>5000</v>
          </cell>
          <cell r="F1254">
            <v>0</v>
          </cell>
        </row>
        <row r="1255">
          <cell r="A1255" t="str">
            <v>GL1105</v>
          </cell>
          <cell r="B1255" t="str">
            <v>RIGHT ISSUE L.G BALAKRISHNAN</v>
          </cell>
          <cell r="C1255" t="str">
            <v>LDIV</v>
          </cell>
          <cell r="D1255">
            <v>1111</v>
          </cell>
          <cell r="E1255">
            <v>1111</v>
          </cell>
          <cell r="F1255">
            <v>0</v>
          </cell>
        </row>
        <row r="1256">
          <cell r="A1256" t="str">
            <v>GL1068</v>
          </cell>
          <cell r="B1256" t="str">
            <v>RIGHT ISSUE LAKSHMI PRECISION</v>
          </cell>
          <cell r="C1256" t="str">
            <v>LDIV</v>
          </cell>
          <cell r="D1256">
            <v>107500</v>
          </cell>
          <cell r="E1256">
            <v>107500</v>
          </cell>
          <cell r="F1256">
            <v>0</v>
          </cell>
        </row>
        <row r="1257">
          <cell r="A1257" t="str">
            <v>GL1102</v>
          </cell>
          <cell r="B1257" t="str">
            <v>RIGHT ISSUE LAKSHMI VILAS BANK</v>
          </cell>
          <cell r="C1257" t="str">
            <v>LDIV</v>
          </cell>
          <cell r="D1257">
            <v>142500</v>
          </cell>
          <cell r="E1257">
            <v>142500</v>
          </cell>
          <cell r="F1257">
            <v>0</v>
          </cell>
        </row>
        <row r="1258">
          <cell r="A1258" t="str">
            <v>GL1115</v>
          </cell>
          <cell r="B1258" t="str">
            <v>RIGHT ISSUE NANDAN EXIM LIMITED</v>
          </cell>
          <cell r="C1258" t="str">
            <v>LDIV</v>
          </cell>
          <cell r="D1258">
            <v>489750</v>
          </cell>
          <cell r="E1258">
            <v>489750</v>
          </cell>
          <cell r="F1258">
            <v>0</v>
          </cell>
        </row>
        <row r="1259">
          <cell r="A1259" t="str">
            <v>GL1086</v>
          </cell>
          <cell r="B1259" t="str">
            <v>RIGHT ISSUE NCL INDUSTRIES LTD.</v>
          </cell>
          <cell r="C1259" t="str">
            <v>LDIV</v>
          </cell>
          <cell r="D1259">
            <v>34560</v>
          </cell>
          <cell r="E1259">
            <v>34560</v>
          </cell>
          <cell r="F1259">
            <v>0</v>
          </cell>
        </row>
        <row r="1260">
          <cell r="A1260" t="str">
            <v>GL1098</v>
          </cell>
          <cell r="B1260" t="str">
            <v>RIGHT ISSUE OCL INDIA LTD</v>
          </cell>
          <cell r="C1260" t="str">
            <v>LDIV</v>
          </cell>
          <cell r="D1260">
            <v>69480</v>
          </cell>
          <cell r="E1260">
            <v>69480</v>
          </cell>
          <cell r="F1260">
            <v>0</v>
          </cell>
        </row>
        <row r="1261">
          <cell r="A1261" t="str">
            <v>GL1053</v>
          </cell>
          <cell r="B1261" t="str">
            <v>RIGHT ISSUE OF BATA INDIA</v>
          </cell>
          <cell r="C1261" t="str">
            <v>LDIV</v>
          </cell>
          <cell r="D1261">
            <v>4081096</v>
          </cell>
          <cell r="E1261">
            <v>4081096</v>
          </cell>
          <cell r="F1261">
            <v>0</v>
          </cell>
        </row>
        <row r="1262">
          <cell r="A1262" t="str">
            <v>GL1060</v>
          </cell>
          <cell r="B1262" t="str">
            <v>RIGHT ISSUE OF G.V FILM</v>
          </cell>
          <cell r="C1262" t="str">
            <v>LDIV</v>
          </cell>
          <cell r="D1262">
            <v>3757997</v>
          </cell>
          <cell r="E1262">
            <v>3757997</v>
          </cell>
          <cell r="F1262">
            <v>0</v>
          </cell>
        </row>
        <row r="1263">
          <cell r="A1263" t="str">
            <v>GL1059</v>
          </cell>
          <cell r="B1263" t="str">
            <v>RIGHT ISSUE OF NICHOLAS PIRAMAL</v>
          </cell>
          <cell r="C1263" t="str">
            <v>LDIV</v>
          </cell>
          <cell r="D1263">
            <v>1284425</v>
          </cell>
          <cell r="E1263">
            <v>1284425</v>
          </cell>
          <cell r="F1263">
            <v>0</v>
          </cell>
        </row>
        <row r="1264">
          <cell r="A1264" t="str">
            <v>GL1107</v>
          </cell>
          <cell r="B1264" t="str">
            <v>RIGHT ISSUE ORIENT PAPER &amp; INDUSTRIES LTD.</v>
          </cell>
          <cell r="C1264" t="str">
            <v>LDIV</v>
          </cell>
          <cell r="D1264">
            <v>10800</v>
          </cell>
          <cell r="E1264">
            <v>10800</v>
          </cell>
          <cell r="F1264">
            <v>0</v>
          </cell>
        </row>
        <row r="1265">
          <cell r="A1265" t="str">
            <v>GL1080</v>
          </cell>
          <cell r="B1265" t="str">
            <v>RIGHT ISSUE PANTALOON RETAIL</v>
          </cell>
          <cell r="C1265" t="str">
            <v>LDIV</v>
          </cell>
          <cell r="D1265">
            <v>100500</v>
          </cell>
          <cell r="E1265">
            <v>100500</v>
          </cell>
          <cell r="F1265">
            <v>0</v>
          </cell>
        </row>
        <row r="1266">
          <cell r="A1266" t="str">
            <v>GL1077</v>
          </cell>
          <cell r="B1266" t="str">
            <v>RIGHT ISSUE PRIYADARSHINI SPINNING</v>
          </cell>
          <cell r="C1266" t="str">
            <v>LDIV</v>
          </cell>
          <cell r="D1266">
            <v>7750</v>
          </cell>
          <cell r="E1266">
            <v>7750</v>
          </cell>
          <cell r="F1266">
            <v>0</v>
          </cell>
        </row>
        <row r="1267">
          <cell r="A1267" t="str">
            <v>GL1075</v>
          </cell>
          <cell r="B1267" t="str">
            <v>RIGHT ISSUE RAMCO</v>
          </cell>
          <cell r="C1267" t="str">
            <v>LDIV</v>
          </cell>
          <cell r="D1267">
            <v>191100</v>
          </cell>
          <cell r="E1267">
            <v>191100</v>
          </cell>
          <cell r="F1267">
            <v>0</v>
          </cell>
        </row>
        <row r="1268">
          <cell r="A1268" t="str">
            <v>GL1065</v>
          </cell>
          <cell r="B1268" t="str">
            <v>RIGHT ISSUE SIMBHAOLI SUGAR</v>
          </cell>
          <cell r="C1268" t="str">
            <v>LDIV</v>
          </cell>
          <cell r="D1268">
            <v>1555200</v>
          </cell>
          <cell r="E1268">
            <v>1555200</v>
          </cell>
          <cell r="F1268">
            <v>0</v>
          </cell>
        </row>
        <row r="1269">
          <cell r="A1269" t="str">
            <v>GL1067</v>
          </cell>
          <cell r="B1269" t="str">
            <v>RIGHT ISSUE SPSL</v>
          </cell>
          <cell r="C1269" t="str">
            <v>LDIV</v>
          </cell>
          <cell r="D1269">
            <v>1432480</v>
          </cell>
          <cell r="E1269">
            <v>1432480</v>
          </cell>
          <cell r="F1269">
            <v>0</v>
          </cell>
        </row>
        <row r="1270">
          <cell r="A1270" t="str">
            <v>GL1117</v>
          </cell>
          <cell r="B1270" t="str">
            <v>RIGHT ISSUE STATE BANK OF INDIA</v>
          </cell>
          <cell r="C1270" t="str">
            <v>LDIV</v>
          </cell>
          <cell r="D1270">
            <v>98580</v>
          </cell>
          <cell r="E1270">
            <v>98580</v>
          </cell>
          <cell r="F1270">
            <v>0</v>
          </cell>
        </row>
        <row r="1271">
          <cell r="A1271" t="str">
            <v>GL1072</v>
          </cell>
          <cell r="B1271" t="str">
            <v>RIGHT ISSUE SWIL LTD.</v>
          </cell>
          <cell r="C1271" t="str">
            <v>LDIV</v>
          </cell>
          <cell r="D1271">
            <v>76440</v>
          </cell>
          <cell r="E1271">
            <v>76440</v>
          </cell>
          <cell r="F1271">
            <v>0</v>
          </cell>
        </row>
        <row r="1272">
          <cell r="A1272" t="str">
            <v>GL1100</v>
          </cell>
          <cell r="B1272" t="str">
            <v>RIGHT ISSUE TATA COFFEE</v>
          </cell>
          <cell r="C1272" t="str">
            <v>LDIV</v>
          </cell>
          <cell r="D1272">
            <v>10000</v>
          </cell>
          <cell r="E1272">
            <v>10000</v>
          </cell>
          <cell r="F1272">
            <v>0</v>
          </cell>
        </row>
        <row r="1273">
          <cell r="A1273" t="str">
            <v>GL1109</v>
          </cell>
          <cell r="B1273" t="str">
            <v>RIGHT ISSUE TATA STEEL LIMITED EQUITY</v>
          </cell>
          <cell r="C1273" t="str">
            <v>LDIV</v>
          </cell>
          <cell r="D1273">
            <v>142200</v>
          </cell>
          <cell r="E1273">
            <v>142200</v>
          </cell>
          <cell r="F1273">
            <v>0</v>
          </cell>
        </row>
        <row r="1274">
          <cell r="A1274" t="str">
            <v>GL1110</v>
          </cell>
          <cell r="B1274" t="str">
            <v>RIGHT ISSUE TATA STEEL PREFERENCE</v>
          </cell>
          <cell r="C1274" t="str">
            <v>LDIV</v>
          </cell>
          <cell r="D1274">
            <v>94500</v>
          </cell>
          <cell r="E1274">
            <v>94500</v>
          </cell>
          <cell r="F1274">
            <v>0</v>
          </cell>
        </row>
        <row r="1275">
          <cell r="A1275" t="str">
            <v>GL1101</v>
          </cell>
          <cell r="B1275" t="str">
            <v>RIGHT ISSUE TATA TELESERVICES LTD</v>
          </cell>
          <cell r="C1275" t="str">
            <v>LDIV</v>
          </cell>
          <cell r="D1275">
            <v>15623</v>
          </cell>
          <cell r="E1275">
            <v>15623</v>
          </cell>
          <cell r="F1275">
            <v>0</v>
          </cell>
        </row>
        <row r="1276">
          <cell r="A1276" t="str">
            <v>GL1085</v>
          </cell>
          <cell r="B1276" t="str">
            <v>RIGHT ISSUE TITAN INDUSTRIES</v>
          </cell>
          <cell r="C1276" t="str">
            <v>LDIV</v>
          </cell>
          <cell r="D1276">
            <v>333000</v>
          </cell>
          <cell r="E1276">
            <v>333000</v>
          </cell>
          <cell r="F1276">
            <v>0</v>
          </cell>
        </row>
        <row r="1277">
          <cell r="A1277" t="str">
            <v>GL1106</v>
          </cell>
          <cell r="B1277" t="str">
            <v>RIGHT ISSUE TRENT LTD</v>
          </cell>
          <cell r="C1277" t="str">
            <v>LDIV</v>
          </cell>
          <cell r="D1277">
            <v>39000</v>
          </cell>
          <cell r="E1277">
            <v>39000</v>
          </cell>
          <cell r="F1277">
            <v>0</v>
          </cell>
        </row>
        <row r="1278">
          <cell r="A1278" t="str">
            <v>GL1093</v>
          </cell>
          <cell r="B1278" t="str">
            <v>RIGHT ISSUE UPPER GANGES</v>
          </cell>
          <cell r="C1278" t="str">
            <v>LDIV</v>
          </cell>
          <cell r="D1278">
            <v>1500</v>
          </cell>
          <cell r="E1278">
            <v>1500</v>
          </cell>
          <cell r="F1278">
            <v>0</v>
          </cell>
        </row>
        <row r="1279">
          <cell r="A1279" t="str">
            <v>GL1064</v>
          </cell>
          <cell r="B1279" t="str">
            <v>RIGHT SHAW WALL DISTILLERIES</v>
          </cell>
          <cell r="C1279" t="str">
            <v>LDIV</v>
          </cell>
          <cell r="D1279">
            <v>5000</v>
          </cell>
          <cell r="E1279">
            <v>5000</v>
          </cell>
          <cell r="F1279">
            <v>0</v>
          </cell>
        </row>
        <row r="1280">
          <cell r="A1280" t="str">
            <v>GL1046</v>
          </cell>
          <cell r="B1280" t="str">
            <v>SAREGAMA INDIA LTD - RIGHT ISSUE</v>
          </cell>
          <cell r="C1280" t="str">
            <v>LDIV</v>
          </cell>
          <cell r="D1280">
            <v>551160</v>
          </cell>
          <cell r="E1280">
            <v>551160</v>
          </cell>
          <cell r="F1280">
            <v>0</v>
          </cell>
        </row>
        <row r="1281">
          <cell r="A1281" t="str">
            <v>GL1041</v>
          </cell>
          <cell r="B1281" t="str">
            <v>SCHENECTADY HERDILLIA RIGHT ISSUE</v>
          </cell>
          <cell r="C1281" t="str">
            <v>LDIV</v>
          </cell>
          <cell r="D1281">
            <v>3164</v>
          </cell>
          <cell r="E1281">
            <v>3164</v>
          </cell>
          <cell r="F1281">
            <v>0</v>
          </cell>
        </row>
        <row r="1282">
          <cell r="A1282" t="str">
            <v>GL1049</v>
          </cell>
          <cell r="B1282" t="str">
            <v>SIRPUR PAPER RIGHT ISSUE</v>
          </cell>
          <cell r="C1282" t="str">
            <v>LDIV</v>
          </cell>
          <cell r="D1282">
            <v>193482</v>
          </cell>
          <cell r="E1282">
            <v>193482</v>
          </cell>
          <cell r="F1282">
            <v>0</v>
          </cell>
        </row>
        <row r="1283">
          <cell r="A1283" t="str">
            <v>GL1047</v>
          </cell>
          <cell r="B1283" t="str">
            <v>SOUTH IRON - RIGHT ISSUE</v>
          </cell>
          <cell r="C1283" t="str">
            <v>LDIV</v>
          </cell>
          <cell r="D1283">
            <v>61013780</v>
          </cell>
          <cell r="E1283">
            <v>61013780</v>
          </cell>
          <cell r="F1283">
            <v>0</v>
          </cell>
        </row>
        <row r="1284">
          <cell r="A1284" t="str">
            <v>GL1054</v>
          </cell>
          <cell r="B1284" t="str">
            <v>TRENT RIGHT ISSUE</v>
          </cell>
          <cell r="C1284" t="str">
            <v>LDIV</v>
          </cell>
          <cell r="D1284">
            <v>522000</v>
          </cell>
          <cell r="E1284">
            <v>522000</v>
          </cell>
          <cell r="F1284">
            <v>0</v>
          </cell>
        </row>
        <row r="1285">
          <cell r="A1285" t="str">
            <v>GL1040</v>
          </cell>
          <cell r="B1285" t="str">
            <v>VARUN SHIPPING RIGHTS ISSUE</v>
          </cell>
          <cell r="C1285" t="str">
            <v>LDIV</v>
          </cell>
          <cell r="D1285">
            <v>1013400</v>
          </cell>
          <cell r="E1285">
            <v>1013400</v>
          </cell>
          <cell r="F1285">
            <v>0</v>
          </cell>
        </row>
        <row r="1286">
          <cell r="A1286" t="str">
            <v>GAIP8</v>
          </cell>
          <cell r="B1286" t="str">
            <v>INTEREST PAYABLE ABN AMRO</v>
          </cell>
          <cell r="C1286" t="str">
            <v>LIP</v>
          </cell>
          <cell r="D1286">
            <v>89671.81</v>
          </cell>
          <cell r="E1286">
            <v>89671.81</v>
          </cell>
          <cell r="F1286">
            <v>0</v>
          </cell>
        </row>
        <row r="1287">
          <cell r="A1287" t="str">
            <v>GAIP1</v>
          </cell>
          <cell r="B1287" t="str">
            <v>INTEREST PAYABLE CITI BAN</v>
          </cell>
          <cell r="C1287" t="str">
            <v>LIP</v>
          </cell>
          <cell r="D1287">
            <v>434250.06</v>
          </cell>
          <cell r="E1287">
            <v>434250.06</v>
          </cell>
          <cell r="F1287">
            <v>0</v>
          </cell>
        </row>
        <row r="1288">
          <cell r="A1288" t="str">
            <v>GAIP9</v>
          </cell>
          <cell r="B1288" t="str">
            <v>INTEREST PAYABLE FCNR</v>
          </cell>
          <cell r="C1288" t="str">
            <v>LIP</v>
          </cell>
          <cell r="D1288">
            <v>44062.59</v>
          </cell>
          <cell r="E1288">
            <v>44062.59</v>
          </cell>
          <cell r="F1288">
            <v>0</v>
          </cell>
        </row>
        <row r="1289">
          <cell r="A1289" t="str">
            <v>GAIP2</v>
          </cell>
          <cell r="B1289" t="str">
            <v>INTEREST PAYABLE HDFC</v>
          </cell>
          <cell r="C1289" t="str">
            <v>LIP</v>
          </cell>
          <cell r="D1289">
            <v>3139516.41</v>
          </cell>
          <cell r="E1289">
            <v>3139516.41</v>
          </cell>
          <cell r="F1289">
            <v>0</v>
          </cell>
        </row>
        <row r="1290">
          <cell r="A1290" t="str">
            <v>GAIP11</v>
          </cell>
          <cell r="B1290" t="str">
            <v>INTEREST PAYABLE HSBC</v>
          </cell>
          <cell r="C1290" t="str">
            <v>LIP</v>
          </cell>
          <cell r="D1290">
            <v>4383.5600000000004</v>
          </cell>
          <cell r="E1290">
            <v>4383.5600000000004</v>
          </cell>
          <cell r="F1290">
            <v>0</v>
          </cell>
        </row>
        <row r="1291">
          <cell r="A1291" t="str">
            <v>GAIP3</v>
          </cell>
          <cell r="B1291" t="str">
            <v>INTEREST PAYABLE HSBC</v>
          </cell>
          <cell r="C1291" t="str">
            <v>LIP</v>
          </cell>
          <cell r="D1291">
            <v>182635.53</v>
          </cell>
          <cell r="E1291">
            <v>182635.53</v>
          </cell>
          <cell r="F1291">
            <v>0</v>
          </cell>
        </row>
        <row r="1292">
          <cell r="A1292" t="str">
            <v>GAIP5</v>
          </cell>
          <cell r="B1292" t="str">
            <v>INTEREST PAYABLE ICICI</v>
          </cell>
          <cell r="C1292" t="str">
            <v>LIP</v>
          </cell>
          <cell r="D1292">
            <v>442272.66</v>
          </cell>
          <cell r="E1292">
            <v>442272.66</v>
          </cell>
          <cell r="F1292">
            <v>0</v>
          </cell>
        </row>
        <row r="1293">
          <cell r="A1293" t="str">
            <v>GAIP4</v>
          </cell>
          <cell r="B1293" t="str">
            <v>INTEREST PAYABLE ILFS</v>
          </cell>
          <cell r="C1293" t="str">
            <v>LIP</v>
          </cell>
          <cell r="D1293">
            <v>27801.37</v>
          </cell>
          <cell r="E1293">
            <v>27801.37</v>
          </cell>
          <cell r="F1293">
            <v>0</v>
          </cell>
        </row>
        <row r="1294">
          <cell r="A1294" t="str">
            <v>GAIP6</v>
          </cell>
          <cell r="B1294" t="str">
            <v>INTEREST PAYABLE ON STAND</v>
          </cell>
          <cell r="C1294" t="str">
            <v>LIP</v>
          </cell>
          <cell r="D1294">
            <v>27.73</v>
          </cell>
          <cell r="E1294">
            <v>27.73</v>
          </cell>
          <cell r="F1294">
            <v>0</v>
          </cell>
        </row>
        <row r="1295">
          <cell r="A1295" t="str">
            <v>GAIP10</v>
          </cell>
          <cell r="B1295" t="str">
            <v>INTEREST PAYABLE(LORD KRISHNA BANK)</v>
          </cell>
          <cell r="C1295" t="str">
            <v>LIP</v>
          </cell>
          <cell r="D1295">
            <v>32862.639999999999</v>
          </cell>
          <cell r="E1295">
            <v>32862.639999999999</v>
          </cell>
          <cell r="F1295">
            <v>0</v>
          </cell>
        </row>
        <row r="1296">
          <cell r="A1296" t="str">
            <v>GADCM</v>
          </cell>
          <cell r="B1296" t="str">
            <v>CASH MARGAIN FROM CLIENT</v>
          </cell>
          <cell r="C1296" t="str">
            <v>LMAR</v>
          </cell>
          <cell r="D1296">
            <v>3205000</v>
          </cell>
          <cell r="E1296">
            <v>7460000</v>
          </cell>
          <cell r="F1296">
            <v>-4255000</v>
          </cell>
        </row>
        <row r="1297">
          <cell r="A1297" t="str">
            <v>GA0383</v>
          </cell>
          <cell r="B1297" t="str">
            <v>DEPOSIT RECEIVED FROM CLIENTS</v>
          </cell>
          <cell r="C1297" t="str">
            <v>LMAR</v>
          </cell>
          <cell r="D1297">
            <v>400000</v>
          </cell>
          <cell r="E1297">
            <v>6000000</v>
          </cell>
          <cell r="F1297">
            <v>-5600000</v>
          </cell>
        </row>
        <row r="1298">
          <cell r="A1298" t="str">
            <v>GA06002</v>
          </cell>
          <cell r="B1298" t="str">
            <v>F&amp;O MARGIN (INDIABULLS)</v>
          </cell>
          <cell r="C1298" t="str">
            <v>LMAR</v>
          </cell>
          <cell r="D1298">
            <v>1636.45</v>
          </cell>
          <cell r="E1298">
            <v>1636.45</v>
          </cell>
          <cell r="F1298">
            <v>0</v>
          </cell>
        </row>
        <row r="1299">
          <cell r="A1299" t="str">
            <v>GLMRG</v>
          </cell>
          <cell r="B1299" t="str">
            <v>MARGIN ACCOUNT</v>
          </cell>
          <cell r="C1299" t="str">
            <v>LMAR</v>
          </cell>
          <cell r="D1299">
            <v>142293342.31999999</v>
          </cell>
          <cell r="E1299">
            <v>142293342.31999999</v>
          </cell>
          <cell r="F1299">
            <v>0</v>
          </cell>
        </row>
        <row r="1300">
          <cell r="A1300" t="str">
            <v>GL01MAR</v>
          </cell>
          <cell r="B1300" t="str">
            <v>MARGIN FROM CLIENTS</v>
          </cell>
          <cell r="C1300" t="str">
            <v>LMAR</v>
          </cell>
          <cell r="D1300">
            <v>0</v>
          </cell>
          <cell r="E1300">
            <v>11000</v>
          </cell>
          <cell r="F1300">
            <v>-11000</v>
          </cell>
        </row>
        <row r="1301">
          <cell r="A1301" t="str">
            <v>GA0090</v>
          </cell>
          <cell r="B1301" t="str">
            <v>AUDIT FEES PAYABLE</v>
          </cell>
          <cell r="C1301" t="str">
            <v>LOLIAB</v>
          </cell>
          <cell r="D1301">
            <v>2914250</v>
          </cell>
          <cell r="E1301">
            <v>2914250</v>
          </cell>
          <cell r="F1301">
            <v>0</v>
          </cell>
        </row>
        <row r="1302">
          <cell r="A1302" t="str">
            <v>GIBPL</v>
          </cell>
          <cell r="B1302" t="str">
            <v>BOOKS&amp; PERIODICAL PAYABLE</v>
          </cell>
          <cell r="C1302" t="str">
            <v>LOLIAB</v>
          </cell>
          <cell r="D1302">
            <v>3390.5</v>
          </cell>
          <cell r="E1302">
            <v>3390.5</v>
          </cell>
          <cell r="F1302">
            <v>0</v>
          </cell>
        </row>
        <row r="1303">
          <cell r="A1303" t="str">
            <v>GLFRACTION</v>
          </cell>
          <cell r="B1303" t="str">
            <v>CA FRACTION (CLIENT) PAYABLE</v>
          </cell>
          <cell r="C1303" t="str">
            <v>LOLIAB</v>
          </cell>
          <cell r="D1303">
            <v>95133.45</v>
          </cell>
          <cell r="E1303">
            <v>95133.45</v>
          </cell>
          <cell r="F1303">
            <v>0</v>
          </cell>
        </row>
        <row r="1304">
          <cell r="A1304" t="str">
            <v>GCDSTAX</v>
          </cell>
          <cell r="B1304" t="str">
            <v>CDS SERVICE TAX</v>
          </cell>
          <cell r="C1304" t="str">
            <v>LOLIAB</v>
          </cell>
          <cell r="D1304">
            <v>127690</v>
          </cell>
          <cell r="E1304">
            <v>150995.29999999999</v>
          </cell>
          <cell r="F1304">
            <v>-23305.299999999988</v>
          </cell>
        </row>
        <row r="1305">
          <cell r="A1305" t="str">
            <v>GCSTAX</v>
          </cell>
          <cell r="B1305" t="str">
            <v>CDSL SERVICE TAX</v>
          </cell>
          <cell r="C1305" t="str">
            <v>LOLIAB</v>
          </cell>
          <cell r="D1305">
            <v>5493084</v>
          </cell>
          <cell r="E1305">
            <v>5492908.1500000004</v>
          </cell>
          <cell r="F1305">
            <v>175.84999999962747</v>
          </cell>
        </row>
        <row r="1306">
          <cell r="A1306" t="str">
            <v>GI04002</v>
          </cell>
          <cell r="B1306" t="str">
            <v>CH CLEARED IN BANK</v>
          </cell>
          <cell r="C1306" t="str">
            <v>LOLIAB</v>
          </cell>
          <cell r="D1306">
            <v>207658042.68000001</v>
          </cell>
          <cell r="E1306">
            <v>210330894.69</v>
          </cell>
          <cell r="F1306">
            <v>-2672852.0099999905</v>
          </cell>
        </row>
        <row r="1307">
          <cell r="A1307" t="str">
            <v>GI04003</v>
          </cell>
          <cell r="B1307" t="str">
            <v>CHEQUE CLEARED IN BANK</v>
          </cell>
          <cell r="C1307" t="str">
            <v>LOLIAB</v>
          </cell>
          <cell r="D1307">
            <v>28725496.199999999</v>
          </cell>
          <cell r="E1307">
            <v>28819206.199999999</v>
          </cell>
          <cell r="F1307">
            <v>-93710</v>
          </cell>
        </row>
        <row r="1308">
          <cell r="A1308" t="str">
            <v>GI04006</v>
          </cell>
          <cell r="B1308" t="str">
            <v>CHQ CLEARED IN BANK (SUSPENSE-ONLINE)</v>
          </cell>
          <cell r="C1308" t="str">
            <v>LOLIAB</v>
          </cell>
          <cell r="D1308">
            <v>336225.9</v>
          </cell>
          <cell r="E1308">
            <v>707563.02</v>
          </cell>
          <cell r="F1308">
            <v>-371337.12</v>
          </cell>
        </row>
        <row r="1309">
          <cell r="A1309" t="str">
            <v>GCTC</v>
          </cell>
          <cell r="B1309" t="str">
            <v>CLIENT TO CLIENT AUCTION</v>
          </cell>
          <cell r="C1309" t="str">
            <v>LOLIAB</v>
          </cell>
          <cell r="D1309">
            <v>50000</v>
          </cell>
          <cell r="E1309">
            <v>6874003.3499999996</v>
          </cell>
          <cell r="F1309">
            <v>-6824003.3499999996</v>
          </cell>
        </row>
        <row r="1310">
          <cell r="A1310" t="str">
            <v>GA0359</v>
          </cell>
          <cell r="B1310" t="str">
            <v>COMM ON BROKERAGE PAYABLE</v>
          </cell>
          <cell r="C1310" t="str">
            <v>LOLIAB</v>
          </cell>
          <cell r="D1310">
            <v>5286468.5</v>
          </cell>
          <cell r="E1310">
            <v>5286468.5</v>
          </cell>
          <cell r="F1310">
            <v>0</v>
          </cell>
        </row>
        <row r="1311">
          <cell r="A1311" t="str">
            <v>GLCP01</v>
          </cell>
          <cell r="B1311" t="str">
            <v>COMMISSION PAYABLE (SECURITIES)</v>
          </cell>
          <cell r="C1311" t="str">
            <v>LOLIAB</v>
          </cell>
          <cell r="D1311">
            <v>0</v>
          </cell>
          <cell r="E1311">
            <v>18156.12</v>
          </cell>
          <cell r="F1311">
            <v>-18156.12</v>
          </cell>
        </row>
        <row r="1312">
          <cell r="A1312" t="str">
            <v>GA0016</v>
          </cell>
          <cell r="B1312" t="str">
            <v>CONSULTANCY CHARGES PAYABLE</v>
          </cell>
          <cell r="C1312" t="str">
            <v>LOLIAB</v>
          </cell>
          <cell r="D1312">
            <v>50000</v>
          </cell>
          <cell r="E1312">
            <v>50000</v>
          </cell>
          <cell r="F1312">
            <v>0</v>
          </cell>
        </row>
        <row r="1313">
          <cell r="A1313" t="str">
            <v>GICVL</v>
          </cell>
          <cell r="B1313" t="str">
            <v>CONVEYANCE EXPENSES PAYABLE</v>
          </cell>
          <cell r="C1313" t="str">
            <v>LOLIAB</v>
          </cell>
          <cell r="D1313">
            <v>13744</v>
          </cell>
          <cell r="E1313">
            <v>13744</v>
          </cell>
          <cell r="F1313">
            <v>0</v>
          </cell>
        </row>
        <row r="1314">
          <cell r="A1314" t="str">
            <v>GIDMP</v>
          </cell>
          <cell r="B1314" t="str">
            <v>D MAT CHARGES PAYABLE</v>
          </cell>
          <cell r="C1314" t="str">
            <v>LOLIAB</v>
          </cell>
          <cell r="D1314">
            <v>91589</v>
          </cell>
          <cell r="E1314">
            <v>91589</v>
          </cell>
          <cell r="F1314">
            <v>0</v>
          </cell>
        </row>
        <row r="1315">
          <cell r="A1315" t="str">
            <v>GA1011</v>
          </cell>
          <cell r="B1315" t="str">
            <v>DIRECTOR REMUNERATION PAYABLE</v>
          </cell>
          <cell r="C1315" t="str">
            <v>LOLIAB</v>
          </cell>
          <cell r="D1315">
            <v>11641032</v>
          </cell>
          <cell r="E1315">
            <v>11641032</v>
          </cell>
          <cell r="F1315">
            <v>0</v>
          </cell>
        </row>
        <row r="1316">
          <cell r="A1316" t="str">
            <v>GA0290</v>
          </cell>
          <cell r="B1316" t="str">
            <v>DYNAMIC WEB TECHNOLOGIES</v>
          </cell>
          <cell r="C1316" t="str">
            <v>LOLIAB</v>
          </cell>
          <cell r="D1316">
            <v>12100</v>
          </cell>
          <cell r="E1316">
            <v>12100</v>
          </cell>
          <cell r="F1316">
            <v>0</v>
          </cell>
        </row>
        <row r="1317">
          <cell r="A1317" t="str">
            <v>GA0356A</v>
          </cell>
          <cell r="B1317" t="str">
            <v>ELECTRICITY EXP PAYABLE</v>
          </cell>
          <cell r="C1317" t="str">
            <v>LOLIAB</v>
          </cell>
          <cell r="D1317">
            <v>544538</v>
          </cell>
          <cell r="E1317">
            <v>544538</v>
          </cell>
          <cell r="F1317">
            <v>0</v>
          </cell>
        </row>
        <row r="1318">
          <cell r="A1318" t="str">
            <v>GA0041</v>
          </cell>
          <cell r="B1318" t="str">
            <v>EXPENSES PAYABLE</v>
          </cell>
          <cell r="C1318" t="str">
            <v>LOLIAB</v>
          </cell>
          <cell r="D1318">
            <v>4994.8900000000003</v>
          </cell>
          <cell r="E1318">
            <v>4994.8900000000003</v>
          </cell>
          <cell r="F1318">
            <v>0</v>
          </cell>
        </row>
        <row r="1319">
          <cell r="A1319" t="str">
            <v>GLERP</v>
          </cell>
          <cell r="B1319" t="str">
            <v>EXPENSES REIMBURSEMENT PAYABLE</v>
          </cell>
          <cell r="C1319" t="str">
            <v>LOLIAB</v>
          </cell>
          <cell r="D1319">
            <v>2344526</v>
          </cell>
          <cell r="E1319">
            <v>2344526</v>
          </cell>
          <cell r="F1319">
            <v>0</v>
          </cell>
        </row>
        <row r="1320">
          <cell r="A1320" t="str">
            <v>GA0380</v>
          </cell>
          <cell r="B1320" t="str">
            <v>INCENTIVE ONLINE PAYABLE</v>
          </cell>
          <cell r="C1320" t="str">
            <v>LOLIAB</v>
          </cell>
          <cell r="D1320">
            <v>15000</v>
          </cell>
          <cell r="E1320">
            <v>15000</v>
          </cell>
          <cell r="F1320">
            <v>0</v>
          </cell>
        </row>
        <row r="1321">
          <cell r="A1321" t="str">
            <v>GLEAI</v>
          </cell>
          <cell r="B1321" t="str">
            <v>INCOME EQUITY ANALYSIS ADVANCE</v>
          </cell>
          <cell r="C1321" t="str">
            <v>LOLIAB</v>
          </cell>
          <cell r="D1321">
            <v>107150</v>
          </cell>
          <cell r="E1321">
            <v>107150</v>
          </cell>
          <cell r="F1321">
            <v>0</v>
          </cell>
        </row>
        <row r="1322">
          <cell r="A1322" t="str">
            <v>GCDP</v>
          </cell>
          <cell r="B1322" t="str">
            <v>INDIABULLS DP</v>
          </cell>
          <cell r="C1322" t="str">
            <v>LOLIAB</v>
          </cell>
          <cell r="D1322">
            <v>312222748.17000002</v>
          </cell>
          <cell r="E1322">
            <v>162034202.93000001</v>
          </cell>
          <cell r="F1322">
            <v>150188545.24000001</v>
          </cell>
        </row>
        <row r="1323">
          <cell r="A1323" t="str">
            <v>GIFCPL</v>
          </cell>
          <cell r="B1323" t="str">
            <v>INDIABULLS FINANCE COMPANY PRIVATE LIMITED</v>
          </cell>
          <cell r="C1323" t="str">
            <v>LOLIAB</v>
          </cell>
          <cell r="D1323">
            <v>66298</v>
          </cell>
          <cell r="E1323">
            <v>66298</v>
          </cell>
          <cell r="F1323">
            <v>0</v>
          </cell>
        </row>
        <row r="1324">
          <cell r="A1324" t="str">
            <v>GIIBW</v>
          </cell>
          <cell r="B1324" t="str">
            <v>INTERNET BAND WIDTH COST PAYABLE</v>
          </cell>
          <cell r="C1324" t="str">
            <v>LOLIAB</v>
          </cell>
          <cell r="D1324">
            <v>806</v>
          </cell>
          <cell r="E1324">
            <v>806</v>
          </cell>
          <cell r="F1324">
            <v>0</v>
          </cell>
        </row>
        <row r="1325">
          <cell r="A1325" t="str">
            <v>GJANA</v>
          </cell>
          <cell r="B1325" t="str">
            <v>JANAK DWARKADAS</v>
          </cell>
          <cell r="C1325" t="str">
            <v>LOLIAB</v>
          </cell>
          <cell r="D1325">
            <v>106189</v>
          </cell>
          <cell r="E1325">
            <v>106189</v>
          </cell>
          <cell r="F1325">
            <v>0</v>
          </cell>
        </row>
        <row r="1326">
          <cell r="A1326" t="str">
            <v>GLMD</v>
          </cell>
          <cell r="B1326" t="str">
            <v>MANOHARMMA HOTEL INVESTMENT PVT. LTD. DIVIDEND SUNTV</v>
          </cell>
          <cell r="C1326" t="str">
            <v>LOLIAB</v>
          </cell>
          <cell r="D1326">
            <v>0</v>
          </cell>
          <cell r="E1326">
            <v>59108</v>
          </cell>
          <cell r="F1326">
            <v>-59108</v>
          </cell>
        </row>
        <row r="1327">
          <cell r="A1327" t="str">
            <v>GIMBL</v>
          </cell>
          <cell r="B1327" t="str">
            <v>MOBILE EXPENSES PAYABLE</v>
          </cell>
          <cell r="C1327" t="str">
            <v>LOLIAB</v>
          </cell>
          <cell r="D1327">
            <v>900000</v>
          </cell>
          <cell r="E1327">
            <v>900000</v>
          </cell>
          <cell r="F1327">
            <v>0</v>
          </cell>
        </row>
        <row r="1328">
          <cell r="A1328" t="str">
            <v>GNSTAX</v>
          </cell>
          <cell r="B1328" t="str">
            <v>NSDL SERVICE TAX</v>
          </cell>
          <cell r="C1328" t="str">
            <v>LOLIAB</v>
          </cell>
          <cell r="D1328">
            <v>2942729</v>
          </cell>
          <cell r="E1328">
            <v>2942616.17</v>
          </cell>
          <cell r="F1328">
            <v>112.83000000007451</v>
          </cell>
        </row>
        <row r="1329">
          <cell r="A1329" t="str">
            <v>GL01050</v>
          </cell>
          <cell r="B1329" t="str">
            <v>NSE PENALTY CHARGES PAYAB</v>
          </cell>
          <cell r="C1329" t="str">
            <v>LOLIAB</v>
          </cell>
          <cell r="D1329">
            <v>8966355.8499999996</v>
          </cell>
          <cell r="E1329">
            <v>9006324.2100000009</v>
          </cell>
          <cell r="F1329">
            <v>-39968.360000001267</v>
          </cell>
        </row>
        <row r="1330">
          <cell r="A1330" t="str">
            <v>GIOFL</v>
          </cell>
          <cell r="B1330" t="str">
            <v>OFFICE MAITENANCE PAYABLE</v>
          </cell>
          <cell r="C1330" t="str">
            <v>LOLIAB</v>
          </cell>
          <cell r="D1330">
            <v>16858</v>
          </cell>
          <cell r="E1330">
            <v>16858</v>
          </cell>
          <cell r="F1330">
            <v>0</v>
          </cell>
        </row>
        <row r="1331">
          <cell r="A1331" t="str">
            <v>GLIAB</v>
          </cell>
          <cell r="B1331" t="str">
            <v>OTHER LIABILITIES</v>
          </cell>
          <cell r="C1331" t="str">
            <v>LOLIAB</v>
          </cell>
          <cell r="D1331">
            <v>683467.72</v>
          </cell>
          <cell r="E1331">
            <v>11555013.76</v>
          </cell>
          <cell r="F1331">
            <v>-10871546.039999999</v>
          </cell>
        </row>
        <row r="1332">
          <cell r="A1332" t="str">
            <v>GLS003</v>
          </cell>
          <cell r="B1332" t="str">
            <v>OTHER PROCESSING CHARGES</v>
          </cell>
          <cell r="C1332" t="str">
            <v>LOLIAB</v>
          </cell>
          <cell r="D1332">
            <v>10858979.52</v>
          </cell>
          <cell r="E1332">
            <v>10858979.52</v>
          </cell>
          <cell r="F1332">
            <v>0</v>
          </cell>
        </row>
        <row r="1333">
          <cell r="A1333" t="str">
            <v>GIPCL</v>
          </cell>
          <cell r="B1333" t="str">
            <v>POSTAGE &amp; COURIER PAYABLE</v>
          </cell>
          <cell r="C1333" t="str">
            <v>LOLIAB</v>
          </cell>
          <cell r="D1333">
            <v>321689</v>
          </cell>
          <cell r="E1333">
            <v>321689</v>
          </cell>
          <cell r="F1333">
            <v>0</v>
          </cell>
        </row>
        <row r="1334">
          <cell r="A1334" t="str">
            <v>GIPSL</v>
          </cell>
          <cell r="B1334" t="str">
            <v>PRINTING &amp; STATIONERY  PAYABLE</v>
          </cell>
          <cell r="C1334" t="str">
            <v>LOLIAB</v>
          </cell>
          <cell r="D1334">
            <v>348636</v>
          </cell>
          <cell r="E1334">
            <v>348636</v>
          </cell>
          <cell r="F1334">
            <v>0</v>
          </cell>
        </row>
        <row r="1335">
          <cell r="A1335" t="str">
            <v>GA0011</v>
          </cell>
          <cell r="B1335" t="str">
            <v>PROFESSIONAL CHARGES PAYA</v>
          </cell>
          <cell r="C1335" t="str">
            <v>LOLIAB</v>
          </cell>
          <cell r="D1335">
            <v>408495</v>
          </cell>
          <cell r="E1335">
            <v>1092270.47</v>
          </cell>
          <cell r="F1335">
            <v>-683775.47</v>
          </cell>
        </row>
        <row r="1336">
          <cell r="A1336" t="str">
            <v>GLIPO</v>
          </cell>
          <cell r="B1336" t="str">
            <v>REFUND RECEIVED ON PUBLIC ISSUE</v>
          </cell>
          <cell r="C1336" t="str">
            <v>LOLIAB</v>
          </cell>
          <cell r="D1336">
            <v>1237782</v>
          </cell>
          <cell r="E1336">
            <v>1481002.75</v>
          </cell>
          <cell r="F1336">
            <v>-243220.75</v>
          </cell>
        </row>
        <row r="1337">
          <cell r="A1337" t="str">
            <v>GIRML</v>
          </cell>
          <cell r="B1337" t="str">
            <v>REPAIR &amp; MAINTENANCE PAYABLE</v>
          </cell>
          <cell r="C1337" t="str">
            <v>LOLIAB</v>
          </cell>
          <cell r="D1337">
            <v>108185</v>
          </cell>
          <cell r="E1337">
            <v>108185</v>
          </cell>
          <cell r="F1337">
            <v>0</v>
          </cell>
        </row>
        <row r="1338">
          <cell r="A1338" t="str">
            <v>GASAP</v>
          </cell>
          <cell r="B1338" t="str">
            <v>SACHIN ARORA  (DP)</v>
          </cell>
          <cell r="C1338" t="str">
            <v>LOLIAB</v>
          </cell>
          <cell r="D1338">
            <v>1707715</v>
          </cell>
          <cell r="E1338">
            <v>1707715</v>
          </cell>
          <cell r="F1338">
            <v>0</v>
          </cell>
        </row>
        <row r="1339">
          <cell r="A1339" t="str">
            <v>GL05021</v>
          </cell>
          <cell r="B1339" t="str">
            <v>SALARY PAYABLE</v>
          </cell>
          <cell r="C1339" t="str">
            <v>LOLIAB</v>
          </cell>
          <cell r="D1339">
            <v>13236</v>
          </cell>
          <cell r="E1339">
            <v>13236</v>
          </cell>
          <cell r="F1339">
            <v>0</v>
          </cell>
        </row>
        <row r="1340">
          <cell r="A1340" t="str">
            <v>GATAX</v>
          </cell>
          <cell r="B1340" t="str">
            <v>SERVICE  TAX  ADVISORY</v>
          </cell>
          <cell r="C1340" t="str">
            <v>LOLIAB</v>
          </cell>
          <cell r="D1340">
            <v>51500</v>
          </cell>
          <cell r="E1340">
            <v>51500</v>
          </cell>
          <cell r="F1340">
            <v>0</v>
          </cell>
        </row>
        <row r="1341">
          <cell r="A1341" t="str">
            <v>GA0013</v>
          </cell>
          <cell r="B1341" t="str">
            <v>SERVICE CHARGES (C) PAYABLE</v>
          </cell>
          <cell r="C1341" t="str">
            <v>LOLIAB</v>
          </cell>
          <cell r="D1341">
            <v>32247072</v>
          </cell>
          <cell r="E1341">
            <v>32247072</v>
          </cell>
          <cell r="F1341">
            <v>0</v>
          </cell>
        </row>
        <row r="1342">
          <cell r="A1342" t="str">
            <v>GSTAX</v>
          </cell>
          <cell r="B1342" t="str">
            <v>SERVICE TAX</v>
          </cell>
          <cell r="C1342" t="str">
            <v>LOLIAB</v>
          </cell>
          <cell r="D1342">
            <v>1024493810.01</v>
          </cell>
          <cell r="E1342">
            <v>1032986199.45</v>
          </cell>
          <cell r="F1342">
            <v>-8492389.4400000572</v>
          </cell>
        </row>
        <row r="1343">
          <cell r="A1343" t="str">
            <v>GL01DEP</v>
          </cell>
          <cell r="B1343" t="str">
            <v>SERVICE TAX - DEPOSITORY</v>
          </cell>
          <cell r="C1343" t="str">
            <v>LOLIAB</v>
          </cell>
          <cell r="D1343">
            <v>80</v>
          </cell>
          <cell r="E1343">
            <v>80</v>
          </cell>
          <cell r="F1343">
            <v>0</v>
          </cell>
        </row>
        <row r="1344">
          <cell r="A1344" t="str">
            <v>GSSTAX</v>
          </cell>
          <cell r="B1344" t="str">
            <v>SERVICE TAX - SLBS</v>
          </cell>
          <cell r="C1344" t="str">
            <v>LOLIAB</v>
          </cell>
          <cell r="D1344">
            <v>0.12</v>
          </cell>
          <cell r="E1344">
            <v>0.12</v>
          </cell>
          <cell r="F1344">
            <v>0</v>
          </cell>
        </row>
        <row r="1345">
          <cell r="A1345" t="str">
            <v>GBSTAX</v>
          </cell>
          <cell r="B1345" t="str">
            <v>SERVICE TAX BSE</v>
          </cell>
          <cell r="C1345" t="str">
            <v>LOLIAB</v>
          </cell>
          <cell r="D1345">
            <v>486511</v>
          </cell>
          <cell r="E1345">
            <v>675583.1</v>
          </cell>
          <cell r="F1345">
            <v>-189072.09999999998</v>
          </cell>
        </row>
        <row r="1346">
          <cell r="A1346" t="str">
            <v>GFSTAX</v>
          </cell>
          <cell r="B1346" t="str">
            <v>SERVICE TAX F&amp;O</v>
          </cell>
          <cell r="C1346" t="str">
            <v>LOLIAB</v>
          </cell>
          <cell r="D1346">
            <v>7456397</v>
          </cell>
          <cell r="E1346">
            <v>10178064.560000001</v>
          </cell>
          <cell r="F1346">
            <v>-2721667.5600000005</v>
          </cell>
        </row>
        <row r="1347">
          <cell r="A1347" t="str">
            <v>GSTAXMP</v>
          </cell>
          <cell r="B1347" t="str">
            <v>SERVICE TAX ON MANPOWER DEPLOYMENT</v>
          </cell>
          <cell r="C1347" t="str">
            <v>LOLIAB</v>
          </cell>
          <cell r="D1347">
            <v>19384586</v>
          </cell>
          <cell r="E1347">
            <v>3450088</v>
          </cell>
          <cell r="F1347">
            <v>15934498</v>
          </cell>
        </row>
        <row r="1348">
          <cell r="A1348" t="str">
            <v>GRSTAX</v>
          </cell>
          <cell r="B1348" t="str">
            <v>SERVICE TAX ON RENT</v>
          </cell>
          <cell r="C1348" t="str">
            <v>LOLIAB</v>
          </cell>
          <cell r="D1348">
            <v>1900930</v>
          </cell>
          <cell r="E1348">
            <v>0</v>
          </cell>
          <cell r="F1348">
            <v>1900930</v>
          </cell>
        </row>
        <row r="1349">
          <cell r="A1349" t="str">
            <v>GSTAXS</v>
          </cell>
          <cell r="B1349" t="str">
            <v>SERVICE TAX ON SCHEME CHARGES</v>
          </cell>
          <cell r="C1349" t="str">
            <v>LOLIAB</v>
          </cell>
          <cell r="D1349">
            <v>158499</v>
          </cell>
          <cell r="E1349">
            <v>178601.85</v>
          </cell>
          <cell r="F1349">
            <v>-20102.850000000006</v>
          </cell>
        </row>
        <row r="1350">
          <cell r="A1350" t="str">
            <v>GSTAXT</v>
          </cell>
          <cell r="B1350" t="str">
            <v>SERVICE TAX PAYABLE (TXN CHARGES)</v>
          </cell>
          <cell r="C1350" t="str">
            <v>LOLIAB</v>
          </cell>
          <cell r="D1350">
            <v>19644651.43</v>
          </cell>
          <cell r="E1350">
            <v>19644652.43</v>
          </cell>
          <cell r="F1350">
            <v>-1</v>
          </cell>
        </row>
        <row r="1351">
          <cell r="A1351" t="str">
            <v>GAOCST</v>
          </cell>
          <cell r="B1351" t="str">
            <v>SERVICE TAX PAYABLE - ACCOUNT OPENING</v>
          </cell>
          <cell r="C1351" t="str">
            <v>LOLIAB</v>
          </cell>
          <cell r="D1351">
            <v>16088.5</v>
          </cell>
          <cell r="E1351">
            <v>22374</v>
          </cell>
          <cell r="F1351">
            <v>-6285.5</v>
          </cell>
        </row>
        <row r="1352">
          <cell r="A1352" t="str">
            <v>GISTAX</v>
          </cell>
          <cell r="B1352" t="str">
            <v>SERVICE TAX PAYABLE - INSTITUTIONAL</v>
          </cell>
          <cell r="C1352" t="str">
            <v>LOLIAB</v>
          </cell>
          <cell r="D1352">
            <v>5440002.3099999996</v>
          </cell>
          <cell r="E1352">
            <v>5440002.3099999996</v>
          </cell>
          <cell r="F1352">
            <v>0</v>
          </cell>
        </row>
        <row r="1353">
          <cell r="A1353" t="str">
            <v>GL01001</v>
          </cell>
          <cell r="B1353" t="str">
            <v>SERVICE TAX PAYABLE A/C.</v>
          </cell>
          <cell r="C1353" t="str">
            <v>LOLIAB</v>
          </cell>
          <cell r="D1353">
            <v>2321034219.8000002</v>
          </cell>
          <cell r="E1353">
            <v>2320527714.8499999</v>
          </cell>
          <cell r="F1353">
            <v>506504.9500002861</v>
          </cell>
        </row>
        <row r="1354">
          <cell r="A1354" t="str">
            <v>GSTAXFDB</v>
          </cell>
          <cell r="B1354" t="str">
            <v>SERVICE TAX PAYABLE ON FD BROKERAGE</v>
          </cell>
          <cell r="C1354" t="str">
            <v>LOLIAB</v>
          </cell>
          <cell r="D1354">
            <v>8106.46</v>
          </cell>
          <cell r="E1354">
            <v>8106.46</v>
          </cell>
          <cell r="F1354">
            <v>0</v>
          </cell>
        </row>
        <row r="1355">
          <cell r="A1355" t="str">
            <v>GSTAXO</v>
          </cell>
          <cell r="B1355" t="str">
            <v>SERVICE TAX PAYABLE OTHER</v>
          </cell>
          <cell r="C1355" t="str">
            <v>LOLIAB</v>
          </cell>
          <cell r="D1355">
            <v>32341</v>
          </cell>
          <cell r="E1355">
            <v>40838</v>
          </cell>
          <cell r="F1355">
            <v>-8497</v>
          </cell>
        </row>
        <row r="1356">
          <cell r="A1356" t="str">
            <v>GSERTP</v>
          </cell>
          <cell r="B1356" t="str">
            <v>SERVICE TAX PAYABLE WDM</v>
          </cell>
          <cell r="C1356" t="str">
            <v>LOLIAB</v>
          </cell>
          <cell r="D1356">
            <v>115139.1</v>
          </cell>
          <cell r="E1356">
            <v>115139.1</v>
          </cell>
          <cell r="F1356">
            <v>0</v>
          </cell>
        </row>
        <row r="1357">
          <cell r="A1357" t="str">
            <v>GSTRC</v>
          </cell>
          <cell r="B1357" t="str">
            <v>SERVICE TAX REFUND CLAIM</v>
          </cell>
          <cell r="C1357" t="str">
            <v>LOLIAB</v>
          </cell>
          <cell r="D1357">
            <v>71870</v>
          </cell>
          <cell r="E1357">
            <v>348337583.43000001</v>
          </cell>
          <cell r="F1357">
            <v>-348265713.43000001</v>
          </cell>
        </row>
        <row r="1358">
          <cell r="A1358" t="str">
            <v>GISWL</v>
          </cell>
          <cell r="B1358" t="str">
            <v>STAFF WELFARE PAYABLE</v>
          </cell>
          <cell r="C1358" t="str">
            <v>LOLIAB</v>
          </cell>
          <cell r="D1358">
            <v>51560</v>
          </cell>
          <cell r="E1358">
            <v>51560</v>
          </cell>
          <cell r="F1358">
            <v>0</v>
          </cell>
        </row>
        <row r="1359">
          <cell r="A1359" t="str">
            <v>GL00121</v>
          </cell>
          <cell r="B1359" t="str">
            <v>STALE CHEQUE ACCOUNT</v>
          </cell>
          <cell r="C1359" t="str">
            <v>LOLIAB</v>
          </cell>
          <cell r="D1359">
            <v>166453907.06</v>
          </cell>
          <cell r="E1359">
            <v>198451855.88999999</v>
          </cell>
          <cell r="F1359">
            <v>-31997948.829999983</v>
          </cell>
        </row>
        <row r="1360">
          <cell r="A1360" t="str">
            <v>GIBSUS</v>
          </cell>
          <cell r="B1360" t="str">
            <v>SUPENSE 640</v>
          </cell>
          <cell r="C1360" t="str">
            <v>LOLIAB</v>
          </cell>
          <cell r="D1360">
            <v>1269173.8600000001</v>
          </cell>
          <cell r="E1360">
            <v>1269173.8600000001</v>
          </cell>
          <cell r="F1360">
            <v>0</v>
          </cell>
        </row>
        <row r="1361">
          <cell r="A1361" t="str">
            <v>GE01041</v>
          </cell>
          <cell r="B1361" t="str">
            <v>SUSPENSE</v>
          </cell>
          <cell r="C1361" t="str">
            <v>LOLIAB</v>
          </cell>
          <cell r="D1361">
            <v>200</v>
          </cell>
          <cell r="E1361">
            <v>200</v>
          </cell>
          <cell r="F1361">
            <v>0</v>
          </cell>
        </row>
        <row r="1362">
          <cell r="A1362" t="str">
            <v>GA0308</v>
          </cell>
          <cell r="B1362" t="str">
            <v>T.P.S.MIGLANI LOAN A/C</v>
          </cell>
          <cell r="C1362" t="str">
            <v>LOLIAB</v>
          </cell>
          <cell r="D1362">
            <v>64984</v>
          </cell>
          <cell r="E1362">
            <v>64984</v>
          </cell>
          <cell r="F1362">
            <v>0</v>
          </cell>
        </row>
        <row r="1363">
          <cell r="A1363" t="str">
            <v>GA080D</v>
          </cell>
          <cell r="B1363" t="str">
            <v>TDS PAYABLE (CONTRACTOR)</v>
          </cell>
          <cell r="C1363" t="str">
            <v>LOLIAB</v>
          </cell>
          <cell r="D1363">
            <v>2876119.43</v>
          </cell>
          <cell r="E1363">
            <v>2876119.43</v>
          </cell>
          <cell r="F1363">
            <v>0</v>
          </cell>
        </row>
        <row r="1364">
          <cell r="A1364" t="str">
            <v>GA080B</v>
          </cell>
          <cell r="B1364" t="str">
            <v>TDS PAYABLE (RENT)</v>
          </cell>
          <cell r="C1364" t="str">
            <v>LOLIAB</v>
          </cell>
          <cell r="D1364">
            <v>4309604.0599999996</v>
          </cell>
          <cell r="E1364">
            <v>4309604.0599999996</v>
          </cell>
          <cell r="F1364">
            <v>0</v>
          </cell>
        </row>
        <row r="1365">
          <cell r="A1365" t="str">
            <v>GA080E</v>
          </cell>
          <cell r="B1365" t="str">
            <v>TDS PAYABLE COMMISSION</v>
          </cell>
          <cell r="C1365" t="str">
            <v>LOLIAB</v>
          </cell>
          <cell r="D1365">
            <v>14345111.199999999</v>
          </cell>
          <cell r="E1365">
            <v>14345111.199999999</v>
          </cell>
          <cell r="F1365">
            <v>0</v>
          </cell>
        </row>
        <row r="1366">
          <cell r="A1366" t="str">
            <v>GL01011</v>
          </cell>
          <cell r="B1366" t="str">
            <v>TELEPHONE EXPENSES PAYABL</v>
          </cell>
          <cell r="C1366" t="str">
            <v>LOLIAB</v>
          </cell>
          <cell r="D1366">
            <v>350000</v>
          </cell>
          <cell r="E1366">
            <v>350000</v>
          </cell>
          <cell r="F1366">
            <v>0</v>
          </cell>
        </row>
        <row r="1367">
          <cell r="A1367" t="str">
            <v>GTRANP</v>
          </cell>
          <cell r="B1367" t="str">
            <v>TRANSACTION CHARGES PAYABLE</v>
          </cell>
          <cell r="C1367" t="str">
            <v>LOLIAB</v>
          </cell>
          <cell r="D1367">
            <v>14647032.35</v>
          </cell>
          <cell r="E1367">
            <v>14647032.35</v>
          </cell>
          <cell r="F1367">
            <v>0</v>
          </cell>
        </row>
        <row r="1368">
          <cell r="A1368" t="str">
            <v>GITVL</v>
          </cell>
          <cell r="B1368" t="str">
            <v>TRAVELLING EXPENSES PAYABLE</v>
          </cell>
          <cell r="C1368" t="str">
            <v>LOLIAB</v>
          </cell>
          <cell r="D1368">
            <v>340000</v>
          </cell>
          <cell r="E1368">
            <v>340000</v>
          </cell>
          <cell r="F1368">
            <v>0</v>
          </cell>
        </row>
        <row r="1369">
          <cell r="A1369" t="str">
            <v>GL01025</v>
          </cell>
          <cell r="B1369" t="str">
            <v>TURNOVER TAX</v>
          </cell>
          <cell r="C1369" t="str">
            <v>LOLIAB</v>
          </cell>
          <cell r="D1369">
            <v>55349381.560000002</v>
          </cell>
          <cell r="E1369">
            <v>55375726.649999999</v>
          </cell>
          <cell r="F1369">
            <v>-26345.089999996126</v>
          </cell>
        </row>
        <row r="1370">
          <cell r="A1370" t="str">
            <v>GA00013</v>
          </cell>
          <cell r="B1370" t="str">
            <v>UNPAID SALARY</v>
          </cell>
          <cell r="C1370" t="str">
            <v>LOLIAB</v>
          </cell>
          <cell r="D1370">
            <v>657630.80000000005</v>
          </cell>
          <cell r="E1370">
            <v>657630.80000000005</v>
          </cell>
          <cell r="F1370">
            <v>0</v>
          </cell>
        </row>
        <row r="1371">
          <cell r="A1371" t="str">
            <v>GA0385</v>
          </cell>
          <cell r="B1371" t="str">
            <v>VSAT CHARGES PAYABLE</v>
          </cell>
          <cell r="C1371" t="str">
            <v>LOLIAB</v>
          </cell>
          <cell r="D1371">
            <v>6485617.8200000003</v>
          </cell>
          <cell r="E1371">
            <v>6485617.8200000003</v>
          </cell>
          <cell r="F1371">
            <v>0</v>
          </cell>
        </row>
        <row r="1372">
          <cell r="A1372" t="str">
            <v>GL01023</v>
          </cell>
          <cell r="B1372" t="str">
            <v>WEBHOSTING CHARGES PAYABLE</v>
          </cell>
          <cell r="C1372" t="str">
            <v>LOLIAB</v>
          </cell>
          <cell r="D1372">
            <v>281990</v>
          </cell>
          <cell r="E1372">
            <v>281990</v>
          </cell>
          <cell r="F1372">
            <v>0</v>
          </cell>
        </row>
        <row r="1373">
          <cell r="A1373" t="str">
            <v>GASKU</v>
          </cell>
          <cell r="B1373" t="str">
            <v xml:space="preserve"> ASHOK KUMAR AGRA</v>
          </cell>
          <cell r="C1373" t="str">
            <v>LSCRED</v>
          </cell>
          <cell r="D1373">
            <v>6444</v>
          </cell>
          <cell r="E1373">
            <v>6444</v>
          </cell>
          <cell r="F1373">
            <v>0</v>
          </cell>
        </row>
        <row r="1374">
          <cell r="A1374" t="str">
            <v>GJVPA</v>
          </cell>
          <cell r="B1374" t="str">
            <v xml:space="preserve"> J.V.PATEL</v>
          </cell>
          <cell r="C1374" t="str">
            <v>LSCRED</v>
          </cell>
          <cell r="D1374">
            <v>6676</v>
          </cell>
          <cell r="E1374">
            <v>6676</v>
          </cell>
          <cell r="F1374">
            <v>0</v>
          </cell>
        </row>
        <row r="1375">
          <cell r="A1375" t="str">
            <v>GNARC</v>
          </cell>
          <cell r="B1375" t="str">
            <v xml:space="preserve"> NARANG CONSTRUCTIONS &amp; FINANCIERS PVT LTD</v>
          </cell>
          <cell r="C1375" t="str">
            <v>LSCRED</v>
          </cell>
          <cell r="D1375">
            <v>22651</v>
          </cell>
          <cell r="E1375">
            <v>22651</v>
          </cell>
          <cell r="F1375">
            <v>0</v>
          </cell>
        </row>
        <row r="1376">
          <cell r="A1376" t="str">
            <v>GNESE</v>
          </cell>
          <cell r="B1376" t="str">
            <v xml:space="preserve"> NEELU SETH</v>
          </cell>
          <cell r="C1376" t="str">
            <v>LSCRED</v>
          </cell>
          <cell r="D1376">
            <v>13515</v>
          </cell>
          <cell r="E1376">
            <v>13515</v>
          </cell>
          <cell r="F1376">
            <v>0</v>
          </cell>
        </row>
        <row r="1377">
          <cell r="A1377" t="str">
            <v>GTRDE</v>
          </cell>
          <cell r="B1377" t="str">
            <v xml:space="preserve"> S G TRADERS</v>
          </cell>
          <cell r="C1377" t="str">
            <v>LSCRED</v>
          </cell>
          <cell r="D1377">
            <v>5185</v>
          </cell>
          <cell r="E1377">
            <v>5185</v>
          </cell>
          <cell r="F1377">
            <v>0</v>
          </cell>
        </row>
        <row r="1378">
          <cell r="A1378" t="str">
            <v>GSUDI</v>
          </cell>
          <cell r="B1378" t="str">
            <v xml:space="preserve"> SUDHIR KUMAR VERMA</v>
          </cell>
          <cell r="C1378" t="str">
            <v>LSCRED</v>
          </cell>
          <cell r="D1378">
            <v>171453</v>
          </cell>
          <cell r="E1378">
            <v>171453</v>
          </cell>
          <cell r="F1378">
            <v>0</v>
          </cell>
        </row>
        <row r="1379">
          <cell r="A1379" t="str">
            <v>GASMA</v>
          </cell>
          <cell r="B1379" t="str">
            <v>A S MANJUNATH SADASIVAM</v>
          </cell>
          <cell r="C1379" t="str">
            <v>LSCRED</v>
          </cell>
          <cell r="D1379">
            <v>2863</v>
          </cell>
          <cell r="E1379">
            <v>2863</v>
          </cell>
          <cell r="F1379">
            <v>0</v>
          </cell>
        </row>
        <row r="1380">
          <cell r="A1380" t="str">
            <v>GASUB</v>
          </cell>
          <cell r="B1380" t="str">
            <v>A. SUBRAMANIAN</v>
          </cell>
          <cell r="C1380" t="str">
            <v>LSCRED</v>
          </cell>
          <cell r="D1380">
            <v>13440</v>
          </cell>
          <cell r="E1380">
            <v>13440</v>
          </cell>
          <cell r="F1380">
            <v>0</v>
          </cell>
        </row>
        <row r="1381">
          <cell r="A1381" t="str">
            <v>GAVEN</v>
          </cell>
          <cell r="B1381" t="str">
            <v>A. VENKATESAN</v>
          </cell>
          <cell r="C1381" t="str">
            <v>LSCRED</v>
          </cell>
          <cell r="D1381">
            <v>80100</v>
          </cell>
          <cell r="E1381">
            <v>80100</v>
          </cell>
          <cell r="F1381">
            <v>0</v>
          </cell>
        </row>
        <row r="1382">
          <cell r="A1382" t="str">
            <v>GADGU</v>
          </cell>
          <cell r="B1382" t="str">
            <v>A.D. GUPTA</v>
          </cell>
          <cell r="C1382" t="str">
            <v>LSCRED</v>
          </cell>
          <cell r="D1382">
            <v>40000</v>
          </cell>
          <cell r="E1382">
            <v>40000</v>
          </cell>
          <cell r="F1382">
            <v>0</v>
          </cell>
        </row>
        <row r="1383">
          <cell r="A1383" t="str">
            <v>GABJO</v>
          </cell>
          <cell r="B1383" t="str">
            <v>AB JOBSMART</v>
          </cell>
          <cell r="C1383" t="str">
            <v>LSCRED</v>
          </cell>
          <cell r="D1383">
            <v>842</v>
          </cell>
          <cell r="E1383">
            <v>842</v>
          </cell>
          <cell r="F1383">
            <v>0</v>
          </cell>
        </row>
        <row r="1384">
          <cell r="A1384" t="str">
            <v>GABDU</v>
          </cell>
          <cell r="B1384" t="str">
            <v>ABDUL WAHEED</v>
          </cell>
          <cell r="C1384" t="str">
            <v>LSCRED</v>
          </cell>
          <cell r="D1384">
            <v>104588</v>
          </cell>
          <cell r="E1384">
            <v>104588</v>
          </cell>
          <cell r="F1384">
            <v>0</v>
          </cell>
        </row>
        <row r="1385">
          <cell r="A1385" t="str">
            <v>GABDK</v>
          </cell>
          <cell r="B1385" t="str">
            <v>ABDUSHUKUR</v>
          </cell>
          <cell r="C1385" t="str">
            <v>LSCRED</v>
          </cell>
          <cell r="D1385">
            <v>20700</v>
          </cell>
          <cell r="E1385">
            <v>20700</v>
          </cell>
          <cell r="F1385">
            <v>0</v>
          </cell>
        </row>
        <row r="1386">
          <cell r="A1386" t="str">
            <v>GABHV</v>
          </cell>
          <cell r="B1386" t="str">
            <v>ABHIMANYU VINAYAK</v>
          </cell>
          <cell r="C1386" t="str">
            <v>LSCRED</v>
          </cell>
          <cell r="D1386">
            <v>22164</v>
          </cell>
          <cell r="E1386">
            <v>22164</v>
          </cell>
          <cell r="F1386">
            <v>0</v>
          </cell>
        </row>
        <row r="1387">
          <cell r="A1387" t="str">
            <v>GABAR</v>
          </cell>
          <cell r="B1387" t="str">
            <v>ABHINAV ARORA</v>
          </cell>
          <cell r="C1387" t="str">
            <v>LSCRED</v>
          </cell>
          <cell r="D1387">
            <v>25092</v>
          </cell>
          <cell r="E1387">
            <v>25092</v>
          </cell>
          <cell r="F1387">
            <v>0</v>
          </cell>
        </row>
        <row r="1388">
          <cell r="A1388" t="str">
            <v>GA0175</v>
          </cell>
          <cell r="B1388" t="str">
            <v>AD PRINTS</v>
          </cell>
          <cell r="C1388" t="str">
            <v>LSCRED</v>
          </cell>
          <cell r="D1388">
            <v>50873</v>
          </cell>
          <cell r="E1388">
            <v>50873</v>
          </cell>
          <cell r="F1388">
            <v>0</v>
          </cell>
        </row>
        <row r="1389">
          <cell r="A1389" t="str">
            <v>GADEC</v>
          </cell>
          <cell r="B1389" t="str">
            <v>ADECCO PEOPLEONE INDIA LTD.</v>
          </cell>
          <cell r="C1389" t="str">
            <v>LSCRED</v>
          </cell>
          <cell r="D1389">
            <v>1000</v>
          </cell>
          <cell r="E1389">
            <v>1000</v>
          </cell>
          <cell r="F1389">
            <v>0</v>
          </cell>
        </row>
        <row r="1390">
          <cell r="A1390" t="str">
            <v>GADIT</v>
          </cell>
          <cell r="B1390" t="str">
            <v>ADITYA ENTERPRISES</v>
          </cell>
          <cell r="C1390" t="str">
            <v>LSCRED</v>
          </cell>
          <cell r="D1390">
            <v>35</v>
          </cell>
          <cell r="E1390">
            <v>35</v>
          </cell>
          <cell r="F1390">
            <v>0</v>
          </cell>
        </row>
        <row r="1391">
          <cell r="A1391" t="str">
            <v>GADVI</v>
          </cell>
          <cell r="B1391" t="str">
            <v>ADVAITH MOTORS PVT LTD</v>
          </cell>
          <cell r="C1391" t="str">
            <v>LSCRED</v>
          </cell>
          <cell r="D1391">
            <v>46487</v>
          </cell>
          <cell r="E1391">
            <v>46487</v>
          </cell>
          <cell r="F1391">
            <v>0</v>
          </cell>
        </row>
        <row r="1392">
          <cell r="A1392" t="str">
            <v>GADYAP</v>
          </cell>
          <cell r="B1392" t="str">
            <v>ADYA PRASAD MISHRA</v>
          </cell>
          <cell r="C1392" t="str">
            <v>LSCRED</v>
          </cell>
          <cell r="D1392">
            <v>54450</v>
          </cell>
          <cell r="E1392">
            <v>54450</v>
          </cell>
          <cell r="F1392">
            <v>0</v>
          </cell>
        </row>
        <row r="1393">
          <cell r="A1393" t="str">
            <v>GAFFI</v>
          </cell>
          <cell r="B1393" t="str">
            <v>AFFINITY TRAVEL SOLUTIONS</v>
          </cell>
          <cell r="C1393" t="str">
            <v>LSCRED</v>
          </cell>
          <cell r="D1393">
            <v>76945</v>
          </cell>
          <cell r="E1393">
            <v>76945</v>
          </cell>
          <cell r="F1393">
            <v>0</v>
          </cell>
        </row>
        <row r="1394">
          <cell r="A1394" t="str">
            <v>GARCO</v>
          </cell>
          <cell r="B1394" t="str">
            <v>AIRCON</v>
          </cell>
          <cell r="C1394" t="str">
            <v>LSCRED</v>
          </cell>
          <cell r="D1394">
            <v>3030</v>
          </cell>
          <cell r="E1394">
            <v>3030</v>
          </cell>
          <cell r="F1394">
            <v>0</v>
          </cell>
        </row>
        <row r="1395">
          <cell r="A1395" t="str">
            <v>GAJCH</v>
          </cell>
          <cell r="B1395" t="str">
            <v>AJAY CHOUHAN</v>
          </cell>
          <cell r="C1395" t="str">
            <v>LSCRED</v>
          </cell>
          <cell r="D1395">
            <v>49829</v>
          </cell>
          <cell r="E1395">
            <v>49829</v>
          </cell>
          <cell r="F1395">
            <v>0</v>
          </cell>
        </row>
        <row r="1396">
          <cell r="A1396" t="str">
            <v>GAJGA</v>
          </cell>
          <cell r="B1396" t="str">
            <v>AJAY GARG</v>
          </cell>
          <cell r="C1396" t="str">
            <v>LSCRED</v>
          </cell>
          <cell r="D1396">
            <v>3870</v>
          </cell>
          <cell r="E1396">
            <v>3870</v>
          </cell>
          <cell r="F1396">
            <v>0</v>
          </cell>
        </row>
        <row r="1397">
          <cell r="A1397" t="str">
            <v>GAJAYG</v>
          </cell>
          <cell r="B1397" t="str">
            <v>AJAY GUPTA</v>
          </cell>
          <cell r="C1397" t="str">
            <v>LSCRED</v>
          </cell>
          <cell r="D1397">
            <v>1320</v>
          </cell>
          <cell r="E1397">
            <v>1320</v>
          </cell>
          <cell r="F1397">
            <v>0</v>
          </cell>
        </row>
        <row r="1398">
          <cell r="A1398" t="str">
            <v>GAJNA</v>
          </cell>
          <cell r="B1398" t="str">
            <v>AJAY NAGPAL</v>
          </cell>
          <cell r="C1398" t="str">
            <v>LSCRED</v>
          </cell>
          <cell r="D1398">
            <v>34425</v>
          </cell>
          <cell r="E1398">
            <v>34425</v>
          </cell>
          <cell r="F1398">
            <v>0</v>
          </cell>
        </row>
        <row r="1399">
          <cell r="A1399" t="str">
            <v>GA088</v>
          </cell>
          <cell r="B1399" t="str">
            <v>AJAY SARDANA ASSOCIATES</v>
          </cell>
          <cell r="C1399" t="str">
            <v>LSCRED</v>
          </cell>
          <cell r="D1399">
            <v>1057676</v>
          </cell>
          <cell r="E1399">
            <v>1057676</v>
          </cell>
          <cell r="F1399">
            <v>0</v>
          </cell>
        </row>
        <row r="1400">
          <cell r="A1400" t="str">
            <v>GAJET</v>
          </cell>
          <cell r="B1400" t="str">
            <v>AJEET KUMAR JAIN</v>
          </cell>
          <cell r="C1400" t="str">
            <v>LSCRED</v>
          </cell>
          <cell r="D1400">
            <v>4713</v>
          </cell>
          <cell r="E1400">
            <v>4713</v>
          </cell>
          <cell r="F1400">
            <v>0</v>
          </cell>
        </row>
        <row r="1401">
          <cell r="A1401" t="str">
            <v>GAJEE</v>
          </cell>
          <cell r="B1401" t="str">
            <v>AJEET KUMAR WAHI</v>
          </cell>
          <cell r="C1401" t="str">
            <v>LSCRED</v>
          </cell>
          <cell r="D1401">
            <v>7239</v>
          </cell>
          <cell r="E1401">
            <v>7239</v>
          </cell>
          <cell r="F1401">
            <v>0</v>
          </cell>
        </row>
        <row r="1402">
          <cell r="A1402" t="str">
            <v>GAKEE</v>
          </cell>
          <cell r="B1402" t="str">
            <v>AKEEL SHAIKH</v>
          </cell>
          <cell r="C1402" t="str">
            <v>LSCRED</v>
          </cell>
          <cell r="D1402">
            <v>1879</v>
          </cell>
          <cell r="E1402">
            <v>1879</v>
          </cell>
          <cell r="F1402">
            <v>0</v>
          </cell>
        </row>
        <row r="1403">
          <cell r="A1403" t="str">
            <v>GALCH</v>
          </cell>
          <cell r="B1403" t="str">
            <v>ALCHEMIST HR SERVICES PVT LTD</v>
          </cell>
          <cell r="C1403" t="str">
            <v>LSCRED</v>
          </cell>
          <cell r="D1403">
            <v>7416</v>
          </cell>
          <cell r="E1403">
            <v>7416</v>
          </cell>
          <cell r="F1403">
            <v>0</v>
          </cell>
        </row>
        <row r="1404">
          <cell r="A1404" t="str">
            <v>GALLT</v>
          </cell>
          <cell r="B1404" t="str">
            <v>ALLTIMEJOBS.COM LTD</v>
          </cell>
          <cell r="C1404" t="str">
            <v>LSCRED</v>
          </cell>
          <cell r="D1404">
            <v>145143</v>
          </cell>
          <cell r="E1404">
            <v>145143</v>
          </cell>
          <cell r="F1404">
            <v>0</v>
          </cell>
        </row>
        <row r="1405">
          <cell r="A1405" t="str">
            <v>GALPA</v>
          </cell>
          <cell r="B1405" t="str">
            <v>ALPANA BANDHU PATIL</v>
          </cell>
          <cell r="C1405" t="str">
            <v>LSCRED</v>
          </cell>
          <cell r="D1405">
            <v>24480</v>
          </cell>
          <cell r="E1405">
            <v>24480</v>
          </cell>
          <cell r="F1405">
            <v>0</v>
          </cell>
        </row>
        <row r="1406">
          <cell r="A1406" t="str">
            <v>GAMALA</v>
          </cell>
          <cell r="B1406" t="str">
            <v>AMALA RESTAURANT PRIVATE LTD</v>
          </cell>
          <cell r="C1406" t="str">
            <v>LSCRED</v>
          </cell>
          <cell r="D1406">
            <v>78768</v>
          </cell>
          <cell r="E1406">
            <v>78768</v>
          </cell>
          <cell r="F1406">
            <v>0</v>
          </cell>
        </row>
        <row r="1407">
          <cell r="A1407" t="str">
            <v>GAMBU</v>
          </cell>
          <cell r="B1407" t="str">
            <v>AMAR BUILDERS &amp; ESTATE AGENTS</v>
          </cell>
          <cell r="C1407" t="str">
            <v>LSCRED</v>
          </cell>
          <cell r="D1407">
            <v>1627</v>
          </cell>
          <cell r="E1407">
            <v>1627</v>
          </cell>
          <cell r="F1407">
            <v>0</v>
          </cell>
        </row>
        <row r="1408">
          <cell r="A1408" t="str">
            <v>GAMAL</v>
          </cell>
          <cell r="B1408" t="str">
            <v>AMARESH N LAW ASSOCIATES</v>
          </cell>
          <cell r="C1408" t="str">
            <v>LSCRED</v>
          </cell>
          <cell r="D1408">
            <v>5500</v>
          </cell>
          <cell r="E1408">
            <v>5500</v>
          </cell>
          <cell r="F1408">
            <v>0</v>
          </cell>
        </row>
        <row r="1409">
          <cell r="A1409" t="str">
            <v>GAMKA</v>
          </cell>
          <cell r="B1409" t="str">
            <v>AMARJEET KAUR</v>
          </cell>
          <cell r="C1409" t="str">
            <v>LSCRED</v>
          </cell>
          <cell r="D1409">
            <v>13712</v>
          </cell>
          <cell r="E1409">
            <v>13712</v>
          </cell>
          <cell r="F1409">
            <v>0</v>
          </cell>
        </row>
        <row r="1410">
          <cell r="A1410" t="str">
            <v>GAMAR</v>
          </cell>
          <cell r="B1410" t="str">
            <v>AMARJEET SINGH SIDANA &amp;  JASBIR SIDANA</v>
          </cell>
          <cell r="C1410" t="str">
            <v>LSCRED</v>
          </cell>
          <cell r="D1410">
            <v>9000</v>
          </cell>
          <cell r="E1410">
            <v>9000</v>
          </cell>
          <cell r="F1410">
            <v>0</v>
          </cell>
        </row>
        <row r="1411">
          <cell r="A1411" t="str">
            <v>GAMSI</v>
          </cell>
          <cell r="B1411" t="str">
            <v>AMARJIT SINGH RANDHAWA</v>
          </cell>
          <cell r="C1411" t="str">
            <v>LSCRED</v>
          </cell>
          <cell r="D1411">
            <v>9229</v>
          </cell>
          <cell r="E1411">
            <v>9229</v>
          </cell>
          <cell r="F1411">
            <v>0</v>
          </cell>
        </row>
        <row r="1412">
          <cell r="A1412" t="str">
            <v>GAMGR</v>
          </cell>
          <cell r="B1412" t="str">
            <v>AMIT GROVER</v>
          </cell>
          <cell r="C1412" t="str">
            <v>LSCRED</v>
          </cell>
          <cell r="D1412">
            <v>18594</v>
          </cell>
          <cell r="E1412">
            <v>18594</v>
          </cell>
          <cell r="F1412">
            <v>0</v>
          </cell>
        </row>
        <row r="1413">
          <cell r="A1413" t="str">
            <v>GAMKU</v>
          </cell>
          <cell r="B1413" t="str">
            <v>AMIT KUMAR SHARMA</v>
          </cell>
          <cell r="C1413" t="str">
            <v>LSCRED</v>
          </cell>
          <cell r="D1413">
            <v>27584</v>
          </cell>
          <cell r="E1413">
            <v>27584</v>
          </cell>
          <cell r="F1413">
            <v>0</v>
          </cell>
        </row>
        <row r="1414">
          <cell r="A1414" t="str">
            <v>GAMITS</v>
          </cell>
          <cell r="B1414" t="str">
            <v>AMIT SHARMA</v>
          </cell>
          <cell r="C1414" t="str">
            <v>LSCRED</v>
          </cell>
          <cell r="D1414">
            <v>34428</v>
          </cell>
          <cell r="E1414">
            <v>34428</v>
          </cell>
          <cell r="F1414">
            <v>0</v>
          </cell>
        </row>
        <row r="1415">
          <cell r="A1415" t="str">
            <v>GAMITE</v>
          </cell>
          <cell r="B1415" t="str">
            <v>AMITA ESTATE AND PROPERTY CONSULTANTS</v>
          </cell>
          <cell r="C1415" t="str">
            <v>LSCRED</v>
          </cell>
          <cell r="D1415">
            <v>1234</v>
          </cell>
          <cell r="E1415">
            <v>1234</v>
          </cell>
          <cell r="F1415">
            <v>0</v>
          </cell>
        </row>
        <row r="1416">
          <cell r="A1416" t="str">
            <v>GANAL</v>
          </cell>
          <cell r="B1416" t="str">
            <v>ANALYTIC CONSULTANCY BUREAU  PVT. LTD.</v>
          </cell>
          <cell r="C1416" t="str">
            <v>LSCRED</v>
          </cell>
          <cell r="D1416">
            <v>9367</v>
          </cell>
          <cell r="E1416">
            <v>9367</v>
          </cell>
          <cell r="F1416">
            <v>0</v>
          </cell>
        </row>
        <row r="1417">
          <cell r="A1417" t="str">
            <v>GANAD</v>
          </cell>
          <cell r="B1417" t="str">
            <v>ANAND VRINDAVAN FLAT OWENRS WELFARE SOCIETY</v>
          </cell>
          <cell r="C1417" t="str">
            <v>LSCRED</v>
          </cell>
          <cell r="D1417">
            <v>3000</v>
          </cell>
          <cell r="E1417">
            <v>3000</v>
          </cell>
          <cell r="F1417">
            <v>0</v>
          </cell>
        </row>
        <row r="1418">
          <cell r="A1418" t="str">
            <v>GANEE</v>
          </cell>
          <cell r="B1418" t="str">
            <v>ANEES JAFFERI</v>
          </cell>
          <cell r="C1418" t="str">
            <v>LSCRED</v>
          </cell>
          <cell r="D1418">
            <v>16550</v>
          </cell>
          <cell r="E1418">
            <v>16550</v>
          </cell>
          <cell r="F1418">
            <v>0</v>
          </cell>
        </row>
        <row r="1419">
          <cell r="A1419" t="str">
            <v>GANILK</v>
          </cell>
          <cell r="B1419" t="str">
            <v>ANIL KUMAR</v>
          </cell>
          <cell r="C1419" t="str">
            <v>LSCRED</v>
          </cell>
          <cell r="D1419">
            <v>5000</v>
          </cell>
          <cell r="E1419">
            <v>5000</v>
          </cell>
          <cell r="F1419">
            <v>0</v>
          </cell>
        </row>
        <row r="1420">
          <cell r="A1420" t="str">
            <v>GANKG</v>
          </cell>
          <cell r="B1420" t="str">
            <v>ANIL KUMAR GUPTA</v>
          </cell>
          <cell r="C1420" t="str">
            <v>LSCRED</v>
          </cell>
          <cell r="D1420">
            <v>5720</v>
          </cell>
          <cell r="E1420">
            <v>5720</v>
          </cell>
          <cell r="F1420">
            <v>0</v>
          </cell>
        </row>
        <row r="1421">
          <cell r="A1421" t="str">
            <v>GANKJ</v>
          </cell>
          <cell r="B1421" t="str">
            <v>ANIL KUMAR JAIN</v>
          </cell>
          <cell r="C1421" t="str">
            <v>LSCRED</v>
          </cell>
          <cell r="D1421">
            <v>7800</v>
          </cell>
          <cell r="E1421">
            <v>7800</v>
          </cell>
          <cell r="F1421">
            <v>0</v>
          </cell>
        </row>
        <row r="1422">
          <cell r="A1422" t="str">
            <v>GANIB</v>
          </cell>
          <cell r="B1422" t="str">
            <v>ANIRBAN BAKSHI &amp; ASSOCIATES</v>
          </cell>
          <cell r="C1422" t="str">
            <v>LSCRED</v>
          </cell>
          <cell r="D1422">
            <v>28000</v>
          </cell>
          <cell r="E1422">
            <v>28000</v>
          </cell>
          <cell r="F1422">
            <v>0</v>
          </cell>
        </row>
        <row r="1423">
          <cell r="A1423" t="str">
            <v>GANIT</v>
          </cell>
          <cell r="B1423" t="str">
            <v>ANITA AGGARWAL</v>
          </cell>
          <cell r="C1423" t="str">
            <v>LSCRED</v>
          </cell>
          <cell r="D1423">
            <v>33660</v>
          </cell>
          <cell r="E1423">
            <v>33660</v>
          </cell>
          <cell r="F1423">
            <v>0</v>
          </cell>
        </row>
        <row r="1424">
          <cell r="A1424" t="str">
            <v>GANJG</v>
          </cell>
          <cell r="B1424" t="str">
            <v>ANJANA GANATRA</v>
          </cell>
          <cell r="C1424" t="str">
            <v>LSCRED</v>
          </cell>
          <cell r="D1424">
            <v>41310</v>
          </cell>
          <cell r="E1424">
            <v>41310</v>
          </cell>
          <cell r="F1424">
            <v>0</v>
          </cell>
        </row>
        <row r="1425">
          <cell r="A1425" t="str">
            <v>GANSI</v>
          </cell>
          <cell r="B1425" t="str">
            <v>ANJANA SINGH CHAUHAN</v>
          </cell>
          <cell r="C1425" t="str">
            <v>LSCRED</v>
          </cell>
          <cell r="D1425">
            <v>10000</v>
          </cell>
          <cell r="E1425">
            <v>10000</v>
          </cell>
          <cell r="F1425">
            <v>0</v>
          </cell>
        </row>
        <row r="1426">
          <cell r="A1426" t="str">
            <v>GANJU</v>
          </cell>
          <cell r="B1426" t="str">
            <v>ANJU GROVER</v>
          </cell>
          <cell r="C1426" t="str">
            <v>LSCRED</v>
          </cell>
          <cell r="D1426">
            <v>32180</v>
          </cell>
          <cell r="E1426">
            <v>32180</v>
          </cell>
          <cell r="F1426">
            <v>0</v>
          </cell>
        </row>
        <row r="1427">
          <cell r="A1427" t="str">
            <v>GANMA</v>
          </cell>
          <cell r="B1427" t="str">
            <v>ANJU MALIK</v>
          </cell>
          <cell r="C1427" t="str">
            <v>LSCRED</v>
          </cell>
          <cell r="D1427">
            <v>18863</v>
          </cell>
          <cell r="E1427">
            <v>18863</v>
          </cell>
          <cell r="F1427">
            <v>0</v>
          </cell>
        </row>
        <row r="1428">
          <cell r="A1428" t="str">
            <v>GANAR</v>
          </cell>
          <cell r="B1428" t="str">
            <v>ANKUR ARORA</v>
          </cell>
          <cell r="C1428" t="str">
            <v>LSCRED</v>
          </cell>
          <cell r="D1428">
            <v>19890</v>
          </cell>
          <cell r="E1428">
            <v>19890</v>
          </cell>
          <cell r="F1428">
            <v>0</v>
          </cell>
        </row>
        <row r="1429">
          <cell r="A1429" t="str">
            <v>GANMO</v>
          </cell>
          <cell r="B1429" t="str">
            <v>ANMOL DEVELOPERS</v>
          </cell>
          <cell r="C1429" t="str">
            <v>LSCRED</v>
          </cell>
          <cell r="D1429">
            <v>169929</v>
          </cell>
          <cell r="E1429">
            <v>169929</v>
          </cell>
          <cell r="F1429">
            <v>0</v>
          </cell>
        </row>
        <row r="1430">
          <cell r="A1430" t="str">
            <v>GANSU</v>
          </cell>
          <cell r="B1430" t="str">
            <v>ANSHU SRIVASTAVA</v>
          </cell>
          <cell r="C1430" t="str">
            <v>LSCRED</v>
          </cell>
          <cell r="D1430">
            <v>8300</v>
          </cell>
          <cell r="E1430">
            <v>8300</v>
          </cell>
          <cell r="F1430">
            <v>0</v>
          </cell>
        </row>
        <row r="1431">
          <cell r="A1431" t="str">
            <v>GANSH</v>
          </cell>
          <cell r="B1431" t="str">
            <v>ANSHUMAN BISWAS</v>
          </cell>
          <cell r="C1431" t="str">
            <v>LSCRED</v>
          </cell>
          <cell r="D1431">
            <v>37610</v>
          </cell>
          <cell r="E1431">
            <v>37610</v>
          </cell>
          <cell r="F1431">
            <v>0</v>
          </cell>
        </row>
        <row r="1432">
          <cell r="A1432" t="str">
            <v>GANUH</v>
          </cell>
          <cell r="B1432" t="str">
            <v>ANU SHYAM JAMNANI</v>
          </cell>
          <cell r="C1432" t="str">
            <v>LSCRED</v>
          </cell>
          <cell r="D1432">
            <v>7000</v>
          </cell>
          <cell r="E1432">
            <v>7000</v>
          </cell>
          <cell r="F1432">
            <v>0</v>
          </cell>
        </row>
        <row r="1433">
          <cell r="A1433" t="str">
            <v>GANUP</v>
          </cell>
          <cell r="B1433" t="str">
            <v>ANUP M. RAYANNAVAR</v>
          </cell>
          <cell r="C1433" t="str">
            <v>LSCRED</v>
          </cell>
          <cell r="D1433">
            <v>742</v>
          </cell>
          <cell r="E1433">
            <v>742</v>
          </cell>
          <cell r="F1433">
            <v>0</v>
          </cell>
        </row>
        <row r="1434">
          <cell r="A1434" t="str">
            <v>GANAG</v>
          </cell>
          <cell r="B1434" t="str">
            <v>ANURADHA AGARWAL</v>
          </cell>
          <cell r="C1434" t="str">
            <v>LSCRED</v>
          </cell>
          <cell r="D1434">
            <v>32700</v>
          </cell>
          <cell r="E1434">
            <v>32700</v>
          </cell>
          <cell r="F1434">
            <v>0</v>
          </cell>
        </row>
        <row r="1435">
          <cell r="A1435" t="str">
            <v>GAPEV</v>
          </cell>
          <cell r="B1435" t="str">
            <v>APEX VYAPAAR PRIVATE LIMITED</v>
          </cell>
          <cell r="C1435" t="str">
            <v>LSCRED</v>
          </cell>
          <cell r="D1435">
            <v>414640</v>
          </cell>
          <cell r="E1435">
            <v>414640</v>
          </cell>
          <cell r="F1435">
            <v>0</v>
          </cell>
        </row>
        <row r="1436">
          <cell r="A1436" t="str">
            <v>GAPOL</v>
          </cell>
          <cell r="B1436" t="str">
            <v>APOLLO ORGANISER &amp; BUILDERS</v>
          </cell>
          <cell r="C1436" t="str">
            <v>LSCRED</v>
          </cell>
          <cell r="D1436">
            <v>68922</v>
          </cell>
          <cell r="E1436">
            <v>68922</v>
          </cell>
          <cell r="F1436">
            <v>0</v>
          </cell>
        </row>
        <row r="1437">
          <cell r="A1437" t="str">
            <v>GARSE</v>
          </cell>
          <cell r="B1437" t="str">
            <v>ARCHANA SECURITIES PVT. LTD</v>
          </cell>
          <cell r="C1437" t="str">
            <v>LSCRED</v>
          </cell>
          <cell r="D1437">
            <v>115235</v>
          </cell>
          <cell r="E1437">
            <v>115235</v>
          </cell>
          <cell r="F1437">
            <v>0</v>
          </cell>
        </row>
        <row r="1438">
          <cell r="A1438" t="str">
            <v>GARJU</v>
          </cell>
          <cell r="B1438" t="str">
            <v>ARJUN UPPAL</v>
          </cell>
          <cell r="C1438" t="str">
            <v>LSCRED</v>
          </cell>
          <cell r="D1438">
            <v>96052</v>
          </cell>
          <cell r="E1438">
            <v>96052</v>
          </cell>
          <cell r="F1438">
            <v>0</v>
          </cell>
        </row>
        <row r="1439">
          <cell r="A1439" t="str">
            <v>GARBH</v>
          </cell>
          <cell r="B1439" t="str">
            <v>ARUN BHASKAR KASBEKAR</v>
          </cell>
          <cell r="C1439" t="str">
            <v>LSCRED</v>
          </cell>
          <cell r="D1439">
            <v>202304</v>
          </cell>
          <cell r="E1439">
            <v>202304</v>
          </cell>
          <cell r="F1439">
            <v>0</v>
          </cell>
        </row>
        <row r="1440">
          <cell r="A1440" t="str">
            <v>GARUJ</v>
          </cell>
          <cell r="B1440" t="str">
            <v>ARUN JAIN</v>
          </cell>
          <cell r="C1440" t="str">
            <v>LSCRED</v>
          </cell>
          <cell r="D1440">
            <v>31559</v>
          </cell>
          <cell r="E1440">
            <v>31559</v>
          </cell>
          <cell r="F1440">
            <v>0</v>
          </cell>
        </row>
        <row r="1441">
          <cell r="A1441" t="str">
            <v>GARVE</v>
          </cell>
          <cell r="B1441" t="str">
            <v>ARUN VED</v>
          </cell>
          <cell r="C1441" t="str">
            <v>LSCRED</v>
          </cell>
          <cell r="D1441">
            <v>2104</v>
          </cell>
          <cell r="E1441">
            <v>2104</v>
          </cell>
          <cell r="F1441">
            <v>0</v>
          </cell>
        </row>
        <row r="1442">
          <cell r="A1442" t="str">
            <v>GARVID</v>
          </cell>
          <cell r="B1442" t="str">
            <v>ARVIND L MEHTA</v>
          </cell>
          <cell r="C1442" t="str">
            <v>LSCRED</v>
          </cell>
          <cell r="D1442">
            <v>1094</v>
          </cell>
          <cell r="E1442">
            <v>1094</v>
          </cell>
          <cell r="F1442">
            <v>0</v>
          </cell>
        </row>
        <row r="1443">
          <cell r="A1443" t="str">
            <v>GASAN</v>
          </cell>
          <cell r="B1443" t="str">
            <v>ASA NAND GOGIA</v>
          </cell>
          <cell r="C1443" t="str">
            <v>LSCRED</v>
          </cell>
          <cell r="D1443">
            <v>83123</v>
          </cell>
          <cell r="E1443">
            <v>83123</v>
          </cell>
          <cell r="F1443">
            <v>0</v>
          </cell>
        </row>
        <row r="1444">
          <cell r="A1444" t="str">
            <v>GASHA</v>
          </cell>
          <cell r="B1444" t="str">
            <v>ASHA K PATEL</v>
          </cell>
          <cell r="C1444" t="str">
            <v>LSCRED</v>
          </cell>
          <cell r="D1444">
            <v>74202</v>
          </cell>
          <cell r="E1444">
            <v>74202</v>
          </cell>
          <cell r="F1444">
            <v>0</v>
          </cell>
        </row>
        <row r="1445">
          <cell r="A1445" t="str">
            <v>GASRA</v>
          </cell>
          <cell r="B1445" t="str">
            <v>ASHA RAMESH BHAI THAKKAR</v>
          </cell>
          <cell r="C1445" t="str">
            <v>LSCRED</v>
          </cell>
          <cell r="D1445">
            <v>36720</v>
          </cell>
          <cell r="E1445">
            <v>36720</v>
          </cell>
          <cell r="F1445">
            <v>0</v>
          </cell>
        </row>
        <row r="1446">
          <cell r="A1446" t="str">
            <v>GASHS</v>
          </cell>
          <cell r="B1446" t="str">
            <v>ASHA SHARMA</v>
          </cell>
          <cell r="C1446" t="str">
            <v>LSCRED</v>
          </cell>
          <cell r="D1446">
            <v>113178</v>
          </cell>
          <cell r="E1446">
            <v>113178</v>
          </cell>
          <cell r="F1446">
            <v>0</v>
          </cell>
        </row>
        <row r="1447">
          <cell r="A1447" t="str">
            <v>GASSH</v>
          </cell>
          <cell r="B1447" t="str">
            <v>ASHA SHARMA</v>
          </cell>
          <cell r="C1447" t="str">
            <v>LSCRED</v>
          </cell>
          <cell r="D1447">
            <v>34428</v>
          </cell>
          <cell r="E1447">
            <v>34428</v>
          </cell>
          <cell r="F1447">
            <v>0</v>
          </cell>
        </row>
        <row r="1448">
          <cell r="A1448" t="str">
            <v>GASGO</v>
          </cell>
          <cell r="B1448" t="str">
            <v>ASHISH GOYAL</v>
          </cell>
          <cell r="C1448" t="str">
            <v>LSCRED</v>
          </cell>
          <cell r="D1448">
            <v>48474</v>
          </cell>
          <cell r="E1448">
            <v>48474</v>
          </cell>
          <cell r="F1448">
            <v>0</v>
          </cell>
        </row>
        <row r="1449">
          <cell r="A1449" t="str">
            <v>GASHI]</v>
          </cell>
          <cell r="B1449" t="str">
            <v>ASHISH JASHVANTLAL ZAVERI (HUF)</v>
          </cell>
          <cell r="C1449" t="str">
            <v>LSCRED</v>
          </cell>
          <cell r="D1449">
            <v>25267</v>
          </cell>
          <cell r="E1449">
            <v>25267</v>
          </cell>
          <cell r="F1449">
            <v>0</v>
          </cell>
        </row>
        <row r="1450">
          <cell r="A1450" t="str">
            <v>GASHI</v>
          </cell>
          <cell r="B1450" t="str">
            <v>ASHISH SHARMA</v>
          </cell>
          <cell r="C1450" t="str">
            <v>LSCRED</v>
          </cell>
          <cell r="D1450">
            <v>113178</v>
          </cell>
          <cell r="E1450">
            <v>113178</v>
          </cell>
          <cell r="F1450">
            <v>0</v>
          </cell>
        </row>
        <row r="1451">
          <cell r="A1451" t="str">
            <v>GASHG</v>
          </cell>
          <cell r="B1451" t="str">
            <v>ASHOK GROVER</v>
          </cell>
          <cell r="C1451" t="str">
            <v>LSCRED</v>
          </cell>
          <cell r="D1451">
            <v>21069</v>
          </cell>
          <cell r="E1451">
            <v>21069</v>
          </cell>
          <cell r="F1451">
            <v>0</v>
          </cell>
        </row>
        <row r="1452">
          <cell r="A1452" t="str">
            <v>GAGRS</v>
          </cell>
          <cell r="B1452" t="str">
            <v>ASHOK GROVER &amp; SONS (HUF)</v>
          </cell>
          <cell r="C1452" t="str">
            <v>LSCRED</v>
          </cell>
          <cell r="D1452">
            <v>18594</v>
          </cell>
          <cell r="E1452">
            <v>18594</v>
          </cell>
          <cell r="F1452">
            <v>0</v>
          </cell>
        </row>
        <row r="1453">
          <cell r="A1453" t="str">
            <v>GASKM</v>
          </cell>
          <cell r="B1453" t="str">
            <v>ASHOK KUMAR MANCHANDA</v>
          </cell>
          <cell r="C1453" t="str">
            <v>LSCRED</v>
          </cell>
          <cell r="D1453">
            <v>184638</v>
          </cell>
          <cell r="E1453">
            <v>184638</v>
          </cell>
          <cell r="F1453">
            <v>0</v>
          </cell>
        </row>
        <row r="1454">
          <cell r="A1454" t="str">
            <v>GAKNI</v>
          </cell>
          <cell r="B1454" t="str">
            <v>ASHOK NIVRITTI PADALKAR</v>
          </cell>
          <cell r="C1454" t="str">
            <v>LSCRED</v>
          </cell>
          <cell r="D1454">
            <v>20655</v>
          </cell>
          <cell r="E1454">
            <v>20655</v>
          </cell>
          <cell r="F1454">
            <v>0</v>
          </cell>
        </row>
        <row r="1455">
          <cell r="A1455" t="str">
            <v>GASHOT</v>
          </cell>
          <cell r="B1455" t="str">
            <v>ASHOK TIWARI &amp; AMITA TIWARI</v>
          </cell>
          <cell r="C1455" t="str">
            <v>LSCRED</v>
          </cell>
          <cell r="D1455">
            <v>208696</v>
          </cell>
          <cell r="E1455">
            <v>208696</v>
          </cell>
          <cell r="F1455">
            <v>0</v>
          </cell>
        </row>
        <row r="1456">
          <cell r="A1456" t="str">
            <v>GASHW</v>
          </cell>
          <cell r="B1456" t="str">
            <v>ASHWANI GUPTA</v>
          </cell>
          <cell r="C1456" t="str">
            <v>LSCRED</v>
          </cell>
          <cell r="D1456">
            <v>15400</v>
          </cell>
          <cell r="E1456">
            <v>15400</v>
          </cell>
          <cell r="F1456">
            <v>0</v>
          </cell>
        </row>
        <row r="1457">
          <cell r="A1457" t="str">
            <v>GASIA</v>
          </cell>
          <cell r="B1457" t="str">
            <v>ASIAN CERC INFORMATION TECH. LTD.</v>
          </cell>
          <cell r="C1457" t="str">
            <v>LSCRED</v>
          </cell>
          <cell r="D1457">
            <v>1950218</v>
          </cell>
          <cell r="E1457">
            <v>1950218</v>
          </cell>
          <cell r="F1457">
            <v>0</v>
          </cell>
        </row>
        <row r="1458">
          <cell r="A1458" t="str">
            <v>GATLA</v>
          </cell>
          <cell r="B1458" t="str">
            <v>ATLANTIC PACIFIC TRAVEL SERVICES PVT LTD</v>
          </cell>
          <cell r="C1458" t="str">
            <v>LSCRED</v>
          </cell>
          <cell r="D1458">
            <v>281301</v>
          </cell>
          <cell r="E1458">
            <v>281301</v>
          </cell>
          <cell r="F1458">
            <v>0</v>
          </cell>
        </row>
        <row r="1459">
          <cell r="A1459" t="str">
            <v>GATUL</v>
          </cell>
          <cell r="B1459" t="str">
            <v>ATUL KANODIA</v>
          </cell>
          <cell r="C1459" t="str">
            <v>LSCRED</v>
          </cell>
          <cell r="D1459">
            <v>106518</v>
          </cell>
          <cell r="E1459">
            <v>106518</v>
          </cell>
          <cell r="F1459">
            <v>0</v>
          </cell>
        </row>
        <row r="1460">
          <cell r="A1460" t="str">
            <v>GAVIS</v>
          </cell>
          <cell r="B1460" t="str">
            <v>AVIS SERVICES</v>
          </cell>
          <cell r="C1460" t="str">
            <v>LSCRED</v>
          </cell>
          <cell r="D1460">
            <v>105000</v>
          </cell>
          <cell r="E1460">
            <v>105000</v>
          </cell>
          <cell r="F1460">
            <v>0</v>
          </cell>
        </row>
        <row r="1461">
          <cell r="A1461" t="str">
            <v>GAVNI</v>
          </cell>
          <cell r="B1461" t="str">
            <v>AVNISH CAROLI</v>
          </cell>
          <cell r="C1461" t="str">
            <v>LSCRED</v>
          </cell>
          <cell r="D1461">
            <v>25600</v>
          </cell>
          <cell r="E1461">
            <v>25600</v>
          </cell>
          <cell r="F1461">
            <v>0</v>
          </cell>
        </row>
        <row r="1462">
          <cell r="A1462" t="str">
            <v>GAVKU</v>
          </cell>
          <cell r="B1462" t="str">
            <v>AVNISH KUMAR CAROLI</v>
          </cell>
          <cell r="C1462" t="str">
            <v>LSCRED</v>
          </cell>
          <cell r="D1462">
            <v>32130</v>
          </cell>
          <cell r="E1462">
            <v>32130</v>
          </cell>
          <cell r="F1462">
            <v>0</v>
          </cell>
        </row>
        <row r="1463">
          <cell r="A1463" t="str">
            <v>GAWAN</v>
          </cell>
          <cell r="B1463" t="str">
            <v>AWANISH KUMAR</v>
          </cell>
          <cell r="C1463" t="str">
            <v>LSCRED</v>
          </cell>
          <cell r="D1463">
            <v>52000</v>
          </cell>
          <cell r="E1463">
            <v>52000</v>
          </cell>
          <cell r="F1463">
            <v>0</v>
          </cell>
        </row>
        <row r="1464">
          <cell r="A1464" t="str">
            <v>GAZAA</v>
          </cell>
          <cell r="B1464" t="str">
            <v>AZAD ART SERVICE</v>
          </cell>
          <cell r="C1464" t="str">
            <v>LSCRED</v>
          </cell>
          <cell r="D1464">
            <v>6612.5</v>
          </cell>
          <cell r="E1464">
            <v>6612.5</v>
          </cell>
          <cell r="F1464">
            <v>0</v>
          </cell>
        </row>
        <row r="1465">
          <cell r="A1465" t="str">
            <v>GBNDA</v>
          </cell>
          <cell r="B1465" t="str">
            <v>B. N. DAMODARAN</v>
          </cell>
          <cell r="C1465" t="str">
            <v>LSCRED</v>
          </cell>
          <cell r="D1465">
            <v>50229</v>
          </cell>
          <cell r="E1465">
            <v>50229</v>
          </cell>
          <cell r="F1465">
            <v>0</v>
          </cell>
        </row>
        <row r="1466">
          <cell r="A1466" t="str">
            <v>GBABI</v>
          </cell>
          <cell r="B1466" t="str">
            <v>BABITA NIRMAL</v>
          </cell>
          <cell r="C1466" t="str">
            <v>LSCRED</v>
          </cell>
          <cell r="D1466">
            <v>20930</v>
          </cell>
          <cell r="E1466">
            <v>20930</v>
          </cell>
          <cell r="F1466">
            <v>0</v>
          </cell>
        </row>
        <row r="1467">
          <cell r="A1467" t="str">
            <v>GBAES</v>
          </cell>
          <cell r="B1467" t="str">
            <v>BALAJI ESTATE</v>
          </cell>
          <cell r="C1467" t="str">
            <v>LSCRED</v>
          </cell>
          <cell r="D1467">
            <v>1332</v>
          </cell>
          <cell r="E1467">
            <v>1332</v>
          </cell>
          <cell r="F1467">
            <v>0</v>
          </cell>
        </row>
        <row r="1468">
          <cell r="A1468" t="str">
            <v>GBALJ</v>
          </cell>
          <cell r="B1468" t="str">
            <v>BALJEET SINGH</v>
          </cell>
          <cell r="C1468" t="str">
            <v>LSCRED</v>
          </cell>
          <cell r="D1468">
            <v>57500</v>
          </cell>
          <cell r="E1468">
            <v>57500</v>
          </cell>
          <cell r="F1468">
            <v>0</v>
          </cell>
        </row>
        <row r="1469">
          <cell r="A1469" t="str">
            <v>GBALM</v>
          </cell>
          <cell r="B1469" t="str">
            <v>BALMUKUND PANDURAMJI BHIRAD</v>
          </cell>
          <cell r="C1469" t="str">
            <v>LSCRED</v>
          </cell>
          <cell r="D1469">
            <v>46800</v>
          </cell>
          <cell r="E1469">
            <v>46800</v>
          </cell>
          <cell r="F1469">
            <v>0</v>
          </cell>
        </row>
        <row r="1470">
          <cell r="A1470" t="str">
            <v>GBALV</v>
          </cell>
          <cell r="B1470" t="str">
            <v>BALVINDER UPPAL</v>
          </cell>
          <cell r="C1470" t="str">
            <v>LSCRED</v>
          </cell>
          <cell r="D1470">
            <v>160074</v>
          </cell>
          <cell r="E1470">
            <v>160074</v>
          </cell>
          <cell r="F1470">
            <v>0</v>
          </cell>
        </row>
        <row r="1471">
          <cell r="A1471" t="str">
            <v>GBALWA</v>
          </cell>
          <cell r="B1471" t="str">
            <v>BALWANT SINGH</v>
          </cell>
          <cell r="C1471" t="str">
            <v>LSCRED</v>
          </cell>
          <cell r="D1471">
            <v>40058</v>
          </cell>
          <cell r="E1471">
            <v>40058</v>
          </cell>
          <cell r="F1471">
            <v>0</v>
          </cell>
        </row>
        <row r="1472">
          <cell r="A1472" t="str">
            <v>GBANA</v>
          </cell>
          <cell r="B1472" t="str">
            <v>BANSAL TRADERS</v>
          </cell>
          <cell r="C1472" t="str">
            <v>LSCRED</v>
          </cell>
          <cell r="D1472">
            <v>18800</v>
          </cell>
          <cell r="E1472">
            <v>18800</v>
          </cell>
          <cell r="F1472">
            <v>0</v>
          </cell>
        </row>
        <row r="1473">
          <cell r="A1473" t="str">
            <v>GBARD</v>
          </cell>
          <cell r="B1473" t="str">
            <v>BARDIYA CORPORATION PVT. LTD</v>
          </cell>
          <cell r="C1473" t="str">
            <v>LSCRED</v>
          </cell>
          <cell r="D1473">
            <v>4000</v>
          </cell>
          <cell r="E1473">
            <v>4000</v>
          </cell>
          <cell r="F1473">
            <v>0</v>
          </cell>
        </row>
        <row r="1474">
          <cell r="A1474" t="str">
            <v>GBASA</v>
          </cell>
          <cell r="B1474" t="str">
            <v>BASAVRAJ ADIVEPPA KITTUR</v>
          </cell>
          <cell r="C1474" t="str">
            <v>LSCRED</v>
          </cell>
          <cell r="D1474">
            <v>2839</v>
          </cell>
          <cell r="E1474">
            <v>2839</v>
          </cell>
          <cell r="F1474">
            <v>0</v>
          </cell>
        </row>
        <row r="1475">
          <cell r="A1475" t="str">
            <v>GBAC</v>
          </cell>
          <cell r="B1475" t="str">
            <v>BATRA'S COMPUZONE</v>
          </cell>
          <cell r="C1475" t="str">
            <v>LSCRED</v>
          </cell>
          <cell r="D1475">
            <v>3550</v>
          </cell>
          <cell r="E1475">
            <v>3550</v>
          </cell>
          <cell r="F1475">
            <v>0</v>
          </cell>
        </row>
        <row r="1476">
          <cell r="A1476" t="str">
            <v>GBATRA</v>
          </cell>
          <cell r="B1476" t="str">
            <v>BATRAM PROPERTIES PVT LTD</v>
          </cell>
          <cell r="C1476" t="str">
            <v>LSCRED</v>
          </cell>
          <cell r="D1476">
            <v>506796</v>
          </cell>
          <cell r="E1476">
            <v>506796</v>
          </cell>
          <cell r="F1476">
            <v>0</v>
          </cell>
        </row>
        <row r="1477">
          <cell r="A1477" t="str">
            <v>GBEGR</v>
          </cell>
          <cell r="B1477" t="str">
            <v>BEG RAJ YADAV</v>
          </cell>
          <cell r="C1477" t="str">
            <v>LSCRED</v>
          </cell>
          <cell r="D1477">
            <v>71350</v>
          </cell>
          <cell r="E1477">
            <v>71350</v>
          </cell>
          <cell r="F1477">
            <v>0</v>
          </cell>
        </row>
        <row r="1478">
          <cell r="A1478" t="str">
            <v>GBELI</v>
          </cell>
          <cell r="B1478" t="str">
            <v>BELI  RAM SAREEN</v>
          </cell>
          <cell r="C1478" t="str">
            <v>LSCRED</v>
          </cell>
          <cell r="D1478">
            <v>54540</v>
          </cell>
          <cell r="E1478">
            <v>54540</v>
          </cell>
          <cell r="F1478">
            <v>0</v>
          </cell>
        </row>
        <row r="1479">
          <cell r="A1479" t="str">
            <v>GBESO</v>
          </cell>
          <cell r="B1479" t="str">
            <v>BELI RAM SAREEN &amp; SONS PVT. LTD.</v>
          </cell>
          <cell r="C1479" t="str">
            <v>LSCRED</v>
          </cell>
          <cell r="D1479">
            <v>242</v>
          </cell>
          <cell r="E1479">
            <v>242</v>
          </cell>
          <cell r="F1479">
            <v>0</v>
          </cell>
        </row>
        <row r="1480">
          <cell r="A1480" t="str">
            <v>GBHLA</v>
          </cell>
          <cell r="B1480" t="str">
            <v>BHAGIRATH LAL</v>
          </cell>
          <cell r="C1480" t="str">
            <v>LSCRED</v>
          </cell>
          <cell r="D1480">
            <v>92288</v>
          </cell>
          <cell r="E1480">
            <v>92288</v>
          </cell>
          <cell r="F1480">
            <v>0</v>
          </cell>
        </row>
        <row r="1481">
          <cell r="A1481" t="str">
            <v>GBHCH</v>
          </cell>
          <cell r="B1481" t="str">
            <v>BHAGWAN DASS CHHABRA</v>
          </cell>
          <cell r="C1481" t="str">
            <v>LSCRED</v>
          </cell>
          <cell r="D1481">
            <v>13080</v>
          </cell>
          <cell r="E1481">
            <v>13080</v>
          </cell>
          <cell r="F1481">
            <v>0</v>
          </cell>
        </row>
        <row r="1482">
          <cell r="A1482" t="str">
            <v>GBHAK</v>
          </cell>
          <cell r="B1482" t="str">
            <v>BHAKTI NANDKUMAR PAPAIYA</v>
          </cell>
          <cell r="C1482" t="str">
            <v>LSCRED</v>
          </cell>
          <cell r="D1482">
            <v>36257</v>
          </cell>
          <cell r="E1482">
            <v>36257</v>
          </cell>
          <cell r="F1482">
            <v>0</v>
          </cell>
        </row>
        <row r="1483">
          <cell r="A1483" t="str">
            <v>GBHTP</v>
          </cell>
          <cell r="B1483" t="str">
            <v>BHARAT TYRES</v>
          </cell>
          <cell r="C1483" t="str">
            <v>LSCRED</v>
          </cell>
          <cell r="D1483">
            <v>94569</v>
          </cell>
          <cell r="E1483">
            <v>94569</v>
          </cell>
          <cell r="F1483">
            <v>0</v>
          </cell>
        </row>
        <row r="1484">
          <cell r="A1484" t="str">
            <v>GBHAU</v>
          </cell>
          <cell r="B1484" t="str">
            <v>BHARAT UDYOG LIMITED</v>
          </cell>
          <cell r="C1484" t="str">
            <v>LSCRED</v>
          </cell>
          <cell r="D1484">
            <v>17212</v>
          </cell>
          <cell r="E1484">
            <v>17212</v>
          </cell>
          <cell r="F1484">
            <v>0</v>
          </cell>
        </row>
        <row r="1485">
          <cell r="A1485" t="str">
            <v>GBHMA</v>
          </cell>
          <cell r="B1485" t="str">
            <v>BHARTI MALIK</v>
          </cell>
          <cell r="C1485" t="str">
            <v>LSCRED</v>
          </cell>
          <cell r="D1485">
            <v>18863</v>
          </cell>
          <cell r="E1485">
            <v>18863</v>
          </cell>
          <cell r="F1485">
            <v>0</v>
          </cell>
        </row>
        <row r="1486">
          <cell r="A1486" t="str">
            <v>GBHAN</v>
          </cell>
          <cell r="B1486" t="str">
            <v>BHARTI NARANG</v>
          </cell>
          <cell r="C1486" t="str">
            <v>LSCRED</v>
          </cell>
          <cell r="D1486">
            <v>110974</v>
          </cell>
          <cell r="E1486">
            <v>110974</v>
          </cell>
          <cell r="F1486">
            <v>0</v>
          </cell>
        </row>
        <row r="1487">
          <cell r="A1487" t="str">
            <v>GBASH</v>
          </cell>
          <cell r="B1487" t="str">
            <v>BHAVIN AMBALAL SHAH</v>
          </cell>
          <cell r="C1487" t="str">
            <v>LSCRED</v>
          </cell>
          <cell r="D1487">
            <v>84403</v>
          </cell>
          <cell r="E1487">
            <v>84403</v>
          </cell>
          <cell r="F1487">
            <v>0</v>
          </cell>
        </row>
        <row r="1488">
          <cell r="A1488" t="str">
            <v>GBHAV</v>
          </cell>
          <cell r="B1488" t="str">
            <v>BHAVINI PARIMAL SHAH</v>
          </cell>
          <cell r="C1488" t="str">
            <v>LSCRED</v>
          </cell>
          <cell r="D1488">
            <v>24418.5</v>
          </cell>
          <cell r="E1488">
            <v>24418.5</v>
          </cell>
          <cell r="F1488">
            <v>0</v>
          </cell>
        </row>
        <row r="1489">
          <cell r="A1489" t="str">
            <v>GBHAVN</v>
          </cell>
          <cell r="B1489" t="str">
            <v>BHAVNA P CHAVLA</v>
          </cell>
          <cell r="C1489" t="str">
            <v>LSCRED</v>
          </cell>
          <cell r="D1489">
            <v>44115</v>
          </cell>
          <cell r="E1489">
            <v>44115</v>
          </cell>
          <cell r="F1489">
            <v>0</v>
          </cell>
        </row>
        <row r="1490">
          <cell r="A1490" t="str">
            <v>GBHPA</v>
          </cell>
          <cell r="B1490" t="str">
            <v>BHUMI BHAGAT &amp; PAAWAN BHAGAT</v>
          </cell>
          <cell r="C1490" t="str">
            <v>LSCRED</v>
          </cell>
          <cell r="D1490">
            <v>47748</v>
          </cell>
          <cell r="E1490">
            <v>47748</v>
          </cell>
          <cell r="F1490">
            <v>0</v>
          </cell>
        </row>
        <row r="1491">
          <cell r="A1491" t="str">
            <v>GBIJE</v>
          </cell>
          <cell r="B1491" t="str">
            <v>BIJENDER KUMAR SHARMA</v>
          </cell>
          <cell r="C1491" t="str">
            <v>LSCRED</v>
          </cell>
          <cell r="D1491">
            <v>89505</v>
          </cell>
          <cell r="E1491">
            <v>89505</v>
          </cell>
          <cell r="F1491">
            <v>0</v>
          </cell>
        </row>
        <row r="1492">
          <cell r="A1492" t="str">
            <v>GBBSD</v>
          </cell>
          <cell r="B1492" t="str">
            <v>BIR BAHADUR SINGH</v>
          </cell>
          <cell r="C1492" t="str">
            <v>LSCRED</v>
          </cell>
          <cell r="D1492">
            <v>88191</v>
          </cell>
          <cell r="E1492">
            <v>88191</v>
          </cell>
          <cell r="F1492">
            <v>0</v>
          </cell>
        </row>
        <row r="1493">
          <cell r="A1493" t="str">
            <v>GBOLL</v>
          </cell>
          <cell r="B1493" t="str">
            <v>BOLLU KISHORE BABU</v>
          </cell>
          <cell r="C1493" t="str">
            <v>LSCRED</v>
          </cell>
          <cell r="D1493">
            <v>59382</v>
          </cell>
          <cell r="E1493">
            <v>59382</v>
          </cell>
          <cell r="F1493">
            <v>0</v>
          </cell>
        </row>
        <row r="1494">
          <cell r="A1494" t="str">
            <v>GBRAH</v>
          </cell>
          <cell r="B1494" t="str">
            <v>BRAHMA TRADERS</v>
          </cell>
          <cell r="C1494" t="str">
            <v>LSCRED</v>
          </cell>
          <cell r="D1494">
            <v>33927</v>
          </cell>
          <cell r="E1494">
            <v>33927</v>
          </cell>
          <cell r="F1494">
            <v>0</v>
          </cell>
        </row>
        <row r="1495">
          <cell r="A1495" t="str">
            <v>GBREA</v>
          </cell>
          <cell r="B1495" t="str">
            <v>BREAK THRU CONSULTANTS</v>
          </cell>
          <cell r="C1495" t="str">
            <v>LSCRED</v>
          </cell>
          <cell r="D1495">
            <v>15885</v>
          </cell>
          <cell r="E1495">
            <v>15885</v>
          </cell>
          <cell r="F1495">
            <v>0</v>
          </cell>
        </row>
        <row r="1496">
          <cell r="A1496" t="str">
            <v>GBULS</v>
          </cell>
          <cell r="B1496" t="str">
            <v>BULSARA ESTATE CONSULTANTS</v>
          </cell>
          <cell r="C1496" t="str">
            <v>LSCRED</v>
          </cell>
          <cell r="D1496">
            <v>12179</v>
          </cell>
          <cell r="E1496">
            <v>12179</v>
          </cell>
          <cell r="F1496">
            <v>0</v>
          </cell>
        </row>
        <row r="1497">
          <cell r="A1497" t="str">
            <v>GBURR</v>
          </cell>
          <cell r="B1497" t="str">
            <v>BURRA INDIRA MOHAN</v>
          </cell>
          <cell r="C1497" t="str">
            <v>LSCRED</v>
          </cell>
          <cell r="D1497">
            <v>65322</v>
          </cell>
          <cell r="E1497">
            <v>65322</v>
          </cell>
          <cell r="F1497">
            <v>0</v>
          </cell>
        </row>
        <row r="1498">
          <cell r="A1498" t="str">
            <v>GCACH</v>
          </cell>
          <cell r="B1498" t="str">
            <v>C. ACHUTHAN</v>
          </cell>
          <cell r="C1498" t="str">
            <v>LSCRED</v>
          </cell>
          <cell r="D1498">
            <v>116830</v>
          </cell>
          <cell r="E1498">
            <v>116830</v>
          </cell>
          <cell r="F1498">
            <v>0</v>
          </cell>
        </row>
        <row r="1499">
          <cell r="A1499" t="str">
            <v>GCGNA</v>
          </cell>
          <cell r="B1499" t="str">
            <v>C. GNANAVEL</v>
          </cell>
          <cell r="C1499" t="str">
            <v>LSCRED</v>
          </cell>
          <cell r="D1499">
            <v>1683</v>
          </cell>
          <cell r="E1499">
            <v>1683</v>
          </cell>
          <cell r="F1499">
            <v>0</v>
          </cell>
        </row>
        <row r="1500">
          <cell r="A1500" t="str">
            <v>GCHEM</v>
          </cell>
          <cell r="B1500" t="str">
            <v>C. HEMALATHA</v>
          </cell>
          <cell r="C1500" t="str">
            <v>LSCRED</v>
          </cell>
          <cell r="D1500">
            <v>14442</v>
          </cell>
          <cell r="E1500">
            <v>14442</v>
          </cell>
          <cell r="F1500">
            <v>0</v>
          </cell>
        </row>
        <row r="1501">
          <cell r="A1501" t="str">
            <v>GCMOH</v>
          </cell>
          <cell r="B1501" t="str">
            <v>CAPT. MOHAN KUMAR GANDHI &amp; SONS (HUF)</v>
          </cell>
          <cell r="C1501" t="str">
            <v>LSCRED</v>
          </cell>
          <cell r="D1501">
            <v>28193</v>
          </cell>
          <cell r="E1501">
            <v>28193</v>
          </cell>
          <cell r="F1501">
            <v>0</v>
          </cell>
        </row>
        <row r="1502">
          <cell r="A1502" t="str">
            <v>GCRAE</v>
          </cell>
          <cell r="B1502" t="str">
            <v>CARE FOOD ZONE</v>
          </cell>
          <cell r="C1502" t="str">
            <v>LSCRED</v>
          </cell>
          <cell r="D1502">
            <v>5209</v>
          </cell>
          <cell r="E1502">
            <v>5209</v>
          </cell>
          <cell r="F1502">
            <v>0</v>
          </cell>
        </row>
        <row r="1503">
          <cell r="A1503" t="str">
            <v>GCARS</v>
          </cell>
          <cell r="B1503" t="str">
            <v>CAREER SHAPERS</v>
          </cell>
          <cell r="C1503" t="str">
            <v>LSCRED</v>
          </cell>
          <cell r="D1503">
            <v>42126</v>
          </cell>
          <cell r="E1503">
            <v>42126</v>
          </cell>
          <cell r="F1503">
            <v>0</v>
          </cell>
        </row>
        <row r="1504">
          <cell r="A1504" t="str">
            <v>GCETH</v>
          </cell>
          <cell r="B1504" t="str">
            <v>CENTAUR HOTEL</v>
          </cell>
          <cell r="C1504" t="str">
            <v>LSCRED</v>
          </cell>
          <cell r="D1504">
            <v>10000</v>
          </cell>
          <cell r="E1504">
            <v>10000</v>
          </cell>
          <cell r="F1504">
            <v>0</v>
          </cell>
        </row>
        <row r="1505">
          <cell r="A1505" t="str">
            <v>GCHKA</v>
          </cell>
          <cell r="B1505" t="str">
            <v>CH. KALYAN SINGH HUF (KARTA)</v>
          </cell>
          <cell r="C1505" t="str">
            <v>LSCRED</v>
          </cell>
          <cell r="D1505">
            <v>21227</v>
          </cell>
          <cell r="E1505">
            <v>21227</v>
          </cell>
          <cell r="F1505">
            <v>0</v>
          </cell>
        </row>
        <row r="1506">
          <cell r="A1506" t="str">
            <v>GCHAJ</v>
          </cell>
          <cell r="B1506" t="str">
            <v>CHANDERKANTA JAIN</v>
          </cell>
          <cell r="C1506" t="str">
            <v>LSCRED</v>
          </cell>
          <cell r="D1506">
            <v>65802</v>
          </cell>
          <cell r="E1506">
            <v>65802</v>
          </cell>
          <cell r="F1506">
            <v>0</v>
          </cell>
        </row>
        <row r="1507">
          <cell r="A1507" t="str">
            <v>GCHDR</v>
          </cell>
          <cell r="B1507" t="str">
            <v>CHANDRA CHITHARANJAN</v>
          </cell>
          <cell r="C1507" t="str">
            <v>LSCRED</v>
          </cell>
          <cell r="D1507">
            <v>119340</v>
          </cell>
          <cell r="E1507">
            <v>119340</v>
          </cell>
          <cell r="F1507">
            <v>0</v>
          </cell>
        </row>
        <row r="1508">
          <cell r="A1508" t="str">
            <v>GCHME</v>
          </cell>
          <cell r="B1508" t="str">
            <v>CHANDRA ENGINEERING &amp; MECHENICAL PVT. LTD.</v>
          </cell>
          <cell r="C1508" t="str">
            <v>LSCRED</v>
          </cell>
          <cell r="D1508">
            <v>296208</v>
          </cell>
          <cell r="E1508">
            <v>296208</v>
          </cell>
          <cell r="F1508">
            <v>0</v>
          </cell>
        </row>
        <row r="1509">
          <cell r="A1509" t="str">
            <v>GCHPR</v>
          </cell>
          <cell r="B1509" t="str">
            <v>CHANDRA PRAKASH GUPTA</v>
          </cell>
          <cell r="C1509" t="str">
            <v>LSCRED</v>
          </cell>
          <cell r="D1509">
            <v>18878</v>
          </cell>
          <cell r="E1509">
            <v>18878</v>
          </cell>
          <cell r="F1509">
            <v>0</v>
          </cell>
        </row>
        <row r="1510">
          <cell r="A1510" t="str">
            <v>GCHHA</v>
          </cell>
          <cell r="B1510" t="str">
            <v>CHHAYA R. DANI</v>
          </cell>
          <cell r="C1510" t="str">
            <v>LSCRED</v>
          </cell>
          <cell r="D1510">
            <v>1403</v>
          </cell>
          <cell r="E1510">
            <v>1403</v>
          </cell>
          <cell r="F1510">
            <v>0</v>
          </cell>
        </row>
        <row r="1511">
          <cell r="A1511" t="str">
            <v>GCHIN</v>
          </cell>
          <cell r="B1511" t="str">
            <v>CHINTAMANI PAPER PRODUCTS (P) LTD.</v>
          </cell>
          <cell r="C1511" t="str">
            <v>LSCRED</v>
          </cell>
          <cell r="D1511">
            <v>20000</v>
          </cell>
          <cell r="E1511">
            <v>20000</v>
          </cell>
          <cell r="F1511">
            <v>0</v>
          </cell>
        </row>
        <row r="1512">
          <cell r="A1512" t="str">
            <v>G0CHI</v>
          </cell>
          <cell r="B1512" t="str">
            <v>CHIRAGUDDIN &amp; SONS</v>
          </cell>
          <cell r="C1512" t="str">
            <v>LSCRED</v>
          </cell>
          <cell r="D1512">
            <v>9253</v>
          </cell>
          <cell r="E1512">
            <v>9253</v>
          </cell>
          <cell r="F1512">
            <v>0</v>
          </cell>
        </row>
        <row r="1513">
          <cell r="A1513" t="str">
            <v>GCJINH</v>
          </cell>
          <cell r="B1513" t="str">
            <v>CJ INTERNATIONAL HOTELS LIMITED</v>
          </cell>
          <cell r="C1513" t="str">
            <v>LSCRED</v>
          </cell>
          <cell r="D1513">
            <v>34957</v>
          </cell>
          <cell r="E1513">
            <v>34957</v>
          </cell>
          <cell r="F1513">
            <v>0</v>
          </cell>
        </row>
        <row r="1514">
          <cell r="A1514" t="str">
            <v>GCOMN</v>
          </cell>
          <cell r="B1514" t="str">
            <v>COMPETENT MARKETING &amp; COURIER LIMITED</v>
          </cell>
          <cell r="C1514" t="str">
            <v>LSCRED</v>
          </cell>
          <cell r="D1514">
            <v>10494</v>
          </cell>
          <cell r="E1514">
            <v>10494</v>
          </cell>
          <cell r="F1514">
            <v>0</v>
          </cell>
        </row>
        <row r="1515">
          <cell r="A1515" t="str">
            <v>GCOHUT</v>
          </cell>
          <cell r="B1515" t="str">
            <v>COMPUTER HUT</v>
          </cell>
          <cell r="C1515" t="str">
            <v>LSCRED</v>
          </cell>
          <cell r="D1515">
            <v>12000</v>
          </cell>
          <cell r="E1515">
            <v>12000</v>
          </cell>
          <cell r="F1515">
            <v>0</v>
          </cell>
        </row>
        <row r="1516">
          <cell r="A1516" t="str">
            <v>GCWPL</v>
          </cell>
          <cell r="B1516" t="str">
            <v>COMPUTER WARE (I) PVT. LTD.</v>
          </cell>
          <cell r="C1516" t="str">
            <v>LSCRED</v>
          </cell>
          <cell r="D1516">
            <v>610000</v>
          </cell>
          <cell r="E1516">
            <v>610000</v>
          </cell>
          <cell r="F1516">
            <v>0</v>
          </cell>
        </row>
        <row r="1517">
          <cell r="A1517" t="str">
            <v>GCORA</v>
          </cell>
          <cell r="B1517" t="str">
            <v>CORAL MERCANTILE PVT LTD</v>
          </cell>
          <cell r="C1517" t="str">
            <v>LSCRED</v>
          </cell>
          <cell r="D1517">
            <v>242078</v>
          </cell>
          <cell r="E1517">
            <v>242078</v>
          </cell>
          <cell r="F1517">
            <v>0</v>
          </cell>
        </row>
        <row r="1518">
          <cell r="A1518" t="str">
            <v>GCORP</v>
          </cell>
          <cell r="B1518" t="str">
            <v>CORPORATE PLACEMENT</v>
          </cell>
          <cell r="C1518" t="str">
            <v>LSCRED</v>
          </cell>
          <cell r="D1518">
            <v>1178</v>
          </cell>
          <cell r="E1518">
            <v>1178</v>
          </cell>
          <cell r="F1518">
            <v>0</v>
          </cell>
        </row>
        <row r="1519">
          <cell r="A1519" t="str">
            <v>GADIN</v>
          </cell>
          <cell r="B1519" t="str">
            <v>D ADI NARAYANA</v>
          </cell>
          <cell r="C1519" t="str">
            <v>LSCRED</v>
          </cell>
          <cell r="D1519">
            <v>13000</v>
          </cell>
          <cell r="E1519">
            <v>13000</v>
          </cell>
          <cell r="F1519">
            <v>0</v>
          </cell>
        </row>
        <row r="1520">
          <cell r="A1520" t="str">
            <v>GDCAG</v>
          </cell>
          <cell r="B1520" t="str">
            <v>D C AGARWAL (HUF)</v>
          </cell>
          <cell r="C1520" t="str">
            <v>LSCRED</v>
          </cell>
          <cell r="D1520">
            <v>33033</v>
          </cell>
          <cell r="E1520">
            <v>33033</v>
          </cell>
          <cell r="F1520">
            <v>0</v>
          </cell>
        </row>
        <row r="1521">
          <cell r="A1521" t="str">
            <v>GDPRAB</v>
          </cell>
          <cell r="B1521" t="str">
            <v>D. PRABAKAR</v>
          </cell>
          <cell r="C1521" t="str">
            <v>LSCRED</v>
          </cell>
          <cell r="D1521">
            <v>151470</v>
          </cell>
          <cell r="E1521">
            <v>151470</v>
          </cell>
          <cell r="F1521">
            <v>0</v>
          </cell>
        </row>
        <row r="1522">
          <cell r="A1522" t="str">
            <v>GDAIL</v>
          </cell>
          <cell r="B1522" t="str">
            <v>DAILY XPRESS CORPORATION</v>
          </cell>
          <cell r="C1522" t="str">
            <v>LSCRED</v>
          </cell>
          <cell r="D1522">
            <v>438</v>
          </cell>
          <cell r="E1522">
            <v>438</v>
          </cell>
          <cell r="F1522">
            <v>0</v>
          </cell>
        </row>
        <row r="1523">
          <cell r="A1523" t="str">
            <v>GDALH</v>
          </cell>
          <cell r="B1523" t="str">
            <v>DALHOUSIE PROPERTIES LIMITED</v>
          </cell>
          <cell r="C1523" t="str">
            <v>LSCRED</v>
          </cell>
          <cell r="D1523">
            <v>323136</v>
          </cell>
          <cell r="E1523">
            <v>323136</v>
          </cell>
          <cell r="F1523">
            <v>0</v>
          </cell>
        </row>
        <row r="1524">
          <cell r="A1524" t="str">
            <v>GDALS</v>
          </cell>
          <cell r="B1524" t="str">
            <v>DALPAT SINGH SODHA</v>
          </cell>
          <cell r="C1524" t="str">
            <v>LSCRED</v>
          </cell>
          <cell r="D1524">
            <v>26160</v>
          </cell>
          <cell r="E1524">
            <v>26160</v>
          </cell>
          <cell r="F1524">
            <v>0</v>
          </cell>
        </row>
        <row r="1525">
          <cell r="A1525" t="str">
            <v>GDANI</v>
          </cell>
          <cell r="B1525" t="str">
            <v>DANIEL BUILDERS PRIVATE LIMITED</v>
          </cell>
          <cell r="C1525" t="str">
            <v>LSCRED</v>
          </cell>
          <cell r="D1525">
            <v>85515</v>
          </cell>
          <cell r="E1525">
            <v>85515</v>
          </cell>
          <cell r="F1525">
            <v>0</v>
          </cell>
        </row>
        <row r="1526">
          <cell r="A1526" t="str">
            <v>GDASH</v>
          </cell>
          <cell r="B1526" t="str">
            <v>DASH ENTERPRISES</v>
          </cell>
          <cell r="C1526" t="str">
            <v>LSCRED</v>
          </cell>
          <cell r="D1526">
            <v>5588</v>
          </cell>
          <cell r="E1526">
            <v>5588</v>
          </cell>
          <cell r="F1526">
            <v>0</v>
          </cell>
        </row>
        <row r="1527">
          <cell r="A1527" t="str">
            <v>GDATTA</v>
          </cell>
          <cell r="B1527" t="str">
            <v>DATTATRAY RAMCHANDRA KELKAR</v>
          </cell>
          <cell r="C1527" t="str">
            <v>LSCRED</v>
          </cell>
          <cell r="D1527">
            <v>100000</v>
          </cell>
          <cell r="E1527">
            <v>100000</v>
          </cell>
          <cell r="F1527">
            <v>0</v>
          </cell>
        </row>
        <row r="1528">
          <cell r="A1528" t="str">
            <v>GDBUD</v>
          </cell>
          <cell r="B1528" t="str">
            <v>DBUDDY</v>
          </cell>
          <cell r="C1528" t="str">
            <v>LSCRED</v>
          </cell>
          <cell r="D1528">
            <v>34450</v>
          </cell>
          <cell r="E1528">
            <v>34450</v>
          </cell>
          <cell r="F1528">
            <v>0</v>
          </cell>
        </row>
        <row r="1529">
          <cell r="A1529" t="str">
            <v>GDEAW</v>
          </cell>
          <cell r="B1529" t="str">
            <v>DEALWEL</v>
          </cell>
          <cell r="C1529" t="str">
            <v>LSCRED</v>
          </cell>
          <cell r="D1529">
            <v>94391</v>
          </cell>
          <cell r="E1529">
            <v>94391</v>
          </cell>
          <cell r="F1529">
            <v>0</v>
          </cell>
        </row>
        <row r="1530">
          <cell r="A1530" t="str">
            <v>GDEAL</v>
          </cell>
          <cell r="B1530" t="str">
            <v>DEALWEL REAL ESTATES</v>
          </cell>
          <cell r="C1530" t="str">
            <v>LSCRED</v>
          </cell>
          <cell r="D1530">
            <v>4516</v>
          </cell>
          <cell r="E1530">
            <v>4516</v>
          </cell>
          <cell r="F1530">
            <v>0</v>
          </cell>
        </row>
        <row r="1531">
          <cell r="A1531" t="str">
            <v>GDEBP</v>
          </cell>
          <cell r="B1531" t="str">
            <v>DEBA PRASAD KAR</v>
          </cell>
          <cell r="C1531" t="str">
            <v>LSCRED</v>
          </cell>
          <cell r="D1531">
            <v>23504</v>
          </cell>
          <cell r="E1531">
            <v>23504</v>
          </cell>
          <cell r="F1531">
            <v>0</v>
          </cell>
        </row>
        <row r="1532">
          <cell r="A1532" t="str">
            <v>GDEEB</v>
          </cell>
          <cell r="B1532" t="str">
            <v>DEEPAK BATHIJA</v>
          </cell>
          <cell r="C1532" t="str">
            <v>LSCRED</v>
          </cell>
          <cell r="D1532">
            <v>2185</v>
          </cell>
          <cell r="E1532">
            <v>2185</v>
          </cell>
          <cell r="F1532">
            <v>0</v>
          </cell>
        </row>
        <row r="1533">
          <cell r="A1533" t="str">
            <v>GDECH</v>
          </cell>
          <cell r="B1533" t="str">
            <v>DEEPAK CHOPRA</v>
          </cell>
          <cell r="C1533" t="str">
            <v>LSCRED</v>
          </cell>
          <cell r="D1533">
            <v>1192</v>
          </cell>
          <cell r="E1533">
            <v>1192</v>
          </cell>
          <cell r="F1533">
            <v>0</v>
          </cell>
        </row>
        <row r="1534">
          <cell r="A1534" t="str">
            <v>GDSONI</v>
          </cell>
          <cell r="B1534" t="str">
            <v>DEEPAK KUMAR SONI</v>
          </cell>
          <cell r="C1534" t="str">
            <v>LSCRED</v>
          </cell>
          <cell r="D1534">
            <v>63381</v>
          </cell>
          <cell r="E1534">
            <v>63381</v>
          </cell>
          <cell r="F1534">
            <v>0</v>
          </cell>
        </row>
        <row r="1535">
          <cell r="A1535" t="str">
            <v>GDEOC</v>
          </cell>
          <cell r="B1535" t="str">
            <v>DEEPAK OCHANEY</v>
          </cell>
          <cell r="C1535" t="str">
            <v>LSCRED</v>
          </cell>
          <cell r="D1535">
            <v>328185</v>
          </cell>
          <cell r="E1535">
            <v>328185</v>
          </cell>
          <cell r="F1535">
            <v>0</v>
          </cell>
        </row>
        <row r="1536">
          <cell r="A1536" t="str">
            <v>GDEEPT</v>
          </cell>
          <cell r="B1536" t="str">
            <v>DEEPTI ARORA</v>
          </cell>
          <cell r="C1536" t="str">
            <v>LSCRED</v>
          </cell>
          <cell r="D1536">
            <v>533</v>
          </cell>
          <cell r="E1536">
            <v>533</v>
          </cell>
          <cell r="F1536">
            <v>0</v>
          </cell>
        </row>
        <row r="1537">
          <cell r="A1537" t="str">
            <v>GDCRS</v>
          </cell>
          <cell r="B1537" t="str">
            <v>DELHI CAR RENTAL SERVICE</v>
          </cell>
          <cell r="C1537" t="str">
            <v>LSCRED</v>
          </cell>
          <cell r="D1537">
            <v>51888</v>
          </cell>
          <cell r="E1537">
            <v>51888</v>
          </cell>
          <cell r="F1537">
            <v>0</v>
          </cell>
        </row>
        <row r="1538">
          <cell r="A1538" t="str">
            <v>GDEOL</v>
          </cell>
          <cell r="B1538" t="str">
            <v>DEOL BUILDERS &amp; DEVELOPERS PVT. LTD.</v>
          </cell>
          <cell r="C1538" t="str">
            <v>LSCRED</v>
          </cell>
          <cell r="D1538">
            <v>2974</v>
          </cell>
          <cell r="E1538">
            <v>2974</v>
          </cell>
          <cell r="F1538">
            <v>0</v>
          </cell>
        </row>
        <row r="1539">
          <cell r="A1539" t="str">
            <v>GDEVA</v>
          </cell>
          <cell r="B1539" t="str">
            <v>DEVA DEVI VARA PRASAD</v>
          </cell>
          <cell r="C1539" t="str">
            <v>LSCRED</v>
          </cell>
          <cell r="D1539">
            <v>11450</v>
          </cell>
          <cell r="E1539">
            <v>11450</v>
          </cell>
          <cell r="F1539">
            <v>0</v>
          </cell>
        </row>
        <row r="1540">
          <cell r="A1540" t="str">
            <v>GDEDE</v>
          </cell>
          <cell r="B1540" t="str">
            <v>DEVINDER DEWAN</v>
          </cell>
          <cell r="C1540" t="str">
            <v>LSCRED</v>
          </cell>
          <cell r="D1540">
            <v>60595</v>
          </cell>
          <cell r="E1540">
            <v>60595</v>
          </cell>
          <cell r="F1540">
            <v>0</v>
          </cell>
        </row>
        <row r="1541">
          <cell r="A1541" t="str">
            <v>GDEVG</v>
          </cell>
          <cell r="B1541" t="str">
            <v>DEVINDER GROVER</v>
          </cell>
          <cell r="C1541" t="str">
            <v>LSCRED</v>
          </cell>
          <cell r="D1541">
            <v>35470</v>
          </cell>
          <cell r="E1541">
            <v>35470</v>
          </cell>
          <cell r="F1541">
            <v>0</v>
          </cell>
        </row>
        <row r="1542">
          <cell r="A1542" t="str">
            <v>GDEVS</v>
          </cell>
          <cell r="B1542" t="str">
            <v>DEVINDER SINGH</v>
          </cell>
          <cell r="C1542" t="str">
            <v>LSCRED</v>
          </cell>
          <cell r="D1542">
            <v>33825</v>
          </cell>
          <cell r="E1542">
            <v>33825</v>
          </cell>
          <cell r="F1542">
            <v>0</v>
          </cell>
        </row>
        <row r="1543">
          <cell r="A1543" t="str">
            <v>GDHTA</v>
          </cell>
          <cell r="B1543" t="str">
            <v>DHARAMPALTARANI</v>
          </cell>
          <cell r="C1543" t="str">
            <v>LSCRED</v>
          </cell>
          <cell r="D1543">
            <v>32130</v>
          </cell>
          <cell r="E1543">
            <v>32130</v>
          </cell>
          <cell r="F1543">
            <v>0</v>
          </cell>
        </row>
        <row r="1544">
          <cell r="A1544" t="str">
            <v>GDHAA</v>
          </cell>
          <cell r="B1544" t="str">
            <v>DHARAMVATI SINGH</v>
          </cell>
          <cell r="C1544" t="str">
            <v>LSCRED</v>
          </cell>
          <cell r="D1544">
            <v>67176</v>
          </cell>
          <cell r="E1544">
            <v>67176</v>
          </cell>
          <cell r="F1544">
            <v>0</v>
          </cell>
        </row>
        <row r="1545">
          <cell r="A1545" t="str">
            <v>GDHES</v>
          </cell>
          <cell r="B1545" t="str">
            <v>DHARANA ESTATE AGENCY</v>
          </cell>
          <cell r="C1545" t="str">
            <v>LSCRED</v>
          </cell>
          <cell r="D1545">
            <v>55898</v>
          </cell>
          <cell r="E1545">
            <v>55898</v>
          </cell>
          <cell r="F1545">
            <v>0</v>
          </cell>
        </row>
        <row r="1546">
          <cell r="A1546" t="str">
            <v>GDHOO</v>
          </cell>
          <cell r="B1546" t="str">
            <v>DHOOP CHAND PANDYA</v>
          </cell>
          <cell r="C1546" t="str">
            <v>LSCRED</v>
          </cell>
          <cell r="D1546">
            <v>103275</v>
          </cell>
          <cell r="E1546">
            <v>103275</v>
          </cell>
          <cell r="F1546">
            <v>0</v>
          </cell>
        </row>
        <row r="1547">
          <cell r="A1547" t="str">
            <v>GDHRU</v>
          </cell>
          <cell r="B1547" t="str">
            <v>DHRUV COUNSELING SERVICES</v>
          </cell>
          <cell r="C1547" t="str">
            <v>LSCRED</v>
          </cell>
          <cell r="D1547">
            <v>7218</v>
          </cell>
          <cell r="E1547">
            <v>7218</v>
          </cell>
          <cell r="F1547">
            <v>0</v>
          </cell>
        </row>
        <row r="1548">
          <cell r="A1548" t="str">
            <v>GDICA</v>
          </cell>
          <cell r="B1548" t="str">
            <v>DIGITAL CARE</v>
          </cell>
          <cell r="C1548" t="str">
            <v>LSCRED</v>
          </cell>
          <cell r="D1548">
            <v>584</v>
          </cell>
          <cell r="E1548">
            <v>584</v>
          </cell>
          <cell r="F1548">
            <v>0</v>
          </cell>
        </row>
        <row r="1549">
          <cell r="A1549" t="str">
            <v>GDIGV</v>
          </cell>
          <cell r="B1549" t="str">
            <v>DIGVIJAY L. GAEKWAD</v>
          </cell>
          <cell r="C1549" t="str">
            <v>LSCRED</v>
          </cell>
          <cell r="D1549">
            <v>263675</v>
          </cell>
          <cell r="E1549">
            <v>263675</v>
          </cell>
          <cell r="F1549">
            <v>0</v>
          </cell>
        </row>
        <row r="1550">
          <cell r="A1550" t="str">
            <v>GDILP</v>
          </cell>
          <cell r="B1550" t="str">
            <v>DILIP KUMAR LALWANI</v>
          </cell>
          <cell r="C1550" t="str">
            <v>LSCRED</v>
          </cell>
          <cell r="D1550">
            <v>502940</v>
          </cell>
          <cell r="E1550">
            <v>502940</v>
          </cell>
          <cell r="F1550">
            <v>0</v>
          </cell>
        </row>
        <row r="1551">
          <cell r="A1551" t="str">
            <v>GDILM</v>
          </cell>
          <cell r="B1551" t="str">
            <v>DILIP KUMAR MANCHANDA</v>
          </cell>
          <cell r="C1551" t="str">
            <v>LSCRED</v>
          </cell>
          <cell r="D1551">
            <v>45900</v>
          </cell>
          <cell r="E1551">
            <v>45900</v>
          </cell>
          <cell r="F1551">
            <v>0</v>
          </cell>
        </row>
        <row r="1552">
          <cell r="A1552" t="str">
            <v>GDIME</v>
          </cell>
          <cell r="B1552" t="str">
            <v>DIMENSIONS</v>
          </cell>
          <cell r="C1552" t="str">
            <v>LSCRED</v>
          </cell>
          <cell r="D1552">
            <v>60206</v>
          </cell>
          <cell r="E1552">
            <v>60206</v>
          </cell>
          <cell r="F1552">
            <v>0</v>
          </cell>
        </row>
        <row r="1553">
          <cell r="A1553" t="str">
            <v>GDIPL</v>
          </cell>
          <cell r="B1553" t="str">
            <v>DIPLOMAT PRINTERS</v>
          </cell>
          <cell r="C1553" t="str">
            <v>LSCRED</v>
          </cell>
          <cell r="D1553">
            <v>4435.5</v>
          </cell>
          <cell r="E1553">
            <v>4435.5</v>
          </cell>
          <cell r="F1553">
            <v>0</v>
          </cell>
        </row>
        <row r="1554">
          <cell r="A1554" t="str">
            <v>GPRAF</v>
          </cell>
          <cell r="B1554" t="str">
            <v>DR. PRAFUL CHANDRA</v>
          </cell>
          <cell r="C1554" t="str">
            <v>LSCRED</v>
          </cell>
          <cell r="D1554">
            <v>18170</v>
          </cell>
          <cell r="E1554">
            <v>18170</v>
          </cell>
          <cell r="F1554">
            <v>0</v>
          </cell>
        </row>
        <row r="1555">
          <cell r="A1555" t="str">
            <v>GSART</v>
          </cell>
          <cell r="B1555" t="str">
            <v>DR. SAROJ TIWARI</v>
          </cell>
          <cell r="C1555" t="str">
            <v>LSCRED</v>
          </cell>
          <cell r="D1555">
            <v>13464</v>
          </cell>
          <cell r="E1555">
            <v>13464</v>
          </cell>
          <cell r="F1555">
            <v>0</v>
          </cell>
        </row>
        <row r="1556">
          <cell r="A1556" t="str">
            <v>GDUAA</v>
          </cell>
          <cell r="B1556" t="str">
            <v>DUA ASSOCIATES</v>
          </cell>
          <cell r="C1556" t="str">
            <v>LSCRED</v>
          </cell>
          <cell r="D1556">
            <v>97287</v>
          </cell>
          <cell r="E1556">
            <v>97287</v>
          </cell>
          <cell r="F1556">
            <v>0</v>
          </cell>
        </row>
        <row r="1557">
          <cell r="A1557" t="str">
            <v>GDUAP</v>
          </cell>
          <cell r="B1557" t="str">
            <v>DUA PROPERTIES</v>
          </cell>
          <cell r="C1557" t="str">
            <v>LSCRED</v>
          </cell>
          <cell r="D1557">
            <v>3978</v>
          </cell>
          <cell r="E1557">
            <v>3978</v>
          </cell>
          <cell r="F1557">
            <v>0</v>
          </cell>
        </row>
        <row r="1558">
          <cell r="A1558" t="str">
            <v>GDURA</v>
          </cell>
          <cell r="B1558" t="str">
            <v>DURGA SHANKAR</v>
          </cell>
          <cell r="C1558" t="str">
            <v>LSCRED</v>
          </cell>
          <cell r="D1558">
            <v>87302</v>
          </cell>
          <cell r="E1558">
            <v>87302</v>
          </cell>
          <cell r="F1558">
            <v>0</v>
          </cell>
        </row>
        <row r="1559">
          <cell r="A1559" t="str">
            <v>GDURG</v>
          </cell>
          <cell r="B1559" t="str">
            <v>DURGAPUR CITY CENTRE MANAGEMENT SERVICES</v>
          </cell>
          <cell r="C1559" t="str">
            <v>LSCRED</v>
          </cell>
          <cell r="D1559">
            <v>13570</v>
          </cell>
          <cell r="E1559">
            <v>13570</v>
          </cell>
          <cell r="F1559">
            <v>0</v>
          </cell>
        </row>
        <row r="1560">
          <cell r="A1560" t="str">
            <v>GDUAG</v>
          </cell>
          <cell r="B1560" t="str">
            <v>DURGAVATI AGARWAL</v>
          </cell>
          <cell r="C1560" t="str">
            <v>LSCRED</v>
          </cell>
          <cell r="D1560">
            <v>69105</v>
          </cell>
          <cell r="E1560">
            <v>69105</v>
          </cell>
          <cell r="F1560">
            <v>0</v>
          </cell>
        </row>
        <row r="1561">
          <cell r="A1561" t="str">
            <v>GDPOW</v>
          </cell>
          <cell r="B1561" t="str">
            <v>DWARAKA PLAZA OWNERS WELFARE ASSOCIATION</v>
          </cell>
          <cell r="C1561" t="str">
            <v>LSCRED</v>
          </cell>
          <cell r="D1561">
            <v>38207</v>
          </cell>
          <cell r="E1561">
            <v>38207</v>
          </cell>
          <cell r="F1561">
            <v>0</v>
          </cell>
        </row>
        <row r="1562">
          <cell r="A1562" t="str">
            <v>GESAT</v>
          </cell>
          <cell r="B1562" t="str">
            <v>E. SATISH KUMAR</v>
          </cell>
          <cell r="C1562" t="str">
            <v>LSCRED</v>
          </cell>
          <cell r="D1562">
            <v>2450</v>
          </cell>
          <cell r="E1562">
            <v>2450</v>
          </cell>
          <cell r="F1562">
            <v>0</v>
          </cell>
        </row>
        <row r="1563">
          <cell r="A1563" t="str">
            <v>GCESR</v>
          </cell>
          <cell r="B1563" t="str">
            <v>EDUCATION CESS RECEIVABLE</v>
          </cell>
          <cell r="C1563" t="str">
            <v>LSCRED</v>
          </cell>
          <cell r="D1563">
            <v>22935</v>
          </cell>
          <cell r="E1563">
            <v>22935</v>
          </cell>
          <cell r="F1563">
            <v>0</v>
          </cell>
        </row>
        <row r="1564">
          <cell r="A1564" t="str">
            <v>GELBE</v>
          </cell>
          <cell r="B1564" t="str">
            <v>ELBEE EXPRESS LIMITED</v>
          </cell>
          <cell r="C1564" t="str">
            <v>LSCRED</v>
          </cell>
          <cell r="D1564">
            <v>262</v>
          </cell>
          <cell r="E1564">
            <v>262</v>
          </cell>
          <cell r="F1564">
            <v>0</v>
          </cell>
        </row>
        <row r="1565">
          <cell r="A1565" t="str">
            <v>GELE</v>
          </cell>
          <cell r="B1565" t="str">
            <v>ELEGANT FURNITURE</v>
          </cell>
          <cell r="C1565" t="str">
            <v>LSCRED</v>
          </cell>
          <cell r="D1565">
            <v>3300</v>
          </cell>
          <cell r="E1565">
            <v>3300</v>
          </cell>
          <cell r="F1565">
            <v>0</v>
          </cell>
        </row>
        <row r="1566">
          <cell r="A1566" t="str">
            <v>GESSA</v>
          </cell>
          <cell r="B1566" t="str">
            <v>ESSAR ENGINEERS</v>
          </cell>
          <cell r="C1566" t="str">
            <v>LSCRED</v>
          </cell>
          <cell r="D1566">
            <v>52500</v>
          </cell>
          <cell r="E1566">
            <v>52500</v>
          </cell>
          <cell r="F1566">
            <v>0</v>
          </cell>
        </row>
        <row r="1567">
          <cell r="A1567" t="str">
            <v>GESSAR</v>
          </cell>
          <cell r="B1567" t="str">
            <v>ESSAR EXPORTS</v>
          </cell>
          <cell r="C1567" t="str">
            <v>LSCRED</v>
          </cell>
          <cell r="D1567">
            <v>698234</v>
          </cell>
          <cell r="E1567">
            <v>698234</v>
          </cell>
          <cell r="F1567">
            <v>0</v>
          </cell>
        </row>
        <row r="1568">
          <cell r="A1568" t="str">
            <v>GEXPR</v>
          </cell>
          <cell r="B1568" t="str">
            <v>EXPRESSIT LOGISTICS WORLDWIDE LIMITED</v>
          </cell>
          <cell r="C1568" t="str">
            <v>LSCRED</v>
          </cell>
          <cell r="D1568">
            <v>9</v>
          </cell>
          <cell r="E1568">
            <v>9</v>
          </cell>
          <cell r="F1568">
            <v>0</v>
          </cell>
        </row>
        <row r="1569">
          <cell r="A1569" t="str">
            <v>GFAIZ</v>
          </cell>
          <cell r="B1569" t="str">
            <v>FAIZ QUADIR</v>
          </cell>
          <cell r="C1569" t="str">
            <v>LSCRED</v>
          </cell>
          <cell r="D1569">
            <v>631</v>
          </cell>
          <cell r="E1569">
            <v>631</v>
          </cell>
          <cell r="F1569">
            <v>0</v>
          </cell>
        </row>
        <row r="1570">
          <cell r="A1570" t="str">
            <v>GFASC</v>
          </cell>
          <cell r="B1570" t="str">
            <v>FAST TRAIN CARGO</v>
          </cell>
          <cell r="C1570" t="str">
            <v>LSCRED</v>
          </cell>
          <cell r="D1570">
            <v>88832</v>
          </cell>
          <cell r="E1570">
            <v>88832</v>
          </cell>
          <cell r="F1570">
            <v>0</v>
          </cell>
        </row>
        <row r="1571">
          <cell r="A1571" t="str">
            <v>GFATB</v>
          </cell>
          <cell r="B1571" t="str">
            <v>FATEH BAHADUR SINGH</v>
          </cell>
          <cell r="C1571" t="str">
            <v>LSCRED</v>
          </cell>
          <cell r="D1571">
            <v>21720</v>
          </cell>
          <cell r="E1571">
            <v>21720</v>
          </cell>
          <cell r="F1571">
            <v>0</v>
          </cell>
        </row>
        <row r="1572">
          <cell r="A1572" t="str">
            <v>GFRAN</v>
          </cell>
          <cell r="B1572" t="str">
            <v>FRANK ESTATE CONSULTANCY</v>
          </cell>
          <cell r="C1572" t="str">
            <v>LSCRED</v>
          </cell>
          <cell r="D1572">
            <v>4348</v>
          </cell>
          <cell r="E1572">
            <v>4348</v>
          </cell>
          <cell r="F1572">
            <v>0</v>
          </cell>
        </row>
        <row r="1573">
          <cell r="A1573" t="str">
            <v>GFRIP</v>
          </cell>
          <cell r="B1573" t="str">
            <v>FRIENDS PLACEMENTS</v>
          </cell>
          <cell r="C1573" t="str">
            <v>LSCRED</v>
          </cell>
          <cell r="D1573">
            <v>52896</v>
          </cell>
          <cell r="E1573">
            <v>52896</v>
          </cell>
          <cell r="F1573">
            <v>0</v>
          </cell>
        </row>
        <row r="1574">
          <cell r="A1574" t="str">
            <v>GGVPE</v>
          </cell>
          <cell r="B1574" t="str">
            <v>G V PETHIA</v>
          </cell>
          <cell r="C1574" t="str">
            <v>LSCRED</v>
          </cell>
          <cell r="D1574">
            <v>26628</v>
          </cell>
          <cell r="E1574">
            <v>26628</v>
          </cell>
          <cell r="F1574">
            <v>0</v>
          </cell>
        </row>
        <row r="1575">
          <cell r="A1575" t="str">
            <v>GGKRE</v>
          </cell>
          <cell r="B1575" t="str">
            <v>G. K. REALITIES</v>
          </cell>
          <cell r="C1575" t="str">
            <v>LSCRED</v>
          </cell>
          <cell r="D1575">
            <v>2525</v>
          </cell>
          <cell r="E1575">
            <v>2525</v>
          </cell>
          <cell r="F1575">
            <v>0</v>
          </cell>
        </row>
        <row r="1576">
          <cell r="A1576" t="str">
            <v>GGSTH</v>
          </cell>
          <cell r="B1576" t="str">
            <v>G.S. THORAT (HUF)</v>
          </cell>
          <cell r="C1576" t="str">
            <v>LSCRED</v>
          </cell>
          <cell r="D1576">
            <v>144540</v>
          </cell>
          <cell r="E1576">
            <v>144540</v>
          </cell>
          <cell r="F1576">
            <v>0</v>
          </cell>
        </row>
        <row r="1577">
          <cell r="A1577" t="str">
            <v>GGALA</v>
          </cell>
          <cell r="B1577" t="str">
            <v>GALAXY XEROX &amp; STATIONERY</v>
          </cell>
          <cell r="C1577" t="str">
            <v>LSCRED</v>
          </cell>
          <cell r="D1577">
            <v>266.38</v>
          </cell>
          <cell r="E1577">
            <v>266.38</v>
          </cell>
          <cell r="F1577">
            <v>0</v>
          </cell>
        </row>
        <row r="1578">
          <cell r="A1578" t="str">
            <v>GGALL</v>
          </cell>
          <cell r="B1578" t="str">
            <v>GALLOPS MOTORS PVT LTD</v>
          </cell>
          <cell r="C1578" t="str">
            <v>LSCRED</v>
          </cell>
          <cell r="D1578">
            <v>70916</v>
          </cell>
          <cell r="E1578">
            <v>70916</v>
          </cell>
          <cell r="F1578">
            <v>0</v>
          </cell>
        </row>
        <row r="1579">
          <cell r="A1579" t="str">
            <v>GGANN</v>
          </cell>
          <cell r="B1579" t="str">
            <v>GANESH NEXT</v>
          </cell>
          <cell r="C1579" t="str">
            <v>LSCRED</v>
          </cell>
          <cell r="D1579">
            <v>66685</v>
          </cell>
          <cell r="E1579">
            <v>66685</v>
          </cell>
          <cell r="F1579">
            <v>0</v>
          </cell>
        </row>
        <row r="1580">
          <cell r="A1580" t="str">
            <v>GGANS</v>
          </cell>
          <cell r="B1580" t="str">
            <v>GANESH SINGH</v>
          </cell>
          <cell r="C1580" t="str">
            <v>LSCRED</v>
          </cell>
          <cell r="D1580">
            <v>6580</v>
          </cell>
          <cell r="E1580">
            <v>6580</v>
          </cell>
          <cell r="F1580">
            <v>0</v>
          </cell>
        </row>
        <row r="1581">
          <cell r="A1581" t="str">
            <v>GGAUT</v>
          </cell>
          <cell r="B1581" t="str">
            <v>GAURAV TOWER MAINTENANCE SOCIETY</v>
          </cell>
          <cell r="C1581" t="str">
            <v>LSCRED</v>
          </cell>
          <cell r="D1581">
            <v>49546</v>
          </cell>
          <cell r="E1581">
            <v>49546</v>
          </cell>
          <cell r="F1581">
            <v>0</v>
          </cell>
        </row>
        <row r="1582">
          <cell r="A1582" t="str">
            <v>GGAUA</v>
          </cell>
          <cell r="B1582" t="str">
            <v>GAURAVJIT SINGH DEOL</v>
          </cell>
          <cell r="C1582" t="str">
            <v>LSCRED</v>
          </cell>
          <cell r="D1582">
            <v>4500</v>
          </cell>
          <cell r="E1582">
            <v>4500</v>
          </cell>
          <cell r="F1582">
            <v>0</v>
          </cell>
        </row>
        <row r="1583">
          <cell r="A1583" t="str">
            <v>GGEEG</v>
          </cell>
          <cell r="B1583" t="str">
            <v>GEEGEE COMPLEX  WELFARE ASSOCIATION</v>
          </cell>
          <cell r="C1583" t="str">
            <v>LSCRED</v>
          </cell>
          <cell r="D1583">
            <v>22887</v>
          </cell>
          <cell r="E1583">
            <v>22887</v>
          </cell>
          <cell r="F1583">
            <v>0</v>
          </cell>
        </row>
        <row r="1584">
          <cell r="A1584" t="str">
            <v>GGEEK</v>
          </cell>
          <cell r="B1584" t="str">
            <v>GEEKAY SECURITY SERVICES PVT. LTD</v>
          </cell>
          <cell r="C1584" t="str">
            <v>LSCRED</v>
          </cell>
          <cell r="D1584">
            <v>1791</v>
          </cell>
          <cell r="E1584">
            <v>1791</v>
          </cell>
          <cell r="F1584">
            <v>0</v>
          </cell>
        </row>
        <row r="1585">
          <cell r="A1585" t="str">
            <v>GGIFC</v>
          </cell>
          <cell r="B1585" t="str">
            <v>GIFT CENTER</v>
          </cell>
          <cell r="C1585" t="str">
            <v>LSCRED</v>
          </cell>
          <cell r="D1585">
            <v>21821</v>
          </cell>
          <cell r="E1585">
            <v>21821</v>
          </cell>
          <cell r="F1585">
            <v>0</v>
          </cell>
        </row>
        <row r="1586">
          <cell r="A1586" t="str">
            <v>GGLACI</v>
          </cell>
          <cell r="B1586" t="str">
            <v>GLACIER RE-FRESH (I) PVT LTD</v>
          </cell>
          <cell r="C1586" t="str">
            <v>LSCRED</v>
          </cell>
          <cell r="D1586">
            <v>3339</v>
          </cell>
          <cell r="E1586">
            <v>3339</v>
          </cell>
          <cell r="F1586">
            <v>0</v>
          </cell>
        </row>
        <row r="1587">
          <cell r="A1587" t="str">
            <v>GGLON</v>
          </cell>
          <cell r="B1587" t="str">
            <v>GLONE RADIOS</v>
          </cell>
          <cell r="C1587" t="str">
            <v>LSCRED</v>
          </cell>
          <cell r="D1587">
            <v>8300</v>
          </cell>
          <cell r="E1587">
            <v>8300</v>
          </cell>
          <cell r="F1587">
            <v>0</v>
          </cell>
        </row>
        <row r="1588">
          <cell r="A1588" t="str">
            <v>GGLS</v>
          </cell>
          <cell r="B1588" t="str">
            <v>GLOWWELL SIGN</v>
          </cell>
          <cell r="C1588" t="str">
            <v>LSCRED</v>
          </cell>
          <cell r="D1588">
            <v>5018</v>
          </cell>
          <cell r="E1588">
            <v>5018</v>
          </cell>
          <cell r="F1588">
            <v>0</v>
          </cell>
        </row>
        <row r="1589">
          <cell r="A1589" t="str">
            <v>GGMMA</v>
          </cell>
          <cell r="B1589" t="str">
            <v>GM MANAGEMENT SOLUTIONS</v>
          </cell>
          <cell r="C1589" t="str">
            <v>LSCRED</v>
          </cell>
          <cell r="D1589">
            <v>12000</v>
          </cell>
          <cell r="E1589">
            <v>12000</v>
          </cell>
          <cell r="F1589">
            <v>0</v>
          </cell>
        </row>
        <row r="1590">
          <cell r="A1590" t="str">
            <v>GGOGE</v>
          </cell>
          <cell r="B1590" t="str">
            <v>GO GETTER HR PROFESSIONAL</v>
          </cell>
          <cell r="C1590" t="str">
            <v>LSCRED</v>
          </cell>
          <cell r="D1590">
            <v>48910</v>
          </cell>
          <cell r="E1590">
            <v>48910</v>
          </cell>
          <cell r="F1590">
            <v>0</v>
          </cell>
        </row>
        <row r="1591">
          <cell r="A1591" t="str">
            <v>GGOPA</v>
          </cell>
          <cell r="B1591" t="str">
            <v>GOPA ARORA</v>
          </cell>
          <cell r="C1591" t="str">
            <v>LSCRED</v>
          </cell>
          <cell r="D1591">
            <v>47212</v>
          </cell>
          <cell r="E1591">
            <v>47212</v>
          </cell>
          <cell r="F1591">
            <v>0</v>
          </cell>
        </row>
        <row r="1592">
          <cell r="A1592" t="str">
            <v>GGOPY</v>
          </cell>
          <cell r="B1592" t="str">
            <v>GOPI ENTERPRISES</v>
          </cell>
          <cell r="C1592" t="str">
            <v>LSCRED</v>
          </cell>
          <cell r="D1592">
            <v>5868</v>
          </cell>
          <cell r="E1592">
            <v>5868</v>
          </cell>
          <cell r="F1592">
            <v>0</v>
          </cell>
        </row>
        <row r="1593">
          <cell r="A1593" t="str">
            <v>GGORD</v>
          </cell>
          <cell r="B1593" t="str">
            <v>GORDHANDAS BHAGWANJI MANEK</v>
          </cell>
          <cell r="C1593" t="str">
            <v>LSCRED</v>
          </cell>
          <cell r="D1593">
            <v>3029</v>
          </cell>
          <cell r="E1593">
            <v>3029</v>
          </cell>
          <cell r="F1593">
            <v>0</v>
          </cell>
        </row>
        <row r="1594">
          <cell r="A1594" t="str">
            <v>GGBPL</v>
          </cell>
          <cell r="B1594" t="str">
            <v>GRAPHIC BUILDERS PRIVATE LIMITED</v>
          </cell>
          <cell r="C1594" t="str">
            <v>LSCRED</v>
          </cell>
          <cell r="D1594">
            <v>1785303</v>
          </cell>
          <cell r="E1594">
            <v>1785303</v>
          </cell>
          <cell r="F1594">
            <v>0</v>
          </cell>
        </row>
        <row r="1595">
          <cell r="A1595" t="str">
            <v>GGUNT</v>
          </cell>
          <cell r="B1595" t="str">
            <v>GUNTUPALLI NANDA KISHORE BABU A/C NO 8619</v>
          </cell>
          <cell r="C1595" t="str">
            <v>LSCRED</v>
          </cell>
          <cell r="D1595">
            <v>71324</v>
          </cell>
          <cell r="E1595">
            <v>71324</v>
          </cell>
          <cell r="F1595">
            <v>0</v>
          </cell>
        </row>
        <row r="1596">
          <cell r="A1596" t="str">
            <v>GGURB</v>
          </cell>
          <cell r="B1596" t="str">
            <v>GURBIR SINGH DEOL</v>
          </cell>
          <cell r="C1596" t="str">
            <v>LSCRED</v>
          </cell>
          <cell r="D1596">
            <v>4500</v>
          </cell>
          <cell r="E1596">
            <v>4500</v>
          </cell>
          <cell r="F1596">
            <v>0</v>
          </cell>
        </row>
        <row r="1597">
          <cell r="A1597" t="str">
            <v>GGURD</v>
          </cell>
          <cell r="B1597" t="str">
            <v>GURDIAL SINGH SEKHON</v>
          </cell>
          <cell r="C1597" t="str">
            <v>LSCRED</v>
          </cell>
          <cell r="D1597">
            <v>3600</v>
          </cell>
          <cell r="E1597">
            <v>3600</v>
          </cell>
          <cell r="F1597">
            <v>0</v>
          </cell>
        </row>
        <row r="1598">
          <cell r="A1598" t="str">
            <v>GGURM</v>
          </cell>
          <cell r="B1598" t="str">
            <v>GURMEET SINGH</v>
          </cell>
          <cell r="C1598" t="str">
            <v>LSCRED</v>
          </cell>
          <cell r="D1598">
            <v>15426</v>
          </cell>
          <cell r="E1598">
            <v>15426</v>
          </cell>
          <cell r="F1598">
            <v>0</v>
          </cell>
        </row>
        <row r="1599">
          <cell r="A1599" t="str">
            <v>GGURE</v>
          </cell>
          <cell r="B1599" t="str">
            <v>GURNOOR ESTATES (P) LTD</v>
          </cell>
          <cell r="C1599" t="str">
            <v>LSCRED</v>
          </cell>
          <cell r="D1599">
            <v>6120</v>
          </cell>
          <cell r="E1599">
            <v>6120</v>
          </cell>
          <cell r="F1599">
            <v>0</v>
          </cell>
        </row>
        <row r="1600">
          <cell r="A1600" t="str">
            <v>GGURT</v>
          </cell>
          <cell r="B1600" t="str">
            <v>GURTEK SINGH MAKIN</v>
          </cell>
          <cell r="C1600" t="str">
            <v>LSCRED</v>
          </cell>
          <cell r="D1600">
            <v>2047</v>
          </cell>
          <cell r="E1600">
            <v>2047</v>
          </cell>
          <cell r="F1600">
            <v>0</v>
          </cell>
        </row>
        <row r="1601">
          <cell r="A1601" t="str">
            <v>GGURV</v>
          </cell>
          <cell r="B1601" t="str">
            <v>GURVINDER SINGH</v>
          </cell>
          <cell r="C1601" t="str">
            <v>LSCRED</v>
          </cell>
          <cell r="D1601">
            <v>24209</v>
          </cell>
          <cell r="E1601">
            <v>24209</v>
          </cell>
          <cell r="F1601">
            <v>0</v>
          </cell>
        </row>
        <row r="1602">
          <cell r="A1602" t="str">
            <v>GHKAS</v>
          </cell>
          <cell r="B1602" t="str">
            <v>H K ASSOCIATES</v>
          </cell>
          <cell r="C1602" t="str">
            <v>LSCRED</v>
          </cell>
          <cell r="D1602">
            <v>3045</v>
          </cell>
          <cell r="E1602">
            <v>3045</v>
          </cell>
          <cell r="F1602">
            <v>0</v>
          </cell>
        </row>
        <row r="1603">
          <cell r="A1603" t="str">
            <v>GHAJI</v>
          </cell>
          <cell r="B1603" t="str">
            <v>HAJI ABDUL SHUBHAN</v>
          </cell>
          <cell r="C1603" t="str">
            <v>LSCRED</v>
          </cell>
          <cell r="D1603">
            <v>49852</v>
          </cell>
          <cell r="E1603">
            <v>49852</v>
          </cell>
          <cell r="F1603">
            <v>0</v>
          </cell>
        </row>
        <row r="1604">
          <cell r="A1604" t="str">
            <v>GHARBA</v>
          </cell>
          <cell r="B1604" t="str">
            <v>HARBANS KAUR</v>
          </cell>
          <cell r="C1604" t="str">
            <v>LSCRED</v>
          </cell>
          <cell r="D1604">
            <v>44370</v>
          </cell>
          <cell r="E1604">
            <v>44370</v>
          </cell>
          <cell r="F1604">
            <v>0</v>
          </cell>
        </row>
        <row r="1605">
          <cell r="A1605" t="str">
            <v>GHSYN</v>
          </cell>
          <cell r="B1605" t="str">
            <v>HARBHAJAN SINGH</v>
          </cell>
          <cell r="C1605" t="str">
            <v>LSCRED</v>
          </cell>
          <cell r="D1605">
            <v>66105</v>
          </cell>
          <cell r="E1605">
            <v>66105</v>
          </cell>
          <cell r="F1605">
            <v>0</v>
          </cell>
        </row>
        <row r="1606">
          <cell r="A1606" t="str">
            <v>GHARD</v>
          </cell>
          <cell r="B1606" t="str">
            <v>HARDAYAL SINGH</v>
          </cell>
          <cell r="C1606" t="str">
            <v>LSCRED</v>
          </cell>
          <cell r="D1606">
            <v>4000</v>
          </cell>
          <cell r="E1606">
            <v>4000</v>
          </cell>
          <cell r="F1606">
            <v>0</v>
          </cell>
        </row>
        <row r="1607">
          <cell r="A1607" t="str">
            <v>GHASA</v>
          </cell>
          <cell r="B1607" t="str">
            <v>HARDEEP SINGH ANAND</v>
          </cell>
          <cell r="C1607" t="str">
            <v>LSCRED</v>
          </cell>
          <cell r="D1607">
            <v>561</v>
          </cell>
          <cell r="E1607">
            <v>561</v>
          </cell>
          <cell r="F1607">
            <v>0</v>
          </cell>
        </row>
        <row r="1608">
          <cell r="A1608" t="str">
            <v>GHARE</v>
          </cell>
          <cell r="B1608" t="str">
            <v>HARESH KISHOR</v>
          </cell>
          <cell r="C1608" t="str">
            <v>LSCRED</v>
          </cell>
          <cell r="D1608">
            <v>44177</v>
          </cell>
          <cell r="E1608">
            <v>44177</v>
          </cell>
          <cell r="F1608">
            <v>0</v>
          </cell>
        </row>
        <row r="1609">
          <cell r="A1609" t="str">
            <v>GHARIM</v>
          </cell>
          <cell r="B1609" t="str">
            <v>HARIHARASUBRAMANIAM M</v>
          </cell>
          <cell r="C1609" t="str">
            <v>LSCRED</v>
          </cell>
          <cell r="D1609">
            <v>3184</v>
          </cell>
          <cell r="E1609">
            <v>3184</v>
          </cell>
          <cell r="F1609">
            <v>0</v>
          </cell>
        </row>
        <row r="1610">
          <cell r="A1610" t="str">
            <v>GHARIK</v>
          </cell>
          <cell r="B1610" t="str">
            <v>HARISH KAPOOR</v>
          </cell>
          <cell r="C1610" t="str">
            <v>LSCRED</v>
          </cell>
          <cell r="D1610">
            <v>33769</v>
          </cell>
          <cell r="E1610">
            <v>33769</v>
          </cell>
          <cell r="F1610">
            <v>0</v>
          </cell>
        </row>
        <row r="1611">
          <cell r="A1611" t="str">
            <v>GHARH</v>
          </cell>
          <cell r="B1611" t="str">
            <v>HARISH VARLANI</v>
          </cell>
          <cell r="C1611" t="str">
            <v>LSCRED</v>
          </cell>
          <cell r="D1611">
            <v>71306</v>
          </cell>
          <cell r="E1611">
            <v>71306</v>
          </cell>
          <cell r="F1611">
            <v>0</v>
          </cell>
        </row>
        <row r="1612">
          <cell r="A1612" t="str">
            <v>GHARM</v>
          </cell>
          <cell r="B1612" t="str">
            <v>HARPREET MOTORS PVT LTD</v>
          </cell>
          <cell r="C1612" t="str">
            <v>LSCRED</v>
          </cell>
          <cell r="D1612">
            <v>597850</v>
          </cell>
          <cell r="E1612">
            <v>597850</v>
          </cell>
          <cell r="F1612">
            <v>0</v>
          </cell>
        </row>
        <row r="1613">
          <cell r="A1613" t="str">
            <v>GHAPP</v>
          </cell>
          <cell r="B1613" t="str">
            <v>HARSHADRAI PURSHOTTAM PAREKH</v>
          </cell>
          <cell r="C1613" t="str">
            <v>LSCRED</v>
          </cell>
          <cell r="D1613">
            <v>1180799</v>
          </cell>
          <cell r="E1613">
            <v>1180799</v>
          </cell>
          <cell r="F1613">
            <v>0</v>
          </cell>
        </row>
        <row r="1614">
          <cell r="A1614" t="str">
            <v>GHAA</v>
          </cell>
          <cell r="B1614" t="str">
            <v>HARYANA AUTO AGENCIES</v>
          </cell>
          <cell r="C1614" t="str">
            <v>LSCRED</v>
          </cell>
          <cell r="D1614">
            <v>7960</v>
          </cell>
          <cell r="E1614">
            <v>7960</v>
          </cell>
          <cell r="F1614">
            <v>0</v>
          </cell>
        </row>
        <row r="1615">
          <cell r="A1615" t="str">
            <v>GHCGI</v>
          </cell>
          <cell r="B1615" t="str">
            <v>HDFC CHUBB GENERAL INSURANCE CO. LTD.</v>
          </cell>
          <cell r="C1615" t="str">
            <v>LSCRED</v>
          </cell>
          <cell r="D1615">
            <v>111</v>
          </cell>
          <cell r="E1615">
            <v>111</v>
          </cell>
          <cell r="F1615">
            <v>0</v>
          </cell>
        </row>
        <row r="1616">
          <cell r="A1616" t="str">
            <v>GHEAL</v>
          </cell>
          <cell r="B1616" t="str">
            <v>HEALTH POINT</v>
          </cell>
          <cell r="C1616" t="str">
            <v>LSCRED</v>
          </cell>
          <cell r="D1616">
            <v>19350</v>
          </cell>
          <cell r="E1616">
            <v>19350</v>
          </cell>
          <cell r="F1616">
            <v>0</v>
          </cell>
        </row>
        <row r="1617">
          <cell r="A1617" t="str">
            <v>GHETU</v>
          </cell>
          <cell r="B1617" t="str">
            <v>HEMANT TULSIDAS SURATWALA</v>
          </cell>
          <cell r="C1617" t="str">
            <v>LSCRED</v>
          </cell>
          <cell r="D1617">
            <v>4972</v>
          </cell>
          <cell r="E1617">
            <v>4972</v>
          </cell>
          <cell r="F1617">
            <v>0</v>
          </cell>
        </row>
        <row r="1618">
          <cell r="A1618" t="str">
            <v>GHEME</v>
          </cell>
          <cell r="B1618" t="str">
            <v>HEMENDRA DAHYABHAI SHAH</v>
          </cell>
          <cell r="C1618" t="str">
            <v>LSCRED</v>
          </cell>
          <cell r="D1618">
            <v>131049</v>
          </cell>
          <cell r="E1618">
            <v>131049</v>
          </cell>
          <cell r="F1618">
            <v>0</v>
          </cell>
        </row>
        <row r="1619">
          <cell r="A1619" t="str">
            <v>GHEMH</v>
          </cell>
          <cell r="B1619" t="str">
            <v>HEMENDRA DAHYABHAI SHAH (HUF)</v>
          </cell>
          <cell r="C1619" t="str">
            <v>LSCRED</v>
          </cell>
          <cell r="D1619">
            <v>19619</v>
          </cell>
          <cell r="E1619">
            <v>19619</v>
          </cell>
          <cell r="F1619">
            <v>0</v>
          </cell>
        </row>
        <row r="1620">
          <cell r="A1620" t="str">
            <v>GHITECH</v>
          </cell>
          <cell r="B1620" t="str">
            <v>HI TECH INFOVISION</v>
          </cell>
          <cell r="C1620" t="str">
            <v>LSCRED</v>
          </cell>
          <cell r="D1620">
            <v>47053</v>
          </cell>
          <cell r="E1620">
            <v>47053</v>
          </cell>
          <cell r="F1620">
            <v>0</v>
          </cell>
        </row>
        <row r="1621">
          <cell r="A1621" t="str">
            <v>GHILI</v>
          </cell>
          <cell r="B1621" t="str">
            <v>HI-LIFE ENTERPRISES INC</v>
          </cell>
          <cell r="C1621" t="str">
            <v>LSCRED</v>
          </cell>
          <cell r="D1621">
            <v>92062</v>
          </cell>
          <cell r="E1621">
            <v>92062</v>
          </cell>
          <cell r="F1621">
            <v>0</v>
          </cell>
        </row>
        <row r="1622">
          <cell r="A1622" t="str">
            <v>GHITE</v>
          </cell>
          <cell r="B1622" t="str">
            <v>HI-TECH LINKS</v>
          </cell>
          <cell r="C1622" t="str">
            <v>LSCRED</v>
          </cell>
          <cell r="D1622">
            <v>793</v>
          </cell>
          <cell r="E1622">
            <v>793</v>
          </cell>
          <cell r="F1622">
            <v>0</v>
          </cell>
        </row>
        <row r="1623">
          <cell r="A1623" t="str">
            <v>GHAEL</v>
          </cell>
          <cell r="B1623" t="str">
            <v>HIMATSINGKA AUTO ENTERPRISES LTD</v>
          </cell>
          <cell r="C1623" t="str">
            <v>LSCRED</v>
          </cell>
          <cell r="D1623">
            <v>314968</v>
          </cell>
          <cell r="E1623">
            <v>314968</v>
          </cell>
          <cell r="F1623">
            <v>0</v>
          </cell>
        </row>
        <row r="1624">
          <cell r="A1624" t="str">
            <v>GHIMG</v>
          </cell>
          <cell r="B1624" t="str">
            <v>HIMGIRI CARS PVT LTD</v>
          </cell>
          <cell r="C1624" t="str">
            <v>LSCRED</v>
          </cell>
          <cell r="D1624">
            <v>36174</v>
          </cell>
          <cell r="E1624">
            <v>36174</v>
          </cell>
          <cell r="F1624">
            <v>0</v>
          </cell>
        </row>
        <row r="1625">
          <cell r="A1625" t="str">
            <v>GHINA</v>
          </cell>
          <cell r="B1625" t="str">
            <v>HINA CHANDRASEKHAR UPASANI</v>
          </cell>
          <cell r="C1625" t="str">
            <v>LSCRED</v>
          </cell>
          <cell r="D1625">
            <v>27540</v>
          </cell>
          <cell r="E1625">
            <v>27540</v>
          </cell>
          <cell r="F1625">
            <v>0</v>
          </cell>
        </row>
        <row r="1626">
          <cell r="A1626" t="str">
            <v>GHIRV</v>
          </cell>
          <cell r="B1626" t="str">
            <v>HIRVA AIDS</v>
          </cell>
          <cell r="C1626" t="str">
            <v>LSCRED</v>
          </cell>
          <cell r="D1626">
            <v>8135</v>
          </cell>
          <cell r="E1626">
            <v>8135</v>
          </cell>
          <cell r="F1626">
            <v>0</v>
          </cell>
        </row>
        <row r="1627">
          <cell r="A1627" t="str">
            <v>GHITP</v>
          </cell>
          <cell r="B1627" t="str">
            <v>HITENDRA P. DESAI</v>
          </cell>
          <cell r="C1627" t="str">
            <v>LSCRED</v>
          </cell>
          <cell r="D1627">
            <v>2805</v>
          </cell>
          <cell r="E1627">
            <v>2805</v>
          </cell>
          <cell r="F1627">
            <v>0</v>
          </cell>
        </row>
        <row r="1628">
          <cell r="A1628" t="str">
            <v>GHUKA</v>
          </cell>
          <cell r="B1628" t="str">
            <v>HUKAM CHAND BANSAL</v>
          </cell>
          <cell r="C1628" t="str">
            <v>LSCRED</v>
          </cell>
          <cell r="D1628">
            <v>76064</v>
          </cell>
          <cell r="E1628">
            <v>76064</v>
          </cell>
          <cell r="F1628">
            <v>0</v>
          </cell>
        </row>
        <row r="1629">
          <cell r="A1629" t="str">
            <v>GIDBI</v>
          </cell>
          <cell r="B1629" t="str">
            <v>IDBI LTD</v>
          </cell>
          <cell r="C1629" t="str">
            <v>LSCRED</v>
          </cell>
          <cell r="D1629">
            <v>44896</v>
          </cell>
          <cell r="E1629">
            <v>44896</v>
          </cell>
          <cell r="F1629">
            <v>0</v>
          </cell>
        </row>
        <row r="1630">
          <cell r="A1630" t="str">
            <v>GIDCL</v>
          </cell>
          <cell r="B1630" t="str">
            <v>IDEA CELLULAR LIMITED</v>
          </cell>
          <cell r="C1630" t="str">
            <v>LSCRED</v>
          </cell>
          <cell r="D1630">
            <v>978</v>
          </cell>
          <cell r="E1630">
            <v>978</v>
          </cell>
          <cell r="F1630">
            <v>0</v>
          </cell>
        </row>
        <row r="1631">
          <cell r="A1631" t="str">
            <v>GIKBA</v>
          </cell>
          <cell r="B1631" t="str">
            <v>IKBAL SINGH HORA &amp; THRILOCHAN SINGH HORA</v>
          </cell>
          <cell r="C1631" t="str">
            <v>LSCRED</v>
          </cell>
          <cell r="D1631">
            <v>57858</v>
          </cell>
          <cell r="E1631">
            <v>57858</v>
          </cell>
          <cell r="F1631">
            <v>0</v>
          </cell>
        </row>
        <row r="1632">
          <cell r="A1632" t="str">
            <v>GINBH</v>
          </cell>
          <cell r="B1632" t="str">
            <v>INDIA BOOK HOUSE PVT. LTD</v>
          </cell>
          <cell r="C1632" t="str">
            <v>LSCRED</v>
          </cell>
          <cell r="D1632">
            <v>3500</v>
          </cell>
          <cell r="E1632">
            <v>3500</v>
          </cell>
          <cell r="F1632">
            <v>0</v>
          </cell>
        </row>
        <row r="1633">
          <cell r="A1633" t="str">
            <v>GINHO</v>
          </cell>
          <cell r="B1633" t="str">
            <v>INDIA HOME</v>
          </cell>
          <cell r="C1633" t="str">
            <v>LSCRED</v>
          </cell>
          <cell r="D1633">
            <v>7001</v>
          </cell>
          <cell r="E1633">
            <v>7001</v>
          </cell>
          <cell r="F1633">
            <v>0</v>
          </cell>
        </row>
        <row r="1634">
          <cell r="A1634" t="str">
            <v>GINSC</v>
          </cell>
          <cell r="B1634" t="str">
            <v>INDIA SUPER COMPANY</v>
          </cell>
          <cell r="C1634" t="str">
            <v>LSCRED</v>
          </cell>
          <cell r="D1634">
            <v>149292</v>
          </cell>
          <cell r="E1634">
            <v>149292</v>
          </cell>
          <cell r="F1634">
            <v>0</v>
          </cell>
        </row>
        <row r="1635">
          <cell r="A1635" t="str">
            <v>GOTPL</v>
          </cell>
          <cell r="B1635" t="str">
            <v>INDIABULLS INSURANCE ADVISORS PVT. LTD.</v>
          </cell>
          <cell r="C1635" t="str">
            <v>LSCRED</v>
          </cell>
          <cell r="D1635">
            <v>348150</v>
          </cell>
          <cell r="E1635">
            <v>348150</v>
          </cell>
          <cell r="F1635">
            <v>0</v>
          </cell>
        </row>
        <row r="1636">
          <cell r="A1636" t="str">
            <v>GITEC</v>
          </cell>
          <cell r="B1636" t="str">
            <v>INFONET TECNOLOGIES</v>
          </cell>
          <cell r="C1636" t="str">
            <v>LSCRED</v>
          </cell>
          <cell r="D1636">
            <v>6061</v>
          </cell>
          <cell r="E1636">
            <v>6061</v>
          </cell>
          <cell r="F1636">
            <v>0</v>
          </cell>
        </row>
        <row r="1637">
          <cell r="A1637" t="str">
            <v>GIQBA</v>
          </cell>
          <cell r="B1637" t="str">
            <v>IQBAL CHAND MALHOTRA</v>
          </cell>
          <cell r="C1637" t="str">
            <v>LSCRED</v>
          </cell>
          <cell r="D1637">
            <v>65784</v>
          </cell>
          <cell r="E1637">
            <v>65784</v>
          </cell>
          <cell r="F1637">
            <v>0</v>
          </cell>
        </row>
        <row r="1638">
          <cell r="A1638" t="str">
            <v>GISKA</v>
          </cell>
          <cell r="B1638" t="str">
            <v>ISH KAPOOR</v>
          </cell>
          <cell r="C1638" t="str">
            <v>LSCRED</v>
          </cell>
          <cell r="D1638">
            <v>17901</v>
          </cell>
          <cell r="E1638">
            <v>17901</v>
          </cell>
          <cell r="F1638">
            <v>0</v>
          </cell>
        </row>
        <row r="1639">
          <cell r="A1639" t="str">
            <v>GISHK</v>
          </cell>
          <cell r="B1639" t="str">
            <v>ISH KUMAR ARYA</v>
          </cell>
          <cell r="C1639" t="str">
            <v>LSCRED</v>
          </cell>
          <cell r="D1639">
            <v>26375</v>
          </cell>
          <cell r="E1639">
            <v>26375</v>
          </cell>
          <cell r="F1639">
            <v>0</v>
          </cell>
        </row>
        <row r="1640">
          <cell r="A1640" t="str">
            <v>GISHA</v>
          </cell>
          <cell r="B1640" t="str">
            <v>ISHA KALRA</v>
          </cell>
          <cell r="C1640" t="str">
            <v>LSCRED</v>
          </cell>
          <cell r="D1640">
            <v>93445</v>
          </cell>
          <cell r="E1640">
            <v>93445</v>
          </cell>
          <cell r="F1640">
            <v>0</v>
          </cell>
        </row>
        <row r="1641">
          <cell r="A1641" t="str">
            <v>GISHW</v>
          </cell>
          <cell r="B1641" t="str">
            <v>ISHWAR DASS</v>
          </cell>
          <cell r="C1641" t="str">
            <v>LSCRED</v>
          </cell>
          <cell r="D1641">
            <v>48474</v>
          </cell>
          <cell r="E1641">
            <v>48474</v>
          </cell>
          <cell r="F1641">
            <v>0</v>
          </cell>
        </row>
        <row r="1642">
          <cell r="A1642" t="str">
            <v>GJANAN</v>
          </cell>
          <cell r="B1642" t="str">
            <v>J ANANDAN</v>
          </cell>
          <cell r="C1642" t="str">
            <v>LSCRED</v>
          </cell>
          <cell r="D1642">
            <v>80551</v>
          </cell>
          <cell r="E1642">
            <v>80551</v>
          </cell>
          <cell r="F1642">
            <v>0</v>
          </cell>
        </row>
        <row r="1643">
          <cell r="A1643" t="str">
            <v>GJJAU</v>
          </cell>
          <cell r="B1643" t="str">
            <v>J. J. AUTOMOTIVE LTD.</v>
          </cell>
          <cell r="C1643" t="str">
            <v>LSCRED</v>
          </cell>
          <cell r="D1643">
            <v>4000</v>
          </cell>
          <cell r="E1643">
            <v>4000</v>
          </cell>
          <cell r="F1643">
            <v>0</v>
          </cell>
        </row>
        <row r="1644">
          <cell r="A1644" t="str">
            <v>GJKSH</v>
          </cell>
          <cell r="B1644" t="str">
            <v>J.K. SHARMA</v>
          </cell>
          <cell r="C1644" t="str">
            <v>LSCRED</v>
          </cell>
          <cell r="D1644">
            <v>58270</v>
          </cell>
          <cell r="E1644">
            <v>58270</v>
          </cell>
          <cell r="F1644">
            <v>0</v>
          </cell>
        </row>
        <row r="1645">
          <cell r="A1645" t="str">
            <v>GJSAR</v>
          </cell>
          <cell r="B1645" t="str">
            <v>J.S.ARORA AND SONS (HUF)</v>
          </cell>
          <cell r="C1645" t="str">
            <v>LSCRED</v>
          </cell>
          <cell r="D1645">
            <v>105538</v>
          </cell>
          <cell r="E1645">
            <v>105538</v>
          </cell>
          <cell r="F1645">
            <v>0</v>
          </cell>
        </row>
        <row r="1646">
          <cell r="A1646" t="str">
            <v>GJADE</v>
          </cell>
          <cell r="B1646" t="str">
            <v>JADE ARCADE OWNERS ASSOCIATION</v>
          </cell>
          <cell r="C1646" t="str">
            <v>LSCRED</v>
          </cell>
          <cell r="D1646">
            <v>32403</v>
          </cell>
          <cell r="E1646">
            <v>32403</v>
          </cell>
          <cell r="F1646">
            <v>0</v>
          </cell>
        </row>
        <row r="1647">
          <cell r="A1647" t="str">
            <v>GJAGB</v>
          </cell>
          <cell r="B1647" t="str">
            <v>JAG BHUSHAN SANEJA</v>
          </cell>
          <cell r="C1647" t="str">
            <v>LSCRED</v>
          </cell>
          <cell r="D1647">
            <v>31671</v>
          </cell>
          <cell r="E1647">
            <v>31671</v>
          </cell>
          <cell r="F1647">
            <v>0</v>
          </cell>
        </row>
        <row r="1648">
          <cell r="A1648" t="str">
            <v>GJAGC</v>
          </cell>
          <cell r="B1648" t="str">
            <v>JAGDISH CHANDRA SAHA</v>
          </cell>
          <cell r="C1648" t="str">
            <v>LSCRED</v>
          </cell>
          <cell r="D1648">
            <v>168304</v>
          </cell>
          <cell r="E1648">
            <v>168304</v>
          </cell>
          <cell r="F1648">
            <v>0</v>
          </cell>
        </row>
        <row r="1649">
          <cell r="A1649" t="str">
            <v>GJAGI</v>
          </cell>
          <cell r="B1649" t="str">
            <v>JAGDISH PRASAD NAWARIYA</v>
          </cell>
          <cell r="C1649" t="str">
            <v>LSCRED</v>
          </cell>
          <cell r="D1649">
            <v>1500</v>
          </cell>
          <cell r="E1649">
            <v>1500</v>
          </cell>
          <cell r="F1649">
            <v>0</v>
          </cell>
        </row>
        <row r="1650">
          <cell r="A1650" t="str">
            <v>GJASI</v>
          </cell>
          <cell r="B1650" t="str">
            <v>JAGDISHSINGH AMRUTSINGH BINDRA</v>
          </cell>
          <cell r="C1650" t="str">
            <v>LSCRED</v>
          </cell>
          <cell r="D1650">
            <v>32136</v>
          </cell>
          <cell r="E1650">
            <v>32136</v>
          </cell>
          <cell r="F1650">
            <v>0</v>
          </cell>
        </row>
        <row r="1651">
          <cell r="A1651" t="str">
            <v>GJAGJ</v>
          </cell>
          <cell r="B1651" t="str">
            <v>JAGJIT SINGH BANGA</v>
          </cell>
          <cell r="C1651" t="str">
            <v>LSCRED</v>
          </cell>
          <cell r="D1651">
            <v>23535</v>
          </cell>
          <cell r="E1651">
            <v>23535</v>
          </cell>
          <cell r="F1651">
            <v>0</v>
          </cell>
        </row>
        <row r="1652">
          <cell r="A1652" t="str">
            <v>GJAGT</v>
          </cell>
          <cell r="B1652" t="str">
            <v>JAGTESHWAR SINGH HUF</v>
          </cell>
          <cell r="C1652" t="str">
            <v>LSCRED</v>
          </cell>
          <cell r="D1652">
            <v>20660</v>
          </cell>
          <cell r="E1652">
            <v>20660</v>
          </cell>
          <cell r="F1652">
            <v>0</v>
          </cell>
        </row>
        <row r="1653">
          <cell r="A1653" t="str">
            <v>GJAIKR</v>
          </cell>
          <cell r="B1653" t="str">
            <v>JAI KUMAR SHARMA</v>
          </cell>
          <cell r="C1653" t="str">
            <v>LSCRED</v>
          </cell>
          <cell r="D1653">
            <v>43898</v>
          </cell>
          <cell r="E1653">
            <v>43898</v>
          </cell>
          <cell r="F1653">
            <v>0</v>
          </cell>
        </row>
        <row r="1654">
          <cell r="A1654" t="str">
            <v>GJAIB</v>
          </cell>
          <cell r="B1654" t="str">
            <v>JAIBIR SINGH</v>
          </cell>
          <cell r="C1654" t="str">
            <v>LSCRED</v>
          </cell>
          <cell r="D1654">
            <v>38250</v>
          </cell>
          <cell r="E1654">
            <v>38250</v>
          </cell>
          <cell r="F1654">
            <v>0</v>
          </cell>
        </row>
        <row r="1655">
          <cell r="A1655" t="str">
            <v>GJASB</v>
          </cell>
          <cell r="B1655" t="str">
            <v>JASBIR SINGH M MAKHIJA (HUF)</v>
          </cell>
          <cell r="C1655" t="str">
            <v>LSCRED</v>
          </cell>
          <cell r="D1655">
            <v>62956</v>
          </cell>
          <cell r="E1655">
            <v>62956</v>
          </cell>
          <cell r="F1655">
            <v>0</v>
          </cell>
        </row>
        <row r="1656">
          <cell r="A1656" t="str">
            <v>GJAMM</v>
          </cell>
          <cell r="B1656" t="str">
            <v>JASBIRSINGH M MAKHIJA</v>
          </cell>
          <cell r="C1656" t="str">
            <v>LSCRED</v>
          </cell>
          <cell r="D1656">
            <v>30192</v>
          </cell>
          <cell r="E1656">
            <v>30192</v>
          </cell>
          <cell r="F1656">
            <v>0</v>
          </cell>
        </row>
        <row r="1657">
          <cell r="A1657" t="str">
            <v>GJATI</v>
          </cell>
          <cell r="B1657" t="str">
            <v>JATINDER PAL SINGH SEKHON</v>
          </cell>
          <cell r="C1657" t="str">
            <v>LSCRED</v>
          </cell>
          <cell r="D1657">
            <v>10350</v>
          </cell>
          <cell r="E1657">
            <v>10350</v>
          </cell>
          <cell r="F1657">
            <v>0</v>
          </cell>
        </row>
        <row r="1658">
          <cell r="A1658" t="str">
            <v>GJAYA</v>
          </cell>
          <cell r="B1658" t="str">
            <v>JAYANT LUNAWAT BUILDERS &amp; DEVELOPERS P. LTD.</v>
          </cell>
          <cell r="C1658" t="str">
            <v>LSCRED</v>
          </cell>
          <cell r="D1658">
            <v>75200</v>
          </cell>
          <cell r="E1658">
            <v>75200</v>
          </cell>
          <cell r="F1658">
            <v>0</v>
          </cell>
        </row>
        <row r="1659">
          <cell r="A1659" t="str">
            <v>GJYSH</v>
          </cell>
          <cell r="B1659" t="str">
            <v>JAYSHREE GIRISHCHANDRA PATEL</v>
          </cell>
          <cell r="C1659" t="str">
            <v>LSCRED</v>
          </cell>
          <cell r="D1659">
            <v>60480</v>
          </cell>
          <cell r="E1659">
            <v>60480</v>
          </cell>
          <cell r="F1659">
            <v>0</v>
          </cell>
        </row>
        <row r="1660">
          <cell r="A1660" t="str">
            <v>GJASH</v>
          </cell>
          <cell r="B1660" t="str">
            <v>JAYSUKHLAL SHAH &amp; SONS</v>
          </cell>
          <cell r="C1660" t="str">
            <v>LSCRED</v>
          </cell>
          <cell r="D1660">
            <v>2805</v>
          </cell>
          <cell r="E1660">
            <v>2805</v>
          </cell>
          <cell r="F1660">
            <v>0</v>
          </cell>
        </row>
        <row r="1661">
          <cell r="A1661" t="str">
            <v>GJHANW</v>
          </cell>
          <cell r="B1661" t="str">
            <v>JHANWAR PLASTIC INDUSTRIES</v>
          </cell>
          <cell r="C1661" t="str">
            <v>LSCRED</v>
          </cell>
          <cell r="D1661">
            <v>45271</v>
          </cell>
          <cell r="E1661">
            <v>45271</v>
          </cell>
          <cell r="F1661">
            <v>0</v>
          </cell>
        </row>
        <row r="1662">
          <cell r="A1662" t="str">
            <v>GJIGN</v>
          </cell>
          <cell r="B1662" t="str">
            <v>JIGNESH DESAI</v>
          </cell>
          <cell r="C1662" t="str">
            <v>LSCRED</v>
          </cell>
          <cell r="D1662">
            <v>6786</v>
          </cell>
          <cell r="E1662">
            <v>6786</v>
          </cell>
          <cell r="F1662">
            <v>0</v>
          </cell>
        </row>
        <row r="1663">
          <cell r="A1663" t="str">
            <v>GJITB</v>
          </cell>
          <cell r="B1663" t="str">
            <v>JITENDRA BAHADUR SINGH</v>
          </cell>
          <cell r="C1663" t="str">
            <v>LSCRED</v>
          </cell>
          <cell r="D1663">
            <v>21732</v>
          </cell>
          <cell r="E1663">
            <v>21732</v>
          </cell>
          <cell r="F1663">
            <v>0</v>
          </cell>
        </row>
        <row r="1664">
          <cell r="A1664" t="str">
            <v>GJITS</v>
          </cell>
          <cell r="B1664" t="str">
            <v>JITENDRA S. MEHTA (HUF)</v>
          </cell>
          <cell r="C1664" t="str">
            <v>LSCRED</v>
          </cell>
          <cell r="D1664">
            <v>19619</v>
          </cell>
          <cell r="E1664">
            <v>19619</v>
          </cell>
          <cell r="F1664">
            <v>0</v>
          </cell>
        </row>
        <row r="1665">
          <cell r="A1665" t="str">
            <v>GJOGI</v>
          </cell>
          <cell r="B1665" t="str">
            <v>JOGINDER S CHHABRA</v>
          </cell>
          <cell r="C1665" t="str">
            <v>LSCRED</v>
          </cell>
          <cell r="D1665">
            <v>28193</v>
          </cell>
          <cell r="E1665">
            <v>28193</v>
          </cell>
          <cell r="F1665">
            <v>0</v>
          </cell>
        </row>
        <row r="1666">
          <cell r="A1666" t="str">
            <v>GJYAT</v>
          </cell>
          <cell r="B1666" t="str">
            <v>JOYTOSH DEBBARMA</v>
          </cell>
          <cell r="C1666" t="str">
            <v>LSCRED</v>
          </cell>
          <cell r="D1666">
            <v>20433</v>
          </cell>
          <cell r="E1666">
            <v>20433</v>
          </cell>
          <cell r="F1666">
            <v>0</v>
          </cell>
        </row>
        <row r="1667">
          <cell r="A1667" t="str">
            <v>GJMBR</v>
          </cell>
          <cell r="B1667" t="str">
            <v>JUPUDI MADHU BABU</v>
          </cell>
          <cell r="C1667" t="str">
            <v>LSCRED</v>
          </cell>
          <cell r="D1667">
            <v>12339</v>
          </cell>
          <cell r="E1667">
            <v>12339</v>
          </cell>
          <cell r="F1667">
            <v>0</v>
          </cell>
        </row>
        <row r="1668">
          <cell r="A1668" t="str">
            <v>GJYDA</v>
          </cell>
          <cell r="B1668" t="str">
            <v>JYOTI DAWAR</v>
          </cell>
          <cell r="C1668" t="str">
            <v>LSCRED</v>
          </cell>
          <cell r="D1668">
            <v>48681</v>
          </cell>
          <cell r="E1668">
            <v>48681</v>
          </cell>
          <cell r="F1668">
            <v>0</v>
          </cell>
        </row>
        <row r="1669">
          <cell r="A1669" t="str">
            <v>GJYSE</v>
          </cell>
          <cell r="B1669" t="str">
            <v>JYOTI SETHI</v>
          </cell>
          <cell r="C1669" t="str">
            <v>LSCRED</v>
          </cell>
          <cell r="D1669">
            <v>27581</v>
          </cell>
          <cell r="E1669">
            <v>27581</v>
          </cell>
          <cell r="F1669">
            <v>0</v>
          </cell>
        </row>
        <row r="1670">
          <cell r="A1670" t="str">
            <v>GKANA</v>
          </cell>
          <cell r="B1670" t="str">
            <v>K A NANKANI</v>
          </cell>
          <cell r="C1670" t="str">
            <v>LSCRED</v>
          </cell>
          <cell r="D1670">
            <v>62215</v>
          </cell>
          <cell r="E1670">
            <v>62215</v>
          </cell>
          <cell r="F1670">
            <v>0</v>
          </cell>
        </row>
        <row r="1671">
          <cell r="A1671" t="str">
            <v>GKGCA</v>
          </cell>
          <cell r="B1671" t="str">
            <v>K G CARRIERS PRIVATE LIMITED</v>
          </cell>
          <cell r="C1671" t="str">
            <v>LSCRED</v>
          </cell>
          <cell r="D1671">
            <v>366493</v>
          </cell>
          <cell r="E1671">
            <v>366493</v>
          </cell>
          <cell r="F1671">
            <v>0</v>
          </cell>
        </row>
        <row r="1672">
          <cell r="A1672" t="str">
            <v>GKLAK</v>
          </cell>
          <cell r="B1672" t="str">
            <v>K LAKSHIMIKANTHAM</v>
          </cell>
          <cell r="C1672" t="str">
            <v>LSCRED</v>
          </cell>
          <cell r="D1672">
            <v>2145</v>
          </cell>
          <cell r="E1672">
            <v>2145</v>
          </cell>
          <cell r="F1672">
            <v>0</v>
          </cell>
        </row>
        <row r="1673">
          <cell r="A1673" t="str">
            <v>GKREN</v>
          </cell>
          <cell r="B1673" t="str">
            <v>K R ENTERPRISES</v>
          </cell>
          <cell r="C1673" t="str">
            <v>LSCRED</v>
          </cell>
          <cell r="D1673">
            <v>50368</v>
          </cell>
          <cell r="E1673">
            <v>50368</v>
          </cell>
          <cell r="F1673">
            <v>0</v>
          </cell>
        </row>
        <row r="1674">
          <cell r="A1674" t="str">
            <v>GKRRA</v>
          </cell>
          <cell r="B1674" t="str">
            <v>K R RAVI</v>
          </cell>
          <cell r="C1674" t="str">
            <v>LSCRED</v>
          </cell>
          <cell r="D1674">
            <v>16800</v>
          </cell>
          <cell r="E1674">
            <v>16800</v>
          </cell>
          <cell r="F1674">
            <v>0</v>
          </cell>
        </row>
        <row r="1675">
          <cell r="A1675" t="str">
            <v>GKRAVI</v>
          </cell>
          <cell r="B1675" t="str">
            <v>K RAVI KUMAR REDDY</v>
          </cell>
          <cell r="C1675" t="str">
            <v>LSCRED</v>
          </cell>
          <cell r="D1675">
            <v>82620</v>
          </cell>
          <cell r="E1675">
            <v>82620</v>
          </cell>
          <cell r="F1675">
            <v>0</v>
          </cell>
        </row>
        <row r="1676">
          <cell r="A1676" t="str">
            <v>GKANN</v>
          </cell>
          <cell r="B1676" t="str">
            <v>K. ANNAPOORNA</v>
          </cell>
          <cell r="C1676" t="str">
            <v>LSCRED</v>
          </cell>
          <cell r="D1676">
            <v>71023</v>
          </cell>
          <cell r="E1676">
            <v>71023</v>
          </cell>
          <cell r="F1676">
            <v>0</v>
          </cell>
        </row>
        <row r="1677">
          <cell r="A1677" t="str">
            <v>GKGMU</v>
          </cell>
          <cell r="B1677" t="str">
            <v>K. G. MUTHUKUMAR</v>
          </cell>
          <cell r="C1677" t="str">
            <v>LSCRED</v>
          </cell>
          <cell r="D1677">
            <v>337</v>
          </cell>
          <cell r="E1677">
            <v>337</v>
          </cell>
          <cell r="F1677">
            <v>0</v>
          </cell>
        </row>
        <row r="1678">
          <cell r="A1678" t="str">
            <v>GKVPR</v>
          </cell>
          <cell r="B1678" t="str">
            <v>K. V. PRASANNA</v>
          </cell>
          <cell r="C1678" t="str">
            <v>LSCRED</v>
          </cell>
          <cell r="D1678">
            <v>1451</v>
          </cell>
          <cell r="E1678">
            <v>1451</v>
          </cell>
          <cell r="F1678">
            <v>0</v>
          </cell>
        </row>
        <row r="1679">
          <cell r="A1679" t="str">
            <v>GKADS</v>
          </cell>
          <cell r="B1679" t="str">
            <v>KADAMBARI SHARMA</v>
          </cell>
          <cell r="C1679" t="str">
            <v>LSCRED</v>
          </cell>
          <cell r="D1679">
            <v>34428</v>
          </cell>
          <cell r="E1679">
            <v>34428</v>
          </cell>
          <cell r="F1679">
            <v>0</v>
          </cell>
        </row>
        <row r="1680">
          <cell r="A1680" t="str">
            <v>GKAIG</v>
          </cell>
          <cell r="B1680" t="str">
            <v>KAILASH GIRI</v>
          </cell>
          <cell r="C1680" t="str">
            <v>LSCRED</v>
          </cell>
          <cell r="D1680">
            <v>421</v>
          </cell>
          <cell r="E1680">
            <v>421</v>
          </cell>
          <cell r="F1680">
            <v>0</v>
          </cell>
        </row>
        <row r="1681">
          <cell r="A1681" t="str">
            <v>GKAIK</v>
          </cell>
          <cell r="B1681" t="str">
            <v>KAILASH KHANNA</v>
          </cell>
          <cell r="C1681" t="str">
            <v>LSCRED</v>
          </cell>
          <cell r="D1681">
            <v>30638</v>
          </cell>
          <cell r="E1681">
            <v>30638</v>
          </cell>
          <cell r="F1681">
            <v>0</v>
          </cell>
        </row>
        <row r="1682">
          <cell r="A1682" t="str">
            <v>GKAJA</v>
          </cell>
          <cell r="B1682" t="str">
            <v>KAJAL ARTWANI &amp; SANJAY ARTWANI</v>
          </cell>
          <cell r="C1682" t="str">
            <v>LSCRED</v>
          </cell>
          <cell r="D1682">
            <v>4626</v>
          </cell>
          <cell r="E1682">
            <v>4626</v>
          </cell>
          <cell r="F1682">
            <v>0</v>
          </cell>
        </row>
        <row r="1683">
          <cell r="A1683" t="str">
            <v>GKAAG</v>
          </cell>
          <cell r="B1683" t="str">
            <v>KALPANA AGARWAL</v>
          </cell>
          <cell r="C1683" t="str">
            <v>LSCRED</v>
          </cell>
          <cell r="D1683">
            <v>75735</v>
          </cell>
          <cell r="E1683">
            <v>75735</v>
          </cell>
          <cell r="F1683">
            <v>0</v>
          </cell>
        </row>
        <row r="1684">
          <cell r="A1684" t="str">
            <v>GKAHE</v>
          </cell>
          <cell r="B1684" t="str">
            <v>KALPANA HEMENDRA SHAH</v>
          </cell>
          <cell r="C1684" t="str">
            <v>LSCRED</v>
          </cell>
          <cell r="D1684">
            <v>19619</v>
          </cell>
          <cell r="E1684">
            <v>19619</v>
          </cell>
          <cell r="F1684">
            <v>0</v>
          </cell>
        </row>
        <row r="1685">
          <cell r="A1685" t="str">
            <v>GKALM</v>
          </cell>
          <cell r="B1685" t="str">
            <v>KALPANA MEHENDRA SHAH</v>
          </cell>
          <cell r="C1685" t="str">
            <v>LSCRED</v>
          </cell>
          <cell r="D1685">
            <v>25267</v>
          </cell>
          <cell r="E1685">
            <v>25267</v>
          </cell>
          <cell r="F1685">
            <v>0</v>
          </cell>
        </row>
        <row r="1686">
          <cell r="A1686" t="str">
            <v>GKALV</v>
          </cell>
          <cell r="B1686" t="str">
            <v>KALPANA NARAYAN VEDPATHAK</v>
          </cell>
          <cell r="C1686" t="str">
            <v>LSCRED</v>
          </cell>
          <cell r="D1686">
            <v>26406</v>
          </cell>
          <cell r="E1686">
            <v>26406</v>
          </cell>
          <cell r="F1686">
            <v>0</v>
          </cell>
        </row>
        <row r="1687">
          <cell r="A1687" t="str">
            <v>GKLWA</v>
          </cell>
          <cell r="B1687" t="str">
            <v>KALYANA LAKSHMI WELFARE ASSOCIATION</v>
          </cell>
          <cell r="C1687" t="str">
            <v>LSCRED</v>
          </cell>
          <cell r="D1687">
            <v>20090</v>
          </cell>
          <cell r="E1687">
            <v>20090</v>
          </cell>
          <cell r="F1687">
            <v>0</v>
          </cell>
        </row>
        <row r="1688">
          <cell r="A1688" t="str">
            <v>GKABA</v>
          </cell>
          <cell r="B1688" t="str">
            <v>KAMAL BABBAR</v>
          </cell>
          <cell r="C1688" t="str">
            <v>LSCRED</v>
          </cell>
          <cell r="D1688">
            <v>105481</v>
          </cell>
          <cell r="E1688">
            <v>105481</v>
          </cell>
          <cell r="F1688">
            <v>0</v>
          </cell>
        </row>
        <row r="1689">
          <cell r="A1689" t="str">
            <v>GKAMAA</v>
          </cell>
          <cell r="B1689" t="str">
            <v>KAMAL KUMAR AGARWAL (HUF)</v>
          </cell>
          <cell r="C1689" t="str">
            <v>LSCRED</v>
          </cell>
          <cell r="D1689">
            <v>48000</v>
          </cell>
          <cell r="E1689">
            <v>48000</v>
          </cell>
          <cell r="F1689">
            <v>0</v>
          </cell>
        </row>
        <row r="1690">
          <cell r="A1690" t="str">
            <v>GKAME</v>
          </cell>
          <cell r="B1690" t="str">
            <v>KAMESHWER KAPOOR</v>
          </cell>
          <cell r="C1690" t="str">
            <v>LSCRED</v>
          </cell>
          <cell r="D1690">
            <v>29139</v>
          </cell>
          <cell r="E1690">
            <v>29139</v>
          </cell>
          <cell r="F1690">
            <v>0</v>
          </cell>
        </row>
        <row r="1691">
          <cell r="A1691" t="str">
            <v>GKAML</v>
          </cell>
          <cell r="B1691" t="str">
            <v>KAMLA</v>
          </cell>
          <cell r="C1691" t="str">
            <v>LSCRED</v>
          </cell>
          <cell r="D1691">
            <v>18800</v>
          </cell>
          <cell r="E1691">
            <v>18800</v>
          </cell>
          <cell r="F1691">
            <v>0</v>
          </cell>
        </row>
        <row r="1692">
          <cell r="A1692" t="str">
            <v>GKAMI</v>
          </cell>
          <cell r="B1692" t="str">
            <v>KAMLESH KUMAR MISHRA</v>
          </cell>
          <cell r="C1692" t="str">
            <v>LSCRED</v>
          </cell>
          <cell r="D1692">
            <v>2448</v>
          </cell>
          <cell r="E1692">
            <v>2448</v>
          </cell>
          <cell r="F1692">
            <v>0</v>
          </cell>
        </row>
        <row r="1693">
          <cell r="A1693" t="str">
            <v>GKAMV</v>
          </cell>
          <cell r="B1693" t="str">
            <v>KAMLESH VERMA</v>
          </cell>
          <cell r="C1693" t="str">
            <v>LSCRED</v>
          </cell>
          <cell r="D1693">
            <v>23409</v>
          </cell>
          <cell r="E1693">
            <v>23409</v>
          </cell>
          <cell r="F1693">
            <v>0</v>
          </cell>
        </row>
        <row r="1694">
          <cell r="A1694" t="str">
            <v>GKANV</v>
          </cell>
          <cell r="B1694" t="str">
            <v>KANAV MOTORS</v>
          </cell>
          <cell r="C1694" t="str">
            <v>LSCRED</v>
          </cell>
          <cell r="D1694">
            <v>1100</v>
          </cell>
          <cell r="E1694">
            <v>1100</v>
          </cell>
          <cell r="F1694">
            <v>0</v>
          </cell>
        </row>
        <row r="1695">
          <cell r="A1695" t="str">
            <v>GKANI</v>
          </cell>
          <cell r="B1695" t="str">
            <v>KANIKA AGARWAL</v>
          </cell>
          <cell r="C1695" t="str">
            <v>LSCRED</v>
          </cell>
          <cell r="D1695">
            <v>87191</v>
          </cell>
          <cell r="E1695">
            <v>87191</v>
          </cell>
          <cell r="F1695">
            <v>0</v>
          </cell>
        </row>
        <row r="1696">
          <cell r="A1696" t="str">
            <v>GKARA</v>
          </cell>
          <cell r="B1696" t="str">
            <v>KANTA RANI NARANG</v>
          </cell>
          <cell r="C1696" t="str">
            <v>LSCRED</v>
          </cell>
          <cell r="D1696">
            <v>87403</v>
          </cell>
          <cell r="E1696">
            <v>87403</v>
          </cell>
          <cell r="F1696">
            <v>0</v>
          </cell>
        </row>
        <row r="1697">
          <cell r="A1697" t="str">
            <v>GKAPI</v>
          </cell>
          <cell r="B1697" t="str">
            <v>KAPIL SINGHAL</v>
          </cell>
          <cell r="C1697" t="str">
            <v>LSCRED</v>
          </cell>
          <cell r="D1697">
            <v>45110</v>
          </cell>
          <cell r="E1697">
            <v>45110</v>
          </cell>
          <cell r="F1697">
            <v>0</v>
          </cell>
        </row>
        <row r="1698">
          <cell r="A1698" t="str">
            <v>GKF01</v>
          </cell>
          <cell r="B1698" t="str">
            <v>KAUSHIK FURNITURES</v>
          </cell>
          <cell r="C1698" t="str">
            <v>LSCRED</v>
          </cell>
          <cell r="D1698">
            <v>8100</v>
          </cell>
          <cell r="E1698">
            <v>8100</v>
          </cell>
          <cell r="F1698">
            <v>0</v>
          </cell>
        </row>
        <row r="1699">
          <cell r="A1699" t="str">
            <v>GKAWA</v>
          </cell>
          <cell r="B1699" t="str">
            <v>KAWAL PREET SINGH MAKIN</v>
          </cell>
          <cell r="C1699" t="str">
            <v>LSCRED</v>
          </cell>
          <cell r="D1699">
            <v>2048</v>
          </cell>
          <cell r="E1699">
            <v>2048</v>
          </cell>
          <cell r="F1699">
            <v>0</v>
          </cell>
        </row>
        <row r="1700">
          <cell r="A1700" t="str">
            <v>GKAYK</v>
          </cell>
          <cell r="B1700" t="str">
            <v>KAY KAY FOODS LTD</v>
          </cell>
          <cell r="C1700" t="str">
            <v>LSCRED</v>
          </cell>
          <cell r="D1700">
            <v>43345</v>
          </cell>
          <cell r="E1700">
            <v>43345</v>
          </cell>
          <cell r="F1700">
            <v>0</v>
          </cell>
        </row>
        <row r="1701">
          <cell r="A1701" t="str">
            <v>GKAYP</v>
          </cell>
          <cell r="B1701" t="str">
            <v>KAYPEE MECHANICAL INDIA PVT. LTD.</v>
          </cell>
          <cell r="C1701" t="str">
            <v>LSCRED</v>
          </cell>
          <cell r="D1701">
            <v>38370</v>
          </cell>
          <cell r="E1701">
            <v>38370</v>
          </cell>
          <cell r="F1701">
            <v>0</v>
          </cell>
        </row>
        <row r="1702">
          <cell r="A1702" t="str">
            <v>GKEDA</v>
          </cell>
          <cell r="B1702" t="str">
            <v>KEDAR MAL PALSANIA</v>
          </cell>
          <cell r="C1702" t="str">
            <v>LSCRED</v>
          </cell>
          <cell r="D1702">
            <v>120126</v>
          </cell>
          <cell r="E1702">
            <v>120126</v>
          </cell>
          <cell r="F1702">
            <v>0</v>
          </cell>
        </row>
        <row r="1703">
          <cell r="A1703" t="str">
            <v>GKEPR</v>
          </cell>
          <cell r="B1703" t="str">
            <v>KEDAR PRASAD MAHAWAR</v>
          </cell>
          <cell r="C1703" t="str">
            <v>LSCRED</v>
          </cell>
          <cell r="D1703">
            <v>24480</v>
          </cell>
          <cell r="E1703">
            <v>24480</v>
          </cell>
          <cell r="F1703">
            <v>0</v>
          </cell>
        </row>
        <row r="1704">
          <cell r="A1704" t="str">
            <v>GKEKR</v>
          </cell>
          <cell r="B1704" t="str">
            <v>KEWAL KRISHAN NARANG</v>
          </cell>
          <cell r="C1704" t="str">
            <v>LSCRED</v>
          </cell>
          <cell r="D1704">
            <v>87403</v>
          </cell>
          <cell r="E1704">
            <v>87403</v>
          </cell>
          <cell r="F1704">
            <v>0</v>
          </cell>
        </row>
        <row r="1705">
          <cell r="A1705" t="str">
            <v>GKGKI</v>
          </cell>
          <cell r="B1705" t="str">
            <v>KGK INNOVATIVE PVT. LTD.</v>
          </cell>
          <cell r="C1705" t="str">
            <v>LSCRED</v>
          </cell>
          <cell r="D1705">
            <v>104241</v>
          </cell>
          <cell r="E1705">
            <v>104241</v>
          </cell>
          <cell r="F1705">
            <v>0</v>
          </cell>
        </row>
        <row r="1706">
          <cell r="A1706" t="str">
            <v>GKHAL</v>
          </cell>
          <cell r="B1706" t="str">
            <v>KHALEELULLAH KHAN &amp; HASHMATH KHALEEL</v>
          </cell>
          <cell r="C1706" t="str">
            <v>LSCRED</v>
          </cell>
          <cell r="D1706">
            <v>227181</v>
          </cell>
          <cell r="E1706">
            <v>227181</v>
          </cell>
          <cell r="F1706">
            <v>0</v>
          </cell>
        </row>
        <row r="1707">
          <cell r="A1707" t="str">
            <v>GKHER</v>
          </cell>
          <cell r="B1707" t="str">
            <v>KHEROON SHABBIR</v>
          </cell>
          <cell r="C1707" t="str">
            <v>LSCRED</v>
          </cell>
          <cell r="D1707">
            <v>41575</v>
          </cell>
          <cell r="E1707">
            <v>41575</v>
          </cell>
          <cell r="F1707">
            <v>0</v>
          </cell>
        </row>
        <row r="1708">
          <cell r="A1708" t="str">
            <v>GKHUS</v>
          </cell>
          <cell r="B1708" t="str">
            <v>KHUSH DAYAL</v>
          </cell>
          <cell r="C1708" t="str">
            <v>LSCRED</v>
          </cell>
          <cell r="D1708">
            <v>36886</v>
          </cell>
          <cell r="E1708">
            <v>36886</v>
          </cell>
          <cell r="F1708">
            <v>0</v>
          </cell>
        </row>
        <row r="1709">
          <cell r="A1709" t="str">
            <v>GKINJ</v>
          </cell>
          <cell r="B1709" t="str">
            <v>KINJAL CORPORATION</v>
          </cell>
          <cell r="C1709" t="str">
            <v>LSCRED</v>
          </cell>
          <cell r="D1709">
            <v>131016</v>
          </cell>
          <cell r="E1709">
            <v>131016</v>
          </cell>
          <cell r="F1709">
            <v>0</v>
          </cell>
        </row>
        <row r="1710">
          <cell r="A1710" t="str">
            <v>GKIRC</v>
          </cell>
          <cell r="B1710" t="str">
            <v>KIRAN COMPUTTERS FORMS</v>
          </cell>
          <cell r="C1710" t="str">
            <v>LSCRED</v>
          </cell>
          <cell r="D1710">
            <v>32890</v>
          </cell>
          <cell r="E1710">
            <v>32890</v>
          </cell>
          <cell r="F1710">
            <v>0</v>
          </cell>
        </row>
        <row r="1711">
          <cell r="A1711" t="str">
            <v>GKIMA</v>
          </cell>
          <cell r="B1711" t="str">
            <v>KIRAN MADAN</v>
          </cell>
          <cell r="C1711" t="str">
            <v>LSCRED</v>
          </cell>
          <cell r="D1711">
            <v>33825</v>
          </cell>
          <cell r="E1711">
            <v>33825</v>
          </cell>
          <cell r="F1711">
            <v>0</v>
          </cell>
        </row>
        <row r="1712">
          <cell r="A1712" t="str">
            <v>GKIRAN</v>
          </cell>
          <cell r="B1712" t="str">
            <v>KIRAN OCHANEY</v>
          </cell>
          <cell r="C1712" t="str">
            <v>LSCRED</v>
          </cell>
          <cell r="D1712">
            <v>165300</v>
          </cell>
          <cell r="E1712">
            <v>165300</v>
          </cell>
          <cell r="F1712">
            <v>0</v>
          </cell>
        </row>
        <row r="1713">
          <cell r="A1713" t="str">
            <v>GKILA</v>
          </cell>
          <cell r="B1713" t="str">
            <v>KIRITBHAI LALJIBHAI TILVA</v>
          </cell>
          <cell r="C1713" t="str">
            <v>LSCRED</v>
          </cell>
          <cell r="D1713">
            <v>227092</v>
          </cell>
          <cell r="E1713">
            <v>227092</v>
          </cell>
          <cell r="F1713">
            <v>0</v>
          </cell>
        </row>
        <row r="1714">
          <cell r="A1714" t="str">
            <v>GKIRP</v>
          </cell>
          <cell r="B1714" t="str">
            <v>KIRPAL SINGH</v>
          </cell>
          <cell r="C1714" t="str">
            <v>LSCRED</v>
          </cell>
          <cell r="D1714">
            <v>29835</v>
          </cell>
          <cell r="E1714">
            <v>29835</v>
          </cell>
          <cell r="F1714">
            <v>0</v>
          </cell>
        </row>
        <row r="1715">
          <cell r="A1715" t="str">
            <v>GKIJA</v>
          </cell>
          <cell r="B1715" t="str">
            <v>KIRTENDRA JAIN</v>
          </cell>
          <cell r="C1715" t="str">
            <v>LSCRED</v>
          </cell>
          <cell r="D1715">
            <v>3647</v>
          </cell>
          <cell r="E1715">
            <v>3647</v>
          </cell>
          <cell r="F1715">
            <v>0</v>
          </cell>
        </row>
        <row r="1716">
          <cell r="A1716" t="str">
            <v>GKIRD</v>
          </cell>
          <cell r="B1716" t="str">
            <v>KIRTI DATTATRAY KELKAR</v>
          </cell>
          <cell r="C1716" t="str">
            <v>LSCRED</v>
          </cell>
          <cell r="D1716">
            <v>68850</v>
          </cell>
          <cell r="E1716">
            <v>68850</v>
          </cell>
          <cell r="F1716">
            <v>0</v>
          </cell>
        </row>
        <row r="1717">
          <cell r="A1717" t="str">
            <v>GKIRS</v>
          </cell>
          <cell r="B1717" t="str">
            <v>KIRTI SHAH &amp; ASSOCIATES</v>
          </cell>
          <cell r="C1717" t="str">
            <v>LSCRED</v>
          </cell>
          <cell r="D1717">
            <v>42743</v>
          </cell>
          <cell r="E1717">
            <v>42743</v>
          </cell>
          <cell r="F1717">
            <v>0</v>
          </cell>
        </row>
        <row r="1718">
          <cell r="A1718" t="str">
            <v>GKISH</v>
          </cell>
          <cell r="B1718" t="str">
            <v>KISHORE NARANG</v>
          </cell>
          <cell r="C1718" t="str">
            <v>LSCRED</v>
          </cell>
          <cell r="D1718">
            <v>111142</v>
          </cell>
          <cell r="E1718">
            <v>111142</v>
          </cell>
          <cell r="F1718">
            <v>0</v>
          </cell>
        </row>
        <row r="1719">
          <cell r="A1719" t="str">
            <v>GKOKI</v>
          </cell>
          <cell r="B1719" t="str">
            <v>KOKILA VINUBHAI THAKKAR</v>
          </cell>
          <cell r="C1719" t="str">
            <v>LSCRED</v>
          </cell>
          <cell r="D1719">
            <v>24932</v>
          </cell>
          <cell r="E1719">
            <v>24932</v>
          </cell>
          <cell r="F1719">
            <v>0</v>
          </cell>
        </row>
        <row r="1720">
          <cell r="A1720" t="str">
            <v>GKOMA</v>
          </cell>
          <cell r="B1720" t="str">
            <v>KOMALBEN RAJESHBHAI CHOKSHI</v>
          </cell>
          <cell r="C1720" t="str">
            <v>LSCRED</v>
          </cell>
          <cell r="D1720">
            <v>17100</v>
          </cell>
          <cell r="E1720">
            <v>17100</v>
          </cell>
          <cell r="F1720">
            <v>0</v>
          </cell>
        </row>
        <row r="1721">
          <cell r="A1721" t="str">
            <v>GKOTT</v>
          </cell>
          <cell r="B1721" t="str">
            <v>KOTTA CHIDAMBARA RAO</v>
          </cell>
          <cell r="C1721" t="str">
            <v>LSCRED</v>
          </cell>
          <cell r="D1721">
            <v>77000</v>
          </cell>
          <cell r="E1721">
            <v>77000</v>
          </cell>
          <cell r="F1721">
            <v>0</v>
          </cell>
        </row>
        <row r="1722">
          <cell r="A1722" t="str">
            <v>GKRBA</v>
          </cell>
          <cell r="B1722" t="str">
            <v>KRISHAN KUMAR BAJAJ</v>
          </cell>
          <cell r="C1722" t="str">
            <v>LSCRED</v>
          </cell>
          <cell r="D1722">
            <v>52958</v>
          </cell>
          <cell r="E1722">
            <v>52958</v>
          </cell>
          <cell r="F1722">
            <v>0</v>
          </cell>
        </row>
        <row r="1723">
          <cell r="A1723" t="str">
            <v>GKRSE</v>
          </cell>
          <cell r="B1723" t="str">
            <v>KRISHAN KUMAR SETHI</v>
          </cell>
          <cell r="C1723" t="str">
            <v>LSCRED</v>
          </cell>
          <cell r="D1723">
            <v>91331</v>
          </cell>
          <cell r="E1723">
            <v>91331</v>
          </cell>
          <cell r="F1723">
            <v>0</v>
          </cell>
        </row>
        <row r="1724">
          <cell r="A1724" t="str">
            <v>GKRISN</v>
          </cell>
          <cell r="B1724" t="str">
            <v>KRISHAN S PATIL</v>
          </cell>
          <cell r="C1724" t="str">
            <v>LSCRED</v>
          </cell>
          <cell r="D1724">
            <v>24423</v>
          </cell>
          <cell r="E1724">
            <v>24423</v>
          </cell>
          <cell r="F1724">
            <v>0</v>
          </cell>
        </row>
        <row r="1725">
          <cell r="A1725" t="str">
            <v>GKRISH</v>
          </cell>
          <cell r="B1725" t="str">
            <v>KRISHNA TOWER OCCUPANTS ASSOCIATION</v>
          </cell>
          <cell r="C1725" t="str">
            <v>LSCRED</v>
          </cell>
          <cell r="D1725">
            <v>13545.36</v>
          </cell>
          <cell r="E1725">
            <v>13545.36</v>
          </cell>
          <cell r="F1725">
            <v>0</v>
          </cell>
        </row>
        <row r="1726">
          <cell r="A1726" t="str">
            <v>GKTCI</v>
          </cell>
          <cell r="B1726" t="str">
            <v>KTC (INDIA) PRIVATE LIMITED</v>
          </cell>
          <cell r="C1726" t="str">
            <v>LSCRED</v>
          </cell>
          <cell r="D1726">
            <v>5959</v>
          </cell>
          <cell r="E1726">
            <v>5959</v>
          </cell>
          <cell r="F1726">
            <v>0</v>
          </cell>
        </row>
        <row r="1727">
          <cell r="A1727" t="str">
            <v>GKULW</v>
          </cell>
          <cell r="B1727" t="str">
            <v>KULWANT BIR SINGH MAKIN</v>
          </cell>
          <cell r="C1727" t="str">
            <v>LSCRED</v>
          </cell>
          <cell r="D1727">
            <v>2048</v>
          </cell>
          <cell r="E1727">
            <v>2048</v>
          </cell>
          <cell r="F1727">
            <v>0</v>
          </cell>
        </row>
        <row r="1728">
          <cell r="A1728" t="str">
            <v>GKUHO</v>
          </cell>
          <cell r="B1728" t="str">
            <v>KUMAR HOUSING</v>
          </cell>
          <cell r="C1728" t="str">
            <v>LSCRED</v>
          </cell>
          <cell r="D1728">
            <v>109712</v>
          </cell>
          <cell r="E1728">
            <v>109712</v>
          </cell>
          <cell r="F1728">
            <v>0</v>
          </cell>
        </row>
        <row r="1729">
          <cell r="A1729" t="str">
            <v>GKUND</v>
          </cell>
          <cell r="B1729" t="str">
            <v>KUNDAN LAL &amp; CO</v>
          </cell>
          <cell r="C1729" t="str">
            <v>LSCRED</v>
          </cell>
          <cell r="D1729">
            <v>551</v>
          </cell>
          <cell r="E1729">
            <v>551</v>
          </cell>
          <cell r="F1729">
            <v>0</v>
          </cell>
        </row>
        <row r="1730">
          <cell r="A1730" t="str">
            <v>GLNNA</v>
          </cell>
          <cell r="B1730" t="str">
            <v>L. N. NAGPAL (HUF)</v>
          </cell>
          <cell r="C1730" t="str">
            <v>LSCRED</v>
          </cell>
          <cell r="D1730">
            <v>64005</v>
          </cell>
          <cell r="E1730">
            <v>64005</v>
          </cell>
          <cell r="F1730">
            <v>0</v>
          </cell>
        </row>
        <row r="1731">
          <cell r="A1731" t="str">
            <v>GLALB</v>
          </cell>
          <cell r="B1731" t="str">
            <v>LALBHAI R SHAH</v>
          </cell>
          <cell r="C1731" t="str">
            <v>LSCRED</v>
          </cell>
          <cell r="D1731">
            <v>180003</v>
          </cell>
          <cell r="E1731">
            <v>180003</v>
          </cell>
          <cell r="F1731">
            <v>0</v>
          </cell>
        </row>
        <row r="1732">
          <cell r="A1732" t="str">
            <v>GLALC</v>
          </cell>
          <cell r="B1732" t="str">
            <v>LALI CHAUDHARY</v>
          </cell>
          <cell r="C1732" t="str">
            <v>LSCRED</v>
          </cell>
          <cell r="D1732">
            <v>38250</v>
          </cell>
          <cell r="E1732">
            <v>38250</v>
          </cell>
          <cell r="F1732">
            <v>0</v>
          </cell>
        </row>
        <row r="1733">
          <cell r="A1733" t="str">
            <v>GLALI</v>
          </cell>
          <cell r="B1733" t="str">
            <v>LALIT B SANGHVI</v>
          </cell>
          <cell r="C1733" t="str">
            <v>LSCRED</v>
          </cell>
          <cell r="D1733">
            <v>160561</v>
          </cell>
          <cell r="E1733">
            <v>160561</v>
          </cell>
          <cell r="F1733">
            <v>0</v>
          </cell>
        </row>
        <row r="1734">
          <cell r="A1734" t="str">
            <v>GLEEL</v>
          </cell>
          <cell r="B1734" t="str">
            <v>LEELA RAGHAVAN</v>
          </cell>
          <cell r="C1734" t="str">
            <v>LSCRED</v>
          </cell>
          <cell r="D1734">
            <v>32510</v>
          </cell>
          <cell r="E1734">
            <v>32510</v>
          </cell>
          <cell r="F1734">
            <v>0</v>
          </cell>
        </row>
        <row r="1735">
          <cell r="A1735" t="str">
            <v>GLMA/C</v>
          </cell>
          <cell r="B1735" t="str">
            <v>LM A/C FORTUNE</v>
          </cell>
          <cell r="C1735" t="str">
            <v>LSCRED</v>
          </cell>
          <cell r="D1735">
            <v>2340</v>
          </cell>
          <cell r="E1735">
            <v>2340</v>
          </cell>
          <cell r="F1735">
            <v>0</v>
          </cell>
        </row>
        <row r="1736">
          <cell r="A1736" t="str">
            <v>GLOMC</v>
          </cell>
          <cell r="B1736" t="str">
            <v>LOCAL MUNICIPAL CORPORATION</v>
          </cell>
          <cell r="C1736" t="str">
            <v>LSCRED</v>
          </cell>
          <cell r="D1736">
            <v>50</v>
          </cell>
          <cell r="E1736">
            <v>50</v>
          </cell>
          <cell r="F1736">
            <v>0</v>
          </cell>
        </row>
        <row r="1737">
          <cell r="A1737" t="str">
            <v>GMDOR</v>
          </cell>
          <cell r="B1737" t="str">
            <v>M DORAISWAMY NAIDU</v>
          </cell>
          <cell r="C1737" t="str">
            <v>LSCRED</v>
          </cell>
          <cell r="D1737">
            <v>224458</v>
          </cell>
          <cell r="E1737">
            <v>224458</v>
          </cell>
          <cell r="F1737">
            <v>0</v>
          </cell>
        </row>
        <row r="1738">
          <cell r="A1738" t="str">
            <v>GMHAR</v>
          </cell>
          <cell r="B1738" t="str">
            <v>M HARIGOVIND</v>
          </cell>
          <cell r="C1738" t="str">
            <v>LSCRED</v>
          </cell>
          <cell r="D1738">
            <v>141485</v>
          </cell>
          <cell r="E1738">
            <v>141485</v>
          </cell>
          <cell r="F1738">
            <v>0</v>
          </cell>
        </row>
        <row r="1739">
          <cell r="A1739" t="str">
            <v>GMIND</v>
          </cell>
          <cell r="B1739" t="str">
            <v>M. INDUPRIYA</v>
          </cell>
          <cell r="C1739" t="str">
            <v>LSCRED</v>
          </cell>
          <cell r="D1739">
            <v>20583</v>
          </cell>
          <cell r="E1739">
            <v>20583</v>
          </cell>
          <cell r="F1739">
            <v>0</v>
          </cell>
        </row>
        <row r="1740">
          <cell r="A1740" t="str">
            <v>GMPSO</v>
          </cell>
          <cell r="B1740" t="str">
            <v>M. P SOMASEKHARAN PILLAI</v>
          </cell>
          <cell r="C1740" t="str">
            <v>LSCRED</v>
          </cell>
          <cell r="D1740">
            <v>32698</v>
          </cell>
          <cell r="E1740">
            <v>32698</v>
          </cell>
          <cell r="F1740">
            <v>0</v>
          </cell>
        </row>
        <row r="1741">
          <cell r="A1741" t="str">
            <v>GMSAR</v>
          </cell>
          <cell r="B1741" t="str">
            <v>M. S. ARORA (HUF)</v>
          </cell>
          <cell r="C1741" t="str">
            <v>LSCRED</v>
          </cell>
          <cell r="D1741">
            <v>10000</v>
          </cell>
          <cell r="E1741">
            <v>10000</v>
          </cell>
          <cell r="F1741">
            <v>0</v>
          </cell>
        </row>
        <row r="1742">
          <cell r="A1742" t="str">
            <v>GMVTH</v>
          </cell>
          <cell r="B1742" t="str">
            <v>M. V. THAKKER</v>
          </cell>
          <cell r="C1742" t="str">
            <v>LSCRED</v>
          </cell>
          <cell r="D1742">
            <v>4208</v>
          </cell>
          <cell r="E1742">
            <v>4208</v>
          </cell>
          <cell r="F1742">
            <v>0</v>
          </cell>
        </row>
        <row r="1743">
          <cell r="A1743" t="str">
            <v>GHOCL</v>
          </cell>
          <cell r="B1743" t="str">
            <v>M/S HOTEL CLASSIC</v>
          </cell>
          <cell r="C1743" t="str">
            <v>LSCRED</v>
          </cell>
          <cell r="D1743">
            <v>76372</v>
          </cell>
          <cell r="E1743">
            <v>76372</v>
          </cell>
          <cell r="F1743">
            <v>0</v>
          </cell>
        </row>
        <row r="1744">
          <cell r="A1744" t="str">
            <v>GRUKM</v>
          </cell>
          <cell r="B1744" t="str">
            <v>M/S RUKMANI</v>
          </cell>
          <cell r="C1744" t="str">
            <v>LSCRED</v>
          </cell>
          <cell r="D1744">
            <v>5662</v>
          </cell>
          <cell r="E1744">
            <v>5662</v>
          </cell>
          <cell r="F1744">
            <v>0</v>
          </cell>
        </row>
        <row r="1745">
          <cell r="A1745" t="str">
            <v>GSANW</v>
          </cell>
          <cell r="B1745" t="str">
            <v>M/S SANWAL CHADHA &amp; OTHERS</v>
          </cell>
          <cell r="C1745" t="str">
            <v>LSCRED</v>
          </cell>
          <cell r="D1745">
            <v>4500</v>
          </cell>
          <cell r="E1745">
            <v>4500</v>
          </cell>
          <cell r="F1745">
            <v>0</v>
          </cell>
        </row>
        <row r="1746">
          <cell r="A1746" t="str">
            <v>GMSSH</v>
          </cell>
          <cell r="B1746" t="str">
            <v>M/S SHRI KRISHNA SERVICES</v>
          </cell>
          <cell r="C1746" t="str">
            <v>LSCRED</v>
          </cell>
          <cell r="D1746">
            <v>45804</v>
          </cell>
          <cell r="E1746">
            <v>45804</v>
          </cell>
          <cell r="F1746">
            <v>0</v>
          </cell>
        </row>
        <row r="1747">
          <cell r="A1747" t="str">
            <v>GVATI</v>
          </cell>
          <cell r="B1747" t="str">
            <v>M/S VATIKA MARKETING LIMITED</v>
          </cell>
          <cell r="C1747" t="str">
            <v>LSCRED</v>
          </cell>
          <cell r="D1747">
            <v>10355</v>
          </cell>
          <cell r="E1747">
            <v>10355</v>
          </cell>
          <cell r="F1747">
            <v>0</v>
          </cell>
        </row>
        <row r="1748">
          <cell r="A1748" t="str">
            <v>GMAFO</v>
          </cell>
          <cell r="B1748" t="str">
            <v>MA FOI MANAGEMENT CONSULTANTS LTD</v>
          </cell>
          <cell r="C1748" t="str">
            <v>LSCRED</v>
          </cell>
          <cell r="D1748">
            <v>360</v>
          </cell>
          <cell r="E1748">
            <v>360</v>
          </cell>
          <cell r="F1748">
            <v>0</v>
          </cell>
        </row>
        <row r="1749">
          <cell r="A1749" t="str">
            <v>GMADE</v>
          </cell>
          <cell r="B1749" t="str">
            <v>MADAN ELECTRIC WORKS</v>
          </cell>
          <cell r="C1749" t="str">
            <v>LSCRED</v>
          </cell>
          <cell r="D1749">
            <v>15864</v>
          </cell>
          <cell r="E1749">
            <v>15864</v>
          </cell>
          <cell r="F1749">
            <v>0</v>
          </cell>
        </row>
        <row r="1750">
          <cell r="A1750" t="str">
            <v>GMADA</v>
          </cell>
          <cell r="B1750" t="str">
            <v>MADHAV DARSHAN NON TRADING CORPORATION</v>
          </cell>
          <cell r="C1750" t="str">
            <v>LSCRED</v>
          </cell>
          <cell r="D1750">
            <v>2142</v>
          </cell>
          <cell r="E1750">
            <v>2142</v>
          </cell>
          <cell r="F1750">
            <v>0</v>
          </cell>
        </row>
        <row r="1751">
          <cell r="A1751" t="str">
            <v>GMAAG</v>
          </cell>
          <cell r="B1751" t="str">
            <v>MADHU AGARWAL</v>
          </cell>
          <cell r="C1751" t="str">
            <v>LSCRED</v>
          </cell>
          <cell r="D1751">
            <v>22716</v>
          </cell>
          <cell r="E1751">
            <v>22716</v>
          </cell>
          <cell r="F1751">
            <v>0</v>
          </cell>
        </row>
        <row r="1752">
          <cell r="A1752" t="str">
            <v>GMADH</v>
          </cell>
          <cell r="B1752" t="str">
            <v>MADHU AGARWALA</v>
          </cell>
          <cell r="C1752" t="str">
            <v>LSCRED</v>
          </cell>
          <cell r="D1752">
            <v>120454</v>
          </cell>
          <cell r="E1752">
            <v>120454</v>
          </cell>
          <cell r="F1752">
            <v>0</v>
          </cell>
        </row>
        <row r="1753">
          <cell r="A1753" t="str">
            <v>GMADP</v>
          </cell>
          <cell r="B1753" t="str">
            <v>MADHU PROPERTY DEALERS</v>
          </cell>
          <cell r="C1753" t="str">
            <v>LSCRED</v>
          </cell>
          <cell r="D1753">
            <v>1478</v>
          </cell>
          <cell r="E1753">
            <v>1478</v>
          </cell>
          <cell r="F1753">
            <v>0</v>
          </cell>
        </row>
        <row r="1754">
          <cell r="A1754" t="str">
            <v>GMADB</v>
          </cell>
          <cell r="B1754" t="str">
            <v>MADHUKAR BABURAO TAWDE</v>
          </cell>
          <cell r="C1754" t="str">
            <v>LSCRED</v>
          </cell>
          <cell r="D1754">
            <v>52122</v>
          </cell>
          <cell r="E1754">
            <v>52122</v>
          </cell>
          <cell r="F1754">
            <v>0</v>
          </cell>
        </row>
        <row r="1755">
          <cell r="A1755" t="str">
            <v>GMADV</v>
          </cell>
          <cell r="B1755" t="str">
            <v>MADUPALLI VIJAY KUMAR</v>
          </cell>
          <cell r="C1755" t="str">
            <v>LSCRED</v>
          </cell>
          <cell r="D1755">
            <v>105048</v>
          </cell>
          <cell r="E1755">
            <v>105048</v>
          </cell>
          <cell r="F1755">
            <v>0</v>
          </cell>
        </row>
        <row r="1756">
          <cell r="A1756" t="str">
            <v>GMAKU</v>
          </cell>
          <cell r="B1756" t="str">
            <v>MAHENDER KUMAR GANDHI &amp; SONS (HUF)</v>
          </cell>
          <cell r="C1756" t="str">
            <v>LSCRED</v>
          </cell>
          <cell r="D1756">
            <v>28193</v>
          </cell>
          <cell r="E1756">
            <v>28193</v>
          </cell>
          <cell r="F1756">
            <v>0</v>
          </cell>
        </row>
        <row r="1757">
          <cell r="A1757" t="str">
            <v>GMAHR</v>
          </cell>
          <cell r="B1757" t="str">
            <v>MAHENDRA RATILAL SHAH (HUF)</v>
          </cell>
          <cell r="C1757" t="str">
            <v>LSCRED</v>
          </cell>
          <cell r="D1757">
            <v>25267</v>
          </cell>
          <cell r="E1757">
            <v>25267</v>
          </cell>
          <cell r="F1757">
            <v>0</v>
          </cell>
        </row>
        <row r="1758">
          <cell r="A1758" t="str">
            <v>GMATH</v>
          </cell>
          <cell r="B1758" t="str">
            <v>MAHESH L THAKKAR</v>
          </cell>
          <cell r="C1758" t="str">
            <v>LSCRED</v>
          </cell>
          <cell r="D1758">
            <v>36720</v>
          </cell>
          <cell r="E1758">
            <v>36720</v>
          </cell>
          <cell r="F1758">
            <v>0</v>
          </cell>
        </row>
        <row r="1759">
          <cell r="A1759" t="str">
            <v>GMAIL</v>
          </cell>
          <cell r="B1759" t="str">
            <v>MAILEX INDIA INC.</v>
          </cell>
          <cell r="C1759" t="str">
            <v>LSCRED</v>
          </cell>
          <cell r="D1759">
            <v>115922</v>
          </cell>
          <cell r="E1759">
            <v>115922</v>
          </cell>
          <cell r="F1759">
            <v>0</v>
          </cell>
        </row>
        <row r="1760">
          <cell r="A1760" t="str">
            <v>GMALH</v>
          </cell>
          <cell r="B1760" t="str">
            <v>MALHOTRA AIRCONDITIONING CORPORATION</v>
          </cell>
          <cell r="C1760" t="str">
            <v>LSCRED</v>
          </cell>
          <cell r="D1760">
            <v>10945</v>
          </cell>
          <cell r="E1760">
            <v>10945</v>
          </cell>
          <cell r="F1760">
            <v>0</v>
          </cell>
        </row>
        <row r="1761">
          <cell r="A1761" t="str">
            <v>GMANN</v>
          </cell>
          <cell r="B1761" t="str">
            <v>MANDHANA INDUSTRIES LTD.</v>
          </cell>
          <cell r="C1761" t="str">
            <v>LSCRED</v>
          </cell>
          <cell r="D1761">
            <v>80784</v>
          </cell>
          <cell r="E1761">
            <v>80784</v>
          </cell>
          <cell r="F1761">
            <v>0</v>
          </cell>
        </row>
        <row r="1762">
          <cell r="A1762" t="str">
            <v>GMAAR</v>
          </cell>
          <cell r="B1762" t="str">
            <v>MANGALA ARUN KESBEKAR</v>
          </cell>
          <cell r="C1762" t="str">
            <v>LSCRED</v>
          </cell>
          <cell r="D1762">
            <v>202198</v>
          </cell>
          <cell r="E1762">
            <v>202198</v>
          </cell>
          <cell r="F1762">
            <v>0</v>
          </cell>
        </row>
        <row r="1763">
          <cell r="A1763" t="str">
            <v>GMANA</v>
          </cell>
          <cell r="B1763" t="str">
            <v>MANGALAM PLACEMENT PRIVATE LIMITED</v>
          </cell>
          <cell r="C1763" t="str">
            <v>LSCRED</v>
          </cell>
          <cell r="D1763">
            <v>28927</v>
          </cell>
          <cell r="E1763">
            <v>28927</v>
          </cell>
          <cell r="F1763">
            <v>0</v>
          </cell>
        </row>
        <row r="1764">
          <cell r="A1764" t="str">
            <v>GMARES</v>
          </cell>
          <cell r="B1764" t="str">
            <v>MANGALAM REAL ESTATE</v>
          </cell>
          <cell r="C1764" t="str">
            <v>LSCRED</v>
          </cell>
          <cell r="D1764">
            <v>3198</v>
          </cell>
          <cell r="E1764">
            <v>3198</v>
          </cell>
          <cell r="F1764">
            <v>0</v>
          </cell>
        </row>
        <row r="1765">
          <cell r="A1765" t="str">
            <v>GMADG</v>
          </cell>
          <cell r="B1765" t="str">
            <v>MANI DEVI GUPTA</v>
          </cell>
          <cell r="C1765" t="str">
            <v>LSCRED</v>
          </cell>
          <cell r="D1765">
            <v>150316</v>
          </cell>
          <cell r="E1765">
            <v>150316</v>
          </cell>
          <cell r="F1765">
            <v>0</v>
          </cell>
        </row>
        <row r="1766">
          <cell r="A1766" t="str">
            <v>GMSON</v>
          </cell>
          <cell r="B1766" t="str">
            <v>MANI SONI</v>
          </cell>
          <cell r="C1766" t="str">
            <v>LSCRED</v>
          </cell>
          <cell r="D1766">
            <v>19097</v>
          </cell>
          <cell r="E1766">
            <v>19097</v>
          </cell>
          <cell r="F1766">
            <v>0</v>
          </cell>
        </row>
        <row r="1767">
          <cell r="A1767" t="str">
            <v>GMANIS</v>
          </cell>
          <cell r="B1767" t="str">
            <v>MANINDER SINGH</v>
          </cell>
          <cell r="C1767" t="str">
            <v>LSCRED</v>
          </cell>
          <cell r="D1767">
            <v>7023</v>
          </cell>
          <cell r="E1767">
            <v>7023</v>
          </cell>
          <cell r="F1767">
            <v>0</v>
          </cell>
        </row>
        <row r="1768">
          <cell r="A1768" t="str">
            <v>GMACH</v>
          </cell>
          <cell r="B1768" t="str">
            <v>MANISH CHANDRA GOENKA</v>
          </cell>
          <cell r="C1768" t="str">
            <v>LSCRED</v>
          </cell>
          <cell r="D1768">
            <v>10531</v>
          </cell>
          <cell r="E1768">
            <v>10531</v>
          </cell>
          <cell r="F1768">
            <v>0</v>
          </cell>
        </row>
        <row r="1769">
          <cell r="A1769" t="str">
            <v>GMANJE</v>
          </cell>
          <cell r="B1769" t="str">
            <v>MANJEET SINGH ARORA</v>
          </cell>
          <cell r="C1769" t="str">
            <v>LSCRED</v>
          </cell>
          <cell r="D1769">
            <v>2244</v>
          </cell>
          <cell r="E1769">
            <v>2244</v>
          </cell>
          <cell r="F1769">
            <v>0</v>
          </cell>
        </row>
        <row r="1770">
          <cell r="A1770" t="str">
            <v>GMANK</v>
          </cell>
          <cell r="B1770" t="str">
            <v>MANJIT KAUR DEOL</v>
          </cell>
          <cell r="C1770" t="str">
            <v>LSCRED</v>
          </cell>
          <cell r="D1770">
            <v>64412</v>
          </cell>
          <cell r="E1770">
            <v>64412</v>
          </cell>
          <cell r="F1770">
            <v>0</v>
          </cell>
        </row>
        <row r="1771">
          <cell r="A1771" t="str">
            <v>GMANJ</v>
          </cell>
          <cell r="B1771" t="str">
            <v>MANJIT SINGH MAKIN</v>
          </cell>
          <cell r="C1771" t="str">
            <v>LSCRED</v>
          </cell>
          <cell r="D1771">
            <v>2047</v>
          </cell>
          <cell r="E1771">
            <v>2047</v>
          </cell>
          <cell r="F1771">
            <v>0</v>
          </cell>
        </row>
        <row r="1772">
          <cell r="A1772" t="str">
            <v>GMANJU</v>
          </cell>
          <cell r="B1772" t="str">
            <v>MANJULA KAPOOR</v>
          </cell>
          <cell r="C1772" t="str">
            <v>LSCRED</v>
          </cell>
          <cell r="D1772">
            <v>39477</v>
          </cell>
          <cell r="E1772">
            <v>39477</v>
          </cell>
          <cell r="F1772">
            <v>0</v>
          </cell>
        </row>
        <row r="1773">
          <cell r="A1773" t="str">
            <v>GMANO</v>
          </cell>
          <cell r="B1773" t="str">
            <v>MANOJ KUMAR AGARWAL</v>
          </cell>
          <cell r="C1773" t="str">
            <v>LSCRED</v>
          </cell>
          <cell r="D1773">
            <v>74816</v>
          </cell>
          <cell r="E1773">
            <v>74816</v>
          </cell>
          <cell r="F1773">
            <v>0</v>
          </cell>
        </row>
        <row r="1774">
          <cell r="A1774" t="str">
            <v>GMNAG</v>
          </cell>
          <cell r="B1774" t="str">
            <v>MANOJ KUMAR AGARWAL</v>
          </cell>
          <cell r="C1774" t="str">
            <v>LSCRED</v>
          </cell>
          <cell r="D1774">
            <v>17217</v>
          </cell>
          <cell r="E1774">
            <v>17217</v>
          </cell>
          <cell r="F1774">
            <v>0</v>
          </cell>
        </row>
        <row r="1775">
          <cell r="A1775" t="str">
            <v>GMSRI</v>
          </cell>
          <cell r="B1775" t="str">
            <v>MANOJ SRIVASTAVA</v>
          </cell>
          <cell r="C1775" t="str">
            <v>LSCRED</v>
          </cell>
          <cell r="D1775">
            <v>8300</v>
          </cell>
          <cell r="E1775">
            <v>8300</v>
          </cell>
          <cell r="F1775">
            <v>0</v>
          </cell>
        </row>
        <row r="1776">
          <cell r="A1776" t="str">
            <v>GMANOR</v>
          </cell>
          <cell r="B1776" t="str">
            <v>MANORMA DEVI</v>
          </cell>
          <cell r="C1776" t="str">
            <v>LSCRED</v>
          </cell>
          <cell r="D1776">
            <v>22032</v>
          </cell>
          <cell r="E1776">
            <v>22032</v>
          </cell>
          <cell r="F1776">
            <v>0</v>
          </cell>
        </row>
        <row r="1777">
          <cell r="A1777" t="str">
            <v>GMANP</v>
          </cell>
          <cell r="B1777" t="str">
            <v>MANPOWER SERVICES INDIA PVT LTD</v>
          </cell>
          <cell r="C1777" t="str">
            <v>LSCRED</v>
          </cell>
          <cell r="D1777">
            <v>45833</v>
          </cell>
          <cell r="E1777">
            <v>45833</v>
          </cell>
          <cell r="F1777">
            <v>0</v>
          </cell>
        </row>
        <row r="1778">
          <cell r="A1778" t="str">
            <v>GMVRK</v>
          </cell>
          <cell r="B1778" t="str">
            <v>MANTENA VENKATA RAMA KRISHANAM RAJU</v>
          </cell>
          <cell r="C1778" t="str">
            <v>LSCRED</v>
          </cell>
          <cell r="D1778">
            <v>16560</v>
          </cell>
          <cell r="E1778">
            <v>16560</v>
          </cell>
          <cell r="F1778">
            <v>0</v>
          </cell>
        </row>
        <row r="1779">
          <cell r="A1779" t="str">
            <v>GMVSS</v>
          </cell>
          <cell r="B1779" t="str">
            <v>MANTENA VENKATA SATYA SURYA NARAYANA</v>
          </cell>
          <cell r="C1779" t="str">
            <v>LSCRED</v>
          </cell>
          <cell r="D1779">
            <v>50514</v>
          </cell>
          <cell r="E1779">
            <v>50514</v>
          </cell>
          <cell r="F1779">
            <v>0</v>
          </cell>
        </row>
        <row r="1780">
          <cell r="A1780" t="str">
            <v>GMAES</v>
          </cell>
          <cell r="B1780" t="str">
            <v>MARUTI ESTATE CONSULTANT</v>
          </cell>
          <cell r="C1780" t="str">
            <v>LSCRED</v>
          </cell>
          <cell r="D1780">
            <v>9369</v>
          </cell>
          <cell r="E1780">
            <v>9369</v>
          </cell>
          <cell r="F1780">
            <v>0</v>
          </cell>
        </row>
        <row r="1781">
          <cell r="A1781" t="str">
            <v>GMATA</v>
          </cell>
          <cell r="B1781" t="str">
            <v>MASTER TAHER KUTUBUDDIN DHUNDIYAWALA</v>
          </cell>
          <cell r="C1781" t="str">
            <v>LSCRED</v>
          </cell>
          <cell r="D1781">
            <v>26816</v>
          </cell>
          <cell r="E1781">
            <v>26816</v>
          </cell>
          <cell r="F1781">
            <v>0</v>
          </cell>
        </row>
        <row r="1782">
          <cell r="A1782" t="str">
            <v>GMAUL</v>
          </cell>
          <cell r="B1782" t="str">
            <v>MAULY SHARMA</v>
          </cell>
          <cell r="C1782" t="str">
            <v>LSCRED</v>
          </cell>
          <cell r="D1782">
            <v>43158</v>
          </cell>
          <cell r="E1782">
            <v>43158</v>
          </cell>
          <cell r="F1782">
            <v>0</v>
          </cell>
        </row>
        <row r="1783">
          <cell r="A1783" t="str">
            <v>GMAYU</v>
          </cell>
          <cell r="B1783" t="str">
            <v>MAYUR AGRAWAL</v>
          </cell>
          <cell r="C1783" t="str">
            <v>LSCRED</v>
          </cell>
          <cell r="D1783">
            <v>842</v>
          </cell>
          <cell r="E1783">
            <v>842</v>
          </cell>
          <cell r="F1783">
            <v>0</v>
          </cell>
        </row>
        <row r="1784">
          <cell r="A1784" t="str">
            <v>GMEKU</v>
          </cell>
          <cell r="B1784" t="str">
            <v>MEENA KUMARI PAL</v>
          </cell>
          <cell r="C1784" t="str">
            <v>LSCRED</v>
          </cell>
          <cell r="D1784">
            <v>114424</v>
          </cell>
          <cell r="E1784">
            <v>114424</v>
          </cell>
          <cell r="F1784">
            <v>0</v>
          </cell>
        </row>
        <row r="1785">
          <cell r="A1785" t="str">
            <v>GMEPA</v>
          </cell>
          <cell r="B1785" t="str">
            <v>MEENABEN PANKAJBHAI PATEL</v>
          </cell>
          <cell r="C1785" t="str">
            <v>LSCRED</v>
          </cell>
          <cell r="D1785">
            <v>16266</v>
          </cell>
          <cell r="E1785">
            <v>16266</v>
          </cell>
          <cell r="F1785">
            <v>0</v>
          </cell>
        </row>
        <row r="1786">
          <cell r="A1786" t="str">
            <v>GMEPH</v>
          </cell>
          <cell r="B1786" t="str">
            <v>MEENU PHOTOSTAT</v>
          </cell>
          <cell r="C1786" t="str">
            <v>LSCRED</v>
          </cell>
          <cell r="D1786">
            <v>5656</v>
          </cell>
          <cell r="E1786">
            <v>5656</v>
          </cell>
          <cell r="F1786">
            <v>0</v>
          </cell>
        </row>
        <row r="1787">
          <cell r="A1787" t="str">
            <v>GMENU</v>
          </cell>
          <cell r="B1787" t="str">
            <v>MEENU SINGH</v>
          </cell>
          <cell r="C1787" t="str">
            <v>LSCRED</v>
          </cell>
          <cell r="D1787">
            <v>36630</v>
          </cell>
          <cell r="E1787">
            <v>36630</v>
          </cell>
          <cell r="F1787">
            <v>0</v>
          </cell>
        </row>
        <row r="1788">
          <cell r="A1788" t="str">
            <v>GMEER</v>
          </cell>
          <cell r="B1788" t="str">
            <v>MEERA KISANCHAND JAMNANI</v>
          </cell>
          <cell r="C1788" t="str">
            <v>LSCRED</v>
          </cell>
          <cell r="D1788">
            <v>7000</v>
          </cell>
          <cell r="E1788">
            <v>7000</v>
          </cell>
          <cell r="F1788">
            <v>0</v>
          </cell>
        </row>
        <row r="1789">
          <cell r="A1789" t="str">
            <v>GMEMO</v>
          </cell>
          <cell r="B1789" t="str">
            <v>MEMO DEVI</v>
          </cell>
          <cell r="C1789" t="str">
            <v>LSCRED</v>
          </cell>
          <cell r="D1789">
            <v>16065</v>
          </cell>
          <cell r="E1789">
            <v>16065</v>
          </cell>
          <cell r="F1789">
            <v>0</v>
          </cell>
        </row>
        <row r="1790">
          <cell r="A1790" t="str">
            <v>GMILA</v>
          </cell>
          <cell r="B1790" t="str">
            <v>MILAN CORPORATION</v>
          </cell>
          <cell r="C1790" t="str">
            <v>LSCRED</v>
          </cell>
          <cell r="D1790">
            <v>82969</v>
          </cell>
          <cell r="E1790">
            <v>82969</v>
          </cell>
          <cell r="F1790">
            <v>0</v>
          </cell>
        </row>
        <row r="1791">
          <cell r="A1791" t="str">
            <v>GMINA</v>
          </cell>
          <cell r="B1791" t="str">
            <v>MINAL D. GOYAL</v>
          </cell>
          <cell r="C1791" t="str">
            <v>LSCRED</v>
          </cell>
          <cell r="D1791">
            <v>145755</v>
          </cell>
          <cell r="E1791">
            <v>145755</v>
          </cell>
          <cell r="F1791">
            <v>0</v>
          </cell>
        </row>
        <row r="1792">
          <cell r="A1792" t="str">
            <v>GMITHL</v>
          </cell>
          <cell r="B1792" t="str">
            <v>MITHLESH KUMAR MISHRA</v>
          </cell>
          <cell r="C1792" t="str">
            <v>LSCRED</v>
          </cell>
          <cell r="D1792">
            <v>36000</v>
          </cell>
          <cell r="E1792">
            <v>36000</v>
          </cell>
          <cell r="F1792">
            <v>0</v>
          </cell>
        </row>
        <row r="1793">
          <cell r="A1793" t="str">
            <v>GMITM</v>
          </cell>
          <cell r="B1793" t="str">
            <v>MITHLESH MISHRA</v>
          </cell>
          <cell r="C1793" t="str">
            <v>LSCRED</v>
          </cell>
          <cell r="D1793">
            <v>18360</v>
          </cell>
          <cell r="E1793">
            <v>18360</v>
          </cell>
          <cell r="F1793">
            <v>0</v>
          </cell>
        </row>
        <row r="1794">
          <cell r="A1794" t="str">
            <v>GMITL</v>
          </cell>
          <cell r="B1794" t="str">
            <v>MITLESH GOEL</v>
          </cell>
          <cell r="C1794" t="str">
            <v>LSCRED</v>
          </cell>
          <cell r="D1794">
            <v>34425</v>
          </cell>
          <cell r="E1794">
            <v>34425</v>
          </cell>
          <cell r="F1794">
            <v>0</v>
          </cell>
        </row>
        <row r="1795">
          <cell r="A1795" t="str">
            <v>GMODE</v>
          </cell>
          <cell r="B1795" t="str">
            <v>MODERN DESIGNS</v>
          </cell>
          <cell r="C1795" t="str">
            <v>LSCRED</v>
          </cell>
          <cell r="D1795">
            <v>48900</v>
          </cell>
          <cell r="E1795">
            <v>48900</v>
          </cell>
          <cell r="F1795">
            <v>0</v>
          </cell>
        </row>
        <row r="1796">
          <cell r="A1796" t="str">
            <v>GMOHA</v>
          </cell>
          <cell r="B1796" t="str">
            <v>MOHAMMAD AZAM ALI</v>
          </cell>
          <cell r="C1796" t="str">
            <v>LSCRED</v>
          </cell>
          <cell r="D1796">
            <v>148362</v>
          </cell>
          <cell r="E1796">
            <v>148362</v>
          </cell>
          <cell r="F1796">
            <v>0</v>
          </cell>
        </row>
        <row r="1797">
          <cell r="A1797" t="str">
            <v>GMRAI</v>
          </cell>
          <cell r="B1797" t="str">
            <v>MOHAMMED RAFIQUE ISMAIL KAZI</v>
          </cell>
          <cell r="C1797" t="str">
            <v>LSCRED</v>
          </cell>
          <cell r="D1797">
            <v>50193</v>
          </cell>
          <cell r="E1797">
            <v>50193</v>
          </cell>
          <cell r="F1797">
            <v>0</v>
          </cell>
        </row>
        <row r="1798">
          <cell r="A1798" t="str">
            <v>GMISM</v>
          </cell>
          <cell r="B1798" t="str">
            <v>MOHD. ISMAIL SHAIKH</v>
          </cell>
          <cell r="C1798" t="str">
            <v>LSCRED</v>
          </cell>
          <cell r="D1798">
            <v>30294</v>
          </cell>
          <cell r="E1798">
            <v>30294</v>
          </cell>
          <cell r="F1798">
            <v>0</v>
          </cell>
        </row>
        <row r="1799">
          <cell r="A1799" t="str">
            <v>GMDEW</v>
          </cell>
          <cell r="B1799" t="str">
            <v>MOHINDER DEWAN</v>
          </cell>
          <cell r="C1799" t="str">
            <v>LSCRED</v>
          </cell>
          <cell r="D1799">
            <v>58752</v>
          </cell>
          <cell r="E1799">
            <v>58752</v>
          </cell>
          <cell r="F1799">
            <v>0</v>
          </cell>
        </row>
        <row r="1800">
          <cell r="A1800" t="str">
            <v>GMOSI</v>
          </cell>
          <cell r="B1800" t="str">
            <v>MOHINDER SINGH AHLAWAT</v>
          </cell>
          <cell r="C1800" t="str">
            <v>LSCRED</v>
          </cell>
          <cell r="D1800">
            <v>42075</v>
          </cell>
          <cell r="E1800">
            <v>42075</v>
          </cell>
          <cell r="F1800">
            <v>0</v>
          </cell>
        </row>
        <row r="1801">
          <cell r="A1801" t="str">
            <v>GMOHN</v>
          </cell>
          <cell r="B1801" t="str">
            <v>MOHINDER SINGH DEOL</v>
          </cell>
          <cell r="C1801" t="str">
            <v>LSCRED</v>
          </cell>
          <cell r="D1801">
            <v>61117</v>
          </cell>
          <cell r="E1801">
            <v>61117</v>
          </cell>
          <cell r="F1801">
            <v>0</v>
          </cell>
        </row>
        <row r="1802">
          <cell r="A1802" t="str">
            <v>GMOHB</v>
          </cell>
          <cell r="B1802" t="str">
            <v>MOHON BISWAS</v>
          </cell>
          <cell r="C1802" t="str">
            <v>LSCRED</v>
          </cell>
          <cell r="D1802">
            <v>5610</v>
          </cell>
          <cell r="E1802">
            <v>5610</v>
          </cell>
          <cell r="F1802">
            <v>0</v>
          </cell>
        </row>
        <row r="1803">
          <cell r="A1803" t="str">
            <v>GMOGU</v>
          </cell>
          <cell r="B1803" t="str">
            <v>MONIKA GUPTA</v>
          </cell>
          <cell r="C1803" t="str">
            <v>LSCRED</v>
          </cell>
          <cell r="D1803">
            <v>27540</v>
          </cell>
          <cell r="E1803">
            <v>27540</v>
          </cell>
          <cell r="F1803">
            <v>0</v>
          </cell>
        </row>
        <row r="1804">
          <cell r="A1804" t="str">
            <v>GMOOL</v>
          </cell>
          <cell r="B1804" t="str">
            <v>MOOL CHAND BOTHRA</v>
          </cell>
          <cell r="C1804" t="str">
            <v>LSCRED</v>
          </cell>
          <cell r="D1804">
            <v>11767</v>
          </cell>
          <cell r="E1804">
            <v>11767</v>
          </cell>
          <cell r="F1804">
            <v>0</v>
          </cell>
        </row>
        <row r="1805">
          <cell r="A1805" t="str">
            <v>GMOONT</v>
          </cell>
          <cell r="B1805" t="str">
            <v>MOON TIMES - SPMS</v>
          </cell>
          <cell r="C1805" t="str">
            <v>LSCRED</v>
          </cell>
          <cell r="D1805">
            <v>15506</v>
          </cell>
          <cell r="E1805">
            <v>15506</v>
          </cell>
          <cell r="F1805">
            <v>0</v>
          </cell>
        </row>
        <row r="1806">
          <cell r="A1806" t="str">
            <v>GMOON</v>
          </cell>
          <cell r="B1806" t="str">
            <v>MOONLIGHT ADVERTISING PVT LTD</v>
          </cell>
          <cell r="C1806" t="str">
            <v>LSCRED</v>
          </cell>
          <cell r="D1806">
            <v>258253</v>
          </cell>
          <cell r="E1806">
            <v>258253</v>
          </cell>
          <cell r="F1806">
            <v>0</v>
          </cell>
        </row>
        <row r="1807">
          <cell r="A1807" t="str">
            <v>GMPOW</v>
          </cell>
          <cell r="B1807" t="str">
            <v>MPOWER STAFFING SERVICES PVT LTD</v>
          </cell>
          <cell r="C1807" t="str">
            <v>LSCRED</v>
          </cell>
          <cell r="D1807">
            <v>1030</v>
          </cell>
          <cell r="E1807">
            <v>1030</v>
          </cell>
          <cell r="F1807">
            <v>0</v>
          </cell>
        </row>
        <row r="1808">
          <cell r="A1808" t="str">
            <v>GMRSA</v>
          </cell>
          <cell r="B1808" t="str">
            <v>MRS. SANTOSH</v>
          </cell>
          <cell r="C1808" t="str">
            <v>LSCRED</v>
          </cell>
          <cell r="D1808">
            <v>105345</v>
          </cell>
          <cell r="E1808">
            <v>105345</v>
          </cell>
          <cell r="F1808">
            <v>0</v>
          </cell>
        </row>
        <row r="1809">
          <cell r="A1809" t="str">
            <v>GMUBA</v>
          </cell>
          <cell r="B1809" t="str">
            <v>MUHAMMED BASHEER K. P.</v>
          </cell>
          <cell r="C1809" t="str">
            <v>LSCRED</v>
          </cell>
          <cell r="D1809">
            <v>15399</v>
          </cell>
          <cell r="E1809">
            <v>15399</v>
          </cell>
          <cell r="F1809">
            <v>0</v>
          </cell>
        </row>
        <row r="1810">
          <cell r="A1810" t="str">
            <v>GMUKUN</v>
          </cell>
          <cell r="B1810" t="str">
            <v>MUKUNDRARAO S P HOLKAR</v>
          </cell>
          <cell r="C1810" t="str">
            <v>LSCRED</v>
          </cell>
          <cell r="D1810">
            <v>114423</v>
          </cell>
          <cell r="E1810">
            <v>114423</v>
          </cell>
          <cell r="F1810">
            <v>0</v>
          </cell>
        </row>
        <row r="1811">
          <cell r="A1811" t="str">
            <v>GMULL</v>
          </cell>
          <cell r="B1811" t="str">
            <v>MULLA JABIR ALI</v>
          </cell>
          <cell r="C1811" t="str">
            <v>LSCRED</v>
          </cell>
          <cell r="D1811">
            <v>27594</v>
          </cell>
          <cell r="E1811">
            <v>27594</v>
          </cell>
          <cell r="F1811">
            <v>0</v>
          </cell>
        </row>
        <row r="1812">
          <cell r="A1812" t="str">
            <v>GMULT</v>
          </cell>
          <cell r="B1812" t="str">
            <v>MULTI CHANNEL ELECTRONICS LIMITED</v>
          </cell>
          <cell r="C1812" t="str">
            <v>LSCRED</v>
          </cell>
          <cell r="D1812">
            <v>50980</v>
          </cell>
          <cell r="E1812">
            <v>50980</v>
          </cell>
          <cell r="F1812">
            <v>0</v>
          </cell>
        </row>
        <row r="1813">
          <cell r="A1813" t="str">
            <v>GMUND</v>
          </cell>
          <cell r="B1813" t="str">
            <v>MUNDRA FINANCIAL SERVICES PVT. LTD.</v>
          </cell>
          <cell r="C1813" t="str">
            <v>LSCRED</v>
          </cell>
          <cell r="D1813">
            <v>5606</v>
          </cell>
          <cell r="E1813">
            <v>5606</v>
          </cell>
          <cell r="F1813">
            <v>0</v>
          </cell>
        </row>
        <row r="1814">
          <cell r="A1814" t="str">
            <v>GMYTH</v>
          </cell>
          <cell r="B1814" t="str">
            <v>MYTHILY  RAMACHANDRAN</v>
          </cell>
          <cell r="C1814" t="str">
            <v>LSCRED</v>
          </cell>
          <cell r="D1814">
            <v>31945</v>
          </cell>
          <cell r="E1814">
            <v>31945</v>
          </cell>
          <cell r="F1814">
            <v>0</v>
          </cell>
        </row>
        <row r="1815">
          <cell r="A1815" t="str">
            <v>GNVVI</v>
          </cell>
          <cell r="B1815" t="str">
            <v>N V VISHNU MURTHY &amp; N V KRISHNA KISHORE</v>
          </cell>
          <cell r="C1815" t="str">
            <v>LSCRED</v>
          </cell>
          <cell r="D1815">
            <v>3600</v>
          </cell>
          <cell r="E1815">
            <v>3600</v>
          </cell>
          <cell r="F1815">
            <v>0</v>
          </cell>
        </row>
        <row r="1816">
          <cell r="A1816" t="str">
            <v>GNAGT</v>
          </cell>
          <cell r="B1816" t="str">
            <v>NAGPAL TRADING CORP.</v>
          </cell>
          <cell r="C1816" t="str">
            <v>LSCRED</v>
          </cell>
          <cell r="D1816">
            <v>96268</v>
          </cell>
          <cell r="E1816">
            <v>96268</v>
          </cell>
          <cell r="F1816">
            <v>0</v>
          </cell>
        </row>
        <row r="1817">
          <cell r="A1817" t="str">
            <v>GNABO</v>
          </cell>
          <cell r="B1817" t="str">
            <v>NAND BOOK STALL</v>
          </cell>
          <cell r="C1817" t="str">
            <v>LSCRED</v>
          </cell>
          <cell r="D1817">
            <v>1012</v>
          </cell>
          <cell r="E1817">
            <v>1012</v>
          </cell>
          <cell r="F1817">
            <v>0</v>
          </cell>
        </row>
        <row r="1818">
          <cell r="A1818" t="str">
            <v>GNAND</v>
          </cell>
          <cell r="B1818" t="str">
            <v>NAND KISHORE GARG</v>
          </cell>
          <cell r="C1818" t="str">
            <v>LSCRED</v>
          </cell>
          <cell r="D1818">
            <v>126042</v>
          </cell>
          <cell r="E1818">
            <v>126042</v>
          </cell>
          <cell r="F1818">
            <v>0</v>
          </cell>
        </row>
        <row r="1819">
          <cell r="A1819" t="str">
            <v>GNAMA</v>
          </cell>
          <cell r="B1819" t="str">
            <v>NANDKUMAR MANILAL PAPAIYA</v>
          </cell>
          <cell r="C1819" t="str">
            <v>LSCRED</v>
          </cell>
          <cell r="D1819">
            <v>36257</v>
          </cell>
          <cell r="E1819">
            <v>36257</v>
          </cell>
          <cell r="F1819">
            <v>0</v>
          </cell>
        </row>
        <row r="1820">
          <cell r="A1820" t="str">
            <v>GAHKF</v>
          </cell>
          <cell r="B1820" t="str">
            <v>NANDU CHARKARI</v>
          </cell>
          <cell r="C1820" t="str">
            <v>LSCRED</v>
          </cell>
          <cell r="D1820">
            <v>228750</v>
          </cell>
          <cell r="E1820">
            <v>228750</v>
          </cell>
          <cell r="F1820">
            <v>0</v>
          </cell>
        </row>
        <row r="1821">
          <cell r="A1821" t="str">
            <v>GNAES</v>
          </cell>
          <cell r="B1821" t="str">
            <v>NARAYAN ESTATE CONSULTANTS</v>
          </cell>
          <cell r="C1821" t="str">
            <v>LSCRED</v>
          </cell>
          <cell r="D1821">
            <v>18500</v>
          </cell>
          <cell r="E1821">
            <v>18500</v>
          </cell>
          <cell r="F1821">
            <v>0</v>
          </cell>
        </row>
        <row r="1822">
          <cell r="A1822" t="str">
            <v>GNARP</v>
          </cell>
          <cell r="B1822" t="str">
            <v>NARENDRA P. GANATRA</v>
          </cell>
          <cell r="C1822" t="str">
            <v>LSCRED</v>
          </cell>
          <cell r="D1822">
            <v>36720</v>
          </cell>
          <cell r="E1822">
            <v>36720</v>
          </cell>
          <cell r="F1822">
            <v>0</v>
          </cell>
        </row>
        <row r="1823">
          <cell r="A1823" t="str">
            <v>GNCHA</v>
          </cell>
          <cell r="B1823" t="str">
            <v>NARESH CHAND</v>
          </cell>
          <cell r="C1823" t="str">
            <v>LSCRED</v>
          </cell>
          <cell r="D1823">
            <v>15561</v>
          </cell>
          <cell r="E1823">
            <v>15561</v>
          </cell>
          <cell r="F1823">
            <v>0</v>
          </cell>
        </row>
        <row r="1824">
          <cell r="A1824" t="str">
            <v>GNAKA</v>
          </cell>
          <cell r="B1824" t="str">
            <v>NARINDER KAUR</v>
          </cell>
          <cell r="C1824" t="str">
            <v>LSCRED</v>
          </cell>
          <cell r="D1824">
            <v>28193</v>
          </cell>
          <cell r="E1824">
            <v>28193</v>
          </cell>
          <cell r="F1824">
            <v>0</v>
          </cell>
        </row>
        <row r="1825">
          <cell r="A1825" t="str">
            <v>GNASH</v>
          </cell>
          <cell r="B1825" t="str">
            <v>NASHIK WAREHOUSING COMPANY (PVT) LTD</v>
          </cell>
          <cell r="C1825" t="str">
            <v>LSCRED</v>
          </cell>
          <cell r="D1825">
            <v>5453</v>
          </cell>
          <cell r="E1825">
            <v>5453</v>
          </cell>
          <cell r="F1825">
            <v>0</v>
          </cell>
        </row>
        <row r="1826">
          <cell r="A1826" t="str">
            <v>GNAPA</v>
          </cell>
          <cell r="B1826" t="str">
            <v>NAVINKUMAR PARASMALJI CHORDIYA (HUF)</v>
          </cell>
          <cell r="C1826" t="str">
            <v>LSCRED</v>
          </cell>
          <cell r="D1826">
            <v>39006</v>
          </cell>
          <cell r="E1826">
            <v>39006</v>
          </cell>
          <cell r="F1826">
            <v>0</v>
          </cell>
        </row>
        <row r="1827">
          <cell r="A1827" t="str">
            <v>GNELI</v>
          </cell>
          <cell r="B1827" t="str">
            <v>NEELIMA ASHOK DHAKE</v>
          </cell>
          <cell r="C1827" t="str">
            <v>LSCRED</v>
          </cell>
          <cell r="D1827">
            <v>161632</v>
          </cell>
          <cell r="E1827">
            <v>161632</v>
          </cell>
          <cell r="F1827">
            <v>0</v>
          </cell>
        </row>
        <row r="1828">
          <cell r="A1828" t="str">
            <v>GNEEN</v>
          </cell>
          <cell r="B1828" t="str">
            <v>NEENA PAHUJA</v>
          </cell>
          <cell r="C1828" t="str">
            <v>LSCRED</v>
          </cell>
          <cell r="D1828">
            <v>50150</v>
          </cell>
          <cell r="E1828">
            <v>50150</v>
          </cell>
          <cell r="F1828">
            <v>0</v>
          </cell>
        </row>
        <row r="1829">
          <cell r="A1829" t="str">
            <v>GNEEW</v>
          </cell>
          <cell r="B1829" t="str">
            <v>NEERU WALIA</v>
          </cell>
          <cell r="C1829" t="str">
            <v>LSCRED</v>
          </cell>
          <cell r="D1829">
            <v>149298</v>
          </cell>
          <cell r="E1829">
            <v>149298</v>
          </cell>
          <cell r="F1829">
            <v>0</v>
          </cell>
        </row>
        <row r="1830">
          <cell r="A1830" t="str">
            <v>GNEHE</v>
          </cell>
          <cell r="B1830" t="str">
            <v>NEHA HEMANT SURATWALA</v>
          </cell>
          <cell r="C1830" t="str">
            <v>LSCRED</v>
          </cell>
          <cell r="D1830">
            <v>4972</v>
          </cell>
          <cell r="E1830">
            <v>4972</v>
          </cell>
          <cell r="F1830">
            <v>0</v>
          </cell>
        </row>
        <row r="1831">
          <cell r="A1831" t="str">
            <v>GNECJ</v>
          </cell>
          <cell r="B1831" t="str">
            <v>NEMI CHAND JAIN</v>
          </cell>
          <cell r="C1831" t="str">
            <v>LSCRED</v>
          </cell>
          <cell r="D1831">
            <v>15771</v>
          </cell>
          <cell r="E1831">
            <v>15771</v>
          </cell>
          <cell r="F1831">
            <v>0</v>
          </cell>
        </row>
        <row r="1832">
          <cell r="A1832" t="str">
            <v>GNETP</v>
          </cell>
          <cell r="B1832" t="str">
            <v>NETPRO SYSTEMS &amp; SERVICES</v>
          </cell>
          <cell r="C1832" t="str">
            <v>LSCRED</v>
          </cell>
          <cell r="D1832">
            <v>11250</v>
          </cell>
          <cell r="E1832">
            <v>11250</v>
          </cell>
          <cell r="F1832">
            <v>0</v>
          </cell>
        </row>
        <row r="1833">
          <cell r="A1833" t="str">
            <v>GNEWG</v>
          </cell>
          <cell r="B1833" t="str">
            <v>NEW GOLDEN FURNITURE WORKS</v>
          </cell>
          <cell r="C1833" t="str">
            <v>LSCRED</v>
          </cell>
          <cell r="D1833">
            <v>2098</v>
          </cell>
          <cell r="E1833">
            <v>2098</v>
          </cell>
          <cell r="F1833">
            <v>0</v>
          </cell>
        </row>
        <row r="1834">
          <cell r="A1834" t="str">
            <v>GNITE</v>
          </cell>
          <cell r="B1834" t="str">
            <v>NILESH KESARIA</v>
          </cell>
          <cell r="C1834" t="str">
            <v>LSCRED</v>
          </cell>
          <cell r="D1834">
            <v>381416</v>
          </cell>
          <cell r="E1834">
            <v>381416</v>
          </cell>
          <cell r="F1834">
            <v>0</v>
          </cell>
        </row>
        <row r="1835">
          <cell r="A1835" t="str">
            <v>GNIRM</v>
          </cell>
          <cell r="B1835" t="str">
            <v>NIRMAL KALRA</v>
          </cell>
          <cell r="C1835" t="str">
            <v>LSCRED</v>
          </cell>
          <cell r="D1835">
            <v>121043</v>
          </cell>
          <cell r="E1835">
            <v>121043</v>
          </cell>
          <cell r="F1835">
            <v>0</v>
          </cell>
        </row>
        <row r="1836">
          <cell r="A1836" t="str">
            <v>GNCAR</v>
          </cell>
          <cell r="B1836" t="str">
            <v>NISHA ARORA</v>
          </cell>
          <cell r="C1836" t="str">
            <v>LSCRED</v>
          </cell>
          <cell r="D1836">
            <v>155888</v>
          </cell>
          <cell r="E1836">
            <v>155888</v>
          </cell>
          <cell r="F1836">
            <v>0</v>
          </cell>
        </row>
        <row r="1837">
          <cell r="A1837" t="str">
            <v>GNISA</v>
          </cell>
          <cell r="B1837" t="str">
            <v>NISHA PRINTING WORKS</v>
          </cell>
          <cell r="C1837" t="str">
            <v>LSCRED</v>
          </cell>
          <cell r="D1837">
            <v>144597</v>
          </cell>
          <cell r="E1837">
            <v>144597</v>
          </cell>
          <cell r="F1837">
            <v>0</v>
          </cell>
        </row>
        <row r="1838">
          <cell r="A1838" t="str">
            <v>GNIJI</v>
          </cell>
          <cell r="B1838" t="str">
            <v>NITA JITENDRA MEHTA</v>
          </cell>
          <cell r="C1838" t="str">
            <v>LSCRED</v>
          </cell>
          <cell r="D1838">
            <v>19619</v>
          </cell>
          <cell r="E1838">
            <v>19619</v>
          </cell>
          <cell r="F1838">
            <v>0</v>
          </cell>
        </row>
        <row r="1839">
          <cell r="A1839" t="str">
            <v>GNOIDA</v>
          </cell>
          <cell r="B1839" t="str">
            <v>NOIDA SYNTEX PVT. LTD.</v>
          </cell>
          <cell r="C1839" t="str">
            <v>LSCRED</v>
          </cell>
          <cell r="D1839">
            <v>200512</v>
          </cell>
          <cell r="E1839">
            <v>200512</v>
          </cell>
          <cell r="F1839">
            <v>0</v>
          </cell>
        </row>
        <row r="1840">
          <cell r="A1840" t="str">
            <v>GNOSH</v>
          </cell>
          <cell r="B1840" t="str">
            <v>NOSHIR M IRANI</v>
          </cell>
          <cell r="C1840" t="str">
            <v>LSCRED</v>
          </cell>
          <cell r="D1840">
            <v>305961</v>
          </cell>
          <cell r="E1840">
            <v>305961</v>
          </cell>
          <cell r="F1840">
            <v>0</v>
          </cell>
        </row>
        <row r="1841">
          <cell r="A1841" t="str">
            <v>GOMOW</v>
          </cell>
          <cell r="B1841" t="str">
            <v>OM OWNERS ASSOCIATION</v>
          </cell>
          <cell r="C1841" t="str">
            <v>LSCRED</v>
          </cell>
          <cell r="D1841">
            <v>14323</v>
          </cell>
          <cell r="E1841">
            <v>14323</v>
          </cell>
          <cell r="F1841">
            <v>0</v>
          </cell>
        </row>
        <row r="1842">
          <cell r="A1842" t="str">
            <v>GOSHU</v>
          </cell>
          <cell r="B1842" t="str">
            <v>OM SHUBHAM HOUSING &amp; CONSTRUCTION CO. PVT. LTD.</v>
          </cell>
          <cell r="C1842" t="str">
            <v>LSCRED</v>
          </cell>
          <cell r="D1842">
            <v>183974</v>
          </cell>
          <cell r="E1842">
            <v>183974</v>
          </cell>
          <cell r="F1842">
            <v>0</v>
          </cell>
        </row>
        <row r="1843">
          <cell r="A1843" t="str">
            <v>GPPRI</v>
          </cell>
          <cell r="B1843" t="str">
            <v>P PRINCE MOSES</v>
          </cell>
          <cell r="C1843" t="str">
            <v>LSCRED</v>
          </cell>
          <cell r="D1843">
            <v>35676</v>
          </cell>
          <cell r="E1843">
            <v>35676</v>
          </cell>
          <cell r="F1843">
            <v>0</v>
          </cell>
        </row>
        <row r="1844">
          <cell r="A1844" t="str">
            <v>GPRAI</v>
          </cell>
          <cell r="B1844" t="str">
            <v>P RAVINDER REDDY</v>
          </cell>
          <cell r="C1844" t="str">
            <v>LSCRED</v>
          </cell>
          <cell r="D1844">
            <v>20000</v>
          </cell>
          <cell r="E1844">
            <v>20000</v>
          </cell>
          <cell r="F1844">
            <v>0</v>
          </cell>
        </row>
        <row r="1845">
          <cell r="A1845" t="str">
            <v>GPVEN</v>
          </cell>
          <cell r="B1845" t="str">
            <v>P VENKATA SATYA SUBBA RAO</v>
          </cell>
          <cell r="C1845" t="str">
            <v>LSCRED</v>
          </cell>
          <cell r="D1845">
            <v>12000</v>
          </cell>
          <cell r="E1845">
            <v>12000</v>
          </cell>
          <cell r="F1845">
            <v>0</v>
          </cell>
        </row>
        <row r="1846">
          <cell r="A1846" t="str">
            <v>GPINA</v>
          </cell>
          <cell r="B1846" t="str">
            <v>P. A.INAMDAR</v>
          </cell>
          <cell r="C1846" t="str">
            <v>LSCRED</v>
          </cell>
          <cell r="D1846">
            <v>20196</v>
          </cell>
          <cell r="E1846">
            <v>20196</v>
          </cell>
          <cell r="F1846">
            <v>0</v>
          </cell>
        </row>
        <row r="1847">
          <cell r="A1847" t="str">
            <v>GPVTE</v>
          </cell>
          <cell r="B1847" t="str">
            <v>P. VENKATESHWAR</v>
          </cell>
          <cell r="C1847" t="str">
            <v>LSCRED</v>
          </cell>
          <cell r="D1847">
            <v>2710</v>
          </cell>
          <cell r="E1847">
            <v>2710</v>
          </cell>
          <cell r="F1847">
            <v>0</v>
          </cell>
        </row>
        <row r="1848">
          <cell r="A1848" t="str">
            <v>GPVER</v>
          </cell>
          <cell r="B1848" t="str">
            <v>P. VENKATESWARA RAO</v>
          </cell>
          <cell r="C1848" t="str">
            <v>LSCRED</v>
          </cell>
          <cell r="D1848">
            <v>2087</v>
          </cell>
          <cell r="E1848">
            <v>2087</v>
          </cell>
          <cell r="F1848">
            <v>0</v>
          </cell>
        </row>
        <row r="1849">
          <cell r="A1849" t="str">
            <v>GPADA</v>
          </cell>
          <cell r="B1849" t="str">
            <v>PADAM KANT MISHRA</v>
          </cell>
          <cell r="C1849" t="str">
            <v>LSCRED</v>
          </cell>
          <cell r="D1849">
            <v>66556</v>
          </cell>
          <cell r="E1849">
            <v>66556</v>
          </cell>
          <cell r="F1849">
            <v>0</v>
          </cell>
        </row>
        <row r="1850">
          <cell r="A1850" t="str">
            <v>GPRAW</v>
          </cell>
          <cell r="B1850" t="str">
            <v>PADAMDEEP MAINTENANCE &amp; WELFARE SOCIETY</v>
          </cell>
          <cell r="C1850" t="str">
            <v>LSCRED</v>
          </cell>
          <cell r="D1850">
            <v>19885</v>
          </cell>
          <cell r="E1850">
            <v>19885</v>
          </cell>
          <cell r="F1850">
            <v>0</v>
          </cell>
        </row>
        <row r="1851">
          <cell r="A1851" t="str">
            <v>GPADM</v>
          </cell>
          <cell r="B1851" t="str">
            <v>PADMAVATI RAM JAMNANI</v>
          </cell>
          <cell r="C1851" t="str">
            <v>LSCRED</v>
          </cell>
          <cell r="D1851">
            <v>7000</v>
          </cell>
          <cell r="E1851">
            <v>7000</v>
          </cell>
          <cell r="F1851">
            <v>0</v>
          </cell>
        </row>
        <row r="1852">
          <cell r="A1852" t="str">
            <v>GPAND</v>
          </cell>
          <cell r="B1852" t="str">
            <v>PANDIT AUTOMOTIVE PVT LTD</v>
          </cell>
          <cell r="C1852" t="str">
            <v>LSCRED</v>
          </cell>
          <cell r="D1852">
            <v>82532</v>
          </cell>
          <cell r="E1852">
            <v>82532</v>
          </cell>
          <cell r="F1852">
            <v>0</v>
          </cell>
        </row>
        <row r="1853">
          <cell r="A1853" t="str">
            <v>GAPANK</v>
          </cell>
          <cell r="B1853" t="str">
            <v>PANKAJ KUMAR SINGH</v>
          </cell>
          <cell r="C1853" t="str">
            <v>LSCRED</v>
          </cell>
          <cell r="D1853">
            <v>306233</v>
          </cell>
          <cell r="E1853">
            <v>306233</v>
          </cell>
          <cell r="F1853">
            <v>0</v>
          </cell>
        </row>
        <row r="1854">
          <cell r="A1854" t="str">
            <v>GPAJA</v>
          </cell>
          <cell r="B1854" t="str">
            <v>PANKAJBHAI JAYANTIBHAI PATEL</v>
          </cell>
          <cell r="C1854" t="str">
            <v>LSCRED</v>
          </cell>
          <cell r="D1854">
            <v>16266</v>
          </cell>
          <cell r="E1854">
            <v>16266</v>
          </cell>
          <cell r="F1854">
            <v>0</v>
          </cell>
        </row>
        <row r="1855">
          <cell r="A1855" t="str">
            <v>GPAPP</v>
          </cell>
          <cell r="B1855" t="str">
            <v>PAPPU</v>
          </cell>
          <cell r="C1855" t="str">
            <v>LSCRED</v>
          </cell>
          <cell r="D1855">
            <v>1182</v>
          </cell>
          <cell r="E1855">
            <v>1182</v>
          </cell>
          <cell r="F1855">
            <v>0</v>
          </cell>
        </row>
        <row r="1856">
          <cell r="A1856" t="str">
            <v>GPDEEP</v>
          </cell>
          <cell r="B1856" t="str">
            <v>PARAM DEEP SINGH</v>
          </cell>
          <cell r="C1856" t="str">
            <v>LSCRED</v>
          </cell>
          <cell r="D1856">
            <v>3693</v>
          </cell>
          <cell r="E1856">
            <v>3693</v>
          </cell>
          <cell r="F1856">
            <v>0</v>
          </cell>
        </row>
        <row r="1857">
          <cell r="A1857" t="str">
            <v>GPDEE</v>
          </cell>
          <cell r="B1857" t="str">
            <v>PARAM DEEP SINGH (HUF)</v>
          </cell>
          <cell r="C1857" t="str">
            <v>LSCRED</v>
          </cell>
          <cell r="D1857">
            <v>22940</v>
          </cell>
          <cell r="E1857">
            <v>22940</v>
          </cell>
          <cell r="F1857">
            <v>0</v>
          </cell>
        </row>
        <row r="1858">
          <cell r="A1858" t="str">
            <v>GPARM</v>
          </cell>
          <cell r="B1858" t="str">
            <v>PARAMJIT KAUR</v>
          </cell>
          <cell r="C1858" t="str">
            <v>LSCRED</v>
          </cell>
          <cell r="D1858">
            <v>53776</v>
          </cell>
          <cell r="E1858">
            <v>53776</v>
          </cell>
          <cell r="F1858">
            <v>0</v>
          </cell>
        </row>
        <row r="1859">
          <cell r="A1859" t="str">
            <v>GPARR</v>
          </cell>
          <cell r="B1859" t="str">
            <v>PARAS SHRIMAL</v>
          </cell>
          <cell r="C1859" t="str">
            <v>LSCRED</v>
          </cell>
          <cell r="D1859">
            <v>27540</v>
          </cell>
          <cell r="E1859">
            <v>27540</v>
          </cell>
          <cell r="F1859">
            <v>0</v>
          </cell>
        </row>
        <row r="1860">
          <cell r="A1860" t="str">
            <v>GPARAS</v>
          </cell>
          <cell r="B1860" t="str">
            <v>PARAS SHRIYA TRAVEL LINES</v>
          </cell>
          <cell r="C1860" t="str">
            <v>LSCRED</v>
          </cell>
          <cell r="D1860">
            <v>11756</v>
          </cell>
          <cell r="E1860">
            <v>11756</v>
          </cell>
          <cell r="F1860">
            <v>0</v>
          </cell>
        </row>
        <row r="1861">
          <cell r="A1861" t="str">
            <v>GPASI</v>
          </cell>
          <cell r="B1861" t="str">
            <v>PARDAMAN SINGH</v>
          </cell>
          <cell r="C1861" t="str">
            <v>LSCRED</v>
          </cell>
          <cell r="D1861">
            <v>21076</v>
          </cell>
          <cell r="E1861">
            <v>21076</v>
          </cell>
          <cell r="F1861">
            <v>0</v>
          </cell>
        </row>
        <row r="1862">
          <cell r="A1862" t="str">
            <v>GPASA</v>
          </cell>
          <cell r="B1862" t="str">
            <v>PARESH SACHDEV</v>
          </cell>
          <cell r="C1862" t="str">
            <v>LSCRED</v>
          </cell>
          <cell r="D1862">
            <v>947</v>
          </cell>
          <cell r="E1862">
            <v>947</v>
          </cell>
          <cell r="F1862">
            <v>0</v>
          </cell>
        </row>
        <row r="1863">
          <cell r="A1863" t="str">
            <v>GPABA</v>
          </cell>
          <cell r="B1863" t="str">
            <v>PARIMALA BAI</v>
          </cell>
          <cell r="C1863" t="str">
            <v>LSCRED</v>
          </cell>
          <cell r="D1863">
            <v>73962</v>
          </cell>
          <cell r="E1863">
            <v>73962</v>
          </cell>
          <cell r="F1863">
            <v>0</v>
          </cell>
        </row>
        <row r="1864">
          <cell r="A1864" t="str">
            <v>GPARC</v>
          </cell>
          <cell r="B1864" t="str">
            <v>PARIMALAM COMPANY</v>
          </cell>
          <cell r="C1864" t="str">
            <v>LSCRED</v>
          </cell>
          <cell r="D1864">
            <v>25583</v>
          </cell>
          <cell r="E1864">
            <v>25583</v>
          </cell>
          <cell r="F1864">
            <v>0</v>
          </cell>
        </row>
        <row r="1865">
          <cell r="A1865" t="str">
            <v>GPARTH</v>
          </cell>
          <cell r="B1865" t="str">
            <v>PARITOSH GAUR</v>
          </cell>
          <cell r="C1865" t="str">
            <v>LSCRED</v>
          </cell>
          <cell r="D1865">
            <v>37230</v>
          </cell>
          <cell r="E1865">
            <v>37230</v>
          </cell>
          <cell r="F1865">
            <v>0</v>
          </cell>
        </row>
        <row r="1866">
          <cell r="A1866" t="str">
            <v>GPARH</v>
          </cell>
          <cell r="B1866" t="str">
            <v>PARKASH AUTOMOBILES</v>
          </cell>
          <cell r="C1866" t="str">
            <v>LSCRED</v>
          </cell>
          <cell r="D1866">
            <v>14400</v>
          </cell>
          <cell r="E1866">
            <v>14400</v>
          </cell>
          <cell r="F1866">
            <v>0</v>
          </cell>
        </row>
        <row r="1867">
          <cell r="A1867" t="str">
            <v>GPAKU</v>
          </cell>
          <cell r="B1867" t="str">
            <v>PARMOD KUMAR</v>
          </cell>
          <cell r="C1867" t="str">
            <v>LSCRED</v>
          </cell>
          <cell r="D1867">
            <v>1309</v>
          </cell>
          <cell r="E1867">
            <v>1309</v>
          </cell>
          <cell r="F1867">
            <v>0</v>
          </cell>
        </row>
        <row r="1868">
          <cell r="A1868" t="str">
            <v>GPARG</v>
          </cell>
          <cell r="B1868" t="str">
            <v>PARSHURAM GUPTA</v>
          </cell>
          <cell r="C1868" t="str">
            <v>LSCRED</v>
          </cell>
          <cell r="D1868">
            <v>13391</v>
          </cell>
          <cell r="E1868">
            <v>13391</v>
          </cell>
          <cell r="F1868">
            <v>0</v>
          </cell>
        </row>
        <row r="1869">
          <cell r="A1869" t="str">
            <v>GPARW</v>
          </cell>
          <cell r="B1869" t="str">
            <v>PARWATHGOUDA CHANNAVEERGOUDA SIDDANGOUDAR</v>
          </cell>
          <cell r="C1869" t="str">
            <v>LSCRED</v>
          </cell>
          <cell r="D1869">
            <v>17726</v>
          </cell>
          <cell r="E1869">
            <v>17726</v>
          </cell>
          <cell r="F1869">
            <v>0</v>
          </cell>
        </row>
        <row r="1870">
          <cell r="A1870" t="str">
            <v>GPATEL</v>
          </cell>
          <cell r="B1870" t="str">
            <v>PATEL GENERAL STORE</v>
          </cell>
          <cell r="C1870" t="str">
            <v>LSCRED</v>
          </cell>
          <cell r="D1870">
            <v>9474</v>
          </cell>
          <cell r="E1870">
            <v>9474</v>
          </cell>
          <cell r="F1870">
            <v>0</v>
          </cell>
        </row>
        <row r="1871">
          <cell r="A1871" t="str">
            <v>GPATF</v>
          </cell>
          <cell r="B1871" t="str">
            <v>PATHFINDERS</v>
          </cell>
          <cell r="C1871" t="str">
            <v>LSCRED</v>
          </cell>
          <cell r="D1871">
            <v>1122</v>
          </cell>
          <cell r="E1871">
            <v>1122</v>
          </cell>
          <cell r="F1871">
            <v>0</v>
          </cell>
        </row>
        <row r="1872">
          <cell r="A1872" t="str">
            <v>GPAWD</v>
          </cell>
          <cell r="B1872" t="str">
            <v>PAWAN DAWAR</v>
          </cell>
          <cell r="C1872" t="str">
            <v>LSCRED</v>
          </cell>
          <cell r="D1872">
            <v>48681</v>
          </cell>
          <cell r="E1872">
            <v>48681</v>
          </cell>
          <cell r="F1872">
            <v>0</v>
          </cell>
        </row>
        <row r="1873">
          <cell r="A1873" t="str">
            <v>GPAJH</v>
          </cell>
          <cell r="B1873" t="str">
            <v>PAYAL JHAWAR</v>
          </cell>
          <cell r="C1873" t="str">
            <v>LSCRED</v>
          </cell>
          <cell r="D1873">
            <v>232958</v>
          </cell>
          <cell r="E1873">
            <v>232958</v>
          </cell>
          <cell r="F1873">
            <v>0</v>
          </cell>
        </row>
        <row r="1874">
          <cell r="A1874" t="str">
            <v>GPERP</v>
          </cell>
          <cell r="B1874" t="str">
            <v>PERPETUAL REAL ESTATE</v>
          </cell>
          <cell r="C1874" t="str">
            <v>LSCRED</v>
          </cell>
          <cell r="D1874">
            <v>104018</v>
          </cell>
          <cell r="E1874">
            <v>104018</v>
          </cell>
          <cell r="F1874">
            <v>0</v>
          </cell>
        </row>
        <row r="1875">
          <cell r="A1875" t="str">
            <v>GPINI</v>
          </cell>
          <cell r="B1875" t="str">
            <v>PINIKA KETAN SHAH</v>
          </cell>
          <cell r="C1875" t="str">
            <v>LSCRED</v>
          </cell>
          <cell r="D1875">
            <v>24418.5</v>
          </cell>
          <cell r="E1875">
            <v>24418.5</v>
          </cell>
          <cell r="F1875">
            <v>0</v>
          </cell>
        </row>
        <row r="1876">
          <cell r="A1876" t="str">
            <v>GPOMA</v>
          </cell>
          <cell r="B1876" t="str">
            <v>POOJA MANCHANDA</v>
          </cell>
          <cell r="C1876" t="str">
            <v>LSCRED</v>
          </cell>
          <cell r="D1876">
            <v>32650</v>
          </cell>
          <cell r="E1876">
            <v>32650</v>
          </cell>
          <cell r="F1876">
            <v>0</v>
          </cell>
        </row>
        <row r="1877">
          <cell r="A1877" t="str">
            <v>GPOSI</v>
          </cell>
          <cell r="B1877" t="str">
            <v>POSITIVE HR CONSULTANTS</v>
          </cell>
          <cell r="C1877" t="str">
            <v>LSCRED</v>
          </cell>
          <cell r="D1877">
            <v>15974</v>
          </cell>
          <cell r="E1877">
            <v>15974</v>
          </cell>
          <cell r="F1877">
            <v>0</v>
          </cell>
        </row>
        <row r="1878">
          <cell r="A1878" t="str">
            <v>GPOTE</v>
          </cell>
          <cell r="B1878" t="str">
            <v>POTENTIAL BUILDERS PVT. LTD.</v>
          </cell>
          <cell r="C1878" t="str">
            <v>LSCRED</v>
          </cell>
          <cell r="D1878">
            <v>1081043</v>
          </cell>
          <cell r="E1878">
            <v>1081043</v>
          </cell>
          <cell r="F1878">
            <v>0</v>
          </cell>
        </row>
        <row r="1879">
          <cell r="A1879" t="str">
            <v>GPRADH</v>
          </cell>
          <cell r="B1879" t="str">
            <v>PRAMOD KR DHANDHANIA</v>
          </cell>
          <cell r="C1879" t="str">
            <v>LSCRED</v>
          </cell>
          <cell r="D1879">
            <v>11108</v>
          </cell>
          <cell r="E1879">
            <v>11108</v>
          </cell>
          <cell r="F1879">
            <v>0</v>
          </cell>
        </row>
        <row r="1880">
          <cell r="A1880" t="str">
            <v>GPRJH</v>
          </cell>
          <cell r="B1880" t="str">
            <v>PRAMOD KUMAR JHUNJHUNWALA</v>
          </cell>
          <cell r="C1880" t="str">
            <v>LSCRED</v>
          </cell>
          <cell r="D1880">
            <v>820000</v>
          </cell>
          <cell r="E1880">
            <v>820000</v>
          </cell>
          <cell r="F1880">
            <v>0</v>
          </cell>
        </row>
        <row r="1881">
          <cell r="A1881" t="str">
            <v>GPTEL</v>
          </cell>
          <cell r="B1881" t="str">
            <v>PRANAV TRADING ENTERPRISES LIMITED</v>
          </cell>
          <cell r="C1881" t="str">
            <v>LSCRED</v>
          </cell>
          <cell r="D1881">
            <v>113094</v>
          </cell>
          <cell r="E1881">
            <v>113094</v>
          </cell>
          <cell r="F1881">
            <v>0</v>
          </cell>
        </row>
        <row r="1882">
          <cell r="A1882" t="str">
            <v>GPRASS</v>
          </cell>
          <cell r="B1882" t="str">
            <v>PRASAD ASSOCIATES</v>
          </cell>
          <cell r="C1882" t="str">
            <v>LSCRED</v>
          </cell>
          <cell r="D1882">
            <v>26253</v>
          </cell>
          <cell r="E1882">
            <v>26253</v>
          </cell>
          <cell r="F1882">
            <v>0</v>
          </cell>
        </row>
        <row r="1883">
          <cell r="A1883" t="str">
            <v>GPRRA</v>
          </cell>
          <cell r="B1883" t="str">
            <v>PRASHANT RAJ SHARMA</v>
          </cell>
          <cell r="C1883" t="str">
            <v>LSCRED</v>
          </cell>
          <cell r="D1883">
            <v>27584</v>
          </cell>
          <cell r="E1883">
            <v>27584</v>
          </cell>
          <cell r="F1883">
            <v>0</v>
          </cell>
        </row>
        <row r="1884">
          <cell r="A1884" t="str">
            <v>GPRSHAN</v>
          </cell>
          <cell r="B1884" t="str">
            <v>PRATIBHABEN SHANTILAL SURATWALA</v>
          </cell>
          <cell r="C1884" t="str">
            <v>LSCRED</v>
          </cell>
          <cell r="D1884">
            <v>4972</v>
          </cell>
          <cell r="E1884">
            <v>4972</v>
          </cell>
          <cell r="F1884">
            <v>0</v>
          </cell>
        </row>
        <row r="1885">
          <cell r="A1885" t="str">
            <v>GPRPA</v>
          </cell>
          <cell r="B1885" t="str">
            <v>PRAVINKUMAR PARASMALJI CHORDIYA (HUF)</v>
          </cell>
          <cell r="C1885" t="str">
            <v>LSCRED</v>
          </cell>
          <cell r="D1885">
            <v>38997</v>
          </cell>
          <cell r="E1885">
            <v>38997</v>
          </cell>
          <cell r="F1885">
            <v>0</v>
          </cell>
        </row>
        <row r="1886">
          <cell r="A1886" t="str">
            <v>GPRET</v>
          </cell>
          <cell r="B1886" t="str">
            <v>PREETI JHUNJHUNWALA</v>
          </cell>
          <cell r="C1886" t="str">
            <v>LSCRED</v>
          </cell>
          <cell r="D1886">
            <v>9437</v>
          </cell>
          <cell r="E1886">
            <v>9437</v>
          </cell>
          <cell r="F1886">
            <v>0</v>
          </cell>
        </row>
        <row r="1887">
          <cell r="A1887" t="str">
            <v>GPAMA</v>
          </cell>
          <cell r="B1887" t="str">
            <v>PREM ASSOCIATES ADVERTISING &amp; MARKETING</v>
          </cell>
          <cell r="C1887" t="str">
            <v>LSCRED</v>
          </cell>
          <cell r="D1887">
            <v>151650</v>
          </cell>
          <cell r="E1887">
            <v>151650</v>
          </cell>
          <cell r="F1887">
            <v>0</v>
          </cell>
        </row>
        <row r="1888">
          <cell r="A1888" t="str">
            <v>GPMEN</v>
          </cell>
          <cell r="B1888" t="str">
            <v>PREM ENTERPRISES</v>
          </cell>
          <cell r="C1888" t="str">
            <v>LSCRED</v>
          </cell>
          <cell r="D1888">
            <v>25250</v>
          </cell>
          <cell r="E1888">
            <v>25250</v>
          </cell>
          <cell r="F1888">
            <v>0</v>
          </cell>
        </row>
        <row r="1889">
          <cell r="A1889" t="str">
            <v>GPREM</v>
          </cell>
          <cell r="B1889" t="str">
            <v>PREM LATA BANSAL</v>
          </cell>
          <cell r="C1889" t="str">
            <v>LSCRED</v>
          </cell>
          <cell r="D1889">
            <v>502940</v>
          </cell>
          <cell r="E1889">
            <v>502940</v>
          </cell>
          <cell r="F1889">
            <v>0</v>
          </cell>
        </row>
        <row r="1890">
          <cell r="A1890" t="str">
            <v>GPREI</v>
          </cell>
          <cell r="B1890" t="str">
            <v>PREMIER CONSULTANTS</v>
          </cell>
          <cell r="C1890" t="str">
            <v>LSCRED</v>
          </cell>
          <cell r="D1890">
            <v>1505</v>
          </cell>
          <cell r="E1890">
            <v>1505</v>
          </cell>
          <cell r="F1890">
            <v>0</v>
          </cell>
        </row>
        <row r="1891">
          <cell r="A1891" t="str">
            <v>GPRIMR</v>
          </cell>
          <cell r="B1891" t="str">
            <v>PRIMROSE AGRI INVESTMENTS &amp; AGENCIES PVT LTD</v>
          </cell>
          <cell r="C1891" t="str">
            <v>LSCRED</v>
          </cell>
          <cell r="D1891">
            <v>432454</v>
          </cell>
          <cell r="E1891">
            <v>432454</v>
          </cell>
          <cell r="F1891">
            <v>0</v>
          </cell>
        </row>
        <row r="1892">
          <cell r="A1892" t="str">
            <v>GPRIH</v>
          </cell>
          <cell r="B1892" t="str">
            <v>PRITIBEN HARDIKBHAI KARELIA</v>
          </cell>
          <cell r="C1892" t="str">
            <v>LSCRED</v>
          </cell>
          <cell r="D1892">
            <v>14200</v>
          </cell>
          <cell r="E1892">
            <v>14200</v>
          </cell>
          <cell r="F1892">
            <v>0</v>
          </cell>
        </row>
        <row r="1893">
          <cell r="A1893" t="str">
            <v>GPRIA</v>
          </cell>
          <cell r="B1893" t="str">
            <v>PRIYANKA ARORA CHANDRA MOHAN ARORA RAM KRISHAN ARORA</v>
          </cell>
          <cell r="C1893" t="str">
            <v>LSCRED</v>
          </cell>
          <cell r="D1893">
            <v>35506</v>
          </cell>
          <cell r="E1893">
            <v>35506</v>
          </cell>
          <cell r="F1893">
            <v>0</v>
          </cell>
        </row>
        <row r="1894">
          <cell r="A1894" t="str">
            <v>GPRIY</v>
          </cell>
          <cell r="B1894" t="str">
            <v>PRIYANKA SINGH</v>
          </cell>
          <cell r="C1894" t="str">
            <v>LSCRED</v>
          </cell>
          <cell r="D1894">
            <v>64071</v>
          </cell>
          <cell r="E1894">
            <v>64071</v>
          </cell>
          <cell r="F1894">
            <v>0</v>
          </cell>
        </row>
        <row r="1895">
          <cell r="A1895" t="str">
            <v>GPRMA</v>
          </cell>
          <cell r="B1895" t="str">
            <v>PROVISION FOR MARKETING ASSOCIATES</v>
          </cell>
          <cell r="C1895" t="str">
            <v>LSCRED</v>
          </cell>
          <cell r="D1895">
            <v>1291449</v>
          </cell>
          <cell r="E1895">
            <v>1291449</v>
          </cell>
          <cell r="F1895">
            <v>0</v>
          </cell>
        </row>
        <row r="1896">
          <cell r="A1896" t="str">
            <v>GPUNT</v>
          </cell>
          <cell r="B1896" t="str">
            <v>PUNEET JAIN</v>
          </cell>
          <cell r="C1896" t="str">
            <v>LSCRED</v>
          </cell>
          <cell r="D1896">
            <v>28917</v>
          </cell>
          <cell r="E1896">
            <v>28917</v>
          </cell>
          <cell r="F1896">
            <v>0</v>
          </cell>
        </row>
        <row r="1897">
          <cell r="A1897" t="str">
            <v>GPUKH</v>
          </cell>
          <cell r="B1897" t="str">
            <v>PUNEET KHANNA</v>
          </cell>
          <cell r="C1897" t="str">
            <v>LSCRED</v>
          </cell>
          <cell r="D1897">
            <v>1983</v>
          </cell>
          <cell r="E1897">
            <v>1983</v>
          </cell>
          <cell r="F1897">
            <v>0</v>
          </cell>
        </row>
        <row r="1898">
          <cell r="A1898" t="str">
            <v>GPUSP</v>
          </cell>
          <cell r="B1898" t="str">
            <v>PUSHPA PATHAK</v>
          </cell>
          <cell r="C1898" t="str">
            <v>LSCRED</v>
          </cell>
          <cell r="D1898">
            <v>21393</v>
          </cell>
          <cell r="E1898">
            <v>21393</v>
          </cell>
          <cell r="F1898">
            <v>0</v>
          </cell>
        </row>
        <row r="1899">
          <cell r="A1899" t="str">
            <v>GQUIC</v>
          </cell>
          <cell r="B1899" t="str">
            <v>QUICK - N - FLY COURIER (P) LTD</v>
          </cell>
          <cell r="C1899" t="str">
            <v>LSCRED</v>
          </cell>
          <cell r="D1899">
            <v>411533</v>
          </cell>
          <cell r="E1899">
            <v>411533</v>
          </cell>
          <cell r="F1899">
            <v>0</v>
          </cell>
        </row>
        <row r="1900">
          <cell r="A1900" t="str">
            <v>GQFLY</v>
          </cell>
          <cell r="B1900" t="str">
            <v>QUICK - N - FLY EXPRESS</v>
          </cell>
          <cell r="C1900" t="str">
            <v>LSCRED</v>
          </cell>
          <cell r="D1900">
            <v>4557</v>
          </cell>
          <cell r="E1900">
            <v>4557</v>
          </cell>
          <cell r="F1900">
            <v>0</v>
          </cell>
        </row>
        <row r="1901">
          <cell r="A1901" t="str">
            <v>GRASM</v>
          </cell>
          <cell r="B1901" t="str">
            <v>R A SANTANA MARKETING SERVICES PVT LTD</v>
          </cell>
          <cell r="C1901" t="str">
            <v>LSCRED</v>
          </cell>
          <cell r="D1901">
            <v>22500</v>
          </cell>
          <cell r="E1901">
            <v>22500</v>
          </cell>
          <cell r="F1901">
            <v>0</v>
          </cell>
        </row>
        <row r="1902">
          <cell r="A1902" t="str">
            <v>GRCHAB</v>
          </cell>
          <cell r="B1902" t="str">
            <v>R CHAMPAVATHY BAI</v>
          </cell>
          <cell r="C1902" t="str">
            <v>LSCRED</v>
          </cell>
          <cell r="D1902">
            <v>10500</v>
          </cell>
          <cell r="E1902">
            <v>10500</v>
          </cell>
          <cell r="F1902">
            <v>0</v>
          </cell>
        </row>
        <row r="1903">
          <cell r="A1903" t="str">
            <v>GRDMO</v>
          </cell>
          <cell r="B1903" t="str">
            <v>R D MOTORS PRIVATE LIMITED</v>
          </cell>
          <cell r="C1903" t="str">
            <v>LSCRED</v>
          </cell>
          <cell r="D1903">
            <v>402733</v>
          </cell>
          <cell r="E1903">
            <v>402733</v>
          </cell>
          <cell r="F1903">
            <v>0</v>
          </cell>
        </row>
        <row r="1904">
          <cell r="A1904" t="str">
            <v>GRKAG</v>
          </cell>
          <cell r="B1904" t="str">
            <v>R K AGARWAL ESTATE PVT LTD</v>
          </cell>
          <cell r="C1904" t="str">
            <v>LSCRED</v>
          </cell>
          <cell r="D1904">
            <v>181635</v>
          </cell>
          <cell r="E1904">
            <v>181635</v>
          </cell>
          <cell r="F1904">
            <v>0</v>
          </cell>
        </row>
        <row r="1905">
          <cell r="A1905" t="str">
            <v>GRSBU</v>
          </cell>
          <cell r="B1905" t="str">
            <v>R S BUILDERS</v>
          </cell>
          <cell r="C1905" t="str">
            <v>LSCRED</v>
          </cell>
          <cell r="D1905">
            <v>187088</v>
          </cell>
          <cell r="E1905">
            <v>187088</v>
          </cell>
          <cell r="F1905">
            <v>0</v>
          </cell>
        </row>
        <row r="1906">
          <cell r="A1906" t="str">
            <v>GRALAG</v>
          </cell>
          <cell r="B1906" t="str">
            <v>R. ALAGESWARI</v>
          </cell>
          <cell r="C1906" t="str">
            <v>LSCRED</v>
          </cell>
          <cell r="D1906">
            <v>17136</v>
          </cell>
          <cell r="E1906">
            <v>17136</v>
          </cell>
          <cell r="F1906">
            <v>0</v>
          </cell>
        </row>
        <row r="1907">
          <cell r="A1907" t="str">
            <v>GRMUT</v>
          </cell>
          <cell r="B1907" t="str">
            <v>R. MUTHU KUMAR</v>
          </cell>
          <cell r="C1907" t="str">
            <v>LSCRED</v>
          </cell>
          <cell r="D1907">
            <v>37214</v>
          </cell>
          <cell r="E1907">
            <v>37214</v>
          </cell>
          <cell r="F1907">
            <v>0</v>
          </cell>
        </row>
        <row r="1908">
          <cell r="A1908" t="str">
            <v>GRNAC</v>
          </cell>
          <cell r="B1908" t="str">
            <v>R. NACHIYAR</v>
          </cell>
          <cell r="C1908" t="str">
            <v>LSCRED</v>
          </cell>
          <cell r="D1908">
            <v>37214</v>
          </cell>
          <cell r="E1908">
            <v>37214</v>
          </cell>
          <cell r="F1908">
            <v>0</v>
          </cell>
        </row>
        <row r="1909">
          <cell r="A1909" t="str">
            <v>GRRPA</v>
          </cell>
          <cell r="B1909" t="str">
            <v>R. R. PAINTS PVT. LTD</v>
          </cell>
          <cell r="C1909" t="str">
            <v>LSCRED</v>
          </cell>
          <cell r="D1909">
            <v>216602</v>
          </cell>
          <cell r="E1909">
            <v>216602</v>
          </cell>
          <cell r="F1909">
            <v>0</v>
          </cell>
        </row>
        <row r="1910">
          <cell r="A1910" t="str">
            <v>GRRSA</v>
          </cell>
          <cell r="B1910" t="str">
            <v>R. R. SATHYA NARAYANAN</v>
          </cell>
          <cell r="C1910" t="str">
            <v>LSCRED</v>
          </cell>
          <cell r="D1910">
            <v>15147</v>
          </cell>
          <cell r="E1910">
            <v>15147</v>
          </cell>
          <cell r="F1910">
            <v>0</v>
          </cell>
        </row>
        <row r="1911">
          <cell r="A1911" t="str">
            <v>GRRAM</v>
          </cell>
          <cell r="B1911" t="str">
            <v>R. RAMIAH</v>
          </cell>
          <cell r="C1911" t="str">
            <v>LSCRED</v>
          </cell>
          <cell r="D1911">
            <v>20256</v>
          </cell>
          <cell r="E1911">
            <v>20256</v>
          </cell>
          <cell r="F1911">
            <v>0</v>
          </cell>
        </row>
        <row r="1912">
          <cell r="A1912" t="str">
            <v>GRKAS</v>
          </cell>
          <cell r="B1912" t="str">
            <v>R.K. ASSOCIATES</v>
          </cell>
          <cell r="C1912" t="str">
            <v>LSCRED</v>
          </cell>
          <cell r="D1912">
            <v>14297</v>
          </cell>
          <cell r="E1912">
            <v>14297</v>
          </cell>
          <cell r="F1912">
            <v>0</v>
          </cell>
        </row>
        <row r="1913">
          <cell r="A1913" t="str">
            <v>GRNSM</v>
          </cell>
          <cell r="B1913" t="str">
            <v>R.N.S. MOTORS</v>
          </cell>
          <cell r="C1913" t="str">
            <v>LSCRED</v>
          </cell>
          <cell r="D1913">
            <v>70963</v>
          </cell>
          <cell r="E1913">
            <v>70963</v>
          </cell>
          <cell r="F1913">
            <v>0</v>
          </cell>
        </row>
        <row r="1914">
          <cell r="A1914" t="str">
            <v>GRTEA</v>
          </cell>
          <cell r="B1914" t="str">
            <v>R.R.TEA CENTER</v>
          </cell>
          <cell r="C1914" t="str">
            <v>LSCRED</v>
          </cell>
          <cell r="D1914">
            <v>6190</v>
          </cell>
          <cell r="E1914">
            <v>6190</v>
          </cell>
          <cell r="F1914">
            <v>0</v>
          </cell>
        </row>
        <row r="1915">
          <cell r="A1915" t="str">
            <v>GRACS</v>
          </cell>
          <cell r="B1915" t="str">
            <v>RACHNA SETH</v>
          </cell>
          <cell r="C1915" t="str">
            <v>LSCRED</v>
          </cell>
          <cell r="D1915">
            <v>28826</v>
          </cell>
          <cell r="E1915">
            <v>28826</v>
          </cell>
          <cell r="F1915">
            <v>0</v>
          </cell>
        </row>
        <row r="1916">
          <cell r="A1916" t="str">
            <v>GRAGS</v>
          </cell>
          <cell r="B1916" t="str">
            <v>RAGHUVIR SINGH SODHA</v>
          </cell>
          <cell r="C1916" t="str">
            <v>LSCRED</v>
          </cell>
          <cell r="D1916">
            <v>26160</v>
          </cell>
          <cell r="E1916">
            <v>26160</v>
          </cell>
          <cell r="F1916">
            <v>0</v>
          </cell>
        </row>
        <row r="1917">
          <cell r="A1917" t="str">
            <v>GRAHE</v>
          </cell>
          <cell r="B1917" t="str">
            <v>RAHEJA ESTATE AGENCY</v>
          </cell>
          <cell r="C1917" t="str">
            <v>LSCRED</v>
          </cell>
          <cell r="D1917">
            <v>60610</v>
          </cell>
          <cell r="E1917">
            <v>60610</v>
          </cell>
          <cell r="F1917">
            <v>0</v>
          </cell>
        </row>
        <row r="1918">
          <cell r="A1918" t="str">
            <v>GRAHP</v>
          </cell>
          <cell r="B1918" t="str">
            <v>RAHUL PAUL</v>
          </cell>
          <cell r="C1918" t="str">
            <v>LSCRED</v>
          </cell>
          <cell r="D1918">
            <v>1515</v>
          </cell>
          <cell r="E1918">
            <v>1515</v>
          </cell>
          <cell r="F1918">
            <v>0</v>
          </cell>
        </row>
        <row r="1919">
          <cell r="A1919" t="str">
            <v>GRAKA</v>
          </cell>
          <cell r="B1919" t="str">
            <v>RAJ KAMAL ELECTRICALS</v>
          </cell>
          <cell r="C1919" t="str">
            <v>LSCRED</v>
          </cell>
          <cell r="D1919">
            <v>4575</v>
          </cell>
          <cell r="E1919">
            <v>4575</v>
          </cell>
          <cell r="F1919">
            <v>0</v>
          </cell>
        </row>
        <row r="1920">
          <cell r="A1920" t="str">
            <v>GRAJL</v>
          </cell>
          <cell r="B1920" t="str">
            <v>RAJ PAL ARORA</v>
          </cell>
          <cell r="C1920" t="str">
            <v>LSCRED</v>
          </cell>
          <cell r="D1920">
            <v>74816</v>
          </cell>
          <cell r="E1920">
            <v>74816</v>
          </cell>
          <cell r="F1920">
            <v>0</v>
          </cell>
        </row>
        <row r="1921">
          <cell r="A1921" t="str">
            <v>GRARS</v>
          </cell>
          <cell r="B1921" t="str">
            <v>RAJASHREE RAMESH SHAH</v>
          </cell>
          <cell r="C1921" t="str">
            <v>LSCRED</v>
          </cell>
          <cell r="D1921">
            <v>31011</v>
          </cell>
          <cell r="E1921">
            <v>31011</v>
          </cell>
          <cell r="F1921">
            <v>0</v>
          </cell>
        </row>
        <row r="1922">
          <cell r="A1922" t="str">
            <v>GRAMO</v>
          </cell>
          <cell r="B1922" t="str">
            <v>RAJENDER MOHAN SHARMA</v>
          </cell>
          <cell r="C1922" t="str">
            <v>LSCRED</v>
          </cell>
          <cell r="D1922">
            <v>61965</v>
          </cell>
          <cell r="E1922">
            <v>61965</v>
          </cell>
          <cell r="F1922">
            <v>0</v>
          </cell>
        </row>
        <row r="1923">
          <cell r="A1923" t="str">
            <v>GRAPM</v>
          </cell>
          <cell r="B1923" t="str">
            <v>RAJENDRA P MASURKAR</v>
          </cell>
          <cell r="C1923" t="str">
            <v>LSCRED</v>
          </cell>
          <cell r="D1923">
            <v>1571</v>
          </cell>
          <cell r="E1923">
            <v>1571</v>
          </cell>
          <cell r="F1923">
            <v>0</v>
          </cell>
        </row>
        <row r="1924">
          <cell r="A1924" t="str">
            <v>GRAJEA</v>
          </cell>
          <cell r="B1924" t="str">
            <v>RAJESH AGARWAL</v>
          </cell>
          <cell r="C1924" t="str">
            <v>LSCRED</v>
          </cell>
          <cell r="D1924">
            <v>27220</v>
          </cell>
          <cell r="E1924">
            <v>27220</v>
          </cell>
          <cell r="F1924">
            <v>0</v>
          </cell>
        </row>
        <row r="1925">
          <cell r="A1925" t="str">
            <v>GRPAR</v>
          </cell>
          <cell r="B1925" t="str">
            <v>RAJESHKUMAR PARASMALJI CHORDIYA (HUF)</v>
          </cell>
          <cell r="C1925" t="str">
            <v>LSCRED</v>
          </cell>
          <cell r="D1925">
            <v>38997</v>
          </cell>
          <cell r="E1925">
            <v>38997</v>
          </cell>
          <cell r="F1925">
            <v>0</v>
          </cell>
        </row>
        <row r="1926">
          <cell r="A1926" t="str">
            <v>GRADE</v>
          </cell>
          <cell r="B1926" t="str">
            <v>RAJINDER DEWAN</v>
          </cell>
          <cell r="C1926" t="str">
            <v>LSCRED</v>
          </cell>
          <cell r="D1926">
            <v>60595</v>
          </cell>
          <cell r="E1926">
            <v>60595</v>
          </cell>
          <cell r="F1926">
            <v>0</v>
          </cell>
        </row>
        <row r="1927">
          <cell r="A1927" t="str">
            <v>GRAJI</v>
          </cell>
          <cell r="B1927" t="str">
            <v>RAJINDER SINGH TOKAS</v>
          </cell>
          <cell r="C1927" t="str">
            <v>LSCRED</v>
          </cell>
          <cell r="D1927">
            <v>39800</v>
          </cell>
          <cell r="E1927">
            <v>39800</v>
          </cell>
          <cell r="F1927">
            <v>0</v>
          </cell>
        </row>
        <row r="1928">
          <cell r="A1928" t="str">
            <v>GRAJV</v>
          </cell>
          <cell r="B1928" t="str">
            <v>RAJIV MITTAL</v>
          </cell>
          <cell r="C1928" t="str">
            <v>LSCRED</v>
          </cell>
          <cell r="D1928">
            <v>13000</v>
          </cell>
          <cell r="E1928">
            <v>13000</v>
          </cell>
          <cell r="F1928">
            <v>0</v>
          </cell>
        </row>
        <row r="1929">
          <cell r="A1929" t="str">
            <v>GRAJS</v>
          </cell>
          <cell r="B1929" t="str">
            <v>RAJIV SHARMA</v>
          </cell>
          <cell r="C1929" t="str">
            <v>LSCRED</v>
          </cell>
          <cell r="D1929">
            <v>113178</v>
          </cell>
          <cell r="E1929">
            <v>113178</v>
          </cell>
          <cell r="F1929">
            <v>0</v>
          </cell>
        </row>
        <row r="1930">
          <cell r="A1930" t="str">
            <v>GRAPL</v>
          </cell>
          <cell r="B1930" t="str">
            <v>RAJPAL ARORA</v>
          </cell>
          <cell r="C1930" t="str">
            <v>LSCRED</v>
          </cell>
          <cell r="D1930">
            <v>17217</v>
          </cell>
          <cell r="E1930">
            <v>17217</v>
          </cell>
          <cell r="F1930">
            <v>0</v>
          </cell>
        </row>
        <row r="1931">
          <cell r="A1931" t="str">
            <v>GRAJRA</v>
          </cell>
          <cell r="B1931" t="str">
            <v>RAJRANI AGRAWAL</v>
          </cell>
          <cell r="C1931" t="str">
            <v>LSCRED</v>
          </cell>
          <cell r="D1931">
            <v>27343</v>
          </cell>
          <cell r="E1931">
            <v>27343</v>
          </cell>
          <cell r="F1931">
            <v>0</v>
          </cell>
        </row>
        <row r="1932">
          <cell r="A1932" t="str">
            <v>GRARA</v>
          </cell>
          <cell r="B1932" t="str">
            <v>RAJU NARANG</v>
          </cell>
          <cell r="C1932" t="str">
            <v>LSCRED</v>
          </cell>
          <cell r="D1932">
            <v>110974</v>
          </cell>
          <cell r="E1932">
            <v>110974</v>
          </cell>
          <cell r="F1932">
            <v>0</v>
          </cell>
        </row>
        <row r="1933">
          <cell r="A1933" t="str">
            <v>GRAKG</v>
          </cell>
          <cell r="B1933" t="str">
            <v>RAKESH GUPTA</v>
          </cell>
          <cell r="C1933" t="str">
            <v>LSCRED</v>
          </cell>
          <cell r="D1933">
            <v>13464</v>
          </cell>
          <cell r="E1933">
            <v>13464</v>
          </cell>
          <cell r="F1933">
            <v>0</v>
          </cell>
        </row>
        <row r="1934">
          <cell r="A1934" t="str">
            <v>GRAMI</v>
          </cell>
          <cell r="B1934" t="str">
            <v>RAM KISHAN CHAND JAMNANI</v>
          </cell>
          <cell r="C1934" t="str">
            <v>LSCRED</v>
          </cell>
          <cell r="D1934">
            <v>7000</v>
          </cell>
          <cell r="E1934">
            <v>7000</v>
          </cell>
          <cell r="F1934">
            <v>0</v>
          </cell>
        </row>
        <row r="1935">
          <cell r="A1935" t="str">
            <v>GRAMN</v>
          </cell>
          <cell r="B1935" t="str">
            <v>RAM NARYAN SHARMA</v>
          </cell>
          <cell r="C1935" t="str">
            <v>LSCRED</v>
          </cell>
          <cell r="D1935">
            <v>47500</v>
          </cell>
          <cell r="E1935">
            <v>47500</v>
          </cell>
          <cell r="F1935">
            <v>0</v>
          </cell>
        </row>
        <row r="1936">
          <cell r="A1936" t="str">
            <v>GRAMA</v>
          </cell>
          <cell r="B1936" t="str">
            <v>RAMA BHAVAN COMPLEX CONDOMINIUM</v>
          </cell>
          <cell r="C1936" t="str">
            <v>LSCRED</v>
          </cell>
          <cell r="D1936">
            <v>13200</v>
          </cell>
          <cell r="E1936">
            <v>13200</v>
          </cell>
          <cell r="F1936">
            <v>0</v>
          </cell>
        </row>
        <row r="1937">
          <cell r="A1937" t="str">
            <v>GRAMR</v>
          </cell>
          <cell r="B1937" t="str">
            <v>RAMEE RESOURCES</v>
          </cell>
          <cell r="C1937" t="str">
            <v>LSCRED</v>
          </cell>
          <cell r="D1937">
            <v>1</v>
          </cell>
          <cell r="E1937">
            <v>1</v>
          </cell>
          <cell r="F1937">
            <v>0</v>
          </cell>
        </row>
        <row r="1938">
          <cell r="A1938" t="str">
            <v>GRASH</v>
          </cell>
          <cell r="B1938" t="str">
            <v>RAMESH G. SHAH (HUF)</v>
          </cell>
          <cell r="C1938" t="str">
            <v>LSCRED</v>
          </cell>
          <cell r="D1938">
            <v>225845</v>
          </cell>
          <cell r="E1938">
            <v>225845</v>
          </cell>
          <cell r="F1938">
            <v>0</v>
          </cell>
        </row>
        <row r="1939">
          <cell r="A1939" t="str">
            <v>GRANR</v>
          </cell>
          <cell r="B1939" t="str">
            <v>RAMESH N RATHI</v>
          </cell>
          <cell r="C1939" t="str">
            <v>LSCRED</v>
          </cell>
          <cell r="D1939">
            <v>533</v>
          </cell>
          <cell r="E1939">
            <v>533</v>
          </cell>
          <cell r="F1939">
            <v>0</v>
          </cell>
        </row>
        <row r="1940">
          <cell r="A1940" t="str">
            <v>GRASAC</v>
          </cell>
          <cell r="B1940" t="str">
            <v>RAMESH SACHDEVA</v>
          </cell>
          <cell r="C1940" t="str">
            <v>LSCRED</v>
          </cell>
          <cell r="D1940">
            <v>56979</v>
          </cell>
          <cell r="E1940">
            <v>56979</v>
          </cell>
          <cell r="F1940">
            <v>0</v>
          </cell>
        </row>
        <row r="1941">
          <cell r="A1941" t="str">
            <v>GRANS</v>
          </cell>
          <cell r="B1941" t="str">
            <v>RANJANA SINGHI</v>
          </cell>
          <cell r="C1941" t="str">
            <v>LSCRED</v>
          </cell>
          <cell r="D1941">
            <v>6950</v>
          </cell>
          <cell r="E1941">
            <v>6950</v>
          </cell>
          <cell r="F1941">
            <v>0</v>
          </cell>
        </row>
        <row r="1942">
          <cell r="A1942" t="str">
            <v>GRATL</v>
          </cell>
          <cell r="B1942" t="str">
            <v>RATAN LAL GOENKA &amp; OTHERS HUF</v>
          </cell>
          <cell r="C1942" t="str">
            <v>LSCRED</v>
          </cell>
          <cell r="D1942">
            <v>245320</v>
          </cell>
          <cell r="E1942">
            <v>245320</v>
          </cell>
          <cell r="F1942">
            <v>0</v>
          </cell>
        </row>
        <row r="1943">
          <cell r="A1943" t="str">
            <v>GRATH</v>
          </cell>
          <cell r="B1943" t="str">
            <v>RATHI DISTRIBUTORS</v>
          </cell>
          <cell r="C1943" t="str">
            <v>LSCRED</v>
          </cell>
          <cell r="D1943">
            <v>360629</v>
          </cell>
          <cell r="E1943">
            <v>360629</v>
          </cell>
          <cell r="F1943">
            <v>0</v>
          </cell>
        </row>
        <row r="1944">
          <cell r="A1944" t="str">
            <v>GRVEN</v>
          </cell>
          <cell r="B1944" t="str">
            <v>RAVENDRA KUMAR SINGH</v>
          </cell>
          <cell r="C1944" t="str">
            <v>LSCRED</v>
          </cell>
          <cell r="D1944">
            <v>505</v>
          </cell>
          <cell r="E1944">
            <v>505</v>
          </cell>
          <cell r="F1944">
            <v>0</v>
          </cell>
        </row>
        <row r="1945">
          <cell r="A1945" t="str">
            <v>GRAPS</v>
          </cell>
          <cell r="B1945" t="str">
            <v>RAVINDER PAL SINGH</v>
          </cell>
          <cell r="C1945" t="str">
            <v>LSCRED</v>
          </cell>
          <cell r="D1945">
            <v>15426</v>
          </cell>
          <cell r="E1945">
            <v>15426</v>
          </cell>
          <cell r="F1945">
            <v>0</v>
          </cell>
        </row>
        <row r="1946">
          <cell r="A1946" t="str">
            <v>GRAVIN</v>
          </cell>
          <cell r="B1946" t="str">
            <v>RAVINDER SINGH</v>
          </cell>
          <cell r="C1946" t="str">
            <v>LSCRED</v>
          </cell>
          <cell r="D1946">
            <v>30294</v>
          </cell>
          <cell r="E1946">
            <v>30294</v>
          </cell>
          <cell r="F1946">
            <v>0</v>
          </cell>
        </row>
        <row r="1947">
          <cell r="A1947" t="str">
            <v>GRAVI</v>
          </cell>
          <cell r="B1947" t="str">
            <v>RAVIRAJ ASSOCIATES</v>
          </cell>
          <cell r="C1947" t="str">
            <v>LSCRED</v>
          </cell>
          <cell r="D1947">
            <v>38828</v>
          </cell>
          <cell r="E1947">
            <v>38828</v>
          </cell>
          <cell r="F1947">
            <v>0</v>
          </cell>
        </row>
        <row r="1948">
          <cell r="A1948" t="str">
            <v>GRED</v>
          </cell>
          <cell r="B1948" t="str">
            <v>RED HAT INDIA PRIVATE LIMITED</v>
          </cell>
          <cell r="C1948" t="str">
            <v>LSCRED</v>
          </cell>
          <cell r="D1948">
            <v>275000</v>
          </cell>
          <cell r="E1948">
            <v>275000</v>
          </cell>
          <cell r="F1948">
            <v>0</v>
          </cell>
        </row>
        <row r="1949">
          <cell r="A1949" t="str">
            <v>GREKH</v>
          </cell>
          <cell r="B1949" t="str">
            <v>REKHA NARANG</v>
          </cell>
          <cell r="C1949" t="str">
            <v>LSCRED</v>
          </cell>
          <cell r="D1949">
            <v>110974</v>
          </cell>
          <cell r="E1949">
            <v>110974</v>
          </cell>
          <cell r="F1949">
            <v>0</v>
          </cell>
        </row>
        <row r="1950">
          <cell r="A1950" t="str">
            <v>GIRGIC</v>
          </cell>
          <cell r="B1950" t="str">
            <v>RELIANCE GENERAL INSURANCE CO. LTD.</v>
          </cell>
          <cell r="C1950" t="str">
            <v>LSCRED</v>
          </cell>
          <cell r="D1950">
            <v>12719</v>
          </cell>
          <cell r="E1950">
            <v>12719</v>
          </cell>
          <cell r="F1950">
            <v>0</v>
          </cell>
        </row>
        <row r="1951">
          <cell r="A1951" t="str">
            <v>GREMS</v>
          </cell>
          <cell r="B1951" t="str">
            <v>REMSON COMPUTERS PVT. LTD.</v>
          </cell>
          <cell r="C1951" t="str">
            <v>LSCRED</v>
          </cell>
          <cell r="D1951">
            <v>7998</v>
          </cell>
          <cell r="E1951">
            <v>7998</v>
          </cell>
          <cell r="F1951">
            <v>0</v>
          </cell>
        </row>
        <row r="1952">
          <cell r="A1952" t="str">
            <v>GRENJ</v>
          </cell>
          <cell r="B1952" t="str">
            <v>RENU JAIN</v>
          </cell>
          <cell r="C1952" t="str">
            <v>LSCRED</v>
          </cell>
          <cell r="D1952">
            <v>83204</v>
          </cell>
          <cell r="E1952">
            <v>83204</v>
          </cell>
          <cell r="F1952">
            <v>0</v>
          </cell>
        </row>
        <row r="1953">
          <cell r="A1953" t="str">
            <v>GRENS</v>
          </cell>
          <cell r="B1953" t="str">
            <v>RENU SINGH</v>
          </cell>
          <cell r="C1953" t="str">
            <v>LSCRED</v>
          </cell>
          <cell r="D1953">
            <v>270810</v>
          </cell>
          <cell r="E1953">
            <v>270810</v>
          </cell>
          <cell r="F1953">
            <v>0</v>
          </cell>
        </row>
        <row r="1954">
          <cell r="A1954" t="str">
            <v>GRENU</v>
          </cell>
          <cell r="B1954" t="str">
            <v>RENUKA SHESHACHALAM</v>
          </cell>
          <cell r="C1954" t="str">
            <v>LSCRED</v>
          </cell>
          <cell r="D1954">
            <v>16000</v>
          </cell>
          <cell r="E1954">
            <v>16000</v>
          </cell>
          <cell r="F1954">
            <v>0</v>
          </cell>
        </row>
        <row r="1955">
          <cell r="A1955" t="str">
            <v>GRMGP</v>
          </cell>
          <cell r="B1955" t="str">
            <v>RESOURCE MANAGEMENT GROUP PLUS (P) LTD</v>
          </cell>
          <cell r="C1955" t="str">
            <v>LSCRED</v>
          </cell>
          <cell r="D1955">
            <v>145</v>
          </cell>
          <cell r="E1955">
            <v>145</v>
          </cell>
          <cell r="F1955">
            <v>0</v>
          </cell>
        </row>
        <row r="1956">
          <cell r="A1956" t="str">
            <v>GRICHM</v>
          </cell>
          <cell r="B1956" t="str">
            <v>RICHMNZ (PROPERTY SOLUTIONS)</v>
          </cell>
          <cell r="C1956" t="str">
            <v>LSCRED</v>
          </cell>
          <cell r="D1956">
            <v>11734</v>
          </cell>
          <cell r="E1956">
            <v>11734</v>
          </cell>
          <cell r="F1956">
            <v>0</v>
          </cell>
        </row>
        <row r="1957">
          <cell r="A1957" t="str">
            <v>GRIDD</v>
          </cell>
          <cell r="B1957" t="str">
            <v>RIDDHI INDUSTRIES</v>
          </cell>
          <cell r="C1957" t="str">
            <v>LSCRED</v>
          </cell>
          <cell r="D1957">
            <v>11100</v>
          </cell>
          <cell r="E1957">
            <v>11100</v>
          </cell>
          <cell r="F1957">
            <v>0</v>
          </cell>
        </row>
        <row r="1958">
          <cell r="A1958" t="str">
            <v>GRISA</v>
          </cell>
          <cell r="B1958" t="str">
            <v>RISHAB ASSOCIATES</v>
          </cell>
          <cell r="C1958" t="str">
            <v>LSCRED</v>
          </cell>
          <cell r="D1958">
            <v>16260</v>
          </cell>
          <cell r="E1958">
            <v>16260</v>
          </cell>
          <cell r="F1958">
            <v>0</v>
          </cell>
        </row>
        <row r="1959">
          <cell r="A1959" t="str">
            <v>GRKBK</v>
          </cell>
          <cell r="B1959" t="str">
            <v>RKBK AUTOMOBILES PVT LTD</v>
          </cell>
          <cell r="C1959" t="str">
            <v>LSCRED</v>
          </cell>
          <cell r="D1959">
            <v>27994</v>
          </cell>
          <cell r="E1959">
            <v>27994</v>
          </cell>
          <cell r="F1959">
            <v>0</v>
          </cell>
        </row>
        <row r="1960">
          <cell r="A1960" t="str">
            <v>GROOT</v>
          </cell>
          <cell r="B1960" t="str">
            <v>ROOTS CONSTRUCTIONS PVT LTD</v>
          </cell>
          <cell r="C1960" t="str">
            <v>LSCRED</v>
          </cell>
          <cell r="D1960">
            <v>119031</v>
          </cell>
          <cell r="E1960">
            <v>119031</v>
          </cell>
          <cell r="F1960">
            <v>0</v>
          </cell>
        </row>
        <row r="1961">
          <cell r="A1961" t="str">
            <v>GROLA</v>
          </cell>
          <cell r="B1961" t="str">
            <v>ROYAL LAND ASSOCIATES</v>
          </cell>
          <cell r="C1961" t="str">
            <v>LSCRED</v>
          </cell>
          <cell r="D1961">
            <v>106434</v>
          </cell>
          <cell r="E1961">
            <v>106434</v>
          </cell>
          <cell r="F1961">
            <v>0</v>
          </cell>
        </row>
        <row r="1962">
          <cell r="A1962" t="str">
            <v>GRUDE</v>
          </cell>
          <cell r="B1962" t="str">
            <v>RUBEE BHAGAT &amp; DESH BHAGAT</v>
          </cell>
          <cell r="C1962" t="str">
            <v>LSCRED</v>
          </cell>
          <cell r="D1962">
            <v>47748</v>
          </cell>
          <cell r="E1962">
            <v>47748</v>
          </cell>
          <cell r="F1962">
            <v>0</v>
          </cell>
        </row>
        <row r="1963">
          <cell r="A1963" t="str">
            <v>GRUTU</v>
          </cell>
          <cell r="B1963" t="str">
            <v>RUTUKALASH PREMISES OWNER COOPERATIVE  SERVICES  SOCIETY LTD</v>
          </cell>
          <cell r="C1963" t="str">
            <v>LSCRED</v>
          </cell>
          <cell r="D1963">
            <v>2100</v>
          </cell>
          <cell r="E1963">
            <v>2100</v>
          </cell>
          <cell r="F1963">
            <v>0</v>
          </cell>
        </row>
        <row r="1964">
          <cell r="A1964" t="str">
            <v>GSPUS</v>
          </cell>
          <cell r="B1964" t="str">
            <v>S PUSHPARANI</v>
          </cell>
          <cell r="C1964" t="str">
            <v>LSCRED</v>
          </cell>
          <cell r="D1964">
            <v>53497</v>
          </cell>
          <cell r="E1964">
            <v>53497</v>
          </cell>
          <cell r="F1964">
            <v>0</v>
          </cell>
        </row>
        <row r="1965">
          <cell r="A1965" t="str">
            <v>GSSIN</v>
          </cell>
          <cell r="B1965" t="str">
            <v>S S INFOCOM</v>
          </cell>
          <cell r="C1965" t="str">
            <v>LSCRED</v>
          </cell>
          <cell r="D1965">
            <v>20800</v>
          </cell>
          <cell r="E1965">
            <v>20800</v>
          </cell>
          <cell r="F1965">
            <v>0</v>
          </cell>
        </row>
        <row r="1966">
          <cell r="A1966" t="str">
            <v>GSUJI</v>
          </cell>
          <cell r="B1966" t="str">
            <v>S SUJI KUMAR</v>
          </cell>
          <cell r="C1966" t="str">
            <v>LSCRED</v>
          </cell>
          <cell r="D1966">
            <v>954</v>
          </cell>
          <cell r="E1966">
            <v>954</v>
          </cell>
          <cell r="F1966">
            <v>0</v>
          </cell>
        </row>
        <row r="1967">
          <cell r="A1967" t="str">
            <v>GSAYY</v>
          </cell>
          <cell r="B1967" t="str">
            <v>S. AYYAPPAN / A. MAHALAKSHMI</v>
          </cell>
          <cell r="C1967" t="str">
            <v>LSCRED</v>
          </cell>
          <cell r="D1967">
            <v>30600</v>
          </cell>
          <cell r="E1967">
            <v>30600</v>
          </cell>
          <cell r="F1967">
            <v>0</v>
          </cell>
        </row>
        <row r="1968">
          <cell r="A1968" t="str">
            <v>GSPARI</v>
          </cell>
          <cell r="B1968" t="str">
            <v>S. PARIMALA</v>
          </cell>
          <cell r="C1968" t="str">
            <v>LSCRED</v>
          </cell>
          <cell r="D1968">
            <v>36483</v>
          </cell>
          <cell r="E1968">
            <v>36483</v>
          </cell>
          <cell r="F1968">
            <v>0</v>
          </cell>
        </row>
        <row r="1969">
          <cell r="A1969" t="str">
            <v>GNIMM</v>
          </cell>
          <cell r="B1969" t="str">
            <v>S.B.B.&amp; J. A/C SUMAN CHANDRA KHANNA</v>
          </cell>
          <cell r="C1969" t="str">
            <v>LSCRED</v>
          </cell>
          <cell r="D1969">
            <v>134140</v>
          </cell>
          <cell r="E1969">
            <v>134140</v>
          </cell>
          <cell r="F1969">
            <v>0</v>
          </cell>
        </row>
        <row r="1970">
          <cell r="A1970" t="str">
            <v>GSDPA</v>
          </cell>
          <cell r="B1970" t="str">
            <v>S.D.PANDEY</v>
          </cell>
          <cell r="C1970" t="str">
            <v>LSCRED</v>
          </cell>
          <cell r="D1970">
            <v>3551</v>
          </cell>
          <cell r="E1970">
            <v>3551</v>
          </cell>
          <cell r="F1970">
            <v>0</v>
          </cell>
        </row>
        <row r="1971">
          <cell r="A1971" t="str">
            <v>GSKEN</v>
          </cell>
          <cell r="B1971" t="str">
            <v>S.K. ENGINEERING</v>
          </cell>
          <cell r="C1971" t="str">
            <v>LSCRED</v>
          </cell>
          <cell r="D1971">
            <v>58577</v>
          </cell>
          <cell r="E1971">
            <v>58577</v>
          </cell>
          <cell r="F1971">
            <v>0</v>
          </cell>
        </row>
        <row r="1972">
          <cell r="A1972" t="str">
            <v>GSVRA</v>
          </cell>
          <cell r="B1972" t="str">
            <v>S.V.RAGHAVAN</v>
          </cell>
          <cell r="C1972" t="str">
            <v>LSCRED</v>
          </cell>
          <cell r="D1972">
            <v>33769</v>
          </cell>
          <cell r="E1972">
            <v>33769</v>
          </cell>
          <cell r="F1972">
            <v>0</v>
          </cell>
        </row>
        <row r="1973">
          <cell r="A1973" t="str">
            <v>GSACE</v>
          </cell>
          <cell r="B1973" t="str">
            <v>SACHAN ESTATE</v>
          </cell>
          <cell r="C1973" t="str">
            <v>LSCRED</v>
          </cell>
          <cell r="D1973">
            <v>1102</v>
          </cell>
          <cell r="E1973">
            <v>1102</v>
          </cell>
          <cell r="F1973">
            <v>0</v>
          </cell>
        </row>
        <row r="1974">
          <cell r="A1974" t="str">
            <v>GSABS</v>
          </cell>
          <cell r="B1974" t="str">
            <v>SACHIN BALKRISHNA SHETE</v>
          </cell>
          <cell r="C1974" t="str">
            <v>LSCRED</v>
          </cell>
          <cell r="D1974">
            <v>533</v>
          </cell>
          <cell r="E1974">
            <v>533</v>
          </cell>
          <cell r="F1974">
            <v>0</v>
          </cell>
        </row>
        <row r="1975">
          <cell r="A1975" t="str">
            <v>GSAGI</v>
          </cell>
          <cell r="B1975" t="str">
            <v>SAGAR INFORMATION TECHNOLOGIES</v>
          </cell>
          <cell r="C1975" t="str">
            <v>LSCRED</v>
          </cell>
          <cell r="D1975">
            <v>561</v>
          </cell>
          <cell r="E1975">
            <v>561</v>
          </cell>
          <cell r="F1975">
            <v>0</v>
          </cell>
        </row>
        <row r="1976">
          <cell r="A1976" t="str">
            <v>GSAHAR</v>
          </cell>
          <cell r="B1976" t="str">
            <v>SAHARRA REALTORS</v>
          </cell>
          <cell r="C1976" t="str">
            <v>LSCRED</v>
          </cell>
          <cell r="D1976">
            <v>3425</v>
          </cell>
          <cell r="E1976">
            <v>3425</v>
          </cell>
          <cell r="F1976">
            <v>0</v>
          </cell>
        </row>
        <row r="1977">
          <cell r="A1977" t="str">
            <v>GSAHA</v>
          </cell>
          <cell r="B1977" t="str">
            <v>SAHASHI BHUSHAN</v>
          </cell>
          <cell r="C1977" t="str">
            <v>LSCRED</v>
          </cell>
          <cell r="D1977">
            <v>146304</v>
          </cell>
          <cell r="E1977">
            <v>146304</v>
          </cell>
          <cell r="F1977">
            <v>0</v>
          </cell>
        </row>
        <row r="1978">
          <cell r="A1978" t="str">
            <v>GSAINA</v>
          </cell>
          <cell r="B1978" t="str">
            <v>SAINATH APPAREL</v>
          </cell>
          <cell r="C1978" t="str">
            <v>LSCRED</v>
          </cell>
          <cell r="D1978">
            <v>131016</v>
          </cell>
          <cell r="E1978">
            <v>131016</v>
          </cell>
          <cell r="F1978">
            <v>0</v>
          </cell>
        </row>
        <row r="1979">
          <cell r="A1979" t="str">
            <v>GSAIN</v>
          </cell>
          <cell r="B1979" t="str">
            <v>SAINATH COMPUTER SERVICES</v>
          </cell>
          <cell r="C1979" t="str">
            <v>LSCRED</v>
          </cell>
          <cell r="D1979">
            <v>11963</v>
          </cell>
          <cell r="E1979">
            <v>11963</v>
          </cell>
          <cell r="F1979">
            <v>0</v>
          </cell>
        </row>
        <row r="1980">
          <cell r="A1980" t="str">
            <v>GSALP</v>
          </cell>
          <cell r="B1980" t="str">
            <v>SALIM PATEL</v>
          </cell>
          <cell r="C1980" t="str">
            <v>LSCRED</v>
          </cell>
          <cell r="D1980">
            <v>3899</v>
          </cell>
          <cell r="E1980">
            <v>3899</v>
          </cell>
          <cell r="F1980">
            <v>0</v>
          </cell>
        </row>
        <row r="1981">
          <cell r="A1981" t="str">
            <v>GSALLY</v>
          </cell>
          <cell r="B1981" t="str">
            <v>SALLY JACOB</v>
          </cell>
          <cell r="C1981" t="str">
            <v>LSCRED</v>
          </cell>
          <cell r="D1981">
            <v>45900</v>
          </cell>
          <cell r="E1981">
            <v>45900</v>
          </cell>
          <cell r="F1981">
            <v>0</v>
          </cell>
        </row>
        <row r="1982">
          <cell r="A1982" t="str">
            <v>GSAKI</v>
          </cell>
          <cell r="B1982" t="str">
            <v>SAMBHAJI KISAN YADAV (HUF)</v>
          </cell>
          <cell r="C1982" t="str">
            <v>LSCRED</v>
          </cell>
          <cell r="D1982">
            <v>44676</v>
          </cell>
          <cell r="E1982">
            <v>44676</v>
          </cell>
          <cell r="F1982">
            <v>0</v>
          </cell>
        </row>
        <row r="1983">
          <cell r="A1983" t="str">
            <v>GSMER</v>
          </cell>
          <cell r="B1983" t="str">
            <v>SAMEER ARORA</v>
          </cell>
          <cell r="C1983" t="str">
            <v>LSCRED</v>
          </cell>
          <cell r="D1983">
            <v>97091</v>
          </cell>
          <cell r="E1983">
            <v>97091</v>
          </cell>
          <cell r="F1983">
            <v>0</v>
          </cell>
        </row>
        <row r="1984">
          <cell r="A1984" t="str">
            <v>GSAAB</v>
          </cell>
          <cell r="B1984" t="str">
            <v>SAMEERA ABDUSHUKUR</v>
          </cell>
          <cell r="C1984" t="str">
            <v>LSCRED</v>
          </cell>
          <cell r="D1984">
            <v>20700</v>
          </cell>
          <cell r="E1984">
            <v>20700</v>
          </cell>
          <cell r="F1984">
            <v>0</v>
          </cell>
        </row>
        <row r="1985">
          <cell r="A1985" t="str">
            <v>GSAMRI</v>
          </cell>
          <cell r="B1985" t="str">
            <v>SAMRIDHI GEMS</v>
          </cell>
          <cell r="C1985" t="str">
            <v>LSCRED</v>
          </cell>
          <cell r="D1985">
            <v>48654</v>
          </cell>
          <cell r="E1985">
            <v>48654</v>
          </cell>
          <cell r="F1985">
            <v>0</v>
          </cell>
        </row>
        <row r="1986">
          <cell r="A1986" t="str">
            <v>GSAKA</v>
          </cell>
          <cell r="B1986" t="str">
            <v>SANDEEP KAPOOR</v>
          </cell>
          <cell r="C1986" t="str">
            <v>LSCRED</v>
          </cell>
          <cell r="D1986">
            <v>28584</v>
          </cell>
          <cell r="E1986">
            <v>28584</v>
          </cell>
          <cell r="F1986">
            <v>0</v>
          </cell>
        </row>
        <row r="1987">
          <cell r="A1987" t="str">
            <v>GSANGM</v>
          </cell>
          <cell r="B1987" t="str">
            <v>SANGEETA MALIK</v>
          </cell>
          <cell r="C1987" t="str">
            <v>LSCRED</v>
          </cell>
          <cell r="D1987">
            <v>18863</v>
          </cell>
          <cell r="E1987">
            <v>18863</v>
          </cell>
          <cell r="F1987">
            <v>0</v>
          </cell>
        </row>
        <row r="1988">
          <cell r="A1988" t="str">
            <v>GSANH</v>
          </cell>
          <cell r="B1988" t="str">
            <v>SANGHI MOTORS</v>
          </cell>
          <cell r="C1988" t="str">
            <v>LSCRED</v>
          </cell>
          <cell r="D1988">
            <v>6500</v>
          </cell>
          <cell r="E1988">
            <v>6500</v>
          </cell>
          <cell r="F1988">
            <v>0</v>
          </cell>
        </row>
        <row r="1989">
          <cell r="A1989" t="str">
            <v>GSABA</v>
          </cell>
          <cell r="B1989" t="str">
            <v>SANJAY BANSAL</v>
          </cell>
          <cell r="C1989" t="str">
            <v>LSCRED</v>
          </cell>
          <cell r="D1989">
            <v>16065</v>
          </cell>
          <cell r="E1989">
            <v>16065</v>
          </cell>
          <cell r="F1989">
            <v>0</v>
          </cell>
        </row>
        <row r="1990">
          <cell r="A1990" t="str">
            <v>GSANJA</v>
          </cell>
          <cell r="B1990" t="str">
            <v>SANJAY JALAN</v>
          </cell>
          <cell r="C1990" t="str">
            <v>LSCRED</v>
          </cell>
          <cell r="D1990">
            <v>151472</v>
          </cell>
          <cell r="E1990">
            <v>151472</v>
          </cell>
          <cell r="F1990">
            <v>0</v>
          </cell>
        </row>
        <row r="1991">
          <cell r="A1991" t="str">
            <v>GSANJ</v>
          </cell>
          <cell r="B1991" t="str">
            <v>SANJAY RATHI</v>
          </cell>
          <cell r="C1991" t="str">
            <v>LSCRED</v>
          </cell>
          <cell r="D1991">
            <v>22500</v>
          </cell>
          <cell r="E1991">
            <v>22500</v>
          </cell>
          <cell r="F1991">
            <v>0</v>
          </cell>
        </row>
        <row r="1992">
          <cell r="A1992" t="str">
            <v>GSAST</v>
          </cell>
          <cell r="B1992" t="str">
            <v>SANJAY STEEL FURNITURE MART</v>
          </cell>
          <cell r="C1992" t="str">
            <v>LSCRED</v>
          </cell>
          <cell r="D1992">
            <v>8250</v>
          </cell>
          <cell r="E1992">
            <v>8250</v>
          </cell>
          <cell r="F1992">
            <v>0</v>
          </cell>
        </row>
        <row r="1993">
          <cell r="A1993" t="str">
            <v>GHARR</v>
          </cell>
          <cell r="B1993" t="str">
            <v>SANJEEV KUMAR</v>
          </cell>
          <cell r="C1993" t="str">
            <v>LSCRED</v>
          </cell>
          <cell r="D1993">
            <v>449</v>
          </cell>
          <cell r="E1993">
            <v>449</v>
          </cell>
          <cell r="F1993">
            <v>0</v>
          </cell>
        </row>
        <row r="1994">
          <cell r="A1994" t="str">
            <v>GSAKU</v>
          </cell>
          <cell r="B1994" t="str">
            <v>SANJEEV KUMAR</v>
          </cell>
          <cell r="C1994" t="str">
            <v>LSCRED</v>
          </cell>
          <cell r="D1994">
            <v>15750</v>
          </cell>
          <cell r="E1994">
            <v>15750</v>
          </cell>
          <cell r="F1994">
            <v>0</v>
          </cell>
        </row>
        <row r="1995">
          <cell r="A1995" t="str">
            <v>GSANJK</v>
          </cell>
          <cell r="B1995" t="str">
            <v>SANJEEV KUMAR</v>
          </cell>
          <cell r="C1995" t="str">
            <v>LSCRED</v>
          </cell>
          <cell r="D1995">
            <v>40841</v>
          </cell>
          <cell r="E1995">
            <v>40841</v>
          </cell>
          <cell r="F1995">
            <v>0</v>
          </cell>
        </row>
        <row r="1996">
          <cell r="A1996" t="str">
            <v>GSANI</v>
          </cell>
          <cell r="B1996" t="str">
            <v>SANJEEV MITLA (HUF)</v>
          </cell>
          <cell r="C1996" t="str">
            <v>LSCRED</v>
          </cell>
          <cell r="D1996">
            <v>160213</v>
          </cell>
          <cell r="E1996">
            <v>160213</v>
          </cell>
          <cell r="F1996">
            <v>0</v>
          </cell>
        </row>
        <row r="1997">
          <cell r="A1997" t="str">
            <v>GSASI</v>
          </cell>
          <cell r="B1997" t="str">
            <v>SANJEEV SINGH</v>
          </cell>
          <cell r="C1997" t="str">
            <v>LSCRED</v>
          </cell>
          <cell r="D1997">
            <v>24209</v>
          </cell>
          <cell r="E1997">
            <v>24209</v>
          </cell>
          <cell r="F1997">
            <v>0</v>
          </cell>
        </row>
        <row r="1998">
          <cell r="A1998" t="str">
            <v>GSANS</v>
          </cell>
          <cell r="B1998" t="str">
            <v>SANJIV SHARMA</v>
          </cell>
          <cell r="C1998" t="str">
            <v>LSCRED</v>
          </cell>
          <cell r="D1998">
            <v>113178</v>
          </cell>
          <cell r="E1998">
            <v>113178</v>
          </cell>
          <cell r="F1998">
            <v>0</v>
          </cell>
        </row>
        <row r="1999">
          <cell r="A1999" t="str">
            <v>GSANT</v>
          </cell>
          <cell r="B1999" t="str">
            <v>SANTOSH GOCHWAL</v>
          </cell>
          <cell r="C1999" t="str">
            <v>LSCRED</v>
          </cell>
          <cell r="D1999">
            <v>81720</v>
          </cell>
          <cell r="E1999">
            <v>81720</v>
          </cell>
          <cell r="F1999">
            <v>0</v>
          </cell>
        </row>
        <row r="2000">
          <cell r="A2000" t="str">
            <v>GSARD</v>
          </cell>
          <cell r="B2000" t="str">
            <v>SARADHA DEVI</v>
          </cell>
          <cell r="C2000" t="str">
            <v>LSCRED</v>
          </cell>
          <cell r="D2000">
            <v>95043</v>
          </cell>
          <cell r="E2000">
            <v>95043</v>
          </cell>
          <cell r="F2000">
            <v>0</v>
          </cell>
        </row>
        <row r="2001">
          <cell r="A2001" t="str">
            <v>GSAJH</v>
          </cell>
          <cell r="B2001" t="str">
            <v>SAROJ JHAWAR</v>
          </cell>
          <cell r="C2001" t="str">
            <v>LSCRED</v>
          </cell>
          <cell r="D2001">
            <v>92979</v>
          </cell>
          <cell r="E2001">
            <v>92979</v>
          </cell>
          <cell r="F2001">
            <v>0</v>
          </cell>
        </row>
        <row r="2002">
          <cell r="A2002" t="str">
            <v>GSARJ</v>
          </cell>
          <cell r="B2002" t="str">
            <v>SARVINDERKAUR JAGDISHSINGH BINDRA</v>
          </cell>
          <cell r="C2002" t="str">
            <v>LSCRED</v>
          </cell>
          <cell r="D2002">
            <v>32136</v>
          </cell>
          <cell r="E2002">
            <v>32136</v>
          </cell>
          <cell r="F2002">
            <v>0</v>
          </cell>
        </row>
        <row r="2003">
          <cell r="A2003" t="str">
            <v>GSASH</v>
          </cell>
          <cell r="B2003" t="str">
            <v>SASHI GUPTA</v>
          </cell>
          <cell r="C2003" t="str">
            <v>LSCRED</v>
          </cell>
          <cell r="D2003">
            <v>404</v>
          </cell>
          <cell r="E2003">
            <v>404</v>
          </cell>
          <cell r="F2003">
            <v>0</v>
          </cell>
        </row>
        <row r="2004">
          <cell r="A2004" t="str">
            <v>GSATI</v>
          </cell>
          <cell r="B2004" t="str">
            <v>SATISH CHANDRA SHARMA</v>
          </cell>
          <cell r="C2004" t="str">
            <v>LSCRED</v>
          </cell>
          <cell r="D2004">
            <v>113178</v>
          </cell>
          <cell r="E2004">
            <v>113178</v>
          </cell>
          <cell r="F2004">
            <v>0</v>
          </cell>
        </row>
        <row r="2005">
          <cell r="A2005" t="str">
            <v>GSATJ</v>
          </cell>
          <cell r="B2005" t="str">
            <v>SATISH JASHVANTLAL ZAVERI (HUF)</v>
          </cell>
          <cell r="C2005" t="str">
            <v>LSCRED</v>
          </cell>
          <cell r="D2005">
            <v>25151</v>
          </cell>
          <cell r="E2005">
            <v>25151</v>
          </cell>
          <cell r="F2005">
            <v>0</v>
          </cell>
        </row>
        <row r="2006">
          <cell r="A2006" t="str">
            <v>GSATM</v>
          </cell>
          <cell r="B2006" t="str">
            <v>SATISH MALIK</v>
          </cell>
          <cell r="C2006" t="str">
            <v>LSCRED</v>
          </cell>
          <cell r="D2006">
            <v>33825</v>
          </cell>
          <cell r="E2006">
            <v>33825</v>
          </cell>
          <cell r="F2006">
            <v>0</v>
          </cell>
        </row>
        <row r="2007">
          <cell r="A2007" t="str">
            <v>GSAUR</v>
          </cell>
          <cell r="B2007" t="str">
            <v>SAURABH MITTAL</v>
          </cell>
          <cell r="C2007" t="str">
            <v>LSCRED</v>
          </cell>
          <cell r="D2007">
            <v>55808</v>
          </cell>
          <cell r="E2007">
            <v>55808</v>
          </cell>
          <cell r="F2007">
            <v>0</v>
          </cell>
        </row>
        <row r="2008">
          <cell r="A2008" t="str">
            <v>GSAJA</v>
          </cell>
          <cell r="B2008" t="str">
            <v>SAVITA JAIN</v>
          </cell>
          <cell r="C2008" t="str">
            <v>LSCRED</v>
          </cell>
          <cell r="D2008">
            <v>28690</v>
          </cell>
          <cell r="E2008">
            <v>28690</v>
          </cell>
          <cell r="F2008">
            <v>0</v>
          </cell>
        </row>
        <row r="2009">
          <cell r="A2009" t="str">
            <v>GSAVE</v>
          </cell>
          <cell r="B2009" t="str">
            <v>SAVITA VERMA</v>
          </cell>
          <cell r="C2009" t="str">
            <v>LSCRED</v>
          </cell>
          <cell r="D2009">
            <v>19634</v>
          </cell>
          <cell r="E2009">
            <v>19634</v>
          </cell>
          <cell r="F2009">
            <v>0</v>
          </cell>
        </row>
        <row r="2010">
          <cell r="A2010" t="str">
            <v>GSAVDE</v>
          </cell>
          <cell r="B2010" t="str">
            <v>SAVITRI DEVI</v>
          </cell>
          <cell r="C2010" t="str">
            <v>LSCRED</v>
          </cell>
          <cell r="D2010">
            <v>23276</v>
          </cell>
          <cell r="E2010">
            <v>23276</v>
          </cell>
          <cell r="F2010">
            <v>0</v>
          </cell>
        </row>
        <row r="2011">
          <cell r="A2011" t="str">
            <v>GSAKH</v>
          </cell>
          <cell r="B2011" t="str">
            <v>SAVITRI KHANDELWAL</v>
          </cell>
          <cell r="C2011" t="str">
            <v>LSCRED</v>
          </cell>
          <cell r="D2011">
            <v>62915</v>
          </cell>
          <cell r="E2011">
            <v>62915</v>
          </cell>
          <cell r="F2011">
            <v>0</v>
          </cell>
        </row>
        <row r="2012">
          <cell r="A2012" t="str">
            <v>GSAYE</v>
          </cell>
          <cell r="B2012" t="str">
            <v>SAYEED- UL- HASAN</v>
          </cell>
          <cell r="C2012" t="str">
            <v>LSCRED</v>
          </cell>
          <cell r="D2012">
            <v>47511</v>
          </cell>
          <cell r="E2012">
            <v>47511</v>
          </cell>
          <cell r="F2012">
            <v>0</v>
          </cell>
        </row>
        <row r="2013">
          <cell r="A2013" t="str">
            <v>GSEAC</v>
          </cell>
          <cell r="B2013" t="str">
            <v>SEARCH END MANAGEMENT CONSULTANTS</v>
          </cell>
          <cell r="C2013" t="str">
            <v>LSCRED</v>
          </cell>
          <cell r="D2013">
            <v>24115</v>
          </cell>
          <cell r="E2013">
            <v>24115</v>
          </cell>
          <cell r="F2013">
            <v>0</v>
          </cell>
        </row>
        <row r="2014">
          <cell r="A2014" t="str">
            <v>GSEC</v>
          </cell>
          <cell r="B2014" t="str">
            <v>SECON PRINT TECH</v>
          </cell>
          <cell r="C2014" t="str">
            <v>LSCRED</v>
          </cell>
          <cell r="D2014">
            <v>3285</v>
          </cell>
          <cell r="E2014">
            <v>3285</v>
          </cell>
          <cell r="F2014">
            <v>0</v>
          </cell>
        </row>
        <row r="2015">
          <cell r="A2015" t="str">
            <v>GNDMC</v>
          </cell>
          <cell r="B2015" t="str">
            <v>SECRETARY N.D.M.C</v>
          </cell>
          <cell r="C2015" t="str">
            <v>LSCRED</v>
          </cell>
          <cell r="D2015">
            <v>84080</v>
          </cell>
          <cell r="E2015">
            <v>84080</v>
          </cell>
          <cell r="F2015">
            <v>0</v>
          </cell>
        </row>
        <row r="2016">
          <cell r="A2016" t="str">
            <v>GSTRR</v>
          </cell>
          <cell r="B2016" t="str">
            <v>SERVICE TAX REFUND RECEIVABLE</v>
          </cell>
          <cell r="C2016" t="str">
            <v>LSCRED</v>
          </cell>
          <cell r="D2016">
            <v>133244</v>
          </cell>
          <cell r="E2016">
            <v>133244</v>
          </cell>
          <cell r="F2016">
            <v>0</v>
          </cell>
        </row>
        <row r="2017">
          <cell r="A2017" t="str">
            <v>GSRVO</v>
          </cell>
          <cell r="B2017" t="str">
            <v>SERVOKON SYSTEMS PVT LTD</v>
          </cell>
          <cell r="C2017" t="str">
            <v>LSCRED</v>
          </cell>
          <cell r="D2017">
            <v>26625</v>
          </cell>
          <cell r="E2017">
            <v>26625</v>
          </cell>
          <cell r="F2017">
            <v>0</v>
          </cell>
        </row>
        <row r="2018">
          <cell r="A2018" t="str">
            <v>GSHBB</v>
          </cell>
          <cell r="B2018" t="str">
            <v>SHABBIR ABDUL HUSSAIN</v>
          </cell>
          <cell r="C2018" t="str">
            <v>LSCRED</v>
          </cell>
          <cell r="D2018">
            <v>41578</v>
          </cell>
          <cell r="E2018">
            <v>41578</v>
          </cell>
          <cell r="F2018">
            <v>0</v>
          </cell>
        </row>
        <row r="2019">
          <cell r="A2019" t="str">
            <v>GSHAIA</v>
          </cell>
          <cell r="B2019" t="str">
            <v>SHAILENDRA AGRAWAL</v>
          </cell>
          <cell r="C2019" t="str">
            <v>LSCRED</v>
          </cell>
          <cell r="D2019">
            <v>902</v>
          </cell>
          <cell r="E2019">
            <v>902</v>
          </cell>
          <cell r="F2019">
            <v>0</v>
          </cell>
        </row>
        <row r="2020">
          <cell r="A2020" t="str">
            <v>GSKAN</v>
          </cell>
          <cell r="B2020" t="str">
            <v>SHAKUNTALA BASAVARAJ KITTUR</v>
          </cell>
          <cell r="C2020" t="str">
            <v>LSCRED</v>
          </cell>
          <cell r="D2020">
            <v>2839</v>
          </cell>
          <cell r="E2020">
            <v>2839</v>
          </cell>
          <cell r="F2020">
            <v>0</v>
          </cell>
        </row>
        <row r="2021">
          <cell r="A2021" t="str">
            <v>GSALM</v>
          </cell>
          <cell r="B2021" t="str">
            <v>SHALIMAR BUILDCON PVT LTD</v>
          </cell>
          <cell r="C2021" t="str">
            <v>LSCRED</v>
          </cell>
          <cell r="D2021">
            <v>61256</v>
          </cell>
          <cell r="E2021">
            <v>61256</v>
          </cell>
          <cell r="F2021">
            <v>0</v>
          </cell>
        </row>
        <row r="2022">
          <cell r="A2022" t="str">
            <v>GSHAMA</v>
          </cell>
          <cell r="B2022" t="str">
            <v>SHAMA KUMARI SACHDEVA</v>
          </cell>
          <cell r="C2022" t="str">
            <v>LSCRED</v>
          </cell>
          <cell r="D2022">
            <v>56979</v>
          </cell>
          <cell r="E2022">
            <v>56979</v>
          </cell>
          <cell r="F2022">
            <v>0</v>
          </cell>
        </row>
        <row r="2023">
          <cell r="A2023" t="str">
            <v>GSHAM</v>
          </cell>
          <cell r="B2023" t="str">
            <v>SHAMPURANAM K</v>
          </cell>
          <cell r="C2023" t="str">
            <v>LSCRED</v>
          </cell>
          <cell r="D2023">
            <v>98026</v>
          </cell>
          <cell r="E2023">
            <v>98026</v>
          </cell>
          <cell r="F2023">
            <v>0</v>
          </cell>
        </row>
        <row r="2024">
          <cell r="A2024" t="str">
            <v>GSHBAB</v>
          </cell>
          <cell r="B2024" t="str">
            <v>SHANTILAL BABUBHAI SURATWALA</v>
          </cell>
          <cell r="C2024" t="str">
            <v>LSCRED</v>
          </cell>
          <cell r="D2024">
            <v>4972</v>
          </cell>
          <cell r="E2024">
            <v>4972</v>
          </cell>
          <cell r="F2024">
            <v>0</v>
          </cell>
        </row>
        <row r="2025">
          <cell r="A2025" t="str">
            <v>GSHARD</v>
          </cell>
          <cell r="B2025" t="str">
            <v>SHARDA RANI</v>
          </cell>
          <cell r="C2025" t="str">
            <v>LSCRED</v>
          </cell>
          <cell r="D2025">
            <v>16065</v>
          </cell>
          <cell r="E2025">
            <v>16065</v>
          </cell>
          <cell r="F2025">
            <v>0</v>
          </cell>
        </row>
        <row r="2026">
          <cell r="A2026" t="str">
            <v>GSHAR</v>
          </cell>
          <cell r="B2026" t="str">
            <v>SHARDABEN H SHAH</v>
          </cell>
          <cell r="C2026" t="str">
            <v>LSCRED</v>
          </cell>
          <cell r="D2026">
            <v>40015</v>
          </cell>
          <cell r="E2026">
            <v>40015</v>
          </cell>
          <cell r="F2026">
            <v>0</v>
          </cell>
        </row>
        <row r="2027">
          <cell r="A2027" t="str">
            <v>GSHSS</v>
          </cell>
          <cell r="B2027" t="str">
            <v>SHARDDHA S. SHAH</v>
          </cell>
          <cell r="C2027" t="str">
            <v>LSCRED</v>
          </cell>
          <cell r="D2027">
            <v>194612</v>
          </cell>
          <cell r="E2027">
            <v>194612</v>
          </cell>
          <cell r="F2027">
            <v>0</v>
          </cell>
        </row>
        <row r="2028">
          <cell r="A2028" t="str">
            <v>GSHCR</v>
          </cell>
          <cell r="B2028" t="str">
            <v>SHARMA CARS PRIVATE LIMITED</v>
          </cell>
          <cell r="C2028" t="str">
            <v>LSCRED</v>
          </cell>
          <cell r="D2028">
            <v>24213</v>
          </cell>
          <cell r="E2028">
            <v>24213</v>
          </cell>
          <cell r="F2028">
            <v>0</v>
          </cell>
        </row>
        <row r="2029">
          <cell r="A2029" t="str">
            <v>GSHC</v>
          </cell>
          <cell r="B2029" t="str">
            <v>SHARP COMPUTERS</v>
          </cell>
          <cell r="C2029" t="str">
            <v>LSCRED</v>
          </cell>
          <cell r="D2029">
            <v>66975</v>
          </cell>
          <cell r="E2029">
            <v>66975</v>
          </cell>
          <cell r="F2029">
            <v>0</v>
          </cell>
        </row>
        <row r="2030">
          <cell r="A2030" t="str">
            <v>GSHLA</v>
          </cell>
          <cell r="B2030" t="str">
            <v>SHARWAN LAXMANDAS AHUJA</v>
          </cell>
          <cell r="C2030" t="str">
            <v>LSCRED</v>
          </cell>
          <cell r="D2030">
            <v>15982</v>
          </cell>
          <cell r="E2030">
            <v>15982</v>
          </cell>
          <cell r="F2030">
            <v>0</v>
          </cell>
        </row>
        <row r="2031">
          <cell r="A2031" t="str">
            <v>GSHEJ</v>
          </cell>
          <cell r="B2031" t="str">
            <v>SHEEJA HARSHAKUMAR</v>
          </cell>
          <cell r="C2031" t="str">
            <v>LSCRED</v>
          </cell>
          <cell r="D2031">
            <v>91584</v>
          </cell>
          <cell r="E2031">
            <v>91584</v>
          </cell>
          <cell r="F2031">
            <v>0</v>
          </cell>
        </row>
        <row r="2032">
          <cell r="A2032" t="str">
            <v>GSHEE</v>
          </cell>
          <cell r="B2032" t="str">
            <v>SHEELU LALWANI</v>
          </cell>
          <cell r="C2032" t="str">
            <v>LSCRED</v>
          </cell>
          <cell r="D2032">
            <v>502940</v>
          </cell>
          <cell r="E2032">
            <v>502940</v>
          </cell>
          <cell r="F2032">
            <v>0</v>
          </cell>
        </row>
        <row r="2033">
          <cell r="A2033" t="str">
            <v>GSHEAL</v>
          </cell>
          <cell r="B2033" t="str">
            <v>SHEHZADAY ALAM</v>
          </cell>
          <cell r="C2033" t="str">
            <v>LSCRED</v>
          </cell>
          <cell r="D2033">
            <v>687</v>
          </cell>
          <cell r="E2033">
            <v>687</v>
          </cell>
          <cell r="F2033">
            <v>0</v>
          </cell>
        </row>
        <row r="2034">
          <cell r="A2034" t="str">
            <v>GSHIK</v>
          </cell>
          <cell r="B2034" t="str">
            <v>SHIKHIR VIR AGGARWAL (HUF)</v>
          </cell>
          <cell r="C2034" t="str">
            <v>LSCRED</v>
          </cell>
          <cell r="D2034">
            <v>91421</v>
          </cell>
          <cell r="E2034">
            <v>91421</v>
          </cell>
          <cell r="F2034">
            <v>0</v>
          </cell>
        </row>
        <row r="2035">
          <cell r="A2035" t="str">
            <v>GSHIL</v>
          </cell>
          <cell r="B2035" t="str">
            <v>SHILPA ELECTRICAL TRADERS</v>
          </cell>
          <cell r="C2035" t="str">
            <v>LSCRED</v>
          </cell>
          <cell r="D2035">
            <v>61098</v>
          </cell>
          <cell r="E2035">
            <v>61098</v>
          </cell>
          <cell r="F2035">
            <v>0</v>
          </cell>
        </row>
        <row r="2036">
          <cell r="A2036" t="str">
            <v>GSINP</v>
          </cell>
          <cell r="B2036" t="str">
            <v>SHINE PRINTS</v>
          </cell>
          <cell r="C2036" t="str">
            <v>LSCRED</v>
          </cell>
          <cell r="D2036">
            <v>56</v>
          </cell>
          <cell r="E2036">
            <v>56</v>
          </cell>
          <cell r="F2036">
            <v>0</v>
          </cell>
        </row>
        <row r="2037">
          <cell r="A2037" t="str">
            <v>GSHTA</v>
          </cell>
          <cell r="B2037" t="str">
            <v>SHITAL VINUBHAI THAKKAR</v>
          </cell>
          <cell r="C2037" t="str">
            <v>LSCRED</v>
          </cell>
          <cell r="D2037">
            <v>24932</v>
          </cell>
          <cell r="E2037">
            <v>24932</v>
          </cell>
          <cell r="F2037">
            <v>0</v>
          </cell>
        </row>
        <row r="2038">
          <cell r="A2038" t="str">
            <v>GSHDE</v>
          </cell>
          <cell r="B2038" t="str">
            <v>SHIV KUMARI DEVI</v>
          </cell>
          <cell r="C2038" t="str">
            <v>LSCRED</v>
          </cell>
          <cell r="D2038">
            <v>15754</v>
          </cell>
          <cell r="E2038">
            <v>15754</v>
          </cell>
          <cell r="F2038">
            <v>0</v>
          </cell>
        </row>
        <row r="2039">
          <cell r="A2039" t="str">
            <v>GSHSI</v>
          </cell>
          <cell r="B2039" t="str">
            <v>SHIVANI SINGH CHAUHAN</v>
          </cell>
          <cell r="C2039" t="str">
            <v>LSCRED</v>
          </cell>
          <cell r="D2039">
            <v>10000</v>
          </cell>
          <cell r="E2039">
            <v>10000</v>
          </cell>
          <cell r="F2039">
            <v>0</v>
          </cell>
        </row>
        <row r="2040">
          <cell r="A2040" t="str">
            <v>GSHIVK</v>
          </cell>
          <cell r="B2040" t="str">
            <v>SHIVKUMAR J. SAROJ</v>
          </cell>
          <cell r="C2040" t="str">
            <v>LSCRED</v>
          </cell>
          <cell r="D2040">
            <v>2525</v>
          </cell>
          <cell r="E2040">
            <v>2525</v>
          </cell>
          <cell r="F2040">
            <v>0</v>
          </cell>
        </row>
        <row r="2041">
          <cell r="A2041" t="str">
            <v>GSHOL</v>
          </cell>
          <cell r="B2041" t="str">
            <v>SHOBHA LAXMANDAS AHUJA</v>
          </cell>
          <cell r="C2041" t="str">
            <v>LSCRED</v>
          </cell>
          <cell r="D2041">
            <v>15211</v>
          </cell>
          <cell r="E2041">
            <v>15211</v>
          </cell>
          <cell r="F2041">
            <v>0</v>
          </cell>
        </row>
        <row r="2042">
          <cell r="A2042" t="str">
            <v>GSRIG</v>
          </cell>
          <cell r="B2042" t="str">
            <v>SHREE GANESH ENTERPRISES</v>
          </cell>
          <cell r="C2042" t="str">
            <v>LSCRED</v>
          </cell>
          <cell r="D2042">
            <v>33903</v>
          </cell>
          <cell r="E2042">
            <v>33903</v>
          </cell>
          <cell r="F2042">
            <v>0</v>
          </cell>
        </row>
        <row r="2043">
          <cell r="A2043" t="str">
            <v>GSHRK</v>
          </cell>
          <cell r="B2043" t="str">
            <v>SHREE KALIKA REALTORS</v>
          </cell>
          <cell r="C2043" t="str">
            <v>LSCRED</v>
          </cell>
          <cell r="D2043">
            <v>1500</v>
          </cell>
          <cell r="E2043">
            <v>1500</v>
          </cell>
          <cell r="F2043">
            <v>0</v>
          </cell>
        </row>
        <row r="2044">
          <cell r="A2044" t="str">
            <v>GSHRA</v>
          </cell>
          <cell r="B2044" t="str">
            <v>SHREE RANG DEVELOPERS</v>
          </cell>
          <cell r="C2044" t="str">
            <v>LSCRED</v>
          </cell>
          <cell r="D2044">
            <v>175299</v>
          </cell>
          <cell r="E2044">
            <v>175299</v>
          </cell>
          <cell r="F2044">
            <v>0</v>
          </cell>
        </row>
        <row r="2045">
          <cell r="A2045" t="str">
            <v>GSHDI</v>
          </cell>
          <cell r="B2045" t="str">
            <v>SHREEDI INFOTECH</v>
          </cell>
          <cell r="C2045" t="str">
            <v>LSCRED</v>
          </cell>
          <cell r="D2045">
            <v>7050</v>
          </cell>
          <cell r="E2045">
            <v>7050</v>
          </cell>
          <cell r="F2045">
            <v>0</v>
          </cell>
        </row>
        <row r="2046">
          <cell r="A2046" t="str">
            <v>GSHREJI</v>
          </cell>
          <cell r="B2046" t="str">
            <v>SHREEJI ASSOCIATE</v>
          </cell>
          <cell r="C2046" t="str">
            <v>LSCRED</v>
          </cell>
          <cell r="D2046">
            <v>109274</v>
          </cell>
          <cell r="E2046">
            <v>109274</v>
          </cell>
          <cell r="F2046">
            <v>0</v>
          </cell>
        </row>
        <row r="2047">
          <cell r="A2047" t="str">
            <v>GSHCO</v>
          </cell>
          <cell r="B2047" t="str">
            <v>SHREEJI COMPLEX</v>
          </cell>
          <cell r="C2047" t="str">
            <v>LSCRED</v>
          </cell>
          <cell r="D2047">
            <v>76198</v>
          </cell>
          <cell r="E2047">
            <v>76198</v>
          </cell>
          <cell r="F2047">
            <v>0</v>
          </cell>
        </row>
        <row r="2048">
          <cell r="A2048" t="str">
            <v>GSHRAS</v>
          </cell>
          <cell r="B2048" t="str">
            <v>SHREEKANT RAMNATH SALUNKE</v>
          </cell>
          <cell r="C2048" t="str">
            <v>LSCRED</v>
          </cell>
          <cell r="D2048">
            <v>3506</v>
          </cell>
          <cell r="E2048">
            <v>3506</v>
          </cell>
          <cell r="F2048">
            <v>0</v>
          </cell>
        </row>
        <row r="2049">
          <cell r="A2049" t="str">
            <v>GJOGU</v>
          </cell>
          <cell r="B2049" t="str">
            <v>SHRI JOGINDER SINGH &amp; SMT. GURMEET KAUR</v>
          </cell>
          <cell r="C2049" t="str">
            <v>LSCRED</v>
          </cell>
          <cell r="D2049">
            <v>27540</v>
          </cell>
          <cell r="E2049">
            <v>27540</v>
          </cell>
          <cell r="F2049">
            <v>0</v>
          </cell>
        </row>
        <row r="2050">
          <cell r="A2050" t="str">
            <v>GLANA</v>
          </cell>
          <cell r="B2050" t="str">
            <v>SHRI LAXMI NARAIN NAGPAL</v>
          </cell>
          <cell r="C2050" t="str">
            <v>LSCRED</v>
          </cell>
          <cell r="D2050">
            <v>38097</v>
          </cell>
          <cell r="E2050">
            <v>38097</v>
          </cell>
          <cell r="F2050">
            <v>0</v>
          </cell>
        </row>
        <row r="2051">
          <cell r="A2051" t="str">
            <v>GSHSA</v>
          </cell>
          <cell r="B2051" t="str">
            <v>SHRI SANDEEP KAPOOR</v>
          </cell>
          <cell r="C2051" t="str">
            <v>LSCRED</v>
          </cell>
          <cell r="D2051">
            <v>1071</v>
          </cell>
          <cell r="E2051">
            <v>1071</v>
          </cell>
          <cell r="F2051">
            <v>0</v>
          </cell>
        </row>
        <row r="2052">
          <cell r="A2052" t="str">
            <v>GSBAB</v>
          </cell>
          <cell r="B2052" t="str">
            <v>SHUSHILADEVI BABULALJI JAIN</v>
          </cell>
          <cell r="C2052" t="str">
            <v>LSCRED</v>
          </cell>
          <cell r="D2052">
            <v>85749</v>
          </cell>
          <cell r="E2052">
            <v>85749</v>
          </cell>
          <cell r="F2052">
            <v>0</v>
          </cell>
        </row>
        <row r="2053">
          <cell r="A2053" t="str">
            <v>GSHKR</v>
          </cell>
          <cell r="B2053" t="str">
            <v>SHYAM KRIPA CONSTRUCTIONS</v>
          </cell>
          <cell r="C2053" t="str">
            <v>LSCRED</v>
          </cell>
          <cell r="D2053">
            <v>34742</v>
          </cell>
          <cell r="E2053">
            <v>34742</v>
          </cell>
          <cell r="F2053">
            <v>0</v>
          </cell>
        </row>
        <row r="2054">
          <cell r="A2054" t="str">
            <v>GSHYA</v>
          </cell>
          <cell r="B2054" t="str">
            <v>SHYAMLAL JEENDGAR HUF</v>
          </cell>
          <cell r="C2054" t="str">
            <v>LSCRED</v>
          </cell>
          <cell r="D2054">
            <v>19880</v>
          </cell>
          <cell r="E2054">
            <v>19880</v>
          </cell>
          <cell r="F2054">
            <v>0</v>
          </cell>
        </row>
        <row r="2055">
          <cell r="A2055" t="str">
            <v>GSIDH</v>
          </cell>
          <cell r="B2055" t="str">
            <v>SIDHSHREE COMPUTRONICS PVT LTD</v>
          </cell>
          <cell r="C2055" t="str">
            <v>LSCRED</v>
          </cell>
          <cell r="D2055">
            <v>56900</v>
          </cell>
          <cell r="E2055">
            <v>56900</v>
          </cell>
          <cell r="F2055">
            <v>0</v>
          </cell>
        </row>
        <row r="2056">
          <cell r="A2056" t="str">
            <v>GSINC</v>
          </cell>
          <cell r="B2056" t="str">
            <v>SIGNATURE INC</v>
          </cell>
          <cell r="C2056" t="str">
            <v>LSCRED</v>
          </cell>
          <cell r="D2056">
            <v>7290</v>
          </cell>
          <cell r="E2056">
            <v>7290</v>
          </cell>
          <cell r="F2056">
            <v>0</v>
          </cell>
        </row>
        <row r="2057">
          <cell r="A2057" t="str">
            <v>GA0259</v>
          </cell>
          <cell r="B2057" t="str">
            <v>SILVER LINE EXPRESS</v>
          </cell>
          <cell r="C2057" t="str">
            <v>LSCRED</v>
          </cell>
          <cell r="D2057">
            <v>230959</v>
          </cell>
          <cell r="E2057">
            <v>230959</v>
          </cell>
          <cell r="F2057">
            <v>0</v>
          </cell>
        </row>
        <row r="2058">
          <cell r="A2058" t="str">
            <v>GSIMS</v>
          </cell>
          <cell r="B2058" t="str">
            <v>SIMRAN SINGH HUF</v>
          </cell>
          <cell r="C2058" t="str">
            <v>LSCRED</v>
          </cell>
          <cell r="D2058">
            <v>20660</v>
          </cell>
          <cell r="E2058">
            <v>20660</v>
          </cell>
          <cell r="F2058">
            <v>0</v>
          </cell>
        </row>
        <row r="2059">
          <cell r="A2059" t="str">
            <v>GSINE</v>
          </cell>
          <cell r="B2059" t="str">
            <v>SINE WAVE SOLUTIONS</v>
          </cell>
          <cell r="C2059" t="str">
            <v>LSCRED</v>
          </cell>
          <cell r="D2059">
            <v>142740</v>
          </cell>
          <cell r="E2059">
            <v>142740</v>
          </cell>
          <cell r="F2059">
            <v>0</v>
          </cell>
        </row>
        <row r="2060">
          <cell r="A2060" t="str">
            <v>GSINGH</v>
          </cell>
          <cell r="B2060" t="str">
            <v>SINGH WATCH AGENCY</v>
          </cell>
          <cell r="C2060" t="str">
            <v>LSCRED</v>
          </cell>
          <cell r="D2060">
            <v>3745</v>
          </cell>
          <cell r="E2060">
            <v>3745</v>
          </cell>
          <cell r="F2060">
            <v>0</v>
          </cell>
        </row>
        <row r="2061">
          <cell r="A2061" t="str">
            <v>GSING</v>
          </cell>
          <cell r="B2061" t="str">
            <v>SINGHALSONFORMS</v>
          </cell>
          <cell r="C2061" t="str">
            <v>LSCRED</v>
          </cell>
          <cell r="D2061">
            <v>143241</v>
          </cell>
          <cell r="E2061">
            <v>143241</v>
          </cell>
          <cell r="F2061">
            <v>0</v>
          </cell>
        </row>
        <row r="2062">
          <cell r="A2062" t="str">
            <v>GSITA</v>
          </cell>
          <cell r="B2062" t="str">
            <v>SITARAM SHARMA</v>
          </cell>
          <cell r="C2062" t="str">
            <v>LSCRED</v>
          </cell>
          <cell r="D2062">
            <v>34428</v>
          </cell>
          <cell r="E2062">
            <v>34428</v>
          </cell>
          <cell r="F2062">
            <v>0</v>
          </cell>
        </row>
        <row r="2063">
          <cell r="A2063" t="str">
            <v>GSKFI</v>
          </cell>
          <cell r="B2063" t="str">
            <v>SK FINANCE &amp; INVESTMENT CO.</v>
          </cell>
          <cell r="C2063" t="str">
            <v>LSCRED</v>
          </cell>
          <cell r="D2063">
            <v>42575</v>
          </cell>
          <cell r="E2063">
            <v>42575</v>
          </cell>
          <cell r="F2063">
            <v>0</v>
          </cell>
        </row>
        <row r="2064">
          <cell r="A2064" t="str">
            <v>GSKYP</v>
          </cell>
          <cell r="B2064" t="str">
            <v>SKYLARK PROPERTIES PRIVATE LIMITED</v>
          </cell>
          <cell r="C2064" t="str">
            <v>LSCRED</v>
          </cell>
          <cell r="D2064">
            <v>226470</v>
          </cell>
          <cell r="E2064">
            <v>226470</v>
          </cell>
          <cell r="F2064">
            <v>0</v>
          </cell>
        </row>
        <row r="2065">
          <cell r="A2065" t="str">
            <v>GSMSE</v>
          </cell>
          <cell r="B2065" t="str">
            <v>SMAART SERVE</v>
          </cell>
          <cell r="C2065" t="str">
            <v>LSCRED</v>
          </cell>
          <cell r="D2065">
            <v>24480</v>
          </cell>
          <cell r="E2065">
            <v>24480</v>
          </cell>
          <cell r="F2065">
            <v>0</v>
          </cell>
        </row>
        <row r="2066">
          <cell r="A2066" t="str">
            <v>GAMRA</v>
          </cell>
          <cell r="B2066" t="str">
            <v>SMT. AMRATH KAWAR</v>
          </cell>
          <cell r="C2066" t="str">
            <v>LSCRED</v>
          </cell>
          <cell r="D2066">
            <v>83722</v>
          </cell>
          <cell r="E2066">
            <v>83722</v>
          </cell>
          <cell r="F2066">
            <v>0</v>
          </cell>
        </row>
        <row r="2067">
          <cell r="A2067" t="str">
            <v>GSMTC</v>
          </cell>
          <cell r="B2067" t="str">
            <v>SMT. CHANDRIKA SHARMA</v>
          </cell>
          <cell r="C2067" t="str">
            <v>LSCRED</v>
          </cell>
          <cell r="D2067">
            <v>44114</v>
          </cell>
          <cell r="E2067">
            <v>44114</v>
          </cell>
          <cell r="F2067">
            <v>0</v>
          </cell>
        </row>
        <row r="2068">
          <cell r="A2068" t="str">
            <v>GSKAL</v>
          </cell>
          <cell r="B2068" t="str">
            <v>SMT. KALPNA AMBRE</v>
          </cell>
          <cell r="C2068" t="str">
            <v>LSCRED</v>
          </cell>
          <cell r="D2068">
            <v>55080</v>
          </cell>
          <cell r="E2068">
            <v>55080</v>
          </cell>
          <cell r="F2068">
            <v>0</v>
          </cell>
        </row>
        <row r="2069">
          <cell r="A2069" t="str">
            <v>GSAVA</v>
          </cell>
          <cell r="B2069" t="str">
            <v>SMT. SHANTADEVI VARLANI</v>
          </cell>
          <cell r="C2069" t="str">
            <v>LSCRED</v>
          </cell>
          <cell r="D2069">
            <v>2609</v>
          </cell>
          <cell r="E2069">
            <v>2609</v>
          </cell>
          <cell r="F2069">
            <v>0</v>
          </cell>
        </row>
        <row r="2070">
          <cell r="A2070" t="str">
            <v>GSNEH</v>
          </cell>
          <cell r="B2070" t="str">
            <v>SNEHALATA MAHESH BEDSE PATIL</v>
          </cell>
          <cell r="C2070" t="str">
            <v>LSCRED</v>
          </cell>
          <cell r="D2070">
            <v>27145</v>
          </cell>
          <cell r="E2070">
            <v>27145</v>
          </cell>
          <cell r="F2070">
            <v>0</v>
          </cell>
        </row>
        <row r="2071">
          <cell r="A2071" t="str">
            <v>GSOFI</v>
          </cell>
          <cell r="B2071" t="str">
            <v>SO- FINE PROPERTY</v>
          </cell>
          <cell r="C2071" t="str">
            <v>LSCRED</v>
          </cell>
          <cell r="D2071">
            <v>7574</v>
          </cell>
          <cell r="E2071">
            <v>7574</v>
          </cell>
          <cell r="F2071">
            <v>0</v>
          </cell>
        </row>
        <row r="2072">
          <cell r="A2072" t="str">
            <v>GSOFE</v>
          </cell>
          <cell r="B2072" t="str">
            <v>SOFTEC INDIA</v>
          </cell>
          <cell r="C2072" t="str">
            <v>LSCRED</v>
          </cell>
          <cell r="D2072">
            <v>49025</v>
          </cell>
          <cell r="E2072">
            <v>49025</v>
          </cell>
          <cell r="F2072">
            <v>0</v>
          </cell>
        </row>
        <row r="2073">
          <cell r="A2073" t="str">
            <v>GSOMA</v>
          </cell>
          <cell r="B2073" t="str">
            <v>SOMANI ASSOCIATES</v>
          </cell>
          <cell r="C2073" t="str">
            <v>LSCRED</v>
          </cell>
          <cell r="D2073">
            <v>2534</v>
          </cell>
          <cell r="E2073">
            <v>2534</v>
          </cell>
          <cell r="F2073">
            <v>0</v>
          </cell>
        </row>
        <row r="2074">
          <cell r="A2074" t="str">
            <v>GSRE</v>
          </cell>
          <cell r="B2074" t="str">
            <v>SREE LAKSHMI DATA PRODUCTS</v>
          </cell>
          <cell r="C2074" t="str">
            <v>LSCRED</v>
          </cell>
          <cell r="D2074">
            <v>134</v>
          </cell>
          <cell r="E2074">
            <v>134</v>
          </cell>
          <cell r="F2074">
            <v>0</v>
          </cell>
        </row>
        <row r="2075">
          <cell r="A2075" t="str">
            <v>GSREET</v>
          </cell>
          <cell r="B2075" t="str">
            <v>SREEJEE TRADERS</v>
          </cell>
          <cell r="C2075" t="str">
            <v>LSCRED</v>
          </cell>
          <cell r="D2075">
            <v>22865</v>
          </cell>
          <cell r="E2075">
            <v>22865</v>
          </cell>
          <cell r="F2075">
            <v>0</v>
          </cell>
        </row>
        <row r="2076">
          <cell r="A2076" t="str">
            <v>GSRIB</v>
          </cell>
          <cell r="B2076" t="str">
            <v>SRI BALAJI BUILDERS</v>
          </cell>
          <cell r="C2076" t="str">
            <v>LSCRED</v>
          </cell>
          <cell r="D2076">
            <v>13374</v>
          </cell>
          <cell r="E2076">
            <v>13374</v>
          </cell>
          <cell r="F2076">
            <v>0</v>
          </cell>
        </row>
        <row r="2077">
          <cell r="A2077" t="str">
            <v>GSIRA</v>
          </cell>
          <cell r="B2077" t="str">
            <v>SRI SAI RAM ENTERPRISES</v>
          </cell>
          <cell r="C2077" t="str">
            <v>LSCRED</v>
          </cell>
          <cell r="D2077">
            <v>45394.45</v>
          </cell>
          <cell r="E2077">
            <v>45394.45</v>
          </cell>
          <cell r="F2077">
            <v>0</v>
          </cell>
        </row>
        <row r="2078">
          <cell r="A2078" t="str">
            <v>GSUBHA</v>
          </cell>
          <cell r="B2078" t="str">
            <v>SUBHASH SINGH</v>
          </cell>
          <cell r="C2078" t="str">
            <v>LSCRED</v>
          </cell>
          <cell r="D2078">
            <v>51408</v>
          </cell>
          <cell r="E2078">
            <v>51408</v>
          </cell>
          <cell r="F2078">
            <v>0</v>
          </cell>
        </row>
        <row r="2079">
          <cell r="A2079" t="str">
            <v>GSUBR</v>
          </cell>
          <cell r="B2079" t="str">
            <v>SUBRATA DEBNATH</v>
          </cell>
          <cell r="C2079" t="str">
            <v>LSCRED</v>
          </cell>
          <cell r="D2079">
            <v>123600</v>
          </cell>
          <cell r="E2079">
            <v>123600</v>
          </cell>
          <cell r="F2079">
            <v>0</v>
          </cell>
        </row>
        <row r="2080">
          <cell r="A2080" t="str">
            <v>GSUDR</v>
          </cell>
          <cell r="B2080" t="str">
            <v>SUDHIR JAIN</v>
          </cell>
          <cell r="C2080" t="str">
            <v>LSCRED</v>
          </cell>
          <cell r="D2080">
            <v>2000</v>
          </cell>
          <cell r="E2080">
            <v>2000</v>
          </cell>
          <cell r="F2080">
            <v>0</v>
          </cell>
        </row>
        <row r="2081">
          <cell r="A2081" t="str">
            <v>GSUYA</v>
          </cell>
          <cell r="B2081" t="str">
            <v>SUDHIR YASHWANT JUVEKAR</v>
          </cell>
          <cell r="C2081" t="str">
            <v>LSCRED</v>
          </cell>
          <cell r="D2081">
            <v>55080</v>
          </cell>
          <cell r="E2081">
            <v>55080</v>
          </cell>
          <cell r="F2081">
            <v>0</v>
          </cell>
        </row>
        <row r="2082">
          <cell r="A2082" t="str">
            <v>GSUJA</v>
          </cell>
          <cell r="B2082" t="str">
            <v>SUJATA SHARMA</v>
          </cell>
          <cell r="C2082" t="str">
            <v>LSCRED</v>
          </cell>
          <cell r="D2082">
            <v>61965</v>
          </cell>
          <cell r="E2082">
            <v>61965</v>
          </cell>
          <cell r="F2082">
            <v>0</v>
          </cell>
        </row>
        <row r="2083">
          <cell r="A2083" t="str">
            <v>GSUKV</v>
          </cell>
          <cell r="B2083" t="str">
            <v>SUKHVARSHA MANAGEMENT SERVICES PVT. LTD</v>
          </cell>
          <cell r="C2083" t="str">
            <v>LSCRED</v>
          </cell>
          <cell r="D2083">
            <v>22</v>
          </cell>
          <cell r="E2083">
            <v>22</v>
          </cell>
          <cell r="F2083">
            <v>0</v>
          </cell>
        </row>
        <row r="2084">
          <cell r="A2084" t="str">
            <v>GSUKA</v>
          </cell>
          <cell r="B2084" t="str">
            <v>SUKHVINDER KAUR</v>
          </cell>
          <cell r="C2084" t="str">
            <v>LSCRED</v>
          </cell>
          <cell r="D2084">
            <v>30945</v>
          </cell>
          <cell r="E2084">
            <v>30945</v>
          </cell>
          <cell r="F2084">
            <v>0</v>
          </cell>
        </row>
        <row r="2085">
          <cell r="A2085" t="str">
            <v>GSUMA</v>
          </cell>
          <cell r="B2085" t="str">
            <v>SUMATI VERMA</v>
          </cell>
          <cell r="C2085" t="str">
            <v>LSCRED</v>
          </cell>
          <cell r="D2085">
            <v>6750</v>
          </cell>
          <cell r="E2085">
            <v>6750</v>
          </cell>
          <cell r="F2085">
            <v>0</v>
          </cell>
        </row>
        <row r="2086">
          <cell r="A2086" t="str">
            <v>GSUMD</v>
          </cell>
          <cell r="B2086" t="str">
            <v>SUMEET DEVELOPERS</v>
          </cell>
          <cell r="C2086" t="str">
            <v>LSCRED</v>
          </cell>
          <cell r="D2086">
            <v>147887</v>
          </cell>
          <cell r="E2086">
            <v>147887</v>
          </cell>
          <cell r="F2086">
            <v>0</v>
          </cell>
        </row>
        <row r="2087">
          <cell r="A2087" t="str">
            <v>GSUMIT</v>
          </cell>
          <cell r="B2087" t="str">
            <v>SUMIT ARORA</v>
          </cell>
          <cell r="C2087" t="str">
            <v>LSCRED</v>
          </cell>
          <cell r="D2087">
            <v>97091</v>
          </cell>
          <cell r="E2087">
            <v>97091</v>
          </cell>
          <cell r="F2087">
            <v>0</v>
          </cell>
        </row>
        <row r="2088">
          <cell r="A2088" t="str">
            <v>GSUGR</v>
          </cell>
          <cell r="B2088" t="str">
            <v>SUMIT GROVER</v>
          </cell>
          <cell r="C2088" t="str">
            <v>LSCRED</v>
          </cell>
          <cell r="D2088">
            <v>18594</v>
          </cell>
          <cell r="E2088">
            <v>18594</v>
          </cell>
          <cell r="F2088">
            <v>0</v>
          </cell>
        </row>
        <row r="2089">
          <cell r="A2089" t="str">
            <v>GSUOC</v>
          </cell>
          <cell r="B2089" t="str">
            <v>SUMIT OCHANEY</v>
          </cell>
          <cell r="C2089" t="str">
            <v>LSCRED</v>
          </cell>
          <cell r="D2089">
            <v>165300</v>
          </cell>
          <cell r="E2089">
            <v>165300</v>
          </cell>
          <cell r="F2089">
            <v>0</v>
          </cell>
        </row>
        <row r="2090">
          <cell r="A2090" t="str">
            <v>GSULA</v>
          </cell>
          <cell r="B2090" t="str">
            <v>SUNDER LAL SHARMA</v>
          </cell>
          <cell r="C2090" t="str">
            <v>LSCRED</v>
          </cell>
          <cell r="D2090">
            <v>89505</v>
          </cell>
          <cell r="E2090">
            <v>89505</v>
          </cell>
          <cell r="F2090">
            <v>0</v>
          </cell>
        </row>
        <row r="2091">
          <cell r="A2091" t="str">
            <v>GSUNB</v>
          </cell>
          <cell r="B2091" t="str">
            <v>SUNIL BANSAL</v>
          </cell>
          <cell r="C2091" t="str">
            <v>LSCRED</v>
          </cell>
          <cell r="D2091">
            <v>56487</v>
          </cell>
          <cell r="E2091">
            <v>56487</v>
          </cell>
          <cell r="F2091">
            <v>0</v>
          </cell>
        </row>
        <row r="2092">
          <cell r="A2092" t="str">
            <v>GSUGS</v>
          </cell>
          <cell r="B2092" t="str">
            <v>SUNIL G SETH (HUF)</v>
          </cell>
          <cell r="C2092" t="str">
            <v>LSCRED</v>
          </cell>
          <cell r="D2092">
            <v>70068</v>
          </cell>
          <cell r="E2092">
            <v>70068</v>
          </cell>
          <cell r="F2092">
            <v>0</v>
          </cell>
        </row>
        <row r="2093">
          <cell r="A2093" t="str">
            <v>GSUNL</v>
          </cell>
          <cell r="B2093" t="str">
            <v>SUNIL KUMAR SINGHAL</v>
          </cell>
          <cell r="C2093" t="str">
            <v>LSCRED</v>
          </cell>
          <cell r="D2093">
            <v>25000</v>
          </cell>
          <cell r="E2093">
            <v>25000</v>
          </cell>
          <cell r="F2093">
            <v>0</v>
          </cell>
        </row>
        <row r="2094">
          <cell r="A2094" t="str">
            <v>GSPBA</v>
          </cell>
          <cell r="B2094" t="str">
            <v>SUNIL P. BAGARIA</v>
          </cell>
          <cell r="C2094" t="str">
            <v>LSCRED</v>
          </cell>
          <cell r="D2094">
            <v>459380</v>
          </cell>
          <cell r="E2094">
            <v>459380</v>
          </cell>
          <cell r="F2094">
            <v>0</v>
          </cell>
        </row>
        <row r="2095">
          <cell r="A2095" t="str">
            <v>GSUNN</v>
          </cell>
          <cell r="B2095" t="str">
            <v>SUNNYY COMPUTERS FORMS</v>
          </cell>
          <cell r="C2095" t="str">
            <v>LSCRED</v>
          </cell>
          <cell r="D2095">
            <v>8500</v>
          </cell>
          <cell r="E2095">
            <v>8500</v>
          </cell>
          <cell r="F2095">
            <v>0</v>
          </cell>
        </row>
        <row r="2096">
          <cell r="A2096" t="str">
            <v>GSUNR</v>
          </cell>
          <cell r="B2096" t="str">
            <v>SUNRISE COMPUTERS &amp; NETWORKS</v>
          </cell>
          <cell r="C2096" t="str">
            <v>LSCRED</v>
          </cell>
          <cell r="D2096">
            <v>20000</v>
          </cell>
          <cell r="E2096">
            <v>20000</v>
          </cell>
          <cell r="F2096">
            <v>0</v>
          </cell>
        </row>
        <row r="2097">
          <cell r="A2097" t="str">
            <v>GSURE</v>
          </cell>
          <cell r="B2097" t="str">
            <v>SURENDER PAL SINGH LAMBA</v>
          </cell>
          <cell r="C2097" t="str">
            <v>LSCRED</v>
          </cell>
          <cell r="D2097">
            <v>257403</v>
          </cell>
          <cell r="E2097">
            <v>257403</v>
          </cell>
          <cell r="F2097">
            <v>0</v>
          </cell>
        </row>
        <row r="2098">
          <cell r="A2098" t="str">
            <v>GSCBS</v>
          </cell>
          <cell r="B2098" t="str">
            <v>SURESHCHAND BHAWARLAL SUTALIYA</v>
          </cell>
          <cell r="C2098" t="str">
            <v>LSCRED</v>
          </cell>
          <cell r="D2098">
            <v>82318</v>
          </cell>
          <cell r="E2098">
            <v>82318</v>
          </cell>
          <cell r="F2098">
            <v>0</v>
          </cell>
        </row>
        <row r="2099">
          <cell r="A2099" t="str">
            <v>GSURI</v>
          </cell>
          <cell r="B2099" t="str">
            <v>SURJIT KAUR SEKHON</v>
          </cell>
          <cell r="C2099" t="str">
            <v>LSCRED</v>
          </cell>
          <cell r="D2099">
            <v>15750</v>
          </cell>
          <cell r="E2099">
            <v>15750</v>
          </cell>
          <cell r="F2099">
            <v>0</v>
          </cell>
        </row>
        <row r="2100">
          <cell r="A2100" t="str">
            <v>GSURP</v>
          </cell>
          <cell r="B2100" t="str">
            <v>SURYA PARTAP SINGH</v>
          </cell>
          <cell r="C2100" t="str">
            <v>LSCRED</v>
          </cell>
          <cell r="D2100">
            <v>22164</v>
          </cell>
          <cell r="E2100">
            <v>22164</v>
          </cell>
          <cell r="F2100">
            <v>0</v>
          </cell>
        </row>
        <row r="2101">
          <cell r="A2101" t="str">
            <v>GSPRA</v>
          </cell>
          <cell r="B2101" t="str">
            <v>SUSHIL PRAHLADRAI DHANUKA</v>
          </cell>
          <cell r="C2101" t="str">
            <v>LSCRED</v>
          </cell>
          <cell r="D2101">
            <v>118452</v>
          </cell>
          <cell r="E2101">
            <v>118452</v>
          </cell>
          <cell r="F2101">
            <v>0</v>
          </cell>
        </row>
        <row r="2102">
          <cell r="A2102" t="str">
            <v>GSUSV</v>
          </cell>
          <cell r="B2102" t="str">
            <v>SUSHMA VARSHNEY</v>
          </cell>
          <cell r="C2102" t="str">
            <v>LSCRED</v>
          </cell>
          <cell r="D2102">
            <v>22032</v>
          </cell>
          <cell r="E2102">
            <v>22032</v>
          </cell>
          <cell r="F2102">
            <v>0</v>
          </cell>
        </row>
        <row r="2103">
          <cell r="A2103" t="str">
            <v>GSWAP</v>
          </cell>
          <cell r="B2103" t="str">
            <v>SWAPNA GUNDA</v>
          </cell>
          <cell r="C2103" t="str">
            <v>LSCRED</v>
          </cell>
          <cell r="D2103">
            <v>75097</v>
          </cell>
          <cell r="E2103">
            <v>75097</v>
          </cell>
          <cell r="F2103">
            <v>0</v>
          </cell>
        </row>
        <row r="2104">
          <cell r="A2104" t="str">
            <v>GSWAK</v>
          </cell>
          <cell r="B2104" t="str">
            <v>SWARN KAUR</v>
          </cell>
          <cell r="C2104" t="str">
            <v>LSCRED</v>
          </cell>
          <cell r="D2104">
            <v>51913</v>
          </cell>
          <cell r="E2104">
            <v>51913</v>
          </cell>
          <cell r="F2104">
            <v>0</v>
          </cell>
        </row>
        <row r="2105">
          <cell r="A2105" t="str">
            <v>GSWIS</v>
          </cell>
          <cell r="B2105" t="str">
            <v>SWISS FLYFOT INFOSYS</v>
          </cell>
          <cell r="C2105" t="str">
            <v>LSCRED</v>
          </cell>
          <cell r="D2105">
            <v>1135</v>
          </cell>
          <cell r="E2105">
            <v>1135</v>
          </cell>
          <cell r="F2105">
            <v>0</v>
          </cell>
        </row>
        <row r="2106">
          <cell r="A2106" t="str">
            <v>GSYED</v>
          </cell>
          <cell r="B2106" t="str">
            <v>SYED TAHSEEN HUSSAIN</v>
          </cell>
          <cell r="C2106" t="str">
            <v>LSCRED</v>
          </cell>
          <cell r="D2106">
            <v>115668</v>
          </cell>
          <cell r="E2106">
            <v>115668</v>
          </cell>
          <cell r="F2106">
            <v>0</v>
          </cell>
        </row>
        <row r="2107">
          <cell r="A2107" t="str">
            <v>GS001</v>
          </cell>
          <cell r="B2107" t="str">
            <v>SYNERGY INFONET PVT. LTD.</v>
          </cell>
          <cell r="C2107" t="str">
            <v>LSCRED</v>
          </cell>
          <cell r="D2107">
            <v>14021686.119999999</v>
          </cell>
          <cell r="E2107">
            <v>14021686.119999999</v>
          </cell>
          <cell r="F2107">
            <v>0</v>
          </cell>
        </row>
        <row r="2108">
          <cell r="A2108" t="str">
            <v>GL001</v>
          </cell>
          <cell r="B2108" t="str">
            <v>SYNERGY SOFTWARES LIMITED</v>
          </cell>
          <cell r="C2108" t="str">
            <v>LSCRED</v>
          </cell>
          <cell r="D2108">
            <v>425154</v>
          </cell>
          <cell r="E2108">
            <v>425154</v>
          </cell>
          <cell r="F2108">
            <v>0</v>
          </cell>
        </row>
        <row r="2109">
          <cell r="A2109" t="str">
            <v>GSYSTR</v>
          </cell>
          <cell r="B2109" t="str">
            <v>SYSTRON ELECTRONICS PRIVATE LIMITED</v>
          </cell>
          <cell r="C2109" t="str">
            <v>LSCRED</v>
          </cell>
          <cell r="D2109">
            <v>91831</v>
          </cell>
          <cell r="E2109">
            <v>91831</v>
          </cell>
          <cell r="F2109">
            <v>0</v>
          </cell>
        </row>
        <row r="2110">
          <cell r="A2110" t="str">
            <v>GTALI</v>
          </cell>
          <cell r="B2110" t="str">
            <v>TALISMA CORPORATION PVT. LTD</v>
          </cell>
          <cell r="C2110" t="str">
            <v>LSCRED</v>
          </cell>
          <cell r="D2110">
            <v>413780</v>
          </cell>
          <cell r="E2110">
            <v>413780</v>
          </cell>
          <cell r="F2110">
            <v>0</v>
          </cell>
        </row>
        <row r="2111">
          <cell r="A2111" t="str">
            <v>GTANI</v>
          </cell>
          <cell r="B2111" t="str">
            <v>TANIA SETH</v>
          </cell>
          <cell r="C2111" t="str">
            <v>LSCRED</v>
          </cell>
          <cell r="D2111">
            <v>35808</v>
          </cell>
          <cell r="E2111">
            <v>35808</v>
          </cell>
          <cell r="F2111">
            <v>0</v>
          </cell>
        </row>
        <row r="2112">
          <cell r="A2112" t="str">
            <v>GTAPS</v>
          </cell>
          <cell r="B2112" t="str">
            <v>TAPSA TRADERS PVT LTD</v>
          </cell>
          <cell r="C2112" t="str">
            <v>LSCRED</v>
          </cell>
          <cell r="D2112">
            <v>376002</v>
          </cell>
          <cell r="E2112">
            <v>376002</v>
          </cell>
          <cell r="F2112">
            <v>0</v>
          </cell>
        </row>
        <row r="2113">
          <cell r="A2113" t="str">
            <v>GTARA</v>
          </cell>
          <cell r="B2113" t="str">
            <v>TARA CHAND AGRAWAL</v>
          </cell>
          <cell r="C2113" t="str">
            <v>LSCRED</v>
          </cell>
          <cell r="D2113">
            <v>561</v>
          </cell>
          <cell r="E2113">
            <v>561</v>
          </cell>
          <cell r="F2113">
            <v>0</v>
          </cell>
        </row>
        <row r="2114">
          <cell r="A2114" t="str">
            <v>GTASS</v>
          </cell>
          <cell r="B2114" t="str">
            <v>TASK STAFFING SOLUTIONS PVT. LTD.</v>
          </cell>
          <cell r="C2114" t="str">
            <v>LSCRED</v>
          </cell>
          <cell r="D2114">
            <v>4687</v>
          </cell>
          <cell r="E2114">
            <v>4687</v>
          </cell>
          <cell r="F2114">
            <v>0</v>
          </cell>
        </row>
        <row r="2115">
          <cell r="A2115" t="str">
            <v>GTEAM</v>
          </cell>
          <cell r="B2115" t="str">
            <v>TEAMLEASE SERVICES PRIVATE LIMITED</v>
          </cell>
          <cell r="C2115" t="str">
            <v>LSCRED</v>
          </cell>
          <cell r="D2115">
            <v>816</v>
          </cell>
          <cell r="E2115">
            <v>816</v>
          </cell>
          <cell r="F2115">
            <v>0</v>
          </cell>
        </row>
        <row r="2116">
          <cell r="A2116" t="str">
            <v>GTECHC</v>
          </cell>
          <cell r="B2116" t="str">
            <v>TECHNOFREEZ CORPORATION</v>
          </cell>
          <cell r="C2116" t="str">
            <v>LSCRED</v>
          </cell>
          <cell r="D2116">
            <v>987</v>
          </cell>
          <cell r="E2116">
            <v>987</v>
          </cell>
          <cell r="F2116">
            <v>0</v>
          </cell>
        </row>
        <row r="2117">
          <cell r="A2117" t="str">
            <v>GTEIL</v>
          </cell>
          <cell r="B2117" t="str">
            <v>TELEVISION EIGHTEEN INDIA LTD.</v>
          </cell>
          <cell r="C2117" t="str">
            <v>LSCRED</v>
          </cell>
          <cell r="D2117">
            <v>2013282</v>
          </cell>
          <cell r="E2117">
            <v>2013282</v>
          </cell>
          <cell r="F2117">
            <v>0</v>
          </cell>
        </row>
        <row r="2118">
          <cell r="A2118" t="str">
            <v>GTHEC</v>
          </cell>
          <cell r="B2118" t="str">
            <v>THE CAPITAL STATE AGNECY</v>
          </cell>
          <cell r="C2118" t="str">
            <v>LSCRED</v>
          </cell>
          <cell r="D2118">
            <v>247950</v>
          </cell>
          <cell r="E2118">
            <v>247950</v>
          </cell>
          <cell r="F2118">
            <v>0</v>
          </cell>
        </row>
        <row r="2119">
          <cell r="A2119" t="str">
            <v>GTHER</v>
          </cell>
          <cell r="B2119" t="str">
            <v>THE CREATION</v>
          </cell>
          <cell r="C2119" t="str">
            <v>LSCRED</v>
          </cell>
          <cell r="D2119">
            <v>21214</v>
          </cell>
          <cell r="E2119">
            <v>21214</v>
          </cell>
          <cell r="F2119">
            <v>0</v>
          </cell>
        </row>
        <row r="2120">
          <cell r="A2120" t="str">
            <v>GTHNE</v>
          </cell>
          <cell r="B2120" t="str">
            <v>THE NEGOTIATOR</v>
          </cell>
          <cell r="C2120" t="str">
            <v>LSCRED</v>
          </cell>
          <cell r="D2120">
            <v>6032</v>
          </cell>
          <cell r="E2120">
            <v>6032</v>
          </cell>
          <cell r="F2120">
            <v>0</v>
          </cell>
        </row>
        <row r="2121">
          <cell r="A2121" t="str">
            <v>GTILAK</v>
          </cell>
          <cell r="B2121" t="str">
            <v>TILAK RAJ BHASIN</v>
          </cell>
          <cell r="C2121" t="str">
            <v>LSCRED</v>
          </cell>
          <cell r="D2121">
            <v>30600</v>
          </cell>
          <cell r="E2121">
            <v>30600</v>
          </cell>
          <cell r="F2121">
            <v>0</v>
          </cell>
        </row>
        <row r="2122">
          <cell r="A2122" t="str">
            <v>GTIPA</v>
          </cell>
          <cell r="B2122" t="str">
            <v>TIRUPATI BALAJI BUILD CON PVT. LTD</v>
          </cell>
          <cell r="C2122" t="str">
            <v>LSCRED</v>
          </cell>
          <cell r="D2122">
            <v>70890</v>
          </cell>
          <cell r="E2122">
            <v>70890</v>
          </cell>
          <cell r="F2122">
            <v>0</v>
          </cell>
        </row>
        <row r="2123">
          <cell r="A2123" t="str">
            <v>GTIRP</v>
          </cell>
          <cell r="B2123" t="str">
            <v>TIRUPATI PROJECTS</v>
          </cell>
          <cell r="C2123" t="str">
            <v>LSCRED</v>
          </cell>
          <cell r="D2123">
            <v>392373</v>
          </cell>
          <cell r="E2123">
            <v>392373</v>
          </cell>
          <cell r="F2123">
            <v>0</v>
          </cell>
        </row>
        <row r="2124">
          <cell r="A2124" t="str">
            <v>GTRAM</v>
          </cell>
          <cell r="B2124" t="str">
            <v>TRAMMELL CROW MEGHRAJ PVT. LTD</v>
          </cell>
          <cell r="C2124" t="str">
            <v>LSCRED</v>
          </cell>
          <cell r="D2124">
            <v>36000</v>
          </cell>
          <cell r="E2124">
            <v>36000</v>
          </cell>
          <cell r="F2124">
            <v>0</v>
          </cell>
        </row>
        <row r="2125">
          <cell r="A2125" t="str">
            <v>GTRAP</v>
          </cell>
          <cell r="B2125" t="str">
            <v>TRANSPACIFIC TRAVEL SERVICES P LTD.</v>
          </cell>
          <cell r="C2125" t="str">
            <v>LSCRED</v>
          </cell>
          <cell r="D2125">
            <v>66477</v>
          </cell>
          <cell r="E2125">
            <v>66477</v>
          </cell>
          <cell r="F2125">
            <v>0</v>
          </cell>
        </row>
        <row r="2126">
          <cell r="A2126" t="str">
            <v>GTRIC</v>
          </cell>
          <cell r="B2126" t="str">
            <v>TRICAD COMPUTERS</v>
          </cell>
          <cell r="C2126" t="str">
            <v>LSCRED</v>
          </cell>
          <cell r="D2126">
            <v>4550</v>
          </cell>
          <cell r="E2126">
            <v>4550</v>
          </cell>
          <cell r="F2126">
            <v>0</v>
          </cell>
        </row>
        <row r="2127">
          <cell r="A2127" t="str">
            <v>GTRIA</v>
          </cell>
          <cell r="B2127" t="str">
            <v>TRIDENT AUTOMOBILES PVT LTD</v>
          </cell>
          <cell r="C2127" t="str">
            <v>LSCRED</v>
          </cell>
          <cell r="D2127">
            <v>66813</v>
          </cell>
          <cell r="E2127">
            <v>66813</v>
          </cell>
          <cell r="F2127">
            <v>0</v>
          </cell>
        </row>
        <row r="2128">
          <cell r="A2128" t="str">
            <v>GTRIM</v>
          </cell>
          <cell r="B2128" t="str">
            <v>TRIDENT MANAGEMENT GROUP</v>
          </cell>
          <cell r="C2128" t="str">
            <v>LSCRED</v>
          </cell>
          <cell r="D2128">
            <v>15885</v>
          </cell>
          <cell r="E2128">
            <v>15885</v>
          </cell>
          <cell r="F2128">
            <v>0</v>
          </cell>
        </row>
        <row r="2129">
          <cell r="A2129" t="str">
            <v>GTRPD</v>
          </cell>
          <cell r="B2129" t="str">
            <v>TRUE POWER DEVICES</v>
          </cell>
          <cell r="C2129" t="str">
            <v>LSCRED</v>
          </cell>
          <cell r="D2129">
            <v>24300</v>
          </cell>
          <cell r="E2129">
            <v>24300</v>
          </cell>
          <cell r="F2129">
            <v>0</v>
          </cell>
        </row>
        <row r="2130">
          <cell r="A2130" t="str">
            <v>GTHPL</v>
          </cell>
          <cell r="B2130" t="str">
            <v>TRUWORTH HOLDINGS PVT LTD</v>
          </cell>
          <cell r="C2130" t="str">
            <v>LSCRED</v>
          </cell>
          <cell r="D2130">
            <v>121209</v>
          </cell>
          <cell r="E2130">
            <v>121209</v>
          </cell>
          <cell r="F2130">
            <v>0</v>
          </cell>
        </row>
        <row r="2131">
          <cell r="A2131" t="str">
            <v>GTIPL</v>
          </cell>
          <cell r="B2131" t="str">
            <v>TRUWORTH IMPEX PVT LTD</v>
          </cell>
          <cell r="C2131" t="str">
            <v>LSCRED</v>
          </cell>
          <cell r="D2131">
            <v>100711</v>
          </cell>
          <cell r="E2131">
            <v>100711</v>
          </cell>
          <cell r="F2131">
            <v>0</v>
          </cell>
        </row>
        <row r="2132">
          <cell r="A2132" t="str">
            <v>GUCON</v>
          </cell>
          <cell r="B2132" t="str">
            <v>UCON BUILDERS &amp; DEVELOPERS</v>
          </cell>
          <cell r="C2132" t="str">
            <v>LSCRED</v>
          </cell>
          <cell r="D2132">
            <v>19995</v>
          </cell>
          <cell r="E2132">
            <v>19995</v>
          </cell>
          <cell r="F2132">
            <v>0</v>
          </cell>
        </row>
        <row r="2133">
          <cell r="A2133" t="str">
            <v>GUDSI</v>
          </cell>
          <cell r="B2133" t="str">
            <v>UDAYSINGH DALPATSINGH SOLANKI</v>
          </cell>
          <cell r="C2133" t="str">
            <v>LSCRED</v>
          </cell>
          <cell r="D2133">
            <v>15028</v>
          </cell>
          <cell r="E2133">
            <v>15028</v>
          </cell>
          <cell r="F2133">
            <v>0</v>
          </cell>
        </row>
        <row r="2134">
          <cell r="A2134" t="str">
            <v>GULTI</v>
          </cell>
          <cell r="B2134" t="str">
            <v>ULTIMATE SYSTEMS &amp; SOLUTIONS</v>
          </cell>
          <cell r="C2134" t="str">
            <v>LSCRED</v>
          </cell>
          <cell r="D2134">
            <v>8375</v>
          </cell>
          <cell r="E2134">
            <v>8375</v>
          </cell>
          <cell r="F2134">
            <v>0</v>
          </cell>
        </row>
        <row r="2135">
          <cell r="A2135" t="str">
            <v>GUMEE</v>
          </cell>
          <cell r="B2135" t="str">
            <v>UMEEMA KUTUBUDDIN DHUNDIYAWALA</v>
          </cell>
          <cell r="C2135" t="str">
            <v>LSCRED</v>
          </cell>
          <cell r="D2135">
            <v>26816</v>
          </cell>
          <cell r="E2135">
            <v>26816</v>
          </cell>
          <cell r="F2135">
            <v>0</v>
          </cell>
        </row>
        <row r="2136">
          <cell r="A2136" t="str">
            <v>GUNIP</v>
          </cell>
          <cell r="B2136" t="str">
            <v>UNIVERSAL PLACEMENT</v>
          </cell>
          <cell r="C2136" t="str">
            <v>LSCRED</v>
          </cell>
          <cell r="D2136">
            <v>371</v>
          </cell>
          <cell r="E2136">
            <v>371</v>
          </cell>
          <cell r="F2136">
            <v>0</v>
          </cell>
        </row>
        <row r="2137">
          <cell r="A2137" t="str">
            <v>GUPHA</v>
          </cell>
          <cell r="B2137" t="str">
            <v>UPHAR COMMUNIACTION</v>
          </cell>
          <cell r="C2137" t="str">
            <v>LSCRED</v>
          </cell>
          <cell r="D2137">
            <v>30719</v>
          </cell>
          <cell r="E2137">
            <v>30719</v>
          </cell>
          <cell r="F2137">
            <v>0</v>
          </cell>
        </row>
        <row r="2138">
          <cell r="A2138" t="str">
            <v>GUPKAD</v>
          </cell>
          <cell r="B2138" t="str">
            <v>UPKAR DEEP SINGH (HUF)</v>
          </cell>
          <cell r="C2138" t="str">
            <v>LSCRED</v>
          </cell>
          <cell r="D2138">
            <v>17901</v>
          </cell>
          <cell r="E2138">
            <v>17901</v>
          </cell>
          <cell r="F2138">
            <v>0</v>
          </cell>
        </row>
        <row r="2139">
          <cell r="A2139" t="str">
            <v>GUINT</v>
          </cell>
          <cell r="B2139" t="str">
            <v>USHA INTERNATIONAL LTD.</v>
          </cell>
          <cell r="C2139" t="str">
            <v>LSCRED</v>
          </cell>
          <cell r="D2139">
            <v>86454</v>
          </cell>
          <cell r="E2139">
            <v>86454</v>
          </cell>
          <cell r="F2139">
            <v>0</v>
          </cell>
        </row>
        <row r="2140">
          <cell r="A2140" t="str">
            <v>GUSHP</v>
          </cell>
          <cell r="B2140" t="str">
            <v>USHA PHOTO CENTRA</v>
          </cell>
          <cell r="C2140" t="str">
            <v>LSCRED</v>
          </cell>
          <cell r="D2140">
            <v>32278</v>
          </cell>
          <cell r="E2140">
            <v>32278</v>
          </cell>
          <cell r="F2140">
            <v>0</v>
          </cell>
        </row>
        <row r="2141">
          <cell r="A2141" t="str">
            <v>GVBEN</v>
          </cell>
          <cell r="B2141" t="str">
            <v>V B ENTERPRISES</v>
          </cell>
          <cell r="C2141" t="str">
            <v>LSCRED</v>
          </cell>
          <cell r="D2141">
            <v>58800</v>
          </cell>
          <cell r="E2141">
            <v>58800</v>
          </cell>
          <cell r="F2141">
            <v>0</v>
          </cell>
        </row>
        <row r="2142">
          <cell r="A2142" t="str">
            <v>GVKSH</v>
          </cell>
          <cell r="B2142" t="str">
            <v>V K SHARMA</v>
          </cell>
          <cell r="C2142" t="str">
            <v>LSCRED</v>
          </cell>
          <cell r="D2142">
            <v>7028</v>
          </cell>
          <cell r="E2142">
            <v>7028</v>
          </cell>
          <cell r="F2142">
            <v>0</v>
          </cell>
        </row>
        <row r="2143">
          <cell r="A2143" t="str">
            <v>GVSMA</v>
          </cell>
          <cell r="B2143" t="str">
            <v>V S MAINTENANCE SERVICES PVT LTD</v>
          </cell>
          <cell r="C2143" t="str">
            <v>LSCRED</v>
          </cell>
          <cell r="D2143">
            <v>128402</v>
          </cell>
          <cell r="E2143">
            <v>128402</v>
          </cell>
          <cell r="F2143">
            <v>0</v>
          </cell>
        </row>
        <row r="2144">
          <cell r="A2144" t="str">
            <v>GVMTH</v>
          </cell>
          <cell r="B2144" t="str">
            <v>V. M. THAKKAR (HUF)</v>
          </cell>
          <cell r="C2144" t="str">
            <v>LSCRED</v>
          </cell>
          <cell r="D2144">
            <v>24932</v>
          </cell>
          <cell r="E2144">
            <v>24932</v>
          </cell>
          <cell r="F2144">
            <v>0</v>
          </cell>
        </row>
        <row r="2145">
          <cell r="A2145" t="str">
            <v>GVSIN</v>
          </cell>
          <cell r="B2145" t="str">
            <v>V. S. INFOTECH</v>
          </cell>
          <cell r="C2145" t="str">
            <v>LSCRED</v>
          </cell>
          <cell r="D2145">
            <v>23450</v>
          </cell>
          <cell r="E2145">
            <v>23450</v>
          </cell>
          <cell r="F2145">
            <v>0</v>
          </cell>
        </row>
        <row r="2146">
          <cell r="A2146" t="str">
            <v>GVSRS</v>
          </cell>
          <cell r="B2146" t="str">
            <v>V. S. R. SAINADHA REDDY</v>
          </cell>
          <cell r="C2146" t="str">
            <v>LSCRED</v>
          </cell>
          <cell r="D2146">
            <v>1750</v>
          </cell>
          <cell r="E2146">
            <v>1750</v>
          </cell>
          <cell r="F2146">
            <v>0</v>
          </cell>
        </row>
        <row r="2147">
          <cell r="A2147" t="str">
            <v>GVAIB</v>
          </cell>
          <cell r="B2147" t="str">
            <v>VAIBHAV ENTERPRISES</v>
          </cell>
          <cell r="C2147" t="str">
            <v>LSCRED</v>
          </cell>
          <cell r="D2147">
            <v>10313</v>
          </cell>
          <cell r="E2147">
            <v>10313</v>
          </cell>
          <cell r="F2147">
            <v>0</v>
          </cell>
        </row>
        <row r="2148">
          <cell r="A2148" t="str">
            <v>GVAIN</v>
          </cell>
          <cell r="B2148" t="str">
            <v>VAISHNO INFOCOM- EZYNET</v>
          </cell>
          <cell r="C2148" t="str">
            <v>LSCRED</v>
          </cell>
          <cell r="D2148">
            <v>196</v>
          </cell>
          <cell r="E2148">
            <v>196</v>
          </cell>
          <cell r="F2148">
            <v>0</v>
          </cell>
        </row>
        <row r="2149">
          <cell r="A2149" t="str">
            <v>GVAND</v>
          </cell>
          <cell r="B2149" t="str">
            <v>VANDANA JEENDGAR</v>
          </cell>
          <cell r="C2149" t="str">
            <v>LSCRED</v>
          </cell>
          <cell r="D2149">
            <v>19880</v>
          </cell>
          <cell r="E2149">
            <v>19880</v>
          </cell>
          <cell r="F2149">
            <v>0</v>
          </cell>
        </row>
        <row r="2150">
          <cell r="A2150" t="str">
            <v>GVANS</v>
          </cell>
          <cell r="B2150" t="str">
            <v>VANSAL AGENCIES</v>
          </cell>
          <cell r="C2150" t="str">
            <v>LSCRED</v>
          </cell>
          <cell r="D2150">
            <v>15950</v>
          </cell>
          <cell r="E2150">
            <v>15950</v>
          </cell>
          <cell r="F2150">
            <v>0</v>
          </cell>
        </row>
        <row r="2151">
          <cell r="A2151" t="str">
            <v>GVARE</v>
          </cell>
          <cell r="B2151" t="str">
            <v>VARDHMAN ESTATES LTD.</v>
          </cell>
          <cell r="C2151" t="str">
            <v>LSCRED</v>
          </cell>
          <cell r="D2151">
            <v>301768</v>
          </cell>
          <cell r="E2151">
            <v>301768</v>
          </cell>
          <cell r="F2151">
            <v>0</v>
          </cell>
        </row>
        <row r="2152">
          <cell r="A2152" t="str">
            <v>GVEDM</v>
          </cell>
          <cell r="B2152" t="str">
            <v>VED MISHRA</v>
          </cell>
          <cell r="C2152" t="str">
            <v>LSCRED</v>
          </cell>
          <cell r="D2152">
            <v>5032</v>
          </cell>
          <cell r="E2152">
            <v>5032</v>
          </cell>
          <cell r="F2152">
            <v>0</v>
          </cell>
        </row>
        <row r="2153">
          <cell r="A2153" t="str">
            <v>GVEEA</v>
          </cell>
          <cell r="B2153" t="str">
            <v>VEENA ANIL SHETH</v>
          </cell>
          <cell r="C2153" t="str">
            <v>LSCRED</v>
          </cell>
          <cell r="D2153">
            <v>88898</v>
          </cell>
          <cell r="E2153">
            <v>88898</v>
          </cell>
          <cell r="F2153">
            <v>0</v>
          </cell>
        </row>
        <row r="2154">
          <cell r="A2154" t="str">
            <v>GVEEN</v>
          </cell>
          <cell r="B2154" t="str">
            <v>VEENA ARORA</v>
          </cell>
          <cell r="C2154" t="str">
            <v>LSCRED</v>
          </cell>
          <cell r="D2154">
            <v>57048</v>
          </cell>
          <cell r="E2154">
            <v>57048</v>
          </cell>
          <cell r="F2154">
            <v>0</v>
          </cell>
        </row>
        <row r="2155">
          <cell r="A2155" t="str">
            <v>GVENP</v>
          </cell>
          <cell r="B2155" t="str">
            <v>VEENA NANDKUMAR PAPAIYA</v>
          </cell>
          <cell r="C2155" t="str">
            <v>LSCRED</v>
          </cell>
          <cell r="D2155">
            <v>36257</v>
          </cell>
          <cell r="E2155">
            <v>36257</v>
          </cell>
          <cell r="F2155">
            <v>0</v>
          </cell>
        </row>
        <row r="2156">
          <cell r="A2156" t="str">
            <v>GVENR</v>
          </cell>
          <cell r="B2156" t="str">
            <v>VEENA RAJENDRA MANDAVIYA</v>
          </cell>
          <cell r="C2156" t="str">
            <v>LSCRED</v>
          </cell>
          <cell r="D2156">
            <v>123750</v>
          </cell>
          <cell r="E2156">
            <v>123750</v>
          </cell>
          <cell r="F2156">
            <v>0</v>
          </cell>
        </row>
        <row r="2157">
          <cell r="A2157" t="str">
            <v>GVENU</v>
          </cell>
          <cell r="B2157" t="str">
            <v>VENUS THAKRAL</v>
          </cell>
          <cell r="C2157" t="str">
            <v>LSCRED</v>
          </cell>
          <cell r="D2157">
            <v>93445</v>
          </cell>
          <cell r="E2157">
            <v>93445</v>
          </cell>
          <cell r="F2157">
            <v>0</v>
          </cell>
        </row>
        <row r="2158">
          <cell r="A2158" t="str">
            <v>GVETR</v>
          </cell>
          <cell r="B2158" t="str">
            <v>VETRAG MONEY MANAGEMENT PVT. LTD.</v>
          </cell>
          <cell r="C2158" t="str">
            <v>LSCRED</v>
          </cell>
          <cell r="D2158">
            <v>111078</v>
          </cell>
          <cell r="E2158">
            <v>111078</v>
          </cell>
          <cell r="F2158">
            <v>0</v>
          </cell>
        </row>
        <row r="2159">
          <cell r="A2159" t="str">
            <v>GVIAR</v>
          </cell>
          <cell r="B2159" t="str">
            <v>VIBHA ARORA</v>
          </cell>
          <cell r="C2159" t="str">
            <v>LSCRED</v>
          </cell>
          <cell r="D2159">
            <v>30424</v>
          </cell>
          <cell r="E2159">
            <v>30424</v>
          </cell>
          <cell r="F2159">
            <v>0</v>
          </cell>
        </row>
        <row r="2160">
          <cell r="A2160" t="str">
            <v>GVIDI</v>
          </cell>
          <cell r="B2160" t="str">
            <v>VIDIA WATI</v>
          </cell>
          <cell r="C2160" t="str">
            <v>LSCRED</v>
          </cell>
          <cell r="D2160">
            <v>14431</v>
          </cell>
          <cell r="E2160">
            <v>14431</v>
          </cell>
          <cell r="F2160">
            <v>0</v>
          </cell>
        </row>
        <row r="2161">
          <cell r="A2161" t="str">
            <v>GVYAG</v>
          </cell>
          <cell r="B2161" t="str">
            <v>VIJAY AGGARWAL</v>
          </cell>
          <cell r="C2161" t="str">
            <v>LSCRED</v>
          </cell>
          <cell r="D2161">
            <v>75735</v>
          </cell>
          <cell r="E2161">
            <v>75735</v>
          </cell>
          <cell r="F2161">
            <v>0</v>
          </cell>
        </row>
        <row r="2162">
          <cell r="A2162" t="str">
            <v>GVIKH</v>
          </cell>
          <cell r="B2162" t="str">
            <v>VIJAY KHALIYA</v>
          </cell>
          <cell r="C2162" t="str">
            <v>LSCRED</v>
          </cell>
          <cell r="D2162">
            <v>34578</v>
          </cell>
          <cell r="E2162">
            <v>34578</v>
          </cell>
          <cell r="F2162">
            <v>0</v>
          </cell>
        </row>
        <row r="2163">
          <cell r="A2163" t="str">
            <v>GVKHA</v>
          </cell>
          <cell r="B2163" t="str">
            <v>VIJAY KHANNA (HUF)</v>
          </cell>
          <cell r="C2163" t="str">
            <v>LSCRED</v>
          </cell>
          <cell r="D2163">
            <v>127322</v>
          </cell>
          <cell r="E2163">
            <v>127322</v>
          </cell>
          <cell r="F2163">
            <v>0</v>
          </cell>
        </row>
        <row r="2164">
          <cell r="A2164" t="str">
            <v>GVIAG</v>
          </cell>
          <cell r="B2164" t="str">
            <v>VIJAY KUMAR AGARWAL</v>
          </cell>
          <cell r="C2164" t="str">
            <v>LSCRED</v>
          </cell>
          <cell r="D2164">
            <v>26082</v>
          </cell>
          <cell r="E2164">
            <v>26082</v>
          </cell>
          <cell r="F2164">
            <v>0</v>
          </cell>
        </row>
        <row r="2165">
          <cell r="A2165" t="str">
            <v>GVIJM</v>
          </cell>
          <cell r="B2165" t="str">
            <v>VIJAY KUMAR MANCHANDA</v>
          </cell>
          <cell r="C2165" t="str">
            <v>LSCRED</v>
          </cell>
          <cell r="D2165">
            <v>45900</v>
          </cell>
          <cell r="E2165">
            <v>45900</v>
          </cell>
          <cell r="F2165">
            <v>0</v>
          </cell>
        </row>
        <row r="2166">
          <cell r="A2166" t="str">
            <v>GVIOC</v>
          </cell>
          <cell r="B2166" t="str">
            <v>VIJAYETA OCHANEY</v>
          </cell>
          <cell r="C2166" t="str">
            <v>LSCRED</v>
          </cell>
          <cell r="D2166">
            <v>165300</v>
          </cell>
          <cell r="E2166">
            <v>165300</v>
          </cell>
          <cell r="F2166">
            <v>0</v>
          </cell>
        </row>
        <row r="2167">
          <cell r="A2167" t="str">
            <v>GVKAL</v>
          </cell>
          <cell r="B2167" t="str">
            <v>VIKAS KALRA</v>
          </cell>
          <cell r="C2167" t="str">
            <v>LSCRED</v>
          </cell>
          <cell r="D2167">
            <v>60526</v>
          </cell>
          <cell r="E2167">
            <v>60526</v>
          </cell>
          <cell r="F2167">
            <v>0</v>
          </cell>
        </row>
        <row r="2168">
          <cell r="A2168" t="str">
            <v>GVIKS</v>
          </cell>
          <cell r="B2168" t="str">
            <v>VIKAS KHATTAR</v>
          </cell>
          <cell r="C2168" t="str">
            <v>LSCRED</v>
          </cell>
          <cell r="D2168">
            <v>46818</v>
          </cell>
          <cell r="E2168">
            <v>46818</v>
          </cell>
          <cell r="F2168">
            <v>0</v>
          </cell>
        </row>
        <row r="2169">
          <cell r="A2169" t="str">
            <v>GVIKB</v>
          </cell>
          <cell r="B2169" t="str">
            <v>VIKRAM BAHADUR SINGH</v>
          </cell>
          <cell r="C2169" t="str">
            <v>LSCRED</v>
          </cell>
          <cell r="D2169">
            <v>21720</v>
          </cell>
          <cell r="E2169">
            <v>21720</v>
          </cell>
          <cell r="F2169">
            <v>0</v>
          </cell>
        </row>
        <row r="2170">
          <cell r="A2170" t="str">
            <v>GVIGO</v>
          </cell>
          <cell r="B2170" t="str">
            <v>VIKRAM GOGIA</v>
          </cell>
          <cell r="C2170" t="str">
            <v>LSCRED</v>
          </cell>
          <cell r="D2170">
            <v>1076</v>
          </cell>
          <cell r="E2170">
            <v>1076</v>
          </cell>
          <cell r="F2170">
            <v>0</v>
          </cell>
        </row>
        <row r="2171">
          <cell r="A2171" t="str">
            <v>GVIKG</v>
          </cell>
          <cell r="B2171" t="str">
            <v>VIKRAM GOYAL</v>
          </cell>
          <cell r="C2171" t="str">
            <v>LSCRED</v>
          </cell>
          <cell r="D2171">
            <v>53550</v>
          </cell>
          <cell r="E2171">
            <v>53550</v>
          </cell>
          <cell r="F2171">
            <v>0</v>
          </cell>
        </row>
        <row r="2172">
          <cell r="A2172" t="str">
            <v>GVIML</v>
          </cell>
          <cell r="B2172" t="str">
            <v>VIMLA GOENKA</v>
          </cell>
          <cell r="C2172" t="str">
            <v>LSCRED</v>
          </cell>
          <cell r="D2172">
            <v>245320</v>
          </cell>
          <cell r="E2172">
            <v>245320</v>
          </cell>
          <cell r="F2172">
            <v>0</v>
          </cell>
        </row>
        <row r="2173">
          <cell r="A2173" t="str">
            <v>GVINY</v>
          </cell>
          <cell r="B2173" t="str">
            <v>VINAY CHAUHAN</v>
          </cell>
          <cell r="C2173" t="str">
            <v>LSCRED</v>
          </cell>
          <cell r="D2173">
            <v>8415</v>
          </cell>
          <cell r="E2173">
            <v>8415</v>
          </cell>
          <cell r="F2173">
            <v>0</v>
          </cell>
        </row>
        <row r="2174">
          <cell r="A2174" t="str">
            <v>GVINOD</v>
          </cell>
          <cell r="B2174" t="str">
            <v>VINOD KUMAR COFFEE</v>
          </cell>
          <cell r="C2174" t="str">
            <v>LSCRED</v>
          </cell>
          <cell r="D2174">
            <v>42425</v>
          </cell>
          <cell r="E2174">
            <v>42425</v>
          </cell>
          <cell r="F2174">
            <v>0</v>
          </cell>
        </row>
        <row r="2175">
          <cell r="A2175" t="str">
            <v>GVINO</v>
          </cell>
          <cell r="B2175" t="str">
            <v>VINOD KUMAR GUPTA</v>
          </cell>
          <cell r="C2175" t="str">
            <v>LSCRED</v>
          </cell>
          <cell r="D2175">
            <v>502940</v>
          </cell>
          <cell r="E2175">
            <v>502940</v>
          </cell>
          <cell r="F2175">
            <v>0</v>
          </cell>
        </row>
        <row r="2176">
          <cell r="A2176" t="str">
            <v>GVINSH</v>
          </cell>
          <cell r="B2176" t="str">
            <v>VINOD SHARMA</v>
          </cell>
          <cell r="C2176" t="str">
            <v>LSCRED</v>
          </cell>
          <cell r="D2176">
            <v>8415</v>
          </cell>
          <cell r="E2176">
            <v>8415</v>
          </cell>
          <cell r="F2176">
            <v>0</v>
          </cell>
        </row>
        <row r="2177">
          <cell r="A2177" t="str">
            <v>GVINU</v>
          </cell>
          <cell r="B2177" t="str">
            <v>VINUBHAI MANGANLAL THAKKAR</v>
          </cell>
          <cell r="C2177" t="str">
            <v>LSCRED</v>
          </cell>
          <cell r="D2177">
            <v>24932</v>
          </cell>
          <cell r="E2177">
            <v>24932</v>
          </cell>
          <cell r="F2177">
            <v>0</v>
          </cell>
        </row>
        <row r="2178">
          <cell r="A2178" t="str">
            <v>GVIAH</v>
          </cell>
          <cell r="B2178" t="str">
            <v>VINYAK AHUJA</v>
          </cell>
          <cell r="C2178" t="str">
            <v>LSCRED</v>
          </cell>
          <cell r="D2178">
            <v>12600</v>
          </cell>
          <cell r="E2178">
            <v>12600</v>
          </cell>
          <cell r="F2178">
            <v>0</v>
          </cell>
        </row>
        <row r="2179">
          <cell r="A2179" t="str">
            <v>GVIPU</v>
          </cell>
          <cell r="B2179" t="str">
            <v>VIPUL H SHAH HUF</v>
          </cell>
          <cell r="C2179" t="str">
            <v>LSCRED</v>
          </cell>
          <cell r="D2179">
            <v>76749</v>
          </cell>
          <cell r="E2179">
            <v>76749</v>
          </cell>
          <cell r="F2179">
            <v>0</v>
          </cell>
        </row>
        <row r="2180">
          <cell r="A2180" t="str">
            <v>GVSAR</v>
          </cell>
          <cell r="B2180" t="str">
            <v>VIR SINGH ARYA</v>
          </cell>
          <cell r="C2180" t="str">
            <v>LSCRED</v>
          </cell>
          <cell r="D2180">
            <v>32000</v>
          </cell>
          <cell r="E2180">
            <v>32000</v>
          </cell>
          <cell r="F2180">
            <v>0</v>
          </cell>
        </row>
        <row r="2181">
          <cell r="A2181" t="str">
            <v>GVIRB</v>
          </cell>
          <cell r="B2181" t="str">
            <v>VIRENDER BHATIA</v>
          </cell>
          <cell r="C2181" t="str">
            <v>LSCRED</v>
          </cell>
          <cell r="D2181">
            <v>3000</v>
          </cell>
          <cell r="E2181">
            <v>3000</v>
          </cell>
          <cell r="F2181">
            <v>0</v>
          </cell>
        </row>
        <row r="2182">
          <cell r="A2182" t="str">
            <v>GVISS</v>
          </cell>
          <cell r="B2182" t="str">
            <v>VISHAL S DOSHI</v>
          </cell>
          <cell r="C2182" t="str">
            <v>LSCRED</v>
          </cell>
          <cell r="D2182">
            <v>1823</v>
          </cell>
          <cell r="E2182">
            <v>1823</v>
          </cell>
          <cell r="F2182">
            <v>0</v>
          </cell>
        </row>
        <row r="2183">
          <cell r="A2183" t="str">
            <v>GVRIE</v>
          </cell>
          <cell r="B2183" t="str">
            <v>VRIENDER BHATIA</v>
          </cell>
          <cell r="C2183" t="str">
            <v>LSCRED</v>
          </cell>
          <cell r="D2183">
            <v>19231</v>
          </cell>
          <cell r="E2183">
            <v>19231</v>
          </cell>
          <cell r="F2183">
            <v>0</v>
          </cell>
        </row>
        <row r="2184">
          <cell r="A2184" t="str">
            <v>GWOND</v>
          </cell>
          <cell r="B2184" t="str">
            <v>WONDERFUL DEVELOPERS PVT. LTD.</v>
          </cell>
          <cell r="C2184" t="str">
            <v>LSCRED</v>
          </cell>
          <cell r="D2184">
            <v>2327</v>
          </cell>
          <cell r="E2184">
            <v>2327</v>
          </cell>
          <cell r="F2184">
            <v>0</v>
          </cell>
        </row>
        <row r="2185">
          <cell r="A2185" t="str">
            <v>GYRAJ</v>
          </cell>
          <cell r="B2185" t="str">
            <v>Y. RAJU</v>
          </cell>
          <cell r="C2185" t="str">
            <v>LSCRED</v>
          </cell>
          <cell r="D2185">
            <v>49815</v>
          </cell>
          <cell r="E2185">
            <v>49815</v>
          </cell>
          <cell r="F2185">
            <v>0</v>
          </cell>
        </row>
        <row r="2186">
          <cell r="A2186" t="str">
            <v>GYAMI</v>
          </cell>
          <cell r="B2186" t="str">
            <v>YAMINI NARENDRA MANDAVIYA</v>
          </cell>
          <cell r="C2186" t="str">
            <v>LSCRED</v>
          </cell>
          <cell r="D2186">
            <v>123750</v>
          </cell>
          <cell r="E2186">
            <v>123750</v>
          </cell>
          <cell r="F2186">
            <v>0</v>
          </cell>
        </row>
        <row r="2187">
          <cell r="A2187" t="str">
            <v>GYASI</v>
          </cell>
          <cell r="B2187" t="str">
            <v>YASHBIR SINGH</v>
          </cell>
          <cell r="C2187" t="str">
            <v>LSCRED</v>
          </cell>
          <cell r="D2187">
            <v>2480</v>
          </cell>
          <cell r="E2187">
            <v>2480</v>
          </cell>
          <cell r="F2187">
            <v>0</v>
          </cell>
        </row>
        <row r="2188">
          <cell r="A2188" t="str">
            <v>GYOGP</v>
          </cell>
          <cell r="B2188" t="str">
            <v>YOGENDRA P ENGINEER</v>
          </cell>
          <cell r="C2188" t="str">
            <v>LSCRED</v>
          </cell>
          <cell r="D2188">
            <v>2356</v>
          </cell>
          <cell r="E2188">
            <v>2356</v>
          </cell>
          <cell r="F2188">
            <v>0</v>
          </cell>
        </row>
        <row r="2189">
          <cell r="A2189" t="str">
            <v>GZEETL</v>
          </cell>
          <cell r="B2189" t="str">
            <v>ZEE TELEFILMS LIMITED</v>
          </cell>
          <cell r="C2189" t="str">
            <v>LSCRED</v>
          </cell>
          <cell r="D2189">
            <v>1178437</v>
          </cell>
          <cell r="E2189">
            <v>1178437</v>
          </cell>
          <cell r="F2189">
            <v>0</v>
          </cell>
        </row>
        <row r="2190">
          <cell r="A2190" t="str">
            <v>GLPDP</v>
          </cell>
          <cell r="B2190" t="str">
            <v>PREFERENCE DIVIDEND PAYABLE</v>
          </cell>
          <cell r="C2190" t="str">
            <v>PPD</v>
          </cell>
          <cell r="D2190">
            <v>11640096</v>
          </cell>
          <cell r="E2190">
            <v>11640096</v>
          </cell>
          <cell r="F2190">
            <v>0</v>
          </cell>
        </row>
        <row r="2191">
          <cell r="A2191" t="str">
            <v>GITAX</v>
          </cell>
          <cell r="B2191" t="str">
            <v>INCOME TAX FOR 2002-2003</v>
          </cell>
          <cell r="C2191" t="str">
            <v>PTAX</v>
          </cell>
          <cell r="D2191">
            <v>38090</v>
          </cell>
          <cell r="E2191">
            <v>38090</v>
          </cell>
          <cell r="F2191">
            <v>0</v>
          </cell>
        </row>
        <row r="2192">
          <cell r="A2192" t="str">
            <v>GPP1</v>
          </cell>
          <cell r="B2192" t="str">
            <v>PROVISION FOR INCOME TAX - 2001-02</v>
          </cell>
          <cell r="C2192" t="str">
            <v>PTAX</v>
          </cell>
          <cell r="D2192">
            <v>2649138</v>
          </cell>
          <cell r="E2192">
            <v>2649138</v>
          </cell>
          <cell r="F2192">
            <v>0</v>
          </cell>
        </row>
        <row r="2193">
          <cell r="A2193" t="str">
            <v>GPP2</v>
          </cell>
          <cell r="B2193" t="str">
            <v>PROVISION FOR INCOME TAX - 2002-03</v>
          </cell>
          <cell r="C2193" t="str">
            <v>PTAX</v>
          </cell>
          <cell r="D2193">
            <v>20000000</v>
          </cell>
          <cell r="E2193">
            <v>20000000</v>
          </cell>
          <cell r="F2193">
            <v>0</v>
          </cell>
        </row>
        <row r="2194">
          <cell r="A2194" t="str">
            <v>GPP3</v>
          </cell>
          <cell r="B2194" t="str">
            <v>PROVISION FOR INCOME TAX - 2003-04</v>
          </cell>
          <cell r="C2194" t="str">
            <v>PTAX</v>
          </cell>
          <cell r="D2194">
            <v>103200000</v>
          </cell>
          <cell r="E2194">
            <v>103200000</v>
          </cell>
          <cell r="F2194">
            <v>0</v>
          </cell>
        </row>
        <row r="2195">
          <cell r="A2195" t="str">
            <v>GA00B41</v>
          </cell>
          <cell r="B2195" t="str">
            <v>PROFIT &amp; LOSS A/C</v>
          </cell>
          <cell r="C2195" t="str">
            <v>RPLAC</v>
          </cell>
          <cell r="D2195">
            <v>0</v>
          </cell>
          <cell r="E2195">
            <v>568006874.50999999</v>
          </cell>
          <cell r="F2195">
            <v>-568006874.50999999</v>
          </cell>
        </row>
        <row r="2196">
          <cell r="A2196" t="str">
            <v>GHDFC</v>
          </cell>
          <cell r="B2196" t="str">
            <v>AUTO LOAN ACCORD DIVYESH SHAH &amp; GAGAN BANGA</v>
          </cell>
          <cell r="C2196" t="str">
            <v>SLBANK</v>
          </cell>
          <cell r="D2196">
            <v>2355428</v>
          </cell>
          <cell r="E2196">
            <v>2355428</v>
          </cell>
          <cell r="F2196">
            <v>0</v>
          </cell>
        </row>
        <row r="2197">
          <cell r="A2197" t="str">
            <v>GLO05</v>
          </cell>
          <cell r="B2197" t="str">
            <v>AUTO LOAN FORD ICON RAHUL BAJAJ</v>
          </cell>
          <cell r="C2197" t="str">
            <v>SLBANK</v>
          </cell>
          <cell r="D2197">
            <v>495000</v>
          </cell>
          <cell r="E2197">
            <v>495000</v>
          </cell>
          <cell r="F2197">
            <v>0</v>
          </cell>
        </row>
        <row r="2198">
          <cell r="A2198" t="str">
            <v>GHDFHC</v>
          </cell>
          <cell r="B2198" t="str">
            <v>AUTO LOAN HONDA CITI PRASENJIT MUKHARJEE</v>
          </cell>
          <cell r="C2198" t="str">
            <v>SLBANK</v>
          </cell>
          <cell r="D2198">
            <v>630430</v>
          </cell>
          <cell r="E2198">
            <v>630430</v>
          </cell>
          <cell r="F2198">
            <v>0</v>
          </cell>
        </row>
        <row r="2199">
          <cell r="A2199" t="str">
            <v>GHDFB</v>
          </cell>
          <cell r="B2199" t="str">
            <v>AUTOLOAN BALENO SANJEEV RANGANATHAN</v>
          </cell>
          <cell r="C2199" t="str">
            <v>SLBANK</v>
          </cell>
          <cell r="D2199">
            <v>1404648</v>
          </cell>
          <cell r="E2199">
            <v>1404648</v>
          </cell>
          <cell r="F2199">
            <v>0</v>
          </cell>
        </row>
        <row r="2200">
          <cell r="A2200" t="str">
            <v>GL1021</v>
          </cell>
          <cell r="B2200" t="str">
            <v xml:space="preserve">IL &amp; FS </v>
          </cell>
          <cell r="C2200" t="str">
            <v>SLOTHER</v>
          </cell>
          <cell r="D2200">
            <v>99439441</v>
          </cell>
          <cell r="E2200">
            <v>99439441</v>
          </cell>
          <cell r="F2200">
            <v>0</v>
          </cell>
        </row>
        <row r="2201">
          <cell r="A2201" t="str">
            <v>GCPABN</v>
          </cell>
          <cell r="B2201" t="str">
            <v>COMMERCIAL PAPER - ABN AMRO</v>
          </cell>
          <cell r="C2201" t="str">
            <v>UCP</v>
          </cell>
          <cell r="D2201">
            <v>20000000</v>
          </cell>
          <cell r="E2201">
            <v>20000000</v>
          </cell>
          <cell r="F2201">
            <v>0</v>
          </cell>
        </row>
        <row r="2202">
          <cell r="A2202" t="str">
            <v>GCPBOM</v>
          </cell>
          <cell r="B2202" t="str">
            <v>COMMERCIAL PAPER - BOM</v>
          </cell>
          <cell r="C2202" t="str">
            <v>UCP</v>
          </cell>
          <cell r="D2202">
            <v>150000000</v>
          </cell>
          <cell r="E2202">
            <v>150000000</v>
          </cell>
          <cell r="F2202">
            <v>0</v>
          </cell>
        </row>
        <row r="2203">
          <cell r="A2203" t="str">
            <v>GCPPNB</v>
          </cell>
          <cell r="B2203" t="str">
            <v>COMMERCIAL PAPER - PUNJAB NATIONAL BANK</v>
          </cell>
          <cell r="C2203" t="str">
            <v>UCP</v>
          </cell>
          <cell r="D2203">
            <v>79526763</v>
          </cell>
          <cell r="E2203">
            <v>79526763</v>
          </cell>
          <cell r="F2203">
            <v>0</v>
          </cell>
        </row>
        <row r="2204">
          <cell r="A2204" t="str">
            <v>GLICSL</v>
          </cell>
          <cell r="B2204" t="str">
            <v>INDIABULLS CREDIT SERVICES LIMITED</v>
          </cell>
          <cell r="C2204" t="str">
            <v>ULOAN</v>
          </cell>
          <cell r="D2204">
            <v>1927600000</v>
          </cell>
          <cell r="E2204">
            <v>1927600000</v>
          </cell>
          <cell r="F2204">
            <v>0</v>
          </cell>
        </row>
        <row r="2205">
          <cell r="A2205" t="str">
            <v>GLIFCPL</v>
          </cell>
          <cell r="B2205" t="str">
            <v>INDIABULLS FINANCE COMPANY PVT LIMITED</v>
          </cell>
          <cell r="C2205" t="str">
            <v>ULOAN</v>
          </cell>
          <cell r="D2205">
            <v>1033000000</v>
          </cell>
          <cell r="E2205">
            <v>1033000000</v>
          </cell>
          <cell r="F2205">
            <v>0</v>
          </cell>
        </row>
        <row r="2206">
          <cell r="A2206" t="str">
            <v>GL1007</v>
          </cell>
          <cell r="B2206" t="str">
            <v>INDIABULLS FINANCIAL SERVICES LIMITED</v>
          </cell>
          <cell r="C2206" t="str">
            <v>ULOAN</v>
          </cell>
          <cell r="D2206">
            <v>10996540069.84</v>
          </cell>
          <cell r="E2206">
            <v>10996540069.84</v>
          </cell>
          <cell r="F2206">
            <v>0</v>
          </cell>
        </row>
        <row r="2207">
          <cell r="A2207" t="str">
            <v>GLIHFL</v>
          </cell>
          <cell r="B2207" t="str">
            <v>INDIABULLS HOUSING FINANCE LIMITED</v>
          </cell>
          <cell r="C2207" t="str">
            <v>ULOAN</v>
          </cell>
          <cell r="D2207">
            <v>10000000</v>
          </cell>
          <cell r="E2207">
            <v>10000000</v>
          </cell>
          <cell r="F2207">
            <v>0</v>
          </cell>
        </row>
      </sheetData>
      <sheetData sheetId="13" refreshError="1"/>
      <sheetData sheetId="14" refreshError="1">
        <row r="1">
          <cell r="F1" t="str">
            <v>Check Balance Sheet Difference</v>
          </cell>
          <cell r="G1">
            <v>0</v>
          </cell>
        </row>
        <row r="2">
          <cell r="F2" t="str">
            <v>Sum of GL Balances</v>
          </cell>
          <cell r="G2">
            <v>0</v>
          </cell>
        </row>
        <row r="3">
          <cell r="F3" t="str">
            <v>Sum of Provisions</v>
          </cell>
          <cell r="G3">
            <v>2</v>
          </cell>
        </row>
        <row r="4">
          <cell r="F4" t="str">
            <v>Sum of Linked Balances</v>
          </cell>
          <cell r="G4">
            <v>-1</v>
          </cell>
        </row>
        <row r="6">
          <cell r="D6" t="str">
            <v>G/L</v>
          </cell>
          <cell r="E6" t="str">
            <v>Focus</v>
          </cell>
          <cell r="F6" t="str">
            <v>Long Text</v>
          </cell>
          <cell r="I6" t="str">
            <v>31-07-2014</v>
          </cell>
        </row>
        <row r="7">
          <cell r="D7">
            <v>24700040</v>
          </cell>
          <cell r="F7" t="str">
            <v>Vendors BalancesSecurity Deposit-Others</v>
          </cell>
          <cell r="I7">
            <v>10000</v>
          </cell>
        </row>
        <row r="8">
          <cell r="D8">
            <v>14890640</v>
          </cell>
          <cell r="F8" t="str">
            <v>Prov. For Membership &amp; Subscription Fee (C.Y.)</v>
          </cell>
          <cell r="I8">
            <v>-10000</v>
          </cell>
        </row>
        <row r="9">
          <cell r="D9">
            <v>14890621</v>
          </cell>
          <cell r="F9" t="str">
            <v>Service Charges (C.Y.) Payable</v>
          </cell>
          <cell r="I9">
            <v>0</v>
          </cell>
        </row>
        <row r="10">
          <cell r="D10">
            <v>14890082</v>
          </cell>
          <cell r="F10" t="str">
            <v>Sundry Creditors-Vendors Travelling</v>
          </cell>
          <cell r="I10">
            <v>0</v>
          </cell>
        </row>
        <row r="11">
          <cell r="D11">
            <v>24700036</v>
          </cell>
          <cell r="F11" t="str">
            <v>Vendors Balances-Against Advance for fixed assets</v>
          </cell>
          <cell r="I11">
            <v>4020882.4</v>
          </cell>
        </row>
        <row r="12">
          <cell r="D12">
            <v>24700037</v>
          </cell>
          <cell r="F12" t="str">
            <v>Vendors Balances-Against Advance for Interior</v>
          </cell>
          <cell r="I12">
            <v>277612</v>
          </cell>
        </row>
        <row r="13">
          <cell r="D13">
            <v>24710726</v>
          </cell>
          <cell r="E13" t="str">
            <v>GLMRGN</v>
          </cell>
          <cell r="F13" t="str">
            <v>MAHESH  SEHGAL</v>
          </cell>
          <cell r="I13">
            <v>-5000</v>
          </cell>
        </row>
        <row r="14">
          <cell r="D14">
            <v>24710060</v>
          </cell>
          <cell r="F14" t="str">
            <v>Loan and Advances- Vendors ICD Given</v>
          </cell>
          <cell r="I14">
            <v>3336850000</v>
          </cell>
        </row>
        <row r="15">
          <cell r="D15">
            <v>24700043</v>
          </cell>
          <cell r="F15" t="str">
            <v>Vendors Balances - Advance Against Salary</v>
          </cell>
          <cell r="I15">
            <v>0</v>
          </cell>
        </row>
        <row r="16">
          <cell r="D16">
            <v>24710776</v>
          </cell>
          <cell r="F16" t="str">
            <v>Vendors Inter Company REceivables</v>
          </cell>
          <cell r="I16">
            <v>0</v>
          </cell>
        </row>
        <row r="17">
          <cell r="D17">
            <v>14890057</v>
          </cell>
          <cell r="F17" t="str">
            <v>Sundry Creditors-Vendors Unsecured Loans</v>
          </cell>
          <cell r="I17">
            <v>0</v>
          </cell>
        </row>
        <row r="18">
          <cell r="D18">
            <v>24700045</v>
          </cell>
          <cell r="F18" t="str">
            <v>Vendors Balances - Imprest to Employees</v>
          </cell>
          <cell r="I18">
            <v>0</v>
          </cell>
        </row>
        <row r="19">
          <cell r="D19">
            <v>24710095</v>
          </cell>
          <cell r="F19" t="str">
            <v>Inter Co.Vendor-Advance for land Given</v>
          </cell>
          <cell r="I19">
            <v>100000000</v>
          </cell>
        </row>
        <row r="20">
          <cell r="D20">
            <v>24700042</v>
          </cell>
          <cell r="F20" t="str">
            <v>Vendors BalancesAdvance for Land</v>
          </cell>
          <cell r="I20">
            <v>0</v>
          </cell>
        </row>
        <row r="21">
          <cell r="D21">
            <v>24700046</v>
          </cell>
          <cell r="F21" t="str">
            <v>Vendors Balances - Others Advances to Employees</v>
          </cell>
          <cell r="I21">
            <v>1233</v>
          </cell>
        </row>
        <row r="22">
          <cell r="D22">
            <v>24700041</v>
          </cell>
          <cell r="F22" t="str">
            <v>Vendors Balances-Other Vendor Advances</v>
          </cell>
          <cell r="I22">
            <v>27460036.850000001</v>
          </cell>
        </row>
        <row r="23">
          <cell r="D23">
            <v>24710721</v>
          </cell>
          <cell r="E23" t="str">
            <v>GL14</v>
          </cell>
          <cell r="F23" t="str">
            <v>AMT RECOVERABLE FROM AMITESHWAR CHOUDHARY</v>
          </cell>
          <cell r="I23">
            <v>-10500</v>
          </cell>
        </row>
        <row r="24">
          <cell r="D24">
            <v>24700010</v>
          </cell>
          <cell r="E24" t="str">
            <v>GSBSE</v>
          </cell>
          <cell r="F24" t="str">
            <v>TDS BSE -GBSE</v>
          </cell>
          <cell r="I24">
            <v>79289</v>
          </cell>
        </row>
        <row r="25">
          <cell r="D25">
            <v>24710073</v>
          </cell>
          <cell r="F25" t="str">
            <v>Input  Service Tax Clearing Modvatable 4.12%</v>
          </cell>
          <cell r="I25">
            <v>0</v>
          </cell>
        </row>
        <row r="26">
          <cell r="D26">
            <v>24711094</v>
          </cell>
          <cell r="F26" t="str">
            <v>Modvatable Input Service Tax Clearing 4.33%</v>
          </cell>
          <cell r="I26">
            <v>0</v>
          </cell>
        </row>
        <row r="27">
          <cell r="D27">
            <v>24710063</v>
          </cell>
          <cell r="F27" t="str">
            <v>Input Service Tax Clearing 4.08%</v>
          </cell>
          <cell r="I27">
            <v>0</v>
          </cell>
        </row>
        <row r="28">
          <cell r="D28">
            <v>24710832</v>
          </cell>
          <cell r="F28" t="str">
            <v>Mod Input Service Tax Clng 8.65%(70 % of 12.36)</v>
          </cell>
          <cell r="I28">
            <v>0</v>
          </cell>
        </row>
        <row r="29">
          <cell r="D29">
            <v>24711097</v>
          </cell>
          <cell r="F29" t="str">
            <v>Modvatable Input Service Tax Clearing 7.204%</v>
          </cell>
          <cell r="I29">
            <v>0</v>
          </cell>
        </row>
        <row r="30">
          <cell r="D30">
            <v>24710078</v>
          </cell>
          <cell r="F30" t="str">
            <v>Service Tax Refund Claim 12.36%</v>
          </cell>
          <cell r="I30">
            <v>0</v>
          </cell>
        </row>
        <row r="31">
          <cell r="D31">
            <v>14890893</v>
          </cell>
          <cell r="F31" t="str">
            <v>ST Pay-Receiver-GTA</v>
          </cell>
          <cell r="I31">
            <v>0</v>
          </cell>
        </row>
        <row r="32">
          <cell r="D32">
            <v>14890898</v>
          </cell>
          <cell r="F32" t="str">
            <v>ST Pay-Receiver-Work Contract</v>
          </cell>
          <cell r="I32">
            <v>0</v>
          </cell>
        </row>
        <row r="33">
          <cell r="D33">
            <v>24711060</v>
          </cell>
          <cell r="F33" t="str">
            <v>Input Service Tax Clearing 6.18%</v>
          </cell>
          <cell r="I33">
            <v>0</v>
          </cell>
        </row>
        <row r="34">
          <cell r="D34">
            <v>24711084</v>
          </cell>
          <cell r="F34" t="str">
            <v>Modvatable Input Service Tax Clearing 4.944%</v>
          </cell>
          <cell r="I34">
            <v>0</v>
          </cell>
        </row>
        <row r="35">
          <cell r="D35">
            <v>24710072</v>
          </cell>
          <cell r="F35" t="str">
            <v>Modvatable Input Service Tax Clearing 12.36%</v>
          </cell>
          <cell r="I35">
            <v>2051067.9</v>
          </cell>
        </row>
        <row r="36">
          <cell r="D36">
            <v>24710108</v>
          </cell>
          <cell r="F36" t="str">
            <v>Service Tax Refund Claim Manual</v>
          </cell>
          <cell r="I36">
            <v>1048.6300000000001</v>
          </cell>
        </row>
        <row r="37">
          <cell r="D37">
            <v>24710109</v>
          </cell>
          <cell r="E37" t="str">
            <v>GAIRC</v>
          </cell>
          <cell r="F37" t="str">
            <v>Insurance Recoverable</v>
          </cell>
          <cell r="I37">
            <v>0</v>
          </cell>
        </row>
        <row r="38">
          <cell r="D38">
            <v>24710786</v>
          </cell>
          <cell r="F38" t="str">
            <v>BED Modvatable 10%</v>
          </cell>
          <cell r="I38">
            <v>0</v>
          </cell>
        </row>
        <row r="39">
          <cell r="D39">
            <v>24710789</v>
          </cell>
          <cell r="F39" t="str">
            <v>Education Cess BED / ST 2%</v>
          </cell>
          <cell r="I39">
            <v>18774.25</v>
          </cell>
        </row>
        <row r="40">
          <cell r="D40">
            <v>24710790</v>
          </cell>
          <cell r="F40" t="str">
            <v>Higher &amp; Secondory Education Cess BED / ST 1%</v>
          </cell>
          <cell r="I40">
            <v>9387.66</v>
          </cell>
        </row>
        <row r="41">
          <cell r="D41">
            <v>90000625</v>
          </cell>
          <cell r="F41" t="str">
            <v>Cenvat Receivable (Import of Service) A/C</v>
          </cell>
          <cell r="I41">
            <v>103542</v>
          </cell>
        </row>
        <row r="42">
          <cell r="D42">
            <v>24710069</v>
          </cell>
          <cell r="F42" t="str">
            <v>Input Excise Duty Clrg. Capital Goods</v>
          </cell>
          <cell r="I42">
            <v>0</v>
          </cell>
        </row>
        <row r="43">
          <cell r="D43">
            <v>24710123</v>
          </cell>
          <cell r="E43" t="str">
            <v>GE0024A</v>
          </cell>
          <cell r="F43" t="str">
            <v>Advance For Expense</v>
          </cell>
          <cell r="I43">
            <v>45645</v>
          </cell>
        </row>
        <row r="44">
          <cell r="D44">
            <v>24710126</v>
          </cell>
          <cell r="E44" t="str">
            <v>GL05</v>
          </cell>
          <cell r="F44" t="str">
            <v>AMITABH MISHRA LOAN A/C</v>
          </cell>
          <cell r="I44">
            <v>100000</v>
          </cell>
        </row>
        <row r="45">
          <cell r="D45">
            <v>24710131</v>
          </cell>
          <cell r="E45" t="str">
            <v>GCENVR</v>
          </cell>
          <cell r="F45" t="str">
            <v>CENVAT REFUND RECEIVABLE</v>
          </cell>
          <cell r="I45">
            <v>170796.26</v>
          </cell>
        </row>
        <row r="46">
          <cell r="D46">
            <v>24700069</v>
          </cell>
          <cell r="F46" t="str">
            <v>CENVAT REFUND CLAIM</v>
          </cell>
          <cell r="I46">
            <v>0</v>
          </cell>
        </row>
        <row r="47">
          <cell r="D47">
            <v>24710114</v>
          </cell>
          <cell r="F47" t="str">
            <v>SALARY ADVANCE</v>
          </cell>
          <cell r="I47">
            <v>154639.20000000001</v>
          </cell>
        </row>
        <row r="48">
          <cell r="D48">
            <v>24710960</v>
          </cell>
          <cell r="F48" t="str">
            <v>CENVAT On Hold</v>
          </cell>
          <cell r="I48">
            <v>0</v>
          </cell>
        </row>
        <row r="49">
          <cell r="D49">
            <v>14890367</v>
          </cell>
          <cell r="E49" t="str">
            <v>GI04003</v>
          </cell>
          <cell r="F49" t="str">
            <v>Cheque Cleared In Bank</v>
          </cell>
          <cell r="I49">
            <v>-62264</v>
          </cell>
        </row>
        <row r="50">
          <cell r="D50">
            <v>14890368</v>
          </cell>
          <cell r="E50" t="str">
            <v>GI04006</v>
          </cell>
          <cell r="F50" t="str">
            <v>Chq Cleared In Bank</v>
          </cell>
          <cell r="I50">
            <v>-372465.12</v>
          </cell>
        </row>
        <row r="51">
          <cell r="D51">
            <v>14890370</v>
          </cell>
          <cell r="E51" t="str">
            <v>GLIPO</v>
          </cell>
          <cell r="F51" t="str">
            <v>Refund Received On Public Issue</v>
          </cell>
          <cell r="I51">
            <v>0</v>
          </cell>
        </row>
        <row r="52">
          <cell r="D52">
            <v>14890697</v>
          </cell>
          <cell r="E52" t="str">
            <v>GCTC</v>
          </cell>
          <cell r="F52" t="str">
            <v>Client To Client Auction</v>
          </cell>
          <cell r="I52">
            <v>-6824003.3499999996</v>
          </cell>
        </row>
        <row r="53">
          <cell r="D53">
            <v>14890185</v>
          </cell>
          <cell r="E53" t="str">
            <v>GI04002</v>
          </cell>
          <cell r="F53" t="str">
            <v>Ch Cleared In Bank</v>
          </cell>
          <cell r="I53">
            <v>-2672852.0099999998</v>
          </cell>
        </row>
        <row r="54">
          <cell r="D54">
            <v>24710130</v>
          </cell>
          <cell r="E54" t="str">
            <v>GADPR</v>
          </cell>
          <cell r="F54" t="str">
            <v>D.P INCOME RECEIVABLE</v>
          </cell>
          <cell r="I54">
            <v>0</v>
          </cell>
        </row>
        <row r="55">
          <cell r="D55">
            <v>24710900</v>
          </cell>
          <cell r="F55" t="str">
            <v>Advance for New Company Incorporated</v>
          </cell>
          <cell r="I55">
            <v>0</v>
          </cell>
        </row>
        <row r="56">
          <cell r="D56">
            <v>24700011</v>
          </cell>
          <cell r="E56" t="str">
            <v>GSNSE</v>
          </cell>
          <cell r="F56" t="str">
            <v>TDS - NSE GSNSE</v>
          </cell>
          <cell r="I56">
            <v>1832904</v>
          </cell>
        </row>
        <row r="57">
          <cell r="D57">
            <v>24711037</v>
          </cell>
          <cell r="E57" t="str">
            <v>GSNSCCL</v>
          </cell>
          <cell r="F57" t="str">
            <v>TDS-NSCCL (National Sec Clearing Corp Limited)</v>
          </cell>
          <cell r="I57">
            <v>32143</v>
          </cell>
        </row>
        <row r="58">
          <cell r="D58">
            <v>24710827</v>
          </cell>
          <cell r="F58" t="str">
            <v>Modvatable Input Service Tax Clearing 10.30%</v>
          </cell>
          <cell r="I58">
            <v>0</v>
          </cell>
        </row>
        <row r="59">
          <cell r="D59">
            <v>14890897</v>
          </cell>
          <cell r="F59" t="str">
            <v>ST Pay-Receiver-Manpower/Security Service</v>
          </cell>
          <cell r="I59">
            <v>-0.03</v>
          </cell>
        </row>
        <row r="60">
          <cell r="D60">
            <v>24711083</v>
          </cell>
          <cell r="F60" t="str">
            <v>BED Modvatable 12%</v>
          </cell>
          <cell r="I60">
            <v>0</v>
          </cell>
        </row>
        <row r="61">
          <cell r="D61">
            <v>24711098</v>
          </cell>
          <cell r="F61" t="str">
            <v>Input ST Modvat Claim Clearing(RC)</v>
          </cell>
          <cell r="I61">
            <v>44955.79</v>
          </cell>
        </row>
        <row r="62">
          <cell r="D62">
            <v>24790014</v>
          </cell>
          <cell r="F62" t="str">
            <v>Escrow A/c - Sale of Investments</v>
          </cell>
          <cell r="I62">
            <v>35601468.700000003</v>
          </cell>
        </row>
        <row r="63">
          <cell r="D63">
            <v>24790015</v>
          </cell>
          <cell r="F63" t="str">
            <v>Loan Notes - Sale of Investments</v>
          </cell>
          <cell r="I63">
            <v>42034121.780000001</v>
          </cell>
        </row>
        <row r="64">
          <cell r="D64">
            <v>24711059</v>
          </cell>
          <cell r="F64" t="str">
            <v>Basic Excise duty Modvatable -1 %</v>
          </cell>
          <cell r="I64">
            <v>0</v>
          </cell>
        </row>
        <row r="65">
          <cell r="D65">
            <v>24711015</v>
          </cell>
          <cell r="F65" t="str">
            <v>Employee -Temporary Loan</v>
          </cell>
          <cell r="I65">
            <v>532216.61</v>
          </cell>
        </row>
        <row r="66">
          <cell r="D66">
            <v>24710110</v>
          </cell>
          <cell r="E66" t="str">
            <v>GA0037</v>
          </cell>
          <cell r="F66" t="str">
            <v>Prepaid Expenses</v>
          </cell>
          <cell r="I66">
            <v>23006556.140000001</v>
          </cell>
        </row>
        <row r="67">
          <cell r="D67">
            <v>24700038</v>
          </cell>
          <cell r="F67" t="str">
            <v>Security Deposit Paid</v>
          </cell>
          <cell r="I67">
            <v>79567033.879999995</v>
          </cell>
        </row>
        <row r="68">
          <cell r="D68">
            <v>24710180</v>
          </cell>
          <cell r="E68" t="str">
            <v>GSDBR</v>
          </cell>
          <cell r="F68" t="str">
            <v>SECURITY DEPOSIT ELECTRICITY - BARODA</v>
          </cell>
          <cell r="I68">
            <v>155860</v>
          </cell>
        </row>
        <row r="69">
          <cell r="D69">
            <v>24710198</v>
          </cell>
          <cell r="E69" t="str">
            <v>GSDEL</v>
          </cell>
          <cell r="F69" t="str">
            <v>SECURITY DEPOSITE FOR ELECTRICITY</v>
          </cell>
          <cell r="I69">
            <v>253726</v>
          </cell>
        </row>
        <row r="70">
          <cell r="D70">
            <v>24710705</v>
          </cell>
          <cell r="E70" t="str">
            <v>GASECU</v>
          </cell>
          <cell r="F70" t="str">
            <v>SECURITY DEPOSIT(ELECTRCITY DALHOUSIE)</v>
          </cell>
          <cell r="I70">
            <v>12345.42</v>
          </cell>
        </row>
        <row r="71">
          <cell r="D71">
            <v>24710706</v>
          </cell>
          <cell r="E71" t="str">
            <v>GHOWEL</v>
          </cell>
          <cell r="F71" t="str">
            <v>SECURITY DEPOSIT-ELECTRICITY(HOWRAH)</v>
          </cell>
          <cell r="I71">
            <v>80000</v>
          </cell>
        </row>
        <row r="72">
          <cell r="D72">
            <v>24710172</v>
          </cell>
          <cell r="E72" t="str">
            <v>GALLD</v>
          </cell>
          <cell r="F72" t="str">
            <v>LEASE LINE DEPOSIT</v>
          </cell>
          <cell r="I72">
            <v>531482</v>
          </cell>
        </row>
        <row r="73">
          <cell r="D73">
            <v>24710201</v>
          </cell>
          <cell r="E73" t="str">
            <v>GSNLL</v>
          </cell>
          <cell r="F73" t="str">
            <v>SECURITY FOR LEASE LINE -MUMBAI</v>
          </cell>
          <cell r="I73">
            <v>100000</v>
          </cell>
        </row>
        <row r="74">
          <cell r="D74">
            <v>24710202</v>
          </cell>
          <cell r="E74" t="str">
            <v>GSECU</v>
          </cell>
          <cell r="F74" t="str">
            <v>SECURITY FOR LEASELINE - DELHI</v>
          </cell>
          <cell r="I74">
            <v>150000</v>
          </cell>
        </row>
        <row r="75">
          <cell r="D75">
            <v>24710856</v>
          </cell>
          <cell r="F75" t="str">
            <v>Security Deposit - Lease Line</v>
          </cell>
          <cell r="I75">
            <v>1200000</v>
          </cell>
        </row>
        <row r="76">
          <cell r="D76">
            <v>24710111</v>
          </cell>
          <cell r="F76" t="str">
            <v>Security Deposit Rent</v>
          </cell>
          <cell r="I76">
            <v>0</v>
          </cell>
        </row>
        <row r="77">
          <cell r="D77">
            <v>24710212</v>
          </cell>
          <cell r="E77" t="str">
            <v>GSENDA</v>
          </cell>
          <cell r="F77" t="str">
            <v>SECURITY  DEPOSIT NOIDA ONLINE</v>
          </cell>
          <cell r="I77">
            <v>26903.26</v>
          </cell>
        </row>
        <row r="78">
          <cell r="D78">
            <v>24710215</v>
          </cell>
          <cell r="E78" t="str">
            <v>GSCAH</v>
          </cell>
          <cell r="F78" t="str">
            <v>SECURITY DEPOSIT - AHMEDABAD</v>
          </cell>
          <cell r="I78">
            <v>87167</v>
          </cell>
        </row>
        <row r="79">
          <cell r="D79">
            <v>24710235</v>
          </cell>
          <cell r="E79" t="str">
            <v>GSECHT</v>
          </cell>
          <cell r="F79" t="str">
            <v>SECURITY DEPOSIT CHENNAI (T NAGAR)</v>
          </cell>
          <cell r="I79">
            <v>184524</v>
          </cell>
        </row>
        <row r="80">
          <cell r="D80">
            <v>24710236</v>
          </cell>
          <cell r="E80" t="str">
            <v>GSECHEN</v>
          </cell>
          <cell r="F80" t="str">
            <v>SECURITY DEPOSIT CHENNAI - MYLAPORE</v>
          </cell>
          <cell r="I80">
            <v>791901</v>
          </cell>
        </row>
        <row r="81">
          <cell r="D81">
            <v>24710250</v>
          </cell>
          <cell r="E81" t="str">
            <v>GSEBAG</v>
          </cell>
          <cell r="F81" t="str">
            <v>SECURITY DEPOSIT FOR BANDRA ONLINE</v>
          </cell>
          <cell r="I81">
            <v>500000</v>
          </cell>
        </row>
        <row r="82">
          <cell r="D82">
            <v>24710261</v>
          </cell>
          <cell r="E82" t="str">
            <v>GSEGHAT</v>
          </cell>
          <cell r="F82" t="str">
            <v>SECURITY DEPOSIT FOR GHATKOPAR BRANCH</v>
          </cell>
          <cell r="I82">
            <v>1170000</v>
          </cell>
        </row>
        <row r="83">
          <cell r="D83">
            <v>24710272</v>
          </cell>
          <cell r="E83" t="str">
            <v>GSEMAD</v>
          </cell>
          <cell r="F83" t="str">
            <v>SECURITY DEPOSIT FOR MAHIM OFFLINE</v>
          </cell>
          <cell r="I83">
            <v>414129</v>
          </cell>
        </row>
        <row r="84">
          <cell r="D84">
            <v>24710307</v>
          </cell>
          <cell r="E84" t="str">
            <v>GSEJAI</v>
          </cell>
          <cell r="F84" t="str">
            <v>SECURITY DEPOSIT JAIPUR</v>
          </cell>
          <cell r="I84">
            <v>45906.37</v>
          </cell>
        </row>
        <row r="85">
          <cell r="D85">
            <v>24710319</v>
          </cell>
          <cell r="E85" t="str">
            <v>GSELUD</v>
          </cell>
          <cell r="F85" t="str">
            <v>SECURITY DEPOSIT LUDHIANA</v>
          </cell>
          <cell r="I85">
            <v>166157</v>
          </cell>
        </row>
        <row r="86">
          <cell r="D86">
            <v>24710332</v>
          </cell>
          <cell r="E86" t="str">
            <v>GSECNA</v>
          </cell>
          <cell r="F86" t="str">
            <v>SECURITY DEPOSIT NASIK</v>
          </cell>
          <cell r="I86">
            <v>624271.80000000005</v>
          </cell>
        </row>
        <row r="87">
          <cell r="D87">
            <v>24710384</v>
          </cell>
          <cell r="E87" t="str">
            <v>GSETIRUP</v>
          </cell>
          <cell r="F87" t="str">
            <v>SECURITY DEPOSIT OF CENTRAL PARK TIRUPATI BRANCH</v>
          </cell>
          <cell r="I87">
            <v>59771</v>
          </cell>
        </row>
        <row r="88">
          <cell r="D88">
            <v>24710402</v>
          </cell>
          <cell r="E88" t="str">
            <v>GSEKAIL</v>
          </cell>
          <cell r="F88" t="str">
            <v>SECURITY DEPOSIT OF EAST OF KAILASH NEW DELHI</v>
          </cell>
          <cell r="I88">
            <v>401370.68</v>
          </cell>
        </row>
        <row r="89">
          <cell r="D89">
            <v>24710411</v>
          </cell>
          <cell r="E89" t="str">
            <v>GSEGEO</v>
          </cell>
          <cell r="F89" t="str">
            <v>SECURITY DEPOSIT OF GEORGE TOWN NSC ROAD CHENNAI</v>
          </cell>
          <cell r="I89">
            <v>781419.67</v>
          </cell>
        </row>
        <row r="90">
          <cell r="D90">
            <v>24710413</v>
          </cell>
          <cell r="E90" t="str">
            <v>GSEGHAZ</v>
          </cell>
          <cell r="F90" t="str">
            <v>SECURITY DEPOSIT OF GHAZIABAD RDC RAJ NAGAR</v>
          </cell>
          <cell r="I90">
            <v>6637.22</v>
          </cell>
        </row>
        <row r="91">
          <cell r="D91">
            <v>24710584</v>
          </cell>
          <cell r="E91" t="str">
            <v>GSEYUV</v>
          </cell>
          <cell r="F91" t="str">
            <v>SECURITY DEPOSIT OF YUVRAJ SINGH CHOUDHARY</v>
          </cell>
          <cell r="I91">
            <v>100000</v>
          </cell>
        </row>
        <row r="92">
          <cell r="D92">
            <v>24710597</v>
          </cell>
          <cell r="E92" t="str">
            <v>GSERA</v>
          </cell>
          <cell r="F92" t="str">
            <v>SECURITY DEPOSIT RAJKOT</v>
          </cell>
          <cell r="I92">
            <v>76395.87</v>
          </cell>
        </row>
        <row r="93">
          <cell r="D93">
            <v>24710599</v>
          </cell>
          <cell r="E93" t="str">
            <v>GA0023</v>
          </cell>
          <cell r="F93" t="str">
            <v>SECURITY DEPOSIT RENT (PATIALA)</v>
          </cell>
          <cell r="I93">
            <v>30900</v>
          </cell>
        </row>
        <row r="94">
          <cell r="D94">
            <v>24710612</v>
          </cell>
          <cell r="E94" t="str">
            <v>GSE12</v>
          </cell>
          <cell r="F94" t="str">
            <v>SECURITY DEPOSIT TOLLYGUNJ (KOLKATA)</v>
          </cell>
          <cell r="I94">
            <v>390937.7</v>
          </cell>
        </row>
        <row r="95">
          <cell r="D95">
            <v>24710627</v>
          </cell>
          <cell r="E95" t="str">
            <v>GA00022</v>
          </cell>
          <cell r="F95" t="str">
            <v>SECURITY DEPOSIT VIZAG</v>
          </cell>
          <cell r="I95">
            <v>42000</v>
          </cell>
        </row>
        <row r="96">
          <cell r="D96">
            <v>24710637</v>
          </cell>
          <cell r="E96" t="str">
            <v>GSEAM</v>
          </cell>
          <cell r="F96" t="str">
            <v>SECURITY FOR AMRITSAR PREMISES</v>
          </cell>
          <cell r="I96">
            <v>87000</v>
          </cell>
        </row>
        <row r="97">
          <cell r="D97">
            <v>24710644</v>
          </cell>
          <cell r="E97" t="str">
            <v>GA0475</v>
          </cell>
          <cell r="F97" t="str">
            <v>SECURITY FOR FARIDABAD PR</v>
          </cell>
          <cell r="I97">
            <v>14000</v>
          </cell>
        </row>
        <row r="98">
          <cell r="D98">
            <v>24710646</v>
          </cell>
          <cell r="E98" t="str">
            <v>GSECF</v>
          </cell>
          <cell r="F98" t="str">
            <v>SECURITY FOR FURNITURE - LUCKNOW</v>
          </cell>
          <cell r="I98">
            <v>3000</v>
          </cell>
        </row>
        <row r="99">
          <cell r="D99">
            <v>24710647</v>
          </cell>
          <cell r="E99" t="str">
            <v>GSEGH</v>
          </cell>
          <cell r="F99" t="str">
            <v>SECURITY FOR GHATKOPAR PREMISES</v>
          </cell>
          <cell r="I99">
            <v>425000</v>
          </cell>
        </row>
        <row r="100">
          <cell r="D100">
            <v>24710661</v>
          </cell>
          <cell r="E100" t="str">
            <v>GSEKP</v>
          </cell>
          <cell r="F100" t="str">
            <v>SECURITY FOR KANPUR PREMISES - NEW</v>
          </cell>
          <cell r="I100">
            <v>37500</v>
          </cell>
        </row>
        <row r="101">
          <cell r="D101">
            <v>24710664</v>
          </cell>
          <cell r="E101" t="str">
            <v>GSELH</v>
          </cell>
          <cell r="F101" t="str">
            <v>SECURITY FOR LOKHANDWALA</v>
          </cell>
          <cell r="I101">
            <v>749653.4</v>
          </cell>
        </row>
        <row r="102">
          <cell r="D102">
            <v>24710665</v>
          </cell>
          <cell r="E102" t="str">
            <v>GSECL</v>
          </cell>
          <cell r="F102" t="str">
            <v>SECURITY FOR LUCKNOW PREMISES</v>
          </cell>
          <cell r="I102">
            <v>29850</v>
          </cell>
        </row>
        <row r="103">
          <cell r="D103">
            <v>24710672</v>
          </cell>
          <cell r="E103" t="str">
            <v>GSEBR</v>
          </cell>
          <cell r="F103" t="str">
            <v>SECURITY FOR MUMBAI BORIWALI</v>
          </cell>
          <cell r="I103">
            <v>111273.54</v>
          </cell>
        </row>
        <row r="104">
          <cell r="D104">
            <v>24710687</v>
          </cell>
          <cell r="E104" t="str">
            <v>GACAL</v>
          </cell>
          <cell r="F104" t="str">
            <v>SECURITY RENT CALCUTTA</v>
          </cell>
          <cell r="I104">
            <v>324720</v>
          </cell>
        </row>
        <row r="105">
          <cell r="D105">
            <v>24710689</v>
          </cell>
          <cell r="E105" t="str">
            <v>GSECHYD</v>
          </cell>
          <cell r="F105" t="str">
            <v>SECURITY RENT HYDRABAD</v>
          </cell>
          <cell r="I105">
            <v>96490</v>
          </cell>
        </row>
        <row r="106">
          <cell r="D106">
            <v>24710691</v>
          </cell>
          <cell r="E106" t="str">
            <v>GSECMUM</v>
          </cell>
          <cell r="F106" t="str">
            <v>SECURITY RENT MUMBAI</v>
          </cell>
          <cell r="I106">
            <v>570000</v>
          </cell>
        </row>
        <row r="107">
          <cell r="D107">
            <v>24710693</v>
          </cell>
          <cell r="E107" t="str">
            <v>GA00122</v>
          </cell>
          <cell r="F107" t="str">
            <v>SECURITY RENT OF PUNE</v>
          </cell>
          <cell r="I107">
            <v>348000</v>
          </cell>
        </row>
        <row r="108">
          <cell r="D108">
            <v>24710694</v>
          </cell>
          <cell r="E108" t="str">
            <v>GASEGH</v>
          </cell>
          <cell r="F108" t="str">
            <v>SECURITY RENT SJE GH</v>
          </cell>
          <cell r="I108">
            <v>44000</v>
          </cell>
        </row>
        <row r="109">
          <cell r="D109">
            <v>24710696</v>
          </cell>
          <cell r="E109" t="str">
            <v>GSE07</v>
          </cell>
          <cell r="F109" t="str">
            <v>SECUTIRY DEPOSIT GORKHPUR OFFLINE</v>
          </cell>
          <cell r="I109">
            <v>0</v>
          </cell>
        </row>
        <row r="110">
          <cell r="D110">
            <v>24710697</v>
          </cell>
          <cell r="E110" t="str">
            <v>GSE06</v>
          </cell>
          <cell r="F110" t="str">
            <v>SECUTIRY DEPOSIT JAMSHEDPUR</v>
          </cell>
          <cell r="I110">
            <v>529565.14</v>
          </cell>
        </row>
        <row r="111">
          <cell r="D111">
            <v>24710701</v>
          </cell>
          <cell r="E111" t="str">
            <v>GSPNP</v>
          </cell>
          <cell r="F111" t="str">
            <v>SECUTITY DEPOSIT PANIPAT</v>
          </cell>
          <cell r="I111">
            <v>0</v>
          </cell>
        </row>
        <row r="112">
          <cell r="D112">
            <v>24710183</v>
          </cell>
          <cell r="E112" t="str">
            <v>GSEVDW</v>
          </cell>
          <cell r="F112" t="str">
            <v>SECURITY DEPOSIT OF VSAT FOR DWARKA OFFLINE (N</v>
          </cell>
          <cell r="I112">
            <v>12666.67</v>
          </cell>
        </row>
        <row r="113">
          <cell r="D113">
            <v>24710191</v>
          </cell>
          <cell r="E113" t="str">
            <v>GSECV</v>
          </cell>
          <cell r="F113" t="str">
            <v>SECURITY DEPOSIT VSAT - CALCUTTA</v>
          </cell>
          <cell r="I113">
            <v>9000</v>
          </cell>
        </row>
        <row r="114">
          <cell r="D114">
            <v>24710204</v>
          </cell>
          <cell r="E114" t="str">
            <v>GA125</v>
          </cell>
          <cell r="F114" t="str">
            <v>SECURITY FOR VSAT TO CEPCO</v>
          </cell>
          <cell r="I114">
            <v>75000</v>
          </cell>
        </row>
        <row r="115">
          <cell r="D115">
            <v>14890777</v>
          </cell>
          <cell r="F115" t="str">
            <v>AP- DIVIDEND PAYABLE</v>
          </cell>
          <cell r="I115">
            <v>0</v>
          </cell>
        </row>
        <row r="116">
          <cell r="D116">
            <v>24710792</v>
          </cell>
          <cell r="F116" t="str">
            <v>Input Service Tax Clearing 4.12% and 8% VAT(NonM)</v>
          </cell>
          <cell r="I116">
            <v>0</v>
          </cell>
        </row>
        <row r="117">
          <cell r="D117">
            <v>14890731</v>
          </cell>
          <cell r="E117">
            <v>14890731</v>
          </cell>
          <cell r="F117" t="str">
            <v>Security Deposit from Authorised Persons</v>
          </cell>
          <cell r="I117">
            <v>-500000</v>
          </cell>
        </row>
        <row r="118">
          <cell r="D118">
            <v>14890736</v>
          </cell>
          <cell r="E118" t="str">
            <v>GSEEE</v>
          </cell>
          <cell r="F118" t="str">
            <v>Security Deposit - Vehicle</v>
          </cell>
          <cell r="I118">
            <v>-894991</v>
          </cell>
        </row>
        <row r="119">
          <cell r="D119">
            <v>13113000</v>
          </cell>
          <cell r="F119" t="str">
            <v>Salary, wages payable</v>
          </cell>
          <cell r="I119">
            <v>-328186.96999999997</v>
          </cell>
        </row>
        <row r="120">
          <cell r="D120">
            <v>13110100</v>
          </cell>
          <cell r="F120" t="str">
            <v>GR/IR-clearing - ext procurement - Dom</v>
          </cell>
          <cell r="I120">
            <v>-2855</v>
          </cell>
        </row>
        <row r="121">
          <cell r="D121">
            <v>13112500</v>
          </cell>
          <cell r="F121" t="str">
            <v>GR/IR-clearing - Octroi</v>
          </cell>
          <cell r="I121">
            <v>0</v>
          </cell>
        </row>
        <row r="122">
          <cell r="D122">
            <v>13113001</v>
          </cell>
          <cell r="E122" t="str">
            <v>GA0010</v>
          </cell>
          <cell r="F122" t="str">
            <v>Salary Payable</v>
          </cell>
          <cell r="I122">
            <v>0</v>
          </cell>
        </row>
        <row r="123">
          <cell r="D123">
            <v>13113004</v>
          </cell>
          <cell r="E123" t="str">
            <v>GEXPENSE</v>
          </cell>
          <cell r="F123" t="str">
            <v>Incentive Payable</v>
          </cell>
          <cell r="I123">
            <v>0</v>
          </cell>
        </row>
        <row r="124">
          <cell r="D124">
            <v>13113008</v>
          </cell>
          <cell r="F124" t="str">
            <v>Other Payable</v>
          </cell>
          <cell r="I124">
            <v>-99786643.680000007</v>
          </cell>
        </row>
        <row r="125">
          <cell r="D125">
            <v>13113012</v>
          </cell>
          <cell r="F125" t="str">
            <v>Labour Welfare Fund Payable</v>
          </cell>
          <cell r="I125">
            <v>-2184</v>
          </cell>
        </row>
        <row r="126">
          <cell r="D126">
            <v>13113350</v>
          </cell>
          <cell r="F126" t="str">
            <v>Other salary deductions - Non Statutory</v>
          </cell>
          <cell r="I126">
            <v>-1445940.86</v>
          </cell>
        </row>
        <row r="127">
          <cell r="D127">
            <v>13113940</v>
          </cell>
          <cell r="E127" t="str">
            <v>GA080A</v>
          </cell>
          <cell r="F127" t="str">
            <v>Withholding Tax (TDS) SALARY payable</v>
          </cell>
          <cell r="I127">
            <v>-2329941.84</v>
          </cell>
        </row>
        <row r="128">
          <cell r="D128">
            <v>13113941</v>
          </cell>
          <cell r="E128" t="str">
            <v>GA080BC</v>
          </cell>
          <cell r="F128" t="str">
            <v>Withholding Tax (Tds) Rent Payable</v>
          </cell>
          <cell r="I128">
            <v>-421206</v>
          </cell>
        </row>
        <row r="129">
          <cell r="D129">
            <v>13113942</v>
          </cell>
          <cell r="E129" t="str">
            <v>GA080DC</v>
          </cell>
          <cell r="F129" t="str">
            <v>Withholding Tax (Tds) Contractor Payable</v>
          </cell>
          <cell r="I129">
            <v>-22031</v>
          </cell>
        </row>
        <row r="130">
          <cell r="D130">
            <v>13113943</v>
          </cell>
          <cell r="E130" t="str">
            <v>GA080CC</v>
          </cell>
          <cell r="F130" t="str">
            <v>Withholding Tax (Tds) Professional  Payable</v>
          </cell>
          <cell r="I130">
            <v>-306417</v>
          </cell>
        </row>
        <row r="131">
          <cell r="D131">
            <v>13113944</v>
          </cell>
          <cell r="E131" t="str">
            <v>GA080EC</v>
          </cell>
          <cell r="F131" t="str">
            <v>Withholding Tax (Tds) Commission  Payable</v>
          </cell>
          <cell r="I131">
            <v>-16400</v>
          </cell>
        </row>
        <row r="132">
          <cell r="D132">
            <v>13113945</v>
          </cell>
          <cell r="E132" t="str">
            <v>GA080F</v>
          </cell>
          <cell r="F132" t="str">
            <v>Withholding Tax (Tds) Interest  Payable</v>
          </cell>
          <cell r="I132">
            <v>0</v>
          </cell>
        </row>
        <row r="133">
          <cell r="D133">
            <v>13113946</v>
          </cell>
          <cell r="E133" t="str">
            <v>GA080GNC</v>
          </cell>
          <cell r="F133" t="str">
            <v>Withholding Tax (Tds) (Non Resident) Payable</v>
          </cell>
          <cell r="I133">
            <v>0</v>
          </cell>
        </row>
        <row r="134">
          <cell r="D134">
            <v>13113939</v>
          </cell>
          <cell r="F134" t="str">
            <v>Withholding Tax (Tds) TRF of Immovable Property</v>
          </cell>
          <cell r="I134">
            <v>0</v>
          </cell>
        </row>
        <row r="135">
          <cell r="D135">
            <v>13113961</v>
          </cell>
          <cell r="E135" t="str">
            <v>GE0135</v>
          </cell>
          <cell r="F135" t="str">
            <v>EPF Payable</v>
          </cell>
          <cell r="I135">
            <v>-70871.05</v>
          </cell>
        </row>
        <row r="136">
          <cell r="D136">
            <v>13114131</v>
          </cell>
          <cell r="F136" t="str">
            <v>Employee National Pension Scheme-Payable</v>
          </cell>
          <cell r="I136">
            <v>-21677</v>
          </cell>
        </row>
        <row r="137">
          <cell r="D137">
            <v>13113962</v>
          </cell>
          <cell r="F137" t="str">
            <v>ESI Payable</v>
          </cell>
          <cell r="I137">
            <v>0</v>
          </cell>
        </row>
        <row r="138">
          <cell r="D138">
            <v>13114020</v>
          </cell>
          <cell r="E138" t="str">
            <v>GLPDD</v>
          </cell>
          <cell r="F138" t="str">
            <v>Laptop Deduction</v>
          </cell>
          <cell r="I138">
            <v>-972750</v>
          </cell>
        </row>
        <row r="139">
          <cell r="D139">
            <v>13114097</v>
          </cell>
          <cell r="E139" t="str">
            <v>GCDSTAX</v>
          </cell>
          <cell r="F139" t="str">
            <v>CDS Service Tax</v>
          </cell>
          <cell r="I139">
            <v>-23305.3</v>
          </cell>
        </row>
        <row r="140">
          <cell r="D140">
            <v>13114102</v>
          </cell>
          <cell r="F140" t="str">
            <v>Salary Payable (C.Y.)</v>
          </cell>
          <cell r="I140">
            <v>-1692275</v>
          </cell>
        </row>
        <row r="141">
          <cell r="D141">
            <v>13114111</v>
          </cell>
          <cell r="F141" t="str">
            <v>Provision Of Lease Rent (AS-19)</v>
          </cell>
          <cell r="I141">
            <v>-1634148.51</v>
          </cell>
        </row>
        <row r="142">
          <cell r="D142">
            <v>14890004</v>
          </cell>
          <cell r="F142" t="str">
            <v>Provision For Electricity Expenses</v>
          </cell>
          <cell r="I142">
            <v>0</v>
          </cell>
        </row>
        <row r="143">
          <cell r="D143">
            <v>14890007</v>
          </cell>
          <cell r="F143" t="str">
            <v>Provision For Postage And Courier</v>
          </cell>
          <cell r="I143">
            <v>0</v>
          </cell>
        </row>
        <row r="144">
          <cell r="D144">
            <v>14890000</v>
          </cell>
          <cell r="F144" t="str">
            <v>Other Provisions</v>
          </cell>
          <cell r="I144">
            <v>-1000000</v>
          </cell>
        </row>
        <row r="145">
          <cell r="D145">
            <v>14890008</v>
          </cell>
          <cell r="F145" t="str">
            <v>Provision For Printing &amp; Stationery</v>
          </cell>
          <cell r="I145">
            <v>0</v>
          </cell>
        </row>
        <row r="146">
          <cell r="D146">
            <v>14890012</v>
          </cell>
          <cell r="F146" t="str">
            <v>Provision For Travelling</v>
          </cell>
          <cell r="I146">
            <v>0</v>
          </cell>
        </row>
        <row r="147">
          <cell r="D147">
            <v>14890019</v>
          </cell>
          <cell r="F147" t="str">
            <v>Other Deduction</v>
          </cell>
          <cell r="I147">
            <v>0</v>
          </cell>
        </row>
        <row r="148">
          <cell r="D148">
            <v>14890020</v>
          </cell>
          <cell r="E148" t="str">
            <v>GL00121</v>
          </cell>
          <cell r="F148" t="str">
            <v>Stale Cheque Account</v>
          </cell>
          <cell r="I148">
            <v>-3708664.2</v>
          </cell>
        </row>
        <row r="149">
          <cell r="D149">
            <v>14890023</v>
          </cell>
          <cell r="E149" t="str">
            <v>GLS003</v>
          </cell>
          <cell r="F149" t="str">
            <v>Other Processing Charges Payable</v>
          </cell>
          <cell r="I149">
            <v>-1637.55</v>
          </cell>
        </row>
        <row r="150">
          <cell r="D150">
            <v>13113037</v>
          </cell>
          <cell r="F150" t="str">
            <v>Service Tax Acccural 12 %</v>
          </cell>
          <cell r="I150">
            <v>0</v>
          </cell>
        </row>
        <row r="151">
          <cell r="D151">
            <v>14890851</v>
          </cell>
          <cell r="F151" t="str">
            <v>Service Tax Payable Business Auxiliary Service</v>
          </cell>
          <cell r="I151">
            <v>0</v>
          </cell>
        </row>
        <row r="152">
          <cell r="D152">
            <v>14890047</v>
          </cell>
          <cell r="F152" t="str">
            <v>Service Tax Payable on Rent</v>
          </cell>
          <cell r="I152">
            <v>0</v>
          </cell>
        </row>
        <row r="153">
          <cell r="D153">
            <v>14890031</v>
          </cell>
          <cell r="E153" t="str">
            <v>GFSTAX</v>
          </cell>
          <cell r="F153" t="str">
            <v>Service Tax Payable Nse F&amp;O</v>
          </cell>
          <cell r="I153">
            <v>-2721667.53</v>
          </cell>
        </row>
        <row r="154">
          <cell r="D154">
            <v>14890032</v>
          </cell>
          <cell r="E154" t="str">
            <v>GBSTAX</v>
          </cell>
          <cell r="F154" t="str">
            <v>Service Tax Payable Bse CM</v>
          </cell>
          <cell r="I154">
            <v>-189072.1</v>
          </cell>
        </row>
        <row r="155">
          <cell r="D155">
            <v>14890034</v>
          </cell>
          <cell r="E155" t="str">
            <v>GAOCST</v>
          </cell>
          <cell r="F155" t="str">
            <v>Service Tax Payable Account Opening</v>
          </cell>
          <cell r="I155">
            <v>-6285.5</v>
          </cell>
        </row>
        <row r="156">
          <cell r="D156">
            <v>14890036</v>
          </cell>
          <cell r="E156" t="str">
            <v>GSTAXO</v>
          </cell>
          <cell r="F156" t="str">
            <v>Service Tax Payable Other</v>
          </cell>
          <cell r="I156">
            <v>-8497</v>
          </cell>
        </row>
        <row r="157">
          <cell r="D157">
            <v>14890037</v>
          </cell>
          <cell r="E157" t="str">
            <v>GNSTAX</v>
          </cell>
          <cell r="F157" t="str">
            <v>Service Tax Payable NSDL Charges</v>
          </cell>
          <cell r="I157">
            <v>112.83</v>
          </cell>
        </row>
        <row r="158">
          <cell r="D158">
            <v>14890038</v>
          </cell>
          <cell r="E158" t="str">
            <v>GCSTAX</v>
          </cell>
          <cell r="F158" t="str">
            <v>Service Tax Payable CDSL Charges</v>
          </cell>
          <cell r="I158">
            <v>175.85</v>
          </cell>
        </row>
        <row r="159">
          <cell r="D159">
            <v>14890894</v>
          </cell>
          <cell r="F159" t="str">
            <v>ST Pay-Receiver-Legal serives</v>
          </cell>
          <cell r="I159">
            <v>-44955.79</v>
          </cell>
        </row>
        <row r="160">
          <cell r="D160">
            <v>14890896</v>
          </cell>
          <cell r="F160" t="str">
            <v>ST Pay-Receiver-Car Hire</v>
          </cell>
          <cell r="I160">
            <v>0</v>
          </cell>
        </row>
        <row r="161">
          <cell r="D161">
            <v>14890056</v>
          </cell>
          <cell r="F161" t="str">
            <v>Sundry Creditors-Vendors Secured Loans</v>
          </cell>
          <cell r="I161">
            <v>0</v>
          </cell>
        </row>
        <row r="162">
          <cell r="D162">
            <v>14890051</v>
          </cell>
          <cell r="E162" t="str">
            <v>GL01025</v>
          </cell>
          <cell r="F162" t="str">
            <v>Turnover Tax Payable</v>
          </cell>
          <cell r="I162">
            <v>-26403.88</v>
          </cell>
        </row>
        <row r="163">
          <cell r="D163">
            <v>14890053</v>
          </cell>
          <cell r="F163" t="str">
            <v>Rent Expense Payable</v>
          </cell>
          <cell r="I163">
            <v>0</v>
          </cell>
        </row>
        <row r="164">
          <cell r="D164">
            <v>14890054</v>
          </cell>
          <cell r="F164" t="str">
            <v>V Sat Charges Payable</v>
          </cell>
          <cell r="I164">
            <v>0</v>
          </cell>
        </row>
        <row r="165">
          <cell r="D165">
            <v>14890130</v>
          </cell>
          <cell r="F165" t="str">
            <v>Audit Fees Payable</v>
          </cell>
          <cell r="I165">
            <v>0</v>
          </cell>
        </row>
        <row r="166">
          <cell r="D166">
            <v>14890131</v>
          </cell>
          <cell r="F166" t="str">
            <v>Commission  Payable</v>
          </cell>
          <cell r="I166">
            <v>0</v>
          </cell>
        </row>
        <row r="167">
          <cell r="D167">
            <v>14890132</v>
          </cell>
          <cell r="F167" t="str">
            <v>Content Expenses Payable</v>
          </cell>
          <cell r="I167">
            <v>0</v>
          </cell>
        </row>
        <row r="168">
          <cell r="D168">
            <v>14890133</v>
          </cell>
          <cell r="F168" t="str">
            <v>Depository Charges Payable</v>
          </cell>
          <cell r="I168">
            <v>0</v>
          </cell>
        </row>
        <row r="169">
          <cell r="D169">
            <v>14890135</v>
          </cell>
          <cell r="F169" t="str">
            <v>Leaseline Charges Payable</v>
          </cell>
          <cell r="I169">
            <v>0</v>
          </cell>
        </row>
        <row r="170">
          <cell r="D170">
            <v>14890136</v>
          </cell>
          <cell r="F170" t="str">
            <v>Legal &amp; Professional Expenses Payable</v>
          </cell>
          <cell r="I170">
            <v>0</v>
          </cell>
        </row>
        <row r="171">
          <cell r="D171">
            <v>14890138</v>
          </cell>
          <cell r="F171" t="str">
            <v>Office  Maintenance Payable (Payable)</v>
          </cell>
          <cell r="I171">
            <v>0</v>
          </cell>
        </row>
        <row r="172">
          <cell r="D172">
            <v>14890143</v>
          </cell>
          <cell r="F172" t="str">
            <v>SEBI Charges Payable</v>
          </cell>
          <cell r="I172">
            <v>0</v>
          </cell>
        </row>
        <row r="173">
          <cell r="D173">
            <v>14890145</v>
          </cell>
          <cell r="F173" t="str">
            <v>Telephone Expense(Fixed) Payable</v>
          </cell>
          <cell r="I173">
            <v>0</v>
          </cell>
        </row>
        <row r="174">
          <cell r="D174">
            <v>14890147</v>
          </cell>
          <cell r="F174" t="str">
            <v>Web Hosting Charges Payble</v>
          </cell>
          <cell r="I174">
            <v>0</v>
          </cell>
        </row>
        <row r="175">
          <cell r="D175">
            <v>14890289</v>
          </cell>
          <cell r="F175" t="str">
            <v>Software Charges Payable</v>
          </cell>
          <cell r="I175">
            <v>0</v>
          </cell>
        </row>
        <row r="176">
          <cell r="D176">
            <v>14890360</v>
          </cell>
          <cell r="F176" t="str">
            <v>Transaction Charges Payable</v>
          </cell>
          <cell r="I176">
            <v>0</v>
          </cell>
        </row>
        <row r="177">
          <cell r="D177">
            <v>14890362</v>
          </cell>
          <cell r="E177" t="str">
            <v>GEXPENSE</v>
          </cell>
          <cell r="F177" t="str">
            <v>Business Promotion Expenses Payable</v>
          </cell>
          <cell r="I177">
            <v>0</v>
          </cell>
        </row>
        <row r="178">
          <cell r="D178">
            <v>14890363</v>
          </cell>
          <cell r="F178" t="str">
            <v>AMC Charges Software Payable</v>
          </cell>
          <cell r="I178">
            <v>0</v>
          </cell>
        </row>
        <row r="179">
          <cell r="D179">
            <v>14890364</v>
          </cell>
          <cell r="F179" t="str">
            <v>AMC Charges Hardware Payable</v>
          </cell>
          <cell r="I179">
            <v>0</v>
          </cell>
        </row>
        <row r="180">
          <cell r="D180">
            <v>14890369</v>
          </cell>
          <cell r="E180" t="str">
            <v>GPRFT</v>
          </cell>
          <cell r="F180" t="str">
            <v>Professional Tax  Payable</v>
          </cell>
          <cell r="I180">
            <v>-26845</v>
          </cell>
        </row>
        <row r="181">
          <cell r="D181">
            <v>14890371</v>
          </cell>
          <cell r="E181" t="str">
            <v>GSTAX</v>
          </cell>
          <cell r="F181" t="str">
            <v>Service Tax  Payable -GSTAX</v>
          </cell>
          <cell r="I181">
            <v>-1832830.24</v>
          </cell>
        </row>
        <row r="182">
          <cell r="D182">
            <v>14890373</v>
          </cell>
          <cell r="E182" t="str">
            <v>GADVSC</v>
          </cell>
          <cell r="F182" t="str">
            <v>Advance Against Sale Of Car</v>
          </cell>
          <cell r="I182">
            <v>-2764527</v>
          </cell>
        </row>
        <row r="183">
          <cell r="D183">
            <v>14890377</v>
          </cell>
          <cell r="F183" t="str">
            <v>Provision For Repair &amp; Maint. Expenses</v>
          </cell>
          <cell r="I183">
            <v>-196797</v>
          </cell>
        </row>
        <row r="184">
          <cell r="D184">
            <v>14890387</v>
          </cell>
          <cell r="E184" t="str">
            <v>GOTH</v>
          </cell>
          <cell r="F184" t="str">
            <v>Other Deduction</v>
          </cell>
          <cell r="I184">
            <v>0</v>
          </cell>
        </row>
        <row r="185">
          <cell r="D185">
            <v>14890412</v>
          </cell>
          <cell r="F185" t="str">
            <v>DMAT Charges Payable</v>
          </cell>
          <cell r="I185">
            <v>0</v>
          </cell>
        </row>
        <row r="186">
          <cell r="D186">
            <v>14890491</v>
          </cell>
          <cell r="F186" t="str">
            <v>Interest on Car Loans Payable</v>
          </cell>
          <cell r="I186">
            <v>0</v>
          </cell>
        </row>
        <row r="187">
          <cell r="D187">
            <v>14890509</v>
          </cell>
          <cell r="F187" t="str">
            <v>Prov For Postage &amp; Couirer (C.Y.)</v>
          </cell>
          <cell r="I187">
            <v>-2015301.7</v>
          </cell>
        </row>
        <row r="188">
          <cell r="D188">
            <v>14890513</v>
          </cell>
          <cell r="F188" t="str">
            <v>Prov For Electricity Expenses (C.Y.)</v>
          </cell>
          <cell r="I188">
            <v>-908931.5</v>
          </cell>
        </row>
        <row r="189">
          <cell r="D189">
            <v>14890514</v>
          </cell>
          <cell r="F189" t="str">
            <v>Prov For Repairs &amp; Maintenance (C.Y.)</v>
          </cell>
          <cell r="I189">
            <v>-372318.43</v>
          </cell>
        </row>
        <row r="190">
          <cell r="D190">
            <v>14890517</v>
          </cell>
          <cell r="F190" t="str">
            <v>Prov For Printing &amp; Stationary Expenses (C.Y.)</v>
          </cell>
          <cell r="I190">
            <v>-1196920.8500000001</v>
          </cell>
        </row>
        <row r="191">
          <cell r="D191">
            <v>14890521</v>
          </cell>
          <cell r="F191" t="str">
            <v>Prov For Travelling Expenses (C.Y.)</v>
          </cell>
          <cell r="I191">
            <v>-195.76</v>
          </cell>
        </row>
        <row r="192">
          <cell r="D192">
            <v>14890528</v>
          </cell>
          <cell r="F192" t="str">
            <v>Prov for Bonus (C.Y.)</v>
          </cell>
          <cell r="I192">
            <v>0</v>
          </cell>
        </row>
        <row r="193">
          <cell r="D193">
            <v>14890534</v>
          </cell>
          <cell r="F193" t="str">
            <v>Prov For Office Maintenance (C.Y.)</v>
          </cell>
          <cell r="I193">
            <v>-5757.04</v>
          </cell>
        </row>
        <row r="194">
          <cell r="D194">
            <v>14890548</v>
          </cell>
          <cell r="F194" t="str">
            <v xml:space="preserve"> Provision for Staff welfare</v>
          </cell>
          <cell r="I194">
            <v>0</v>
          </cell>
        </row>
        <row r="195">
          <cell r="D195">
            <v>14890560</v>
          </cell>
          <cell r="F195" t="str">
            <v>Rent Provision (C.Y.)</v>
          </cell>
          <cell r="I195">
            <v>0</v>
          </cell>
        </row>
        <row r="196">
          <cell r="D196">
            <v>14890597</v>
          </cell>
          <cell r="F196" t="str">
            <v>Amc Charges Hardware (C.Y.) Payable</v>
          </cell>
          <cell r="I196">
            <v>-732141.43</v>
          </cell>
        </row>
        <row r="197">
          <cell r="D197">
            <v>14890598</v>
          </cell>
          <cell r="F197" t="str">
            <v>Amc Charges Software (C.Y.) Payable</v>
          </cell>
          <cell r="I197">
            <v>-135000</v>
          </cell>
        </row>
        <row r="198">
          <cell r="D198">
            <v>14890600</v>
          </cell>
          <cell r="F198" t="str">
            <v>Business Promotion Expenses (C.Y.) Payable</v>
          </cell>
          <cell r="I198">
            <v>-50000</v>
          </cell>
        </row>
        <row r="199">
          <cell r="D199">
            <v>14890602</v>
          </cell>
          <cell r="F199" t="str">
            <v>Commission (C.Y.) Payable</v>
          </cell>
          <cell r="I199">
            <v>-302000</v>
          </cell>
        </row>
        <row r="200">
          <cell r="D200">
            <v>14890603</v>
          </cell>
          <cell r="F200" t="str">
            <v>Content Expenses (C.Y.) Payable</v>
          </cell>
          <cell r="I200">
            <v>0</v>
          </cell>
        </row>
        <row r="201">
          <cell r="D201">
            <v>14890605</v>
          </cell>
          <cell r="F201" t="str">
            <v>Dmat Charges (C.Y.) Payable</v>
          </cell>
          <cell r="I201">
            <v>0</v>
          </cell>
        </row>
        <row r="202">
          <cell r="D202">
            <v>14890608</v>
          </cell>
          <cell r="F202" t="str">
            <v>Interest On Car Loans (C.Y.) Payable</v>
          </cell>
          <cell r="I202">
            <v>0</v>
          </cell>
        </row>
        <row r="203">
          <cell r="D203">
            <v>14890610</v>
          </cell>
          <cell r="F203" t="str">
            <v>Lease line Charges (C.Y.) Payable</v>
          </cell>
          <cell r="I203">
            <v>-389881.24</v>
          </cell>
        </row>
        <row r="204">
          <cell r="D204">
            <v>14890611</v>
          </cell>
          <cell r="E204" t="str">
            <v>GA0011</v>
          </cell>
          <cell r="F204" t="str">
            <v>Legal &amp; Professional Expenses (C.Y.) Payable</v>
          </cell>
          <cell r="I204">
            <v>-1027572.77</v>
          </cell>
        </row>
        <row r="205">
          <cell r="D205">
            <v>14890617</v>
          </cell>
          <cell r="F205" t="str">
            <v>Recruitment &amp; Training Expenses (C.Y.) Payable</v>
          </cell>
          <cell r="I205">
            <v>0</v>
          </cell>
        </row>
        <row r="206">
          <cell r="D206">
            <v>14890622</v>
          </cell>
          <cell r="F206" t="str">
            <v>Software Charges (C.Y.) Payable</v>
          </cell>
          <cell r="I206">
            <v>-150000</v>
          </cell>
        </row>
        <row r="207">
          <cell r="D207">
            <v>14890492</v>
          </cell>
          <cell r="F207" t="str">
            <v>Membership Fees payable</v>
          </cell>
          <cell r="I207">
            <v>0</v>
          </cell>
        </row>
        <row r="208">
          <cell r="D208">
            <v>14890003</v>
          </cell>
          <cell r="F208" t="str">
            <v>Provision For Advertisement Expenses</v>
          </cell>
          <cell r="I208">
            <v>0</v>
          </cell>
        </row>
        <row r="209">
          <cell r="D209">
            <v>14890029</v>
          </cell>
          <cell r="F209" t="str">
            <v>Provision for Interest</v>
          </cell>
          <cell r="I209">
            <v>0</v>
          </cell>
        </row>
        <row r="210">
          <cell r="D210">
            <v>14890361</v>
          </cell>
          <cell r="F210" t="str">
            <v>Interest Payable</v>
          </cell>
          <cell r="I210">
            <v>0</v>
          </cell>
        </row>
        <row r="211">
          <cell r="D211">
            <v>14890623</v>
          </cell>
          <cell r="F211" t="str">
            <v>Staff Welfare Expenses (C.Y.) Payable</v>
          </cell>
          <cell r="I211">
            <v>-84911</v>
          </cell>
        </row>
        <row r="212">
          <cell r="D212">
            <v>14890624</v>
          </cell>
          <cell r="F212" t="str">
            <v>Telephone Expense (C.Y.) Payable</v>
          </cell>
          <cell r="I212">
            <v>-132502.63</v>
          </cell>
        </row>
        <row r="213">
          <cell r="D213">
            <v>14890625</v>
          </cell>
          <cell r="F213" t="str">
            <v>Transaction Charges (C.Y.) Payable</v>
          </cell>
          <cell r="I213">
            <v>0</v>
          </cell>
        </row>
        <row r="214">
          <cell r="D214">
            <v>14890627</v>
          </cell>
          <cell r="F214" t="str">
            <v>V Sat Charges (C.Y.) Payable</v>
          </cell>
          <cell r="I214">
            <v>-105915.57</v>
          </cell>
        </row>
        <row r="215">
          <cell r="D215">
            <v>14890628</v>
          </cell>
          <cell r="F215" t="str">
            <v>Web Hosting Charges (C.Y.) Payable</v>
          </cell>
          <cell r="I215">
            <v>0</v>
          </cell>
        </row>
        <row r="216">
          <cell r="D216">
            <v>14890643</v>
          </cell>
          <cell r="F216" t="str">
            <v>Prov. For Statutory Audit Fee  (C.Y.)</v>
          </cell>
          <cell r="I216">
            <v>0</v>
          </cell>
        </row>
        <row r="217">
          <cell r="D217">
            <v>14890708</v>
          </cell>
          <cell r="E217" t="str">
            <v>GISTAX</v>
          </cell>
          <cell r="F217" t="str">
            <v>Service Tax Payable - Institutional</v>
          </cell>
          <cell r="I217">
            <v>0</v>
          </cell>
        </row>
        <row r="218">
          <cell r="D218">
            <v>14890011</v>
          </cell>
          <cell r="F218" t="str">
            <v>Provision For Telephone Exp.</v>
          </cell>
          <cell r="I218">
            <v>-3272633.61</v>
          </cell>
        </row>
        <row r="219">
          <cell r="D219">
            <v>13112400</v>
          </cell>
          <cell r="F219" t="str">
            <v>GR/IR-clearing - Freight</v>
          </cell>
          <cell r="I219">
            <v>0</v>
          </cell>
        </row>
        <row r="220">
          <cell r="D220">
            <v>14890745</v>
          </cell>
          <cell r="F220" t="str">
            <v>Service Tax Payable(Import of Service) A/C</v>
          </cell>
          <cell r="I220">
            <v>0</v>
          </cell>
        </row>
        <row r="221">
          <cell r="D221">
            <v>14890556</v>
          </cell>
          <cell r="F221" t="str">
            <v>Rates &amp; Tax Payable</v>
          </cell>
          <cell r="I221">
            <v>0</v>
          </cell>
        </row>
        <row r="222">
          <cell r="D222">
            <v>14890604</v>
          </cell>
          <cell r="F222" t="str">
            <v>Depository Charges (C.Y.) Payable</v>
          </cell>
          <cell r="I222">
            <v>-79071.740000000005</v>
          </cell>
        </row>
        <row r="223">
          <cell r="D223">
            <v>14890538</v>
          </cell>
          <cell r="F223" t="str">
            <v>Service tax on Manpower Deployment</v>
          </cell>
          <cell r="I223">
            <v>0</v>
          </cell>
        </row>
        <row r="224">
          <cell r="D224">
            <v>14890772</v>
          </cell>
          <cell r="F224" t="str">
            <v>Provison for Stamp Duty (C.Y)</v>
          </cell>
          <cell r="I224">
            <v>131</v>
          </cell>
        </row>
        <row r="225">
          <cell r="D225">
            <v>24710850</v>
          </cell>
          <cell r="F225" t="str">
            <v>S Tax 10.30% on 33% and 12.5% VAT on 75% (Non M)</v>
          </cell>
          <cell r="I225">
            <v>0</v>
          </cell>
        </row>
        <row r="226">
          <cell r="D226">
            <v>13113031</v>
          </cell>
          <cell r="F226" t="str">
            <v>Service Tax (10%) Accrual A/c</v>
          </cell>
          <cell r="I226">
            <v>0</v>
          </cell>
        </row>
        <row r="227">
          <cell r="D227">
            <v>13113032</v>
          </cell>
          <cell r="F227" t="str">
            <v>Education Cess Accrual A/c</v>
          </cell>
          <cell r="I227">
            <v>0</v>
          </cell>
        </row>
        <row r="228">
          <cell r="D228">
            <v>13113033</v>
          </cell>
          <cell r="F228" t="str">
            <v>Higher Secondary Education Cess Accrual A/c</v>
          </cell>
          <cell r="I228">
            <v>0</v>
          </cell>
        </row>
        <row r="229">
          <cell r="D229">
            <v>14890030</v>
          </cell>
          <cell r="E229" t="str">
            <v>GL01001</v>
          </cell>
          <cell r="F229" t="str">
            <v>Service Tax Payable Nse CM</v>
          </cell>
          <cell r="I229">
            <v>506282.04</v>
          </cell>
        </row>
        <row r="230">
          <cell r="D230">
            <v>14890035</v>
          </cell>
          <cell r="E230" t="str">
            <v>GSTAXT</v>
          </cell>
          <cell r="F230" t="str">
            <v>Service Tax Payable Transaction Charges</v>
          </cell>
          <cell r="I230">
            <v>-1</v>
          </cell>
        </row>
        <row r="231">
          <cell r="D231">
            <v>14890186</v>
          </cell>
          <cell r="E231" t="str">
            <v>GL01050</v>
          </cell>
          <cell r="F231" t="str">
            <v>Nse Penalty Charges Payable</v>
          </cell>
          <cell r="I231">
            <v>-39968.36</v>
          </cell>
        </row>
        <row r="232">
          <cell r="D232">
            <v>14890592</v>
          </cell>
          <cell r="E232" t="str">
            <v>GSTAXS</v>
          </cell>
          <cell r="F232" t="str">
            <v>Service Tax On Scheme Charges</v>
          </cell>
          <cell r="I232">
            <v>-20102.849999999999</v>
          </cell>
        </row>
        <row r="233">
          <cell r="D233">
            <v>14890060</v>
          </cell>
          <cell r="F233" t="str">
            <v>Sundry Creditors- Vendors Balances Advertisement</v>
          </cell>
          <cell r="I233">
            <v>-20837</v>
          </cell>
        </row>
        <row r="234">
          <cell r="D234">
            <v>14890063</v>
          </cell>
          <cell r="F234" t="str">
            <v>Sundry Creditors- Vendors Communication</v>
          </cell>
          <cell r="I234">
            <v>-6221545.7800000003</v>
          </cell>
        </row>
        <row r="235">
          <cell r="D235">
            <v>14890068</v>
          </cell>
          <cell r="F235" t="str">
            <v>Sundry Creditors- Vendors Foregin</v>
          </cell>
          <cell r="I235">
            <v>0</v>
          </cell>
        </row>
        <row r="236">
          <cell r="D236">
            <v>14890070</v>
          </cell>
          <cell r="F236" t="str">
            <v>Sundry Creditors- Vendors Housekeeping</v>
          </cell>
          <cell r="I236">
            <v>-13908</v>
          </cell>
        </row>
        <row r="237">
          <cell r="D237">
            <v>14890071</v>
          </cell>
          <cell r="F237" t="str">
            <v>Sundry Creditors- Vendors Legal &amp; Professional</v>
          </cell>
          <cell r="I237">
            <v>1356101.1</v>
          </cell>
        </row>
        <row r="238">
          <cell r="D238">
            <v>14890072</v>
          </cell>
          <cell r="F238" t="str">
            <v>Sundry Creditors- Vendors Marketing Associates/DSA</v>
          </cell>
          <cell r="I238">
            <v>-117791.5</v>
          </cell>
        </row>
        <row r="239">
          <cell r="D239">
            <v>14890073</v>
          </cell>
          <cell r="F239" t="str">
            <v>Sundry Creditors- Vendors Materials</v>
          </cell>
          <cell r="I239">
            <v>-0.25</v>
          </cell>
        </row>
        <row r="240">
          <cell r="D240">
            <v>14890077</v>
          </cell>
          <cell r="F240" t="str">
            <v>Sundry Creditors- Vendors Services</v>
          </cell>
          <cell r="I240">
            <v>-5617255.25</v>
          </cell>
        </row>
        <row r="241">
          <cell r="D241">
            <v>14890078</v>
          </cell>
          <cell r="F241" t="str">
            <v>Sundry Creditors- Vendors Subbroker Distribution</v>
          </cell>
          <cell r="I241">
            <v>-930</v>
          </cell>
        </row>
        <row r="242">
          <cell r="D242">
            <v>14890392</v>
          </cell>
          <cell r="F242" t="str">
            <v>Sundry Creditors-Vendors Inter Company Payables</v>
          </cell>
          <cell r="I242">
            <v>0</v>
          </cell>
        </row>
        <row r="243">
          <cell r="D243">
            <v>14890064</v>
          </cell>
          <cell r="F243" t="str">
            <v>Sundry Creditors- Vendors Credit Agency</v>
          </cell>
          <cell r="I243">
            <v>0</v>
          </cell>
        </row>
        <row r="244">
          <cell r="D244">
            <v>15000024</v>
          </cell>
          <cell r="F244" t="str">
            <v>Sundry Creditors- Vendors Misc</v>
          </cell>
          <cell r="I244">
            <v>-1095209.01</v>
          </cell>
        </row>
        <row r="245">
          <cell r="D245">
            <v>15000026</v>
          </cell>
          <cell r="F245" t="str">
            <v>Sundry Creditors- Vendors Security Services</v>
          </cell>
          <cell r="I245">
            <v>0</v>
          </cell>
        </row>
        <row r="246">
          <cell r="D246">
            <v>15000011</v>
          </cell>
          <cell r="F246" t="str">
            <v>Sundry Creditors Vendors Fixed Assets &amp; Other</v>
          </cell>
          <cell r="I246">
            <v>-17070204.629999999</v>
          </cell>
        </row>
        <row r="247">
          <cell r="D247">
            <v>15000025</v>
          </cell>
          <cell r="F247" t="str">
            <v>Sundry Creditors -Vendors (Landlord)</v>
          </cell>
          <cell r="I247">
            <v>-2998945.51</v>
          </cell>
        </row>
        <row r="248">
          <cell r="D248">
            <v>15000018</v>
          </cell>
          <cell r="F248" t="str">
            <v>Sundry Creditors Vendors Emp (Other Than Salary)</v>
          </cell>
          <cell r="I248">
            <v>303115</v>
          </cell>
        </row>
        <row r="249">
          <cell r="D249">
            <v>12140154</v>
          </cell>
          <cell r="F249" t="str">
            <v>AUTO LOAN</v>
          </cell>
          <cell r="I249">
            <v>-1710950.89</v>
          </cell>
        </row>
        <row r="250">
          <cell r="D250">
            <v>12140032</v>
          </cell>
          <cell r="F250" t="str">
            <v>Auto Loan Honda City Vikas Sachdeva (Legal)</v>
          </cell>
          <cell r="I250">
            <v>0</v>
          </cell>
        </row>
        <row r="251">
          <cell r="D251">
            <v>12230030</v>
          </cell>
          <cell r="F251" t="str">
            <v>Loans Received- Vendors ICD Taken</v>
          </cell>
          <cell r="I251">
            <v>0</v>
          </cell>
        </row>
        <row r="252">
          <cell r="D252">
            <v>12230031</v>
          </cell>
          <cell r="F252" t="str">
            <v>Loans Received- Vendors ICD Taken - Others</v>
          </cell>
          <cell r="I252">
            <v>0</v>
          </cell>
        </row>
        <row r="253">
          <cell r="D253" t="str">
            <v>ECSRPROV</v>
          </cell>
          <cell r="F253" t="str">
            <v>Prov for CSR Expenses</v>
          </cell>
          <cell r="I253">
            <v>0</v>
          </cell>
        </row>
        <row r="254">
          <cell r="D254">
            <v>14890853</v>
          </cell>
          <cell r="F254" t="str">
            <v>Other Liabilities</v>
          </cell>
          <cell r="I254">
            <v>-10871546.039999999</v>
          </cell>
        </row>
        <row r="255">
          <cell r="D255">
            <v>14890183</v>
          </cell>
          <cell r="E255" t="str">
            <v>GCDP</v>
          </cell>
          <cell r="F255" t="str">
            <v>Indiabulls DP</v>
          </cell>
          <cell r="I255">
            <v>150188545.24000001</v>
          </cell>
        </row>
        <row r="256">
          <cell r="D256">
            <v>90000388</v>
          </cell>
          <cell r="E256">
            <v>90000388</v>
          </cell>
          <cell r="F256" t="str">
            <v>Dividend Receivable</v>
          </cell>
          <cell r="G256" t="str">
            <v>Clients</v>
          </cell>
          <cell r="I256">
            <v>0</v>
          </cell>
        </row>
        <row r="258">
          <cell r="F258" t="str">
            <v>Share Capital</v>
          </cell>
        </row>
        <row r="259">
          <cell r="D259">
            <v>10100015</v>
          </cell>
          <cell r="F259" t="str">
            <v>Equity Share Capital Face Value Rs.2</v>
          </cell>
          <cell r="G259" t="str">
            <v>Equity share Capital</v>
          </cell>
          <cell r="H259" t="str">
            <v xml:space="preserve"> Paidup</v>
          </cell>
          <cell r="I259">
            <v>-521552072</v>
          </cell>
        </row>
        <row r="261">
          <cell r="F261" t="str">
            <v>Reserves and Surplus</v>
          </cell>
        </row>
        <row r="262">
          <cell r="D262">
            <v>11000001</v>
          </cell>
          <cell r="E262" t="str">
            <v>GCRR</v>
          </cell>
          <cell r="F262" t="str">
            <v>Capital Redemption Reserve</v>
          </cell>
          <cell r="G262" t="str">
            <v>Reserves &amp; surplus</v>
          </cell>
          <cell r="H262" t="str">
            <v>Capital Redemption Reserve</v>
          </cell>
          <cell r="I262">
            <v>-360036184</v>
          </cell>
        </row>
        <row r="263">
          <cell r="D263">
            <v>11100000</v>
          </cell>
          <cell r="E263" t="str">
            <v>GL0047</v>
          </cell>
          <cell r="F263" t="str">
            <v>Share Premium Account</v>
          </cell>
          <cell r="G263" t="str">
            <v>Reserves &amp; surplus</v>
          </cell>
          <cell r="H263" t="str">
            <v>Share Premium Account</v>
          </cell>
          <cell r="I263">
            <v>-354876979.60000002</v>
          </cell>
        </row>
        <row r="264">
          <cell r="D264">
            <v>11000003</v>
          </cell>
          <cell r="F264" t="str">
            <v>Foreign Currency Monetary Item Translation Difference Account</v>
          </cell>
          <cell r="G264" t="str">
            <v>Reserves &amp; surplus</v>
          </cell>
          <cell r="H264" t="str">
            <v>Foreign Currency Monetary Item Translation Difference Account</v>
          </cell>
          <cell r="I264">
            <v>-11243062.890000001</v>
          </cell>
        </row>
        <row r="265">
          <cell r="D265">
            <v>11400000</v>
          </cell>
          <cell r="E265" t="str">
            <v>GA1111</v>
          </cell>
          <cell r="F265" t="str">
            <v>General Reserve</v>
          </cell>
          <cell r="G265" t="str">
            <v>Reserves &amp; surplus</v>
          </cell>
          <cell r="H265" t="str">
            <v>General Reserve</v>
          </cell>
          <cell r="I265">
            <v>-338177977</v>
          </cell>
        </row>
        <row r="266">
          <cell r="D266">
            <v>11600000</v>
          </cell>
          <cell r="E266" t="str">
            <v>GA00B41</v>
          </cell>
          <cell r="F266" t="str">
            <v>Balance in Profit &amp; Loss Account</v>
          </cell>
          <cell r="G266" t="str">
            <v>Reserves &amp; surplus</v>
          </cell>
          <cell r="H266" t="str">
            <v>Balance in Profit &amp; Loss Account</v>
          </cell>
          <cell r="I266">
            <v>-1683216295.1700001</v>
          </cell>
        </row>
        <row r="267">
          <cell r="D267">
            <v>11610000</v>
          </cell>
          <cell r="F267" t="str">
            <v>Unappropriated Retained Earnings Prev yr</v>
          </cell>
          <cell r="G267" t="str">
            <v>Reserves &amp; surplus</v>
          </cell>
          <cell r="H267" t="str">
            <v>Unappropriated Retained Earnings Prev yr</v>
          </cell>
          <cell r="I267">
            <v>1187485694.4200001</v>
          </cell>
        </row>
        <row r="269">
          <cell r="F269" t="str">
            <v>Money received against Share Warrants</v>
          </cell>
        </row>
        <row r="270">
          <cell r="D270">
            <v>10200002</v>
          </cell>
          <cell r="F270" t="str">
            <v>Warrants</v>
          </cell>
          <cell r="G270" t="str">
            <v>Warrants</v>
          </cell>
          <cell r="I270">
            <v>-100555004</v>
          </cell>
        </row>
        <row r="272">
          <cell r="D272">
            <v>13113809</v>
          </cell>
          <cell r="F272" t="str">
            <v>Share Application Money – ESOS 2008</v>
          </cell>
          <cell r="G272" t="str">
            <v>ESOS 2008</v>
          </cell>
          <cell r="I272">
            <v>0</v>
          </cell>
        </row>
        <row r="275">
          <cell r="F275" t="str">
            <v>Long-Term Borrowings</v>
          </cell>
        </row>
        <row r="276">
          <cell r="F276" t="str">
            <v>Vehicle Loans</v>
          </cell>
        </row>
        <row r="277">
          <cell r="F277" t="str">
            <v>ARCK Sheet</v>
          </cell>
          <cell r="G277" t="str">
            <v>Long - term Borrowings</v>
          </cell>
        </row>
        <row r="279">
          <cell r="F279" t="str">
            <v>Retirement Benefits</v>
          </cell>
        </row>
        <row r="280">
          <cell r="D280">
            <v>13113958</v>
          </cell>
          <cell r="E280" t="str">
            <v>GGP</v>
          </cell>
          <cell r="F280" t="str">
            <v>Gratuity Payable</v>
          </cell>
          <cell r="I280">
            <v>-18877308.52</v>
          </cell>
        </row>
        <row r="281">
          <cell r="D281">
            <v>14700000</v>
          </cell>
          <cell r="E281" t="str">
            <v>GLP</v>
          </cell>
          <cell r="F281" t="str">
            <v>Provision-leave encashment at retirement</v>
          </cell>
          <cell r="I281">
            <v>-5315895.9400000004</v>
          </cell>
        </row>
        <row r="283">
          <cell r="F283" t="str">
            <v>Long-Term Provisions</v>
          </cell>
        </row>
        <row r="284">
          <cell r="F284" t="str">
            <v>Gratuity Payable - LT</v>
          </cell>
          <cell r="G284" t="str">
            <v>Long-Term Provisions</v>
          </cell>
        </row>
        <row r="285">
          <cell r="F285" t="str">
            <v>Provision-leave encashment at retirement - LT</v>
          </cell>
          <cell r="G285" t="str">
            <v>Long-Term Provisions</v>
          </cell>
        </row>
        <row r="287">
          <cell r="F287" t="str">
            <v>Long-Term Provisions</v>
          </cell>
        </row>
        <row r="288">
          <cell r="F288" t="str">
            <v>Gratuity Payable - ST</v>
          </cell>
          <cell r="G288" t="str">
            <v>Short-Term Provisions</v>
          </cell>
        </row>
        <row r="289">
          <cell r="F289" t="str">
            <v>Provision-leave encashment at retirement - ST</v>
          </cell>
          <cell r="G289" t="str">
            <v>Short-Term Provisions</v>
          </cell>
        </row>
        <row r="292">
          <cell r="D292" t="str">
            <v>2007-08</v>
          </cell>
        </row>
        <row r="293">
          <cell r="D293">
            <v>14890410</v>
          </cell>
          <cell r="F293" t="str">
            <v>Provision For Income Tax - 2007-08</v>
          </cell>
          <cell r="I293">
            <v>-1220860580.75</v>
          </cell>
        </row>
        <row r="294">
          <cell r="D294">
            <v>24700060</v>
          </cell>
          <cell r="F294" t="str">
            <v>TDS DEDUCTED FIXED DEPOSIT 2007-2008</v>
          </cell>
          <cell r="I294">
            <v>69436108.640000001</v>
          </cell>
        </row>
        <row r="295">
          <cell r="D295">
            <v>24700055</v>
          </cell>
          <cell r="E295" t="str">
            <v>GA092</v>
          </cell>
          <cell r="F295" t="str">
            <v>Tax Deducted at Source 2007-08</v>
          </cell>
          <cell r="I295">
            <v>16088886.99</v>
          </cell>
        </row>
        <row r="296">
          <cell r="D296">
            <v>24710909</v>
          </cell>
          <cell r="F296" t="str">
            <v>TDS Deducted Group Co. 2007-08</v>
          </cell>
          <cell r="I296">
            <v>19713366.120000001</v>
          </cell>
        </row>
        <row r="297">
          <cell r="D297">
            <v>24710800</v>
          </cell>
          <cell r="F297" t="str">
            <v>Advance Tax A.Y. 2008-09</v>
          </cell>
          <cell r="I297">
            <v>1110000000</v>
          </cell>
        </row>
        <row r="298">
          <cell r="D298">
            <v>24710967</v>
          </cell>
          <cell r="F298" t="str">
            <v>Self Assessment Tax AY 2008 - 09(FY2007-08)</v>
          </cell>
          <cell r="I298">
            <v>4803750</v>
          </cell>
        </row>
        <row r="299">
          <cell r="D299">
            <v>24790016</v>
          </cell>
          <cell r="F299" t="str">
            <v>Income Tax Demand Paid FY 2007-08</v>
          </cell>
          <cell r="I299">
            <v>818469</v>
          </cell>
        </row>
        <row r="301">
          <cell r="D301" t="str">
            <v>2010-11</v>
          </cell>
        </row>
        <row r="302">
          <cell r="D302">
            <v>14890732</v>
          </cell>
          <cell r="F302" t="str">
            <v>Provision For Income Tax F.Y(2010-11)</v>
          </cell>
          <cell r="I302">
            <v>0</v>
          </cell>
        </row>
        <row r="303">
          <cell r="D303">
            <v>24710913</v>
          </cell>
          <cell r="F303" t="str">
            <v>Mat Credit</v>
          </cell>
          <cell r="I303">
            <v>0</v>
          </cell>
        </row>
        <row r="304">
          <cell r="D304">
            <v>14890857</v>
          </cell>
          <cell r="F304" t="str">
            <v>Income Tax Refund FY 2010-11</v>
          </cell>
          <cell r="I304">
            <v>0</v>
          </cell>
        </row>
        <row r="305">
          <cell r="D305">
            <v>24711024</v>
          </cell>
          <cell r="F305" t="str">
            <v>TDS Ded. FDR 10-11</v>
          </cell>
          <cell r="I305">
            <v>0</v>
          </cell>
        </row>
        <row r="306">
          <cell r="D306">
            <v>24711025</v>
          </cell>
          <cell r="F306" t="str">
            <v>TDS Deducted Others 2010-11</v>
          </cell>
          <cell r="I306">
            <v>0</v>
          </cell>
        </row>
        <row r="307">
          <cell r="D307">
            <v>24711034</v>
          </cell>
          <cell r="F307" t="str">
            <v>TDS Deducted Group Co. 2010-11</v>
          </cell>
          <cell r="I307">
            <v>0</v>
          </cell>
        </row>
        <row r="308">
          <cell r="D308">
            <v>24700131</v>
          </cell>
          <cell r="F308" t="str">
            <v>Tds Deducted FY10-11</v>
          </cell>
          <cell r="I308">
            <v>0</v>
          </cell>
        </row>
        <row r="309">
          <cell r="D309">
            <v>24711033</v>
          </cell>
          <cell r="F309" t="str">
            <v>Advance Tax A.Y.2011-12</v>
          </cell>
          <cell r="I309">
            <v>0</v>
          </cell>
        </row>
        <row r="311">
          <cell r="D311" t="str">
            <v>2011-12</v>
          </cell>
        </row>
        <row r="312">
          <cell r="D312">
            <v>14890789</v>
          </cell>
          <cell r="F312" t="str">
            <v>Provisions for taxation</v>
          </cell>
          <cell r="I312">
            <v>-50610000</v>
          </cell>
        </row>
        <row r="313">
          <cell r="D313">
            <v>24711055</v>
          </cell>
          <cell r="F313" t="str">
            <v>TDS Ded. FDR 11-12</v>
          </cell>
          <cell r="I313">
            <v>30853398.690000001</v>
          </cell>
        </row>
        <row r="314">
          <cell r="D314">
            <v>24711064</v>
          </cell>
          <cell r="F314" t="str">
            <v>TDS Deducted – Clients FY 2011-12</v>
          </cell>
          <cell r="I314">
            <v>2567559</v>
          </cell>
        </row>
        <row r="315">
          <cell r="D315">
            <v>14890942</v>
          </cell>
          <cell r="F315" t="str">
            <v>Income Tax Refund FY 2011-12</v>
          </cell>
          <cell r="I315">
            <v>-39610943</v>
          </cell>
        </row>
        <row r="316">
          <cell r="D316">
            <v>24711056</v>
          </cell>
          <cell r="F316" t="str">
            <v>TDS Deducted Others 2011-12</v>
          </cell>
          <cell r="I316">
            <v>15441108</v>
          </cell>
        </row>
        <row r="318">
          <cell r="D318" t="str">
            <v>2012-13</v>
          </cell>
        </row>
        <row r="319">
          <cell r="D319">
            <v>14890891</v>
          </cell>
          <cell r="F319" t="str">
            <v xml:space="preserve">Provision For Income Tax </v>
          </cell>
          <cell r="I319">
            <v>-143306858</v>
          </cell>
        </row>
        <row r="320">
          <cell r="D320">
            <v>24711089</v>
          </cell>
          <cell r="F320" t="str">
            <v>TDS Ded. FDR FY 2012-13</v>
          </cell>
          <cell r="I320">
            <v>22253849.620000001</v>
          </cell>
        </row>
        <row r="321">
          <cell r="D321">
            <v>24711091</v>
          </cell>
          <cell r="F321" t="str">
            <v>TDS Deducted – Clients FY 2012-13</v>
          </cell>
          <cell r="I321">
            <v>870195</v>
          </cell>
        </row>
        <row r="322">
          <cell r="D322">
            <v>24711085</v>
          </cell>
          <cell r="F322" t="str">
            <v>TDS Deducted Others 2012-13</v>
          </cell>
          <cell r="I322">
            <v>32652355</v>
          </cell>
        </row>
        <row r="323">
          <cell r="D323">
            <v>24711125</v>
          </cell>
          <cell r="F323" t="str">
            <v>Self Assessment Tax AY. 2013-14 (FY. 2012-13)</v>
          </cell>
          <cell r="I323">
            <v>27494904</v>
          </cell>
        </row>
        <row r="324">
          <cell r="D324">
            <v>24711096</v>
          </cell>
          <cell r="F324" t="str">
            <v>Advance Tax A.Y. 2012-13</v>
          </cell>
          <cell r="I324">
            <v>60000000</v>
          </cell>
        </row>
        <row r="326">
          <cell r="D326" t="str">
            <v>2013-14</v>
          </cell>
        </row>
        <row r="327">
          <cell r="D327">
            <v>24711107</v>
          </cell>
          <cell r="F327" t="str">
            <v>TDS Ded. FDR FY 2013-14</v>
          </cell>
          <cell r="I327">
            <v>14613447.220000001</v>
          </cell>
        </row>
        <row r="328">
          <cell r="D328">
            <v>24711106</v>
          </cell>
          <cell r="F328" t="str">
            <v>TDS Deducted Others FY 2013-14</v>
          </cell>
          <cell r="I328">
            <v>30030401</v>
          </cell>
        </row>
        <row r="329">
          <cell r="D329">
            <v>24711109</v>
          </cell>
          <cell r="F329" t="str">
            <v>TDS Cert.Rece.FY 2013-14</v>
          </cell>
          <cell r="I329">
            <v>1927316</v>
          </cell>
        </row>
        <row r="330">
          <cell r="D330">
            <v>24711074</v>
          </cell>
          <cell r="F330" t="str">
            <v xml:space="preserve"> TDS Deducted – Clients FY 2013-14</v>
          </cell>
          <cell r="I330">
            <v>100841</v>
          </cell>
        </row>
        <row r="331">
          <cell r="D331">
            <v>24711119</v>
          </cell>
          <cell r="F331" t="str">
            <v>Advance Tax A.Y.2014-15</v>
          </cell>
          <cell r="I331">
            <v>70000000</v>
          </cell>
        </row>
        <row r="332">
          <cell r="D332">
            <v>14890945</v>
          </cell>
          <cell r="F332" t="str">
            <v>Tax Provision</v>
          </cell>
          <cell r="I332">
            <v>-123700000</v>
          </cell>
        </row>
        <row r="334">
          <cell r="D334" t="str">
            <v>2014-15</v>
          </cell>
        </row>
        <row r="336">
          <cell r="D336">
            <v>24711134</v>
          </cell>
          <cell r="F336" t="str">
            <v>TDS Ded. FDR FY 2014-15</v>
          </cell>
          <cell r="I336">
            <v>607</v>
          </cell>
        </row>
        <row r="337">
          <cell r="D337">
            <v>24711136</v>
          </cell>
          <cell r="F337" t="str">
            <v>TDS Cert.Rece.FY 2014-15</v>
          </cell>
          <cell r="I337">
            <v>9836546</v>
          </cell>
        </row>
        <row r="338">
          <cell r="D338">
            <v>24711146</v>
          </cell>
          <cell r="F338" t="str">
            <v>TDS Deducted – Clients FY 2014-15</v>
          </cell>
          <cell r="I338">
            <v>139848</v>
          </cell>
        </row>
        <row r="339">
          <cell r="D339" t="str">
            <v>TAXPROV</v>
          </cell>
          <cell r="I339">
            <v>0</v>
          </cell>
        </row>
        <row r="341">
          <cell r="D341" t="str">
            <v>Wealth Tax</v>
          </cell>
        </row>
        <row r="342">
          <cell r="D342">
            <v>13113991</v>
          </cell>
          <cell r="E342" t="str">
            <v>GPWTAX</v>
          </cell>
          <cell r="F342" t="str">
            <v>Provision For Wealth Tax</v>
          </cell>
          <cell r="I342">
            <v>-148346</v>
          </cell>
        </row>
        <row r="345">
          <cell r="F345" t="str">
            <v>Short-Term Borrowings</v>
          </cell>
        </row>
        <row r="346">
          <cell r="F346" t="str">
            <v>Bank Overdraft</v>
          </cell>
        </row>
        <row r="347">
          <cell r="D347">
            <v>23520150</v>
          </cell>
          <cell r="E347" t="str">
            <v>GA00B608</v>
          </cell>
          <cell r="F347" t="str">
            <v>HDFC Bank Ltd. Ltd. A/c No. 00030340037616</v>
          </cell>
          <cell r="I347">
            <v>24939.94</v>
          </cell>
        </row>
        <row r="348">
          <cell r="D348">
            <v>23502930</v>
          </cell>
          <cell r="E348" t="str">
            <v>GA00B75</v>
          </cell>
          <cell r="F348" t="str">
            <v>Hdfc (Wdm00030340000667)</v>
          </cell>
          <cell r="I348">
            <v>10136547.1</v>
          </cell>
        </row>
        <row r="352">
          <cell r="F352" t="str">
            <v>Working Capital Loan</v>
          </cell>
        </row>
        <row r="353">
          <cell r="F353" t="str">
            <v>ARCK Sheet</v>
          </cell>
        </row>
        <row r="355">
          <cell r="F355" t="str">
            <v>Commercial Paper</v>
          </cell>
        </row>
        <row r="356">
          <cell r="D356">
            <v>12211009</v>
          </cell>
          <cell r="F356" t="str">
            <v>Commercial Paper-Taurus Mutual Fund</v>
          </cell>
          <cell r="I356">
            <v>-750000000</v>
          </cell>
        </row>
        <row r="357">
          <cell r="D357">
            <v>12211007</v>
          </cell>
          <cell r="F357" t="str">
            <v>Commercial Paper - Reliance</v>
          </cell>
          <cell r="I357">
            <v>-500000000</v>
          </cell>
        </row>
        <row r="358">
          <cell r="D358">
            <v>12211014</v>
          </cell>
          <cell r="F358" t="str">
            <v>Commercial Paper - Religare</v>
          </cell>
          <cell r="I358">
            <v>-700000000</v>
          </cell>
        </row>
        <row r="359">
          <cell r="D359">
            <v>12211010</v>
          </cell>
          <cell r="F359" t="str">
            <v>Commercial Paper - Peerless Mutual Fund</v>
          </cell>
          <cell r="I359">
            <v>0</v>
          </cell>
        </row>
        <row r="362">
          <cell r="D362">
            <v>12240019</v>
          </cell>
          <cell r="F362" t="str">
            <v>NCD-BIRLA MU FUND</v>
          </cell>
          <cell r="G362" t="str">
            <v>Short - term Borrowings</v>
          </cell>
          <cell r="H362" t="str">
            <v>Non Convertible Debenture</v>
          </cell>
          <cell r="I362">
            <v>0</v>
          </cell>
        </row>
        <row r="364">
          <cell r="F364" t="str">
            <v>ARCK Sheet - Inter Corporate Deposits</v>
          </cell>
          <cell r="G364" t="str">
            <v>Short - term Borrowings</v>
          </cell>
          <cell r="H364" t="str">
            <v>Inter Corporate Deposits</v>
          </cell>
        </row>
        <row r="366">
          <cell r="F366" t="str">
            <v>ARCK Sheet - Long Term Liabl</v>
          </cell>
        </row>
        <row r="368">
          <cell r="F368" t="str">
            <v>Trade Payables</v>
          </cell>
        </row>
        <row r="369">
          <cell r="F369" t="str">
            <v>ARCK Sheet</v>
          </cell>
          <cell r="G369" t="str">
            <v>Trade Payables</v>
          </cell>
          <cell r="H369" t="str">
            <v>Other Trade Payables</v>
          </cell>
        </row>
        <row r="371">
          <cell r="F371" t="str">
            <v>Brokerage/DP  income received in advance</v>
          </cell>
        </row>
        <row r="372">
          <cell r="D372">
            <v>13114411</v>
          </cell>
          <cell r="E372" t="str">
            <v>GADVCDP</v>
          </cell>
          <cell r="F372" t="str">
            <v>Advance  from Customers - DP</v>
          </cell>
          <cell r="G372" t="str">
            <v>Clients</v>
          </cell>
          <cell r="H372" t="str">
            <v>Margin from Customers</v>
          </cell>
          <cell r="I372">
            <v>-51717587</v>
          </cell>
        </row>
        <row r="373">
          <cell r="D373">
            <v>13113799</v>
          </cell>
          <cell r="E373" t="str">
            <v>GADVC</v>
          </cell>
          <cell r="F373" t="str">
            <v>Advance  from Customers</v>
          </cell>
          <cell r="G373" t="str">
            <v>Trade Payables</v>
          </cell>
          <cell r="H373" t="str">
            <v>Margin from Customers</v>
          </cell>
          <cell r="I373">
            <v>-986954</v>
          </cell>
        </row>
        <row r="375">
          <cell r="F375" t="str">
            <v>Clients</v>
          </cell>
        </row>
        <row r="376">
          <cell r="D376">
            <v>90000192</v>
          </cell>
          <cell r="E376" t="str">
            <v>GA05050</v>
          </cell>
          <cell r="F376" t="str">
            <v>Sundry Debtors A/C</v>
          </cell>
          <cell r="G376" t="str">
            <v>Clients</v>
          </cell>
          <cell r="I376">
            <v>-590159521.37</v>
          </cell>
        </row>
        <row r="377">
          <cell r="D377">
            <v>90000793</v>
          </cell>
          <cell r="E377">
            <v>90000793</v>
          </cell>
          <cell r="F377" t="str">
            <v>Sundry Debtors A/C - Mutual Fund Brokerage</v>
          </cell>
          <cell r="G377" t="str">
            <v>Clients</v>
          </cell>
          <cell r="I377">
            <v>21165.27</v>
          </cell>
        </row>
        <row r="378">
          <cell r="D378">
            <v>90000034</v>
          </cell>
          <cell r="E378">
            <v>90000034</v>
          </cell>
          <cell r="F378" t="str">
            <v>Sundry Debtors A/C.Customers Inter Company</v>
          </cell>
          <cell r="G378" t="str">
            <v>Clients</v>
          </cell>
          <cell r="I378">
            <v>1989675</v>
          </cell>
        </row>
        <row r="379">
          <cell r="D379">
            <v>13113802</v>
          </cell>
          <cell r="E379" t="str">
            <v>GA0383</v>
          </cell>
          <cell r="F379" t="str">
            <v>Deposit Received From Clients</v>
          </cell>
          <cell r="G379" t="str">
            <v>Clients</v>
          </cell>
          <cell r="I379">
            <v>0</v>
          </cell>
        </row>
        <row r="380">
          <cell r="D380">
            <v>14890825</v>
          </cell>
          <cell r="E380">
            <v>14890825</v>
          </cell>
          <cell r="F380" t="str">
            <v>Interest Payable - Custodial FD</v>
          </cell>
          <cell r="G380" t="str">
            <v>Clients</v>
          </cell>
          <cell r="I380">
            <v>0</v>
          </cell>
        </row>
        <row r="381">
          <cell r="D381">
            <v>14890858</v>
          </cell>
          <cell r="E381">
            <v>14890858</v>
          </cell>
          <cell r="F381" t="str">
            <v>MANOHARMMA HOTEL INVEST PVT LTD DIVIDEND SUNTV</v>
          </cell>
          <cell r="G381" t="str">
            <v>Clients</v>
          </cell>
          <cell r="I381">
            <v>-59108</v>
          </cell>
        </row>
        <row r="382">
          <cell r="D382">
            <v>14890123</v>
          </cell>
          <cell r="E382" t="str">
            <v>GADCM</v>
          </cell>
          <cell r="F382" t="str">
            <v>Avinash Kumar</v>
          </cell>
          <cell r="G382" t="str">
            <v>Clients</v>
          </cell>
          <cell r="I382">
            <v>-50000</v>
          </cell>
        </row>
        <row r="383">
          <cell r="D383">
            <v>14890124</v>
          </cell>
          <cell r="E383" t="str">
            <v>GADCM</v>
          </cell>
          <cell r="F383" t="str">
            <v>Gurmeet Singh Oberoi</v>
          </cell>
          <cell r="G383" t="str">
            <v>Clients</v>
          </cell>
          <cell r="I383">
            <v>-50000</v>
          </cell>
        </row>
        <row r="384">
          <cell r="D384">
            <v>14890127</v>
          </cell>
          <cell r="E384" t="str">
            <v>GADCM</v>
          </cell>
          <cell r="F384" t="str">
            <v>Mitul Ashwin Adhiya</v>
          </cell>
          <cell r="G384" t="str">
            <v>Clients</v>
          </cell>
          <cell r="I384">
            <v>-50000</v>
          </cell>
        </row>
        <row r="385">
          <cell r="D385">
            <v>14890148</v>
          </cell>
          <cell r="E385" t="str">
            <v>GL01MAR</v>
          </cell>
          <cell r="F385" t="str">
            <v>S K Singhal</v>
          </cell>
          <cell r="G385" t="str">
            <v>Clients</v>
          </cell>
          <cell r="I385">
            <v>-10000</v>
          </cell>
        </row>
        <row r="386">
          <cell r="D386">
            <v>14890149</v>
          </cell>
          <cell r="E386" t="str">
            <v>GL01MAR</v>
          </cell>
          <cell r="F386" t="str">
            <v>Surinder Madhavan</v>
          </cell>
          <cell r="G386" t="str">
            <v>Clients</v>
          </cell>
          <cell r="I386">
            <v>-1000</v>
          </cell>
        </row>
        <row r="387">
          <cell r="D387">
            <v>24700005</v>
          </cell>
          <cell r="E387" t="str">
            <v>GI01001</v>
          </cell>
          <cell r="F387" t="str">
            <v>Brokerage Charges Receivable</v>
          </cell>
          <cell r="G387" t="str">
            <v>Clients</v>
          </cell>
          <cell r="I387">
            <v>4389297.18</v>
          </cell>
        </row>
        <row r="388">
          <cell r="D388">
            <v>90000003</v>
          </cell>
          <cell r="E388" t="str">
            <v>GA05090</v>
          </cell>
          <cell r="F388" t="str">
            <v>Balancing Account</v>
          </cell>
          <cell r="G388" t="str">
            <v>Clients</v>
          </cell>
          <cell r="I388">
            <v>-0.24</v>
          </cell>
        </row>
        <row r="389">
          <cell r="D389">
            <v>90000004</v>
          </cell>
          <cell r="E389" t="str">
            <v>GL10130</v>
          </cell>
          <cell r="F389" t="str">
            <v>Account To Be Open</v>
          </cell>
          <cell r="G389" t="str">
            <v>Clients</v>
          </cell>
          <cell r="I389">
            <v>0</v>
          </cell>
        </row>
        <row r="390">
          <cell r="D390">
            <v>90000005</v>
          </cell>
          <cell r="E390" t="str">
            <v>GA0B1</v>
          </cell>
          <cell r="F390" t="str">
            <v>Cleared Ch. In Hdfc Bank</v>
          </cell>
          <cell r="G390" t="str">
            <v>Clients</v>
          </cell>
          <cell r="I390">
            <v>-643856.61</v>
          </cell>
        </row>
        <row r="391">
          <cell r="D391">
            <v>90000011</v>
          </cell>
          <cell r="E391" t="str">
            <v>GA05050</v>
          </cell>
          <cell r="F391" t="str">
            <v>Sundry Debtors A/C.Customers Direct</v>
          </cell>
          <cell r="G391" t="str">
            <v>Clients</v>
          </cell>
          <cell r="I391">
            <v>-524.01</v>
          </cell>
        </row>
        <row r="392">
          <cell r="D392">
            <v>90000058</v>
          </cell>
          <cell r="E392" t="str">
            <v>GL1028</v>
          </cell>
          <cell r="F392" t="str">
            <v>BANK OF BARODA CAPITALMARKETS(WDM)</v>
          </cell>
          <cell r="G392" t="str">
            <v>Clients</v>
          </cell>
          <cell r="I392">
            <v>-5250</v>
          </cell>
        </row>
        <row r="393">
          <cell r="D393">
            <v>90000063</v>
          </cell>
          <cell r="E393" t="str">
            <v>GL1028</v>
          </cell>
          <cell r="F393" t="str">
            <v>BHARAT CO-OP BANK LTD. (WDM)</v>
          </cell>
          <cell r="G393" t="str">
            <v>Clients</v>
          </cell>
          <cell r="I393">
            <v>-3200</v>
          </cell>
        </row>
        <row r="394">
          <cell r="D394">
            <v>90000066</v>
          </cell>
          <cell r="E394" t="str">
            <v>GL1028</v>
          </cell>
          <cell r="F394" t="str">
            <v>CANARA BANK(WDM)</v>
          </cell>
          <cell r="G394" t="str">
            <v>Clients</v>
          </cell>
          <cell r="I394">
            <v>-6000</v>
          </cell>
        </row>
        <row r="395">
          <cell r="D395">
            <v>90000072</v>
          </cell>
          <cell r="E395" t="str">
            <v>GL1028</v>
          </cell>
          <cell r="F395" t="str">
            <v>FEDERAL BANK(WDM)</v>
          </cell>
          <cell r="G395" t="str">
            <v>Clients</v>
          </cell>
          <cell r="I395">
            <v>-1750</v>
          </cell>
        </row>
        <row r="396">
          <cell r="D396">
            <v>90000074</v>
          </cell>
          <cell r="E396" t="str">
            <v>GL1028</v>
          </cell>
          <cell r="F396" t="str">
            <v>ICHALKARANJI JANTA SAHAKARI BANK(WDM)</v>
          </cell>
          <cell r="G396" t="str">
            <v>Clients</v>
          </cell>
          <cell r="I396">
            <v>-491</v>
          </cell>
        </row>
        <row r="397">
          <cell r="D397">
            <v>90000082</v>
          </cell>
          <cell r="E397" t="str">
            <v>GL1028</v>
          </cell>
          <cell r="F397" t="str">
            <v>JANTA SAHAKARI BANK(WDM)</v>
          </cell>
          <cell r="G397" t="str">
            <v>Clients</v>
          </cell>
          <cell r="I397">
            <v>-7000</v>
          </cell>
        </row>
        <row r="398">
          <cell r="D398">
            <v>90000088</v>
          </cell>
          <cell r="E398" t="str">
            <v>GL1028</v>
          </cell>
          <cell r="F398" t="str">
            <v>NAGPUR NAGRIK SAHAKARI B</v>
          </cell>
          <cell r="G398" t="str">
            <v>Clients</v>
          </cell>
          <cell r="I398">
            <v>-7264</v>
          </cell>
        </row>
        <row r="399">
          <cell r="D399">
            <v>90000092</v>
          </cell>
          <cell r="E399" t="str">
            <v>GL1028</v>
          </cell>
          <cell r="F399" t="str">
            <v>ORIENTAL BANK OF COMM. (WDM)</v>
          </cell>
          <cell r="G399" t="str">
            <v>Clients</v>
          </cell>
          <cell r="I399">
            <v>-19500</v>
          </cell>
        </row>
        <row r="400">
          <cell r="D400">
            <v>90000099</v>
          </cell>
          <cell r="E400" t="str">
            <v>GL1028</v>
          </cell>
          <cell r="F400" t="str">
            <v>SBI MUTUAL FUND (WDM)</v>
          </cell>
          <cell r="G400" t="str">
            <v>Clients</v>
          </cell>
          <cell r="I400">
            <v>-3500</v>
          </cell>
        </row>
        <row r="401">
          <cell r="D401">
            <v>90000104</v>
          </cell>
          <cell r="E401" t="str">
            <v>GL1028</v>
          </cell>
          <cell r="F401" t="str">
            <v>STATE BANK OF INDIA (WDM)</v>
          </cell>
          <cell r="G401" t="str">
            <v>Clients</v>
          </cell>
          <cell r="I401">
            <v>-11500</v>
          </cell>
        </row>
        <row r="402">
          <cell r="D402">
            <v>90000106</v>
          </cell>
          <cell r="E402" t="str">
            <v>GL1028</v>
          </cell>
          <cell r="F402" t="str">
            <v>STATE BANK OF SHAURASHTR</v>
          </cell>
          <cell r="G402" t="str">
            <v>Clients</v>
          </cell>
          <cell r="I402">
            <v>-500</v>
          </cell>
        </row>
        <row r="403">
          <cell r="D403">
            <v>90000109</v>
          </cell>
          <cell r="E403" t="str">
            <v>GL1028</v>
          </cell>
          <cell r="F403" t="str">
            <v>THE SANGLI BANK (WDM)</v>
          </cell>
          <cell r="G403" t="str">
            <v>Clients</v>
          </cell>
          <cell r="I403">
            <v>-3500</v>
          </cell>
        </row>
        <row r="404">
          <cell r="D404">
            <v>90000111</v>
          </cell>
          <cell r="E404" t="str">
            <v>GL1028</v>
          </cell>
          <cell r="F404" t="str">
            <v>UCO BANK</v>
          </cell>
          <cell r="G404" t="str">
            <v>Clients</v>
          </cell>
          <cell r="I404">
            <v>-2250</v>
          </cell>
        </row>
        <row r="405">
          <cell r="D405">
            <v>90000183</v>
          </cell>
          <cell r="E405" t="str">
            <v>GA05050</v>
          </cell>
          <cell r="F405" t="str">
            <v>Bombay Stock Exchange Limited</v>
          </cell>
          <cell r="G405" t="str">
            <v>Clients</v>
          </cell>
          <cell r="I405">
            <v>103186.87</v>
          </cell>
        </row>
        <row r="406">
          <cell r="D406">
            <v>90000184</v>
          </cell>
          <cell r="E406" t="str">
            <v>GA05050</v>
          </cell>
          <cell r="F406" t="str">
            <v>Bombay Stock Exchange Limited - STT A/C</v>
          </cell>
          <cell r="G406" t="str">
            <v>Clients</v>
          </cell>
          <cell r="I406">
            <v>-1248.73</v>
          </cell>
        </row>
        <row r="407">
          <cell r="D407">
            <v>90000186</v>
          </cell>
          <cell r="E407" t="str">
            <v>GA05050</v>
          </cell>
          <cell r="F407" t="str">
            <v>National Stock Exchange</v>
          </cell>
          <cell r="G407" t="str">
            <v>Clients</v>
          </cell>
          <cell r="I407">
            <v>-1474306.53</v>
          </cell>
        </row>
        <row r="408">
          <cell r="D408">
            <v>90000187</v>
          </cell>
          <cell r="E408" t="str">
            <v>GA05050</v>
          </cell>
          <cell r="F408" t="str">
            <v>National Stock Exchange - STT A/C</v>
          </cell>
          <cell r="G408" t="str">
            <v>Clients</v>
          </cell>
          <cell r="I408">
            <v>1462266.76</v>
          </cell>
        </row>
        <row r="409">
          <cell r="D409">
            <v>90000188</v>
          </cell>
          <cell r="E409" t="str">
            <v>GA05050</v>
          </cell>
          <cell r="F409" t="str">
            <v>National Stock Exchange - Short Sale A/c</v>
          </cell>
          <cell r="G409" t="str">
            <v>Clients</v>
          </cell>
          <cell r="I409">
            <v>54.05</v>
          </cell>
        </row>
        <row r="410">
          <cell r="D410">
            <v>90000189</v>
          </cell>
          <cell r="E410" t="str">
            <v>GA05050</v>
          </cell>
          <cell r="F410" t="str">
            <v>Bombay Stock Exchange Limited - Auction A/C</v>
          </cell>
          <cell r="G410" t="str">
            <v>Clients</v>
          </cell>
          <cell r="I410">
            <v>10637.8</v>
          </cell>
        </row>
        <row r="411">
          <cell r="D411">
            <v>90000200</v>
          </cell>
          <cell r="E411" t="str">
            <v>GL1028</v>
          </cell>
          <cell r="F411" t="str">
            <v>AHMEDNAGAR SAHAR SAHAKARI BANK (WDM)</v>
          </cell>
          <cell r="G411" t="str">
            <v>Clients</v>
          </cell>
          <cell r="I411">
            <v>-2000</v>
          </cell>
        </row>
        <row r="412">
          <cell r="D412">
            <v>90000215</v>
          </cell>
          <cell r="E412">
            <v>90000215</v>
          </cell>
          <cell r="F412" t="str">
            <v>Sundry Debtors-Customers IPO</v>
          </cell>
          <cell r="G412" t="str">
            <v>Clients</v>
          </cell>
          <cell r="I412">
            <v>0</v>
          </cell>
        </row>
        <row r="413">
          <cell r="D413">
            <v>90000309</v>
          </cell>
          <cell r="E413">
            <v>90000309</v>
          </cell>
          <cell r="F413" t="str">
            <v>Sundry Debtrors -Customers (Others)</v>
          </cell>
          <cell r="G413" t="str">
            <v>Clients</v>
          </cell>
          <cell r="I413">
            <v>-3655</v>
          </cell>
        </row>
        <row r="414">
          <cell r="D414">
            <v>90000335</v>
          </cell>
          <cell r="E414" t="str">
            <v>GL1028</v>
          </cell>
          <cell r="F414" t="str">
            <v>ALLAHABAD BANK (WDM)</v>
          </cell>
          <cell r="G414" t="str">
            <v>Clients</v>
          </cell>
          <cell r="I414">
            <v>-8500</v>
          </cell>
        </row>
        <row r="415">
          <cell r="D415">
            <v>90000480</v>
          </cell>
          <cell r="E415" t="str">
            <v>GL1028</v>
          </cell>
          <cell r="F415" t="str">
            <v>Bank of Rajasthan (wdm)</v>
          </cell>
          <cell r="G415" t="str">
            <v>Clients</v>
          </cell>
          <cell r="I415">
            <v>-2000</v>
          </cell>
        </row>
        <row r="416">
          <cell r="D416">
            <v>90000622</v>
          </cell>
          <cell r="E416">
            <v>90000622</v>
          </cell>
          <cell r="F416" t="str">
            <v>Sundry Debitors-Customer IPO Commission</v>
          </cell>
          <cell r="G416" t="str">
            <v>Clients</v>
          </cell>
          <cell r="I416">
            <v>217.34</v>
          </cell>
        </row>
        <row r="418">
          <cell r="D418">
            <v>13114004</v>
          </cell>
          <cell r="E418" t="str">
            <v>GL01DIV</v>
          </cell>
          <cell r="F418" t="str">
            <v>Dividend Clients Payable</v>
          </cell>
          <cell r="G418" t="str">
            <v>Clients</v>
          </cell>
          <cell r="I418">
            <v>0</v>
          </cell>
        </row>
        <row r="419">
          <cell r="D419">
            <v>14890953</v>
          </cell>
          <cell r="E419" t="str">
            <v>GLFRACTION</v>
          </cell>
          <cell r="F419" t="str">
            <v>CA FRACTION (CLIENT)</v>
          </cell>
          <cell r="G419" t="str">
            <v>Clients</v>
          </cell>
          <cell r="I419">
            <v>0</v>
          </cell>
        </row>
        <row r="420">
          <cell r="D420">
            <v>14890746</v>
          </cell>
          <cell r="F420" t="str">
            <v>RIGHTS ISSUE</v>
          </cell>
          <cell r="G420" t="str">
            <v>Clients</v>
          </cell>
          <cell r="I420">
            <v>0</v>
          </cell>
        </row>
        <row r="421">
          <cell r="F421" t="str">
            <v>DP Debtors</v>
          </cell>
          <cell r="G421" t="str">
            <v>Clients</v>
          </cell>
        </row>
        <row r="422">
          <cell r="F422" t="str">
            <v>DP Advances</v>
          </cell>
          <cell r="G422" t="str">
            <v>Clients</v>
          </cell>
        </row>
        <row r="423">
          <cell r="F423" t="str">
            <v>MT Debtors</v>
          </cell>
          <cell r="G423" t="str">
            <v>Clients</v>
          </cell>
        </row>
        <row r="424">
          <cell r="F424" t="str">
            <v>Debtors</v>
          </cell>
          <cell r="G424" t="str">
            <v>Clients</v>
          </cell>
        </row>
        <row r="426">
          <cell r="F426" t="str">
            <v>MT Debtors</v>
          </cell>
        </row>
        <row r="427">
          <cell r="F427" t="str">
            <v>Margin Recd</v>
          </cell>
        </row>
        <row r="429">
          <cell r="F429" t="str">
            <v>Debtors Exceeding 6 months</v>
          </cell>
        </row>
        <row r="430">
          <cell r="D430">
            <v>14890013</v>
          </cell>
          <cell r="E430" t="str">
            <v>GL01018</v>
          </cell>
          <cell r="F430" t="str">
            <v>Provision For Doubtful Debts</v>
          </cell>
          <cell r="I430">
            <v>-43067907.210000001</v>
          </cell>
        </row>
        <row r="432">
          <cell r="F432" t="str">
            <v>Trade Receivables - Others</v>
          </cell>
        </row>
        <row r="433">
          <cell r="F433" t="str">
            <v>Debtors less than not more than 6 months</v>
          </cell>
        </row>
        <row r="436">
          <cell r="F436" t="str">
            <v>Unclaimed Dividend</v>
          </cell>
        </row>
        <row r="437">
          <cell r="D437">
            <v>14890378</v>
          </cell>
          <cell r="F437" t="str">
            <v>Unpaid Equity Dividend Account 2007-08</v>
          </cell>
          <cell r="I437">
            <v>-4161945.5</v>
          </cell>
        </row>
        <row r="438">
          <cell r="D438">
            <v>14890687</v>
          </cell>
          <cell r="F438" t="str">
            <v>ISL Unpaid Equity Dividend Account 2008-09</v>
          </cell>
          <cell r="I438">
            <v>-2001638</v>
          </cell>
        </row>
        <row r="439">
          <cell r="D439">
            <v>14890730</v>
          </cell>
          <cell r="F439" t="str">
            <v>ISL Unpaid Equity Dividend Account 2009-10</v>
          </cell>
          <cell r="I439">
            <v>-2451078</v>
          </cell>
        </row>
        <row r="440">
          <cell r="D440">
            <v>14890751</v>
          </cell>
          <cell r="F440" t="str">
            <v>Unpaid Interim Dividend a/c 10-11</v>
          </cell>
          <cell r="I440">
            <v>-1870339</v>
          </cell>
        </row>
        <row r="441">
          <cell r="D441">
            <v>14890937</v>
          </cell>
          <cell r="F441" t="str">
            <v>Unpaid Interim Dividend a/c 12-13 -III</v>
          </cell>
          <cell r="I441">
            <v>-2029765</v>
          </cell>
        </row>
        <row r="442">
          <cell r="D442">
            <v>14890916</v>
          </cell>
          <cell r="F442" t="str">
            <v>Unpaid Interim Dividend a/c 12-13 -II</v>
          </cell>
          <cell r="I442">
            <v>-2307369</v>
          </cell>
        </row>
        <row r="443">
          <cell r="D443">
            <v>14890951</v>
          </cell>
          <cell r="F443" t="str">
            <v>Unpaid Interim Dividend a/c 2013-14</v>
          </cell>
          <cell r="I443">
            <v>-1699418</v>
          </cell>
        </row>
        <row r="444">
          <cell r="D444">
            <v>14890957</v>
          </cell>
          <cell r="F444" t="str">
            <v>Unpaid Interim Dividend a/c 2013-14 -II</v>
          </cell>
          <cell r="I444">
            <v>-1882427</v>
          </cell>
        </row>
        <row r="445">
          <cell r="D445">
            <v>14890961</v>
          </cell>
          <cell r="F445" t="str">
            <v>Unpaid Interim Dividend a/c 2013-14 -III</v>
          </cell>
          <cell r="I445">
            <v>-1813244</v>
          </cell>
        </row>
        <row r="446">
          <cell r="D446">
            <v>14890967</v>
          </cell>
          <cell r="F446" t="str">
            <v>Unpaid Interim Dividend a/c 2013-14 –IV</v>
          </cell>
          <cell r="I446">
            <v>-1615104</v>
          </cell>
        </row>
        <row r="447">
          <cell r="D447">
            <v>14890979</v>
          </cell>
          <cell r="F447" t="str">
            <v>Unpaid Interim Dividend a/c FY 2014-15</v>
          </cell>
          <cell r="I447">
            <v>-260776036</v>
          </cell>
        </row>
        <row r="448">
          <cell r="D448">
            <v>14890909</v>
          </cell>
          <cell r="F448" t="str">
            <v>Unpaid Interim Dividend a/c FY 2012-13</v>
          </cell>
          <cell r="I448">
            <v>-2555448</v>
          </cell>
        </row>
        <row r="449">
          <cell r="F449" t="str">
            <v>Interest accrued and due on Working Capital Loan</v>
          </cell>
        </row>
        <row r="450">
          <cell r="D450">
            <v>13113951</v>
          </cell>
          <cell r="F450" t="str">
            <v>Interest Payable Hdfc</v>
          </cell>
          <cell r="I450">
            <v>0</v>
          </cell>
        </row>
        <row r="452">
          <cell r="F452" t="str">
            <v>Temporary Overdrawn bank balances as per books</v>
          </cell>
        </row>
        <row r="453">
          <cell r="F453" t="str">
            <v>Temporary Overdrawn bank balances as per books</v>
          </cell>
        </row>
        <row r="455">
          <cell r="F455" t="str">
            <v xml:space="preserve">Other Liabilities </v>
          </cell>
        </row>
        <row r="457">
          <cell r="F457" t="str">
            <v>Others</v>
          </cell>
        </row>
        <row r="458">
          <cell r="F458" t="str">
            <v>ARCK Sheet</v>
          </cell>
        </row>
        <row r="460">
          <cell r="F460" t="str">
            <v>Diff. Focus &amp; SAP</v>
          </cell>
        </row>
        <row r="461">
          <cell r="D461">
            <v>14890955</v>
          </cell>
          <cell r="I461">
            <v>0</v>
          </cell>
        </row>
        <row r="462">
          <cell r="F462" t="str">
            <v>Erroneous</v>
          </cell>
        </row>
        <row r="464">
          <cell r="F464" t="str">
            <v>Long Term - Trade - Unquoted</v>
          </cell>
        </row>
        <row r="465">
          <cell r="D465">
            <v>22001002</v>
          </cell>
          <cell r="E465" t="str">
            <v>GINVE</v>
          </cell>
          <cell r="F465" t="str">
            <v>Investment In Bse</v>
          </cell>
          <cell r="I465">
            <v>10000</v>
          </cell>
        </row>
        <row r="466">
          <cell r="D466">
            <v>22011131</v>
          </cell>
          <cell r="F466" t="str">
            <v>Investment in Subsidiary</v>
          </cell>
          <cell r="I466">
            <v>62500000</v>
          </cell>
        </row>
        <row r="467">
          <cell r="D467">
            <v>14400000</v>
          </cell>
          <cell r="F467" t="str">
            <v>Prov-dimunition in value-long term investm</v>
          </cell>
          <cell r="I467">
            <v>-500000</v>
          </cell>
        </row>
        <row r="468">
          <cell r="D468">
            <v>22010158</v>
          </cell>
          <cell r="E468" t="str">
            <v>GICPL</v>
          </cell>
          <cell r="F468" t="str">
            <v>Investment in Copal Partners Limited</v>
          </cell>
          <cell r="I468">
            <v>125332487.87</v>
          </cell>
        </row>
        <row r="469">
          <cell r="D469">
            <v>22401017</v>
          </cell>
          <cell r="F469" t="str">
            <v>Investment in RELIANCE Mutual Fund</v>
          </cell>
          <cell r="I469">
            <v>0</v>
          </cell>
        </row>
        <row r="470">
          <cell r="D470">
            <v>22401079</v>
          </cell>
          <cell r="F470" t="str">
            <v>Investment in Indiabulls Mutual Fund</v>
          </cell>
          <cell r="I470">
            <v>0</v>
          </cell>
        </row>
        <row r="471">
          <cell r="D471">
            <v>22401030</v>
          </cell>
          <cell r="F471" t="str">
            <v>Investment In HDFC Mutual Fund</v>
          </cell>
          <cell r="I471">
            <v>0</v>
          </cell>
        </row>
        <row r="474">
          <cell r="D474">
            <v>22001003</v>
          </cell>
          <cell r="E474" t="str">
            <v>GTRADE</v>
          </cell>
          <cell r="F474" t="str">
            <v>Trading Account</v>
          </cell>
          <cell r="I474">
            <v>0</v>
          </cell>
        </row>
        <row r="476">
          <cell r="D476">
            <v>21100000</v>
          </cell>
          <cell r="F476" t="str">
            <v>Asset under construction</v>
          </cell>
          <cell r="I476">
            <v>0</v>
          </cell>
        </row>
        <row r="477">
          <cell r="D477">
            <v>14890807</v>
          </cell>
          <cell r="F477" t="str">
            <v>Provision for Doubtful Capital Advances Provided f</v>
          </cell>
          <cell r="I477">
            <v>0</v>
          </cell>
        </row>
        <row r="479">
          <cell r="F479" t="str">
            <v>Deposit with Stock Exchange</v>
          </cell>
        </row>
        <row r="481">
          <cell r="F481" t="str">
            <v>BSE</v>
          </cell>
        </row>
        <row r="482">
          <cell r="D482">
            <v>24700013</v>
          </cell>
          <cell r="E482" t="str">
            <v>GBDEP</v>
          </cell>
          <cell r="F482" t="str">
            <v>Security Deposit With Bse</v>
          </cell>
          <cell r="I482">
            <v>500000</v>
          </cell>
        </row>
        <row r="483">
          <cell r="D483">
            <v>24710159</v>
          </cell>
          <cell r="E483" t="str">
            <v>GBCDEP</v>
          </cell>
          <cell r="F483" t="str">
            <v>BSE COLLATERAL DEPOSIT (BASE CAPITAL)</v>
          </cell>
          <cell r="I483">
            <v>1000000</v>
          </cell>
        </row>
        <row r="484">
          <cell r="D484">
            <v>24700112</v>
          </cell>
          <cell r="F484" t="str">
            <v>Security Deposit with BSE for SLBS Registration</v>
          </cell>
          <cell r="I484">
            <v>1000000</v>
          </cell>
        </row>
        <row r="485">
          <cell r="D485">
            <v>24710158</v>
          </cell>
          <cell r="E485" t="str">
            <v>GBCTGF</v>
          </cell>
          <cell r="F485" t="str">
            <v>BSE COLLATERAL -TRADE GUARANTEE FEE</v>
          </cell>
          <cell r="I485">
            <v>1000000</v>
          </cell>
        </row>
        <row r="486">
          <cell r="D486">
            <v>24710171</v>
          </cell>
          <cell r="E486" t="str">
            <v>GBSVD</v>
          </cell>
          <cell r="F486" t="str">
            <v>VSAT DEPOSIT (BSE)</v>
          </cell>
          <cell r="I486">
            <v>0</v>
          </cell>
        </row>
        <row r="487">
          <cell r="D487">
            <v>24710801</v>
          </cell>
          <cell r="E487" t="str">
            <v>GL01220</v>
          </cell>
          <cell r="F487" t="str">
            <v>Additional Margin with BSE</v>
          </cell>
          <cell r="I487">
            <v>500000</v>
          </cell>
        </row>
        <row r="489">
          <cell r="F489" t="str">
            <v>NSE</v>
          </cell>
        </row>
        <row r="490">
          <cell r="D490">
            <v>90000498</v>
          </cell>
          <cell r="F490" t="str">
            <v>Deposits of Trading Membership Currency Derivative</v>
          </cell>
          <cell r="I490">
            <v>1000000</v>
          </cell>
        </row>
        <row r="491">
          <cell r="D491">
            <v>24711026</v>
          </cell>
          <cell r="F491" t="str">
            <v>IFSD - Leased LINE (NSE)</v>
          </cell>
          <cell r="I491">
            <v>1600000</v>
          </cell>
        </row>
        <row r="492">
          <cell r="D492">
            <v>24710166</v>
          </cell>
          <cell r="E492" t="str">
            <v>GA0120</v>
          </cell>
          <cell r="F492" t="str">
            <v>SECURITY FOR FUTURE SEGME</v>
          </cell>
          <cell r="I492">
            <v>600000</v>
          </cell>
        </row>
        <row r="493">
          <cell r="D493">
            <v>24710161</v>
          </cell>
          <cell r="E493" t="str">
            <v>GA0072</v>
          </cell>
          <cell r="F493" t="str">
            <v>NSE FUTURES SEGMENT MARGI</v>
          </cell>
          <cell r="I493">
            <v>200000</v>
          </cell>
        </row>
        <row r="494">
          <cell r="D494">
            <v>24710160</v>
          </cell>
          <cell r="E494" t="str">
            <v>GA0035</v>
          </cell>
          <cell r="F494" t="str">
            <v>NSE DEPOSITS</v>
          </cell>
          <cell r="I494">
            <v>6600000</v>
          </cell>
        </row>
        <row r="495">
          <cell r="D495">
            <v>24710170</v>
          </cell>
          <cell r="E495" t="str">
            <v>GE0039</v>
          </cell>
          <cell r="F495" t="str">
            <v>Security Deposit -VSAT</v>
          </cell>
          <cell r="I495">
            <v>0</v>
          </cell>
        </row>
        <row r="496">
          <cell r="D496">
            <v>24710162</v>
          </cell>
          <cell r="E496" t="str">
            <v>GA0304</v>
          </cell>
          <cell r="F496" t="str">
            <v>NSE SECURITY FOR WHOLESAL</v>
          </cell>
          <cell r="I496">
            <v>5000000</v>
          </cell>
        </row>
        <row r="497">
          <cell r="D497">
            <v>90000379</v>
          </cell>
          <cell r="E497" t="str">
            <v>GL01005</v>
          </cell>
          <cell r="F497" t="str">
            <v>NSE MARGIN A/C</v>
          </cell>
          <cell r="I497">
            <v>10000000</v>
          </cell>
        </row>
        <row r="498">
          <cell r="D498">
            <v>24711057</v>
          </cell>
          <cell r="F498" t="str">
            <v>NSE DEPOSITS -ARBITRATION</v>
          </cell>
          <cell r="I498">
            <v>612791</v>
          </cell>
        </row>
        <row r="499">
          <cell r="D499">
            <v>24711112</v>
          </cell>
          <cell r="F499" t="str">
            <v>NSE COLLATERAL DEPOSIT (BASE CAPITAL)</v>
          </cell>
          <cell r="I499">
            <v>2500000</v>
          </cell>
        </row>
        <row r="500">
          <cell r="D500">
            <v>90000509</v>
          </cell>
          <cell r="E500" t="str">
            <v>GNABCSLB</v>
          </cell>
          <cell r="F500" t="str">
            <v>ABC MARGIN - NSE (SLB)</v>
          </cell>
          <cell r="I500">
            <v>500000</v>
          </cell>
        </row>
        <row r="502">
          <cell r="F502" t="str">
            <v>NSCCL</v>
          </cell>
        </row>
        <row r="503">
          <cell r="D503">
            <v>24710921</v>
          </cell>
          <cell r="E503" t="str">
            <v>GDSLBS</v>
          </cell>
          <cell r="F503" t="str">
            <v>IFSD- SLB</v>
          </cell>
          <cell r="I503">
            <v>1000000</v>
          </cell>
        </row>
        <row r="504">
          <cell r="D504">
            <v>90000499</v>
          </cell>
          <cell r="F504" t="str">
            <v>IFSD- CDS</v>
          </cell>
          <cell r="I504">
            <v>2500000</v>
          </cell>
        </row>
        <row r="505">
          <cell r="D505">
            <v>24710163</v>
          </cell>
          <cell r="E505" t="str">
            <v>GL01006</v>
          </cell>
          <cell r="F505" t="str">
            <v>IFSD- RDM</v>
          </cell>
          <cell r="I505">
            <v>500000</v>
          </cell>
        </row>
        <row r="506">
          <cell r="D506">
            <v>24710167</v>
          </cell>
          <cell r="E506" t="str">
            <v>GSNSC</v>
          </cell>
          <cell r="F506" t="str">
            <v>IFSD- F&amp; O</v>
          </cell>
          <cell r="I506">
            <v>2500000</v>
          </cell>
        </row>
        <row r="507">
          <cell r="D507">
            <v>24710169</v>
          </cell>
          <cell r="E507" t="str">
            <v>GANSE</v>
          </cell>
          <cell r="F507" t="str">
            <v>IFSD- CM</v>
          </cell>
          <cell r="I507">
            <v>900000</v>
          </cell>
        </row>
        <row r="509">
          <cell r="F509" t="str">
            <v>Others</v>
          </cell>
        </row>
        <row r="510">
          <cell r="D510">
            <v>24710164</v>
          </cell>
          <cell r="E510" t="str">
            <v>GA0442</v>
          </cell>
          <cell r="F510" t="str">
            <v>SECURITY DEPOSIT WITH CDS</v>
          </cell>
          <cell r="I510">
            <v>250000</v>
          </cell>
        </row>
        <row r="511">
          <cell r="D511">
            <v>24710165</v>
          </cell>
          <cell r="E511" t="str">
            <v>GAMCX</v>
          </cell>
          <cell r="F511" t="str">
            <v>SECURITY DEPOSIT WITH MCX</v>
          </cell>
          <cell r="I511">
            <v>500000</v>
          </cell>
        </row>
        <row r="512">
          <cell r="D512">
            <v>24710168</v>
          </cell>
          <cell r="E512" t="str">
            <v>GANSDL</v>
          </cell>
          <cell r="F512" t="str">
            <v>SECURITY WITH NSDL</v>
          </cell>
          <cell r="I512">
            <v>1000000</v>
          </cell>
        </row>
        <row r="513">
          <cell r="D513">
            <v>24710723</v>
          </cell>
          <cell r="E513" t="str">
            <v>GSNCD</v>
          </cell>
          <cell r="F513" t="str">
            <v>EMPANALMENT OF DP WITH NCDEX</v>
          </cell>
          <cell r="I513">
            <v>500000</v>
          </cell>
        </row>
        <row r="514">
          <cell r="D514">
            <v>24711013</v>
          </cell>
          <cell r="F514" t="str">
            <v>SECURITY DEPOSIT WITH MCX - SX</v>
          </cell>
          <cell r="I514">
            <v>200000</v>
          </cell>
        </row>
        <row r="516">
          <cell r="F516" t="str">
            <v>Security Deposit</v>
          </cell>
        </row>
        <row r="517">
          <cell r="F517" t="str">
            <v>ARCK Sheet</v>
          </cell>
          <cell r="G517" t="str">
            <v>Other Non-Current Assets</v>
          </cell>
          <cell r="H517" t="str">
            <v>Security Deposits</v>
          </cell>
        </row>
        <row r="519">
          <cell r="D519">
            <v>14890383</v>
          </cell>
          <cell r="E519" t="str">
            <v>GL00116</v>
          </cell>
          <cell r="F519" t="str">
            <v>Prov For Doubtful Advance</v>
          </cell>
          <cell r="I519">
            <v>-1267137.3799999999</v>
          </cell>
        </row>
        <row r="521">
          <cell r="F521" t="str">
            <v>Other loans and advances</v>
          </cell>
        </row>
        <row r="522">
          <cell r="F522" t="str">
            <v>ARCK Sheet</v>
          </cell>
        </row>
        <row r="524">
          <cell r="D524">
            <v>14890384</v>
          </cell>
          <cell r="E524" t="str">
            <v>GA1112</v>
          </cell>
          <cell r="F524" t="str">
            <v>Deffered Tax-Liablities</v>
          </cell>
          <cell r="G524" t="str">
            <v>Deferred Tax Liability</v>
          </cell>
          <cell r="I524">
            <v>-4627868</v>
          </cell>
        </row>
        <row r="526">
          <cell r="F526" t="str">
            <v>Petty Cash</v>
          </cell>
        </row>
        <row r="527">
          <cell r="D527">
            <v>23520009</v>
          </cell>
          <cell r="E527" t="str">
            <v>GI067</v>
          </cell>
          <cell r="F527" t="str">
            <v xml:space="preserve"> Ahmedabad Offline Petty Cash</v>
          </cell>
          <cell r="I527">
            <v>0</v>
          </cell>
        </row>
        <row r="528">
          <cell r="D528">
            <v>23520020</v>
          </cell>
          <cell r="E528" t="str">
            <v>GI059</v>
          </cell>
          <cell r="F528" t="str">
            <v>Allahabad Offline Petty Cash</v>
          </cell>
          <cell r="I528">
            <v>0</v>
          </cell>
        </row>
        <row r="529">
          <cell r="D529">
            <v>23521159</v>
          </cell>
          <cell r="F529" t="str">
            <v>Pune Kasturba Marg Online Petty Cash</v>
          </cell>
          <cell r="I529">
            <v>0</v>
          </cell>
        </row>
        <row r="530">
          <cell r="D530">
            <v>23520029</v>
          </cell>
          <cell r="E530" t="str">
            <v>GI02</v>
          </cell>
          <cell r="F530" t="str">
            <v>Amritsar Offline Petty Cash</v>
          </cell>
          <cell r="I530">
            <v>0</v>
          </cell>
        </row>
        <row r="531">
          <cell r="D531">
            <v>23520262</v>
          </cell>
          <cell r="F531" t="str">
            <v>Lucknow Online Petty Cash</v>
          </cell>
          <cell r="I531">
            <v>0</v>
          </cell>
        </row>
        <row r="532">
          <cell r="D532">
            <v>23520047</v>
          </cell>
          <cell r="E532" t="str">
            <v>GI028</v>
          </cell>
          <cell r="F532" t="str">
            <v>Banglore M.G. Road Petty Cash</v>
          </cell>
          <cell r="I532">
            <v>0</v>
          </cell>
        </row>
        <row r="533">
          <cell r="D533">
            <v>23520052</v>
          </cell>
          <cell r="E533" t="str">
            <v>GI0260</v>
          </cell>
          <cell r="F533" t="str">
            <v>Baroda Online Petty Cash</v>
          </cell>
          <cell r="I533">
            <v>0</v>
          </cell>
        </row>
        <row r="534">
          <cell r="D534">
            <v>23520081</v>
          </cell>
          <cell r="E534" t="str">
            <v>GI040</v>
          </cell>
          <cell r="F534" t="str">
            <v>Calcutta Lee Road Petty Cash</v>
          </cell>
          <cell r="I534">
            <v>0</v>
          </cell>
        </row>
        <row r="535">
          <cell r="D535">
            <v>23520085</v>
          </cell>
          <cell r="E535" t="str">
            <v>GI0167</v>
          </cell>
          <cell r="F535" t="str">
            <v>Chandigarh Sector-35 Online Petty Cash</v>
          </cell>
          <cell r="I535">
            <v>0</v>
          </cell>
        </row>
        <row r="536">
          <cell r="D536">
            <v>23520096</v>
          </cell>
          <cell r="E536" t="str">
            <v>GI0125</v>
          </cell>
          <cell r="F536" t="str">
            <v>Chennai T Nagar Online Petty Cash</v>
          </cell>
          <cell r="I536">
            <v>0</v>
          </cell>
        </row>
        <row r="537">
          <cell r="D537">
            <v>23520098</v>
          </cell>
          <cell r="E537" t="str">
            <v>GA03001</v>
          </cell>
          <cell r="F537" t="str">
            <v>Chennai Offline Petty Cash</v>
          </cell>
          <cell r="I537">
            <v>0</v>
          </cell>
        </row>
        <row r="538">
          <cell r="D538">
            <v>23520106</v>
          </cell>
          <cell r="E538" t="str">
            <v>GI060</v>
          </cell>
          <cell r="F538" t="str">
            <v>Cochin Petty Cash</v>
          </cell>
          <cell r="I538">
            <v>0</v>
          </cell>
        </row>
        <row r="539">
          <cell r="D539">
            <v>23520108</v>
          </cell>
          <cell r="E539" t="str">
            <v>GI070</v>
          </cell>
          <cell r="F539" t="str">
            <v>Coimbatore Offline Petty Cash</v>
          </cell>
          <cell r="I539">
            <v>0</v>
          </cell>
        </row>
        <row r="540">
          <cell r="D540">
            <v>23520114</v>
          </cell>
          <cell r="E540" t="str">
            <v>GI094</v>
          </cell>
          <cell r="F540" t="str">
            <v>Calcutta Dalhousie Petty Cash</v>
          </cell>
          <cell r="I540">
            <v>0</v>
          </cell>
        </row>
        <row r="541">
          <cell r="D541">
            <v>23520134</v>
          </cell>
          <cell r="E541" t="str">
            <v>GI0176</v>
          </cell>
          <cell r="F541" t="str">
            <v>Delhi F Block Offline Petty Cash</v>
          </cell>
          <cell r="I541">
            <v>0</v>
          </cell>
        </row>
        <row r="542">
          <cell r="D542">
            <v>23520139</v>
          </cell>
          <cell r="E542" t="str">
            <v>GI057</v>
          </cell>
          <cell r="F542" t="str">
            <v>Faridabad Sector-15 Online Petty Cash</v>
          </cell>
          <cell r="I542">
            <v>0</v>
          </cell>
        </row>
        <row r="543">
          <cell r="D543">
            <v>23520152</v>
          </cell>
          <cell r="E543" t="str">
            <v>GI065</v>
          </cell>
          <cell r="F543" t="str">
            <v>GOA PETTY CASH</v>
          </cell>
          <cell r="I543">
            <v>0</v>
          </cell>
        </row>
        <row r="544">
          <cell r="D544">
            <v>23520197</v>
          </cell>
          <cell r="E544" t="str">
            <v>GI0367</v>
          </cell>
          <cell r="F544" t="str">
            <v>Jaipur Raja Park Online Petty Cash</v>
          </cell>
          <cell r="I544">
            <v>0</v>
          </cell>
        </row>
        <row r="545">
          <cell r="D545">
            <v>23520199</v>
          </cell>
          <cell r="E545" t="str">
            <v>GI01</v>
          </cell>
          <cell r="F545" t="str">
            <v>Jaipur Offline Petty Cash</v>
          </cell>
          <cell r="I545">
            <v>0</v>
          </cell>
        </row>
        <row r="546">
          <cell r="D546">
            <v>23520212</v>
          </cell>
          <cell r="E546" t="str">
            <v>GI09</v>
          </cell>
          <cell r="F546" t="str">
            <v>Banglore Jayanagar Petty Cash</v>
          </cell>
          <cell r="I546">
            <v>0</v>
          </cell>
        </row>
        <row r="547">
          <cell r="D547">
            <v>23520231</v>
          </cell>
          <cell r="E547" t="str">
            <v>GI0132</v>
          </cell>
          <cell r="F547" t="str">
            <v>Kanpur Krishna Tower Online Petty Cash</v>
          </cell>
          <cell r="I547">
            <v>0</v>
          </cell>
        </row>
        <row r="548">
          <cell r="D548">
            <v>23520310</v>
          </cell>
          <cell r="F548" t="str">
            <v>Delhi Kirti Nagar Offline Petty Cash A/c</v>
          </cell>
          <cell r="I548">
            <v>0</v>
          </cell>
        </row>
        <row r="549">
          <cell r="D549">
            <v>23520314</v>
          </cell>
          <cell r="E549" t="str">
            <v>GI0148</v>
          </cell>
          <cell r="F549" t="str">
            <v>Noida Online Petty Cash</v>
          </cell>
          <cell r="I549">
            <v>0</v>
          </cell>
        </row>
        <row r="550">
          <cell r="D550">
            <v>23520358</v>
          </cell>
          <cell r="E550" t="str">
            <v>GI061</v>
          </cell>
          <cell r="F550" t="str">
            <v>Rajkot Offline Petty Cash</v>
          </cell>
          <cell r="I550">
            <v>0</v>
          </cell>
        </row>
        <row r="551">
          <cell r="D551">
            <v>23520420</v>
          </cell>
          <cell r="E551" t="str">
            <v>GI0392</v>
          </cell>
          <cell r="F551" t="str">
            <v>Surat Online Petty Cash</v>
          </cell>
          <cell r="I551">
            <v>0</v>
          </cell>
        </row>
        <row r="552">
          <cell r="D552">
            <v>23520462</v>
          </cell>
          <cell r="E552" t="str">
            <v>GI055</v>
          </cell>
          <cell r="F552" t="str">
            <v>Vizag Offline Petty Cash</v>
          </cell>
          <cell r="I552">
            <v>0</v>
          </cell>
        </row>
        <row r="553">
          <cell r="D553">
            <v>24500000</v>
          </cell>
          <cell r="E553" t="str">
            <v>GA001</v>
          </cell>
          <cell r="F553" t="str">
            <v>Cash in hand</v>
          </cell>
          <cell r="I553">
            <v>27286</v>
          </cell>
        </row>
        <row r="554">
          <cell r="D554">
            <v>23520849</v>
          </cell>
          <cell r="F554" t="str">
            <v>Gurgaon Cyber City Petty Cash</v>
          </cell>
          <cell r="I554">
            <v>0</v>
          </cell>
        </row>
        <row r="555">
          <cell r="D555">
            <v>23520788</v>
          </cell>
          <cell r="F555" t="str">
            <v>Hydrabad Banajara Hills Petty Cash</v>
          </cell>
          <cell r="I555">
            <v>0</v>
          </cell>
        </row>
        <row r="556">
          <cell r="D556">
            <v>24500001</v>
          </cell>
          <cell r="E556" t="str">
            <v>GI033</v>
          </cell>
          <cell r="F556" t="str">
            <v>Mumbai Cash</v>
          </cell>
          <cell r="I556">
            <v>3456</v>
          </cell>
        </row>
        <row r="557">
          <cell r="D557">
            <v>24532331</v>
          </cell>
          <cell r="F557" t="str">
            <v>Ghaziabad Online Petty Cash</v>
          </cell>
          <cell r="I557">
            <v>0</v>
          </cell>
        </row>
        <row r="558">
          <cell r="D558">
            <v>23520492</v>
          </cell>
          <cell r="F558" t="str">
            <v>Chennai Franking Petty Cash</v>
          </cell>
          <cell r="I558">
            <v>0</v>
          </cell>
        </row>
        <row r="559">
          <cell r="D559">
            <v>24500004</v>
          </cell>
          <cell r="F559" t="str">
            <v>Faridabad Online Petty Cash</v>
          </cell>
          <cell r="I559">
            <v>0</v>
          </cell>
        </row>
        <row r="561">
          <cell r="F561" t="str">
            <v>BANK</v>
          </cell>
        </row>
        <row r="563">
          <cell r="D563">
            <v>23500090</v>
          </cell>
          <cell r="E563" t="str">
            <v>GA00B211</v>
          </cell>
          <cell r="F563" t="str">
            <v>Hdfc Bank (Brokers) 10340005474</v>
          </cell>
          <cell r="I563">
            <v>54843.88</v>
          </cell>
        </row>
        <row r="564">
          <cell r="D564">
            <v>23500380</v>
          </cell>
          <cell r="E564" t="str">
            <v>GA00B173</v>
          </cell>
          <cell r="F564" t="str">
            <v>2612340000011 Hdfc Bank</v>
          </cell>
          <cell r="I564">
            <v>11221.37</v>
          </cell>
        </row>
        <row r="565">
          <cell r="D565">
            <v>23522690</v>
          </cell>
          <cell r="F565" t="str">
            <v>ISL A/c No-02790340000013 HDFC BANK LTD</v>
          </cell>
          <cell r="I565">
            <v>15496</v>
          </cell>
        </row>
        <row r="566">
          <cell r="D566">
            <v>23500400</v>
          </cell>
          <cell r="E566" t="str">
            <v>GA00B175</v>
          </cell>
          <cell r="F566" t="str">
            <v>1270340002975 Hdfc Bank</v>
          </cell>
          <cell r="I566">
            <v>31955.06</v>
          </cell>
        </row>
        <row r="567">
          <cell r="D567">
            <v>23500410</v>
          </cell>
          <cell r="E567" t="str">
            <v>GA00B209</v>
          </cell>
          <cell r="F567" t="str">
            <v>0880340000064 Hdfc Bank</v>
          </cell>
          <cell r="I567">
            <v>57166.06</v>
          </cell>
        </row>
        <row r="568">
          <cell r="D568">
            <v>23526830</v>
          </cell>
          <cell r="F568" t="str">
            <v>Citi Bank 0325250038</v>
          </cell>
          <cell r="I568">
            <v>0</v>
          </cell>
        </row>
        <row r="569">
          <cell r="D569">
            <v>23501920</v>
          </cell>
          <cell r="F569" t="str">
            <v>0032340000732  Hdfc Bank Ltd</v>
          </cell>
          <cell r="I569">
            <v>0</v>
          </cell>
        </row>
        <row r="570">
          <cell r="D570">
            <v>23502980</v>
          </cell>
          <cell r="F570" t="str">
            <v>3312340000023 Hdfc Bank Ltd.</v>
          </cell>
          <cell r="I570">
            <v>0</v>
          </cell>
        </row>
        <row r="571">
          <cell r="D571">
            <v>23504440</v>
          </cell>
          <cell r="F571" t="str">
            <v>4672340000026 Hdfc Bank Ltd.</v>
          </cell>
          <cell r="I571">
            <v>0</v>
          </cell>
        </row>
        <row r="572">
          <cell r="D572">
            <v>23512480</v>
          </cell>
          <cell r="F572" t="str">
            <v>HDFC Bank Ltd. SRTRR2 00670340000865</v>
          </cell>
          <cell r="I572">
            <v>12326.17</v>
          </cell>
        </row>
        <row r="573">
          <cell r="D573">
            <v>12160051</v>
          </cell>
          <cell r="F573" t="str">
            <v>Oriental Bank of Commerce A/c 04195011000692 O/D</v>
          </cell>
          <cell r="I573">
            <v>0</v>
          </cell>
        </row>
        <row r="574">
          <cell r="D574">
            <v>23524710</v>
          </cell>
          <cell r="E574" t="str">
            <v>GA00B628</v>
          </cell>
          <cell r="F574" t="str">
            <v>AXIS BANK LTD.BULS/23524710</v>
          </cell>
          <cell r="I574">
            <v>451.68</v>
          </cell>
        </row>
        <row r="576">
          <cell r="D576">
            <v>12160052</v>
          </cell>
          <cell r="F576" t="str">
            <v>Oriental Bank of Commerce A/c '01795011000505 O/D</v>
          </cell>
          <cell r="I576">
            <v>0</v>
          </cell>
        </row>
        <row r="577">
          <cell r="D577">
            <v>23514750</v>
          </cell>
          <cell r="E577" t="str">
            <v>GA00B609</v>
          </cell>
          <cell r="F577" t="str">
            <v>IDBI A/C 038102000015543(F/D A/C, GURGAON)</v>
          </cell>
          <cell r="I577">
            <v>12033.24</v>
          </cell>
        </row>
        <row r="578">
          <cell r="D578">
            <v>23500450</v>
          </cell>
          <cell r="E578" t="str">
            <v>GA00B213</v>
          </cell>
          <cell r="F578" t="str">
            <v>2440340000110 Hdfc Bank</v>
          </cell>
          <cell r="I578">
            <v>0</v>
          </cell>
        </row>
        <row r="579">
          <cell r="D579">
            <v>23500470</v>
          </cell>
          <cell r="E579" t="str">
            <v xml:space="preserve">GA00B39 </v>
          </cell>
          <cell r="F579" t="str">
            <v>ISL -ICICI-HO -000705001615</v>
          </cell>
          <cell r="I579">
            <v>-47377.83</v>
          </cell>
        </row>
        <row r="580">
          <cell r="D580">
            <v>23500490</v>
          </cell>
          <cell r="E580" t="str">
            <v>GA00B130</v>
          </cell>
          <cell r="F580" t="str">
            <v>Standard Chartered Bank-52505051059</v>
          </cell>
          <cell r="I580">
            <v>57846.559999999998</v>
          </cell>
        </row>
        <row r="581">
          <cell r="D581">
            <v>23500560</v>
          </cell>
          <cell r="E581" t="str">
            <v>GA00B185</v>
          </cell>
          <cell r="F581" t="str">
            <v>0030340018472-HDFC ISL</v>
          </cell>
          <cell r="I581">
            <v>-299755.84999999998</v>
          </cell>
        </row>
        <row r="582">
          <cell r="D582">
            <v>23500570</v>
          </cell>
          <cell r="E582" t="str">
            <v>GA00B234</v>
          </cell>
          <cell r="F582" t="str">
            <v>Dena Bank a/c no116211001016</v>
          </cell>
          <cell r="I582">
            <v>0</v>
          </cell>
        </row>
        <row r="583">
          <cell r="D583">
            <v>23500640</v>
          </cell>
          <cell r="E583" t="str">
            <v>GA00B99</v>
          </cell>
          <cell r="F583" t="str">
            <v>Union Bank Of India Mumbai 317901010025136</v>
          </cell>
          <cell r="I583">
            <v>0</v>
          </cell>
        </row>
        <row r="584">
          <cell r="D584">
            <v>23500660</v>
          </cell>
          <cell r="E584" t="str">
            <v>GA00B107</v>
          </cell>
          <cell r="F584" t="str">
            <v>Royal Bank of Scotland (ABN) 6523927</v>
          </cell>
          <cell r="I584">
            <v>95095.79</v>
          </cell>
        </row>
        <row r="585">
          <cell r="D585">
            <v>23500670</v>
          </cell>
          <cell r="E585" t="str">
            <v>GA00B108</v>
          </cell>
          <cell r="F585" t="str">
            <v>Hdfc Bank A/C - Nri Product (5982340002925)</v>
          </cell>
          <cell r="I585">
            <v>5731.32</v>
          </cell>
        </row>
        <row r="586">
          <cell r="D586">
            <v>23500720</v>
          </cell>
          <cell r="E586" t="str">
            <v>GA00B280</v>
          </cell>
          <cell r="F586" t="str">
            <v>1220340000152  Hdfc Bank Ltd</v>
          </cell>
          <cell r="I586">
            <v>0</v>
          </cell>
        </row>
        <row r="587">
          <cell r="D587">
            <v>23500840</v>
          </cell>
          <cell r="E587" t="str">
            <v>GA00B262</v>
          </cell>
          <cell r="F587" t="str">
            <v>0030340022261 Hdfc Bank Ltd</v>
          </cell>
          <cell r="I587">
            <v>0</v>
          </cell>
        </row>
        <row r="588">
          <cell r="D588">
            <v>23500890</v>
          </cell>
          <cell r="E588" t="str">
            <v>GA00B104</v>
          </cell>
          <cell r="F588" t="str">
            <v>ICICI Bank ( Mumbai) A/C 000405015895</v>
          </cell>
          <cell r="I588">
            <v>26911.54</v>
          </cell>
        </row>
        <row r="589">
          <cell r="D589">
            <v>23500900</v>
          </cell>
          <cell r="E589" t="str">
            <v>GA00B232</v>
          </cell>
          <cell r="F589" t="str">
            <v>Indiabulls  Securities Ltd  A/C 0780340000853 Hdfc</v>
          </cell>
          <cell r="I589">
            <v>12000</v>
          </cell>
        </row>
        <row r="590">
          <cell r="D590">
            <v>23500920</v>
          </cell>
          <cell r="E590" t="str">
            <v>GA00B237</v>
          </cell>
          <cell r="F590" t="str">
            <v>A/C No.3192340000054 Hdfc Bank Ltd</v>
          </cell>
          <cell r="I590">
            <v>0</v>
          </cell>
        </row>
        <row r="591">
          <cell r="D591">
            <v>23500940</v>
          </cell>
          <cell r="E591" t="str">
            <v>GA00B159</v>
          </cell>
          <cell r="F591" t="str">
            <v>Karnataka Bank-Mumbai A/c 1012000100615201</v>
          </cell>
          <cell r="I591">
            <v>0</v>
          </cell>
        </row>
        <row r="592">
          <cell r="D592">
            <v>23518570</v>
          </cell>
          <cell r="F592" t="str">
            <v>ISL A/c No. 02802340000031 HDFC Bank Ltd.</v>
          </cell>
          <cell r="I592">
            <v>11157.3</v>
          </cell>
        </row>
        <row r="593">
          <cell r="D593">
            <v>23501000</v>
          </cell>
          <cell r="E593" t="str">
            <v>GA00B167</v>
          </cell>
          <cell r="F593" t="str">
            <v>0040340002766 Hdfc Bank</v>
          </cell>
          <cell r="I593">
            <v>86432.63</v>
          </cell>
        </row>
        <row r="594">
          <cell r="D594">
            <v>23501360</v>
          </cell>
          <cell r="E594" t="str">
            <v>GA00B58</v>
          </cell>
          <cell r="F594" t="str">
            <v>0500340000185 Hdfc Bank</v>
          </cell>
          <cell r="I594">
            <v>0</v>
          </cell>
        </row>
        <row r="595">
          <cell r="D595">
            <v>23501370</v>
          </cell>
          <cell r="E595" t="str">
            <v>GA00B61</v>
          </cell>
          <cell r="F595" t="str">
            <v>0590340000047 Hdfc Bank</v>
          </cell>
          <cell r="I595">
            <v>41814.21</v>
          </cell>
        </row>
        <row r="596">
          <cell r="D596">
            <v>23501400</v>
          </cell>
          <cell r="E596" t="str">
            <v>GA00B92</v>
          </cell>
          <cell r="F596" t="str">
            <v>0540340000958 Hdfc Bank</v>
          </cell>
          <cell r="I596">
            <v>0</v>
          </cell>
        </row>
        <row r="597">
          <cell r="D597">
            <v>23501470</v>
          </cell>
          <cell r="E597" t="str">
            <v>GA00B96</v>
          </cell>
          <cell r="F597" t="str">
            <v>Hdfc Bank - Mumbai 0032340000395</v>
          </cell>
          <cell r="I597">
            <v>13513.45</v>
          </cell>
        </row>
        <row r="598">
          <cell r="D598">
            <v>23501510</v>
          </cell>
          <cell r="E598" t="str">
            <v>GA00B050</v>
          </cell>
          <cell r="F598" t="str">
            <v>Indusind Bank 0033-567046-050</v>
          </cell>
          <cell r="I598">
            <v>0</v>
          </cell>
        </row>
        <row r="599">
          <cell r="D599">
            <v>23515250</v>
          </cell>
          <cell r="F599" t="str">
            <v>ISL - MFSS - IndusInd Bank A/c 0033-567046-051</v>
          </cell>
          <cell r="I599">
            <v>0</v>
          </cell>
        </row>
        <row r="600">
          <cell r="D600">
            <v>23501590</v>
          </cell>
          <cell r="E600" t="str">
            <v>GA00B142</v>
          </cell>
          <cell r="F600" t="str">
            <v>HSBC Account 51-895951-002</v>
          </cell>
          <cell r="I600">
            <v>25905.84</v>
          </cell>
        </row>
        <row r="601">
          <cell r="D601">
            <v>23501640</v>
          </cell>
          <cell r="E601" t="str">
            <v>GA00B272</v>
          </cell>
          <cell r="F601" t="str">
            <v>0780340001027 Hdfc Bank Ltd.</v>
          </cell>
          <cell r="I601">
            <v>0</v>
          </cell>
        </row>
        <row r="602">
          <cell r="D602">
            <v>23501690</v>
          </cell>
          <cell r="E602" t="str">
            <v>GA00B251</v>
          </cell>
          <cell r="F602" t="str">
            <v>Punjab National Bank - 0061002101604825</v>
          </cell>
          <cell r="I602">
            <v>0</v>
          </cell>
        </row>
        <row r="603">
          <cell r="D603">
            <v>23501750</v>
          </cell>
          <cell r="E603" t="str">
            <v>GA00B69</v>
          </cell>
          <cell r="F603" t="str">
            <v>0600340006963 Hdfc Bank</v>
          </cell>
          <cell r="I603">
            <v>44894.55</v>
          </cell>
        </row>
        <row r="604">
          <cell r="D604">
            <v>23501930</v>
          </cell>
          <cell r="E604" t="str">
            <v>GA00B309</v>
          </cell>
          <cell r="F604" t="str">
            <v>4290340000281  Hdfc Bank Ltd.</v>
          </cell>
          <cell r="I604">
            <v>0</v>
          </cell>
        </row>
        <row r="605">
          <cell r="D605">
            <v>23502020</v>
          </cell>
          <cell r="E605" t="str">
            <v>GA00B111</v>
          </cell>
          <cell r="F605" t="str">
            <v>0200340000425 Hdfc Bank</v>
          </cell>
          <cell r="I605">
            <v>0</v>
          </cell>
        </row>
        <row r="606">
          <cell r="D606">
            <v>23502040</v>
          </cell>
          <cell r="E606" t="str">
            <v>GA00B113</v>
          </cell>
          <cell r="F606" t="str">
            <v>Canara Bank- Mumbai A/C No.2426201040957</v>
          </cell>
          <cell r="I606">
            <v>116600</v>
          </cell>
        </row>
        <row r="607">
          <cell r="D607">
            <v>23502050</v>
          </cell>
          <cell r="E607" t="str">
            <v>GA00B114</v>
          </cell>
          <cell r="F607" t="str">
            <v>1150340000107 Hdfc Bank</v>
          </cell>
          <cell r="I607">
            <v>17479.259999999998</v>
          </cell>
        </row>
        <row r="608">
          <cell r="D608">
            <v>23502060</v>
          </cell>
          <cell r="E608" t="str">
            <v>GA00B115</v>
          </cell>
          <cell r="F608" t="str">
            <v>0070340000352 Hdfc Bank</v>
          </cell>
          <cell r="I608">
            <v>0</v>
          </cell>
        </row>
        <row r="609">
          <cell r="D609">
            <v>23502080</v>
          </cell>
          <cell r="E609" t="str">
            <v>GA00B117</v>
          </cell>
          <cell r="F609" t="str">
            <v>0310340000354 Hdfc Bank</v>
          </cell>
          <cell r="I609">
            <v>0</v>
          </cell>
        </row>
        <row r="610">
          <cell r="D610">
            <v>23502580</v>
          </cell>
          <cell r="E610" t="str">
            <v>GA00B182</v>
          </cell>
          <cell r="F610" t="str">
            <v>ISL-HDFC Bank Ltd. 0030340018143</v>
          </cell>
          <cell r="I610">
            <v>20416.009999999998</v>
          </cell>
        </row>
        <row r="611">
          <cell r="D611">
            <v>23502600</v>
          </cell>
          <cell r="E611" t="str">
            <v>GA00B240</v>
          </cell>
          <cell r="F611" t="str">
            <v>0440340000200  Hdfc Bank Ltd</v>
          </cell>
          <cell r="I611">
            <v>0</v>
          </cell>
        </row>
        <row r="612">
          <cell r="D612">
            <v>23502610</v>
          </cell>
          <cell r="E612" t="str">
            <v>GA00B241</v>
          </cell>
          <cell r="F612" t="str">
            <v>0350340000712  Hdfc Bank Ltd</v>
          </cell>
          <cell r="I612">
            <v>35942.01</v>
          </cell>
        </row>
        <row r="613">
          <cell r="D613">
            <v>23502620</v>
          </cell>
          <cell r="E613" t="str">
            <v>GA00B243</v>
          </cell>
          <cell r="F613" t="str">
            <v>ISL- Axis bank Ltd. For Ho-007010200039622</v>
          </cell>
          <cell r="I613">
            <v>14400.87</v>
          </cell>
        </row>
        <row r="614">
          <cell r="D614">
            <v>23502780</v>
          </cell>
          <cell r="E614" t="str">
            <v>GA00B3</v>
          </cell>
          <cell r="F614" t="str">
            <v>Hdfc Bank  A/C 0030340000640 (Old No. 08)</v>
          </cell>
          <cell r="I614">
            <v>-34898.410000000003</v>
          </cell>
        </row>
        <row r="615">
          <cell r="D615">
            <v>23502460</v>
          </cell>
          <cell r="F615" t="str">
            <v>2732340000057 Hdfc Bank Ltd</v>
          </cell>
          <cell r="I615">
            <v>0</v>
          </cell>
        </row>
        <row r="616">
          <cell r="D616">
            <v>23502800</v>
          </cell>
          <cell r="E616" t="str">
            <v>GA00B22</v>
          </cell>
          <cell r="F616" t="str">
            <v>0140340002609 Hdfc Bank</v>
          </cell>
          <cell r="I616">
            <v>12500</v>
          </cell>
        </row>
        <row r="617">
          <cell r="D617">
            <v>23502810</v>
          </cell>
          <cell r="E617" t="str">
            <v>GA00B23</v>
          </cell>
          <cell r="F617" t="str">
            <v>0062340000381 Hdfc Bank</v>
          </cell>
          <cell r="I617">
            <v>21942.28</v>
          </cell>
        </row>
        <row r="618">
          <cell r="D618">
            <v>23502820</v>
          </cell>
          <cell r="E618" t="str">
            <v>GA00B24</v>
          </cell>
          <cell r="F618" t="str">
            <v>0090340000292 Hdfc Bank</v>
          </cell>
          <cell r="I618">
            <v>12000</v>
          </cell>
        </row>
        <row r="619">
          <cell r="D619">
            <v>23502830</v>
          </cell>
          <cell r="E619" t="str">
            <v>GA00B25</v>
          </cell>
          <cell r="F619" t="str">
            <v>0040340001021 Hdfc Bank</v>
          </cell>
          <cell r="I619">
            <v>50438.97</v>
          </cell>
        </row>
        <row r="620">
          <cell r="D620">
            <v>23502850</v>
          </cell>
          <cell r="E620" t="str">
            <v>GA00B29</v>
          </cell>
          <cell r="F620" t="str">
            <v>0012320000871 Hdfc Bank</v>
          </cell>
          <cell r="I620">
            <v>251225.61</v>
          </cell>
        </row>
        <row r="621">
          <cell r="D621">
            <v>23502890</v>
          </cell>
          <cell r="E621" t="str">
            <v>GA00B45</v>
          </cell>
          <cell r="F621" t="str">
            <v>Oriental Bank of Commerce(GTB 1940) 10481010053100</v>
          </cell>
          <cell r="I621">
            <v>9218</v>
          </cell>
        </row>
        <row r="622">
          <cell r="D622">
            <v>23503160</v>
          </cell>
          <cell r="E622" t="str">
            <v>GA00B88</v>
          </cell>
          <cell r="F622" t="str">
            <v>0930340000022 Hdfc Bank</v>
          </cell>
          <cell r="I622">
            <v>58445.26</v>
          </cell>
        </row>
        <row r="623">
          <cell r="D623">
            <v>23503180</v>
          </cell>
          <cell r="E623" t="str">
            <v>GA00B90</v>
          </cell>
          <cell r="F623" t="str">
            <v>2260340000039 Hdfc Bank</v>
          </cell>
          <cell r="I623">
            <v>12185.47</v>
          </cell>
        </row>
        <row r="624">
          <cell r="D624">
            <v>23503680</v>
          </cell>
          <cell r="E624" t="str">
            <v>GA00B149</v>
          </cell>
          <cell r="F624" t="str">
            <v>0080340011214 Hdfc Bank</v>
          </cell>
          <cell r="I624">
            <v>12500</v>
          </cell>
        </row>
        <row r="625">
          <cell r="D625">
            <v>23503720</v>
          </cell>
          <cell r="E625" t="str">
            <v>GA00B214</v>
          </cell>
          <cell r="F625" t="str">
            <v>Axis Bank Ltd. 004010200559638</v>
          </cell>
          <cell r="I625">
            <v>58645.14</v>
          </cell>
        </row>
        <row r="626">
          <cell r="D626">
            <v>23503790</v>
          </cell>
          <cell r="E626" t="str">
            <v>GA00B215</v>
          </cell>
          <cell r="F626" t="str">
            <v>UCO Bank - Mumbai A/c no 19790200269443</v>
          </cell>
          <cell r="I626">
            <v>0</v>
          </cell>
        </row>
        <row r="627">
          <cell r="D627">
            <v>23503800</v>
          </cell>
          <cell r="E627" t="str">
            <v>GA00B216</v>
          </cell>
          <cell r="F627" t="str">
            <v xml:space="preserve"> Bank of Maharastra 20007603128</v>
          </cell>
          <cell r="I627">
            <v>0</v>
          </cell>
        </row>
        <row r="628">
          <cell r="D628">
            <v>23503920</v>
          </cell>
          <cell r="E628" t="str">
            <v>GA00B440</v>
          </cell>
          <cell r="F628" t="str">
            <v>0430002101005835 Pnb</v>
          </cell>
          <cell r="I628">
            <v>26231</v>
          </cell>
        </row>
        <row r="629">
          <cell r="D629">
            <v>23503980</v>
          </cell>
          <cell r="E629" t="str">
            <v>GA00B525</v>
          </cell>
          <cell r="F629" t="str">
            <v>0540340003004 Hdfc Bank Ltd</v>
          </cell>
          <cell r="I629">
            <v>3556748.51</v>
          </cell>
        </row>
        <row r="630">
          <cell r="D630">
            <v>23504170</v>
          </cell>
          <cell r="E630" t="str">
            <v>GA00B443</v>
          </cell>
          <cell r="F630" t="str">
            <v xml:space="preserve"> 0070340000819 Hdfc Bank Ltd</v>
          </cell>
          <cell r="I630">
            <v>38362.06</v>
          </cell>
        </row>
        <row r="631">
          <cell r="D631">
            <v>23504330</v>
          </cell>
          <cell r="E631" t="str">
            <v>GA00B394</v>
          </cell>
          <cell r="F631" t="str">
            <v>5260340000038 Hdfc Bank Ltd.</v>
          </cell>
          <cell r="I631">
            <v>0</v>
          </cell>
        </row>
        <row r="632">
          <cell r="D632">
            <v>23504480</v>
          </cell>
          <cell r="E632" t="str">
            <v>GA00B410</v>
          </cell>
          <cell r="F632" t="str">
            <v>0540340002936  Hdfc Bank Ltd.</v>
          </cell>
          <cell r="I632">
            <v>2002.78</v>
          </cell>
        </row>
        <row r="633">
          <cell r="D633">
            <v>23505120</v>
          </cell>
          <cell r="E633" t="str">
            <v>GA00B477</v>
          </cell>
          <cell r="F633" t="str">
            <v>Allahabad Bank a/c no 20015744423</v>
          </cell>
          <cell r="I633">
            <v>0</v>
          </cell>
        </row>
        <row r="634">
          <cell r="D634">
            <v>23505560</v>
          </cell>
          <cell r="F634" t="str">
            <v>Hdfc Bank  0040340003733</v>
          </cell>
          <cell r="I634">
            <v>0</v>
          </cell>
        </row>
        <row r="635">
          <cell r="D635">
            <v>23505610</v>
          </cell>
          <cell r="E635" t="str">
            <v>GA00B551</v>
          </cell>
          <cell r="F635" t="str">
            <v>Hdfc Bank Limited 4832340000023</v>
          </cell>
          <cell r="I635">
            <v>0</v>
          </cell>
        </row>
        <row r="636">
          <cell r="D636">
            <v>23505690</v>
          </cell>
          <cell r="E636" t="str">
            <v>GA00B572</v>
          </cell>
          <cell r="F636" t="str">
            <v>1530340000103 Hdfc Bank Ltd.</v>
          </cell>
          <cell r="I636">
            <v>0</v>
          </cell>
        </row>
        <row r="637">
          <cell r="D637">
            <v>23509780</v>
          </cell>
          <cell r="E637" t="str">
            <v>GA00B561</v>
          </cell>
          <cell r="F637" t="str">
            <v>State Bank Of Patiala 65016496315 -ISL</v>
          </cell>
          <cell r="I637">
            <v>0</v>
          </cell>
        </row>
        <row r="638">
          <cell r="D638">
            <v>23509910</v>
          </cell>
          <cell r="E638" t="str">
            <v>GA00B535</v>
          </cell>
          <cell r="F638" t="str">
            <v>ISL.3682340000014 HDFC Bank Ltd.</v>
          </cell>
          <cell r="I638">
            <v>0</v>
          </cell>
        </row>
        <row r="639">
          <cell r="D639">
            <v>23510470</v>
          </cell>
          <cell r="E639" t="str">
            <v>GA00B604</v>
          </cell>
          <cell r="F639" t="str">
            <v>Indian Bank  a/c no 723815435</v>
          </cell>
          <cell r="I639">
            <v>0</v>
          </cell>
        </row>
        <row r="640">
          <cell r="D640">
            <v>23513090</v>
          </cell>
          <cell r="F640" t="str">
            <v>Punjab and Sind bank a/c no. 105742</v>
          </cell>
          <cell r="I640">
            <v>9226</v>
          </cell>
        </row>
        <row r="641">
          <cell r="D641">
            <v>23513140</v>
          </cell>
          <cell r="F641" t="str">
            <v>Vijaya Bank A/C 500600301000135</v>
          </cell>
          <cell r="I641">
            <v>22618</v>
          </cell>
        </row>
        <row r="642">
          <cell r="D642">
            <v>23515080</v>
          </cell>
          <cell r="F642" t="str">
            <v>ISL-Hdfc Bank A/c No. 13172340000019</v>
          </cell>
          <cell r="I642">
            <v>0</v>
          </cell>
        </row>
        <row r="643">
          <cell r="D643">
            <v>23515140</v>
          </cell>
          <cell r="F643" t="str">
            <v>ISL HDFC Bank Ltd A/c No. 03632340000019</v>
          </cell>
          <cell r="I643">
            <v>11157.3</v>
          </cell>
        </row>
        <row r="644">
          <cell r="D644">
            <v>23515230</v>
          </cell>
          <cell r="E644" t="str">
            <v>GA00B750</v>
          </cell>
          <cell r="F644" t="str">
            <v>ISL A/c No. 910020000584265 Axis Bank Ltd</v>
          </cell>
          <cell r="I644">
            <v>10000</v>
          </cell>
        </row>
        <row r="645">
          <cell r="D645">
            <v>23515310</v>
          </cell>
          <cell r="F645" t="str">
            <v>ISL SBI A/C NO - 31023077002</v>
          </cell>
          <cell r="I645">
            <v>63230.35</v>
          </cell>
        </row>
        <row r="646">
          <cell r="D646">
            <v>23515740</v>
          </cell>
          <cell r="F646" t="str">
            <v>HDFC BANK LTD. A/C no- 13300340000017</v>
          </cell>
          <cell r="I646">
            <v>0</v>
          </cell>
        </row>
        <row r="647">
          <cell r="D647">
            <v>23515950</v>
          </cell>
          <cell r="F647" t="str">
            <v>ISL A/c No. 06340340000097 HDFC Bank Ltd.</v>
          </cell>
          <cell r="I647">
            <v>0</v>
          </cell>
        </row>
        <row r="648">
          <cell r="D648">
            <v>23516020</v>
          </cell>
          <cell r="F648" t="str">
            <v>Karur Vysya Bank A/c Mumbai- 2119135000000014</v>
          </cell>
          <cell r="I648">
            <v>0</v>
          </cell>
        </row>
        <row r="649">
          <cell r="D649">
            <v>23516270</v>
          </cell>
          <cell r="F649" t="str">
            <v>HDFC Bank Ltd. A/c 00030340047441 MCX SX Business</v>
          </cell>
          <cell r="I649">
            <v>10000</v>
          </cell>
        </row>
        <row r="650">
          <cell r="D650">
            <v>23516530</v>
          </cell>
          <cell r="F650" t="str">
            <v>IDBI Bank Ltd. A/c 171102000006385</v>
          </cell>
          <cell r="I650">
            <v>438226.3</v>
          </cell>
        </row>
        <row r="651">
          <cell r="D651">
            <v>23517090</v>
          </cell>
          <cell r="F651" t="str">
            <v>YES BANK '010585700000020</v>
          </cell>
          <cell r="I651">
            <v>356052.67</v>
          </cell>
        </row>
        <row r="652">
          <cell r="D652">
            <v>12160050</v>
          </cell>
          <cell r="F652" t="str">
            <v>Allahabad Bank- 50073011629.</v>
          </cell>
          <cell r="I652">
            <v>0</v>
          </cell>
        </row>
        <row r="653">
          <cell r="D653">
            <v>23520600</v>
          </cell>
          <cell r="F653" t="str">
            <v>United Bank of India Delhi 0276050413756</v>
          </cell>
          <cell r="I653">
            <v>0</v>
          </cell>
        </row>
        <row r="654">
          <cell r="D654">
            <v>24532030</v>
          </cell>
          <cell r="F654" t="str">
            <v>Oriental Bank of Commerce a/c no 01791011001474</v>
          </cell>
          <cell r="I654">
            <v>17593</v>
          </cell>
        </row>
        <row r="655">
          <cell r="D655">
            <v>24532050</v>
          </cell>
          <cell r="E655" t="str">
            <v>GA00B602</v>
          </cell>
          <cell r="F655" t="str">
            <v>CITI BANK A/C NO 325250046.</v>
          </cell>
          <cell r="I655">
            <v>0</v>
          </cell>
        </row>
        <row r="656">
          <cell r="D656">
            <v>24532140</v>
          </cell>
          <cell r="F656" t="str">
            <v>UNION BANK OF INDIA 317901011012025</v>
          </cell>
          <cell r="I656">
            <v>0</v>
          </cell>
        </row>
        <row r="657">
          <cell r="D657">
            <v>23500190</v>
          </cell>
          <cell r="E657" t="str">
            <v>GA00B5</v>
          </cell>
          <cell r="F657" t="str">
            <v>Icici Bank  &lt;Delhi&gt; 05/22 705000229</v>
          </cell>
          <cell r="I657">
            <v>-1781233.74</v>
          </cell>
        </row>
        <row r="658">
          <cell r="D658">
            <v>23500270</v>
          </cell>
          <cell r="E658" t="str">
            <v>GA00B131</v>
          </cell>
          <cell r="F658" t="str">
            <v>Ing Vysya Bank 503011007955</v>
          </cell>
          <cell r="I658">
            <v>1189829.43</v>
          </cell>
        </row>
        <row r="659">
          <cell r="D659">
            <v>23501420</v>
          </cell>
          <cell r="E659" t="str">
            <v>GA00B64</v>
          </cell>
          <cell r="F659" t="str">
            <v>1010340000329 Hdfc Bank</v>
          </cell>
          <cell r="I659">
            <v>0</v>
          </cell>
        </row>
        <row r="660">
          <cell r="D660">
            <v>23501570</v>
          </cell>
          <cell r="E660" t="str">
            <v>GA0B5</v>
          </cell>
          <cell r="F660" t="str">
            <v>Hdfc Bank Ltd. - 0030340015511</v>
          </cell>
          <cell r="I660">
            <v>-3823867.06</v>
          </cell>
        </row>
        <row r="661">
          <cell r="D661">
            <v>23505190</v>
          </cell>
          <cell r="E661" t="str">
            <v>GA00B28</v>
          </cell>
          <cell r="F661" t="str">
            <v>Citi Bank (Delhi) 421751226</v>
          </cell>
          <cell r="I661">
            <v>0</v>
          </cell>
        </row>
        <row r="662">
          <cell r="D662">
            <v>23505210</v>
          </cell>
          <cell r="E662" t="str">
            <v>GA00B11</v>
          </cell>
          <cell r="F662" t="str">
            <v>Axis Bank Ltd. (Delhi) 7010200009867</v>
          </cell>
          <cell r="I662">
            <v>-1493862.45</v>
          </cell>
        </row>
        <row r="663">
          <cell r="D663">
            <v>23522730</v>
          </cell>
          <cell r="F663" t="str">
            <v>Axis bank Ltd A/c no 912020056404872</v>
          </cell>
          <cell r="I663">
            <v>18096.52</v>
          </cell>
        </row>
        <row r="664">
          <cell r="D664">
            <v>23505230</v>
          </cell>
          <cell r="E664" t="str">
            <v>GA00B109</v>
          </cell>
          <cell r="F664" t="str">
            <v>HSBC Account 51-895951-001</v>
          </cell>
          <cell r="I664">
            <v>473072.14</v>
          </cell>
        </row>
        <row r="665">
          <cell r="D665">
            <v>23505240</v>
          </cell>
          <cell r="E665" t="str">
            <v>GA00B71</v>
          </cell>
          <cell r="F665" t="str">
            <v>Royal Bank of Scotland (ABN) A/C 6518796</v>
          </cell>
          <cell r="I665">
            <v>843978.81</v>
          </cell>
        </row>
        <row r="666">
          <cell r="D666">
            <v>23505250</v>
          </cell>
          <cell r="E666" t="str">
            <v>GA00B84</v>
          </cell>
          <cell r="F666" t="str">
            <v>Canara Bank A/c Shimoga -0524201002309</v>
          </cell>
          <cell r="I666">
            <v>0</v>
          </cell>
        </row>
        <row r="667">
          <cell r="D667">
            <v>23505260</v>
          </cell>
          <cell r="E667" t="str">
            <v>GA00B73</v>
          </cell>
          <cell r="F667" t="str">
            <v>Idbi 102000015075</v>
          </cell>
          <cell r="I667">
            <v>2821258.22</v>
          </cell>
        </row>
        <row r="668">
          <cell r="D668">
            <v>23505270</v>
          </cell>
          <cell r="E668" t="str">
            <v>GA00B77</v>
          </cell>
          <cell r="F668" t="str">
            <v>Indusland Bank 5109794060</v>
          </cell>
          <cell r="I668">
            <v>174080.95</v>
          </cell>
        </row>
        <row r="669">
          <cell r="D669">
            <v>23505280</v>
          </cell>
          <cell r="E669" t="str">
            <v>GA00B146</v>
          </cell>
          <cell r="F669" t="str">
            <v>Karur Vysya Bank 410112700000020</v>
          </cell>
          <cell r="I669">
            <v>189587.09</v>
          </cell>
        </row>
        <row r="670">
          <cell r="D670">
            <v>23505300</v>
          </cell>
          <cell r="E670" t="str">
            <v>GA00B191</v>
          </cell>
          <cell r="F670" t="str">
            <v>Union Bank Of India - Client A/C 307801010917312</v>
          </cell>
          <cell r="I670">
            <v>335152.40999999997</v>
          </cell>
        </row>
        <row r="671">
          <cell r="D671">
            <v>23519820</v>
          </cell>
          <cell r="E671" t="str">
            <v>GA00B610</v>
          </cell>
          <cell r="F671" t="str">
            <v>Yes Bank A/C ISL - Client A/c</v>
          </cell>
          <cell r="I671">
            <v>690401.64</v>
          </cell>
        </row>
        <row r="672">
          <cell r="D672">
            <v>23521700</v>
          </cell>
          <cell r="E672" t="str">
            <v>GA00B626</v>
          </cell>
          <cell r="F672" t="str">
            <v>Karnataka Bank 1012000100631101 Client A/c</v>
          </cell>
          <cell r="I672">
            <v>209831</v>
          </cell>
        </row>
        <row r="673">
          <cell r="D673">
            <v>23521710</v>
          </cell>
          <cell r="F673" t="str">
            <v>UCO Bank 19790210006580 Client A/c</v>
          </cell>
          <cell r="I673">
            <v>0</v>
          </cell>
        </row>
        <row r="674">
          <cell r="D674">
            <v>23505320</v>
          </cell>
          <cell r="E674" t="str">
            <v>GA00B740</v>
          </cell>
          <cell r="F674" t="str">
            <v>Hdfc Bank - 0030340020740</v>
          </cell>
          <cell r="I674">
            <v>-76084462.060000002</v>
          </cell>
        </row>
        <row r="675">
          <cell r="D675">
            <v>23505330</v>
          </cell>
          <cell r="E675" t="str">
            <v>GA00B164</v>
          </cell>
          <cell r="F675" t="str">
            <v>Andhra Bank - Client A/c  8411011093286</v>
          </cell>
          <cell r="I675">
            <v>50878.87</v>
          </cell>
        </row>
        <row r="676">
          <cell r="D676">
            <v>23505350</v>
          </cell>
          <cell r="E676" t="str">
            <v>GA00B183</v>
          </cell>
          <cell r="F676" t="str">
            <v>Syndicate Bank 90363050000067</v>
          </cell>
          <cell r="I676">
            <v>492681.75</v>
          </cell>
        </row>
        <row r="677">
          <cell r="D677">
            <v>23501330</v>
          </cell>
          <cell r="E677" t="str">
            <v>GA00B136</v>
          </cell>
          <cell r="F677" t="str">
            <v>Royal Bank of Scotland (Dividend A/C04-05) 6528414</v>
          </cell>
          <cell r="I677">
            <v>807.03</v>
          </cell>
        </row>
        <row r="678">
          <cell r="D678">
            <v>23505360</v>
          </cell>
          <cell r="E678" t="str">
            <v>GA00B250</v>
          </cell>
          <cell r="F678" t="str">
            <v>Pnb A/C No.   1988002100183894</v>
          </cell>
          <cell r="I678">
            <v>337089.46</v>
          </cell>
        </row>
        <row r="679">
          <cell r="D679">
            <v>23505370</v>
          </cell>
          <cell r="E679" t="str">
            <v>GL1019</v>
          </cell>
          <cell r="F679" t="str">
            <v>0030130000080-HDFC ACCOUNT ISL</v>
          </cell>
          <cell r="I679">
            <v>-17543841.850000001</v>
          </cell>
        </row>
        <row r="680">
          <cell r="D680">
            <v>23505380</v>
          </cell>
          <cell r="E680" t="str">
            <v>GA00B10</v>
          </cell>
          <cell r="F680" t="str">
            <v>Standard Charter (Vasant) 523-0-513377-9</v>
          </cell>
          <cell r="I680">
            <v>62662.47</v>
          </cell>
        </row>
        <row r="681">
          <cell r="D681">
            <v>23505400</v>
          </cell>
          <cell r="E681" t="str">
            <v>GA0B3</v>
          </cell>
          <cell r="F681" t="str">
            <v>Hdfc (Delhi)- 00030340000657</v>
          </cell>
          <cell r="I681">
            <v>3843867.08</v>
          </cell>
        </row>
        <row r="682">
          <cell r="D682">
            <v>23505420</v>
          </cell>
          <cell r="E682" t="str">
            <v>GA00B7</v>
          </cell>
          <cell r="F682" t="str">
            <v>0032340000015 Hdfc Isl Client A/C</v>
          </cell>
          <cell r="I682">
            <v>-8618483.4700000007</v>
          </cell>
        </row>
        <row r="683">
          <cell r="D683">
            <v>23505430</v>
          </cell>
          <cell r="E683" t="str">
            <v>GA00B82</v>
          </cell>
          <cell r="F683" t="str">
            <v>Hdfc Bank Ltd.</v>
          </cell>
          <cell r="I683">
            <v>-34488387.280000001</v>
          </cell>
        </row>
        <row r="684">
          <cell r="D684">
            <v>23505440</v>
          </cell>
          <cell r="E684" t="str">
            <v>GA00B153</v>
          </cell>
          <cell r="F684" t="str">
            <v xml:space="preserve"> ICICI BANK LTD. 663005113762</v>
          </cell>
          <cell r="I684">
            <v>0</v>
          </cell>
        </row>
        <row r="685">
          <cell r="D685">
            <v>23505450</v>
          </cell>
          <cell r="E685" t="str">
            <v>GA00B03</v>
          </cell>
          <cell r="F685" t="str">
            <v>Citi Bank 325250003</v>
          </cell>
          <cell r="I685">
            <v>-4943993.3</v>
          </cell>
        </row>
        <row r="686">
          <cell r="D686">
            <v>23510510</v>
          </cell>
          <cell r="E686" t="str">
            <v>GA00B507</v>
          </cell>
          <cell r="F686" t="str">
            <v>Bank Of India-Client A/c 600320110000136</v>
          </cell>
          <cell r="I686">
            <v>104976.43</v>
          </cell>
        </row>
        <row r="687">
          <cell r="D687">
            <v>23511750</v>
          </cell>
          <cell r="E687" t="str">
            <v>GA00B603</v>
          </cell>
          <cell r="F687" t="str">
            <v>AXIS Bank 007010200049799</v>
          </cell>
          <cell r="I687">
            <v>592023.06000000006</v>
          </cell>
        </row>
        <row r="688">
          <cell r="D688">
            <v>23515110</v>
          </cell>
          <cell r="E688" t="str">
            <v>GA00B590</v>
          </cell>
          <cell r="F688" t="str">
            <v>Indusind Bank A/c  0148-AZ0161-050</v>
          </cell>
          <cell r="I688">
            <v>-863807.08</v>
          </cell>
        </row>
        <row r="689">
          <cell r="D689">
            <v>23515240</v>
          </cell>
          <cell r="E689" t="str">
            <v>GA00B850</v>
          </cell>
          <cell r="F689" t="str">
            <v>ISL A/c No. 910020000572673 Axis Bank Ltd</v>
          </cell>
          <cell r="I689">
            <v>10000</v>
          </cell>
        </row>
        <row r="690">
          <cell r="D690">
            <v>23515770</v>
          </cell>
          <cell r="E690" t="str">
            <v>GA00B855</v>
          </cell>
          <cell r="F690" t="str">
            <v>BANK OF BRODA Client 00950200000776</v>
          </cell>
          <cell r="I690">
            <v>355875.49</v>
          </cell>
        </row>
        <row r="691">
          <cell r="D691">
            <v>23515860</v>
          </cell>
          <cell r="E691" t="str">
            <v>GA00B19</v>
          </cell>
          <cell r="F691" t="str">
            <v>Citi Bank A/c 29232229 Client A/c</v>
          </cell>
          <cell r="I691">
            <v>0</v>
          </cell>
        </row>
        <row r="692">
          <cell r="D692">
            <v>23515990</v>
          </cell>
          <cell r="E692" t="str">
            <v>GA00B254</v>
          </cell>
          <cell r="F692" t="str">
            <v>ICICI BANK, 000705034254 Client A/c</v>
          </cell>
          <cell r="I692">
            <v>-3160138.54</v>
          </cell>
        </row>
        <row r="693">
          <cell r="D693">
            <v>23516000</v>
          </cell>
          <cell r="E693" t="str">
            <v>GA00B857</v>
          </cell>
          <cell r="F693" t="str">
            <v>STATE BANK OF INDIA 31269652734 Client A/C</v>
          </cell>
          <cell r="I693">
            <v>530675.23</v>
          </cell>
        </row>
        <row r="694">
          <cell r="D694">
            <v>23516010</v>
          </cell>
          <cell r="E694" t="str">
            <v>GA00B859</v>
          </cell>
          <cell r="F694" t="str">
            <v>Indusind Bank A/c - 0148-AZ0161-051Client A/c</v>
          </cell>
          <cell r="I694">
            <v>0</v>
          </cell>
        </row>
        <row r="695">
          <cell r="D695">
            <v>23516260</v>
          </cell>
          <cell r="E695" t="str">
            <v>GA00B860</v>
          </cell>
          <cell r="F695" t="str">
            <v>HDFC Bank Ltd. A/c 00030340047431 - MCX SX Client</v>
          </cell>
          <cell r="I695">
            <v>10000</v>
          </cell>
        </row>
        <row r="696">
          <cell r="D696">
            <v>23520880</v>
          </cell>
          <cell r="E696" t="str">
            <v>GA00B16</v>
          </cell>
          <cell r="F696" t="str">
            <v>HDFC BANK 5982340005073</v>
          </cell>
          <cell r="I696">
            <v>10000</v>
          </cell>
        </row>
        <row r="697">
          <cell r="D697">
            <v>23520890</v>
          </cell>
          <cell r="E697" t="str">
            <v>GIPO</v>
          </cell>
          <cell r="F697" t="str">
            <v>HDFC BANK '0030340025525</v>
          </cell>
          <cell r="I697">
            <v>13644.28</v>
          </cell>
        </row>
        <row r="698">
          <cell r="D698">
            <v>23520900</v>
          </cell>
          <cell r="E698" t="str">
            <v>GA00B17</v>
          </cell>
          <cell r="F698" t="str">
            <v>ICICI BANK  000705017636</v>
          </cell>
          <cell r="I698">
            <v>0</v>
          </cell>
        </row>
        <row r="699">
          <cell r="D699">
            <v>23520910</v>
          </cell>
          <cell r="E699" t="str">
            <v>GA00B15</v>
          </cell>
          <cell r="F699" t="str">
            <v>IDBI BANK 038102000010779</v>
          </cell>
          <cell r="I699">
            <v>10000</v>
          </cell>
        </row>
        <row r="700">
          <cell r="D700">
            <v>23517990</v>
          </cell>
          <cell r="E700" t="str">
            <v>GA00B625</v>
          </cell>
          <cell r="F700" t="str">
            <v>HDFC Bank Ltd. A/c 00030340052965 Client A/c</v>
          </cell>
          <cell r="I700">
            <v>16104.18</v>
          </cell>
        </row>
        <row r="701">
          <cell r="D701">
            <v>23527160</v>
          </cell>
          <cell r="F701" t="str">
            <v>HDFC Bank ltd- Client A/c</v>
          </cell>
          <cell r="I701">
            <v>253759.15</v>
          </cell>
        </row>
        <row r="702">
          <cell r="D702">
            <v>23518150</v>
          </cell>
          <cell r="F702" t="str">
            <v>HDFC Bank  A/c No. 12280340000018</v>
          </cell>
          <cell r="I702">
            <v>16555.38</v>
          </cell>
        </row>
        <row r="703">
          <cell r="D703">
            <v>23505470</v>
          </cell>
          <cell r="E703" t="str">
            <v>GA00B4</v>
          </cell>
          <cell r="F703" t="str">
            <v>0990650000155  Hdfc  Bank</v>
          </cell>
          <cell r="I703">
            <v>243904</v>
          </cell>
        </row>
        <row r="704">
          <cell r="D704">
            <v>23525600</v>
          </cell>
          <cell r="F704" t="str">
            <v>Yes Bank Ltd 000185600000310 MCXSX EXCHNG DUES A/C</v>
          </cell>
          <cell r="I704">
            <v>0</v>
          </cell>
        </row>
        <row r="705">
          <cell r="D705">
            <v>23525630</v>
          </cell>
          <cell r="F705" t="str">
            <v>Yes Bank Ltd 000185600000341 MCXSX CASH SETT A/C</v>
          </cell>
          <cell r="I705">
            <v>0</v>
          </cell>
        </row>
        <row r="706">
          <cell r="D706">
            <v>23505480</v>
          </cell>
          <cell r="E706" t="str">
            <v>GA00B81</v>
          </cell>
          <cell r="F706" t="str">
            <v>Hdfc F&amp;O Clearing (0990630001246)</v>
          </cell>
          <cell r="I706">
            <v>100000</v>
          </cell>
        </row>
        <row r="707">
          <cell r="D707">
            <v>23505490</v>
          </cell>
          <cell r="E707" t="str">
            <v>GA00B125</v>
          </cell>
          <cell r="F707" t="str">
            <v>Icici Bank - Bse Clearing Account 000405019074</v>
          </cell>
          <cell r="I707">
            <v>12610.55</v>
          </cell>
        </row>
        <row r="708">
          <cell r="D708">
            <v>23505500</v>
          </cell>
          <cell r="E708" t="str">
            <v>GA00B1</v>
          </cell>
          <cell r="F708" t="str">
            <v>Hdfc Bank (246 Clearing A/C 02) 990610000246</v>
          </cell>
          <cell r="I708">
            <v>100000</v>
          </cell>
        </row>
        <row r="709">
          <cell r="D709">
            <v>23515220</v>
          </cell>
          <cell r="E709" t="str">
            <v>GA00B550</v>
          </cell>
          <cell r="F709" t="str">
            <v>ISL A/c No. 910020000663449 Axis Bank Ltd</v>
          </cell>
          <cell r="I709">
            <v>11124404.859999999</v>
          </cell>
        </row>
        <row r="710">
          <cell r="D710">
            <v>23515510</v>
          </cell>
          <cell r="E710" t="str">
            <v>GA00B126</v>
          </cell>
          <cell r="F710" t="str">
            <v>ISL BSE F&amp;O Settla/c ICICI Bank Ltd 000405058620</v>
          </cell>
          <cell r="I710">
            <v>190706.45</v>
          </cell>
        </row>
        <row r="711">
          <cell r="D711">
            <v>23520850</v>
          </cell>
          <cell r="E711" t="str">
            <v>GA00B605</v>
          </cell>
          <cell r="F711" t="str">
            <v>00990630003199 (Settlement a\c ) HDFC BANK A\C</v>
          </cell>
          <cell r="I711">
            <v>876647.68</v>
          </cell>
        </row>
        <row r="712">
          <cell r="D712">
            <v>23517520</v>
          </cell>
          <cell r="F712" t="str">
            <v>HDFC Bank Ltd. A/c 05982340006657</v>
          </cell>
          <cell r="I712">
            <v>11429.7</v>
          </cell>
        </row>
        <row r="713">
          <cell r="D713">
            <v>23521320</v>
          </cell>
          <cell r="E713" t="str">
            <v>GA00B856</v>
          </cell>
          <cell r="F713" t="str">
            <v>Canara Bank A/c 2577201017424 (ISL)</v>
          </cell>
          <cell r="I713">
            <v>79334</v>
          </cell>
        </row>
        <row r="714">
          <cell r="D714">
            <v>23500540</v>
          </cell>
          <cell r="F714" t="str">
            <v>3002340000055 Hdfc Bank</v>
          </cell>
          <cell r="I714">
            <v>0</v>
          </cell>
        </row>
        <row r="715">
          <cell r="D715">
            <v>23515390</v>
          </cell>
          <cell r="F715" t="str">
            <v>HDFC Bank Ltd.(Inst &amp; Client Sett)- 00030340042231</v>
          </cell>
          <cell r="I715">
            <v>10000</v>
          </cell>
        </row>
        <row r="716">
          <cell r="D716">
            <v>23518200</v>
          </cell>
          <cell r="F716" t="str">
            <v>UCO Bank A/c '01200210001080 Salary A/c</v>
          </cell>
          <cell r="I716">
            <v>0</v>
          </cell>
        </row>
        <row r="717">
          <cell r="D717">
            <v>23526800</v>
          </cell>
          <cell r="F717" t="str">
            <v>Yes Bank Ltd. 000183000002494 Business A/c</v>
          </cell>
          <cell r="I717">
            <v>-1496733.42</v>
          </cell>
        </row>
        <row r="718">
          <cell r="D718">
            <v>12160053</v>
          </cell>
          <cell r="F718" t="str">
            <v>AXIS BANK LTD. 911030044553906</v>
          </cell>
          <cell r="I718">
            <v>99.74</v>
          </cell>
        </row>
        <row r="719">
          <cell r="D719">
            <v>23527890</v>
          </cell>
          <cell r="F719" t="str">
            <v>HDFC BANK 00030140000471 OD</v>
          </cell>
          <cell r="I719">
            <v>9887.64</v>
          </cell>
        </row>
        <row r="720">
          <cell r="D720">
            <v>23528200</v>
          </cell>
          <cell r="F720" t="str">
            <v>State Bank of India A/c -  33798489485</v>
          </cell>
          <cell r="I720">
            <v>40000</v>
          </cell>
        </row>
        <row r="721">
          <cell r="D721">
            <v>23517590</v>
          </cell>
          <cell r="F721" t="str">
            <v>SBI A/c No. 31748946887 Indiabulls Securities Ltd.</v>
          </cell>
          <cell r="I721">
            <v>48264</v>
          </cell>
        </row>
        <row r="722">
          <cell r="F722" t="str">
            <v>Temporary Overdrawn bank balances as per books</v>
          </cell>
          <cell r="I722">
            <v>0</v>
          </cell>
        </row>
        <row r="723">
          <cell r="F723" t="str">
            <v>DP Bank</v>
          </cell>
        </row>
        <row r="724">
          <cell r="F724" t="str">
            <v>Positive OD Bank Accounts</v>
          </cell>
        </row>
        <row r="726">
          <cell r="F726" t="str">
            <v>Unclaimed dividend account</v>
          </cell>
        </row>
        <row r="728">
          <cell r="D728">
            <v>23514070</v>
          </cell>
          <cell r="F728" t="str">
            <v>HDFC Bank Ltd. 05988510000240 ISL DIVIDEND 07-08</v>
          </cell>
          <cell r="I728">
            <v>4161945.5</v>
          </cell>
        </row>
        <row r="729">
          <cell r="D729">
            <v>23522600</v>
          </cell>
          <cell r="F729" t="str">
            <v>Yes Bank 000184400003981- Interim Dividend 2012-13</v>
          </cell>
          <cell r="I729">
            <v>2555448</v>
          </cell>
        </row>
        <row r="730">
          <cell r="D730">
            <v>23525700</v>
          </cell>
          <cell r="F730" t="str">
            <v>Axis 913020004572245 Interim Divid 2012-13 -II</v>
          </cell>
          <cell r="I730">
            <v>2307369</v>
          </cell>
        </row>
        <row r="731">
          <cell r="D731">
            <v>23525730</v>
          </cell>
          <cell r="F731" t="str">
            <v>Axis Bank 913020004572520 Interim Div A/c 2012-13</v>
          </cell>
          <cell r="I731">
            <v>0</v>
          </cell>
        </row>
        <row r="732">
          <cell r="D732">
            <v>23515830</v>
          </cell>
          <cell r="F732" t="str">
            <v>Axis Bank 910020018494420 Dividend A/c</v>
          </cell>
          <cell r="I732">
            <v>2451078</v>
          </cell>
        </row>
        <row r="733">
          <cell r="D733">
            <v>23516290</v>
          </cell>
          <cell r="F733" t="str">
            <v>HDFC Bank 05988510000586 DIVIDEND A/C 2010-2011</v>
          </cell>
          <cell r="I733">
            <v>1870339</v>
          </cell>
        </row>
        <row r="734">
          <cell r="D734">
            <v>23528010</v>
          </cell>
          <cell r="F734" t="str">
            <v>Axis Bank 914020014255429 Inter divi IV_13-14</v>
          </cell>
          <cell r="I734">
            <v>1615004</v>
          </cell>
        </row>
        <row r="735">
          <cell r="D735">
            <v>23526010</v>
          </cell>
          <cell r="F735" t="str">
            <v>Axis Bank 913020020658570 Inte Divid III A/c 12-13</v>
          </cell>
          <cell r="I735">
            <v>2029765</v>
          </cell>
        </row>
        <row r="736">
          <cell r="D736">
            <v>23526870</v>
          </cell>
          <cell r="F736" t="str">
            <v>Axis Bank 913020034658050 Interim Dividend 2013-14</v>
          </cell>
          <cell r="I736">
            <v>1699418</v>
          </cell>
        </row>
        <row r="737">
          <cell r="D737">
            <v>23526920</v>
          </cell>
          <cell r="F737" t="str">
            <v>Axis Bank 913020034658966 Inter Divi A/c 13-14 ECS</v>
          </cell>
          <cell r="I737">
            <v>0</v>
          </cell>
        </row>
        <row r="738">
          <cell r="D738">
            <v>23527240</v>
          </cell>
          <cell r="F738" t="str">
            <v>IDBI Bank 0127103000013800 Inte Divid II A/c 13-14</v>
          </cell>
          <cell r="I738">
            <v>1882427</v>
          </cell>
        </row>
        <row r="739">
          <cell r="D739">
            <v>23528100</v>
          </cell>
          <cell r="F739" t="str">
            <v>Axis Bank 914020014256095 Inter divi IV_13-14 ECS</v>
          </cell>
          <cell r="I739">
            <v>100</v>
          </cell>
        </row>
        <row r="740">
          <cell r="D740">
            <v>23527670</v>
          </cell>
          <cell r="F740" t="str">
            <v>YES BANK 000184400006551 Inte Divid III_13-14</v>
          </cell>
          <cell r="I740">
            <v>1813244</v>
          </cell>
        </row>
        <row r="741">
          <cell r="D741">
            <v>23520127</v>
          </cell>
          <cell r="F741" t="str">
            <v>ISL-DIVIDEND A/C-08-09 -HDFC 05988510000422</v>
          </cell>
          <cell r="I741">
            <v>2001638</v>
          </cell>
        </row>
        <row r="742">
          <cell r="D742">
            <v>23528370</v>
          </cell>
          <cell r="F742" t="str">
            <v>HDFC Bank 50200006765934 Inter divi 14-15</v>
          </cell>
          <cell r="I742">
            <v>260776036</v>
          </cell>
        </row>
        <row r="744">
          <cell r="D744">
            <v>23510570</v>
          </cell>
          <cell r="E744" t="str">
            <v>GFDR</v>
          </cell>
          <cell r="F744" t="str">
            <v>FDR General</v>
          </cell>
          <cell r="I744">
            <v>1066120276.36</v>
          </cell>
        </row>
        <row r="746">
          <cell r="D746">
            <v>90000265</v>
          </cell>
          <cell r="E746" t="str">
            <v>GINRE</v>
          </cell>
          <cell r="F746" t="str">
            <v>INTEREST RECEIVABLE ON FDR</v>
          </cell>
          <cell r="I746">
            <v>12696030.619999999</v>
          </cell>
        </row>
        <row r="752">
          <cell r="D752">
            <v>14890671</v>
          </cell>
          <cell r="F752" t="str">
            <v>Provision For Doubtful Security Deposits</v>
          </cell>
          <cell r="G752" t="str">
            <v>Other Non-Current Assets</v>
          </cell>
          <cell r="H752" t="str">
            <v>Security Deposits</v>
          </cell>
          <cell r="I752">
            <v>-20435138.91</v>
          </cell>
        </row>
        <row r="755">
          <cell r="F755" t="str">
            <v>ARCK</v>
          </cell>
        </row>
        <row r="756">
          <cell r="F756" t="str">
            <v>ARCK Sheet</v>
          </cell>
        </row>
        <row r="759">
          <cell r="F759" t="str">
            <v>ICD Given - ARCK Sheet</v>
          </cell>
        </row>
        <row r="762">
          <cell r="D762">
            <v>43500002</v>
          </cell>
          <cell r="E762" t="str">
            <v>GCBROK</v>
          </cell>
          <cell r="F762" t="str">
            <v>Brokerage Curreny Derivate</v>
          </cell>
          <cell r="I762">
            <v>-1223507.3</v>
          </cell>
        </row>
        <row r="763">
          <cell r="D763">
            <v>44020018</v>
          </cell>
          <cell r="E763" t="str">
            <v>GBROK</v>
          </cell>
          <cell r="F763" t="str">
            <v>Brokerage Income</v>
          </cell>
          <cell r="I763">
            <v>-75665544.569999993</v>
          </cell>
        </row>
        <row r="764">
          <cell r="D764">
            <v>44020019</v>
          </cell>
          <cell r="E764" t="str">
            <v>GBBROK</v>
          </cell>
          <cell r="F764" t="str">
            <v>Brokerage Income Bse</v>
          </cell>
          <cell r="I764">
            <v>-5506939.4400000004</v>
          </cell>
        </row>
        <row r="765">
          <cell r="D765">
            <v>44020020</v>
          </cell>
          <cell r="E765" t="str">
            <v>GFBROK</v>
          </cell>
          <cell r="F765" t="str">
            <v>Brokerage Income F&amp;O</v>
          </cell>
          <cell r="I765">
            <v>-82359228.620000005</v>
          </cell>
        </row>
        <row r="766">
          <cell r="D766">
            <v>44020125</v>
          </cell>
          <cell r="E766" t="str">
            <v>GBROKS</v>
          </cell>
          <cell r="F766" t="str">
            <v>BROKERAGE &amp; SERVICE CHARGES-SCHEME</v>
          </cell>
          <cell r="I766">
            <v>-1606591.34</v>
          </cell>
        </row>
        <row r="767">
          <cell r="D767">
            <v>44020147</v>
          </cell>
          <cell r="E767" t="str">
            <v>GIBROK</v>
          </cell>
          <cell r="F767" t="str">
            <v>Brokerage Income – Institutional</v>
          </cell>
          <cell r="I767">
            <v>0</v>
          </cell>
        </row>
        <row r="770">
          <cell r="D770">
            <v>44020002</v>
          </cell>
          <cell r="E770" t="str">
            <v>GINT1</v>
          </cell>
          <cell r="F770" t="str">
            <v>Interest</v>
          </cell>
          <cell r="I770">
            <v>-17488007.859999999</v>
          </cell>
        </row>
        <row r="772">
          <cell r="D772">
            <v>46000123</v>
          </cell>
          <cell r="E772" t="str">
            <v>GIDP</v>
          </cell>
          <cell r="F772" t="str">
            <v>DP INCOME A/C</v>
          </cell>
          <cell r="I772">
            <v>-21965658.640000001</v>
          </cell>
        </row>
        <row r="774">
          <cell r="D774">
            <v>44020032</v>
          </cell>
          <cell r="E774" t="str">
            <v>GTRANS</v>
          </cell>
          <cell r="F774" t="str">
            <v>Other Charges (including transaction Charges) NSE</v>
          </cell>
          <cell r="I774">
            <v>-3713465.74</v>
          </cell>
        </row>
        <row r="775">
          <cell r="D775">
            <v>44020034</v>
          </cell>
          <cell r="E775" t="str">
            <v>GBTRANS</v>
          </cell>
          <cell r="F775" t="str">
            <v>Other Charges (including transaction Charges) BSE</v>
          </cell>
          <cell r="I775">
            <v>-261100.37</v>
          </cell>
        </row>
        <row r="776">
          <cell r="D776">
            <v>44020035</v>
          </cell>
          <cell r="E776" t="str">
            <v>GFTRANS</v>
          </cell>
          <cell r="F776" t="str">
            <v>Other Charges (including transaction Charges) F&amp;O</v>
          </cell>
          <cell r="I776">
            <v>-6452936.4699999997</v>
          </cell>
        </row>
        <row r="777">
          <cell r="D777">
            <v>44020036</v>
          </cell>
          <cell r="E777" t="str">
            <v>GTRAN</v>
          </cell>
          <cell r="F777" t="str">
            <v>Other Charges(including transaction Charges)Refund</v>
          </cell>
          <cell r="I777">
            <v>868083.41</v>
          </cell>
        </row>
        <row r="778">
          <cell r="D778">
            <v>44020077</v>
          </cell>
          <cell r="E778" t="str">
            <v>GSDTX</v>
          </cell>
          <cell r="F778" t="str">
            <v>Other Charg(includ transaction Charges)Service Tax</v>
          </cell>
          <cell r="I778">
            <v>804582</v>
          </cell>
        </row>
        <row r="779">
          <cell r="D779">
            <v>46000044</v>
          </cell>
          <cell r="E779" t="str">
            <v>GTRXNCG</v>
          </cell>
          <cell r="F779" t="str">
            <v>Other Charges(includ transaction Charges)-GTRXNCG</v>
          </cell>
          <cell r="I779">
            <v>-6796409.3399999999</v>
          </cell>
        </row>
        <row r="780">
          <cell r="D780">
            <v>46000045</v>
          </cell>
          <cell r="E780" t="str">
            <v>GL01002</v>
          </cell>
          <cell r="F780" t="str">
            <v>Other Charges(includ transaction Charges)-GLO1002</v>
          </cell>
          <cell r="I780">
            <v>6772860.0800000001</v>
          </cell>
        </row>
        <row r="781">
          <cell r="D781">
            <v>46000136</v>
          </cell>
          <cell r="E781" t="str">
            <v>GSDT</v>
          </cell>
          <cell r="F781" t="str">
            <v>Other Processing Charges - BSE</v>
          </cell>
          <cell r="I781">
            <v>-784999.82</v>
          </cell>
        </row>
        <row r="782">
          <cell r="D782">
            <v>44020193</v>
          </cell>
          <cell r="E782" t="str">
            <v>GCTRANS</v>
          </cell>
          <cell r="F782" t="str">
            <v>Other Charges (including transaction Charges) CDS</v>
          </cell>
          <cell r="I782">
            <v>-43826.2</v>
          </cell>
        </row>
        <row r="783">
          <cell r="D783">
            <v>46000137</v>
          </cell>
          <cell r="E783" t="str">
            <v>GSDT</v>
          </cell>
          <cell r="F783" t="str">
            <v>Other Processing Charges - NSE</v>
          </cell>
          <cell r="I783">
            <v>-9506169.5</v>
          </cell>
        </row>
        <row r="786">
          <cell r="D786">
            <v>44010001</v>
          </cell>
          <cell r="E786" t="str">
            <v>GINTR</v>
          </cell>
          <cell r="F786" t="str">
            <v>Interest On FDR</v>
          </cell>
          <cell r="I786">
            <v>-39012680.520000003</v>
          </cell>
        </row>
        <row r="788">
          <cell r="D788">
            <v>44100004</v>
          </cell>
          <cell r="E788" t="str">
            <v>GIADV</v>
          </cell>
          <cell r="F788" t="str">
            <v>Advisory Income</v>
          </cell>
          <cell r="I788">
            <v>0</v>
          </cell>
        </row>
        <row r="790">
          <cell r="D790">
            <v>44020014</v>
          </cell>
          <cell r="E790" t="str">
            <v>GAOC</v>
          </cell>
          <cell r="F790" t="str">
            <v>Income from Account Opening Charges</v>
          </cell>
          <cell r="I790">
            <v>-179824.5</v>
          </cell>
        </row>
        <row r="791">
          <cell r="D791">
            <v>44020025</v>
          </cell>
          <cell r="E791" t="str">
            <v>GMFB</v>
          </cell>
          <cell r="F791" t="str">
            <v>Mutual Fund Brokerage</v>
          </cell>
          <cell r="I791">
            <v>-47255.49</v>
          </cell>
        </row>
        <row r="792">
          <cell r="D792">
            <v>44020038</v>
          </cell>
          <cell r="E792" t="str">
            <v>GIPOC</v>
          </cell>
          <cell r="F792" t="str">
            <v>Ipo Commission Recd</v>
          </cell>
          <cell r="I792">
            <v>-3851.46</v>
          </cell>
        </row>
        <row r="793">
          <cell r="D793">
            <v>44020041</v>
          </cell>
          <cell r="E793" t="str">
            <v>GI01010</v>
          </cell>
          <cell r="F793" t="str">
            <v>Power Activation Charges</v>
          </cell>
          <cell r="I793">
            <v>-192240</v>
          </cell>
        </row>
        <row r="794">
          <cell r="D794">
            <v>44100076</v>
          </cell>
          <cell r="E794" t="str">
            <v>IMC</v>
          </cell>
          <cell r="F794" t="str">
            <v>Account Maintenance Charges</v>
          </cell>
          <cell r="I794">
            <v>471785.16</v>
          </cell>
        </row>
        <row r="795">
          <cell r="D795">
            <v>44020043</v>
          </cell>
          <cell r="F795" t="str">
            <v>Income-Equity Analysis</v>
          </cell>
          <cell r="I795">
            <v>0</v>
          </cell>
        </row>
        <row r="798">
          <cell r="D798">
            <v>44000000</v>
          </cell>
          <cell r="F798" t="str">
            <v>Interest received-Inter company deposits</v>
          </cell>
          <cell r="I798">
            <v>-88080493</v>
          </cell>
        </row>
        <row r="800">
          <cell r="D800">
            <v>45000000</v>
          </cell>
          <cell r="I800">
            <v>0</v>
          </cell>
        </row>
        <row r="803">
          <cell r="D803">
            <v>44020006</v>
          </cell>
          <cell r="E803" t="str">
            <v>GDIVMF</v>
          </cell>
          <cell r="F803" t="str">
            <v>Dividend On Mutual Fund</v>
          </cell>
          <cell r="I803">
            <v>0</v>
          </cell>
        </row>
        <row r="804">
          <cell r="D804">
            <v>44000027</v>
          </cell>
          <cell r="F804" t="str">
            <v>Dividend Income from Subsidiary Company</v>
          </cell>
          <cell r="I804">
            <v>-130000000</v>
          </cell>
        </row>
        <row r="805">
          <cell r="D805">
            <v>44020015</v>
          </cell>
          <cell r="E805" t="str">
            <v>GDIVPR</v>
          </cell>
          <cell r="F805" t="str">
            <v>Dividend Income (Pro Account)</v>
          </cell>
          <cell r="I805">
            <v>0</v>
          </cell>
        </row>
        <row r="806">
          <cell r="D806">
            <v>44100014</v>
          </cell>
          <cell r="F806" t="str">
            <v>Dividend Copal Partners Ltd</v>
          </cell>
          <cell r="I806">
            <v>-9271866.1899999995</v>
          </cell>
        </row>
        <row r="809">
          <cell r="D809">
            <v>50100023</v>
          </cell>
          <cell r="E809" t="str">
            <v>GSTMP</v>
          </cell>
          <cell r="F809" t="str">
            <v>Stamp Paper Expenses</v>
          </cell>
          <cell r="I809">
            <v>4012</v>
          </cell>
        </row>
        <row r="810">
          <cell r="D810">
            <v>50100024</v>
          </cell>
          <cell r="E810" t="str">
            <v>GSTAM</v>
          </cell>
          <cell r="F810" t="str">
            <v>Stamp Duty Charges</v>
          </cell>
          <cell r="I810">
            <v>7685380</v>
          </cell>
        </row>
        <row r="811">
          <cell r="D811">
            <v>58165012</v>
          </cell>
          <cell r="F811" t="str">
            <v>Stamp Paper/Franking Charges</v>
          </cell>
          <cell r="I811">
            <v>88470</v>
          </cell>
        </row>
        <row r="813">
          <cell r="D813">
            <v>58242025</v>
          </cell>
          <cell r="F813" t="str">
            <v>Demat Charges</v>
          </cell>
          <cell r="I813">
            <v>0</v>
          </cell>
        </row>
        <row r="814">
          <cell r="D814">
            <v>50100054</v>
          </cell>
          <cell r="E814" t="str">
            <v>GSEBI</v>
          </cell>
          <cell r="F814" t="str">
            <v>Sebi Charges</v>
          </cell>
          <cell r="I814">
            <v>13015.32</v>
          </cell>
        </row>
        <row r="815">
          <cell r="D815">
            <v>50100053</v>
          </cell>
          <cell r="F815" t="str">
            <v>Sebi Registration Fees</v>
          </cell>
          <cell r="I815">
            <v>0</v>
          </cell>
        </row>
        <row r="816">
          <cell r="D816">
            <v>50100055</v>
          </cell>
          <cell r="F816" t="str">
            <v>Sebi Turnover Fee</v>
          </cell>
          <cell r="I816">
            <v>424746.4</v>
          </cell>
        </row>
        <row r="817">
          <cell r="D817">
            <v>50100068</v>
          </cell>
          <cell r="F817" t="str">
            <v>SEBI Fees for Renewal of Reg. as Merchant Banker</v>
          </cell>
          <cell r="I817">
            <v>0</v>
          </cell>
        </row>
        <row r="818">
          <cell r="D818">
            <v>56000166</v>
          </cell>
          <cell r="E818" t="str">
            <v>GEPM</v>
          </cell>
          <cell r="F818" t="str">
            <v>SEBI FEES FOR PORTFLIO MANAGEMENT</v>
          </cell>
          <cell r="I818">
            <v>0</v>
          </cell>
        </row>
        <row r="820">
          <cell r="D820">
            <v>50100012</v>
          </cell>
          <cell r="E820" t="str">
            <v>GCOMMB</v>
          </cell>
          <cell r="F820" t="str">
            <v>Commission &amp; Brokerage (Rent)</v>
          </cell>
          <cell r="I820">
            <v>0</v>
          </cell>
        </row>
        <row r="821">
          <cell r="D821">
            <v>50100065</v>
          </cell>
          <cell r="E821" t="str">
            <v>GCOB</v>
          </cell>
          <cell r="F821" t="str">
            <v>Commision</v>
          </cell>
          <cell r="I821">
            <v>417500</v>
          </cell>
        </row>
        <row r="823">
          <cell r="D823">
            <v>58040130</v>
          </cell>
          <cell r="F823" t="str">
            <v>Annual Custody Fee A/c</v>
          </cell>
          <cell r="I823">
            <v>185693.84</v>
          </cell>
        </row>
        <row r="824">
          <cell r="D824">
            <v>58040131</v>
          </cell>
          <cell r="F824" t="str">
            <v>Annual Issuer Fee A/c</v>
          </cell>
          <cell r="I824">
            <v>122542.73</v>
          </cell>
        </row>
        <row r="825">
          <cell r="D825">
            <v>56000164</v>
          </cell>
          <cell r="E825" t="str">
            <v>GDEPO</v>
          </cell>
          <cell r="F825" t="str">
            <v>Depository Charges</v>
          </cell>
          <cell r="I825">
            <v>1683160.95</v>
          </cell>
        </row>
        <row r="826">
          <cell r="D826">
            <v>50100011</v>
          </cell>
          <cell r="E826" t="str">
            <v>GL00117</v>
          </cell>
          <cell r="F826" t="str">
            <v>Nse Transaction Charges  (Exp. )</v>
          </cell>
          <cell r="I826">
            <v>6816837.6799999997</v>
          </cell>
        </row>
        <row r="827">
          <cell r="D827">
            <v>50100026</v>
          </cell>
          <cell r="E827" t="str">
            <v>GL00118</v>
          </cell>
          <cell r="F827" t="str">
            <v>Bse Transaction Charges (Exp)</v>
          </cell>
          <cell r="I827">
            <v>81636.240000000005</v>
          </cell>
        </row>
        <row r="829">
          <cell r="D829">
            <v>50100020</v>
          </cell>
          <cell r="E829" t="str">
            <v>GMEMB</v>
          </cell>
          <cell r="F829" t="str">
            <v>Membership Fees</v>
          </cell>
          <cell r="I829">
            <v>275713.94</v>
          </cell>
        </row>
        <row r="830">
          <cell r="D830">
            <v>58030001</v>
          </cell>
          <cell r="F830" t="str">
            <v>Annual Listing Fees</v>
          </cell>
          <cell r="I830">
            <v>80219.17</v>
          </cell>
        </row>
        <row r="833">
          <cell r="D833">
            <v>50100111</v>
          </cell>
          <cell r="E833" t="str">
            <v>GWEBH</v>
          </cell>
          <cell r="F833" t="str">
            <v>Web Hosting Charges</v>
          </cell>
          <cell r="I833">
            <v>2632132.0699999998</v>
          </cell>
        </row>
        <row r="835">
          <cell r="D835">
            <v>50100010</v>
          </cell>
          <cell r="E835" t="str">
            <v>GVSAT</v>
          </cell>
          <cell r="F835" t="str">
            <v>Vsat Charges</v>
          </cell>
          <cell r="I835">
            <v>318746.21999999997</v>
          </cell>
        </row>
        <row r="837">
          <cell r="D837">
            <v>55230001</v>
          </cell>
          <cell r="F837" t="str">
            <v>MPLS Charges</v>
          </cell>
          <cell r="I837">
            <v>440063.96</v>
          </cell>
        </row>
        <row r="838">
          <cell r="D838">
            <v>58040008</v>
          </cell>
          <cell r="E838" t="str">
            <v>GINTN</v>
          </cell>
          <cell r="F838" t="str">
            <v>Internet Band Width Cost</v>
          </cell>
          <cell r="I838">
            <v>91288.31</v>
          </cell>
        </row>
        <row r="839">
          <cell r="D839">
            <v>58040009</v>
          </cell>
          <cell r="E839" t="str">
            <v>GLEAS</v>
          </cell>
          <cell r="F839" t="str">
            <v>Lease Line Charges</v>
          </cell>
          <cell r="I839">
            <v>908085.58</v>
          </cell>
        </row>
        <row r="842">
          <cell r="D842">
            <v>62100010</v>
          </cell>
          <cell r="E842" t="str">
            <v>GCONT</v>
          </cell>
          <cell r="F842" t="str">
            <v>Content Expenses</v>
          </cell>
          <cell r="I842">
            <v>403496.96000000002</v>
          </cell>
        </row>
        <row r="844">
          <cell r="D844">
            <v>50100025</v>
          </cell>
          <cell r="E844" t="str">
            <v>GSOFT</v>
          </cell>
          <cell r="F844" t="str">
            <v>Software Charges</v>
          </cell>
          <cell r="I844">
            <v>186123.07</v>
          </cell>
        </row>
        <row r="846">
          <cell r="D846">
            <v>50100002</v>
          </cell>
          <cell r="E846" t="str">
            <v>GINCE</v>
          </cell>
          <cell r="F846" t="str">
            <v>Incentive Expenses</v>
          </cell>
          <cell r="I846">
            <v>0</v>
          </cell>
        </row>
        <row r="847">
          <cell r="D847">
            <v>50100004</v>
          </cell>
          <cell r="E847" t="str">
            <v>GSALA</v>
          </cell>
          <cell r="F847" t="str">
            <v>Salary Expenses</v>
          </cell>
          <cell r="I847">
            <v>61236373.369999997</v>
          </cell>
        </row>
        <row r="848">
          <cell r="D848">
            <v>44020133</v>
          </cell>
          <cell r="F848" t="str">
            <v>Notice Period Deduction</v>
          </cell>
          <cell r="I848">
            <v>-82027</v>
          </cell>
        </row>
        <row r="849">
          <cell r="D849">
            <v>50100102</v>
          </cell>
          <cell r="F849" t="str">
            <v>Exgratia Expense</v>
          </cell>
          <cell r="I849">
            <v>-533</v>
          </cell>
        </row>
        <row r="850">
          <cell r="D850">
            <v>50100109</v>
          </cell>
          <cell r="F850" t="str">
            <v>Bonus</v>
          </cell>
          <cell r="I850">
            <v>0</v>
          </cell>
        </row>
        <row r="851">
          <cell r="D851">
            <v>58242072</v>
          </cell>
          <cell r="F851" t="str">
            <v>Enhanced Benefit Plan</v>
          </cell>
          <cell r="I851">
            <v>0</v>
          </cell>
        </row>
        <row r="852">
          <cell r="D852">
            <v>62100009</v>
          </cell>
          <cell r="E852" t="str">
            <v>GSTIP</v>
          </cell>
          <cell r="F852" t="str">
            <v>Stipend Expenses</v>
          </cell>
          <cell r="I852">
            <v>0</v>
          </cell>
        </row>
        <row r="854">
          <cell r="D854">
            <v>50100208</v>
          </cell>
          <cell r="F854" t="str">
            <v>Labour Welfare Fund expenses</v>
          </cell>
          <cell r="I854">
            <v>6385.25</v>
          </cell>
        </row>
        <row r="855">
          <cell r="D855">
            <v>58030019</v>
          </cell>
          <cell r="F855" t="str">
            <v>ESI Expenses Employer Contribution</v>
          </cell>
          <cell r="I855">
            <v>0</v>
          </cell>
        </row>
        <row r="856">
          <cell r="D856">
            <v>58030018</v>
          </cell>
          <cell r="F856" t="str">
            <v>EPF Expenses Employer Contribution</v>
          </cell>
          <cell r="I856">
            <v>121320</v>
          </cell>
        </row>
        <row r="857">
          <cell r="D857">
            <v>58242032</v>
          </cell>
          <cell r="F857" t="str">
            <v>EPF Admin &amp; EDLI Charges</v>
          </cell>
          <cell r="I857">
            <v>14637.05</v>
          </cell>
        </row>
        <row r="858">
          <cell r="D858">
            <v>58030094</v>
          </cell>
          <cell r="F858" t="str">
            <v>Employee National Pension Scheme -Exp</v>
          </cell>
          <cell r="I858">
            <v>79594</v>
          </cell>
        </row>
        <row r="860">
          <cell r="D860">
            <v>50100032</v>
          </cell>
          <cell r="E860" t="str">
            <v>GSTAF</v>
          </cell>
          <cell r="F860" t="str">
            <v>Staff Welfare Expenses</v>
          </cell>
          <cell r="I860">
            <v>1810664.43</v>
          </cell>
        </row>
        <row r="861">
          <cell r="D861">
            <v>58040138</v>
          </cell>
          <cell r="F861" t="str">
            <v>Recovery from Bus fare</v>
          </cell>
          <cell r="I861">
            <v>12870</v>
          </cell>
        </row>
        <row r="862">
          <cell r="D862">
            <v>50100034</v>
          </cell>
          <cell r="E862" t="str">
            <v>GDIWA</v>
          </cell>
          <cell r="F862" t="str">
            <v>Diwali Expenses</v>
          </cell>
          <cell r="I862">
            <v>0</v>
          </cell>
        </row>
        <row r="863">
          <cell r="D863">
            <v>50100035</v>
          </cell>
          <cell r="F863" t="str">
            <v>Mediclaim Expenses</v>
          </cell>
          <cell r="I863">
            <v>0</v>
          </cell>
        </row>
        <row r="864">
          <cell r="D864">
            <v>50100318</v>
          </cell>
          <cell r="F864" t="str">
            <v>Pooja Expenses</v>
          </cell>
          <cell r="I864">
            <v>0</v>
          </cell>
        </row>
        <row r="865">
          <cell r="D865">
            <v>58040020</v>
          </cell>
          <cell r="F865" t="str">
            <v>TEA EXPENSES</v>
          </cell>
          <cell r="I865">
            <v>0</v>
          </cell>
        </row>
        <row r="866">
          <cell r="D866">
            <v>58040026</v>
          </cell>
          <cell r="F866" t="str">
            <v>TEA EXPENSES</v>
          </cell>
          <cell r="I866">
            <v>0</v>
          </cell>
        </row>
        <row r="867">
          <cell r="D867">
            <v>58163000</v>
          </cell>
          <cell r="F867" t="str">
            <v>Donations and Contributions</v>
          </cell>
          <cell r="I867">
            <v>0</v>
          </cell>
        </row>
        <row r="868">
          <cell r="D868">
            <v>58165016</v>
          </cell>
          <cell r="F868" t="str">
            <v>Relocation Expenses</v>
          </cell>
          <cell r="I868">
            <v>0</v>
          </cell>
        </row>
        <row r="869">
          <cell r="D869">
            <v>58040021</v>
          </cell>
          <cell r="F869" t="str">
            <v>WATER EXPENSES</v>
          </cell>
          <cell r="I869">
            <v>9108</v>
          </cell>
        </row>
        <row r="872">
          <cell r="D872">
            <v>50100003</v>
          </cell>
          <cell r="E872" t="str">
            <v>GLEAV</v>
          </cell>
          <cell r="F872" t="str">
            <v>Leave Encashment Expenses</v>
          </cell>
          <cell r="I872">
            <v>-53832</v>
          </cell>
        </row>
        <row r="873">
          <cell r="D873">
            <v>50100001</v>
          </cell>
          <cell r="E873" t="str">
            <v>GGRAT</v>
          </cell>
          <cell r="F873" t="str">
            <v>Gratuity Expenses</v>
          </cell>
          <cell r="I873">
            <v>2256484</v>
          </cell>
        </row>
        <row r="875">
          <cell r="D875">
            <v>58242015</v>
          </cell>
          <cell r="F875" t="str">
            <v>Processing Charges Expenses</v>
          </cell>
          <cell r="I875">
            <v>0</v>
          </cell>
        </row>
        <row r="876">
          <cell r="D876">
            <v>58165015</v>
          </cell>
          <cell r="E876" t="str">
            <v>GBGPC</v>
          </cell>
          <cell r="F876" t="str">
            <v>Bank Guarantee Charges</v>
          </cell>
          <cell r="I876">
            <v>2811929.03</v>
          </cell>
        </row>
        <row r="878">
          <cell r="D878">
            <v>56000003</v>
          </cell>
          <cell r="F878" t="str">
            <v>Interest On Corporate Deposits</v>
          </cell>
          <cell r="I878">
            <v>0</v>
          </cell>
        </row>
        <row r="879">
          <cell r="D879">
            <v>58242016</v>
          </cell>
          <cell r="F879" t="str">
            <v>Interest on Bank OD</v>
          </cell>
          <cell r="I879">
            <v>3228034.27</v>
          </cell>
        </row>
        <row r="880">
          <cell r="D880">
            <v>56000017</v>
          </cell>
          <cell r="E880" t="str">
            <v>GE0015</v>
          </cell>
          <cell r="F880" t="str">
            <v>Interest Paid</v>
          </cell>
          <cell r="I880">
            <v>0</v>
          </cell>
        </row>
        <row r="882">
          <cell r="D882">
            <v>50100387</v>
          </cell>
          <cell r="F882" t="str">
            <v>Interest Vikas Sachdeva Honda City (Legal)</v>
          </cell>
          <cell r="I882">
            <v>0</v>
          </cell>
        </row>
        <row r="883">
          <cell r="D883">
            <v>62100061</v>
          </cell>
          <cell r="F883" t="str">
            <v>Interest on Car Loans</v>
          </cell>
          <cell r="I883">
            <v>50574.12</v>
          </cell>
        </row>
        <row r="885">
          <cell r="D885">
            <v>56000016</v>
          </cell>
          <cell r="F885" t="str">
            <v>Interest On Ncd</v>
          </cell>
          <cell r="I885">
            <v>0</v>
          </cell>
        </row>
        <row r="887">
          <cell r="D887">
            <v>56000002</v>
          </cell>
          <cell r="F887" t="str">
            <v>Interest On Commercial Paper</v>
          </cell>
          <cell r="I887">
            <v>61283793.030000001</v>
          </cell>
        </row>
        <row r="889">
          <cell r="F889" t="str">
            <v>Lease Rent</v>
          </cell>
        </row>
        <row r="890">
          <cell r="D890">
            <v>50100038</v>
          </cell>
          <cell r="E890" t="str">
            <v>GSERV</v>
          </cell>
          <cell r="F890" t="str">
            <v>Service Charges</v>
          </cell>
          <cell r="I890">
            <v>1045884.08</v>
          </cell>
        </row>
        <row r="891">
          <cell r="D891">
            <v>58040002</v>
          </cell>
          <cell r="E891" t="str">
            <v>GRENT</v>
          </cell>
          <cell r="F891" t="str">
            <v>Rent Expenses</v>
          </cell>
          <cell r="I891">
            <v>8897142.7100000009</v>
          </cell>
        </row>
        <row r="895">
          <cell r="F895" t="str">
            <v>Rates and Taxes</v>
          </cell>
        </row>
        <row r="896">
          <cell r="D896">
            <v>58030002</v>
          </cell>
          <cell r="F896" t="str">
            <v>Filing Fees</v>
          </cell>
          <cell r="I896">
            <v>14200</v>
          </cell>
        </row>
        <row r="897">
          <cell r="D897">
            <v>50100080</v>
          </cell>
          <cell r="F897" t="str">
            <v>Registration Charges</v>
          </cell>
          <cell r="I897">
            <v>0</v>
          </cell>
        </row>
        <row r="898">
          <cell r="D898">
            <v>58040140</v>
          </cell>
          <cell r="F898" t="str">
            <v>Cenvat Reversal Exp - Negative List</v>
          </cell>
          <cell r="I898">
            <v>2116295.3199999998</v>
          </cell>
        </row>
        <row r="899">
          <cell r="D899">
            <v>50100385</v>
          </cell>
          <cell r="F899" t="str">
            <v>Wealth Tax Expenditure</v>
          </cell>
          <cell r="I899">
            <v>0</v>
          </cell>
        </row>
        <row r="900">
          <cell r="D900">
            <v>58030004</v>
          </cell>
          <cell r="E900" t="str">
            <v>GRATE</v>
          </cell>
          <cell r="F900" t="str">
            <v>Rates &amp; Taxes</v>
          </cell>
          <cell r="I900">
            <v>334036</v>
          </cell>
        </row>
        <row r="902">
          <cell r="D902">
            <v>58030016</v>
          </cell>
          <cell r="E902" t="str">
            <v>GELEC</v>
          </cell>
          <cell r="F902" t="str">
            <v>Electricity Expenses</v>
          </cell>
          <cell r="I902">
            <v>624975.32999999996</v>
          </cell>
        </row>
        <row r="904">
          <cell r="F904" t="str">
            <v>Insurance</v>
          </cell>
        </row>
        <row r="905">
          <cell r="D905">
            <v>50100058</v>
          </cell>
          <cell r="E905" t="str">
            <v>GINSV</v>
          </cell>
          <cell r="F905" t="str">
            <v>Insurance Expenses Vehicles</v>
          </cell>
          <cell r="I905">
            <v>78918.850000000006</v>
          </cell>
        </row>
        <row r="906">
          <cell r="D906">
            <v>50100060</v>
          </cell>
          <cell r="F906" t="str">
            <v>Insurance Expenses General</v>
          </cell>
          <cell r="I906">
            <v>0</v>
          </cell>
        </row>
        <row r="907">
          <cell r="D907">
            <v>50100061</v>
          </cell>
          <cell r="F907" t="str">
            <v>Insurance Expenses Stock Broker Policy</v>
          </cell>
          <cell r="I907">
            <v>82370.009999999995</v>
          </cell>
        </row>
        <row r="908">
          <cell r="D908">
            <v>58242056</v>
          </cell>
          <cell r="F908" t="str">
            <v>Insurance Expenses- Depository</v>
          </cell>
          <cell r="I908">
            <v>6350.68</v>
          </cell>
        </row>
        <row r="910">
          <cell r="F910" t="str">
            <v>Communication Expenses</v>
          </cell>
        </row>
        <row r="911">
          <cell r="D911">
            <v>50100057</v>
          </cell>
          <cell r="E911" t="str">
            <v>GPOST</v>
          </cell>
          <cell r="F911" t="str">
            <v>Postage &amp; Courier Charges</v>
          </cell>
          <cell r="I911">
            <v>924474.43</v>
          </cell>
        </row>
        <row r="912">
          <cell r="D912">
            <v>58040006</v>
          </cell>
          <cell r="E912" t="str">
            <v>GMOBI</v>
          </cell>
          <cell r="F912" t="str">
            <v>Telephone Exp.(Mobile)</v>
          </cell>
          <cell r="I912">
            <v>85876.54</v>
          </cell>
        </row>
        <row r="913">
          <cell r="D913">
            <v>58242031</v>
          </cell>
          <cell r="F913" t="str">
            <v>Telephone Expenses -PRI Lines</v>
          </cell>
          <cell r="I913">
            <v>29676.03</v>
          </cell>
        </row>
        <row r="914">
          <cell r="D914">
            <v>58030071</v>
          </cell>
          <cell r="F914" t="str">
            <v>Data Card Charges</v>
          </cell>
          <cell r="I914">
            <v>22898.71</v>
          </cell>
        </row>
        <row r="915">
          <cell r="D915">
            <v>58040007</v>
          </cell>
          <cell r="E915" t="str">
            <v>GTELE</v>
          </cell>
          <cell r="F915" t="str">
            <v>Telephone Expenses(Fixed Line)</v>
          </cell>
          <cell r="I915">
            <v>410918.21</v>
          </cell>
        </row>
        <row r="916">
          <cell r="D916">
            <v>58040047</v>
          </cell>
          <cell r="F916" t="str">
            <v>Telephone &amp; Communication (Other)</v>
          </cell>
          <cell r="I916">
            <v>27096.84</v>
          </cell>
        </row>
        <row r="917">
          <cell r="D917">
            <v>58040139</v>
          </cell>
          <cell r="F917" t="str">
            <v>Recovery from Mobile/Blackberry Deduction</v>
          </cell>
          <cell r="I917">
            <v>-10476.76</v>
          </cell>
        </row>
        <row r="919">
          <cell r="F919" t="str">
            <v>Professional Charges</v>
          </cell>
        </row>
        <row r="920">
          <cell r="D920">
            <v>58040016</v>
          </cell>
          <cell r="E920" t="str">
            <v>GPROI</v>
          </cell>
          <cell r="F920" t="str">
            <v>Professional &amp; Consultancy Charges</v>
          </cell>
          <cell r="I920">
            <v>1548646.26</v>
          </cell>
        </row>
        <row r="921">
          <cell r="D921">
            <v>58030063</v>
          </cell>
          <cell r="F921" t="str">
            <v>Web Site Development Expenses</v>
          </cell>
          <cell r="I921">
            <v>210.24</v>
          </cell>
        </row>
        <row r="922">
          <cell r="D922">
            <v>50100007</v>
          </cell>
          <cell r="E922" t="str">
            <v>GRECR</v>
          </cell>
          <cell r="F922" t="str">
            <v>Recruitment &amp; Training Expenses</v>
          </cell>
          <cell r="I922">
            <v>0</v>
          </cell>
        </row>
        <row r="923">
          <cell r="D923">
            <v>58122008</v>
          </cell>
          <cell r="F923" t="str">
            <v>I.T. Support Expenses</v>
          </cell>
          <cell r="I923">
            <v>0</v>
          </cell>
        </row>
        <row r="924">
          <cell r="D924">
            <v>58040013</v>
          </cell>
          <cell r="E924" t="str">
            <v>GLEGAL</v>
          </cell>
          <cell r="F924" t="str">
            <v>Legal Expenses</v>
          </cell>
          <cell r="I924">
            <v>673672.07</v>
          </cell>
        </row>
        <row r="925">
          <cell r="D925">
            <v>58241023</v>
          </cell>
          <cell r="F925" t="str">
            <v>Technical Support Expense</v>
          </cell>
          <cell r="I925">
            <v>0</v>
          </cell>
        </row>
        <row r="927">
          <cell r="F927" t="str">
            <v>Traveling &amp; Conveyance</v>
          </cell>
        </row>
        <row r="928">
          <cell r="D928">
            <v>50100077</v>
          </cell>
          <cell r="F928" t="str">
            <v>TRANSPORT CHARGES</v>
          </cell>
          <cell r="I928">
            <v>0</v>
          </cell>
        </row>
        <row r="929">
          <cell r="D929">
            <v>50100237</v>
          </cell>
          <cell r="F929" t="str">
            <v>Lodging &amp; Fooding</v>
          </cell>
          <cell r="I929">
            <v>79190.55</v>
          </cell>
        </row>
        <row r="930">
          <cell r="D930">
            <v>50100174</v>
          </cell>
          <cell r="F930" t="str">
            <v>Travelling (Air Fare)</v>
          </cell>
          <cell r="I930">
            <v>588176</v>
          </cell>
        </row>
        <row r="931">
          <cell r="D931">
            <v>50100128</v>
          </cell>
          <cell r="F931" t="str">
            <v>CAR FUEL EXPENSES</v>
          </cell>
          <cell r="I931">
            <v>24236</v>
          </cell>
        </row>
        <row r="932">
          <cell r="D932">
            <v>50100129</v>
          </cell>
          <cell r="F932" t="str">
            <v>Car Rental Charges</v>
          </cell>
          <cell r="I932">
            <v>9508.5300000000007</v>
          </cell>
        </row>
        <row r="933">
          <cell r="D933">
            <v>50100172</v>
          </cell>
          <cell r="F933" t="str">
            <v>Travelling-Lodging &amp; Boarding</v>
          </cell>
          <cell r="I933">
            <v>11497</v>
          </cell>
        </row>
        <row r="934">
          <cell r="D934">
            <v>58040003</v>
          </cell>
          <cell r="E934" t="str">
            <v>GCONV</v>
          </cell>
          <cell r="F934" t="str">
            <v>Conveyance Expenses</v>
          </cell>
          <cell r="I934">
            <v>275241.8</v>
          </cell>
        </row>
        <row r="935">
          <cell r="D935">
            <v>58040004</v>
          </cell>
          <cell r="E935" t="str">
            <v>GTRAV</v>
          </cell>
          <cell r="F935" t="str">
            <v>Travelling Expenses</v>
          </cell>
          <cell r="I935">
            <v>20437</v>
          </cell>
        </row>
        <row r="936">
          <cell r="D936">
            <v>58040058</v>
          </cell>
          <cell r="F936" t="str">
            <v>Travelling Air Fare (International)</v>
          </cell>
          <cell r="I936">
            <v>0</v>
          </cell>
        </row>
        <row r="937">
          <cell r="D937">
            <v>58040059</v>
          </cell>
          <cell r="F937" t="str">
            <v>Travelling Expenses - Others (International)</v>
          </cell>
          <cell r="I937">
            <v>0</v>
          </cell>
        </row>
        <row r="939">
          <cell r="F939" t="str">
            <v>Printing and Stationery</v>
          </cell>
        </row>
        <row r="940">
          <cell r="D940">
            <v>50100063</v>
          </cell>
          <cell r="E940" t="str">
            <v>GBOOK</v>
          </cell>
          <cell r="F940" t="str">
            <v>Books &amp; Periodical</v>
          </cell>
          <cell r="I940">
            <v>0</v>
          </cell>
        </row>
        <row r="941">
          <cell r="D941">
            <v>58040019</v>
          </cell>
          <cell r="F941" t="str">
            <v>XEROX EXPENSES</v>
          </cell>
          <cell r="I941">
            <v>39894</v>
          </cell>
        </row>
        <row r="942">
          <cell r="D942">
            <v>58040011</v>
          </cell>
          <cell r="F942" t="str">
            <v>Printing &amp; Stationery</v>
          </cell>
          <cell r="I942">
            <v>1362845.82</v>
          </cell>
        </row>
        <row r="944">
          <cell r="F944" t="str">
            <v>Office Maintenance</v>
          </cell>
        </row>
        <row r="945">
          <cell r="D945">
            <v>50100040</v>
          </cell>
          <cell r="E945" t="str">
            <v>GSHIF</v>
          </cell>
          <cell r="F945" t="str">
            <v>Shifting Charges</v>
          </cell>
          <cell r="I945">
            <v>0</v>
          </cell>
        </row>
        <row r="946">
          <cell r="D946">
            <v>58040032</v>
          </cell>
          <cell r="F946" t="str">
            <v>House Keeping Charges</v>
          </cell>
          <cell r="I946">
            <v>0</v>
          </cell>
        </row>
        <row r="947">
          <cell r="D947">
            <v>50100107</v>
          </cell>
          <cell r="F947" t="str">
            <v>Newspaper &amp; Magazine</v>
          </cell>
          <cell r="I947">
            <v>2255</v>
          </cell>
        </row>
        <row r="948">
          <cell r="D948">
            <v>50100049</v>
          </cell>
          <cell r="E948" t="str">
            <v>GGENE</v>
          </cell>
          <cell r="F948" t="str">
            <v>Generator Expenses</v>
          </cell>
          <cell r="I948">
            <v>48061</v>
          </cell>
        </row>
        <row r="949">
          <cell r="D949">
            <v>50100231</v>
          </cell>
          <cell r="F949" t="str">
            <v>Security Guard Expenses</v>
          </cell>
          <cell r="I949">
            <v>16133.48</v>
          </cell>
        </row>
        <row r="950">
          <cell r="D950">
            <v>50100069</v>
          </cell>
          <cell r="F950" t="str">
            <v>PARKING CHARGES</v>
          </cell>
          <cell r="I950">
            <v>0</v>
          </cell>
        </row>
        <row r="951">
          <cell r="D951">
            <v>58165006</v>
          </cell>
          <cell r="E951" t="str">
            <v>GOFFI</v>
          </cell>
          <cell r="F951" t="str">
            <v>Office Maintenance</v>
          </cell>
          <cell r="I951">
            <v>506037.29</v>
          </cell>
        </row>
        <row r="953">
          <cell r="F953" t="str">
            <v>Repairs and Maintenance - Others</v>
          </cell>
        </row>
        <row r="954">
          <cell r="D954">
            <v>50100420</v>
          </cell>
          <cell r="F954" t="str">
            <v>AMC - Lift &amp; Others</v>
          </cell>
          <cell r="I954">
            <v>0</v>
          </cell>
        </row>
        <row r="955">
          <cell r="D955">
            <v>50100043</v>
          </cell>
          <cell r="E955" t="str">
            <v>GAMCH</v>
          </cell>
          <cell r="F955" t="str">
            <v>Amc Hardware Expenses</v>
          </cell>
          <cell r="I955">
            <v>196606.58</v>
          </cell>
        </row>
        <row r="956">
          <cell r="D956">
            <v>50100044</v>
          </cell>
          <cell r="E956" t="str">
            <v>GAMCS</v>
          </cell>
          <cell r="F956" t="str">
            <v>Amc Software Expenses</v>
          </cell>
          <cell r="I956">
            <v>841042.85</v>
          </cell>
        </row>
        <row r="957">
          <cell r="D957">
            <v>50100045</v>
          </cell>
          <cell r="E957" t="str">
            <v>GAMCC</v>
          </cell>
          <cell r="F957" t="str">
            <v>Amc Hardware Computer</v>
          </cell>
          <cell r="I957">
            <v>550726.9</v>
          </cell>
        </row>
        <row r="958">
          <cell r="D958">
            <v>50100046</v>
          </cell>
          <cell r="E958" t="str">
            <v>GAMCU</v>
          </cell>
          <cell r="F958" t="str">
            <v>Amc Hardware Ups</v>
          </cell>
          <cell r="I958">
            <v>28674.45</v>
          </cell>
        </row>
        <row r="959">
          <cell r="D959">
            <v>50100047</v>
          </cell>
          <cell r="E959" t="str">
            <v>GAMCG</v>
          </cell>
          <cell r="F959" t="str">
            <v>Amc Hardware Generators</v>
          </cell>
          <cell r="I959">
            <v>0</v>
          </cell>
        </row>
        <row r="960">
          <cell r="D960">
            <v>50100048</v>
          </cell>
          <cell r="E960" t="str">
            <v>GAMCA</v>
          </cell>
          <cell r="F960" t="str">
            <v>Amc Air Conditioners</v>
          </cell>
          <cell r="I960">
            <v>0</v>
          </cell>
        </row>
        <row r="961">
          <cell r="D961">
            <v>58030059</v>
          </cell>
          <cell r="F961" t="str">
            <v>AMC-Fire, Safety &amp; Equipment</v>
          </cell>
          <cell r="I961">
            <v>0</v>
          </cell>
        </row>
        <row r="963">
          <cell r="D963">
            <v>50100051</v>
          </cell>
          <cell r="E963" t="str">
            <v>GREPA</v>
          </cell>
          <cell r="F963" t="str">
            <v>Repair &amp; Maintenance</v>
          </cell>
          <cell r="I963">
            <v>587087.05000000005</v>
          </cell>
        </row>
        <row r="964">
          <cell r="D964">
            <v>50100078</v>
          </cell>
          <cell r="F964" t="str">
            <v>VEHICLE REPAIR AND MAINTENANCE</v>
          </cell>
          <cell r="I964">
            <v>12119</v>
          </cell>
        </row>
        <row r="965">
          <cell r="D965">
            <v>50100101</v>
          </cell>
          <cell r="F965" t="str">
            <v>Computer Hardware Expense</v>
          </cell>
          <cell r="I965">
            <v>33399.93</v>
          </cell>
        </row>
        <row r="966">
          <cell r="D966">
            <v>58030050</v>
          </cell>
          <cell r="F966" t="str">
            <v>Lift operating &amp; Maint. expenses</v>
          </cell>
          <cell r="I966">
            <v>0</v>
          </cell>
        </row>
        <row r="967">
          <cell r="D967">
            <v>62000003</v>
          </cell>
          <cell r="F967" t="str">
            <v>Generator Fuel Expenses</v>
          </cell>
          <cell r="I967">
            <v>0</v>
          </cell>
        </row>
        <row r="969">
          <cell r="F969" t="str">
            <v>Business Promotion</v>
          </cell>
        </row>
        <row r="970">
          <cell r="D970">
            <v>50100013</v>
          </cell>
          <cell r="E970" t="str">
            <v>GBUSI</v>
          </cell>
          <cell r="F970" t="str">
            <v>Business Promotion Expenses</v>
          </cell>
          <cell r="I970">
            <v>0</v>
          </cell>
        </row>
        <row r="971">
          <cell r="D971">
            <v>58040017</v>
          </cell>
          <cell r="F971" t="str">
            <v>Advertisement Expenses</v>
          </cell>
          <cell r="I971">
            <v>0</v>
          </cell>
        </row>
        <row r="972">
          <cell r="D972">
            <v>50100015</v>
          </cell>
          <cell r="F972" t="str">
            <v>Conference Expenses</v>
          </cell>
          <cell r="I972">
            <v>0</v>
          </cell>
        </row>
        <row r="973">
          <cell r="D973">
            <v>50100019</v>
          </cell>
          <cell r="E973" t="str">
            <v>GSUBS</v>
          </cell>
          <cell r="F973" t="str">
            <v>Subscription Charges</v>
          </cell>
          <cell r="I973">
            <v>32862.46</v>
          </cell>
        </row>
        <row r="974">
          <cell r="D974">
            <v>58165005</v>
          </cell>
          <cell r="F974" t="str">
            <v>EGM / AGM Expenses</v>
          </cell>
          <cell r="I974">
            <v>20000</v>
          </cell>
        </row>
        <row r="976">
          <cell r="D976">
            <v>58165008</v>
          </cell>
          <cell r="F976" t="str">
            <v>Audit Fee</v>
          </cell>
          <cell r="I976">
            <v>0</v>
          </cell>
        </row>
        <row r="978">
          <cell r="D978" t="str">
            <v>ECSR</v>
          </cell>
          <cell r="F978" t="str">
            <v>Corporate Social Responsibility Expenses</v>
          </cell>
          <cell r="I978">
            <v>0</v>
          </cell>
        </row>
        <row r="980">
          <cell r="D980">
            <v>50100336</v>
          </cell>
          <cell r="F980" t="str">
            <v>Loss on erroneous transactions</v>
          </cell>
          <cell r="I980">
            <v>0</v>
          </cell>
        </row>
        <row r="982">
          <cell r="F982" t="str">
            <v>Loss on sale of Investments</v>
          </cell>
        </row>
        <row r="983">
          <cell r="D983">
            <v>58180000</v>
          </cell>
          <cell r="F983" t="str">
            <v>Loss from sale of investment</v>
          </cell>
          <cell r="I983">
            <v>0</v>
          </cell>
        </row>
        <row r="985">
          <cell r="F985" t="str">
            <v>Loss on Sale/ Scrap of fixed assets</v>
          </cell>
        </row>
        <row r="986">
          <cell r="D986">
            <v>45100000</v>
          </cell>
          <cell r="E986" t="str">
            <v>GEPOS</v>
          </cell>
          <cell r="F986" t="str">
            <v>Profit on sale of fixed assets</v>
          </cell>
          <cell r="I986">
            <v>-103435</v>
          </cell>
        </row>
        <row r="987">
          <cell r="D987">
            <v>50100137</v>
          </cell>
          <cell r="E987" t="str">
            <v>GELOS</v>
          </cell>
          <cell r="F987" t="str">
            <v>Loss on Assets Written off</v>
          </cell>
          <cell r="I987">
            <v>0</v>
          </cell>
        </row>
        <row r="988">
          <cell r="D988">
            <v>58190000</v>
          </cell>
          <cell r="E988" t="str">
            <v>GELOS</v>
          </cell>
          <cell r="F988" t="str">
            <v>Loss on sale of fixed assets</v>
          </cell>
          <cell r="I988">
            <v>76634.039999999994</v>
          </cell>
        </row>
        <row r="990">
          <cell r="F990" t="str">
            <v>Provision for Doubtful Debts, Advances and Security Deposits</v>
          </cell>
        </row>
        <row r="991">
          <cell r="D991">
            <v>58220000</v>
          </cell>
          <cell r="F991" t="str">
            <v>Doubtful Advances Provided for</v>
          </cell>
          <cell r="I991">
            <v>0</v>
          </cell>
        </row>
        <row r="992">
          <cell r="D992">
            <v>58030047</v>
          </cell>
          <cell r="F992" t="str">
            <v>Doubtful Capital Advances Provided for</v>
          </cell>
          <cell r="I992">
            <v>0</v>
          </cell>
        </row>
        <row r="993">
          <cell r="D993">
            <v>58230000</v>
          </cell>
          <cell r="F993" t="str">
            <v>Doubtful Debts Provided for</v>
          </cell>
          <cell r="I993">
            <v>0</v>
          </cell>
        </row>
        <row r="994">
          <cell r="D994">
            <v>58250000</v>
          </cell>
          <cell r="F994" t="str">
            <v>Doubtful Security Deposit</v>
          </cell>
          <cell r="I994">
            <v>0</v>
          </cell>
        </row>
        <row r="996">
          <cell r="F996" t="str">
            <v>Foreign exchange fluctuation</v>
          </cell>
        </row>
        <row r="997">
          <cell r="D997">
            <v>58240000</v>
          </cell>
          <cell r="F997" t="str">
            <v>Realized Loss on Foreign Exchange</v>
          </cell>
          <cell r="I997">
            <v>-460195</v>
          </cell>
        </row>
        <row r="998">
          <cell r="D998">
            <v>44400000</v>
          </cell>
          <cell r="F998" t="str">
            <v>Realized gain on Foreign Exchange</v>
          </cell>
          <cell r="I998">
            <v>0</v>
          </cell>
        </row>
        <row r="1001">
          <cell r="D1001">
            <v>58040082</v>
          </cell>
          <cell r="F1001" t="str">
            <v>Advances Written Off</v>
          </cell>
          <cell r="I1001">
            <v>0</v>
          </cell>
        </row>
        <row r="1002">
          <cell r="D1002">
            <v>58170000</v>
          </cell>
          <cell r="F1002" t="str">
            <v>Old Balances Written Off</v>
          </cell>
          <cell r="I1002">
            <v>0</v>
          </cell>
        </row>
        <row r="1003">
          <cell r="D1003">
            <v>58210000</v>
          </cell>
          <cell r="E1003" t="str">
            <v>GE0056</v>
          </cell>
          <cell r="F1003" t="str">
            <v>Bad debts</v>
          </cell>
          <cell r="I1003">
            <v>-342526.91</v>
          </cell>
        </row>
        <row r="1006">
          <cell r="F1006" t="str">
            <v>Bad Debt W/off</v>
          </cell>
        </row>
        <row r="1010">
          <cell r="F1010" t="str">
            <v>Miscellaneous Expenses</v>
          </cell>
        </row>
        <row r="1011">
          <cell r="D1011">
            <v>45600000</v>
          </cell>
          <cell r="F1011" t="str">
            <v>Other transaction gains</v>
          </cell>
          <cell r="I1011">
            <v>-0.5</v>
          </cell>
        </row>
        <row r="1012">
          <cell r="D1012">
            <v>46000003</v>
          </cell>
          <cell r="F1012" t="str">
            <v>Short &amp; Excess A/C</v>
          </cell>
          <cell r="I1012">
            <v>-0.9</v>
          </cell>
        </row>
        <row r="1013">
          <cell r="D1013">
            <v>50100029</v>
          </cell>
          <cell r="F1013" t="str">
            <v>Other Charges Bse</v>
          </cell>
          <cell r="I1013">
            <v>6788.89</v>
          </cell>
        </row>
        <row r="1014">
          <cell r="D1014">
            <v>50100081</v>
          </cell>
          <cell r="E1014" t="str">
            <v>GNSE</v>
          </cell>
          <cell r="F1014" t="str">
            <v>NSE Expenses</v>
          </cell>
          <cell r="I1014">
            <v>274545.99</v>
          </cell>
        </row>
        <row r="1015">
          <cell r="D1015">
            <v>56000073</v>
          </cell>
          <cell r="E1015" t="str">
            <v>GNCFM</v>
          </cell>
          <cell r="F1015" t="str">
            <v>NCFM Exam Fees</v>
          </cell>
          <cell r="I1015">
            <v>10936</v>
          </cell>
        </row>
        <row r="1016">
          <cell r="D1016">
            <v>58013000</v>
          </cell>
          <cell r="F1016" t="str">
            <v>Other transaction losses</v>
          </cell>
          <cell r="I1016">
            <v>0</v>
          </cell>
        </row>
        <row r="1017">
          <cell r="D1017">
            <v>58040031</v>
          </cell>
          <cell r="F1017" t="str">
            <v>Miscellaneous Expenses</v>
          </cell>
          <cell r="I1017">
            <v>0</v>
          </cell>
        </row>
        <row r="1018">
          <cell r="D1018">
            <v>58242004</v>
          </cell>
          <cell r="E1018" t="str">
            <v>GASE</v>
          </cell>
          <cell r="F1018" t="str">
            <v>Shorts &amp; Excess-GASE</v>
          </cell>
          <cell r="I1018">
            <v>43.34</v>
          </cell>
        </row>
        <row r="1019">
          <cell r="D1019">
            <v>58165007</v>
          </cell>
          <cell r="E1019" t="str">
            <v>GBANK</v>
          </cell>
          <cell r="F1019" t="str">
            <v>Bank Charges</v>
          </cell>
          <cell r="I1019">
            <v>41588.949999999997</v>
          </cell>
        </row>
        <row r="1020">
          <cell r="D1020">
            <v>58242098</v>
          </cell>
          <cell r="E1020" t="str">
            <v>GBSEP</v>
          </cell>
          <cell r="F1020" t="str">
            <v>BSE PENALTY CHARGES</v>
          </cell>
          <cell r="I1020">
            <v>0</v>
          </cell>
        </row>
        <row r="1021">
          <cell r="D1021">
            <v>58242011</v>
          </cell>
          <cell r="E1021" t="str">
            <v>GNSEP</v>
          </cell>
          <cell r="F1021" t="str">
            <v>NSE PENALTY CHARGES</v>
          </cell>
          <cell r="I1021">
            <v>-1918.38</v>
          </cell>
        </row>
        <row r="1023">
          <cell r="F1023" t="str">
            <v>Depreciation</v>
          </cell>
        </row>
        <row r="1024">
          <cell r="D1024">
            <v>57200001</v>
          </cell>
          <cell r="F1024" t="str">
            <v>Depreciation - Computers</v>
          </cell>
          <cell r="I1024">
            <v>2053252.34</v>
          </cell>
        </row>
        <row r="1025">
          <cell r="D1025">
            <v>57200002</v>
          </cell>
          <cell r="F1025" t="str">
            <v>Depreciation - Office Equipment</v>
          </cell>
          <cell r="I1025">
            <v>2675773.6</v>
          </cell>
        </row>
        <row r="1026">
          <cell r="D1026">
            <v>57200003</v>
          </cell>
          <cell r="F1026" t="str">
            <v>Depreciation - Furnitures &amp; Fixtures</v>
          </cell>
          <cell r="I1026">
            <v>6387253.2000000002</v>
          </cell>
        </row>
        <row r="1027">
          <cell r="D1027">
            <v>57200004</v>
          </cell>
          <cell r="F1027" t="str">
            <v>Depreciation - Vehicles</v>
          </cell>
          <cell r="I1027">
            <v>4207150</v>
          </cell>
        </row>
        <row r="1028">
          <cell r="D1028">
            <v>57200010</v>
          </cell>
          <cell r="F1028" t="str">
            <v>Depreciation - Software</v>
          </cell>
          <cell r="I1028">
            <v>401954</v>
          </cell>
        </row>
        <row r="1029">
          <cell r="D1029">
            <v>57200018</v>
          </cell>
          <cell r="F1029" t="str">
            <v>Special Depreciation</v>
          </cell>
          <cell r="I1029">
            <v>0</v>
          </cell>
        </row>
        <row r="1031">
          <cell r="F1031" t="str">
            <v>Wealth Tax Expenditure</v>
          </cell>
        </row>
        <row r="1036">
          <cell r="D1036">
            <v>58030006</v>
          </cell>
          <cell r="E1036" t="str">
            <v>GETAX</v>
          </cell>
          <cell r="F1036" t="str">
            <v>Current Tax Exp</v>
          </cell>
          <cell r="I1036">
            <v>0</v>
          </cell>
        </row>
        <row r="1038">
          <cell r="D1038">
            <v>50100384</v>
          </cell>
          <cell r="E1038" t="str">
            <v>GA1113</v>
          </cell>
          <cell r="F1038" t="str">
            <v>Deffered Tax FY (2010-11)</v>
          </cell>
          <cell r="I1038">
            <v>0</v>
          </cell>
        </row>
        <row r="1040">
          <cell r="D1040">
            <v>58030026</v>
          </cell>
          <cell r="F1040" t="str">
            <v>TAX EXPENSES EARLIER YEARS</v>
          </cell>
          <cell r="I1040">
            <v>0</v>
          </cell>
        </row>
        <row r="1041">
          <cell r="D1041">
            <v>58030007</v>
          </cell>
          <cell r="F1041" t="str">
            <v>Dividend- INTERIM</v>
          </cell>
          <cell r="I1041">
            <v>273901131</v>
          </cell>
        </row>
        <row r="1042">
          <cell r="D1042">
            <v>58030010</v>
          </cell>
          <cell r="E1042" t="str">
            <v>GECDT</v>
          </cell>
          <cell r="F1042" t="str">
            <v>Corporate Dividend Tax - INTERIM</v>
          </cell>
          <cell r="I1042">
            <v>24455997</v>
          </cell>
        </row>
        <row r="1043">
          <cell r="D1043">
            <v>61000000</v>
          </cell>
          <cell r="F1043" t="str">
            <v>Dividends- PROPOSED</v>
          </cell>
          <cell r="I1043">
            <v>0</v>
          </cell>
        </row>
        <row r="1044">
          <cell r="D1044">
            <v>62000000</v>
          </cell>
          <cell r="F1044" t="str">
            <v>Corporate Dividend Tax - PROPOSED</v>
          </cell>
          <cell r="I1044">
            <v>0</v>
          </cell>
        </row>
        <row r="1045">
          <cell r="D1045">
            <v>20500000</v>
          </cell>
          <cell r="F1045" t="str">
            <v>Computers and peripherals - Cost</v>
          </cell>
          <cell r="G1045" t="str">
            <v>Fixed Assets</v>
          </cell>
          <cell r="H1045" t="str">
            <v>Tangible Assets</v>
          </cell>
          <cell r="I1045">
            <v>422238816.04000002</v>
          </cell>
        </row>
        <row r="1046">
          <cell r="D1046">
            <v>20600000</v>
          </cell>
          <cell r="F1046" t="str">
            <v>Furnitures - Cost</v>
          </cell>
          <cell r="G1046" t="str">
            <v>Fixed Assets</v>
          </cell>
          <cell r="H1046" t="str">
            <v>Tangible Assets</v>
          </cell>
          <cell r="I1046">
            <v>127231965.58</v>
          </cell>
        </row>
        <row r="1047">
          <cell r="D1047">
            <v>20602000</v>
          </cell>
          <cell r="F1047" t="str">
            <v>Office equipment - Cost</v>
          </cell>
          <cell r="G1047" t="str">
            <v>Fixed Assets</v>
          </cell>
          <cell r="H1047" t="str">
            <v>Tangible Assets</v>
          </cell>
          <cell r="I1047">
            <v>190920587.91</v>
          </cell>
        </row>
        <row r="1048">
          <cell r="D1048">
            <v>20700000</v>
          </cell>
          <cell r="F1048" t="str">
            <v>Vehicles - Cost</v>
          </cell>
          <cell r="G1048" t="str">
            <v>Fixed Assets</v>
          </cell>
          <cell r="H1048" t="str">
            <v>Tangible Assets</v>
          </cell>
          <cell r="I1048">
            <v>56455388</v>
          </cell>
        </row>
        <row r="1049">
          <cell r="D1049">
            <v>20510000</v>
          </cell>
          <cell r="E1049" t="str">
            <v>GA00001</v>
          </cell>
          <cell r="F1049" t="str">
            <v>Computers and peripherals -Acc dep</v>
          </cell>
          <cell r="G1049" t="str">
            <v>Fixed Assets</v>
          </cell>
          <cell r="H1049" t="str">
            <v>Tangible Assets</v>
          </cell>
          <cell r="I1049">
            <v>-409372153.37</v>
          </cell>
        </row>
        <row r="1050">
          <cell r="D1050">
            <v>20610000</v>
          </cell>
          <cell r="E1050" t="str">
            <v>GA00001</v>
          </cell>
          <cell r="F1050" t="str">
            <v>Acc dep - Furnitures</v>
          </cell>
          <cell r="G1050" t="str">
            <v>Fixed Assets</v>
          </cell>
          <cell r="H1050" t="str">
            <v>Tangible Assets</v>
          </cell>
          <cell r="I1050">
            <v>-71761329.359999999</v>
          </cell>
        </row>
        <row r="1051">
          <cell r="D1051">
            <v>20612000</v>
          </cell>
          <cell r="E1051" t="str">
            <v>GA00001</v>
          </cell>
          <cell r="F1051" t="str">
            <v>Acc dep-Office equipment</v>
          </cell>
          <cell r="G1051" t="str">
            <v>Fixed Assets</v>
          </cell>
          <cell r="H1051" t="str">
            <v>Tangible Assets</v>
          </cell>
          <cell r="I1051">
            <v>-176323143.94</v>
          </cell>
        </row>
        <row r="1052">
          <cell r="D1052">
            <v>20710000</v>
          </cell>
          <cell r="E1052" t="str">
            <v>GA00001</v>
          </cell>
          <cell r="F1052" t="str">
            <v>Vehicles -Acc dep</v>
          </cell>
          <cell r="G1052" t="str">
            <v>Fixed Assets</v>
          </cell>
          <cell r="H1052" t="str">
            <v>Tangible Assets</v>
          </cell>
          <cell r="I1052">
            <v>-42717164.539999999</v>
          </cell>
        </row>
        <row r="1054">
          <cell r="D1054">
            <v>20810001</v>
          </cell>
          <cell r="F1054" t="str">
            <v>Software-Cost</v>
          </cell>
          <cell r="G1054" t="str">
            <v>Fixed Assets</v>
          </cell>
          <cell r="H1054" t="str">
            <v>Intangibles</v>
          </cell>
          <cell r="I1054">
            <v>597575214.39999998</v>
          </cell>
        </row>
        <row r="1055">
          <cell r="D1055">
            <v>20810003</v>
          </cell>
          <cell r="F1055" t="str">
            <v>BSE-Membership Rights</v>
          </cell>
          <cell r="G1055" t="str">
            <v>Fixed Assets</v>
          </cell>
          <cell r="H1055" t="str">
            <v>Intangibles</v>
          </cell>
          <cell r="I1055">
            <v>7005000</v>
          </cell>
        </row>
        <row r="1056">
          <cell r="D1056">
            <v>20810002</v>
          </cell>
          <cell r="E1056" t="str">
            <v>GA00001</v>
          </cell>
          <cell r="F1056" t="str">
            <v>Software-Acc dep</v>
          </cell>
          <cell r="G1056" t="str">
            <v>Fixed Assets</v>
          </cell>
          <cell r="H1056" t="str">
            <v>Intangibles</v>
          </cell>
          <cell r="I1056">
            <v>-595124742.10000002</v>
          </cell>
        </row>
        <row r="1057">
          <cell r="D1057">
            <v>20810004</v>
          </cell>
          <cell r="E1057" t="str">
            <v>GA00001</v>
          </cell>
          <cell r="F1057" t="str">
            <v>BSE-Membership Rights-Acc dep</v>
          </cell>
          <cell r="G1057" t="str">
            <v>Fixed Assets</v>
          </cell>
          <cell r="H1057" t="str">
            <v>Intangibles</v>
          </cell>
          <cell r="I1057">
            <v>-7005000</v>
          </cell>
        </row>
        <row r="1059">
          <cell r="D1059">
            <v>45200000</v>
          </cell>
          <cell r="F1059" t="str">
            <v>Balances written back</v>
          </cell>
          <cell r="I1059">
            <v>-421131.64</v>
          </cell>
        </row>
        <row r="1060">
          <cell r="D1060">
            <v>44020040</v>
          </cell>
          <cell r="E1060" t="str">
            <v>GMII</v>
          </cell>
          <cell r="F1060" t="str">
            <v>Miscellanious Income</v>
          </cell>
          <cell r="I1060">
            <v>0</v>
          </cell>
        </row>
        <row r="1061">
          <cell r="D1061">
            <v>44020151</v>
          </cell>
          <cell r="F1061" t="str">
            <v>Miscellanious Income(Other)</v>
          </cell>
          <cell r="I1061">
            <v>0</v>
          </cell>
        </row>
        <row r="1065">
          <cell r="D1065">
            <v>46000139</v>
          </cell>
          <cell r="F1065" t="str">
            <v>Excess Provision written account</v>
          </cell>
          <cell r="I1065">
            <v>0</v>
          </cell>
        </row>
        <row r="1067">
          <cell r="D1067">
            <v>14890085</v>
          </cell>
          <cell r="F1067" t="str">
            <v>Dividend Payable(IB)</v>
          </cell>
          <cell r="I1067">
            <v>0</v>
          </cell>
        </row>
        <row r="1068">
          <cell r="D1068">
            <v>14880002</v>
          </cell>
          <cell r="F1068" t="str">
            <v xml:space="preserve">Corporate Dividend Tax Payable </v>
          </cell>
          <cell r="I1068">
            <v>-22225387</v>
          </cell>
        </row>
        <row r="1070">
          <cell r="D1070">
            <v>44000010</v>
          </cell>
          <cell r="F1070" t="str">
            <v>Interest Income On Income Tax Refund</v>
          </cell>
          <cell r="I1070">
            <v>0</v>
          </cell>
        </row>
        <row r="1071">
          <cell r="D1071">
            <v>56000015</v>
          </cell>
          <cell r="F1071" t="str">
            <v>Interest On Income Tax</v>
          </cell>
          <cell r="I1071">
            <v>0</v>
          </cell>
        </row>
        <row r="1072">
          <cell r="D1072">
            <v>56000109</v>
          </cell>
          <cell r="F1072" t="str">
            <v>Interest On TDS</v>
          </cell>
          <cell r="I1072">
            <v>0</v>
          </cell>
        </row>
        <row r="1073">
          <cell r="D1073">
            <v>56000021</v>
          </cell>
          <cell r="F1073" t="str">
            <v>Interest Expenses</v>
          </cell>
          <cell r="I1073">
            <v>0</v>
          </cell>
        </row>
        <row r="1074">
          <cell r="F1074" t="str">
            <v>Round Off Adj.</v>
          </cell>
          <cell r="I1074">
            <v>0</v>
          </cell>
        </row>
        <row r="1075">
          <cell r="F1075" t="str">
            <v>Round Off Adj.</v>
          </cell>
        </row>
      </sheetData>
      <sheetData sheetId="15" refreshError="1"/>
      <sheetData sheetId="16" refreshError="1"/>
      <sheetData sheetId="17" refreshError="1"/>
      <sheetData sheetId="18" refreshError="1"/>
      <sheetData sheetId="19" refreshError="1">
        <row r="12">
          <cell r="H12">
            <v>521552072</v>
          </cell>
        </row>
        <row r="13">
          <cell r="H13">
            <v>1595336006</v>
          </cell>
        </row>
        <row r="14">
          <cell r="H14">
            <v>100555004</v>
          </cell>
        </row>
        <row r="20">
          <cell r="H20">
            <v>409854</v>
          </cell>
        </row>
        <row r="22">
          <cell r="H22">
            <v>99786644</v>
          </cell>
        </row>
        <row r="23">
          <cell r="H23">
            <v>24118039</v>
          </cell>
        </row>
        <row r="27">
          <cell r="H27">
            <v>1950000000</v>
          </cell>
        </row>
        <row r="28">
          <cell r="H28">
            <v>5351042</v>
          </cell>
        </row>
        <row r="29">
          <cell r="H29">
            <v>1397078464</v>
          </cell>
        </row>
        <row r="30">
          <cell r="H30">
            <v>129674497</v>
          </cell>
        </row>
        <row r="39">
          <cell r="H39">
            <v>91741967</v>
          </cell>
        </row>
        <row r="40">
          <cell r="H40">
            <v>2450472</v>
          </cell>
        </row>
        <row r="43">
          <cell r="H43">
            <v>94192439</v>
          </cell>
        </row>
        <row r="45">
          <cell r="H45">
            <v>187342488</v>
          </cell>
        </row>
        <row r="46">
          <cell r="H46">
            <v>81065568</v>
          </cell>
        </row>
        <row r="47">
          <cell r="H47">
            <v>339572518</v>
          </cell>
        </row>
        <row r="48">
          <cell r="H48">
            <v>15350495</v>
          </cell>
        </row>
        <row r="52">
          <cell r="H52">
            <v>0</v>
          </cell>
        </row>
        <row r="54">
          <cell r="H54">
            <v>348467873</v>
          </cell>
        </row>
        <row r="55">
          <cell r="H55">
            <v>1413637313</v>
          </cell>
        </row>
        <row r="56">
          <cell r="H56">
            <v>3331536897</v>
          </cell>
        </row>
        <row r="57">
          <cell r="H57">
            <v>12696031</v>
          </cell>
        </row>
        <row r="60">
          <cell r="H60">
            <v>5823861622</v>
          </cell>
        </row>
      </sheetData>
      <sheetData sheetId="20" refreshError="1">
        <row r="1">
          <cell r="D1" t="str">
            <v>Indiabulls Securities Limited</v>
          </cell>
        </row>
        <row r="17">
          <cell r="G17">
            <v>20525383</v>
          </cell>
        </row>
      </sheetData>
      <sheetData sheetId="21" refreshError="1"/>
      <sheetData sheetId="22" refreshError="1"/>
      <sheetData sheetId="23" refreshError="1"/>
      <sheetData sheetId="24" refreshError="1">
        <row r="1">
          <cell r="G1">
            <v>0</v>
          </cell>
        </row>
        <row r="305">
          <cell r="G305">
            <v>100048402</v>
          </cell>
        </row>
      </sheetData>
      <sheetData sheetId="25" refreshError="1"/>
      <sheetData sheetId="26" refreshError="1"/>
      <sheetData sheetId="27" refreshError="1">
        <row r="2">
          <cell r="C2" t="str">
            <v>Indiabulls Securities Limited</v>
          </cell>
        </row>
        <row r="36">
          <cell r="F36">
            <v>122890882</v>
          </cell>
        </row>
        <row r="37">
          <cell r="F37">
            <v>0</v>
          </cell>
        </row>
        <row r="47">
          <cell r="F47">
            <v>0</v>
          </cell>
        </row>
        <row r="49">
          <cell r="F49">
            <v>421132</v>
          </cell>
        </row>
        <row r="50">
          <cell r="F50">
            <v>460195</v>
          </cell>
        </row>
        <row r="51">
          <cell r="F51">
            <v>342527</v>
          </cell>
        </row>
        <row r="62">
          <cell r="F62">
            <v>10788862</v>
          </cell>
        </row>
        <row r="63">
          <cell r="F63">
            <v>0</v>
          </cell>
        </row>
        <row r="64">
          <cell r="F64">
            <v>637762</v>
          </cell>
        </row>
        <row r="65">
          <cell r="F65">
            <v>653500</v>
          </cell>
        </row>
        <row r="68">
          <cell r="F68">
            <v>355933</v>
          </cell>
        </row>
        <row r="72">
          <cell r="F72">
            <v>476497</v>
          </cell>
        </row>
        <row r="73">
          <cell r="F73">
            <v>243123</v>
          </cell>
        </row>
        <row r="81">
          <cell r="F81">
            <v>61153813</v>
          </cell>
        </row>
        <row r="82">
          <cell r="F82">
            <v>221936</v>
          </cell>
        </row>
        <row r="83">
          <cell r="F83">
            <v>1846642</v>
          </cell>
        </row>
        <row r="84">
          <cell r="F84">
            <v>2952652</v>
          </cell>
        </row>
        <row r="96">
          <cell r="F96">
            <v>0</v>
          </cell>
        </row>
        <row r="97">
          <cell r="F97">
            <v>3228034</v>
          </cell>
        </row>
        <row r="98">
          <cell r="F98">
            <v>0</v>
          </cell>
        </row>
        <row r="99">
          <cell r="F99">
            <v>63827</v>
          </cell>
        </row>
        <row r="101">
          <cell r="F101">
            <v>0</v>
          </cell>
        </row>
        <row r="102">
          <cell r="F102">
            <v>0</v>
          </cell>
        </row>
        <row r="111">
          <cell r="F111">
            <v>2789704</v>
          </cell>
        </row>
        <row r="112">
          <cell r="F112">
            <v>975975</v>
          </cell>
        </row>
        <row r="113">
          <cell r="F113">
            <v>167640</v>
          </cell>
        </row>
        <row r="114">
          <cell r="F114">
            <v>4256464</v>
          </cell>
        </row>
        <row r="115">
          <cell r="F115">
            <v>3660529</v>
          </cell>
        </row>
        <row r="116">
          <cell r="F116">
            <v>1008287</v>
          </cell>
        </row>
        <row r="117">
          <cell r="F117">
            <v>2434740</v>
          </cell>
        </row>
        <row r="118">
          <cell r="F118">
            <v>892487</v>
          </cell>
        </row>
        <row r="119">
          <cell r="F119">
            <v>3060657</v>
          </cell>
        </row>
        <row r="120">
          <cell r="F120">
            <v>75862</v>
          </cell>
        </row>
        <row r="122">
          <cell r="F122">
            <v>883333</v>
          </cell>
        </row>
        <row r="123">
          <cell r="F123">
            <v>166667</v>
          </cell>
        </row>
        <row r="124">
          <cell r="F124">
            <v>150000</v>
          </cell>
        </row>
        <row r="125">
          <cell r="F125">
            <v>0</v>
          </cell>
        </row>
        <row r="127">
          <cell r="F127">
            <v>0</v>
          </cell>
        </row>
        <row r="128">
          <cell r="F128">
            <v>104199</v>
          </cell>
        </row>
        <row r="129">
          <cell r="F129">
            <v>300000</v>
          </cell>
        </row>
        <row r="133">
          <cell r="F133">
            <v>0</v>
          </cell>
        </row>
        <row r="134">
          <cell r="F134">
            <v>803770.15999999992</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Trial Balance"/>
      <sheetName val="BS"/>
      <sheetName val="PL"/>
      <sheetName val="cash flow"/>
      <sheetName val="Note-1"/>
      <sheetName val="Note-P"/>
      <sheetName val="FA"/>
      <sheetName val="Notes - 2"/>
      <sheetName val="FAR"/>
      <sheetName val="DEP(IT)"/>
      <sheetName val="DT"/>
      <sheetName val="EPS"/>
      <sheetName val="Prov for Tax"/>
      <sheetName val="Adv tax vs PT"/>
    </sheetNames>
    <sheetDataSet>
      <sheetData sheetId="0" refreshError="1">
        <row r="4">
          <cell r="C4" t="str">
            <v>Ginger Science Private Limited</v>
          </cell>
        </row>
        <row r="9">
          <cell r="C9" t="str">
            <v>March 31, 2017</v>
          </cell>
          <cell r="D9" t="str">
            <v>March 31, 2016</v>
          </cell>
        </row>
        <row r="11">
          <cell r="C11" t="str">
            <v>Yogendra Kumar Singh</v>
          </cell>
        </row>
        <row r="12">
          <cell r="C12" t="str">
            <v>Sunil Bapna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 of SAP Entries"/>
      <sheetName val="KG Marg"/>
      <sheetName val="Index"/>
      <sheetName val="BS"/>
      <sheetName val="PL"/>
      <sheetName val="cash flow"/>
      <sheetName val="SOCIE"/>
      <sheetName val="Notes-1-3"/>
      <sheetName val="Note-B"/>
      <sheetName val="Note-P"/>
      <sheetName val="FA"/>
      <sheetName val="FI"/>
      <sheetName val="other notes"/>
      <sheetName val="RPT - BS"/>
      <sheetName val="RPT - PL"/>
      <sheetName val="BS-NBFC"/>
      <sheetName val="PL-NBFC"/>
      <sheetName val="Notes FA &amp; NFA-NBFC"/>
      <sheetName val="Notes FL &amp; NFL-NBFC"/>
      <sheetName val="Equity &amp; other equity-NBFC"/>
      <sheetName val="Notes-FA NBFC"/>
      <sheetName val="Notes PL-NBFC"/>
      <sheetName val="ICD Given"/>
      <sheetName val="ICD Taken"/>
      <sheetName val="INVST"/>
      <sheetName val="Trial 2019"/>
      <sheetName val="C.TRIAL"/>
      <sheetName val="P&amp;L Qtly AS"/>
      <sheetName val="Provisions"/>
      <sheetName val="ARCK"/>
      <sheetName val="Vendor bal."/>
      <sheetName val="C &amp; NC"/>
      <sheetName val="ICD-Taken"/>
      <sheetName val="Customer Bal"/>
      <sheetName val="ICD-Given new"/>
      <sheetName val="Clients"/>
      <sheetName val="Ind AS Entry"/>
      <sheetName val="Investments-NBFC"/>
      <sheetName val="Computation new format"/>
      <sheetName val="checklist"/>
    </sheetNames>
    <sheetDataSet>
      <sheetData sheetId="0" refreshError="1"/>
      <sheetData sheetId="1" refreshError="1"/>
      <sheetData sheetId="2">
        <row r="4">
          <cell r="C4" t="str">
            <v>Pushpanjli Finsolutions Limited</v>
          </cell>
        </row>
        <row r="7">
          <cell r="G7">
            <v>1</v>
          </cell>
        </row>
        <row r="8">
          <cell r="F8" t="str">
            <v>Rs.</v>
          </cell>
        </row>
        <row r="11">
          <cell r="C11">
            <v>44196</v>
          </cell>
          <cell r="D11">
            <v>43921</v>
          </cell>
          <cell r="E11">
            <v>42826</v>
          </cell>
          <cell r="F11">
            <v>43465</v>
          </cell>
          <cell r="G11">
            <v>43190</v>
          </cell>
        </row>
        <row r="12">
          <cell r="C12" t="str">
            <v>31 December 2020</v>
          </cell>
          <cell r="D12" t="str">
            <v>31 March 2020</v>
          </cell>
        </row>
        <row r="13">
          <cell r="C13" t="str">
            <v>Ravinder</v>
          </cell>
        </row>
        <row r="14">
          <cell r="C14" t="str">
            <v>DIN: 02873125</v>
          </cell>
        </row>
        <row r="15">
          <cell r="C15" t="str">
            <v>Sumer Singh Tokas</v>
          </cell>
        </row>
        <row r="16">
          <cell r="C16" t="str">
            <v>DIN: 06955507</v>
          </cell>
        </row>
        <row r="18">
          <cell r="C18" t="str">
            <v>Srishti Garg</v>
          </cell>
        </row>
        <row r="19">
          <cell r="C19" t="str">
            <v>PAN: BXWPG7538R</v>
          </cell>
        </row>
        <row r="22">
          <cell r="C22" t="str">
            <v>For Sumit Mohit &amp; Company</v>
          </cell>
        </row>
        <row r="23">
          <cell r="C23" t="str">
            <v>Sumit Garg</v>
          </cell>
        </row>
        <row r="24">
          <cell r="C24" t="str">
            <v>Membership No. 506945</v>
          </cell>
        </row>
        <row r="25">
          <cell r="C25" t="str">
            <v>New Delhi</v>
          </cell>
        </row>
        <row r="26">
          <cell r="C26" t="str">
            <v>July 20, 2020</v>
          </cell>
        </row>
        <row r="29">
          <cell r="C29" t="str">
            <v xml:space="preserve">For the period ended </v>
          </cell>
          <cell r="D29" t="str">
            <v xml:space="preserve">For the year ended </v>
          </cell>
        </row>
      </sheetData>
      <sheetData sheetId="3" refreshError="1"/>
      <sheetData sheetId="4">
        <row r="17">
          <cell r="H17">
            <v>169606</v>
          </cell>
        </row>
      </sheetData>
      <sheetData sheetId="5" refreshError="1"/>
      <sheetData sheetId="6" refreshError="1"/>
      <sheetData sheetId="7" refreshError="1"/>
      <sheetData sheetId="8" refreshError="1"/>
      <sheetData sheetId="9">
        <row r="43">
          <cell r="G43">
            <v>357920041</v>
          </cell>
        </row>
      </sheetData>
      <sheetData sheetId="10">
        <row r="14">
          <cell r="F14">
            <v>2691979272</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133">
          <cell r="E133">
            <v>42031849</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amp; NC"/>
      <sheetName val="ICD Given"/>
      <sheetName val="Segment-Main"/>
      <sheetName val="Segment-Working"/>
      <sheetName val="ICD Taken"/>
      <sheetName val="Index"/>
      <sheetName val="Related Parties - BS"/>
      <sheetName val="Clients"/>
      <sheetName val="Customer Bal"/>
      <sheetName val="Related Parties - PL"/>
      <sheetName val="Vendor bal."/>
      <sheetName val="Check List"/>
      <sheetName val="Imp Points"/>
      <sheetName val="Back Date Entries"/>
      <sheetName val="C.TRIAL"/>
      <sheetName val="Provisions"/>
      <sheetName val="BS"/>
      <sheetName val="ARCK"/>
      <sheetName val="Trial"/>
      <sheetName val="P&amp;L"/>
      <sheetName val="cash flow"/>
      <sheetName val="Note-B"/>
      <sheetName val="Notes - FA"/>
      <sheetName val="Note-P"/>
      <sheetName val="P&amp;L LR"/>
      <sheetName val="Note-P LR"/>
      <sheetName val="P&amp;L Qtly AS"/>
      <sheetName val="FDR"/>
      <sheetName val="Notes"/>
      <sheetName val="preliminary expenses"/>
      <sheetName val="Advance Tax"/>
      <sheetName val="EPS"/>
      <sheetName val="DTAX"/>
      <sheetName val="PTA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iation"/>
      <sheetName val="EPS ytd"/>
      <sheetName val="EPS qtr"/>
      <sheetName val="PL%"/>
      <sheetName val="snapshot"/>
      <sheetName val="Revenue Break up_Conso"/>
      <sheetName val="cowise-revenue"/>
      <sheetName val="Revenue Break Up_IFSL"/>
      <sheetName val="cowisep&amp;l_till_September"/>
      <sheetName val="cowisep&amp;l_for_october"/>
      <sheetName val="Minority_intt_07-08"/>
      <sheetName val="associates_07-08"/>
      <sheetName val="Fixed assets"/>
      <sheetName val="cowisep&amp;l_till_October "/>
      <sheetName val="cowisep&amp;l_for_November "/>
      <sheetName val="cowisep&amp;l_till_December"/>
      <sheetName val="PL%MOM"/>
      <sheetName val="consoP&amp;L(ashok ji)"/>
      <sheetName val="consoP&amp;L "/>
      <sheetName val="BS"/>
      <sheetName val="PL"/>
      <sheetName val="Sch"/>
      <sheetName val="cashflow"/>
      <sheetName val="Other operating"/>
      <sheetName val="cowisep&amp;l_till_November"/>
      <sheetName val="cowisep&amp;l_for_December"/>
      <sheetName val="cowisep&amp;l_Q3"/>
      <sheetName val="publish"/>
      <sheetName val="submission to SE"/>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amp; NC"/>
      <sheetName val="Note-B"/>
      <sheetName val="PHPL - T"/>
      <sheetName val="ILPL - T"/>
      <sheetName val="Arbutus - T"/>
      <sheetName val="NCD-IVL"/>
      <sheetName val="IBL - T"/>
      <sheetName val="ICL - T"/>
      <sheetName val="ISL - T"/>
      <sheetName val="R Capital - T"/>
      <sheetName val="IndusInd OD - T"/>
      <sheetName val="IHFL - T"/>
      <sheetName val="ASSL - T"/>
      <sheetName val="IIL-T"/>
      <sheetName val="ICD Given"/>
      <sheetName val="ICL - G"/>
      <sheetName val="Albasta - G"/>
      <sheetName val="Airmid - G"/>
      <sheetName val="ILPPL - G"/>
      <sheetName val="GYAN - G"/>
      <sheetName val="ASSL - G"/>
      <sheetName val="SORIL - G"/>
      <sheetName val="Segment-Main"/>
      <sheetName val="Segment-Working"/>
      <sheetName val="ICD Taken"/>
      <sheetName val="Related Parties - BS"/>
      <sheetName val="Clients"/>
      <sheetName val="Customer Bal"/>
      <sheetName val="Vendor bal."/>
      <sheetName val="ARCK"/>
      <sheetName val="Index"/>
      <sheetName val="Related Parties - PL"/>
      <sheetName val="Intergroup Elemination"/>
      <sheetName val="Check List"/>
      <sheetName val="Imp Points"/>
      <sheetName val="C.TRIAL"/>
      <sheetName val="Trial"/>
      <sheetName val="Provisions"/>
      <sheetName val="P&amp;L Qtly AS"/>
      <sheetName val="BS"/>
      <sheetName val="P&amp;L"/>
      <sheetName val="cash flow"/>
      <sheetName val="Notes - FA"/>
      <sheetName val="Note-P"/>
      <sheetName val="Cal Dep."/>
      <sheetName val="Notes"/>
      <sheetName val="preliminary expenses"/>
      <sheetName val="Related Party"/>
      <sheetName val="Related Party Working"/>
      <sheetName val="Exp Trf ILPL"/>
      <sheetName val="Advance Tax"/>
      <sheetName val="EPS"/>
      <sheetName val="CG"/>
      <sheetName val="DTAX"/>
      <sheetName val="PTA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5">
          <cell r="G5">
            <v>0.34608000000000005</v>
          </cell>
        </row>
        <row r="6">
          <cell r="G6">
            <v>0.34608000000000005</v>
          </cell>
        </row>
        <row r="11">
          <cell r="C11">
            <v>42460</v>
          </cell>
          <cell r="D11">
            <v>42094</v>
          </cell>
        </row>
        <row r="30">
          <cell r="C30">
            <v>366</v>
          </cell>
        </row>
        <row r="31">
          <cell r="C31">
            <v>0</v>
          </cell>
        </row>
      </sheetData>
      <sheetData sheetId="31"/>
      <sheetData sheetId="32"/>
      <sheetData sheetId="33"/>
      <sheetData sheetId="34"/>
      <sheetData sheetId="35"/>
      <sheetData sheetId="36"/>
      <sheetData sheetId="37">
        <row r="2">
          <cell r="C2">
            <v>31</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dvance Tax"/>
      <sheetName val="Cash Flow"/>
      <sheetName val="Cash flow working"/>
      <sheetName val="Cash Flow (2)"/>
      <sheetName val="Mapping Old "/>
      <sheetName val="Tally TB"/>
      <sheetName val="SAP TB"/>
      <sheetName val="Mapping New"/>
      <sheetName val="Sec deposit wrkg"/>
      <sheetName val="Clients"/>
      <sheetName val="Customer Bal"/>
      <sheetName val="Trial"/>
      <sheetName val="Quarterly (SLM)"/>
      <sheetName val="Provisions"/>
      <sheetName val="SAP Trial"/>
      <sheetName val="ARCK"/>
      <sheetName val="Vendor Bal"/>
      <sheetName val="BS"/>
      <sheetName val="PL"/>
      <sheetName val="Note 3-8"/>
      <sheetName val="Note 9-11"/>
      <sheetName val="Note- 12_FA (SLM) "/>
      <sheetName val="Sheet3"/>
      <sheetName val="WDV to SLM Adjustment"/>
      <sheetName val="Note 13-18"/>
      <sheetName val="Note 19 - 23"/>
      <sheetName val="BS (WDV)"/>
      <sheetName val="PL (WDV)"/>
      <sheetName val="Note 19 - 23 (WDV)"/>
      <sheetName val="Note-12_FA (WDV)"/>
      <sheetName val="Note 3-8 (WDV)"/>
      <sheetName val="CFS"/>
      <sheetName val="CF-W"/>
      <sheetName val="Cash flow working (2)"/>
      <sheetName val="Note 1-2"/>
      <sheetName val="Unamortied Cost Calculation"/>
      <sheetName val="Electricity Provision"/>
      <sheetName val="Sundry Debtors"/>
      <sheetName val="Interest Working Indusind Bank"/>
      <sheetName val="Other Workings"/>
      <sheetName val="Note 25"/>
      <sheetName val="Notes"/>
      <sheetName val="Note 24 - 33"/>
      <sheetName val="notes acturial valuation"/>
      <sheetName val="IDSL - Taken"/>
      <sheetName val="Sheet7"/>
      <sheetName val="TB-Nov working 2"/>
      <sheetName val="TB-Nov - working"/>
      <sheetName val="Note 4 &amp; 5"/>
      <sheetName val="AS 19 Details"/>
      <sheetName val="Fixed Deposit"/>
      <sheetName val="Note 24"/>
      <sheetName val="Cash Flow Workings"/>
      <sheetName val="CWIP FA"/>
      <sheetName val="P.9"/>
      <sheetName val="Loan and int accrued"/>
      <sheetName val="Sundry debtors bifurcation"/>
      <sheetName val="EPS"/>
      <sheetName val="Sheet1"/>
      <sheetName val="TB 2010"/>
      <sheetName val="Income tax working"/>
      <sheetName val="DTA"/>
      <sheetName val="Income tax working (SLM)"/>
      <sheetName val="Income tax working (WDV)"/>
      <sheetName val="DTAX"/>
      <sheetName val="IT Depr working"/>
      <sheetName val="Sheet2"/>
    </sheetNames>
    <sheetDataSet>
      <sheetData sheetId="0" refreshError="1">
        <row r="11">
          <cell r="C11">
            <v>42277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 VI"/>
      <sheetName val="INVST"/>
      <sheetName val="TB - SAP"/>
      <sheetName val="TB - Focus"/>
      <sheetName val="To Tally"/>
      <sheetName val="Provisions"/>
      <sheetName val="Monthly P&amp;L"/>
      <sheetName val="Reports"/>
      <sheetName val="TB"/>
      <sheetName val="Director Remuneration"/>
      <sheetName val="Other TBs"/>
      <sheetName val="BS"/>
      <sheetName val="PL"/>
      <sheetName val="CFS"/>
      <sheetName val="Notes-B"/>
      <sheetName val="C &amp; NC"/>
      <sheetName val="Note-P"/>
      <sheetName val="Monthly"/>
      <sheetName val="Note-FA"/>
      <sheetName val="Note-1"/>
      <sheetName val="Note-2"/>
      <sheetName val="EPS"/>
      <sheetName val="ITR vs. Books"/>
      <sheetName val="ARCK-CL-OL"/>
      <sheetName val="Vendor bal."/>
      <sheetName val="Clients"/>
      <sheetName val="DT"/>
      <sheetName val="Tax Prov."/>
      <sheetName val="Segment-Main"/>
      <sheetName val="bad debt"/>
      <sheetName val="pENDING"/>
      <sheetName val="Index"/>
      <sheetName val="NTA"/>
      <sheetName val="Adv Tax"/>
      <sheetName val="SEBI T.O. Fees"/>
      <sheetName val="Trial"/>
      <sheetName val="Provision Working"/>
      <sheetName val="Funds - AS"/>
      <sheetName val="CF-W"/>
      <sheetName val="Segment-Working"/>
      <sheetName val="Dividend Working"/>
      <sheetName val="14A"/>
      <sheetName val="Results_Jun"/>
      <sheetName val="Results_Sep"/>
      <sheetName val="Results_Dec"/>
      <sheetName val="Results_Mar"/>
      <sheetName val="NSE MARGING FUNDING"/>
      <sheetName val="BSE MARGIN FUNDING"/>
      <sheetName val="NET WORTH NSE"/>
      <sheetName val="NET WORTH BSE"/>
      <sheetName val="General NW"/>
      <sheetName val="CDSL"/>
      <sheetName val="NSD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row r="12">
          <cell r="C12" t="str">
            <v>March 31, 2012</v>
          </cell>
          <cell r="D12" t="str">
            <v>March 31, 2011</v>
          </cell>
        </row>
        <row r="13">
          <cell r="C13" t="str">
            <v>Divyesh B. Shah</v>
          </cell>
        </row>
        <row r="14">
          <cell r="C14" t="str">
            <v>Ashok Sharma</v>
          </cell>
        </row>
        <row r="21">
          <cell r="C21" t="str">
            <v>Mumbai</v>
          </cell>
        </row>
        <row r="22">
          <cell r="C22" t="str">
            <v>April 25, 2012</v>
          </cell>
        </row>
      </sheetData>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Sheet1"/>
      <sheetName val="Product-wise"/>
      <sheetName val="Summary"/>
      <sheetName val="Jun F1"/>
      <sheetName val="May F2"/>
      <sheetName val="May F1"/>
      <sheetName val="Apr F2"/>
      <sheetName val="Apr F1"/>
      <sheetName val="Mar F2"/>
      <sheetName val="Mar F1"/>
      <sheetName val="Feb F2"/>
      <sheetName val="Feb F1"/>
      <sheetName val="Jan F2"/>
      <sheetName val="Jan F1"/>
      <sheetName val="Jun F2"/>
      <sheetName val="Jul F1"/>
    </sheetNames>
    <sheetDataSet>
      <sheetData sheetId="0">
        <row r="1">
          <cell r="A1" t="str">
            <v>AP00R</v>
          </cell>
          <cell r="B1">
            <v>1</v>
          </cell>
        </row>
        <row r="2">
          <cell r="A2" t="str">
            <v>ENDT15</v>
          </cell>
          <cell r="B2">
            <v>1</v>
          </cell>
        </row>
        <row r="3">
          <cell r="A3" t="str">
            <v>ENDT20</v>
          </cell>
          <cell r="B3">
            <v>1</v>
          </cell>
        </row>
        <row r="4">
          <cell r="A4" t="str">
            <v>EP2006</v>
          </cell>
          <cell r="B4">
            <v>1</v>
          </cell>
        </row>
        <row r="5">
          <cell r="A5" t="str">
            <v>EP2010</v>
          </cell>
          <cell r="B5">
            <v>1</v>
          </cell>
        </row>
        <row r="6">
          <cell r="A6" t="str">
            <v>EP206G</v>
          </cell>
          <cell r="B6">
            <v>1</v>
          </cell>
        </row>
        <row r="7">
          <cell r="A7" t="str">
            <v>EP20</v>
          </cell>
          <cell r="B7">
            <v>1</v>
          </cell>
        </row>
        <row r="8">
          <cell r="A8" t="str">
            <v>EP20G</v>
          </cell>
          <cell r="B8">
            <v>1</v>
          </cell>
        </row>
        <row r="9">
          <cell r="A9" t="str">
            <v>EP24A</v>
          </cell>
          <cell r="B9">
            <v>1</v>
          </cell>
        </row>
        <row r="10">
          <cell r="A10" t="str">
            <v>EP2506</v>
          </cell>
          <cell r="B10">
            <v>1</v>
          </cell>
        </row>
        <row r="11">
          <cell r="A11" t="str">
            <v>EP2515</v>
          </cell>
          <cell r="B11">
            <v>1</v>
          </cell>
        </row>
        <row r="12">
          <cell r="A12" t="str">
            <v>EP256G</v>
          </cell>
          <cell r="B12">
            <v>1</v>
          </cell>
        </row>
        <row r="13">
          <cell r="A13" t="str">
            <v>EP60G</v>
          </cell>
          <cell r="B13">
            <v>1</v>
          </cell>
        </row>
        <row r="14">
          <cell r="A14" t="str">
            <v>EPMB1</v>
          </cell>
          <cell r="B14">
            <v>1</v>
          </cell>
        </row>
        <row r="15">
          <cell r="A15" t="str">
            <v>EPS11G</v>
          </cell>
          <cell r="B15">
            <v>1</v>
          </cell>
        </row>
        <row r="16">
          <cell r="A16" t="str">
            <v>EPS</v>
          </cell>
          <cell r="B16">
            <v>1</v>
          </cell>
        </row>
        <row r="17">
          <cell r="A17" t="str">
            <v>EPSA</v>
          </cell>
          <cell r="B17">
            <v>1</v>
          </cell>
        </row>
        <row r="18">
          <cell r="A18" t="str">
            <v>JM1206</v>
          </cell>
          <cell r="B18">
            <v>1</v>
          </cell>
        </row>
        <row r="19">
          <cell r="A19" t="str">
            <v>JM1506</v>
          </cell>
          <cell r="B19">
            <v>1</v>
          </cell>
        </row>
        <row r="20">
          <cell r="A20" t="str">
            <v>JM1512</v>
          </cell>
          <cell r="B20">
            <v>1</v>
          </cell>
        </row>
        <row r="21">
          <cell r="A21" t="str">
            <v>JV00</v>
          </cell>
          <cell r="B21">
            <v>1</v>
          </cell>
        </row>
        <row r="22">
          <cell r="A22" t="str">
            <v>TN05</v>
          </cell>
          <cell r="B22">
            <v>1</v>
          </cell>
        </row>
        <row r="23">
          <cell r="A23" t="str">
            <v>TN10</v>
          </cell>
          <cell r="B23">
            <v>1</v>
          </cell>
        </row>
        <row r="24">
          <cell r="A24" t="str">
            <v>TN20</v>
          </cell>
          <cell r="B24">
            <v>1</v>
          </cell>
        </row>
        <row r="25">
          <cell r="A25" t="str">
            <v>TN25</v>
          </cell>
          <cell r="B25">
            <v>1</v>
          </cell>
        </row>
        <row r="26">
          <cell r="A26" t="str">
            <v>TN60</v>
          </cell>
          <cell r="B26">
            <v>1</v>
          </cell>
        </row>
        <row r="27">
          <cell r="A27" t="str">
            <v>UABLI</v>
          </cell>
          <cell r="B27">
            <v>1</v>
          </cell>
        </row>
        <row r="28">
          <cell r="A28" t="str">
            <v>UABLL</v>
          </cell>
          <cell r="B28">
            <v>1</v>
          </cell>
        </row>
        <row r="29">
          <cell r="A29" t="str">
            <v>UABSI</v>
          </cell>
          <cell r="B29">
            <v>1</v>
          </cell>
        </row>
        <row r="30">
          <cell r="A30" t="str">
            <v>UABSL</v>
          </cell>
          <cell r="B30">
            <v>1</v>
          </cell>
        </row>
        <row r="31">
          <cell r="A31" t="str">
            <v>UNERE</v>
          </cell>
          <cell r="B31">
            <v>1</v>
          </cell>
        </row>
        <row r="32">
          <cell r="A32" t="str">
            <v>UNEREI</v>
          </cell>
          <cell r="B32">
            <v>1</v>
          </cell>
        </row>
        <row r="33">
          <cell r="A33" t="str">
            <v>UNHP01</v>
          </cell>
          <cell r="B33">
            <v>1</v>
          </cell>
        </row>
        <row r="34">
          <cell r="A34" t="str">
            <v>UNHP03</v>
          </cell>
          <cell r="B34">
            <v>1</v>
          </cell>
        </row>
        <row r="35">
          <cell r="A35" t="str">
            <v>UNHP05</v>
          </cell>
          <cell r="B35">
            <v>1</v>
          </cell>
        </row>
        <row r="36">
          <cell r="A36" t="str">
            <v>UNHP10</v>
          </cell>
          <cell r="B36">
            <v>1</v>
          </cell>
        </row>
        <row r="37">
          <cell r="A37" t="str">
            <v>UNHPE</v>
          </cell>
          <cell r="B37">
            <v>1</v>
          </cell>
        </row>
        <row r="38">
          <cell r="A38" t="str">
            <v>UNPRE</v>
          </cell>
          <cell r="B38">
            <v>1</v>
          </cell>
        </row>
        <row r="39">
          <cell r="A39" t="str">
            <v>UNPRE3</v>
          </cell>
          <cell r="B39">
            <v>1</v>
          </cell>
        </row>
        <row r="40">
          <cell r="A40" t="str">
            <v>UNPREI</v>
          </cell>
          <cell r="B40">
            <v>1</v>
          </cell>
        </row>
        <row r="41">
          <cell r="A41" t="str">
            <v>WP00</v>
          </cell>
          <cell r="B41">
            <v>1</v>
          </cell>
        </row>
        <row r="42">
          <cell r="A42" t="str">
            <v>WP00L</v>
          </cell>
          <cell r="B42">
            <v>1</v>
          </cell>
        </row>
        <row r="43">
          <cell r="A43" t="str">
            <v>WPLP10</v>
          </cell>
          <cell r="B43">
            <v>1</v>
          </cell>
        </row>
        <row r="44">
          <cell r="A44" t="str">
            <v>WPLP20</v>
          </cell>
          <cell r="B44">
            <v>1</v>
          </cell>
        </row>
        <row r="45">
          <cell r="A45" t="str">
            <v>DP15</v>
          </cell>
          <cell r="B45">
            <v>0</v>
          </cell>
        </row>
        <row r="46">
          <cell r="A46" t="str">
            <v>DP20</v>
          </cell>
          <cell r="B46">
            <v>0</v>
          </cell>
        </row>
        <row r="47">
          <cell r="A47" t="str">
            <v>DPPT</v>
          </cell>
          <cell r="B47">
            <v>0</v>
          </cell>
        </row>
        <row r="48">
          <cell r="A48" t="str">
            <v>DPPT20</v>
          </cell>
          <cell r="B48">
            <v>0</v>
          </cell>
        </row>
        <row r="49">
          <cell r="A49" t="str">
            <v>OP00</v>
          </cell>
          <cell r="B49">
            <v>0</v>
          </cell>
        </row>
        <row r="50">
          <cell r="A50" t="str">
            <v>PN00N</v>
          </cell>
          <cell r="B50">
            <v>0</v>
          </cell>
        </row>
        <row r="51">
          <cell r="A51" t="str">
            <v>PP00</v>
          </cell>
          <cell r="B51">
            <v>0</v>
          </cell>
        </row>
        <row r="52">
          <cell r="A52" t="str">
            <v>PP00N</v>
          </cell>
          <cell r="B52">
            <v>0</v>
          </cell>
        </row>
        <row r="53">
          <cell r="A53" t="str">
            <v>PP20</v>
          </cell>
          <cell r="B53">
            <v>0</v>
          </cell>
        </row>
        <row r="54">
          <cell r="A54" t="str">
            <v>PP2006</v>
          </cell>
          <cell r="B54">
            <v>0</v>
          </cell>
        </row>
        <row r="55">
          <cell r="A55" t="str">
            <v>PP255N</v>
          </cell>
          <cell r="B55">
            <v>0</v>
          </cell>
        </row>
        <row r="56">
          <cell r="A56" t="str">
            <v>RPPT</v>
          </cell>
          <cell r="B56">
            <v>0</v>
          </cell>
        </row>
        <row r="57">
          <cell r="A57" t="str">
            <v>UNEAD</v>
          </cell>
          <cell r="B57">
            <v>0</v>
          </cell>
        </row>
        <row r="58">
          <cell r="A58" t="str">
            <v>UNEDD</v>
          </cell>
          <cell r="B58">
            <v>0</v>
          </cell>
        </row>
        <row r="59">
          <cell r="A59" t="str">
            <v>VP00</v>
          </cell>
          <cell r="B59">
            <v>0</v>
          </cell>
        </row>
        <row r="60">
          <cell r="A60" t="str">
            <v>VP15L</v>
          </cell>
          <cell r="B60">
            <v>0</v>
          </cell>
        </row>
        <row r="61">
          <cell r="A61" t="str">
            <v>VP</v>
          </cell>
          <cell r="B61">
            <v>0</v>
          </cell>
        </row>
        <row r="62">
          <cell r="A62" t="str">
            <v>VS</v>
          </cell>
          <cell r="B62">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Index"/>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IT_FBT_DDTP"/>
      <sheetName val="DDT_TDS_TCS"/>
      <sheetName val="Instructions"/>
      <sheetName val="Pre_XM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row r="3">
          <cell r="Z3" t="str">
            <v>INTERIM</v>
          </cell>
        </row>
        <row r="4">
          <cell r="Z4" t="str">
            <v>FINAL</v>
          </cell>
        </row>
      </sheetData>
      <sheetData sheetId="28"/>
      <sheetData sheetId="29"/>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Index"/>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IT_FBT_DDTP"/>
      <sheetName val="DDT_TDS_TCS"/>
      <sheetName val="Instructions"/>
      <sheetName val="Pre_XM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row r="65">
          <cell r="H65" t="str">
            <v>01-ANDAMAN AND NICOBAR ISLANDS</v>
          </cell>
        </row>
        <row r="66">
          <cell r="H66" t="str">
            <v>02-ANDHRA PRADESH</v>
          </cell>
        </row>
        <row r="67">
          <cell r="H67" t="str">
            <v>03-ARUNACHAL PRADESH</v>
          </cell>
        </row>
        <row r="68">
          <cell r="H68" t="str">
            <v>04-ASSAM</v>
          </cell>
        </row>
        <row r="69">
          <cell r="H69" t="str">
            <v>05-BIHAR</v>
          </cell>
        </row>
        <row r="70">
          <cell r="H70" t="str">
            <v>06-CHANDIGARH</v>
          </cell>
        </row>
        <row r="71">
          <cell r="H71" t="str">
            <v>07-DADRA AND NAGAR HAVELI</v>
          </cell>
        </row>
        <row r="72">
          <cell r="H72" t="str">
            <v>08-DAMAN AND DIU</v>
          </cell>
        </row>
        <row r="73">
          <cell r="H73" t="str">
            <v>09-DELHI</v>
          </cell>
        </row>
        <row r="74">
          <cell r="H74" t="str">
            <v>10-GOA</v>
          </cell>
        </row>
        <row r="75">
          <cell r="H75" t="str">
            <v>11-GUJARAT</v>
          </cell>
        </row>
        <row r="76">
          <cell r="H76" t="str">
            <v>12-HARYANA</v>
          </cell>
        </row>
        <row r="77">
          <cell r="H77" t="str">
            <v>13-HIMACHAL PRADESH</v>
          </cell>
        </row>
        <row r="78">
          <cell r="H78" t="str">
            <v>14-JAMMU AND KASHMIR</v>
          </cell>
        </row>
        <row r="79">
          <cell r="H79" t="str">
            <v>15-KARNATAKA</v>
          </cell>
        </row>
        <row r="80">
          <cell r="H80" t="str">
            <v>16-KERALA</v>
          </cell>
        </row>
        <row r="81">
          <cell r="H81" t="str">
            <v>17-LAKHSWADEEP</v>
          </cell>
        </row>
        <row r="82">
          <cell r="H82" t="str">
            <v>18-MADHYA PRADESH</v>
          </cell>
        </row>
        <row r="83">
          <cell r="H83" t="str">
            <v>19-MAHARASHTRA</v>
          </cell>
        </row>
        <row r="84">
          <cell r="H84" t="str">
            <v>20-MANIPUR</v>
          </cell>
        </row>
        <row r="85">
          <cell r="H85" t="str">
            <v>21-MEGHALAYA</v>
          </cell>
        </row>
        <row r="86">
          <cell r="H86" t="str">
            <v>22-MIZORAM</v>
          </cell>
        </row>
        <row r="87">
          <cell r="H87" t="str">
            <v>23-NAGALAND</v>
          </cell>
        </row>
        <row r="88">
          <cell r="H88" t="str">
            <v>24-ORISSA</v>
          </cell>
        </row>
        <row r="89">
          <cell r="H89" t="str">
            <v>25-PONDICHERRY</v>
          </cell>
        </row>
        <row r="90">
          <cell r="H90" t="str">
            <v>26-PUNJAB</v>
          </cell>
        </row>
        <row r="91">
          <cell r="H91" t="str">
            <v>27-RAJASTHAN</v>
          </cell>
        </row>
        <row r="92">
          <cell r="H92" t="str">
            <v>28-SIKKIM</v>
          </cell>
        </row>
        <row r="93">
          <cell r="H93" t="str">
            <v>29-TAMILNADU</v>
          </cell>
        </row>
        <row r="94">
          <cell r="H94" t="str">
            <v>30-TRIPURA</v>
          </cell>
        </row>
        <row r="95">
          <cell r="H95" t="str">
            <v>31-UTTAR PRADESH</v>
          </cell>
        </row>
        <row r="96">
          <cell r="H96" t="str">
            <v>32-WEST BENGAL</v>
          </cell>
        </row>
        <row r="97">
          <cell r="H97" t="str">
            <v>33-CHHATISHGARH</v>
          </cell>
        </row>
        <row r="98">
          <cell r="H98" t="str">
            <v>34-UTTARANCHAL</v>
          </cell>
        </row>
        <row r="99">
          <cell r="H99" t="str">
            <v>35-JHARKHAND</v>
          </cell>
        </row>
        <row r="100">
          <cell r="H100" t="str">
            <v>99-FOREIGN</v>
          </cell>
        </row>
      </sheetData>
      <sheetData sheetId="27" refreshError="1"/>
      <sheetData sheetId="28" refreshError="1"/>
      <sheetData sheetId="2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l"/>
      <sheetName val="vendor-icplall"/>
      <sheetName val="1011_GL_MAPPING(13.06.2007)"/>
      <sheetName val="FBT (2)"/>
      <sheetName val="Expenditure"/>
      <sheetName val="Investment"/>
      <sheetName val="QUERY"/>
      <sheetName val="GL Trial Focus"/>
      <sheetName val="Trial Focus"/>
      <sheetName val="Trial"/>
      <sheetName val="Trialsap"/>
      <sheetName val="C.TRIAL"/>
      <sheetName val="ICPL"/>
      <sheetName val="BS"/>
      <sheetName val="P&amp;L"/>
      <sheetName val="SCH"/>
      <sheetName val="3.Int Acc NSC"/>
      <sheetName val="Net Worth"/>
      <sheetName val="cash flow"/>
      <sheetName val="Advance Tax"/>
      <sheetName val="Tax"/>
      <sheetName val="Provision"/>
      <sheetName val="Segment"/>
      <sheetName val="FDR Int"/>
      <sheetName val="Sheet1"/>
      <sheetName val="fund "/>
      <sheetName val="FA"/>
      <sheetName val="Calculation of Depriciation"/>
      <sheetName val="prepaid expenses"/>
      <sheetName val="EPS"/>
      <sheetName val="intercompany_balances"/>
      <sheetName val="Share Trading Prof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VI printable)"/>
      <sheetName val="P &amp; L(VI Printable)"/>
      <sheetName val="SCH (VI printable)"/>
      <sheetName val="Cash Flow"/>
      <sheetName val="BS"/>
      <sheetName val="P&amp;L"/>
      <sheetName val="SCH"/>
      <sheetName val="14A"/>
      <sheetName val="FDR"/>
      <sheetName val="Advance Tax"/>
      <sheetName val="DETAIL"/>
      <sheetName val="Trailsap"/>
      <sheetName val="icapl"/>
      <sheetName val="Prov net off "/>
      <sheetName val="Provision"/>
      <sheetName val="Segment-Working"/>
      <sheetName val="Prov for Tax"/>
      <sheetName val="pgra"/>
      <sheetName val="Segment-Main"/>
      <sheetName val="EPS"/>
      <sheetName val="DT"/>
      <sheetName val="Net worth"/>
      <sheetName val="Related Party"/>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rocess"/>
      <sheetName val="Director Remuneration"/>
      <sheetName val="Copal"/>
      <sheetName val="TB - Focus"/>
      <sheetName val="To Tally"/>
      <sheetName val="TB - SAP"/>
      <sheetName val="Provisions"/>
      <sheetName val="Provision Working"/>
      <sheetName val="Summary"/>
      <sheetName val="Summary Dec-12"/>
      <sheetName val="Monthly P&amp;L"/>
      <sheetName val="Reports"/>
      <sheetName val="Other TBs"/>
      <sheetName val="Dividend Working"/>
      <sheetName val="Results_P"/>
      <sheetName val="Publish"/>
      <sheetName val="AC"/>
      <sheetName val="Results"/>
      <sheetName val="TB"/>
      <sheetName val="BS"/>
      <sheetName val="PL"/>
      <sheetName val="CFS"/>
      <sheetName val="CF-W"/>
      <sheetName val="Note-B"/>
      <sheetName val="Note-FA"/>
      <sheetName val="Note-P"/>
      <sheetName val="Note-2"/>
      <sheetName val="Clients"/>
      <sheetName val="Tax Prov."/>
      <sheetName val="ARCK"/>
      <sheetName val="DT"/>
      <sheetName val="C &amp; NC"/>
      <sheetName val="ITax"/>
      <sheetName val="Segment Old"/>
      <sheetName val="Seg Cur Qtr"/>
      <sheetName val="Segment YTD"/>
      <sheetName val="Seg Q2 YTD"/>
      <sheetName val="Seg Q2"/>
      <sheetName val="Seg Q1"/>
      <sheetName val="Note-1"/>
      <sheetName val="Vendor bal."/>
      <sheetName val="Segment"/>
      <sheetName val="EPS"/>
      <sheetName val="GNW"/>
      <sheetName val="Adv Tax"/>
      <sheetName val="DR"/>
      <sheetName val="Sheet1"/>
      <sheetName val="Cap Adv"/>
      <sheetName val="BSE MT"/>
      <sheetName val="NSE MTC"/>
      <sheetName val="SEBI"/>
      <sheetName val="Funds - AS"/>
      <sheetName val="Details"/>
      <sheetName val="14A"/>
      <sheetName val="Seg Q3"/>
      <sheetName val="Seg Q3 YT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2">
          <cell r="E2" t="str">
            <v>INDIABULLS SECURITIES LIMITED</v>
          </cell>
        </row>
      </sheetData>
      <sheetData sheetId="26">
        <row r="2">
          <cell r="B2" t="str">
            <v>Indiabulls Securities Limited</v>
          </cell>
        </row>
        <row r="119">
          <cell r="E119">
            <v>15264422</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ated Parties - BS"/>
      <sheetName val="Related Parties - PL"/>
      <sheetName val="Check List"/>
      <sheetName val="Director Remuneration"/>
      <sheetName val="Copal"/>
      <sheetName val="Provision Working"/>
      <sheetName val="Dividend Working"/>
      <sheetName val="CSR Expenses"/>
      <sheetName val="Task"/>
      <sheetName val="DR"/>
      <sheetName val="CDSL"/>
      <sheetName val="TB - SAP"/>
      <sheetName val="TB - Focus"/>
      <sheetName val="To Tally"/>
      <sheetName val="Results_Pub - New - 1"/>
      <sheetName val="Results - Previous Qtrs"/>
      <sheetName val="Elemination - working"/>
      <sheetName val="Provisions"/>
      <sheetName val="Qtr -AS"/>
      <sheetName val="Adv Tax"/>
      <sheetName val="Qtr-BS"/>
      <sheetName val="Vendor bal."/>
      <sheetName val="Results_Publish - New format"/>
      <sheetName val="Results"/>
      <sheetName val="Segment YTD"/>
      <sheetName val="Segment YTD - PL"/>
      <sheetName val="Index"/>
      <sheetName val="BS"/>
      <sheetName val="PL"/>
      <sheetName val="CFS"/>
      <sheetName val="Note-1"/>
      <sheetName val="Note-B"/>
      <sheetName val="Note-FA"/>
      <sheetName val="Note-P"/>
      <sheetName val="Note-2"/>
      <sheetName val="Tax Prov."/>
      <sheetName val="TB"/>
      <sheetName val="Clients"/>
      <sheetName val="ARCK"/>
      <sheetName val="Computation"/>
      <sheetName val="Other TBs"/>
      <sheetName val="DT"/>
      <sheetName val="CF-W"/>
      <sheetName val="EPS"/>
      <sheetName val="Div"/>
      <sheetName val="Buy Back"/>
      <sheetName val="Bad Debts SD Write Off"/>
      <sheetName val="Sheet4"/>
      <sheetName val="Projected"/>
      <sheetName val="Sheet3"/>
      <sheetName val="C &amp; NC"/>
      <sheetName val="Segment Old"/>
      <sheetName val="Segment"/>
      <sheetName val="PMS"/>
      <sheetName val="GNW"/>
      <sheetName val="NSDL"/>
      <sheetName val="NSE MT"/>
      <sheetName val="BSE MT"/>
      <sheetName val="Funds Client"/>
      <sheetName val="Funds Position"/>
      <sheetName val="14A"/>
    </sheetNames>
    <sheetDataSet>
      <sheetData sheetId="0"/>
      <sheetData sheetId="1"/>
      <sheetData sheetId="2"/>
      <sheetData sheetId="3"/>
      <sheetData sheetId="4"/>
      <sheetData sheetId="5"/>
      <sheetData sheetId="6"/>
      <sheetData sheetId="7"/>
      <sheetData sheetId="8"/>
      <sheetData sheetId="9"/>
      <sheetData sheetId="10"/>
      <sheetData sheetId="11">
        <row r="1">
          <cell r="A1" t="str">
            <v>G/L Account</v>
          </cell>
        </row>
      </sheetData>
      <sheetData sheetId="12">
        <row r="1">
          <cell r="A1" t="str">
            <v>ACC_CODE</v>
          </cell>
        </row>
        <row r="3">
          <cell r="A3" t="str">
            <v>GIPO</v>
          </cell>
        </row>
        <row r="4">
          <cell r="A4" t="str">
            <v>GA00B136</v>
          </cell>
        </row>
        <row r="5">
          <cell r="A5" t="str">
            <v>GA00B803</v>
          </cell>
        </row>
        <row r="6">
          <cell r="A6" t="str">
            <v>GA00B872</v>
          </cell>
        </row>
        <row r="7">
          <cell r="A7" t="str">
            <v>GA00B1548</v>
          </cell>
        </row>
        <row r="8">
          <cell r="A8" t="str">
            <v>GA00B19</v>
          </cell>
        </row>
        <row r="9">
          <cell r="A9" t="str">
            <v>GA00B75</v>
          </cell>
        </row>
        <row r="10">
          <cell r="A10" t="str">
            <v>GA00B608</v>
          </cell>
        </row>
        <row r="11">
          <cell r="A11" t="str">
            <v>GA00B3</v>
          </cell>
        </row>
        <row r="12">
          <cell r="A12" t="str">
            <v>GA00B39</v>
          </cell>
        </row>
        <row r="13">
          <cell r="A13" t="str">
            <v>GA00B104</v>
          </cell>
        </row>
        <row r="14">
          <cell r="A14" t="str">
            <v>GA00B294</v>
          </cell>
        </row>
        <row r="15">
          <cell r="A15" t="str">
            <v>GA00B186</v>
          </cell>
        </row>
        <row r="16">
          <cell r="A16" t="str">
            <v>GA00B185</v>
          </cell>
        </row>
        <row r="17">
          <cell r="A17" t="str">
            <v>GA00B211</v>
          </cell>
        </row>
        <row r="18">
          <cell r="A18" t="str">
            <v>GA00B15</v>
          </cell>
        </row>
        <row r="19">
          <cell r="A19" t="str">
            <v>GA00B130</v>
          </cell>
        </row>
        <row r="20">
          <cell r="A20" t="str">
            <v>GA00B561</v>
          </cell>
        </row>
        <row r="21">
          <cell r="A21" t="str">
            <v>GAOOB294</v>
          </cell>
        </row>
        <row r="22">
          <cell r="A22" t="str">
            <v>GA00B164</v>
          </cell>
        </row>
        <row r="23">
          <cell r="A23" t="str">
            <v>GA00B850</v>
          </cell>
        </row>
        <row r="24">
          <cell r="A24" t="str">
            <v>GA00B801</v>
          </cell>
        </row>
        <row r="25">
          <cell r="A25" t="str">
            <v>GA00B628</v>
          </cell>
        </row>
        <row r="26">
          <cell r="A26" t="str">
            <v>GA00B855</v>
          </cell>
        </row>
        <row r="27">
          <cell r="A27" t="str">
            <v>GA00B856</v>
          </cell>
        </row>
        <row r="28">
          <cell r="A28" t="str">
            <v>GA00B03</v>
          </cell>
        </row>
        <row r="29">
          <cell r="A29" t="str">
            <v>GL1019</v>
          </cell>
        </row>
        <row r="30">
          <cell r="A30" t="str">
            <v>GA0B3</v>
          </cell>
        </row>
        <row r="31">
          <cell r="A31" t="str">
            <v>GA00B82</v>
          </cell>
        </row>
        <row r="32">
          <cell r="A32" t="str">
            <v>GA00B740</v>
          </cell>
        </row>
        <row r="33">
          <cell r="A33" t="str">
            <v>GA00B625</v>
          </cell>
        </row>
        <row r="34">
          <cell r="A34" t="str">
            <v>GA00B800</v>
          </cell>
        </row>
        <row r="35">
          <cell r="A35" t="str">
            <v>GA0B5</v>
          </cell>
        </row>
        <row r="36">
          <cell r="A36" t="str">
            <v>GA00B860</v>
          </cell>
        </row>
        <row r="37">
          <cell r="A37" t="str">
            <v>GA00B802</v>
          </cell>
        </row>
        <row r="38">
          <cell r="A38" t="str">
            <v>GA00B7</v>
          </cell>
        </row>
        <row r="39">
          <cell r="A39" t="str">
            <v>GA00B5</v>
          </cell>
        </row>
        <row r="40">
          <cell r="A40" t="str">
            <v>GA00B254</v>
          </cell>
        </row>
        <row r="41">
          <cell r="A41" t="str">
            <v>GA00B73</v>
          </cell>
        </row>
        <row r="42">
          <cell r="A42" t="str">
            <v>GA00B507</v>
          </cell>
        </row>
        <row r="43">
          <cell r="A43" t="str">
            <v>GA00B77</v>
          </cell>
        </row>
        <row r="44">
          <cell r="A44" t="str">
            <v>GA00B590</v>
          </cell>
        </row>
        <row r="45">
          <cell r="A45" t="str">
            <v>GA00B131</v>
          </cell>
        </row>
        <row r="46">
          <cell r="A46" t="str">
            <v>GA00B626</v>
          </cell>
        </row>
        <row r="47">
          <cell r="A47" t="str">
            <v>GA00B146</v>
          </cell>
        </row>
        <row r="48">
          <cell r="A48" t="str">
            <v>GA00B250</v>
          </cell>
        </row>
        <row r="49">
          <cell r="A49" t="str">
            <v>GA00B71</v>
          </cell>
        </row>
        <row r="50">
          <cell r="A50" t="str">
            <v>GA00B857</v>
          </cell>
        </row>
        <row r="51">
          <cell r="A51" t="str">
            <v>GA00B183</v>
          </cell>
        </row>
        <row r="52">
          <cell r="A52" t="str">
            <v>GA00B191</v>
          </cell>
        </row>
        <row r="53">
          <cell r="A53" t="str">
            <v>GA00B603</v>
          </cell>
        </row>
        <row r="54">
          <cell r="A54" t="str">
            <v>GA00B11</v>
          </cell>
        </row>
        <row r="55">
          <cell r="A55" t="str">
            <v>GA00B610</v>
          </cell>
        </row>
        <row r="56">
          <cell r="A56" t="str">
            <v>GA00B550</v>
          </cell>
        </row>
        <row r="57">
          <cell r="A57" t="str">
            <v>GA00B1</v>
          </cell>
        </row>
        <row r="58">
          <cell r="A58" t="str">
            <v>GA00B605</v>
          </cell>
        </row>
        <row r="59">
          <cell r="A59" t="str">
            <v>GA00B852</v>
          </cell>
        </row>
        <row r="60">
          <cell r="A60" t="str">
            <v>GA00B81</v>
          </cell>
        </row>
        <row r="61">
          <cell r="A61" t="str">
            <v>GA00B125</v>
          </cell>
        </row>
        <row r="62">
          <cell r="A62" t="str">
            <v>GA00B126</v>
          </cell>
        </row>
        <row r="63">
          <cell r="A63" t="str">
            <v>GADVCDP</v>
          </cell>
        </row>
        <row r="64">
          <cell r="A64" t="str">
            <v>GADVC</v>
          </cell>
        </row>
        <row r="65">
          <cell r="A65" t="str">
            <v>GA05090</v>
          </cell>
        </row>
        <row r="66">
          <cell r="A66" t="str">
            <v>GI01001</v>
          </cell>
        </row>
        <row r="67">
          <cell r="A67" t="str">
            <v>GA0B1</v>
          </cell>
        </row>
        <row r="68">
          <cell r="A68" t="str">
            <v>GA05050</v>
          </cell>
        </row>
        <row r="69">
          <cell r="A69" t="str">
            <v>GNABCSLB</v>
          </cell>
        </row>
        <row r="70">
          <cell r="A70" t="str">
            <v>GBCTGF</v>
          </cell>
        </row>
        <row r="71">
          <cell r="A71" t="str">
            <v>GBCDEP</v>
          </cell>
        </row>
        <row r="72">
          <cell r="A72" t="str">
            <v>GL01220</v>
          </cell>
        </row>
        <row r="73">
          <cell r="A73" t="str">
            <v>GBDEP</v>
          </cell>
        </row>
        <row r="74">
          <cell r="A74" t="str">
            <v>GDBSLBS</v>
          </cell>
        </row>
        <row r="75">
          <cell r="A75" t="str">
            <v>GSNCD</v>
          </cell>
        </row>
        <row r="76">
          <cell r="A76" t="str">
            <v>GA0035</v>
          </cell>
        </row>
        <row r="77">
          <cell r="A77" t="str">
            <v>GA0036</v>
          </cell>
        </row>
        <row r="78">
          <cell r="A78" t="str">
            <v>GA0072</v>
          </cell>
        </row>
        <row r="79">
          <cell r="A79" t="str">
            <v>GL01006</v>
          </cell>
        </row>
        <row r="80">
          <cell r="A80" t="str">
            <v>GA0442</v>
          </cell>
        </row>
        <row r="81">
          <cell r="A81" t="str">
            <v>GAMCX</v>
          </cell>
        </row>
        <row r="82">
          <cell r="A82" t="str">
            <v>GA0120</v>
          </cell>
        </row>
        <row r="83">
          <cell r="A83" t="str">
            <v>GSNSC</v>
          </cell>
        </row>
        <row r="84">
          <cell r="A84" t="str">
            <v>GANSDL</v>
          </cell>
        </row>
        <row r="85">
          <cell r="A85" t="str">
            <v>GANSE</v>
          </cell>
        </row>
        <row r="86">
          <cell r="A86" t="str">
            <v>GE0039</v>
          </cell>
        </row>
        <row r="87">
          <cell r="A87" t="str">
            <v>GBSVD</v>
          </cell>
        </row>
        <row r="88">
          <cell r="A88" t="str">
            <v>GNSEL</v>
          </cell>
        </row>
        <row r="89">
          <cell r="A89" t="str">
            <v>GADPR</v>
          </cell>
        </row>
        <row r="90">
          <cell r="A90" t="str">
            <v>GNSCCL</v>
          </cell>
        </row>
        <row r="91">
          <cell r="A91" t="str">
            <v>GBSEL</v>
          </cell>
        </row>
        <row r="92">
          <cell r="A92" t="str">
            <v>GNAST</v>
          </cell>
        </row>
        <row r="93">
          <cell r="A93" t="str">
            <v>GSBSE</v>
          </cell>
        </row>
        <row r="94">
          <cell r="A94" t="str">
            <v>GFDR</v>
          </cell>
        </row>
        <row r="95">
          <cell r="A95" t="str">
            <v>GA101</v>
          </cell>
        </row>
        <row r="96">
          <cell r="A96" t="str">
            <v>GA103</v>
          </cell>
        </row>
        <row r="97">
          <cell r="A97" t="str">
            <v>GA104</v>
          </cell>
        </row>
        <row r="98">
          <cell r="A98" t="str">
            <v>GA105</v>
          </cell>
        </row>
        <row r="99">
          <cell r="A99" t="str">
            <v>GA106</v>
          </cell>
        </row>
        <row r="100">
          <cell r="A100" t="str">
            <v>GA092</v>
          </cell>
        </row>
        <row r="101">
          <cell r="A101" t="str">
            <v>GA097</v>
          </cell>
        </row>
        <row r="102">
          <cell r="A102" t="str">
            <v>GA100</v>
          </cell>
        </row>
        <row r="103">
          <cell r="A103" t="str">
            <v>GFDTD0708</v>
          </cell>
        </row>
        <row r="104">
          <cell r="A104" t="str">
            <v>GCON</v>
          </cell>
        </row>
        <row r="105">
          <cell r="A105" t="str">
            <v>GERROR</v>
          </cell>
        </row>
        <row r="106">
          <cell r="A106" t="str">
            <v>GE0056</v>
          </cell>
        </row>
        <row r="107">
          <cell r="A107" t="str">
            <v>GBADR</v>
          </cell>
        </row>
        <row r="108">
          <cell r="A108" t="str">
            <v>GNSE</v>
          </cell>
        </row>
        <row r="109">
          <cell r="A109" t="str">
            <v>GNSEP</v>
          </cell>
        </row>
        <row r="110">
          <cell r="A110" t="str">
            <v>GASE</v>
          </cell>
        </row>
        <row r="111">
          <cell r="A111" t="str">
            <v>GOFFI</v>
          </cell>
        </row>
        <row r="112">
          <cell r="A112" t="str">
            <v>GRATE</v>
          </cell>
        </row>
        <row r="113">
          <cell r="A113" t="str">
            <v>GBANK</v>
          </cell>
        </row>
        <row r="114">
          <cell r="A114" t="str">
            <v>GE0015</v>
          </cell>
        </row>
        <row r="115">
          <cell r="A115" t="str">
            <v>GE01114</v>
          </cell>
        </row>
        <row r="116">
          <cell r="A116" t="str">
            <v>GBOTHERP</v>
          </cell>
        </row>
        <row r="117">
          <cell r="A117" t="str">
            <v>GAOC</v>
          </cell>
        </row>
        <row r="118">
          <cell r="A118" t="str">
            <v>GIADV</v>
          </cell>
        </row>
        <row r="119">
          <cell r="A119" t="str">
            <v>GDIVPR</v>
          </cell>
        </row>
        <row r="120">
          <cell r="A120" t="str">
            <v>GBROKS</v>
          </cell>
        </row>
        <row r="121">
          <cell r="A121" t="str">
            <v>GCBROK</v>
          </cell>
        </row>
        <row r="122">
          <cell r="A122" t="str">
            <v>GBROK</v>
          </cell>
        </row>
        <row r="123">
          <cell r="A123" t="str">
            <v>GBBROK</v>
          </cell>
        </row>
        <row r="124">
          <cell r="A124" t="str">
            <v>GFBROK</v>
          </cell>
        </row>
        <row r="125">
          <cell r="A125" t="str">
            <v>GIDP</v>
          </cell>
        </row>
        <row r="126">
          <cell r="A126" t="str">
            <v>GIDELAY</v>
          </cell>
        </row>
        <row r="127">
          <cell r="A127" t="str">
            <v>GIFO</v>
          </cell>
        </row>
        <row r="128">
          <cell r="A128" t="str">
            <v>GINTDP</v>
          </cell>
        </row>
        <row r="129">
          <cell r="A129" t="str">
            <v>GINT</v>
          </cell>
        </row>
        <row r="130">
          <cell r="A130" t="str">
            <v>GSEB</v>
          </cell>
        </row>
        <row r="131">
          <cell r="A131" t="str">
            <v>GL010021</v>
          </cell>
        </row>
        <row r="132">
          <cell r="A132" t="str">
            <v>GTRANS1</v>
          </cell>
        </row>
        <row r="133">
          <cell r="A133" t="str">
            <v>GTRXNCG1</v>
          </cell>
        </row>
        <row r="134">
          <cell r="A134" t="str">
            <v>GBTRANS1</v>
          </cell>
        </row>
        <row r="135">
          <cell r="A135" t="str">
            <v>GCTRANS1</v>
          </cell>
        </row>
        <row r="136">
          <cell r="A136" t="str">
            <v>GFTRANS1</v>
          </cell>
        </row>
        <row r="137">
          <cell r="A137" t="str">
            <v>GL01002</v>
          </cell>
        </row>
        <row r="138">
          <cell r="A138" t="str">
            <v>GTRANS</v>
          </cell>
        </row>
        <row r="139">
          <cell r="A139" t="str">
            <v>GTRXNCG</v>
          </cell>
        </row>
        <row r="140">
          <cell r="A140" t="str">
            <v>GBTRANS</v>
          </cell>
        </row>
        <row r="141">
          <cell r="A141" t="str">
            <v>GCTRANS</v>
          </cell>
        </row>
        <row r="142">
          <cell r="A142" t="str">
            <v>GFTRANS</v>
          </cell>
        </row>
        <row r="143">
          <cell r="A143" t="str">
            <v>GTRAN</v>
          </cell>
        </row>
        <row r="144">
          <cell r="A144" t="str">
            <v>GSDTX</v>
          </cell>
        </row>
        <row r="145">
          <cell r="A145" t="str">
            <v>GSDT</v>
          </cell>
        </row>
        <row r="146">
          <cell r="A146" t="str">
            <v>GBWB</v>
          </cell>
        </row>
        <row r="147">
          <cell r="A147" t="str">
            <v>GIPOC</v>
          </cell>
        </row>
        <row r="148">
          <cell r="A148" t="str">
            <v>GIMICS</v>
          </cell>
        </row>
        <row r="149">
          <cell r="A149" t="str">
            <v>GMII</v>
          </cell>
        </row>
        <row r="150">
          <cell r="A150" t="str">
            <v>GI01010</v>
          </cell>
        </row>
        <row r="151">
          <cell r="A151" t="str">
            <v>IMC</v>
          </cell>
        </row>
        <row r="152">
          <cell r="A152" t="str">
            <v>GINTCUST</v>
          </cell>
        </row>
        <row r="153">
          <cell r="A153" t="str">
            <v>GADCM</v>
          </cell>
        </row>
        <row r="154">
          <cell r="A154" t="str">
            <v>GA0383</v>
          </cell>
        </row>
        <row r="155">
          <cell r="A155" t="str">
            <v>GI04002</v>
          </cell>
        </row>
        <row r="156">
          <cell r="A156" t="str">
            <v>GI04003</v>
          </cell>
        </row>
        <row r="157">
          <cell r="A157" t="str">
            <v>GI04006</v>
          </cell>
        </row>
        <row r="158">
          <cell r="A158" t="str">
            <v>GLCP01</v>
          </cell>
        </row>
        <row r="159">
          <cell r="A159" t="str">
            <v>GCDP</v>
          </cell>
        </row>
        <row r="160">
          <cell r="A160" t="str">
            <v>GL01050</v>
          </cell>
        </row>
        <row r="161">
          <cell r="A161" t="str">
            <v>GLS003</v>
          </cell>
        </row>
        <row r="162">
          <cell r="A162" t="str">
            <v>GA0011</v>
          </cell>
        </row>
        <row r="163">
          <cell r="A163" t="str">
            <v>GLIPO</v>
          </cell>
        </row>
        <row r="164">
          <cell r="A164" t="str">
            <v>GSTAXMP</v>
          </cell>
        </row>
        <row r="165">
          <cell r="A165" t="str">
            <v>GRSTAX</v>
          </cell>
        </row>
        <row r="166">
          <cell r="A166" t="str">
            <v>GL01001</v>
          </cell>
        </row>
        <row r="167">
          <cell r="A167" t="str">
            <v>GSTRC</v>
          </cell>
        </row>
        <row r="168">
          <cell r="A168" t="str">
            <v>GL00121</v>
          </cell>
        </row>
        <row r="169">
          <cell r="A169" t="str">
            <v>GL00122</v>
          </cell>
        </row>
        <row r="170">
          <cell r="A170" t="str">
            <v>GNSBC</v>
          </cell>
        </row>
        <row r="171">
          <cell r="A171" t="str">
            <v>GL01025</v>
          </cell>
        </row>
        <row r="172">
          <cell r="A172" t="str">
            <v>GA00B41</v>
          </cell>
        </row>
      </sheetData>
      <sheetData sheetId="13"/>
      <sheetData sheetId="14"/>
      <sheetData sheetId="15"/>
      <sheetData sheetId="16"/>
      <sheetData sheetId="17">
        <row r="2">
          <cell r="E2">
            <v>31</v>
          </cell>
        </row>
      </sheetData>
      <sheetData sheetId="18"/>
      <sheetData sheetId="19"/>
      <sheetData sheetId="20"/>
      <sheetData sheetId="21"/>
      <sheetData sheetId="22"/>
      <sheetData sheetId="23"/>
      <sheetData sheetId="24"/>
      <sheetData sheetId="25"/>
      <sheetData sheetId="26">
        <row r="4">
          <cell r="C4" t="str">
            <v>Indiabulls Ventures Limited</v>
          </cell>
          <cell r="D4" t="str">
            <v>(formerly known as Indiabulls Securities Limited)</v>
          </cell>
        </row>
        <row r="11">
          <cell r="D11">
            <v>42094</v>
          </cell>
        </row>
        <row r="26">
          <cell r="C26" t="str">
            <v xml:space="preserve">For the year ended </v>
          </cell>
          <cell r="D26" t="str">
            <v xml:space="preserve">For the year ended </v>
          </cell>
        </row>
      </sheetData>
      <sheetData sheetId="27">
        <row r="13">
          <cell r="H13">
            <v>585739084</v>
          </cell>
        </row>
      </sheetData>
      <sheetData sheetId="28">
        <row r="18">
          <cell r="I18">
            <v>25677731</v>
          </cell>
        </row>
      </sheetData>
      <sheetData sheetId="29"/>
      <sheetData sheetId="30"/>
      <sheetData sheetId="31">
        <row r="308">
          <cell r="G308">
            <v>500000</v>
          </cell>
        </row>
      </sheetData>
      <sheetData sheetId="32"/>
      <sheetData sheetId="33">
        <row r="38">
          <cell r="F38">
            <v>249934791</v>
          </cell>
        </row>
      </sheetData>
      <sheetData sheetId="34"/>
      <sheetData sheetId="35"/>
      <sheetData sheetId="36">
        <row r="1">
          <cell r="F1" t="str">
            <v>Check Balance Sheet Difference</v>
          </cell>
        </row>
      </sheetData>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nd_trfr_sheet"/>
      <sheetName val="VALIDATION_LIST"/>
      <sheetName val="vlookup_co_name_code"/>
      <sheetName val="Fax_Indemnity_done"/>
      <sheetName val="OTHER_THAN_HDFCBANK"/>
      <sheetName val="Sheet1"/>
      <sheetName val="Sheet4"/>
      <sheetName val="manoj"/>
      <sheetName val="P&amp;L,BS"/>
      <sheetName val="Other notes"/>
      <sheetName val="Account_NO_Co_code"/>
      <sheetName val="segment_topsheet"/>
      <sheetName val="UNIT-II"/>
      <sheetName val="trial_HO"/>
      <sheetName val="QFC"/>
      <sheetName val="ASSUM"/>
      <sheetName val="Detail"/>
      <sheetName val="beam-reinft"/>
      <sheetName val="Sheet3"/>
      <sheetName val="letter"/>
      <sheetName val="BANK TRANSFER"/>
      <sheetName val="OD"/>
      <sheetName val="RECEIPT"/>
      <sheetName val="Advisory"/>
      <sheetName val="Sales Summary"/>
      <sheetName val="SGL IN"/>
      <sheetName val="S &amp; A"/>
      <sheetName val="Main"/>
      <sheetName val="Control"/>
    </sheetNames>
    <sheetDataSet>
      <sheetData sheetId="0" refreshError="1"/>
      <sheetData sheetId="1" refreshError="1">
        <row r="2">
          <cell r="A2" t="str">
            <v>0030340016502</v>
          </cell>
        </row>
        <row r="3">
          <cell r="A3" t="str">
            <v>0030340017066</v>
          </cell>
        </row>
        <row r="4">
          <cell r="A4" t="str">
            <v>0030340017358</v>
          </cell>
        </row>
        <row r="5">
          <cell r="A5" t="str">
            <v>0030340017368</v>
          </cell>
        </row>
        <row r="6">
          <cell r="A6" t="str">
            <v>0030340018750</v>
          </cell>
        </row>
        <row r="7">
          <cell r="A7" t="str">
            <v>0030340018767</v>
          </cell>
        </row>
        <row r="8">
          <cell r="A8" t="str">
            <v>0030340020239</v>
          </cell>
        </row>
        <row r="9">
          <cell r="A9" t="str">
            <v>0030340020620</v>
          </cell>
        </row>
        <row r="10">
          <cell r="A10" t="str">
            <v>0030340020637</v>
          </cell>
        </row>
        <row r="11">
          <cell r="A11" t="str">
            <v>0030340020784</v>
          </cell>
        </row>
        <row r="12">
          <cell r="A12" t="str">
            <v>0030340021147</v>
          </cell>
        </row>
        <row r="13">
          <cell r="A13" t="str">
            <v>0030340021370</v>
          </cell>
        </row>
        <row r="14">
          <cell r="A14" t="str">
            <v>0030340021380</v>
          </cell>
        </row>
        <row r="15">
          <cell r="A15" t="str">
            <v>0030340021397</v>
          </cell>
        </row>
        <row r="16">
          <cell r="A16" t="str">
            <v>0030340021405</v>
          </cell>
        </row>
        <row r="17">
          <cell r="A17" t="str">
            <v>0030340021415</v>
          </cell>
        </row>
        <row r="18">
          <cell r="A18" t="str">
            <v>0030340021761</v>
          </cell>
        </row>
        <row r="19">
          <cell r="A19" t="str">
            <v>0030340021898</v>
          </cell>
        </row>
        <row r="20">
          <cell r="A20" t="str">
            <v>0030340021906</v>
          </cell>
        </row>
        <row r="21">
          <cell r="A21" t="str">
            <v>0030340021916</v>
          </cell>
        </row>
        <row r="22">
          <cell r="A22" t="str">
            <v>0030340021933</v>
          </cell>
        </row>
        <row r="23">
          <cell r="A23" t="str">
            <v>0030340022200</v>
          </cell>
        </row>
        <row r="24">
          <cell r="A24" t="str">
            <v>0030340022364</v>
          </cell>
        </row>
        <row r="25">
          <cell r="A25" t="str">
            <v>0030340022450</v>
          </cell>
        </row>
        <row r="26">
          <cell r="A26" t="str">
            <v>0030340022632</v>
          </cell>
        </row>
        <row r="27">
          <cell r="A27" t="str">
            <v>0030340022642</v>
          </cell>
        </row>
        <row r="28">
          <cell r="A28" t="str">
            <v>0030340022659</v>
          </cell>
        </row>
        <row r="29">
          <cell r="A29" t="str">
            <v>0030340022762</v>
          </cell>
        </row>
        <row r="30">
          <cell r="A30" t="str">
            <v>0030340022865</v>
          </cell>
        </row>
        <row r="31">
          <cell r="A31" t="str">
            <v>0030340022875</v>
          </cell>
        </row>
        <row r="32">
          <cell r="A32" t="str">
            <v>0030340022951</v>
          </cell>
        </row>
        <row r="33">
          <cell r="A33" t="str">
            <v>0030340022961</v>
          </cell>
        </row>
        <row r="34">
          <cell r="A34" t="str">
            <v>0030340023012</v>
          </cell>
        </row>
        <row r="35">
          <cell r="A35" t="str">
            <v>0030340023029</v>
          </cell>
        </row>
        <row r="36">
          <cell r="A36" t="str">
            <v>0030340023039</v>
          </cell>
        </row>
        <row r="37">
          <cell r="A37" t="str">
            <v>0030340023046</v>
          </cell>
        </row>
        <row r="38">
          <cell r="A38" t="str">
            <v>0030340023056</v>
          </cell>
        </row>
        <row r="39">
          <cell r="A39" t="str">
            <v>0030340023090</v>
          </cell>
        </row>
        <row r="40">
          <cell r="A40" t="str">
            <v>0030340023108</v>
          </cell>
        </row>
        <row r="41">
          <cell r="A41" t="str">
            <v>0030340023125</v>
          </cell>
        </row>
        <row r="42">
          <cell r="A42" t="str">
            <v>0030340023176</v>
          </cell>
        </row>
        <row r="43">
          <cell r="A43" t="str">
            <v>0030340023186</v>
          </cell>
        </row>
        <row r="44">
          <cell r="A44" t="str">
            <v>0030340023193</v>
          </cell>
        </row>
        <row r="45">
          <cell r="A45" t="str">
            <v>0030340023201</v>
          </cell>
        </row>
        <row r="46">
          <cell r="A46" t="str">
            <v>0030340023211</v>
          </cell>
        </row>
        <row r="47">
          <cell r="A47" t="str">
            <v>0030340023228</v>
          </cell>
        </row>
        <row r="48">
          <cell r="A48" t="str">
            <v>0030340023255</v>
          </cell>
        </row>
        <row r="49">
          <cell r="A49" t="str">
            <v>0030340023299</v>
          </cell>
        </row>
        <row r="50">
          <cell r="A50" t="str">
            <v>0030340023307</v>
          </cell>
        </row>
        <row r="51">
          <cell r="A51" t="str">
            <v>0030340023410</v>
          </cell>
        </row>
        <row r="52">
          <cell r="A52" t="str">
            <v>0030340023444</v>
          </cell>
        </row>
        <row r="53">
          <cell r="A53" t="str">
            <v>0030340023454</v>
          </cell>
        </row>
        <row r="54">
          <cell r="A54" t="str">
            <v>0030340023461</v>
          </cell>
        </row>
        <row r="55">
          <cell r="A55" t="str">
            <v>0030340023471</v>
          </cell>
        </row>
        <row r="56">
          <cell r="A56" t="str">
            <v>0030340023488</v>
          </cell>
        </row>
        <row r="57">
          <cell r="A57" t="str">
            <v>0030340023495</v>
          </cell>
        </row>
        <row r="58">
          <cell r="A58" t="str">
            <v>0030340023506</v>
          </cell>
        </row>
        <row r="59">
          <cell r="A59" t="str">
            <v>0030340023513</v>
          </cell>
        </row>
        <row r="60">
          <cell r="A60" t="str">
            <v>0030340023564</v>
          </cell>
        </row>
        <row r="61">
          <cell r="A61" t="str">
            <v>0030340023574</v>
          </cell>
        </row>
        <row r="62">
          <cell r="A62" t="str">
            <v>0030340023650</v>
          </cell>
        </row>
        <row r="63">
          <cell r="A63" t="str">
            <v>0030340023660</v>
          </cell>
        </row>
        <row r="64">
          <cell r="A64" t="str">
            <v>0030340023677</v>
          </cell>
        </row>
        <row r="65">
          <cell r="A65" t="str">
            <v>0030340023687</v>
          </cell>
        </row>
        <row r="66">
          <cell r="A66" t="str">
            <v>0030340023694</v>
          </cell>
        </row>
        <row r="67">
          <cell r="A67" t="str">
            <v>0030340023702</v>
          </cell>
        </row>
        <row r="68">
          <cell r="A68" t="str">
            <v>0030340023712</v>
          </cell>
        </row>
        <row r="69">
          <cell r="A69" t="str">
            <v>0030340023729</v>
          </cell>
        </row>
        <row r="70">
          <cell r="A70" t="str">
            <v>0030340023739</v>
          </cell>
        </row>
        <row r="71">
          <cell r="A71" t="str">
            <v>0030340023746</v>
          </cell>
        </row>
        <row r="72">
          <cell r="A72" t="str">
            <v>0030340023756</v>
          </cell>
        </row>
        <row r="73">
          <cell r="A73" t="str">
            <v>0030340023763</v>
          </cell>
        </row>
        <row r="74">
          <cell r="A74" t="str">
            <v>0030340023773</v>
          </cell>
        </row>
        <row r="75">
          <cell r="A75" t="str">
            <v>0030340023780</v>
          </cell>
        </row>
        <row r="76">
          <cell r="A76" t="str">
            <v>0030340023790</v>
          </cell>
        </row>
        <row r="77">
          <cell r="A77" t="str">
            <v>0030340023808</v>
          </cell>
        </row>
        <row r="78">
          <cell r="A78" t="str">
            <v>0030340023815</v>
          </cell>
        </row>
        <row r="79">
          <cell r="A79" t="str">
            <v>0030340023825</v>
          </cell>
        </row>
        <row r="80">
          <cell r="A80" t="str">
            <v>0030340023832</v>
          </cell>
        </row>
        <row r="81">
          <cell r="A81" t="str">
            <v>0030340023842</v>
          </cell>
        </row>
        <row r="82">
          <cell r="A82" t="str">
            <v>0030340023859</v>
          </cell>
        </row>
        <row r="83">
          <cell r="A83" t="str">
            <v>0030340023869</v>
          </cell>
        </row>
        <row r="84">
          <cell r="A84" t="str">
            <v>0030340023893</v>
          </cell>
        </row>
        <row r="85">
          <cell r="A85" t="str">
            <v>0030340023901</v>
          </cell>
        </row>
        <row r="86">
          <cell r="A86" t="str">
            <v>0030340023911</v>
          </cell>
        </row>
        <row r="87">
          <cell r="A87" t="str">
            <v>0030340023955</v>
          </cell>
        </row>
        <row r="88">
          <cell r="A88" t="str">
            <v>0030340024023</v>
          </cell>
        </row>
        <row r="89">
          <cell r="A89" t="str">
            <v>0030340024030</v>
          </cell>
        </row>
        <row r="90">
          <cell r="A90" t="str">
            <v>0030340024040</v>
          </cell>
        </row>
        <row r="91">
          <cell r="A91" t="str">
            <v>0030340024067</v>
          </cell>
        </row>
        <row r="92">
          <cell r="A92" t="str">
            <v>0030340024074</v>
          </cell>
        </row>
        <row r="93">
          <cell r="A93" t="str">
            <v>0030340024126</v>
          </cell>
        </row>
        <row r="94">
          <cell r="A94" t="str">
            <v>0030340024136</v>
          </cell>
        </row>
        <row r="95">
          <cell r="A95" t="str">
            <v>0030340024143</v>
          </cell>
        </row>
        <row r="96">
          <cell r="A96" t="str">
            <v>0030340024153</v>
          </cell>
        </row>
        <row r="97">
          <cell r="A97" t="str">
            <v>0030340024170</v>
          </cell>
        </row>
        <row r="98">
          <cell r="A98" t="str">
            <v>0030340024187</v>
          </cell>
        </row>
        <row r="99">
          <cell r="A99" t="str">
            <v>0030340024197</v>
          </cell>
        </row>
        <row r="100">
          <cell r="A100" t="str">
            <v>0030340024205</v>
          </cell>
        </row>
        <row r="101">
          <cell r="A101" t="str">
            <v>0030340024212</v>
          </cell>
        </row>
        <row r="102">
          <cell r="A102" t="str">
            <v>0030340024222</v>
          </cell>
        </row>
        <row r="103">
          <cell r="A103" t="str">
            <v>0030340024239</v>
          </cell>
        </row>
        <row r="104">
          <cell r="A104" t="str">
            <v>0030340024249</v>
          </cell>
        </row>
        <row r="105">
          <cell r="A105" t="str">
            <v>0030340024256</v>
          </cell>
        </row>
        <row r="106">
          <cell r="A106" t="str">
            <v>0030340024266</v>
          </cell>
        </row>
        <row r="107">
          <cell r="A107" t="str">
            <v>0030340024273</v>
          </cell>
        </row>
        <row r="108">
          <cell r="A108" t="str">
            <v>0030340024499</v>
          </cell>
        </row>
        <row r="109">
          <cell r="A109" t="str">
            <v>0030340024507</v>
          </cell>
        </row>
        <row r="110">
          <cell r="A110" t="str">
            <v>0030340024514</v>
          </cell>
        </row>
        <row r="111">
          <cell r="A111" t="str">
            <v>0030340024524</v>
          </cell>
        </row>
        <row r="112">
          <cell r="A112" t="str">
            <v>0030340024541</v>
          </cell>
        </row>
        <row r="113">
          <cell r="A113" t="str">
            <v>0030340024610</v>
          </cell>
        </row>
        <row r="114">
          <cell r="A114" t="str">
            <v>0030340024870</v>
          </cell>
        </row>
        <row r="115">
          <cell r="A115" t="str">
            <v>0030340025216</v>
          </cell>
        </row>
        <row r="116">
          <cell r="A116" t="str">
            <v>0030340026062</v>
          </cell>
        </row>
        <row r="117">
          <cell r="A117" t="str">
            <v>0030340026079</v>
          </cell>
        </row>
        <row r="118">
          <cell r="A118" t="str">
            <v>0030340026086</v>
          </cell>
        </row>
        <row r="119">
          <cell r="A119" t="str">
            <v>0030340026096</v>
          </cell>
        </row>
        <row r="120">
          <cell r="A120" t="str">
            <v>0030340026104</v>
          </cell>
        </row>
        <row r="121">
          <cell r="A121" t="str">
            <v>0030340026114</v>
          </cell>
        </row>
        <row r="122">
          <cell r="A122" t="str">
            <v>0030340026165</v>
          </cell>
        </row>
        <row r="123">
          <cell r="A123" t="str">
            <v>0030340026172</v>
          </cell>
        </row>
        <row r="124">
          <cell r="A124" t="str">
            <v>0030340026182</v>
          </cell>
        </row>
        <row r="125">
          <cell r="A125" t="str">
            <v>0030340026199</v>
          </cell>
        </row>
        <row r="126">
          <cell r="A126" t="str">
            <v>0030340026200</v>
          </cell>
        </row>
        <row r="127">
          <cell r="A127" t="str">
            <v>0030340026570</v>
          </cell>
        </row>
        <row r="128">
          <cell r="A128" t="str">
            <v>0030340026735</v>
          </cell>
        </row>
        <row r="129">
          <cell r="A129" t="str">
            <v>0030340026865</v>
          </cell>
        </row>
        <row r="130">
          <cell r="A130" t="str">
            <v>0030340028177</v>
          </cell>
        </row>
        <row r="131">
          <cell r="A131" t="str">
            <v>0102340000043</v>
          </cell>
        </row>
        <row r="132">
          <cell r="A132" t="str">
            <v>0600340019726</v>
          </cell>
        </row>
        <row r="133">
          <cell r="A133" t="str">
            <v>0600340025352</v>
          </cell>
        </row>
        <row r="134">
          <cell r="A134" t="str">
            <v>0600340030766</v>
          </cell>
        </row>
        <row r="135">
          <cell r="A135" t="str">
            <v>0600340031578</v>
          </cell>
        </row>
        <row r="136">
          <cell r="A136" t="str">
            <v>0600340032871</v>
          </cell>
        </row>
        <row r="137">
          <cell r="A137" t="str">
            <v>0600340032881</v>
          </cell>
        </row>
        <row r="138">
          <cell r="A138" t="str">
            <v>0600340032994</v>
          </cell>
        </row>
        <row r="139">
          <cell r="A139" t="str">
            <v>0600340033001</v>
          </cell>
        </row>
        <row r="140">
          <cell r="A140" t="str">
            <v>0600340033018</v>
          </cell>
        </row>
        <row r="141">
          <cell r="A141" t="str">
            <v>0600340033028</v>
          </cell>
        </row>
        <row r="142">
          <cell r="A142" t="str">
            <v>0600340033035</v>
          </cell>
        </row>
        <row r="143">
          <cell r="A143" t="str">
            <v>0600340033045</v>
          </cell>
        </row>
        <row r="144">
          <cell r="A144" t="str">
            <v>0600340033052</v>
          </cell>
        </row>
        <row r="145">
          <cell r="A145" t="str">
            <v>0600340033062</v>
          </cell>
        </row>
        <row r="146">
          <cell r="A146" t="str">
            <v>0600340033079</v>
          </cell>
        </row>
        <row r="147">
          <cell r="A147" t="str">
            <v>0600340033089</v>
          </cell>
        </row>
        <row r="148">
          <cell r="A148" t="str">
            <v>0600340033096</v>
          </cell>
        </row>
        <row r="149">
          <cell r="A149" t="str">
            <v>0600340033104</v>
          </cell>
        </row>
        <row r="150">
          <cell r="A150" t="str">
            <v>0600340033114</v>
          </cell>
        </row>
        <row r="151">
          <cell r="A151" t="str">
            <v>0600340033121</v>
          </cell>
        </row>
        <row r="152">
          <cell r="A152" t="str">
            <v>0600340033131</v>
          </cell>
        </row>
        <row r="153">
          <cell r="A153" t="str">
            <v>0600340033148</v>
          </cell>
        </row>
        <row r="154">
          <cell r="A154" t="str">
            <v>0600340033158</v>
          </cell>
        </row>
        <row r="155">
          <cell r="A155" t="str">
            <v>0600340033165</v>
          </cell>
        </row>
        <row r="156">
          <cell r="A156" t="str">
            <v>0600340033175</v>
          </cell>
        </row>
        <row r="157">
          <cell r="A157" t="str">
            <v>0600340033182</v>
          </cell>
        </row>
        <row r="158">
          <cell r="A158" t="str">
            <v>0600340033580</v>
          </cell>
        </row>
        <row r="159">
          <cell r="A159" t="str">
            <v>0600340033649</v>
          </cell>
        </row>
        <row r="160">
          <cell r="A160" t="str">
            <v>0600340034365</v>
          </cell>
        </row>
        <row r="161">
          <cell r="A161" t="str">
            <v>0600340034375</v>
          </cell>
        </row>
        <row r="162">
          <cell r="A162" t="str">
            <v>0600340034382</v>
          </cell>
        </row>
        <row r="163">
          <cell r="A163" t="str">
            <v>0600340034495</v>
          </cell>
        </row>
        <row r="164">
          <cell r="A164" t="str">
            <v>0600340034503</v>
          </cell>
        </row>
        <row r="165">
          <cell r="A165" t="str">
            <v>0600340034513</v>
          </cell>
        </row>
        <row r="166">
          <cell r="A166" t="str">
            <v>0600340034520</v>
          </cell>
        </row>
        <row r="167">
          <cell r="A167" t="str">
            <v>0600340034530</v>
          </cell>
        </row>
        <row r="168">
          <cell r="A168" t="str">
            <v>0600340034547</v>
          </cell>
        </row>
        <row r="169">
          <cell r="A169" t="str">
            <v>0600340034557</v>
          </cell>
        </row>
        <row r="170">
          <cell r="A170" t="str">
            <v>0600340034564</v>
          </cell>
        </row>
        <row r="171">
          <cell r="A171" t="str">
            <v>0600340034574</v>
          </cell>
        </row>
        <row r="172">
          <cell r="A172" t="str">
            <v>0600340034581</v>
          </cell>
        </row>
        <row r="173">
          <cell r="A173" t="str">
            <v>0600340034893</v>
          </cell>
        </row>
        <row r="174">
          <cell r="A174" t="str">
            <v>0600340034962</v>
          </cell>
        </row>
        <row r="175">
          <cell r="A175" t="str">
            <v>0600340034972</v>
          </cell>
        </row>
        <row r="176">
          <cell r="A176" t="str">
            <v>0600340034989</v>
          </cell>
        </row>
        <row r="177">
          <cell r="A177" t="str">
            <v>0600340034999</v>
          </cell>
        </row>
        <row r="178">
          <cell r="A178" t="str">
            <v>0600340035006</v>
          </cell>
        </row>
        <row r="179">
          <cell r="A179" t="str">
            <v>0600340035013</v>
          </cell>
        </row>
        <row r="180">
          <cell r="A180" t="str">
            <v>0600340035023</v>
          </cell>
        </row>
        <row r="181">
          <cell r="A181" t="str">
            <v>0600340035030</v>
          </cell>
        </row>
        <row r="182">
          <cell r="A182" t="str">
            <v>0600340035040</v>
          </cell>
        </row>
        <row r="183">
          <cell r="A183" t="str">
            <v>0600340035057</v>
          </cell>
        </row>
        <row r="184">
          <cell r="A184" t="str">
            <v>0600340035067</v>
          </cell>
        </row>
        <row r="185">
          <cell r="A185" t="str">
            <v>0600340035074</v>
          </cell>
        </row>
        <row r="186">
          <cell r="A186" t="str">
            <v>0600340035084</v>
          </cell>
        </row>
        <row r="187">
          <cell r="A187" t="str">
            <v>0600340035091</v>
          </cell>
        </row>
        <row r="188">
          <cell r="A188" t="str">
            <v>0600340035212</v>
          </cell>
        </row>
        <row r="189">
          <cell r="A189" t="str">
            <v>0600340035239</v>
          </cell>
        </row>
        <row r="190">
          <cell r="A190" t="str">
            <v>0600340035246</v>
          </cell>
        </row>
        <row r="191">
          <cell r="A191" t="str">
            <v>0600340035256</v>
          </cell>
        </row>
        <row r="192">
          <cell r="A192" t="str">
            <v>0600340035263</v>
          </cell>
        </row>
        <row r="193">
          <cell r="A193" t="str">
            <v>0600340035273</v>
          </cell>
        </row>
        <row r="194">
          <cell r="A194" t="str">
            <v>0600340035280</v>
          </cell>
        </row>
        <row r="195">
          <cell r="A195" t="str">
            <v>0600340035290</v>
          </cell>
        </row>
        <row r="196">
          <cell r="A196" t="str">
            <v>0600340035393</v>
          </cell>
        </row>
        <row r="197">
          <cell r="A197" t="str">
            <v>0600340035401</v>
          </cell>
        </row>
        <row r="198">
          <cell r="A198" t="str">
            <v>0600340035411</v>
          </cell>
        </row>
        <row r="199">
          <cell r="A199" t="str">
            <v>0600340035428</v>
          </cell>
        </row>
        <row r="200">
          <cell r="A200" t="str">
            <v>0600340035438</v>
          </cell>
        </row>
        <row r="201">
          <cell r="A201" t="str">
            <v>0600340035531</v>
          </cell>
        </row>
        <row r="202">
          <cell r="A202" t="str">
            <v>0600340035568</v>
          </cell>
        </row>
        <row r="203">
          <cell r="A203" t="str">
            <v>0600340035575</v>
          </cell>
        </row>
        <row r="204">
          <cell r="A204" t="str">
            <v>0600340035585</v>
          </cell>
        </row>
        <row r="205">
          <cell r="A205" t="str">
            <v>0600340035592</v>
          </cell>
        </row>
        <row r="206">
          <cell r="A206" t="str">
            <v>0600340035627</v>
          </cell>
        </row>
        <row r="207">
          <cell r="A207" t="str">
            <v>0600340035637</v>
          </cell>
        </row>
        <row r="208">
          <cell r="A208" t="str">
            <v>0600340035644</v>
          </cell>
        </row>
        <row r="209">
          <cell r="A209" t="str">
            <v>0600340035654</v>
          </cell>
        </row>
        <row r="210">
          <cell r="A210" t="str">
            <v>0600340035688</v>
          </cell>
        </row>
        <row r="211">
          <cell r="A211" t="str">
            <v>0600340035698</v>
          </cell>
        </row>
        <row r="212">
          <cell r="A212" t="str">
            <v>0600340035706</v>
          </cell>
        </row>
        <row r="213">
          <cell r="A213" t="str">
            <v>0600340035713</v>
          </cell>
        </row>
        <row r="214">
          <cell r="A214" t="str">
            <v>0600340035730</v>
          </cell>
        </row>
        <row r="215">
          <cell r="A215" t="str">
            <v>0600340035740</v>
          </cell>
        </row>
        <row r="216">
          <cell r="A216" t="str">
            <v>0600340035757</v>
          </cell>
        </row>
        <row r="217">
          <cell r="A217" t="str">
            <v>0600340035767</v>
          </cell>
        </row>
        <row r="218">
          <cell r="A218" t="str">
            <v>0600340035774</v>
          </cell>
        </row>
        <row r="219">
          <cell r="A219" t="str">
            <v>0600340035784</v>
          </cell>
        </row>
        <row r="220">
          <cell r="A220" t="str">
            <v>0600340035791</v>
          </cell>
        </row>
        <row r="221">
          <cell r="A221" t="str">
            <v>0600340035809</v>
          </cell>
        </row>
        <row r="222">
          <cell r="A222" t="str">
            <v>0600340035843</v>
          </cell>
        </row>
        <row r="223">
          <cell r="A223" t="str">
            <v>0600340035853</v>
          </cell>
        </row>
        <row r="224">
          <cell r="A224" t="str">
            <v>0600340035860</v>
          </cell>
        </row>
        <row r="225">
          <cell r="A225" t="str">
            <v>0600340035870</v>
          </cell>
        </row>
        <row r="226">
          <cell r="A226" t="str">
            <v>0600340035887</v>
          </cell>
        </row>
        <row r="227">
          <cell r="A227" t="str">
            <v>0600340035897</v>
          </cell>
        </row>
        <row r="228">
          <cell r="A228" t="str">
            <v>0600340035905</v>
          </cell>
        </row>
        <row r="229">
          <cell r="A229" t="str">
            <v>0600340035912</v>
          </cell>
        </row>
        <row r="230">
          <cell r="A230" t="str">
            <v>0600340035949</v>
          </cell>
        </row>
        <row r="231">
          <cell r="A231" t="str">
            <v>0600340035983</v>
          </cell>
        </row>
        <row r="232">
          <cell r="A232" t="str">
            <v>0600340035990</v>
          </cell>
        </row>
        <row r="238">
          <cell r="A238" t="str">
            <v>0600350000885</v>
          </cell>
        </row>
        <row r="239">
          <cell r="A239" t="str">
            <v>0600350001722</v>
          </cell>
        </row>
        <row r="240">
          <cell r="A240" t="str">
            <v>0600350002050</v>
          </cell>
        </row>
        <row r="241">
          <cell r="A241" t="str">
            <v>0600350008477</v>
          </cell>
        </row>
        <row r="242">
          <cell r="A242" t="str">
            <v>0600350013370</v>
          </cell>
        </row>
        <row r="243">
          <cell r="A243" t="str">
            <v>0600350020182</v>
          </cell>
        </row>
        <row r="244">
          <cell r="A244" t="str">
            <v>0600350025564</v>
          </cell>
        </row>
        <row r="245">
          <cell r="A245" t="str">
            <v>0608510000061</v>
          </cell>
        </row>
        <row r="246">
          <cell r="A246" t="str">
            <v>5422000008892</v>
          </cell>
        </row>
        <row r="247">
          <cell r="A247" t="str">
            <v>5982300000050</v>
          </cell>
        </row>
        <row r="248">
          <cell r="A248" t="str">
            <v>5988510000024</v>
          </cell>
        </row>
        <row r="249">
          <cell r="A249" t="str">
            <v>317901011012015</v>
          </cell>
        </row>
        <row r="252">
          <cell r="A252" t="str">
            <v>MF-REDEMPTION</v>
          </cell>
        </row>
        <row r="253">
          <cell r="A253" t="str">
            <v>MF-INVESTMENT</v>
          </cell>
        </row>
        <row r="254">
          <cell r="A254" t="str">
            <v>ICD GIVEN</v>
          </cell>
        </row>
        <row r="255">
          <cell r="A255" t="str">
            <v>ICD RETURN</v>
          </cell>
        </row>
        <row r="256">
          <cell r="A256" t="str">
            <v>OTHER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Breakup "/>
      <sheetName val="submission to SE (final) "/>
      <sheetName val="DP Trial"/>
      <sheetName val="IPO_Trial"/>
      <sheetName val="Focus_Trial"/>
      <sheetName val="Info"/>
      <sheetName val="Process"/>
      <sheetName val="SAP TRIAL"/>
      <sheetName val="ISL Trial"/>
      <sheetName val="Provision Working"/>
      <sheetName val="Trial"/>
      <sheetName val="Provisions"/>
      <sheetName val="Reports"/>
      <sheetName val="Daily P&amp;L"/>
      <sheetName val="ISL_Borrowings"/>
      <sheetName val="Intt."/>
      <sheetName val="NSE MARGING FUNDING"/>
      <sheetName val="BSE MARGIN FUNDING"/>
      <sheetName val="NET WORTH NSE"/>
      <sheetName val="NET WORTH BSE"/>
      <sheetName val="General NW"/>
      <sheetName val="CDSL"/>
      <sheetName val="NSDL"/>
      <sheetName val="results final"/>
      <sheetName val="Arbitrage"/>
      <sheetName val="BS"/>
      <sheetName val="PL"/>
      <sheetName val="Sch"/>
      <sheetName val="CFS"/>
      <sheetName val="FA"/>
      <sheetName val="Monthly"/>
      <sheetName val="To Tally"/>
      <sheetName val="ARCK&amp;CL"/>
      <sheetName val="SEBI T.O. Fees"/>
      <sheetName val="Adv. Tax vs Pr. Tax"/>
      <sheetName val="CFW"/>
      <sheetName val="Debtors"/>
      <sheetName val="DT"/>
      <sheetName val="Dividend working"/>
      <sheetName val="Sheet2"/>
      <sheetName val="Adv Tax"/>
      <sheetName val="Tax Prov."/>
      <sheetName val="EPS"/>
      <sheetName val="Segment-Working"/>
      <sheetName val="Segment-Main"/>
      <sheetName val="Results_working"/>
      <sheetName val="submission to SE _Annual"/>
      <sheetName val="Publish _Annual"/>
      <sheetName val="SOA"/>
      <sheetName val="I&amp;E"/>
      <sheetName val="R&amp;P"/>
      <sheetName val="Notes"/>
      <sheetName val="Bank"/>
      <sheetName val="ICFL"/>
      <sheetName val=" ICD taken"/>
      <sheetName val="Bank Recon"/>
      <sheetName val="NOTES."/>
      <sheetName val="Details"/>
      <sheetName val="Sheet1"/>
    </sheetNames>
    <sheetDataSet>
      <sheetData sheetId="0"/>
      <sheetData sheetId="1"/>
      <sheetData sheetId="2"/>
      <sheetData sheetId="3"/>
      <sheetData sheetId="4"/>
      <sheetData sheetId="5"/>
      <sheetData sheetId="6"/>
      <sheetData sheetId="7"/>
      <sheetData sheetId="8" refreshError="1">
        <row r="1">
          <cell r="C1">
            <v>40155</v>
          </cell>
          <cell r="G1">
            <v>40155</v>
          </cell>
          <cell r="H1">
            <v>40155</v>
          </cell>
          <cell r="J1">
            <v>40155</v>
          </cell>
          <cell r="K1">
            <v>40155</v>
          </cell>
        </row>
        <row r="2">
          <cell r="C2" t="str">
            <v>BAL</v>
          </cell>
          <cell r="G2" t="str">
            <v>SAP</v>
          </cell>
          <cell r="K2" t="str">
            <v>Amount</v>
          </cell>
        </row>
        <row r="3">
          <cell r="E3" t="str">
            <v>SHARE CAPITAL- EQ SHARE</v>
          </cell>
        </row>
        <row r="4">
          <cell r="C4">
            <v>10100015</v>
          </cell>
          <cell r="E4" t="str">
            <v>Equity Share Capital Face Value Rs.2</v>
          </cell>
          <cell r="F4" t="str">
            <v>CEQ</v>
          </cell>
          <cell r="G4">
            <v>-506839436</v>
          </cell>
          <cell r="K4">
            <v>-506839436</v>
          </cell>
        </row>
        <row r="6">
          <cell r="E6" t="str">
            <v>SHARE CAPITAL- PREF SHARE</v>
          </cell>
        </row>
        <row r="7">
          <cell r="C7">
            <v>10100016</v>
          </cell>
          <cell r="E7" t="str">
            <v>10% Redeemable,Non-Conver.Pref. Shares F.V Rs.4.61</v>
          </cell>
          <cell r="F7" t="str">
            <v>CPREF</v>
          </cell>
          <cell r="G7">
            <v>0</v>
          </cell>
          <cell r="K7">
            <v>0</v>
          </cell>
        </row>
        <row r="9">
          <cell r="E9" t="str">
            <v>RESERVES &amp; SURPLUS - CAPITAL REDEMPTION RESERVE</v>
          </cell>
        </row>
        <row r="10">
          <cell r="C10">
            <v>11000001</v>
          </cell>
          <cell r="D10" t="str">
            <v>GCRR</v>
          </cell>
          <cell r="E10" t="str">
            <v>Capital Redemption Reserve</v>
          </cell>
          <cell r="F10" t="str">
            <v>CRR</v>
          </cell>
          <cell r="G10">
            <v>-313078044</v>
          </cell>
          <cell r="K10">
            <v>-313078044</v>
          </cell>
        </row>
        <row r="11">
          <cell r="C11">
            <v>11000000</v>
          </cell>
          <cell r="E11" t="str">
            <v>Capital  Reserve</v>
          </cell>
          <cell r="F11" t="str">
            <v>CR</v>
          </cell>
          <cell r="G11">
            <v>0</v>
          </cell>
          <cell r="K11">
            <v>0</v>
          </cell>
        </row>
        <row r="13">
          <cell r="E13" t="str">
            <v>RESERVES &amp; SURPLUS - SECURITIES PREMIUM A/C</v>
          </cell>
        </row>
        <row r="14">
          <cell r="C14">
            <v>11100000</v>
          </cell>
          <cell r="D14" t="str">
            <v>GL0047</v>
          </cell>
          <cell r="E14" t="str">
            <v>Share Premium Account</v>
          </cell>
          <cell r="F14" t="str">
            <v>PREM</v>
          </cell>
          <cell r="G14">
            <v>-40000</v>
          </cell>
          <cell r="K14">
            <v>-40000</v>
          </cell>
        </row>
        <row r="16">
          <cell r="E16" t="str">
            <v>RESERVES &amp; SURPLUS - GENERAL RESERVE</v>
          </cell>
        </row>
        <row r="17">
          <cell r="C17">
            <v>11400000</v>
          </cell>
          <cell r="D17" t="str">
            <v>GA1111</v>
          </cell>
          <cell r="E17" t="str">
            <v>General Reserve</v>
          </cell>
          <cell r="F17" t="str">
            <v>RGRES</v>
          </cell>
          <cell r="G17">
            <v>-498822915.37</v>
          </cell>
          <cell r="K17">
            <v>-498822915.37</v>
          </cell>
        </row>
        <row r="19">
          <cell r="E19" t="str">
            <v>RESERVES &amp; SURPLUS - P&amp;L A/C</v>
          </cell>
        </row>
        <row r="20">
          <cell r="C20">
            <v>11600000</v>
          </cell>
          <cell r="D20" t="str">
            <v>GA00B41</v>
          </cell>
          <cell r="E20" t="str">
            <v>Balance in Profit &amp; Loss Account</v>
          </cell>
          <cell r="F20" t="str">
            <v>RPLAC</v>
          </cell>
          <cell r="G20">
            <v>-2264232636.3000002</v>
          </cell>
          <cell r="K20">
            <v>-2264232636.3000002</v>
          </cell>
        </row>
        <row r="21">
          <cell r="C21">
            <v>11610000</v>
          </cell>
          <cell r="E21" t="str">
            <v>Unappropriated Retained Earnings Prev yr</v>
          </cell>
          <cell r="F21" t="str">
            <v>RPLAC</v>
          </cell>
          <cell r="G21">
            <v>716102214.64999998</v>
          </cell>
          <cell r="K21">
            <v>716102214.64999998</v>
          </cell>
        </row>
        <row r="23">
          <cell r="E23" t="str">
            <v>SECURED LOAN - VEHICLE</v>
          </cell>
        </row>
        <row r="24">
          <cell r="C24">
            <v>12140132</v>
          </cell>
          <cell r="E24" t="str">
            <v>AUTO LOAN MERCEDES-Sclass  RAJIV RATTAN</v>
          </cell>
          <cell r="F24" t="str">
            <v>SLBANKVL</v>
          </cell>
          <cell r="G24">
            <v>-1528331</v>
          </cell>
          <cell r="K24">
            <v>-1528331</v>
          </cell>
        </row>
        <row r="25">
          <cell r="C25">
            <v>12140147</v>
          </cell>
          <cell r="E25" t="str">
            <v>AUTO LOAN MERCEDES -C GURBANS SINGH</v>
          </cell>
          <cell r="F25" t="str">
            <v>SLBANKVL</v>
          </cell>
          <cell r="G25">
            <v>-1033266</v>
          </cell>
          <cell r="K25">
            <v>-1033266</v>
          </cell>
        </row>
        <row r="26">
          <cell r="C26">
            <v>12140115</v>
          </cell>
          <cell r="D26" t="str">
            <v>GLO99</v>
          </cell>
          <cell r="E26" t="str">
            <v>AUTO LOAN MERCEDES NEW DIVYESH SHAH</v>
          </cell>
          <cell r="F26" t="str">
            <v>SLBANKVL</v>
          </cell>
          <cell r="G26">
            <v>-221463</v>
          </cell>
          <cell r="K26">
            <v>-221463</v>
          </cell>
        </row>
        <row r="27">
          <cell r="C27">
            <v>12140124</v>
          </cell>
          <cell r="E27" t="str">
            <v>AUTO LOAN MERCEDES C TEJINDERPAL SINGH MIGLANI</v>
          </cell>
          <cell r="F27" t="str">
            <v>SLBANKVL</v>
          </cell>
          <cell r="G27">
            <v>-405304</v>
          </cell>
          <cell r="K27">
            <v>-405304</v>
          </cell>
        </row>
        <row r="28">
          <cell r="C28">
            <v>12140004</v>
          </cell>
          <cell r="D28" t="str">
            <v>GHDFM</v>
          </cell>
          <cell r="E28" t="str">
            <v>Auto Loan Mercedez Rajeev Rattan</v>
          </cell>
          <cell r="F28" t="str">
            <v>SLBANKVL</v>
          </cell>
          <cell r="G28">
            <v>-380149</v>
          </cell>
          <cell r="K28">
            <v>-380149</v>
          </cell>
        </row>
        <row r="29">
          <cell r="C29">
            <v>12140010</v>
          </cell>
          <cell r="D29" t="str">
            <v>GICIME</v>
          </cell>
          <cell r="E29" t="str">
            <v>Auto Loan Mercedez Divyesh Shah</v>
          </cell>
          <cell r="F29" t="str">
            <v>SLBANKVL</v>
          </cell>
          <cell r="G29">
            <v>-392808</v>
          </cell>
          <cell r="K29">
            <v>-392808</v>
          </cell>
        </row>
        <row r="30">
          <cell r="C30">
            <v>12140144</v>
          </cell>
          <cell r="E30" t="str">
            <v>AUTO LOAN HONDA CIVIC ANURAG OHRI</v>
          </cell>
          <cell r="F30" t="str">
            <v>SLBANKVL</v>
          </cell>
          <cell r="G30">
            <v>-435270</v>
          </cell>
          <cell r="K30">
            <v>-435270</v>
          </cell>
        </row>
        <row r="31">
          <cell r="C31">
            <v>12140139</v>
          </cell>
          <cell r="E31" t="str">
            <v>AUTO LOAN HONDA CIVIC RITESH BHARGAVA</v>
          </cell>
          <cell r="F31" t="str">
            <v>SLBANKVL</v>
          </cell>
          <cell r="G31">
            <v>-348890</v>
          </cell>
          <cell r="K31">
            <v>-348890</v>
          </cell>
        </row>
        <row r="32">
          <cell r="C32">
            <v>12140131</v>
          </cell>
          <cell r="E32" t="str">
            <v>AUTO LOAN HONDA CIVIC MANOJ SRIVASTAVA/HEEMANSU KA</v>
          </cell>
          <cell r="F32" t="str">
            <v>SLBANKVL</v>
          </cell>
          <cell r="G32">
            <v>-275681</v>
          </cell>
          <cell r="K32">
            <v>-275681</v>
          </cell>
        </row>
        <row r="33">
          <cell r="C33">
            <v>12130003</v>
          </cell>
          <cell r="E33" t="str">
            <v>AUTO LOAN HONDA CIVIC VIKAS SAXENA</v>
          </cell>
          <cell r="F33" t="str">
            <v>SLBANKVL</v>
          </cell>
          <cell r="G33">
            <v>-209887</v>
          </cell>
          <cell r="K33">
            <v>-209887</v>
          </cell>
        </row>
        <row r="34">
          <cell r="C34">
            <v>12140143</v>
          </cell>
          <cell r="E34" t="str">
            <v>AUTO LOAN HONDA CITY KUNAL NAGPAL</v>
          </cell>
          <cell r="F34" t="str">
            <v>SLBANKVL</v>
          </cell>
          <cell r="G34">
            <v>-272889</v>
          </cell>
          <cell r="K34">
            <v>-272889</v>
          </cell>
        </row>
        <row r="35">
          <cell r="C35">
            <v>12140146</v>
          </cell>
          <cell r="E35" t="str">
            <v>AUTO LOAN HONDA CITY TEJINDERPAL SINGH MIGLANI</v>
          </cell>
          <cell r="F35" t="str">
            <v>SLBANKVL</v>
          </cell>
          <cell r="G35">
            <v>-271476</v>
          </cell>
          <cell r="K35">
            <v>-271476</v>
          </cell>
        </row>
        <row r="36">
          <cell r="C36">
            <v>12140138</v>
          </cell>
          <cell r="E36" t="str">
            <v>AUTO LOAN HONDA CITY VIKAS SACHDEVA</v>
          </cell>
          <cell r="F36" t="str">
            <v>SLBANKVL</v>
          </cell>
          <cell r="G36">
            <v>-256307</v>
          </cell>
          <cell r="K36">
            <v>-256307</v>
          </cell>
        </row>
        <row r="37">
          <cell r="C37">
            <v>12140136</v>
          </cell>
          <cell r="E37" t="str">
            <v>AUTO LOAN HONDA CITY SANJEEV KASHYAP</v>
          </cell>
          <cell r="F37" t="str">
            <v>SLBANKVL</v>
          </cell>
          <cell r="G37">
            <v>-233972</v>
          </cell>
          <cell r="K37">
            <v>-233972</v>
          </cell>
        </row>
        <row r="38">
          <cell r="C38">
            <v>12140142</v>
          </cell>
          <cell r="E38" t="str">
            <v>AUTO LOAN FORD FIESTA KARTIK BHATT</v>
          </cell>
          <cell r="F38" t="str">
            <v>SLBANKVL</v>
          </cell>
          <cell r="G38">
            <v>-220027</v>
          </cell>
          <cell r="K38">
            <v>-220027</v>
          </cell>
        </row>
        <row r="39">
          <cell r="C39">
            <v>12140117</v>
          </cell>
          <cell r="E39" t="str">
            <v>AUTO LOAN HONDA CIVIC ASHOK SHARMA</v>
          </cell>
          <cell r="F39" t="str">
            <v>SLBANKVL</v>
          </cell>
          <cell r="G39">
            <v>-101936</v>
          </cell>
          <cell r="K39">
            <v>-101936</v>
          </cell>
        </row>
        <row r="40">
          <cell r="C40">
            <v>12140128</v>
          </cell>
          <cell r="E40" t="str">
            <v>Auto Loan Honda City shweta kajaria</v>
          </cell>
          <cell r="F40" t="str">
            <v>SLBANKVL</v>
          </cell>
          <cell r="G40">
            <v>-155466</v>
          </cell>
          <cell r="K40">
            <v>-155466</v>
          </cell>
        </row>
        <row r="41">
          <cell r="C41">
            <v>12140152</v>
          </cell>
          <cell r="E41" t="str">
            <v>AUTO LOAN HYUNDAI I 10 NIRDOSH GAUR</v>
          </cell>
          <cell r="F41" t="str">
            <v>SLBANKVL</v>
          </cell>
          <cell r="G41">
            <v>-205916</v>
          </cell>
          <cell r="K41">
            <v>-205916</v>
          </cell>
        </row>
        <row r="42">
          <cell r="C42">
            <v>12140129</v>
          </cell>
          <cell r="E42" t="str">
            <v>AUTO LOAN FORD FIESTA SANJAY GROVER</v>
          </cell>
          <cell r="F42" t="str">
            <v>SLBANKVL</v>
          </cell>
          <cell r="G42">
            <v>-146385</v>
          </cell>
          <cell r="K42">
            <v>-146385</v>
          </cell>
        </row>
        <row r="43">
          <cell r="C43">
            <v>12140116</v>
          </cell>
          <cell r="E43" t="str">
            <v>AUTO LOAN HONDA CITY ASHU KHANNA</v>
          </cell>
          <cell r="F43" t="str">
            <v>SLBANKVL</v>
          </cell>
          <cell r="G43">
            <v>-67892</v>
          </cell>
          <cell r="K43">
            <v>-67892</v>
          </cell>
        </row>
        <row r="44">
          <cell r="C44">
            <v>12140061</v>
          </cell>
          <cell r="E44" t="str">
            <v>Auto Loan Aveo Sachin Jain</v>
          </cell>
          <cell r="F44" t="str">
            <v>SLBANKVL</v>
          </cell>
          <cell r="G44">
            <v>-59408</v>
          </cell>
          <cell r="K44">
            <v>-59408</v>
          </cell>
        </row>
        <row r="45">
          <cell r="C45">
            <v>12140084</v>
          </cell>
          <cell r="D45" t="str">
            <v>GLO82</v>
          </cell>
          <cell r="E45" t="str">
            <v>Auto Loan Honda Civic Sudhir Kumar Jha</v>
          </cell>
          <cell r="F45" t="str">
            <v>SLBANKVL</v>
          </cell>
          <cell r="G45">
            <v>0</v>
          </cell>
          <cell r="K45">
            <v>0</v>
          </cell>
        </row>
        <row r="46">
          <cell r="C46">
            <v>12140078</v>
          </cell>
          <cell r="D46" t="str">
            <v>GLO73</v>
          </cell>
          <cell r="E46" t="str">
            <v>Auto Loan Sonata Embera Parsenjit Mukharjee</v>
          </cell>
          <cell r="F46" t="str">
            <v>SLBANKVL</v>
          </cell>
          <cell r="G46">
            <v>0</v>
          </cell>
          <cell r="K46">
            <v>0</v>
          </cell>
        </row>
        <row r="47">
          <cell r="C47">
            <v>12140135</v>
          </cell>
          <cell r="E47" t="str">
            <v>AUTO LOAN SANTRO JEETENDRA SHARMA</v>
          </cell>
          <cell r="F47" t="str">
            <v>SLBANKVL</v>
          </cell>
          <cell r="G47">
            <v>-93227</v>
          </cell>
          <cell r="K47">
            <v>-93227</v>
          </cell>
        </row>
        <row r="48">
          <cell r="C48">
            <v>12140082</v>
          </cell>
          <cell r="D48" t="str">
            <v>GLO91</v>
          </cell>
          <cell r="E48" t="str">
            <v>Auto Loan Honda City Manoj Srivastava</v>
          </cell>
          <cell r="F48" t="str">
            <v>SLBANKVL</v>
          </cell>
          <cell r="G48">
            <v>-22135</v>
          </cell>
          <cell r="K48">
            <v>-22135</v>
          </cell>
        </row>
        <row r="49">
          <cell r="C49">
            <v>12140092</v>
          </cell>
          <cell r="D49" t="str">
            <v>GLO80</v>
          </cell>
          <cell r="E49" t="str">
            <v>Auto Loan Honda  Zx  Vtec Anil Mittal</v>
          </cell>
          <cell r="F49" t="str">
            <v>SLBANKVL</v>
          </cell>
          <cell r="G49">
            <v>0</v>
          </cell>
          <cell r="K49">
            <v>0</v>
          </cell>
        </row>
        <row r="50">
          <cell r="C50">
            <v>12140104</v>
          </cell>
          <cell r="D50" t="str">
            <v>GLO92</v>
          </cell>
          <cell r="E50" t="str">
            <v>AUTO LOAN FORD ICON ANSHUL AGGARWAL</v>
          </cell>
          <cell r="F50" t="str">
            <v>SLBANKVL</v>
          </cell>
          <cell r="G50">
            <v>-31940</v>
          </cell>
          <cell r="K50">
            <v>-31940</v>
          </cell>
        </row>
        <row r="51">
          <cell r="C51">
            <v>12140063</v>
          </cell>
          <cell r="D51" t="str">
            <v>GHDFOP</v>
          </cell>
          <cell r="E51" t="str">
            <v>Auto Loan Chevrolet Optra Vipul Sharma</v>
          </cell>
          <cell r="F51" t="str">
            <v>SLBANKVL</v>
          </cell>
          <cell r="G51">
            <v>-31227</v>
          </cell>
          <cell r="K51">
            <v>-31227</v>
          </cell>
        </row>
        <row r="52">
          <cell r="C52">
            <v>12140044</v>
          </cell>
          <cell r="D52" t="str">
            <v>GLO86</v>
          </cell>
          <cell r="E52" t="str">
            <v>Auto Loan Ford Ikon Bhavik Shah</v>
          </cell>
          <cell r="F52" t="str">
            <v>SLBANKVL</v>
          </cell>
          <cell r="G52">
            <v>-16201</v>
          </cell>
          <cell r="K52">
            <v>-16201</v>
          </cell>
        </row>
        <row r="53">
          <cell r="C53">
            <v>12140012</v>
          </cell>
          <cell r="D53" t="str">
            <v>GHDFCT</v>
          </cell>
          <cell r="E53" t="str">
            <v>Auto Loan Honda Citi Vijay Babbar</v>
          </cell>
          <cell r="F53" t="str">
            <v>SLBANKVL</v>
          </cell>
          <cell r="G53">
            <v>0</v>
          </cell>
          <cell r="K53">
            <v>0</v>
          </cell>
        </row>
        <row r="54">
          <cell r="C54">
            <v>12140119</v>
          </cell>
          <cell r="E54" t="str">
            <v>AUTO LOAN SANTRO RAJESH TALWAR</v>
          </cell>
          <cell r="F54" t="str">
            <v>SLBANKVL</v>
          </cell>
          <cell r="G54">
            <v>-43400</v>
          </cell>
          <cell r="K54">
            <v>-43400</v>
          </cell>
        </row>
        <row r="55">
          <cell r="C55">
            <v>12140108</v>
          </cell>
          <cell r="D55" t="str">
            <v>GLO97</v>
          </cell>
          <cell r="E55" t="str">
            <v>AUTO LOAN SWIFT SOURAV AGGRWAL</v>
          </cell>
          <cell r="F55" t="str">
            <v>SLBANKVL</v>
          </cell>
          <cell r="G55">
            <v>-26786</v>
          </cell>
          <cell r="K55">
            <v>-26786</v>
          </cell>
        </row>
        <row r="56">
          <cell r="C56">
            <v>12140112</v>
          </cell>
          <cell r="D56" t="str">
            <v>GLO102</v>
          </cell>
          <cell r="E56" t="str">
            <v>AUTO LOAN WAGON R SEEMA SHUKLA</v>
          </cell>
          <cell r="F56" t="str">
            <v>SLBANKVL</v>
          </cell>
          <cell r="G56">
            <v>-35726</v>
          </cell>
          <cell r="K56">
            <v>-35726</v>
          </cell>
        </row>
        <row r="57">
          <cell r="C57">
            <v>12140028</v>
          </cell>
          <cell r="D57" t="str">
            <v>GICIF</v>
          </cell>
          <cell r="E57" t="str">
            <v>Auto Loan Ford Icon Car Sudhir Kumar</v>
          </cell>
          <cell r="F57" t="str">
            <v>SLBANKVL</v>
          </cell>
          <cell r="G57">
            <v>-41822</v>
          </cell>
          <cell r="K57">
            <v>-41822</v>
          </cell>
        </row>
        <row r="58">
          <cell r="C58">
            <v>12140060</v>
          </cell>
          <cell r="D58" t="str">
            <v>GLO71</v>
          </cell>
          <cell r="E58" t="str">
            <v>Auto Loan Honda Civic Rajat Sharma</v>
          </cell>
          <cell r="F58" t="str">
            <v>SLBANKVL</v>
          </cell>
          <cell r="G58">
            <v>0</v>
          </cell>
          <cell r="K58">
            <v>0</v>
          </cell>
        </row>
        <row r="59">
          <cell r="C59">
            <v>12140118</v>
          </cell>
          <cell r="E59" t="str">
            <v>AUTO LOAN ZEN AJAY NISHAT</v>
          </cell>
          <cell r="F59" t="str">
            <v>SLBANKVL</v>
          </cell>
          <cell r="G59">
            <v>-33651</v>
          </cell>
          <cell r="K59">
            <v>-33651</v>
          </cell>
        </row>
        <row r="60">
          <cell r="C60">
            <v>12140088</v>
          </cell>
          <cell r="D60" t="str">
            <v>GLO58</v>
          </cell>
          <cell r="E60" t="str">
            <v>Auto Loan Honda Civic Vanesh Panchal</v>
          </cell>
          <cell r="F60" t="str">
            <v>SLBANKVL</v>
          </cell>
          <cell r="G60">
            <v>0</v>
          </cell>
          <cell r="K60">
            <v>0</v>
          </cell>
        </row>
        <row r="61">
          <cell r="C61">
            <v>12140090</v>
          </cell>
          <cell r="D61" t="str">
            <v>GLO70</v>
          </cell>
          <cell r="E61" t="str">
            <v>Auto Loan Honda Civic Ravi Ayier</v>
          </cell>
          <cell r="F61" t="str">
            <v>SLBANKVL</v>
          </cell>
          <cell r="G61">
            <v>0</v>
          </cell>
          <cell r="K61">
            <v>0</v>
          </cell>
        </row>
        <row r="62">
          <cell r="C62">
            <v>12140107</v>
          </cell>
          <cell r="D62" t="str">
            <v>GLO96</v>
          </cell>
          <cell r="E62" t="str">
            <v>AUTO LOAN SWIFT RITESH BUDDHDEV</v>
          </cell>
          <cell r="F62" t="str">
            <v>SLBANKVL</v>
          </cell>
          <cell r="G62">
            <v>-24660</v>
          </cell>
          <cell r="K62">
            <v>-24660</v>
          </cell>
        </row>
        <row r="63">
          <cell r="C63">
            <v>12140111</v>
          </cell>
          <cell r="D63" t="str">
            <v>GLO101</v>
          </cell>
          <cell r="E63" t="str">
            <v>AUTO LOAN WAGON R SACHIN MESHWARI</v>
          </cell>
          <cell r="F63" t="str">
            <v>SLBANKVL</v>
          </cell>
          <cell r="G63">
            <v>-23586</v>
          </cell>
          <cell r="K63">
            <v>-23586</v>
          </cell>
        </row>
        <row r="64">
          <cell r="C64">
            <v>12140024</v>
          </cell>
          <cell r="D64" t="str">
            <v>GHDFHC</v>
          </cell>
          <cell r="E64" t="str">
            <v>Auto Loan Honda Citi Prasenjit Mukharjee</v>
          </cell>
          <cell r="F64" t="str">
            <v>SLBANKVL</v>
          </cell>
          <cell r="G64">
            <v>-13114</v>
          </cell>
          <cell r="K64">
            <v>-13114</v>
          </cell>
        </row>
        <row r="65">
          <cell r="C65">
            <v>12140113</v>
          </cell>
          <cell r="D65" t="str">
            <v>GLO98</v>
          </cell>
          <cell r="E65" t="str">
            <v>AUTO LOAN ZEN SANJEEV CHAUBEY</v>
          </cell>
          <cell r="F65" t="str">
            <v>SLBANKVL</v>
          </cell>
          <cell r="G65">
            <v>-23193</v>
          </cell>
          <cell r="K65">
            <v>-23193</v>
          </cell>
        </row>
        <row r="66">
          <cell r="C66">
            <v>12140106</v>
          </cell>
          <cell r="D66" t="str">
            <v>GLO95</v>
          </cell>
          <cell r="E66" t="str">
            <v>AUTO LOAN SWIFT REEMA KAPOOR</v>
          </cell>
          <cell r="F66" t="str">
            <v>SLBANKVL</v>
          </cell>
          <cell r="G66">
            <v>-13149</v>
          </cell>
          <cell r="K66">
            <v>-13149</v>
          </cell>
        </row>
        <row r="67">
          <cell r="C67">
            <v>12140079</v>
          </cell>
          <cell r="D67" t="str">
            <v>GLO85</v>
          </cell>
          <cell r="E67" t="str">
            <v>Auto Loan Accent Subhakanta Mohanty</v>
          </cell>
          <cell r="F67" t="str">
            <v>SLBANKVL</v>
          </cell>
          <cell r="G67">
            <v>0</v>
          </cell>
          <cell r="K67">
            <v>0</v>
          </cell>
        </row>
        <row r="68">
          <cell r="C68">
            <v>12140023</v>
          </cell>
          <cell r="D68" t="str">
            <v>GHDFHO</v>
          </cell>
          <cell r="E68" t="str">
            <v>Auto Loan Honda Citi Nirdosh Gaur</v>
          </cell>
          <cell r="F68" t="str">
            <v>SLBANKVL</v>
          </cell>
          <cell r="G68">
            <v>0</v>
          </cell>
          <cell r="K68">
            <v>0</v>
          </cell>
        </row>
        <row r="69">
          <cell r="C69">
            <v>12140048</v>
          </cell>
          <cell r="D69" t="str">
            <v>GLO90</v>
          </cell>
          <cell r="E69" t="str">
            <v>Auto Loan Santro Parth Rajput</v>
          </cell>
          <cell r="F69" t="str">
            <v>SLBANKVL</v>
          </cell>
          <cell r="G69">
            <v>-11582</v>
          </cell>
          <cell r="K69">
            <v>-11582</v>
          </cell>
        </row>
        <row r="70">
          <cell r="C70">
            <v>12140045</v>
          </cell>
          <cell r="D70" t="str">
            <v>GLO87</v>
          </cell>
          <cell r="E70" t="str">
            <v>Auto Loan Wagon R Sujeet Ray Chowdhary</v>
          </cell>
          <cell r="F70" t="str">
            <v>SLBANKVL</v>
          </cell>
          <cell r="G70">
            <v>-11581</v>
          </cell>
          <cell r="K70">
            <v>-11581</v>
          </cell>
        </row>
        <row r="71">
          <cell r="C71">
            <v>12140046</v>
          </cell>
          <cell r="D71" t="str">
            <v>GLO88</v>
          </cell>
          <cell r="E71" t="str">
            <v>Auto Loan Santro Pathik Chokshi</v>
          </cell>
          <cell r="F71" t="str">
            <v>SLBANKVL</v>
          </cell>
          <cell r="G71">
            <v>-11453</v>
          </cell>
          <cell r="K71">
            <v>-11453</v>
          </cell>
        </row>
        <row r="72">
          <cell r="C72">
            <v>12140109</v>
          </cell>
          <cell r="D72" t="str">
            <v>GLO93</v>
          </cell>
          <cell r="E72" t="str">
            <v>AUTO LOAN TATA INDICA NEERAJ BAJAJ</v>
          </cell>
          <cell r="F72" t="str">
            <v>SLBANKVL</v>
          </cell>
          <cell r="G72">
            <v>-11161</v>
          </cell>
          <cell r="K72">
            <v>-11161</v>
          </cell>
        </row>
        <row r="73">
          <cell r="C73">
            <v>12140080</v>
          </cell>
          <cell r="D73" t="str">
            <v>GLO78</v>
          </cell>
          <cell r="E73" t="str">
            <v>Auto Loan Ford Icon Deepak Singh</v>
          </cell>
          <cell r="F73" t="str">
            <v>SLBANKVL</v>
          </cell>
          <cell r="G73">
            <v>0</v>
          </cell>
          <cell r="K73">
            <v>0</v>
          </cell>
        </row>
        <row r="74">
          <cell r="C74">
            <v>12140011</v>
          </cell>
          <cell r="D74" t="str">
            <v>GHDFHA</v>
          </cell>
          <cell r="E74" t="str">
            <v>Auto Loan Hyundai Accent Heemanshu Kamdar</v>
          </cell>
          <cell r="F74" t="str">
            <v>SLBANKVL</v>
          </cell>
          <cell r="G74">
            <v>-10278</v>
          </cell>
          <cell r="K74">
            <v>-10278</v>
          </cell>
        </row>
        <row r="75">
          <cell r="C75">
            <v>12140029</v>
          </cell>
          <cell r="D75" t="str">
            <v>GHDFME</v>
          </cell>
          <cell r="E75" t="str">
            <v>Auto Loan Esteem Car Gupta</v>
          </cell>
          <cell r="F75" t="str">
            <v>SLBANKVL</v>
          </cell>
          <cell r="G75">
            <v>-9844</v>
          </cell>
          <cell r="K75">
            <v>-9844</v>
          </cell>
        </row>
        <row r="76">
          <cell r="C76">
            <v>12140091</v>
          </cell>
          <cell r="D76" t="str">
            <v>GLO72</v>
          </cell>
          <cell r="E76" t="str">
            <v>Auto Loan Honda City Arjun Mehra</v>
          </cell>
          <cell r="F76" t="str">
            <v>SLBANKVL</v>
          </cell>
          <cell r="G76">
            <v>0</v>
          </cell>
          <cell r="K76">
            <v>0</v>
          </cell>
        </row>
        <row r="77">
          <cell r="C77">
            <v>12140087</v>
          </cell>
          <cell r="D77" t="str">
            <v>GLO76</v>
          </cell>
          <cell r="E77" t="str">
            <v>Auto Loan Wagan -R Govind Prajapati</v>
          </cell>
          <cell r="F77" t="str">
            <v>SLBANKVL</v>
          </cell>
          <cell r="G77">
            <v>0</v>
          </cell>
          <cell r="K77">
            <v>0</v>
          </cell>
        </row>
        <row r="78">
          <cell r="C78">
            <v>12140086</v>
          </cell>
          <cell r="D78" t="str">
            <v>GLO74</v>
          </cell>
          <cell r="E78" t="str">
            <v>Auto Loan Maurti Alto Lx  J.S. Dinesh</v>
          </cell>
          <cell r="F78" t="str">
            <v>SLBANKVL</v>
          </cell>
          <cell r="G78">
            <v>0</v>
          </cell>
          <cell r="K78">
            <v>0</v>
          </cell>
        </row>
        <row r="79">
          <cell r="C79">
            <v>12140105</v>
          </cell>
          <cell r="D79" t="str">
            <v>GLO103</v>
          </cell>
          <cell r="E79" t="str">
            <v>AUTO LOAN HONDA CITY YASHWINDER SINGH</v>
          </cell>
          <cell r="F79" t="str">
            <v>SLBANKVL</v>
          </cell>
          <cell r="G79">
            <v>0</v>
          </cell>
          <cell r="K79">
            <v>0</v>
          </cell>
        </row>
        <row r="80">
          <cell r="C80">
            <v>12140083</v>
          </cell>
          <cell r="D80" t="str">
            <v>GLO79</v>
          </cell>
          <cell r="E80" t="str">
            <v>Auto Loan Wagon R  Dashmeet Singh Bhatia</v>
          </cell>
          <cell r="F80" t="str">
            <v>SLBANKVL</v>
          </cell>
          <cell r="G80">
            <v>0</v>
          </cell>
          <cell r="K80">
            <v>0</v>
          </cell>
        </row>
        <row r="81">
          <cell r="C81">
            <v>12140077</v>
          </cell>
          <cell r="D81" t="str">
            <v>GLO47</v>
          </cell>
          <cell r="E81" t="str">
            <v>Auto Loan Honda City Manish  Sahijwani</v>
          </cell>
          <cell r="F81" t="str">
            <v>SLBANKVL</v>
          </cell>
          <cell r="G81">
            <v>0</v>
          </cell>
          <cell r="K81">
            <v>0</v>
          </cell>
        </row>
        <row r="82">
          <cell r="C82">
            <v>12140056</v>
          </cell>
          <cell r="D82" t="str">
            <v>GLO54</v>
          </cell>
          <cell r="E82" t="str">
            <v>Auto Loan Honda City Harshvardhan</v>
          </cell>
          <cell r="F82" t="str">
            <v>SLBANKVL</v>
          </cell>
          <cell r="G82">
            <v>0</v>
          </cell>
          <cell r="K82">
            <v>0</v>
          </cell>
        </row>
        <row r="83">
          <cell r="C83">
            <v>12140076</v>
          </cell>
          <cell r="D83" t="str">
            <v>GLO46</v>
          </cell>
          <cell r="E83" t="str">
            <v>Auto Loan Accent Gle Malay Shah</v>
          </cell>
          <cell r="F83" t="str">
            <v>SLBANKVL</v>
          </cell>
          <cell r="G83">
            <v>0</v>
          </cell>
          <cell r="K83">
            <v>0</v>
          </cell>
        </row>
        <row r="84">
          <cell r="C84">
            <v>12140057</v>
          </cell>
          <cell r="D84" t="str">
            <v>GLO55</v>
          </cell>
          <cell r="E84" t="str">
            <v>Auto Loan Accent Mumbai Office</v>
          </cell>
          <cell r="F84" t="str">
            <v>SLBANKVL</v>
          </cell>
          <cell r="G84">
            <v>0</v>
          </cell>
          <cell r="K84">
            <v>0</v>
          </cell>
        </row>
        <row r="85">
          <cell r="C85">
            <v>12140008</v>
          </cell>
          <cell r="D85" t="str">
            <v>GLO44</v>
          </cell>
          <cell r="E85" t="str">
            <v>Auto Loan Tata Safari Mukul Mahajan</v>
          </cell>
          <cell r="F85" t="str">
            <v>SLBANKVL</v>
          </cell>
          <cell r="G85">
            <v>0</v>
          </cell>
          <cell r="K85">
            <v>0</v>
          </cell>
        </row>
        <row r="86">
          <cell r="C86">
            <v>12140075</v>
          </cell>
          <cell r="D86" t="str">
            <v>GLO39</v>
          </cell>
          <cell r="E86" t="str">
            <v>Auto Loan Car Aveo Joseph Abraham</v>
          </cell>
          <cell r="F86" t="str">
            <v>SLBANKVL</v>
          </cell>
          <cell r="G86">
            <v>0</v>
          </cell>
          <cell r="K86">
            <v>0</v>
          </cell>
        </row>
        <row r="87">
          <cell r="C87">
            <v>12140007</v>
          </cell>
          <cell r="D87" t="str">
            <v>GLO43</v>
          </cell>
          <cell r="E87" t="str">
            <v>Auto Loan Hyundai Accent Ravichandran</v>
          </cell>
          <cell r="F87" t="str">
            <v>SLBANKVL</v>
          </cell>
          <cell r="G87">
            <v>0</v>
          </cell>
          <cell r="K87">
            <v>0</v>
          </cell>
        </row>
        <row r="88">
          <cell r="C88">
            <v>12140014</v>
          </cell>
          <cell r="D88" t="str">
            <v>GLO51</v>
          </cell>
          <cell r="E88" t="str">
            <v>Auto Loan Santro Binay</v>
          </cell>
          <cell r="F88" t="str">
            <v>SLBANKVL</v>
          </cell>
          <cell r="G88">
            <v>0</v>
          </cell>
          <cell r="K88">
            <v>0</v>
          </cell>
        </row>
        <row r="89">
          <cell r="C89">
            <v>12140026</v>
          </cell>
          <cell r="D89" t="str">
            <v>GLO38</v>
          </cell>
          <cell r="E89" t="str">
            <v>Auto Loan Santro Ujjwal Das</v>
          </cell>
          <cell r="F89" t="str">
            <v>SLBANKVL</v>
          </cell>
          <cell r="G89">
            <v>0</v>
          </cell>
          <cell r="K89">
            <v>0</v>
          </cell>
        </row>
        <row r="90">
          <cell r="C90">
            <v>12140013</v>
          </cell>
          <cell r="D90" t="str">
            <v>GLO50</v>
          </cell>
          <cell r="E90" t="str">
            <v>Auto Loan Santro Manoj Bajaj</v>
          </cell>
          <cell r="F90" t="str">
            <v>SLBANKVL</v>
          </cell>
          <cell r="G90">
            <v>0</v>
          </cell>
          <cell r="K90">
            <v>0</v>
          </cell>
        </row>
        <row r="91">
          <cell r="C91">
            <v>12140064</v>
          </cell>
          <cell r="D91" t="str">
            <v>GLO37</v>
          </cell>
          <cell r="E91" t="str">
            <v>Auto Loan Santro Dharmendra Sethia</v>
          </cell>
          <cell r="F91" t="str">
            <v>SLBANKVL</v>
          </cell>
          <cell r="G91">
            <v>0</v>
          </cell>
          <cell r="K91">
            <v>0</v>
          </cell>
        </row>
        <row r="93">
          <cell r="E93" t="str">
            <v>SECURED LOAN - WORKING CAPITAL</v>
          </cell>
        </row>
        <row r="94">
          <cell r="C94">
            <v>12160032</v>
          </cell>
          <cell r="E94" t="str">
            <v>HDFC Ltd. Loan A/c</v>
          </cell>
          <cell r="F94" t="str">
            <v>SLBANK</v>
          </cell>
          <cell r="G94">
            <v>-500000000</v>
          </cell>
          <cell r="K94">
            <v>-500000000</v>
          </cell>
        </row>
        <row r="95">
          <cell r="C95">
            <v>23511770</v>
          </cell>
          <cell r="E95" t="str">
            <v>HDFC BANK- NSCCL</v>
          </cell>
          <cell r="F95" t="str">
            <v>SLBANK</v>
          </cell>
          <cell r="G95">
            <v>0</v>
          </cell>
          <cell r="K95">
            <v>0</v>
          </cell>
        </row>
        <row r="97">
          <cell r="E97" t="str">
            <v>UNSECURED LOAN - COMMERCIAL PAPER</v>
          </cell>
        </row>
        <row r="98">
          <cell r="C98">
            <v>12211006</v>
          </cell>
          <cell r="E98" t="str">
            <v>COMMERCIAL PAPER - NABARD</v>
          </cell>
          <cell r="F98" t="str">
            <v>ULOANCP</v>
          </cell>
          <cell r="G98">
            <v>0</v>
          </cell>
          <cell r="K98">
            <v>0</v>
          </cell>
        </row>
        <row r="99">
          <cell r="C99">
            <v>12211001</v>
          </cell>
          <cell r="E99" t="str">
            <v>Commercial Paper - IDFC</v>
          </cell>
          <cell r="F99" t="str">
            <v>ULOANCP</v>
          </cell>
          <cell r="G99">
            <v>0</v>
          </cell>
          <cell r="K99">
            <v>0</v>
          </cell>
        </row>
        <row r="100">
          <cell r="C100">
            <v>12211007</v>
          </cell>
          <cell r="E100" t="str">
            <v>Commercial Paper - Reliance</v>
          </cell>
          <cell r="F100" t="str">
            <v>ULOANCP</v>
          </cell>
          <cell r="G100">
            <v>-500000000</v>
          </cell>
          <cell r="K100">
            <v>-500000000</v>
          </cell>
        </row>
        <row r="102">
          <cell r="E102" t="str">
            <v>UNSECURED LOAN - ICD</v>
          </cell>
        </row>
        <row r="103">
          <cell r="C103">
            <v>12230030</v>
          </cell>
          <cell r="E103" t="str">
            <v>Loans Received- Vendors ICD Taken</v>
          </cell>
          <cell r="F103" t="str">
            <v>ULOANICD</v>
          </cell>
          <cell r="G103">
            <v>-350000000</v>
          </cell>
          <cell r="K103">
            <v>-350000000</v>
          </cell>
        </row>
        <row r="105">
          <cell r="E105" t="str">
            <v>FIXED ASSETS - ASSETS</v>
          </cell>
        </row>
        <row r="106">
          <cell r="C106">
            <v>20500000</v>
          </cell>
          <cell r="E106" t="str">
            <v>Computers and peripherals - Cost</v>
          </cell>
          <cell r="F106" t="str">
            <v>FASSET</v>
          </cell>
          <cell r="G106">
            <v>457892203.85000002</v>
          </cell>
          <cell r="K106">
            <v>457892203.85000002</v>
          </cell>
        </row>
        <row r="107">
          <cell r="C107">
            <v>20602000</v>
          </cell>
          <cell r="E107" t="str">
            <v>Office equipment - Cost</v>
          </cell>
          <cell r="F107" t="str">
            <v>FASSET</v>
          </cell>
          <cell r="G107">
            <v>253445746.16999999</v>
          </cell>
          <cell r="K107">
            <v>253445746.16999999</v>
          </cell>
        </row>
        <row r="108">
          <cell r="C108">
            <v>20600000</v>
          </cell>
          <cell r="E108" t="str">
            <v>Furnitures - Cost</v>
          </cell>
          <cell r="F108" t="str">
            <v>FASSET</v>
          </cell>
          <cell r="G108">
            <v>212853906.43000001</v>
          </cell>
          <cell r="K108">
            <v>212853906.43000001</v>
          </cell>
        </row>
        <row r="109">
          <cell r="C109">
            <v>20700000</v>
          </cell>
          <cell r="E109" t="str">
            <v>Vehicles - Cost</v>
          </cell>
          <cell r="F109" t="str">
            <v>FASSET</v>
          </cell>
          <cell r="G109">
            <v>91161263</v>
          </cell>
          <cell r="K109">
            <v>91161263</v>
          </cell>
        </row>
        <row r="110">
          <cell r="C110">
            <v>20810003</v>
          </cell>
          <cell r="E110" t="str">
            <v>BSE-Membership Rights</v>
          </cell>
          <cell r="F110" t="str">
            <v>FASSET</v>
          </cell>
          <cell r="G110">
            <v>7005000</v>
          </cell>
          <cell r="K110">
            <v>7005000</v>
          </cell>
        </row>
        <row r="111">
          <cell r="C111">
            <v>20810001</v>
          </cell>
          <cell r="E111" t="str">
            <v>Software-Cost</v>
          </cell>
          <cell r="F111" t="str">
            <v>FASSET</v>
          </cell>
          <cell r="G111">
            <v>583918264.44000006</v>
          </cell>
          <cell r="K111">
            <v>583918264.44000006</v>
          </cell>
        </row>
        <row r="112">
          <cell r="E112" t="str">
            <v>FIXED ASSETS - DEPRECIATION</v>
          </cell>
        </row>
        <row r="113">
          <cell r="C113">
            <v>20510000</v>
          </cell>
          <cell r="D113" t="str">
            <v>GA00001</v>
          </cell>
          <cell r="E113" t="str">
            <v>Computers and peripherals -Acc dep</v>
          </cell>
          <cell r="F113" t="str">
            <v>FDEP</v>
          </cell>
          <cell r="G113">
            <v>-254211687.25</v>
          </cell>
          <cell r="K113">
            <v>-254211687.25</v>
          </cell>
        </row>
        <row r="114">
          <cell r="C114">
            <v>20612000</v>
          </cell>
          <cell r="D114" t="str">
            <v>GA00001</v>
          </cell>
          <cell r="E114" t="str">
            <v>Acc dep-Office equipment</v>
          </cell>
          <cell r="F114" t="str">
            <v>FDEP</v>
          </cell>
          <cell r="G114">
            <v>-48721582.509999998</v>
          </cell>
          <cell r="K114">
            <v>-48721582.509999998</v>
          </cell>
        </row>
        <row r="115">
          <cell r="C115">
            <v>20610000</v>
          </cell>
          <cell r="D115" t="str">
            <v>GA00001</v>
          </cell>
          <cell r="E115" t="str">
            <v>Acc dep - Furnitures</v>
          </cell>
          <cell r="F115" t="str">
            <v>FDEP</v>
          </cell>
          <cell r="G115">
            <v>-62143043.350000001</v>
          </cell>
          <cell r="K115">
            <v>-62143043.350000001</v>
          </cell>
        </row>
        <row r="116">
          <cell r="C116">
            <v>20710000</v>
          </cell>
          <cell r="D116" t="str">
            <v>GA00001</v>
          </cell>
          <cell r="E116" t="str">
            <v>Vehicles -Acc dep</v>
          </cell>
          <cell r="F116" t="str">
            <v>FDEP</v>
          </cell>
          <cell r="G116">
            <v>-27305296.280000001</v>
          </cell>
          <cell r="K116">
            <v>-27305296.280000001</v>
          </cell>
        </row>
        <row r="117">
          <cell r="C117">
            <v>20810004</v>
          </cell>
          <cell r="D117" t="str">
            <v>GA00001</v>
          </cell>
          <cell r="E117" t="str">
            <v>BSE-Membership Rights-Acc dep</v>
          </cell>
          <cell r="F117" t="str">
            <v>FDEP</v>
          </cell>
          <cell r="G117">
            <v>-6765084.9699999997</v>
          </cell>
          <cell r="K117">
            <v>-6765084.9699999997</v>
          </cell>
        </row>
        <row r="118">
          <cell r="C118">
            <v>20810002</v>
          </cell>
          <cell r="D118" t="str">
            <v>GA00001</v>
          </cell>
          <cell r="E118" t="str">
            <v>Software-Acc dep</v>
          </cell>
          <cell r="F118" t="str">
            <v>FDEP</v>
          </cell>
          <cell r="G118">
            <v>-430839340.89999998</v>
          </cell>
          <cell r="K118">
            <v>-430839340.89999998</v>
          </cell>
        </row>
        <row r="119">
          <cell r="E119" t="str">
            <v>FIXED ASSETS - CWIP</v>
          </cell>
        </row>
        <row r="120">
          <cell r="C120">
            <v>24700036</v>
          </cell>
          <cell r="E120" t="str">
            <v>Vendors Balances-Against Advance for fixed assets</v>
          </cell>
          <cell r="F120" t="str">
            <v>ADVAN</v>
          </cell>
          <cell r="G120">
            <v>21727118.899999999</v>
          </cell>
          <cell r="K120">
            <v>21727118.899999999</v>
          </cell>
        </row>
        <row r="121">
          <cell r="C121">
            <v>24600001</v>
          </cell>
          <cell r="D121" t="str">
            <v>GSWPJ</v>
          </cell>
          <cell r="E121" t="str">
            <v>SOFTWARE PROJECT - CONSULTANCY CHARGES</v>
          </cell>
          <cell r="F121" t="str">
            <v>AWIP</v>
          </cell>
          <cell r="G121">
            <v>0</v>
          </cell>
          <cell r="K121">
            <v>0</v>
          </cell>
        </row>
        <row r="122">
          <cell r="C122">
            <v>24600002</v>
          </cell>
          <cell r="D122" t="str">
            <v>GSWPJ</v>
          </cell>
          <cell r="E122" t="str">
            <v>SOFTWARE PROJECT ELECTRICITY EXPENSES</v>
          </cell>
          <cell r="F122" t="str">
            <v>AWIP</v>
          </cell>
          <cell r="G122">
            <v>0</v>
          </cell>
          <cell r="K122">
            <v>0</v>
          </cell>
        </row>
        <row r="123">
          <cell r="C123">
            <v>24600003</v>
          </cell>
          <cell r="D123" t="str">
            <v>GSWPJ</v>
          </cell>
          <cell r="E123" t="str">
            <v>SOFTWARE PROJECT LEASELINE EXPENSES</v>
          </cell>
          <cell r="F123" t="str">
            <v>AWIP</v>
          </cell>
          <cell r="G123">
            <v>0</v>
          </cell>
          <cell r="K123">
            <v>0</v>
          </cell>
        </row>
        <row r="124">
          <cell r="C124">
            <v>24600004</v>
          </cell>
          <cell r="D124" t="str">
            <v>GSWPJ</v>
          </cell>
          <cell r="E124" t="str">
            <v>SOFTWARE PROJECT OVERTIME</v>
          </cell>
          <cell r="F124" t="str">
            <v>AWIP</v>
          </cell>
          <cell r="G124">
            <v>0</v>
          </cell>
          <cell r="K124">
            <v>0</v>
          </cell>
        </row>
        <row r="125">
          <cell r="C125">
            <v>24600005</v>
          </cell>
          <cell r="D125" t="str">
            <v>GSWPJ</v>
          </cell>
          <cell r="E125" t="str">
            <v>SOFTWARE PROJECT -RENT EXPENSES</v>
          </cell>
          <cell r="F125" t="str">
            <v>AWIP</v>
          </cell>
          <cell r="G125">
            <v>0</v>
          </cell>
          <cell r="K125">
            <v>0</v>
          </cell>
        </row>
        <row r="126">
          <cell r="C126">
            <v>24600007</v>
          </cell>
          <cell r="D126" t="str">
            <v>GSWPJ</v>
          </cell>
          <cell r="E126" t="str">
            <v>SOFTWARE-SALARY EXP</v>
          </cell>
          <cell r="F126" t="str">
            <v>AWIP</v>
          </cell>
          <cell r="G126">
            <v>0</v>
          </cell>
          <cell r="K126">
            <v>0</v>
          </cell>
        </row>
        <row r="127">
          <cell r="C127">
            <v>24600008</v>
          </cell>
          <cell r="D127" t="str">
            <v>GSWPJ</v>
          </cell>
          <cell r="E127" t="str">
            <v>SOFTWARE PROJECT STAFF WELFARE</v>
          </cell>
          <cell r="F127" t="str">
            <v>AWIP</v>
          </cell>
          <cell r="G127">
            <v>0</v>
          </cell>
          <cell r="K127">
            <v>0</v>
          </cell>
        </row>
        <row r="128">
          <cell r="C128">
            <v>24600009</v>
          </cell>
          <cell r="D128" t="str">
            <v>GSWPJ</v>
          </cell>
          <cell r="E128" t="str">
            <v>SOFTWARE PROJECT TELEPHONE EXPENSES</v>
          </cell>
          <cell r="F128" t="str">
            <v>AWIP</v>
          </cell>
          <cell r="G128">
            <v>0</v>
          </cell>
          <cell r="K128">
            <v>0</v>
          </cell>
        </row>
        <row r="130">
          <cell r="E130" t="str">
            <v>Investments - Subsidiaries Co.</v>
          </cell>
        </row>
        <row r="131">
          <cell r="C131">
            <v>22011131</v>
          </cell>
          <cell r="E131" t="str">
            <v>Investment in Subsidiary</v>
          </cell>
          <cell r="F131" t="str">
            <v>INVESSC</v>
          </cell>
          <cell r="G131">
            <v>42000000</v>
          </cell>
          <cell r="K131">
            <v>42000000</v>
          </cell>
        </row>
        <row r="132">
          <cell r="C132">
            <v>14400000</v>
          </cell>
          <cell r="E132" t="str">
            <v>Prov-dimunition in value-long term investment</v>
          </cell>
          <cell r="F132" t="str">
            <v>INVESSC</v>
          </cell>
          <cell r="G132">
            <v>-500000</v>
          </cell>
          <cell r="K132">
            <v>-500000</v>
          </cell>
        </row>
        <row r="133">
          <cell r="C133">
            <v>22010029</v>
          </cell>
          <cell r="E133" t="str">
            <v>Investment In Icpl</v>
          </cell>
          <cell r="F133" t="str">
            <v>INVESSC</v>
          </cell>
          <cell r="G133">
            <v>0</v>
          </cell>
          <cell r="K133">
            <v>0</v>
          </cell>
        </row>
        <row r="134">
          <cell r="C134">
            <v>22011132</v>
          </cell>
          <cell r="E134" t="str">
            <v>Investment in Indiabulls Brokerage Limited</v>
          </cell>
          <cell r="F134" t="str">
            <v>INVESSC</v>
          </cell>
          <cell r="G134">
            <v>0</v>
          </cell>
          <cell r="K134">
            <v>0</v>
          </cell>
        </row>
        <row r="135">
          <cell r="C135">
            <v>22011090</v>
          </cell>
          <cell r="E135" t="str">
            <v>Investments in Devata Tradelink Ltd</v>
          </cell>
          <cell r="F135" t="str">
            <v>INVESSC</v>
          </cell>
          <cell r="G135">
            <v>0</v>
          </cell>
          <cell r="K135">
            <v>0</v>
          </cell>
        </row>
        <row r="137">
          <cell r="E137" t="str">
            <v>Investments - Others</v>
          </cell>
        </row>
        <row r="138">
          <cell r="C138">
            <v>22010158</v>
          </cell>
          <cell r="D138" t="str">
            <v>GICPL</v>
          </cell>
          <cell r="E138" t="str">
            <v>Investment in Copal Partners Limited</v>
          </cell>
          <cell r="F138" t="str">
            <v>INVES</v>
          </cell>
          <cell r="G138">
            <v>476694682.88</v>
          </cell>
          <cell r="K138">
            <v>476694682.88</v>
          </cell>
        </row>
        <row r="139">
          <cell r="C139">
            <v>22001002</v>
          </cell>
          <cell r="D139" t="str">
            <v>GINVE</v>
          </cell>
          <cell r="E139" t="str">
            <v>Investment In Bse</v>
          </cell>
          <cell r="F139" t="str">
            <v>INVES</v>
          </cell>
          <cell r="G139">
            <v>10000</v>
          </cell>
          <cell r="K139">
            <v>10000</v>
          </cell>
        </row>
        <row r="141">
          <cell r="E141" t="str">
            <v>Investments - Mutual Fund</v>
          </cell>
        </row>
        <row r="142">
          <cell r="C142">
            <v>22401017</v>
          </cell>
          <cell r="E142" t="str">
            <v>Investment in RELIANCE Mutual Fund</v>
          </cell>
          <cell r="F142" t="str">
            <v>INVESMF</v>
          </cell>
          <cell r="G142">
            <v>0</v>
          </cell>
          <cell r="K142">
            <v>0</v>
          </cell>
        </row>
        <row r="143">
          <cell r="C143">
            <v>22010152</v>
          </cell>
          <cell r="D143" t="str">
            <v>GMFICICI</v>
          </cell>
          <cell r="E143" t="str">
            <v>Investment in  ICICI  Prudential Mutual Fund</v>
          </cell>
          <cell r="F143" t="str">
            <v>INVESMF</v>
          </cell>
          <cell r="G143">
            <v>0</v>
          </cell>
          <cell r="K143">
            <v>0</v>
          </cell>
        </row>
        <row r="144">
          <cell r="C144">
            <v>22401001</v>
          </cell>
          <cell r="E144" t="str">
            <v>Mutual Fund Abn Amro</v>
          </cell>
          <cell r="F144" t="str">
            <v>INVESMF</v>
          </cell>
          <cell r="G144">
            <v>0</v>
          </cell>
          <cell r="K144">
            <v>0</v>
          </cell>
        </row>
        <row r="145">
          <cell r="C145">
            <v>22401002</v>
          </cell>
          <cell r="E145" t="str">
            <v>Investment in LIC Mutual Fund</v>
          </cell>
          <cell r="F145" t="str">
            <v>INVESMF</v>
          </cell>
          <cell r="G145">
            <v>0</v>
          </cell>
          <cell r="K145">
            <v>0</v>
          </cell>
        </row>
        <row r="146">
          <cell r="C146">
            <v>22401003</v>
          </cell>
          <cell r="D146" t="str">
            <v>GMFRIL</v>
          </cell>
          <cell r="E146" t="str">
            <v>Mutual Fund Reliance Liquidity Fund (LQDD)</v>
          </cell>
          <cell r="F146" t="str">
            <v>INVESMF</v>
          </cell>
          <cell r="G146">
            <v>0</v>
          </cell>
          <cell r="K146">
            <v>0</v>
          </cell>
        </row>
        <row r="147">
          <cell r="C147">
            <v>22401004</v>
          </cell>
          <cell r="E147" t="str">
            <v>Mutual Fund Standard Chartered</v>
          </cell>
          <cell r="F147" t="str">
            <v>INVESMF</v>
          </cell>
          <cell r="G147">
            <v>0</v>
          </cell>
          <cell r="K147">
            <v>0</v>
          </cell>
        </row>
        <row r="148">
          <cell r="C148">
            <v>22401005</v>
          </cell>
          <cell r="D148" t="str">
            <v>GMFUTI</v>
          </cell>
          <cell r="E148" t="str">
            <v>Mutual Fund Uti Liquid Cash Plan</v>
          </cell>
          <cell r="F148" t="str">
            <v>INVESMF</v>
          </cell>
          <cell r="G148">
            <v>0</v>
          </cell>
          <cell r="K148">
            <v>0</v>
          </cell>
        </row>
        <row r="149">
          <cell r="C149">
            <v>22401016</v>
          </cell>
          <cell r="E149" t="str">
            <v>BIRLA SUNLIFE MUTUAL FUND</v>
          </cell>
          <cell r="F149" t="str">
            <v>INVESMF</v>
          </cell>
          <cell r="G149">
            <v>0</v>
          </cell>
          <cell r="K149">
            <v>0</v>
          </cell>
        </row>
        <row r="150">
          <cell r="C150">
            <v>22401045</v>
          </cell>
          <cell r="E150" t="str">
            <v>Investment in TATA Mutual Fund</v>
          </cell>
          <cell r="F150" t="str">
            <v>INVESMF</v>
          </cell>
          <cell r="G150">
            <v>0</v>
          </cell>
          <cell r="K150">
            <v>0</v>
          </cell>
        </row>
        <row r="151">
          <cell r="C151">
            <v>22401060</v>
          </cell>
          <cell r="E151" t="str">
            <v>LICMF Liquid Plus Fund</v>
          </cell>
          <cell r="F151" t="str">
            <v>INVESMF</v>
          </cell>
          <cell r="G151">
            <v>0</v>
          </cell>
          <cell r="K151">
            <v>0</v>
          </cell>
        </row>
        <row r="152">
          <cell r="C152">
            <v>22401025</v>
          </cell>
          <cell r="E152" t="str">
            <v>LICMF SAVINGS PLUS FUND - DAILY DIVIDEND PLAN</v>
          </cell>
          <cell r="F152" t="str">
            <v>INVESMF</v>
          </cell>
          <cell r="G152">
            <v>0</v>
          </cell>
          <cell r="K152">
            <v>0</v>
          </cell>
        </row>
        <row r="153">
          <cell r="C153">
            <v>22401026</v>
          </cell>
          <cell r="E153" t="str">
            <v>LICMF SAVINGS PLUS FUND - WEEKLY DIVIDEND PLAN</v>
          </cell>
          <cell r="F153" t="str">
            <v>INVESMF</v>
          </cell>
          <cell r="G153">
            <v>0</v>
          </cell>
          <cell r="K153">
            <v>0</v>
          </cell>
        </row>
        <row r="154">
          <cell r="C154">
            <v>90000541</v>
          </cell>
          <cell r="E154" t="str">
            <v>RELIANCE MEDIUM TERM MF - DAILY DIV PLAN</v>
          </cell>
          <cell r="F154" t="str">
            <v>INVESMF</v>
          </cell>
          <cell r="G154">
            <v>0</v>
          </cell>
          <cell r="K154">
            <v>0</v>
          </cell>
        </row>
        <row r="156">
          <cell r="E156" t="str">
            <v>CURRENT ASSETS- ARBITRAGE</v>
          </cell>
        </row>
        <row r="157">
          <cell r="C157">
            <v>22001003</v>
          </cell>
          <cell r="D157" t="str">
            <v>GTRADE</v>
          </cell>
          <cell r="E157" t="str">
            <v>Trading Account</v>
          </cell>
          <cell r="F157" t="str">
            <v>INVES</v>
          </cell>
          <cell r="G157">
            <v>98263202.019999996</v>
          </cell>
          <cell r="K157">
            <v>98263202.019999996</v>
          </cell>
        </row>
        <row r="158">
          <cell r="C158">
            <v>22001001</v>
          </cell>
          <cell r="E158" t="str">
            <v>Investment In Shares</v>
          </cell>
          <cell r="F158" t="str">
            <v>STOCK</v>
          </cell>
          <cell r="G158">
            <v>199593673.71000001</v>
          </cell>
          <cell r="K158">
            <v>199593673.71000001</v>
          </cell>
        </row>
        <row r="160">
          <cell r="E160" t="str">
            <v>CURRENT ASSETS- DEBTORS</v>
          </cell>
        </row>
        <row r="161">
          <cell r="C161">
            <v>15000026</v>
          </cell>
          <cell r="E161" t="str">
            <v>Sundry Creditors- Vendors Security Services</v>
          </cell>
          <cell r="F161" t="str">
            <v>LSCRED</v>
          </cell>
          <cell r="G161">
            <v>-11890</v>
          </cell>
          <cell r="K161">
            <v>-11890</v>
          </cell>
        </row>
        <row r="162">
          <cell r="C162">
            <v>24700040</v>
          </cell>
          <cell r="E162" t="str">
            <v>Vendors BalancesSecurity Deposit-Others</v>
          </cell>
          <cell r="F162" t="str">
            <v>LSCRED</v>
          </cell>
          <cell r="G162">
            <v>0</v>
          </cell>
          <cell r="K162">
            <v>0</v>
          </cell>
        </row>
        <row r="163">
          <cell r="C163">
            <v>90000188</v>
          </cell>
          <cell r="D163" t="str">
            <v>GA05050</v>
          </cell>
          <cell r="E163" t="str">
            <v>National Stock Exchange - Short Sale A/c</v>
          </cell>
          <cell r="F163" t="str">
            <v>ADEBT</v>
          </cell>
          <cell r="G163">
            <v>1508094.7</v>
          </cell>
          <cell r="K163">
            <v>1508094.7</v>
          </cell>
        </row>
        <row r="164">
          <cell r="C164">
            <v>90000187</v>
          </cell>
          <cell r="D164" t="str">
            <v>GA05050</v>
          </cell>
          <cell r="E164" t="str">
            <v>National Stock Exchange - STT A/C</v>
          </cell>
          <cell r="F164" t="str">
            <v>ADEBT</v>
          </cell>
          <cell r="G164">
            <v>-8880522.9499999993</v>
          </cell>
          <cell r="K164">
            <v>-8880522.9499999993</v>
          </cell>
        </row>
        <row r="165">
          <cell r="C165">
            <v>24700005</v>
          </cell>
          <cell r="D165" t="str">
            <v>GI01001</v>
          </cell>
          <cell r="E165" t="str">
            <v>Brokerage Charges Receivable</v>
          </cell>
          <cell r="F165" t="str">
            <v>ADEBT</v>
          </cell>
          <cell r="G165">
            <v>-263356.96000000002</v>
          </cell>
          <cell r="K165">
            <v>-263356.96000000002</v>
          </cell>
        </row>
        <row r="166">
          <cell r="C166">
            <v>90000189</v>
          </cell>
          <cell r="D166" t="str">
            <v>GA05050</v>
          </cell>
          <cell r="E166" t="str">
            <v>Bombay Stock Exchange Limited - Auction A/C</v>
          </cell>
          <cell r="F166" t="str">
            <v>ADEBT</v>
          </cell>
          <cell r="G166">
            <v>145103</v>
          </cell>
          <cell r="K166">
            <v>145103</v>
          </cell>
        </row>
        <row r="167">
          <cell r="C167">
            <v>90000215</v>
          </cell>
          <cell r="E167" t="str">
            <v>Sundry Debtors-Customers IPO</v>
          </cell>
          <cell r="F167" t="str">
            <v>ADEBT</v>
          </cell>
          <cell r="G167">
            <v>0</v>
          </cell>
          <cell r="K167">
            <v>0</v>
          </cell>
        </row>
        <row r="168">
          <cell r="C168">
            <v>90000064</v>
          </cell>
          <cell r="D168" t="str">
            <v>GL1028</v>
          </cell>
          <cell r="E168" t="str">
            <v>BOB CAPITAL MARKETS</v>
          </cell>
          <cell r="F168" t="str">
            <v>ADEBT</v>
          </cell>
          <cell r="G168">
            <v>5250</v>
          </cell>
          <cell r="K168">
            <v>5250</v>
          </cell>
        </row>
        <row r="169">
          <cell r="C169">
            <v>90000062</v>
          </cell>
          <cell r="D169" t="str">
            <v>GL1028</v>
          </cell>
          <cell r="E169" t="str">
            <v>BHARAT CO-OP BANK</v>
          </cell>
          <cell r="F169" t="str">
            <v>ADEBT</v>
          </cell>
          <cell r="G169">
            <v>5200</v>
          </cell>
          <cell r="K169">
            <v>5200</v>
          </cell>
        </row>
        <row r="170">
          <cell r="C170">
            <v>90000084</v>
          </cell>
          <cell r="D170" t="str">
            <v>GL1028</v>
          </cell>
          <cell r="E170" t="str">
            <v>JP MORGAN SECURITIES</v>
          </cell>
          <cell r="F170" t="str">
            <v>ADEBT</v>
          </cell>
          <cell r="G170">
            <v>4000</v>
          </cell>
          <cell r="K170">
            <v>4000</v>
          </cell>
        </row>
        <row r="171">
          <cell r="C171">
            <v>90000056</v>
          </cell>
          <cell r="D171" t="str">
            <v>GL1028</v>
          </cell>
          <cell r="E171" t="str">
            <v>BANK OF AMERICA LTD</v>
          </cell>
          <cell r="F171" t="str">
            <v>ADEBT</v>
          </cell>
          <cell r="G171">
            <v>2000</v>
          </cell>
          <cell r="K171">
            <v>2000</v>
          </cell>
        </row>
        <row r="172">
          <cell r="C172">
            <v>90000053</v>
          </cell>
          <cell r="D172" t="str">
            <v>GL1028</v>
          </cell>
          <cell r="E172" t="str">
            <v>MARGIN MONEY RECIVED FROM CUSTOMER</v>
          </cell>
          <cell r="F172" t="str">
            <v>ADEBT</v>
          </cell>
          <cell r="G172">
            <v>0</v>
          </cell>
          <cell r="K172">
            <v>0</v>
          </cell>
        </row>
        <row r="173">
          <cell r="C173">
            <v>90000054</v>
          </cell>
          <cell r="D173" t="str">
            <v>GL1028</v>
          </cell>
          <cell r="E173" t="str">
            <v>LOAN CLIENT ACCOUNT (TF)</v>
          </cell>
          <cell r="F173" t="str">
            <v>ADEBT</v>
          </cell>
          <cell r="G173">
            <v>0</v>
          </cell>
          <cell r="K173">
            <v>0</v>
          </cell>
        </row>
        <row r="174">
          <cell r="C174">
            <v>90000516</v>
          </cell>
          <cell r="E174" t="str">
            <v>CNSE(SLBP)</v>
          </cell>
          <cell r="F174" t="str">
            <v>ADEBT</v>
          </cell>
          <cell r="G174">
            <v>0</v>
          </cell>
          <cell r="K174">
            <v>0</v>
          </cell>
        </row>
        <row r="175">
          <cell r="C175">
            <v>13113799</v>
          </cell>
          <cell r="D175" t="str">
            <v>GADVC</v>
          </cell>
          <cell r="E175" t="str">
            <v>Advance  from Customers</v>
          </cell>
          <cell r="F175" t="str">
            <v>ADEBT</v>
          </cell>
          <cell r="G175">
            <v>0</v>
          </cell>
          <cell r="K175">
            <v>0</v>
          </cell>
        </row>
        <row r="176">
          <cell r="C176">
            <v>90000544</v>
          </cell>
          <cell r="E176" t="str">
            <v>Sundry Debtors A/C - Customers Distribution</v>
          </cell>
          <cell r="F176" t="str">
            <v>ADEBT</v>
          </cell>
          <cell r="G176">
            <v>0</v>
          </cell>
          <cell r="K176">
            <v>0</v>
          </cell>
        </row>
        <row r="177">
          <cell r="C177">
            <v>14890013</v>
          </cell>
          <cell r="D177" t="str">
            <v>GL01018</v>
          </cell>
          <cell r="E177" t="str">
            <v>Provision For Doubtful Debts</v>
          </cell>
          <cell r="F177" t="str">
            <v>ADEBT</v>
          </cell>
          <cell r="G177">
            <v>-103495607.02</v>
          </cell>
          <cell r="K177">
            <v>-103495607.02</v>
          </cell>
        </row>
        <row r="179">
          <cell r="E179" t="str">
            <v>CURRENT ASSETS- DEBTORS - MUTUAL FUND</v>
          </cell>
        </row>
        <row r="181">
          <cell r="C181">
            <v>90000198</v>
          </cell>
          <cell r="D181" t="str">
            <v>GMFBR</v>
          </cell>
          <cell r="E181" t="str">
            <v>SBI MUTUAL FUND (MF)</v>
          </cell>
          <cell r="F181" t="str">
            <v>ADEBT</v>
          </cell>
          <cell r="G181">
            <v>11946.82</v>
          </cell>
          <cell r="K181">
            <v>11946.82</v>
          </cell>
        </row>
        <row r="182">
          <cell r="C182">
            <v>90000194</v>
          </cell>
          <cell r="D182" t="str">
            <v>GMFBR</v>
          </cell>
          <cell r="E182" t="str">
            <v>HDFC MUTUAL FUND (MF)</v>
          </cell>
          <cell r="F182" t="str">
            <v>ADEBT</v>
          </cell>
          <cell r="G182">
            <v>9218.4500000000007</v>
          </cell>
          <cell r="K182">
            <v>9218.4500000000007</v>
          </cell>
        </row>
        <row r="183">
          <cell r="C183">
            <v>90000196</v>
          </cell>
          <cell r="D183" t="str">
            <v>GMFBR</v>
          </cell>
          <cell r="E183" t="str">
            <v>PRUDENTIAL ICICI MUTUAL FUND</v>
          </cell>
          <cell r="F183" t="str">
            <v>ADEBT</v>
          </cell>
          <cell r="G183">
            <v>0</v>
          </cell>
          <cell r="K183">
            <v>0</v>
          </cell>
        </row>
        <row r="184">
          <cell r="C184">
            <v>90000197</v>
          </cell>
          <cell r="D184" t="str">
            <v>GMFBR</v>
          </cell>
          <cell r="E184" t="str">
            <v>RELIANCE MUTUAL FUND</v>
          </cell>
          <cell r="F184" t="str">
            <v>ADEBT</v>
          </cell>
          <cell r="G184">
            <v>0</v>
          </cell>
          <cell r="K184">
            <v>0</v>
          </cell>
        </row>
        <row r="185">
          <cell r="C185">
            <v>90000318</v>
          </cell>
          <cell r="D185" t="str">
            <v>GMFBR</v>
          </cell>
          <cell r="E185" t="str">
            <v>KOTAK MUTUALFUND</v>
          </cell>
          <cell r="F185" t="str">
            <v>ADEBT</v>
          </cell>
          <cell r="G185">
            <v>0</v>
          </cell>
          <cell r="K185">
            <v>0</v>
          </cell>
        </row>
        <row r="186">
          <cell r="C186">
            <v>90000403</v>
          </cell>
          <cell r="D186" t="str">
            <v>GMFBR</v>
          </cell>
          <cell r="E186" t="str">
            <v>UTI MUTUAL FUND</v>
          </cell>
          <cell r="F186" t="str">
            <v>ADEBT</v>
          </cell>
          <cell r="G186">
            <v>0</v>
          </cell>
          <cell r="K186">
            <v>0</v>
          </cell>
        </row>
        <row r="187">
          <cell r="C187">
            <v>90000492</v>
          </cell>
          <cell r="E187" t="str">
            <v>BENCHMARK MUTUAL FUND</v>
          </cell>
          <cell r="F187" t="str">
            <v>ADEBT</v>
          </cell>
          <cell r="G187">
            <v>0</v>
          </cell>
          <cell r="K187">
            <v>0</v>
          </cell>
        </row>
        <row r="188">
          <cell r="C188">
            <v>90000501</v>
          </cell>
          <cell r="E188" t="str">
            <v>JM MUTUAL FUND</v>
          </cell>
          <cell r="F188" t="str">
            <v>ADEBT</v>
          </cell>
          <cell r="G188">
            <v>0</v>
          </cell>
          <cell r="K188">
            <v>0</v>
          </cell>
        </row>
        <row r="189">
          <cell r="C189">
            <v>90000502</v>
          </cell>
          <cell r="E189" t="str">
            <v>MIRAE ASSET MUTUAL FUND</v>
          </cell>
          <cell r="F189" t="str">
            <v>ADEBT</v>
          </cell>
          <cell r="G189">
            <v>0</v>
          </cell>
          <cell r="K189">
            <v>0</v>
          </cell>
        </row>
        <row r="190">
          <cell r="C190">
            <v>90000503</v>
          </cell>
          <cell r="E190" t="str">
            <v>PRINCIPAL MUTUAL FUND</v>
          </cell>
          <cell r="F190" t="str">
            <v>ADEBT</v>
          </cell>
          <cell r="G190">
            <v>0</v>
          </cell>
          <cell r="K190">
            <v>0</v>
          </cell>
        </row>
        <row r="191">
          <cell r="C191">
            <v>90000510</v>
          </cell>
          <cell r="E191" t="str">
            <v>LIC MUTUAL FUND</v>
          </cell>
          <cell r="F191" t="str">
            <v>ADEBT</v>
          </cell>
          <cell r="G191">
            <v>0</v>
          </cell>
          <cell r="K191">
            <v>0</v>
          </cell>
        </row>
        <row r="192">
          <cell r="C192">
            <v>90000512</v>
          </cell>
          <cell r="E192" t="str">
            <v>HSBC MUTUAL FUND</v>
          </cell>
          <cell r="F192" t="str">
            <v>ADEBT</v>
          </cell>
          <cell r="G192">
            <v>0</v>
          </cell>
          <cell r="K192">
            <v>0</v>
          </cell>
        </row>
        <row r="193">
          <cell r="C193">
            <v>90000515</v>
          </cell>
          <cell r="E193" t="str">
            <v>DEUTSCHE MUTUAL FUND</v>
          </cell>
          <cell r="F193" t="str">
            <v>ADEBT</v>
          </cell>
          <cell r="G193">
            <v>0</v>
          </cell>
          <cell r="K193">
            <v>0</v>
          </cell>
        </row>
        <row r="194">
          <cell r="C194">
            <v>90000520</v>
          </cell>
          <cell r="E194" t="str">
            <v>CANARA ROBECO MUTUAL FUND</v>
          </cell>
          <cell r="F194" t="str">
            <v>ADEBT</v>
          </cell>
          <cell r="G194">
            <v>0</v>
          </cell>
          <cell r="K194">
            <v>0</v>
          </cell>
        </row>
        <row r="195">
          <cell r="C195">
            <v>90000528</v>
          </cell>
          <cell r="E195" t="str">
            <v>DSP BLACK ROCK MUTUAL FUND</v>
          </cell>
          <cell r="F195" t="str">
            <v>ADEBT</v>
          </cell>
          <cell r="G195">
            <v>0</v>
          </cell>
          <cell r="K195">
            <v>0</v>
          </cell>
        </row>
        <row r="196">
          <cell r="C196">
            <v>90000532</v>
          </cell>
          <cell r="E196" t="str">
            <v>IDFC MUTUAL FUND</v>
          </cell>
          <cell r="F196" t="str">
            <v>ADEBT</v>
          </cell>
          <cell r="G196">
            <v>0</v>
          </cell>
          <cell r="K196">
            <v>0</v>
          </cell>
        </row>
        <row r="197">
          <cell r="C197">
            <v>90000533</v>
          </cell>
          <cell r="E197" t="str">
            <v>MORGAN STANLEY MUTUAL FUND</v>
          </cell>
          <cell r="F197" t="str">
            <v>ADEBT</v>
          </cell>
          <cell r="G197">
            <v>0</v>
          </cell>
          <cell r="K197">
            <v>0</v>
          </cell>
        </row>
        <row r="198">
          <cell r="C198">
            <v>90000546</v>
          </cell>
          <cell r="E198" t="str">
            <v>FORTIS MUTUAL FUND</v>
          </cell>
          <cell r="F198" t="str">
            <v>ADEBT</v>
          </cell>
          <cell r="G198">
            <v>0</v>
          </cell>
          <cell r="K198">
            <v>0</v>
          </cell>
        </row>
        <row r="199">
          <cell r="C199">
            <v>90000547</v>
          </cell>
          <cell r="E199" t="str">
            <v>ABN AMRO MUTUAL FUND</v>
          </cell>
          <cell r="F199" t="str">
            <v>ADEBT</v>
          </cell>
          <cell r="G199">
            <v>0</v>
          </cell>
          <cell r="K199">
            <v>0</v>
          </cell>
        </row>
        <row r="200">
          <cell r="C200">
            <v>90000548</v>
          </cell>
          <cell r="E200" t="str">
            <v>RELIGARE MUTUAL FUND</v>
          </cell>
          <cell r="F200" t="str">
            <v>ADEBT</v>
          </cell>
          <cell r="G200">
            <v>0</v>
          </cell>
          <cell r="K200">
            <v>0</v>
          </cell>
        </row>
        <row r="201">
          <cell r="C201">
            <v>90000193</v>
          </cell>
          <cell r="D201" t="str">
            <v>GMFBR</v>
          </cell>
          <cell r="E201" t="str">
            <v>DSP MERRILL LYNCH(MF)</v>
          </cell>
          <cell r="F201" t="str">
            <v>ADEBT</v>
          </cell>
          <cell r="G201">
            <v>0</v>
          </cell>
          <cell r="K201">
            <v>0</v>
          </cell>
        </row>
        <row r="202">
          <cell r="C202">
            <v>90000195</v>
          </cell>
          <cell r="D202" t="str">
            <v>GMFBR</v>
          </cell>
          <cell r="E202" t="str">
            <v>ING VYSA (MF)</v>
          </cell>
          <cell r="F202" t="str">
            <v>ADEBT</v>
          </cell>
          <cell r="G202">
            <v>0</v>
          </cell>
          <cell r="K202">
            <v>0</v>
          </cell>
        </row>
        <row r="203">
          <cell r="C203">
            <v>90000199</v>
          </cell>
          <cell r="D203" t="str">
            <v>GMFBR</v>
          </cell>
          <cell r="E203" t="str">
            <v>SUNDARAM ASSET MANAGEMENT COMPANY(MF)</v>
          </cell>
          <cell r="F203" t="str">
            <v>ADEBT</v>
          </cell>
          <cell r="G203">
            <v>0</v>
          </cell>
          <cell r="K203">
            <v>0</v>
          </cell>
        </row>
        <row r="204">
          <cell r="C204">
            <v>90000310</v>
          </cell>
          <cell r="D204" t="str">
            <v>GMFBR</v>
          </cell>
          <cell r="E204" t="str">
            <v>BIRLA SUN LIFE (MF)</v>
          </cell>
          <cell r="F204" t="str">
            <v>ADEBT</v>
          </cell>
          <cell r="G204">
            <v>0</v>
          </cell>
          <cell r="K204">
            <v>0</v>
          </cell>
        </row>
        <row r="205">
          <cell r="C205">
            <v>90000481</v>
          </cell>
          <cell r="E205" t="str">
            <v>Standard Chartered bank (MF)</v>
          </cell>
          <cell r="F205" t="str">
            <v>ADEBT</v>
          </cell>
          <cell r="G205">
            <v>0</v>
          </cell>
          <cell r="K205">
            <v>0</v>
          </cell>
        </row>
        <row r="206">
          <cell r="C206">
            <v>90000489</v>
          </cell>
          <cell r="E206" t="str">
            <v>FRANKLIN TEMPLETION INVESTMENT(mf)</v>
          </cell>
          <cell r="F206" t="str">
            <v>ADEBT</v>
          </cell>
          <cell r="G206">
            <v>0</v>
          </cell>
          <cell r="K206">
            <v>0</v>
          </cell>
        </row>
        <row r="208">
          <cell r="E208" t="str">
            <v>CURRENT ASSETS- DEBTORS - WDM</v>
          </cell>
        </row>
        <row r="209">
          <cell r="C209">
            <v>90000094</v>
          </cell>
          <cell r="D209" t="str">
            <v>GL1028</v>
          </cell>
          <cell r="E209" t="str">
            <v>RELIANCE CAPITAL MUTUAL FUND(WDM)</v>
          </cell>
          <cell r="F209" t="str">
            <v>ADEBT</v>
          </cell>
          <cell r="G209">
            <v>64025</v>
          </cell>
          <cell r="K209">
            <v>64025</v>
          </cell>
        </row>
        <row r="210">
          <cell r="C210">
            <v>90000114</v>
          </cell>
          <cell r="D210" t="str">
            <v>GL1028</v>
          </cell>
          <cell r="E210" t="str">
            <v>WDM BROKERAGE RECEIVEABLE</v>
          </cell>
          <cell r="F210" t="str">
            <v>ADEBT</v>
          </cell>
          <cell r="G210">
            <v>44154.27</v>
          </cell>
          <cell r="K210">
            <v>44154.27</v>
          </cell>
        </row>
        <row r="211">
          <cell r="C211">
            <v>90000060</v>
          </cell>
          <cell r="D211" t="str">
            <v>GL1028</v>
          </cell>
          <cell r="E211" t="str">
            <v>BANK OF INDIA (WDM)</v>
          </cell>
          <cell r="F211" t="str">
            <v>ADEBT</v>
          </cell>
          <cell r="G211">
            <v>58450</v>
          </cell>
          <cell r="K211">
            <v>58450</v>
          </cell>
        </row>
        <row r="212">
          <cell r="C212">
            <v>90000057</v>
          </cell>
          <cell r="D212" t="str">
            <v>GL1028</v>
          </cell>
          <cell r="E212" t="str">
            <v>BANK OF AMERICA SECURITIES(WDM)</v>
          </cell>
          <cell r="F212" t="str">
            <v>ADEBT</v>
          </cell>
          <cell r="G212">
            <v>22000</v>
          </cell>
          <cell r="K212">
            <v>22000</v>
          </cell>
        </row>
        <row r="213">
          <cell r="C213">
            <v>90000078</v>
          </cell>
          <cell r="D213" t="str">
            <v>GL1028</v>
          </cell>
          <cell r="E213" t="str">
            <v>INDIAN BANK (WDM)</v>
          </cell>
          <cell r="F213" t="str">
            <v>ADEBT</v>
          </cell>
          <cell r="G213">
            <v>14000</v>
          </cell>
          <cell r="K213">
            <v>14000</v>
          </cell>
        </row>
        <row r="214">
          <cell r="C214">
            <v>90000059</v>
          </cell>
          <cell r="D214" t="str">
            <v>GL1028</v>
          </cell>
          <cell r="E214" t="str">
            <v>BANK OF BARODA(WDM)</v>
          </cell>
          <cell r="F214" t="str">
            <v>ADEBT</v>
          </cell>
          <cell r="G214">
            <v>10750</v>
          </cell>
          <cell r="K214">
            <v>10750</v>
          </cell>
        </row>
        <row r="215">
          <cell r="C215">
            <v>90000077</v>
          </cell>
          <cell r="D215" t="str">
            <v>GL1028</v>
          </cell>
          <cell r="E215" t="str">
            <v>IDBI CAPITAL MARKET (WDM)</v>
          </cell>
          <cell r="F215" t="str">
            <v>ADEBT</v>
          </cell>
          <cell r="G215">
            <v>9000</v>
          </cell>
          <cell r="K215">
            <v>9000</v>
          </cell>
        </row>
        <row r="216">
          <cell r="C216">
            <v>90000076</v>
          </cell>
          <cell r="D216" t="str">
            <v>GL1028</v>
          </cell>
          <cell r="E216" t="str">
            <v>IDBI BANK LIMITED (WDM)</v>
          </cell>
          <cell r="F216" t="str">
            <v>ADEBT</v>
          </cell>
          <cell r="G216">
            <v>1500</v>
          </cell>
          <cell r="K216">
            <v>1500</v>
          </cell>
        </row>
        <row r="217">
          <cell r="C217">
            <v>90000090</v>
          </cell>
          <cell r="D217" t="str">
            <v>GL1028</v>
          </cell>
          <cell r="E217" t="str">
            <v>NAVJIVAN NAGRIK SAHKARI BANK(WDM)</v>
          </cell>
          <cell r="F217" t="str">
            <v>ADEBT</v>
          </cell>
          <cell r="G217">
            <v>5500</v>
          </cell>
          <cell r="K217">
            <v>5500</v>
          </cell>
        </row>
        <row r="218">
          <cell r="C218">
            <v>90000075</v>
          </cell>
          <cell r="D218" t="str">
            <v>GL1028</v>
          </cell>
          <cell r="E218" t="str">
            <v>ICICI SECURITIES &amp; FINANCE(WDM)</v>
          </cell>
          <cell r="F218" t="str">
            <v>ADEBT</v>
          </cell>
          <cell r="G218">
            <v>4500</v>
          </cell>
          <cell r="K218">
            <v>4500</v>
          </cell>
        </row>
        <row r="219">
          <cell r="C219">
            <v>90000095</v>
          </cell>
          <cell r="D219" t="str">
            <v>GL1028</v>
          </cell>
          <cell r="E219" t="str">
            <v>RELIANCE CAPITAL TRUSTEE CO.(WDM)</v>
          </cell>
          <cell r="F219" t="str">
            <v>ADEBT</v>
          </cell>
          <cell r="G219">
            <v>4500</v>
          </cell>
          <cell r="K219">
            <v>4500</v>
          </cell>
        </row>
        <row r="220">
          <cell r="C220">
            <v>90000480</v>
          </cell>
          <cell r="D220" t="str">
            <v>GL1028</v>
          </cell>
          <cell r="E220" t="str">
            <v>Bank of Rajasthan (wdm)</v>
          </cell>
          <cell r="F220" t="str">
            <v>ADEBT</v>
          </cell>
          <cell r="G220">
            <v>2500</v>
          </cell>
          <cell r="K220">
            <v>2500</v>
          </cell>
        </row>
        <row r="221">
          <cell r="C221">
            <v>90000067</v>
          </cell>
          <cell r="D221" t="str">
            <v>GL1028</v>
          </cell>
          <cell r="E221" t="str">
            <v>CANBANK MUTUAL FUND (WDM)</v>
          </cell>
          <cell r="F221" t="str">
            <v>ADEBT</v>
          </cell>
          <cell r="G221">
            <v>3500</v>
          </cell>
          <cell r="K221">
            <v>3500</v>
          </cell>
        </row>
        <row r="222">
          <cell r="C222">
            <v>90000113</v>
          </cell>
          <cell r="D222" t="str">
            <v>GL1028</v>
          </cell>
          <cell r="E222" t="str">
            <v>VIJAYA BANK (WDM)</v>
          </cell>
          <cell r="F222" t="str">
            <v>ADEBT</v>
          </cell>
          <cell r="G222">
            <v>500</v>
          </cell>
          <cell r="K222">
            <v>500</v>
          </cell>
        </row>
        <row r="223">
          <cell r="C223">
            <v>90000097</v>
          </cell>
          <cell r="D223" t="str">
            <v>GL1028</v>
          </cell>
          <cell r="E223" t="str">
            <v>SANGLI BANK (WDM)</v>
          </cell>
          <cell r="F223" t="str">
            <v>ADEBT</v>
          </cell>
          <cell r="G223">
            <v>3500</v>
          </cell>
          <cell r="K223">
            <v>3500</v>
          </cell>
        </row>
        <row r="224">
          <cell r="C224">
            <v>90000081</v>
          </cell>
          <cell r="D224" t="str">
            <v>GL1028</v>
          </cell>
          <cell r="E224" t="str">
            <v>JANKALYAN SAHKARI BANK (WDM)</v>
          </cell>
          <cell r="F224" t="str">
            <v>ADEBT</v>
          </cell>
          <cell r="G224">
            <v>3000</v>
          </cell>
          <cell r="K224">
            <v>3000</v>
          </cell>
        </row>
        <row r="225">
          <cell r="C225">
            <v>90000093</v>
          </cell>
          <cell r="D225" t="str">
            <v>GL1028</v>
          </cell>
          <cell r="E225" t="str">
            <v>PUNJAB NATIONAL BANK( WDM)</v>
          </cell>
          <cell r="F225" t="str">
            <v>ADEBT</v>
          </cell>
          <cell r="G225">
            <v>3000</v>
          </cell>
          <cell r="K225">
            <v>3000</v>
          </cell>
        </row>
        <row r="226">
          <cell r="C226">
            <v>90000055</v>
          </cell>
          <cell r="D226" t="str">
            <v>GL1028</v>
          </cell>
          <cell r="E226" t="str">
            <v>BAJAJ AUTO LIMITED(WDM)</v>
          </cell>
          <cell r="F226" t="str">
            <v>ADEBT</v>
          </cell>
          <cell r="G226">
            <v>2500</v>
          </cell>
          <cell r="K226">
            <v>2500</v>
          </cell>
        </row>
        <row r="227">
          <cell r="C227">
            <v>90000098</v>
          </cell>
          <cell r="D227" t="str">
            <v>GL1028</v>
          </cell>
          <cell r="E227" t="str">
            <v>SBI DFHI LTD. (WDM)</v>
          </cell>
          <cell r="F227" t="str">
            <v>ADEBT</v>
          </cell>
          <cell r="G227">
            <v>2250</v>
          </cell>
          <cell r="K227">
            <v>2250</v>
          </cell>
        </row>
        <row r="228">
          <cell r="C228">
            <v>90000070</v>
          </cell>
          <cell r="D228" t="str">
            <v>GL1028</v>
          </cell>
          <cell r="E228" t="str">
            <v>DENA BANK (WDM)</v>
          </cell>
          <cell r="F228" t="str">
            <v>ADEBT</v>
          </cell>
          <cell r="G228">
            <v>2000</v>
          </cell>
          <cell r="K228">
            <v>2000</v>
          </cell>
        </row>
        <row r="229">
          <cell r="C229">
            <v>90000071</v>
          </cell>
          <cell r="D229" t="str">
            <v>GL1028</v>
          </cell>
          <cell r="E229" t="str">
            <v>DHANLAKSHMI BANK (WDM)</v>
          </cell>
          <cell r="F229" t="str">
            <v>ADEBT</v>
          </cell>
          <cell r="G229">
            <v>1750</v>
          </cell>
          <cell r="K229">
            <v>1750</v>
          </cell>
        </row>
        <row r="230">
          <cell r="C230">
            <v>90000086</v>
          </cell>
          <cell r="D230" t="str">
            <v>GL1028</v>
          </cell>
          <cell r="E230" t="str">
            <v>MARATHWADA GRAMIN BANK</v>
          </cell>
          <cell r="F230" t="str">
            <v>ADEBT</v>
          </cell>
          <cell r="G230">
            <v>1750</v>
          </cell>
          <cell r="K230">
            <v>1750</v>
          </cell>
        </row>
        <row r="231">
          <cell r="C231">
            <v>90000101</v>
          </cell>
          <cell r="D231" t="str">
            <v>GL1028</v>
          </cell>
          <cell r="E231" t="str">
            <v>SOPANKAKA SAHKARI BANK (WDM)</v>
          </cell>
          <cell r="F231" t="str">
            <v>ADEBT</v>
          </cell>
          <cell r="G231">
            <v>1500</v>
          </cell>
          <cell r="K231">
            <v>1500</v>
          </cell>
        </row>
        <row r="232">
          <cell r="C232">
            <v>90000311</v>
          </cell>
          <cell r="D232" t="str">
            <v>GL1028</v>
          </cell>
          <cell r="E232" t="str">
            <v>CATHOLIC SYRIAN BANK (WDM)</v>
          </cell>
          <cell r="F232" t="str">
            <v>ADEBT</v>
          </cell>
          <cell r="G232">
            <v>1500</v>
          </cell>
          <cell r="K232">
            <v>1500</v>
          </cell>
        </row>
        <row r="233">
          <cell r="C233">
            <v>90000428</v>
          </cell>
          <cell r="D233" t="str">
            <v>GL1028</v>
          </cell>
          <cell r="E233" t="str">
            <v>Gonlia Gramin Bank (WDM)</v>
          </cell>
          <cell r="F233" t="str">
            <v>ADEBT</v>
          </cell>
          <cell r="G233">
            <v>1500</v>
          </cell>
          <cell r="K233">
            <v>1500</v>
          </cell>
        </row>
        <row r="234">
          <cell r="C234">
            <v>90000110</v>
          </cell>
          <cell r="D234" t="str">
            <v>GL1028</v>
          </cell>
          <cell r="E234" t="str">
            <v>TRIPURA GRAMIN BANK</v>
          </cell>
          <cell r="F234" t="str">
            <v>ADEBT</v>
          </cell>
          <cell r="G234">
            <v>1500</v>
          </cell>
          <cell r="K234">
            <v>1500</v>
          </cell>
        </row>
        <row r="235">
          <cell r="C235">
            <v>90000068</v>
          </cell>
          <cell r="D235" t="str">
            <v>GL1028</v>
          </cell>
          <cell r="E235" t="str">
            <v>CHIKALI URBAN CO-OP BANK(WDM)</v>
          </cell>
          <cell r="F235" t="str">
            <v>ADEBT</v>
          </cell>
          <cell r="G235">
            <v>1000</v>
          </cell>
          <cell r="K235">
            <v>1000</v>
          </cell>
        </row>
        <row r="236">
          <cell r="C236">
            <v>90000069</v>
          </cell>
          <cell r="D236" t="str">
            <v>GL1028</v>
          </cell>
          <cell r="E236" t="str">
            <v>DAPOLI URBAN CO-OP BANK(WDM)</v>
          </cell>
          <cell r="F236" t="str">
            <v>ADEBT</v>
          </cell>
          <cell r="G236">
            <v>1000</v>
          </cell>
          <cell r="K236">
            <v>1000</v>
          </cell>
        </row>
        <row r="237">
          <cell r="C237">
            <v>90000087</v>
          </cell>
          <cell r="D237" t="str">
            <v>GL1028</v>
          </cell>
          <cell r="E237" t="str">
            <v>MAYANI URBANI CO-OP BANK(WDM)</v>
          </cell>
          <cell r="F237" t="str">
            <v>ADEBT</v>
          </cell>
          <cell r="G237">
            <v>1000</v>
          </cell>
          <cell r="K237">
            <v>1000</v>
          </cell>
        </row>
        <row r="238">
          <cell r="C238">
            <v>90000089</v>
          </cell>
          <cell r="D238" t="str">
            <v>GL1028</v>
          </cell>
          <cell r="E238" t="str">
            <v>NANDURBAR MERCHENTS CO-OPERATIVE BANK(WDM)</v>
          </cell>
          <cell r="F238" t="str">
            <v>ADEBT</v>
          </cell>
          <cell r="G238">
            <v>1000</v>
          </cell>
          <cell r="K238">
            <v>1000</v>
          </cell>
        </row>
        <row r="239">
          <cell r="C239">
            <v>90000103</v>
          </cell>
          <cell r="D239" t="str">
            <v>GL1028</v>
          </cell>
          <cell r="E239" t="str">
            <v>STATE BANK OF BIKANER &amp; JAIPUR(WDM)</v>
          </cell>
          <cell r="F239" t="str">
            <v>ADEBT</v>
          </cell>
          <cell r="G239">
            <v>1000</v>
          </cell>
          <cell r="K239">
            <v>1000</v>
          </cell>
        </row>
        <row r="240">
          <cell r="C240">
            <v>90000073</v>
          </cell>
          <cell r="D240" t="str">
            <v>GL1028</v>
          </cell>
          <cell r="E240" t="str">
            <v>HINDU NAGARIK SAHAKARI BANK(WDM)</v>
          </cell>
          <cell r="F240" t="str">
            <v>ADEBT</v>
          </cell>
          <cell r="G240">
            <v>500</v>
          </cell>
          <cell r="K240">
            <v>500</v>
          </cell>
        </row>
        <row r="241">
          <cell r="C241">
            <v>90000080</v>
          </cell>
          <cell r="D241" t="str">
            <v>GL1028</v>
          </cell>
          <cell r="E241" t="str">
            <v>JAISINGPUR UDGAON URBAN CO-OP BANK(WDM)</v>
          </cell>
          <cell r="F241" t="str">
            <v>ADEBT</v>
          </cell>
          <cell r="G241">
            <v>500</v>
          </cell>
          <cell r="K241">
            <v>500</v>
          </cell>
        </row>
        <row r="242">
          <cell r="C242">
            <v>90000096</v>
          </cell>
          <cell r="D242" t="str">
            <v>GL1028</v>
          </cell>
          <cell r="E242" t="str">
            <v>SADHANA SAH BANK (WDM)</v>
          </cell>
          <cell r="F242" t="str">
            <v>ADEBT</v>
          </cell>
          <cell r="G242">
            <v>500</v>
          </cell>
          <cell r="K242">
            <v>500</v>
          </cell>
        </row>
        <row r="243">
          <cell r="C243">
            <v>90000105</v>
          </cell>
          <cell r="D243" t="str">
            <v>GL1028</v>
          </cell>
          <cell r="E243" t="str">
            <v>STATE BANK OF PATIALA (WDM)</v>
          </cell>
          <cell r="F243" t="str">
            <v>ADEBT</v>
          </cell>
          <cell r="G243">
            <v>500</v>
          </cell>
          <cell r="K243">
            <v>500</v>
          </cell>
        </row>
        <row r="244">
          <cell r="C244">
            <v>90000312</v>
          </cell>
          <cell r="D244" t="str">
            <v>GL1028</v>
          </cell>
          <cell r="E244" t="str">
            <v>CITIZEN CREDIT CO-OP BANK (WDM)</v>
          </cell>
          <cell r="F244" t="str">
            <v>ADEBT</v>
          </cell>
          <cell r="G244">
            <v>500</v>
          </cell>
          <cell r="K244">
            <v>500</v>
          </cell>
        </row>
        <row r="245">
          <cell r="C245">
            <v>90000079</v>
          </cell>
          <cell r="D245" t="str">
            <v>GL1028</v>
          </cell>
          <cell r="E245" t="str">
            <v>JAIBHAWANI SAHAKARI BANK(WDM)</v>
          </cell>
          <cell r="F245" t="str">
            <v>ADEBT</v>
          </cell>
          <cell r="G245">
            <v>250</v>
          </cell>
          <cell r="K245">
            <v>250</v>
          </cell>
        </row>
        <row r="246">
          <cell r="C246">
            <v>90000083</v>
          </cell>
          <cell r="D246" t="str">
            <v>GL1028</v>
          </cell>
          <cell r="E246" t="str">
            <v>JAWAHAR SAHAKARI BANK(WDM)</v>
          </cell>
          <cell r="F246" t="str">
            <v>ADEBT</v>
          </cell>
          <cell r="G246">
            <v>250</v>
          </cell>
          <cell r="K246">
            <v>250</v>
          </cell>
        </row>
        <row r="247">
          <cell r="C247">
            <v>90000085</v>
          </cell>
          <cell r="D247" t="str">
            <v>GL1028</v>
          </cell>
          <cell r="E247" t="str">
            <v>KAPOL CO-OP BANK (WDM)</v>
          </cell>
          <cell r="F247" t="str">
            <v>ADEBT</v>
          </cell>
          <cell r="G247">
            <v>250</v>
          </cell>
          <cell r="K247">
            <v>250</v>
          </cell>
        </row>
        <row r="248">
          <cell r="C248">
            <v>90000091</v>
          </cell>
          <cell r="D248" t="str">
            <v>GL1028</v>
          </cell>
          <cell r="E248" t="str">
            <v>NORTH CANARA GSB BANK(WDM)</v>
          </cell>
          <cell r="F248" t="str">
            <v>ADEBT</v>
          </cell>
          <cell r="G248">
            <v>250</v>
          </cell>
          <cell r="K248">
            <v>250</v>
          </cell>
        </row>
        <row r="249">
          <cell r="C249">
            <v>90000201</v>
          </cell>
          <cell r="D249" t="str">
            <v>GL1028</v>
          </cell>
          <cell r="E249" t="str">
            <v>ASTHA PEOPLES CO-OP BANK (WDM)</v>
          </cell>
          <cell r="F249" t="str">
            <v>ADEBT</v>
          </cell>
          <cell r="G249">
            <v>250</v>
          </cell>
          <cell r="K249">
            <v>250</v>
          </cell>
        </row>
        <row r="250">
          <cell r="C250">
            <v>90000100</v>
          </cell>
          <cell r="D250" t="str">
            <v>GL1028</v>
          </cell>
          <cell r="E250" t="str">
            <v>SHAMRAO VITHAL CO-OP BAN</v>
          </cell>
          <cell r="F250" t="str">
            <v>ADEBT</v>
          </cell>
          <cell r="G250">
            <v>50</v>
          </cell>
          <cell r="K250">
            <v>50</v>
          </cell>
        </row>
        <row r="251">
          <cell r="C251">
            <v>90000065</v>
          </cell>
          <cell r="D251" t="str">
            <v>GL1028</v>
          </cell>
          <cell r="E251" t="str">
            <v>CANARA BANK MUTUAL FUND(WDM)</v>
          </cell>
          <cell r="F251" t="str">
            <v>ADEBT</v>
          </cell>
          <cell r="G251">
            <v>0</v>
          </cell>
          <cell r="K251">
            <v>0</v>
          </cell>
        </row>
        <row r="252">
          <cell r="C252">
            <v>90000061</v>
          </cell>
          <cell r="D252" t="str">
            <v>GL1028</v>
          </cell>
          <cell r="E252" t="str">
            <v>BANK OF MAHARASHTRA (WDM)</v>
          </cell>
          <cell r="F252" t="str">
            <v>ADEBT</v>
          </cell>
          <cell r="G252">
            <v>0</v>
          </cell>
          <cell r="K252">
            <v>0</v>
          </cell>
        </row>
        <row r="253">
          <cell r="C253">
            <v>90000102</v>
          </cell>
          <cell r="D253" t="str">
            <v>GL1028</v>
          </cell>
          <cell r="E253" t="str">
            <v>SOUTH INDIAN BANK (WDM)</v>
          </cell>
          <cell r="F253" t="str">
            <v>ADEBT</v>
          </cell>
          <cell r="G253">
            <v>0</v>
          </cell>
          <cell r="K253">
            <v>0</v>
          </cell>
        </row>
        <row r="254">
          <cell r="C254">
            <v>90000108</v>
          </cell>
          <cell r="D254" t="str">
            <v>GL1028</v>
          </cell>
          <cell r="E254" t="str">
            <v>THANE BHARAT SAHKARI BANK(WDM)</v>
          </cell>
          <cell r="F254" t="str">
            <v>ADEBT</v>
          </cell>
          <cell r="G254">
            <v>0</v>
          </cell>
          <cell r="K254">
            <v>0</v>
          </cell>
        </row>
        <row r="255">
          <cell r="C255">
            <v>90000511</v>
          </cell>
          <cell r="D255" t="str">
            <v>GL1028</v>
          </cell>
          <cell r="E255" t="str">
            <v>Union Bank of India (WDM)</v>
          </cell>
          <cell r="F255" t="str">
            <v>ADEBT</v>
          </cell>
          <cell r="G255">
            <v>31500</v>
          </cell>
          <cell r="K255">
            <v>31500</v>
          </cell>
        </row>
        <row r="256">
          <cell r="C256">
            <v>90000107</v>
          </cell>
          <cell r="D256" t="str">
            <v>GL1028</v>
          </cell>
          <cell r="E256" t="str">
            <v>THANE BHARAT COOPERATIVE</v>
          </cell>
          <cell r="F256" t="str">
            <v>ADEBT</v>
          </cell>
          <cell r="G256">
            <v>0</v>
          </cell>
          <cell r="K256">
            <v>0</v>
          </cell>
        </row>
        <row r="259">
          <cell r="E259" t="str">
            <v>CURRENT ASSETS- CASH</v>
          </cell>
        </row>
        <row r="260">
          <cell r="C260">
            <v>24500001</v>
          </cell>
          <cell r="D260" t="str">
            <v>GI033</v>
          </cell>
          <cell r="E260" t="str">
            <v>Mumbai Petty Cash A/C</v>
          </cell>
          <cell r="F260" t="str">
            <v>ACASH</v>
          </cell>
          <cell r="G260">
            <v>7183</v>
          </cell>
          <cell r="K260">
            <v>7183</v>
          </cell>
        </row>
        <row r="261">
          <cell r="C261">
            <v>24500000</v>
          </cell>
          <cell r="D261" t="str">
            <v>GA001</v>
          </cell>
          <cell r="E261" t="str">
            <v>Cash in hand</v>
          </cell>
          <cell r="F261" t="str">
            <v>ACASH</v>
          </cell>
          <cell r="G261">
            <v>135676</v>
          </cell>
          <cell r="K261">
            <v>135676</v>
          </cell>
        </row>
        <row r="262">
          <cell r="C262">
            <v>23520468</v>
          </cell>
          <cell r="D262" t="str">
            <v>GI021</v>
          </cell>
          <cell r="E262" t="str">
            <v>YAMUNANAGAR PETTY CASH</v>
          </cell>
          <cell r="F262" t="str">
            <v>ACASH</v>
          </cell>
          <cell r="G262">
            <v>39</v>
          </cell>
          <cell r="K262">
            <v>39</v>
          </cell>
        </row>
        <row r="263">
          <cell r="C263">
            <v>23520367</v>
          </cell>
          <cell r="D263" t="str">
            <v>GI0255</v>
          </cell>
          <cell r="E263" t="str">
            <v>REWARI PETTY CASH A/C</v>
          </cell>
          <cell r="F263" t="str">
            <v>ACASH</v>
          </cell>
          <cell r="G263">
            <v>1182</v>
          </cell>
          <cell r="K263">
            <v>1182</v>
          </cell>
        </row>
        <row r="264">
          <cell r="C264">
            <v>23520024</v>
          </cell>
          <cell r="D264" t="str">
            <v>GI0232</v>
          </cell>
          <cell r="E264" t="str">
            <v>AMBALA CANTT PETTY CASH A/C</v>
          </cell>
          <cell r="F264" t="str">
            <v>ACASH</v>
          </cell>
          <cell r="G264">
            <v>965</v>
          </cell>
          <cell r="K264">
            <v>965</v>
          </cell>
        </row>
        <row r="265">
          <cell r="C265">
            <v>23520838</v>
          </cell>
          <cell r="E265" t="str">
            <v>COLABA PETTY CASH</v>
          </cell>
          <cell r="F265" t="str">
            <v>ACASH</v>
          </cell>
          <cell r="G265">
            <v>48410</v>
          </cell>
          <cell r="K265">
            <v>48410</v>
          </cell>
        </row>
        <row r="266">
          <cell r="C266">
            <v>23520327</v>
          </cell>
          <cell r="D266" t="str">
            <v>GI0337</v>
          </cell>
          <cell r="E266" t="str">
            <v>PATHANKOT ONLINE PETTY CASH A/C</v>
          </cell>
          <cell r="F266" t="str">
            <v>ACASH</v>
          </cell>
          <cell r="G266">
            <v>866</v>
          </cell>
          <cell r="K266">
            <v>866</v>
          </cell>
        </row>
        <row r="267">
          <cell r="C267">
            <v>23520114</v>
          </cell>
          <cell r="D267" t="str">
            <v>GI094</v>
          </cell>
          <cell r="E267" t="str">
            <v>DALHAUSIE PETTY CASH (CALCUTTA)</v>
          </cell>
          <cell r="F267" t="str">
            <v>ACASH</v>
          </cell>
          <cell r="G267">
            <v>2276</v>
          </cell>
          <cell r="K267">
            <v>2276</v>
          </cell>
        </row>
        <row r="268">
          <cell r="C268">
            <v>23520454</v>
          </cell>
          <cell r="D268" t="str">
            <v>GI069</v>
          </cell>
          <cell r="E268" t="str">
            <v>VIJAY WADA PETTY CASH</v>
          </cell>
          <cell r="F268" t="str">
            <v>ACASH</v>
          </cell>
          <cell r="G268">
            <v>1364</v>
          </cell>
          <cell r="K268">
            <v>1364</v>
          </cell>
        </row>
        <row r="269">
          <cell r="C269">
            <v>23520432</v>
          </cell>
          <cell r="D269" t="str">
            <v>GI0192</v>
          </cell>
          <cell r="E269" t="str">
            <v>TOLLYGUNJ PETTY CASH A/C</v>
          </cell>
          <cell r="F269" t="str">
            <v>ACASH</v>
          </cell>
          <cell r="G269">
            <v>70</v>
          </cell>
          <cell r="K269">
            <v>70</v>
          </cell>
        </row>
        <row r="270">
          <cell r="C270">
            <v>23520165</v>
          </cell>
          <cell r="D270" t="str">
            <v>GI0281</v>
          </cell>
          <cell r="E270" t="str">
            <v>GURGOAN SEC-15 OFFLINE PETTY CASH A/C</v>
          </cell>
          <cell r="F270" t="str">
            <v>ACASH</v>
          </cell>
          <cell r="G270">
            <v>59</v>
          </cell>
          <cell r="K270">
            <v>59</v>
          </cell>
        </row>
        <row r="271">
          <cell r="C271">
            <v>23520031</v>
          </cell>
          <cell r="D271" t="str">
            <v>GI0321</v>
          </cell>
          <cell r="E271" t="str">
            <v>ANAND ONLINE PETTY CASH A/C</v>
          </cell>
          <cell r="F271" t="str">
            <v>ACASH</v>
          </cell>
          <cell r="G271">
            <v>0</v>
          </cell>
          <cell r="K271">
            <v>0</v>
          </cell>
        </row>
        <row r="272">
          <cell r="C272">
            <v>23520019</v>
          </cell>
          <cell r="D272" t="str">
            <v>GI0155</v>
          </cell>
          <cell r="E272" t="str">
            <v>ALLAHABAD ONLINE PETTY CASH A/C</v>
          </cell>
          <cell r="F272" t="str">
            <v>ACASH</v>
          </cell>
          <cell r="G272">
            <v>1145</v>
          </cell>
          <cell r="K272">
            <v>1145</v>
          </cell>
        </row>
        <row r="273">
          <cell r="C273">
            <v>23520009</v>
          </cell>
          <cell r="D273" t="str">
            <v>GI067</v>
          </cell>
          <cell r="E273" t="str">
            <v>AHMEDBAD (OFF) PETTY CASH</v>
          </cell>
          <cell r="F273" t="str">
            <v>ACASH</v>
          </cell>
          <cell r="G273">
            <v>29537</v>
          </cell>
          <cell r="K273">
            <v>29537</v>
          </cell>
        </row>
        <row r="274">
          <cell r="C274">
            <v>23520462</v>
          </cell>
          <cell r="D274" t="str">
            <v>GI055</v>
          </cell>
          <cell r="E274" t="str">
            <v>VIZAG PETTY CASH</v>
          </cell>
          <cell r="F274" t="str">
            <v>ACASH</v>
          </cell>
          <cell r="G274">
            <v>1025</v>
          </cell>
          <cell r="K274">
            <v>1025</v>
          </cell>
        </row>
        <row r="275">
          <cell r="C275">
            <v>23520350</v>
          </cell>
          <cell r="D275" t="str">
            <v>GI0130</v>
          </cell>
          <cell r="E275" t="str">
            <v>PUNJABI BAGH PETTY CASH A/C</v>
          </cell>
          <cell r="F275" t="str">
            <v>ACASH</v>
          </cell>
          <cell r="G275">
            <v>272</v>
          </cell>
          <cell r="K275">
            <v>272</v>
          </cell>
        </row>
        <row r="276">
          <cell r="C276">
            <v>23520227</v>
          </cell>
          <cell r="D276" t="str">
            <v>GI0338</v>
          </cell>
          <cell r="E276" t="str">
            <v>KANDIVALI WEST ONLINE PETTY CASH A/C</v>
          </cell>
          <cell r="F276" t="str">
            <v>ACASH</v>
          </cell>
          <cell r="G276">
            <v>468</v>
          </cell>
          <cell r="K276">
            <v>468</v>
          </cell>
        </row>
        <row r="277">
          <cell r="C277">
            <v>23520313</v>
          </cell>
          <cell r="D277" t="str">
            <v>GI071</v>
          </cell>
          <cell r="E277" t="str">
            <v>NOIDA  PETTY CASH</v>
          </cell>
          <cell r="F277" t="str">
            <v>ACASH</v>
          </cell>
          <cell r="G277">
            <v>761</v>
          </cell>
          <cell r="K277">
            <v>761</v>
          </cell>
        </row>
        <row r="278">
          <cell r="C278">
            <v>23520338</v>
          </cell>
          <cell r="D278" t="str">
            <v>GI0456</v>
          </cell>
          <cell r="E278" t="str">
            <v>PUNE BHANDKAR ROAD PETTY CASH A/C</v>
          </cell>
          <cell r="F278" t="str">
            <v>ACASH</v>
          </cell>
          <cell r="G278">
            <v>3786</v>
          </cell>
          <cell r="K278">
            <v>3786</v>
          </cell>
        </row>
        <row r="279">
          <cell r="C279">
            <v>23520088</v>
          </cell>
          <cell r="D279" t="str">
            <v>GI0121</v>
          </cell>
          <cell r="E279" t="str">
            <v>CHANDNI CHOWK PETTY CASH</v>
          </cell>
          <cell r="F279" t="str">
            <v>ACASH</v>
          </cell>
          <cell r="G279">
            <v>5230</v>
          </cell>
          <cell r="K279">
            <v>5230</v>
          </cell>
        </row>
        <row r="280">
          <cell r="C280">
            <v>23520268</v>
          </cell>
          <cell r="E280" t="str">
            <v>Secundrabad Petty Cash A/C (Distribution Business)</v>
          </cell>
          <cell r="F280" t="str">
            <v>ACASH</v>
          </cell>
          <cell r="G280">
            <v>677</v>
          </cell>
          <cell r="K280">
            <v>677</v>
          </cell>
        </row>
        <row r="281">
          <cell r="C281">
            <v>23520098</v>
          </cell>
          <cell r="D281" t="str">
            <v>GA03001</v>
          </cell>
          <cell r="E281" t="str">
            <v>CHENNAI PETTY CASH A/C</v>
          </cell>
          <cell r="F281" t="str">
            <v>ACASH</v>
          </cell>
          <cell r="G281">
            <v>1259</v>
          </cell>
          <cell r="K281">
            <v>1259</v>
          </cell>
        </row>
        <row r="282">
          <cell r="C282">
            <v>23520420</v>
          </cell>
          <cell r="D282" t="str">
            <v>GI0392</v>
          </cell>
          <cell r="E282" t="str">
            <v>SURAT ONLINE PETTY CASH A/C</v>
          </cell>
          <cell r="F282" t="str">
            <v>ACASH</v>
          </cell>
          <cell r="G282">
            <v>398</v>
          </cell>
          <cell r="K282">
            <v>398</v>
          </cell>
        </row>
        <row r="283">
          <cell r="C283">
            <v>23520117</v>
          </cell>
          <cell r="D283" t="str">
            <v>GI010</v>
          </cell>
          <cell r="E283" t="str">
            <v>DEHRADUN PETTY CASH</v>
          </cell>
          <cell r="F283" t="str">
            <v>ACASH</v>
          </cell>
          <cell r="G283">
            <v>500</v>
          </cell>
          <cell r="K283">
            <v>500</v>
          </cell>
        </row>
        <row r="284">
          <cell r="C284">
            <v>23520080</v>
          </cell>
          <cell r="D284" t="str">
            <v>GI0447</v>
          </cell>
          <cell r="E284" t="str">
            <v>BORIVALI PETTY CASH ONLINE A/C</v>
          </cell>
          <cell r="F284" t="str">
            <v>ACASH</v>
          </cell>
          <cell r="G284">
            <v>2000</v>
          </cell>
          <cell r="K284">
            <v>2000</v>
          </cell>
        </row>
        <row r="285">
          <cell r="C285">
            <v>23520256</v>
          </cell>
          <cell r="D285" t="str">
            <v>GI0140</v>
          </cell>
          <cell r="E285" t="str">
            <v>LAXMI NAGAR PETTY CASH</v>
          </cell>
          <cell r="F285" t="str">
            <v>ACASH</v>
          </cell>
          <cell r="G285">
            <v>3528</v>
          </cell>
          <cell r="K285">
            <v>3528</v>
          </cell>
        </row>
        <row r="286">
          <cell r="C286">
            <v>23520205</v>
          </cell>
          <cell r="D286" t="str">
            <v>GI0100</v>
          </cell>
          <cell r="E286" t="str">
            <v>JALANDER PETTY CASH</v>
          </cell>
          <cell r="F286" t="str">
            <v>ACASH</v>
          </cell>
          <cell r="G286">
            <v>40</v>
          </cell>
          <cell r="K286">
            <v>40</v>
          </cell>
        </row>
        <row r="287">
          <cell r="C287">
            <v>23520108</v>
          </cell>
          <cell r="D287" t="str">
            <v>GI070</v>
          </cell>
          <cell r="E287" t="str">
            <v>COIMBATORE PETTY CASH</v>
          </cell>
          <cell r="F287" t="str">
            <v>ACASH</v>
          </cell>
          <cell r="G287">
            <v>2425</v>
          </cell>
          <cell r="K287">
            <v>2425</v>
          </cell>
        </row>
        <row r="288">
          <cell r="C288">
            <v>23520212</v>
          </cell>
          <cell r="D288" t="str">
            <v>GI09</v>
          </cell>
          <cell r="E288" t="str">
            <v>JAYANAGAR PETTY CASH</v>
          </cell>
          <cell r="F288" t="str">
            <v>ACASH</v>
          </cell>
          <cell r="G288">
            <v>2810</v>
          </cell>
          <cell r="K288">
            <v>2810</v>
          </cell>
        </row>
        <row r="289">
          <cell r="C289">
            <v>23520178</v>
          </cell>
          <cell r="D289" t="str">
            <v>GI0225</v>
          </cell>
          <cell r="E289" t="str">
            <v>HISAR PETTY CASH A/C</v>
          </cell>
          <cell r="F289" t="str">
            <v>ACASH</v>
          </cell>
          <cell r="G289">
            <v>3002</v>
          </cell>
          <cell r="K289">
            <v>3002</v>
          </cell>
        </row>
        <row r="290">
          <cell r="C290">
            <v>23520407</v>
          </cell>
          <cell r="D290" t="str">
            <v>GI0251</v>
          </cell>
          <cell r="E290" t="str">
            <v>SHIVRANJANI AHMEDABAD PETTY CASH A/C</v>
          </cell>
          <cell r="F290" t="str">
            <v>ACASH</v>
          </cell>
          <cell r="G290">
            <v>3120</v>
          </cell>
          <cell r="K290">
            <v>3120</v>
          </cell>
        </row>
        <row r="291">
          <cell r="C291">
            <v>23520052</v>
          </cell>
          <cell r="D291" t="str">
            <v>GI0260</v>
          </cell>
          <cell r="E291" t="str">
            <v>BARODA ONLINE PETTY CASH A/C</v>
          </cell>
          <cell r="F291" t="str">
            <v>ACASH</v>
          </cell>
          <cell r="G291">
            <v>1717</v>
          </cell>
          <cell r="K291">
            <v>1717</v>
          </cell>
        </row>
        <row r="292">
          <cell r="C292">
            <v>23520137</v>
          </cell>
          <cell r="D292" t="str">
            <v>GI0426</v>
          </cell>
          <cell r="E292" t="str">
            <v>FARIDABAD NIT PETTY CASH A/C</v>
          </cell>
          <cell r="F292" t="str">
            <v>ACASH</v>
          </cell>
          <cell r="G292">
            <v>460</v>
          </cell>
          <cell r="K292">
            <v>460</v>
          </cell>
        </row>
        <row r="293">
          <cell r="C293">
            <v>23520370</v>
          </cell>
          <cell r="D293" t="str">
            <v>GI0372</v>
          </cell>
          <cell r="E293" t="str">
            <v>ROHINI PETTY CASH A/C</v>
          </cell>
          <cell r="F293" t="str">
            <v>ACASH</v>
          </cell>
          <cell r="G293">
            <v>434</v>
          </cell>
          <cell r="K293">
            <v>434</v>
          </cell>
        </row>
        <row r="294">
          <cell r="C294">
            <v>23520132</v>
          </cell>
          <cell r="D294" t="str">
            <v>GI0495</v>
          </cell>
          <cell r="E294" t="str">
            <v>EAST OF KAILASH PETTY CASH A/C</v>
          </cell>
          <cell r="F294" t="str">
            <v>ACASH</v>
          </cell>
          <cell r="G294">
            <v>1978</v>
          </cell>
          <cell r="K294">
            <v>1978</v>
          </cell>
        </row>
        <row r="295">
          <cell r="C295">
            <v>23520282</v>
          </cell>
          <cell r="D295" t="str">
            <v>GI0164</v>
          </cell>
          <cell r="E295" t="str">
            <v>MANINAGAR (ONLINE) PETTY CASH A/C</v>
          </cell>
          <cell r="F295" t="str">
            <v>ACASH</v>
          </cell>
          <cell r="G295">
            <v>1334</v>
          </cell>
          <cell r="K295">
            <v>1334</v>
          </cell>
        </row>
        <row r="296">
          <cell r="C296">
            <v>23520167</v>
          </cell>
          <cell r="D296" t="str">
            <v>GI0411</v>
          </cell>
          <cell r="E296" t="str">
            <v>HABSIGUDA PETTY CASH A/C</v>
          </cell>
          <cell r="F296" t="str">
            <v>ACASH</v>
          </cell>
          <cell r="G296">
            <v>3007</v>
          </cell>
          <cell r="K296">
            <v>3007</v>
          </cell>
        </row>
        <row r="297">
          <cell r="C297">
            <v>23520314</v>
          </cell>
          <cell r="D297" t="str">
            <v>GI0148</v>
          </cell>
          <cell r="E297" t="str">
            <v>NOIDA ONLINE PETTY CASH</v>
          </cell>
          <cell r="F297" t="str">
            <v>ACASH</v>
          </cell>
          <cell r="G297">
            <v>3442</v>
          </cell>
          <cell r="K297">
            <v>3442</v>
          </cell>
        </row>
        <row r="298">
          <cell r="C298">
            <v>23520264</v>
          </cell>
          <cell r="D298" t="str">
            <v>GI035</v>
          </cell>
          <cell r="E298" t="str">
            <v>LUDHIANA PETTY CASH A/C</v>
          </cell>
          <cell r="F298" t="str">
            <v>ACASH</v>
          </cell>
          <cell r="G298">
            <v>33</v>
          </cell>
          <cell r="K298">
            <v>33</v>
          </cell>
        </row>
        <row r="299">
          <cell r="C299">
            <v>23520152</v>
          </cell>
          <cell r="D299" t="str">
            <v>GI065</v>
          </cell>
          <cell r="E299" t="str">
            <v>GOA PETTY CASH</v>
          </cell>
          <cell r="F299" t="str">
            <v>ACASH</v>
          </cell>
          <cell r="G299">
            <v>1995</v>
          </cell>
          <cell r="K299">
            <v>1995</v>
          </cell>
        </row>
        <row r="300">
          <cell r="C300">
            <v>23520245</v>
          </cell>
          <cell r="D300" t="str">
            <v>GI0200</v>
          </cell>
          <cell r="E300" t="str">
            <v>KORAMANGALAM (BANGLORE) PETTY CASH A/C</v>
          </cell>
          <cell r="F300" t="str">
            <v>ACASH</v>
          </cell>
          <cell r="G300">
            <v>1917</v>
          </cell>
          <cell r="K300">
            <v>1917</v>
          </cell>
        </row>
        <row r="301">
          <cell r="C301">
            <v>23520422</v>
          </cell>
          <cell r="D301" t="str">
            <v>GI0460</v>
          </cell>
          <cell r="E301" t="str">
            <v>SURAT RING ROAD PETTY CASH A/C</v>
          </cell>
          <cell r="F301" t="str">
            <v>ACASH</v>
          </cell>
          <cell r="G301">
            <v>382</v>
          </cell>
          <cell r="K301">
            <v>382</v>
          </cell>
        </row>
        <row r="302">
          <cell r="C302">
            <v>23520047</v>
          </cell>
          <cell r="D302" t="str">
            <v>GI028</v>
          </cell>
          <cell r="E302" t="str">
            <v>BANGLORE PETTY CASH A/C</v>
          </cell>
          <cell r="F302" t="str">
            <v>ACASH</v>
          </cell>
          <cell r="G302">
            <v>3081</v>
          </cell>
          <cell r="K302">
            <v>3081</v>
          </cell>
        </row>
        <row r="303">
          <cell r="C303">
            <v>23520177</v>
          </cell>
          <cell r="D303" t="str">
            <v>GI0311</v>
          </cell>
          <cell r="E303" t="str">
            <v>HISAR OFFLINE PETTY CASH A/C</v>
          </cell>
          <cell r="F303" t="str">
            <v>ACASH</v>
          </cell>
          <cell r="G303">
            <v>3316</v>
          </cell>
          <cell r="K303">
            <v>3316</v>
          </cell>
        </row>
        <row r="304">
          <cell r="C304">
            <v>23520801</v>
          </cell>
          <cell r="E304" t="str">
            <v>DWARKA SEC-6 ONLINE PETTY CASH A/C</v>
          </cell>
          <cell r="F304" t="str">
            <v>ACASH</v>
          </cell>
          <cell r="G304">
            <v>808</v>
          </cell>
          <cell r="K304">
            <v>808</v>
          </cell>
        </row>
        <row r="305">
          <cell r="C305">
            <v>23520472</v>
          </cell>
          <cell r="E305" t="str">
            <v>KOLKATA VIP ROAD PETTY CASH A/C</v>
          </cell>
          <cell r="F305" t="str">
            <v>ACASH</v>
          </cell>
          <cell r="G305">
            <v>4605.3999999999996</v>
          </cell>
          <cell r="K305">
            <v>4605.3999999999996</v>
          </cell>
        </row>
        <row r="306">
          <cell r="C306">
            <v>23520471</v>
          </cell>
          <cell r="E306" t="str">
            <v>AGRA SADAR ONLINE PETTY CASH A/C</v>
          </cell>
          <cell r="F306" t="str">
            <v>ACASH</v>
          </cell>
          <cell r="G306">
            <v>1743</v>
          </cell>
          <cell r="K306">
            <v>1743</v>
          </cell>
        </row>
        <row r="307">
          <cell r="C307">
            <v>23520216</v>
          </cell>
          <cell r="D307" t="str">
            <v>GI0239</v>
          </cell>
          <cell r="E307" t="str">
            <v>JODHPUR ONLINE PETTY CASH A/C</v>
          </cell>
          <cell r="F307" t="str">
            <v>ACASH</v>
          </cell>
          <cell r="G307">
            <v>370</v>
          </cell>
          <cell r="K307">
            <v>370</v>
          </cell>
        </row>
        <row r="308">
          <cell r="C308">
            <v>23520284</v>
          </cell>
          <cell r="D308" t="str">
            <v>GI0211</v>
          </cell>
          <cell r="E308" t="str">
            <v>MANJALPUR PETTY CASH A/C</v>
          </cell>
          <cell r="F308" t="str">
            <v>ACASH</v>
          </cell>
          <cell r="G308">
            <v>222</v>
          </cell>
          <cell r="K308">
            <v>222</v>
          </cell>
        </row>
        <row r="309">
          <cell r="C309">
            <v>23520081</v>
          </cell>
          <cell r="D309" t="str">
            <v>GI040</v>
          </cell>
          <cell r="E309" t="str">
            <v>CALCUTTA PETTY CASH A/C</v>
          </cell>
          <cell r="F309" t="str">
            <v>ACASH</v>
          </cell>
          <cell r="G309">
            <v>5671</v>
          </cell>
          <cell r="K309">
            <v>5671</v>
          </cell>
        </row>
        <row r="310">
          <cell r="C310">
            <v>23520107</v>
          </cell>
          <cell r="D310" t="str">
            <v>GI0196</v>
          </cell>
          <cell r="E310" t="str">
            <v>COIMBATORE ONLINE PETTY CASH A/C</v>
          </cell>
          <cell r="F310" t="str">
            <v>ACASH</v>
          </cell>
          <cell r="G310">
            <v>1155</v>
          </cell>
          <cell r="K310">
            <v>1155</v>
          </cell>
        </row>
        <row r="311">
          <cell r="C311">
            <v>23520244</v>
          </cell>
          <cell r="D311" t="str">
            <v>GI0378</v>
          </cell>
          <cell r="E311" t="str">
            <v>KONDHWA PUNE PETTY CASH A/C</v>
          </cell>
          <cell r="F311" t="str">
            <v>ACASH</v>
          </cell>
          <cell r="G311">
            <v>16787</v>
          </cell>
          <cell r="K311">
            <v>16787</v>
          </cell>
        </row>
        <row r="312">
          <cell r="C312">
            <v>23520397</v>
          </cell>
          <cell r="D312" t="str">
            <v>GI0136</v>
          </cell>
          <cell r="E312" t="str">
            <v>SEUNDERABAD PETTY CASH A/C</v>
          </cell>
          <cell r="F312" t="str">
            <v>ACASH</v>
          </cell>
          <cell r="G312">
            <v>1286</v>
          </cell>
          <cell r="K312">
            <v>1286</v>
          </cell>
        </row>
        <row r="313">
          <cell r="C313">
            <v>23520096</v>
          </cell>
          <cell r="D313" t="str">
            <v>GI0125</v>
          </cell>
          <cell r="E313" t="str">
            <v>CHENNAI PETTY CASH ( ON LINE )</v>
          </cell>
          <cell r="F313" t="str">
            <v>ACASH</v>
          </cell>
          <cell r="G313">
            <v>6</v>
          </cell>
          <cell r="K313">
            <v>6</v>
          </cell>
        </row>
        <row r="314">
          <cell r="C314">
            <v>23520129</v>
          </cell>
          <cell r="D314" t="str">
            <v>GI0286</v>
          </cell>
          <cell r="E314" t="str">
            <v>DWARKA OFFLINE PETTY CASH A/C</v>
          </cell>
          <cell r="F314" t="str">
            <v>ACASH</v>
          </cell>
          <cell r="G314">
            <v>291.5</v>
          </cell>
          <cell r="K314">
            <v>291.5</v>
          </cell>
        </row>
        <row r="315">
          <cell r="C315">
            <v>23520443</v>
          </cell>
          <cell r="D315" t="str">
            <v>GI0186</v>
          </cell>
          <cell r="E315" t="str">
            <v>VARANASI ONLINE PETTY CASH A/C</v>
          </cell>
          <cell r="F315" t="str">
            <v>ACASH</v>
          </cell>
          <cell r="G315">
            <v>25</v>
          </cell>
          <cell r="K315">
            <v>25</v>
          </cell>
        </row>
        <row r="316">
          <cell r="C316">
            <v>23520301</v>
          </cell>
          <cell r="D316" t="str">
            <v>GI0124</v>
          </cell>
          <cell r="E316" t="str">
            <v>NAGPUR PETTY CASH A/C</v>
          </cell>
          <cell r="F316" t="str">
            <v>ACASH</v>
          </cell>
          <cell r="G316">
            <v>257</v>
          </cell>
          <cell r="K316">
            <v>257</v>
          </cell>
        </row>
        <row r="317">
          <cell r="C317">
            <v>23520084</v>
          </cell>
          <cell r="D317" t="str">
            <v>GA0350</v>
          </cell>
          <cell r="E317" t="str">
            <v>CHANDIGARH PETTY CASH</v>
          </cell>
          <cell r="F317" t="str">
            <v>ACASH</v>
          </cell>
          <cell r="G317">
            <v>721</v>
          </cell>
          <cell r="K317">
            <v>721</v>
          </cell>
        </row>
        <row r="318">
          <cell r="C318">
            <v>24532331</v>
          </cell>
          <cell r="E318" t="str">
            <v>GHAZIABAD ONLINE PETTY CASH A/C</v>
          </cell>
          <cell r="F318" t="str">
            <v>ACASH</v>
          </cell>
          <cell r="G318">
            <v>241</v>
          </cell>
          <cell r="K318">
            <v>241</v>
          </cell>
        </row>
        <row r="319">
          <cell r="C319">
            <v>23520199</v>
          </cell>
          <cell r="D319" t="str">
            <v>GI01</v>
          </cell>
          <cell r="E319" t="str">
            <v>JAIPUR PETTY CASH A/C</v>
          </cell>
          <cell r="F319" t="str">
            <v>ACASH</v>
          </cell>
          <cell r="G319">
            <v>1392</v>
          </cell>
          <cell r="K319">
            <v>1392</v>
          </cell>
        </row>
        <row r="320">
          <cell r="C320">
            <v>23520260</v>
          </cell>
          <cell r="D320" t="str">
            <v>GI0209</v>
          </cell>
          <cell r="E320" t="str">
            <v>LUCKHNOW FAIZABAD ROAD ONLINE PETTY CASH A/C</v>
          </cell>
          <cell r="F320" t="str">
            <v>ACASH</v>
          </cell>
          <cell r="G320">
            <v>1084</v>
          </cell>
          <cell r="K320">
            <v>1084</v>
          </cell>
        </row>
        <row r="321">
          <cell r="C321">
            <v>23520063</v>
          </cell>
          <cell r="D321" t="str">
            <v>GI0228</v>
          </cell>
          <cell r="E321" t="str">
            <v>BHAVNAGAR WAGHAWADI ROAD ONLINE PETTY CASH</v>
          </cell>
          <cell r="F321" t="str">
            <v>ACASH</v>
          </cell>
          <cell r="G321">
            <v>3033</v>
          </cell>
          <cell r="K321">
            <v>3033</v>
          </cell>
        </row>
        <row r="322">
          <cell r="C322">
            <v>23520349</v>
          </cell>
          <cell r="D322" t="str">
            <v>GI0253</v>
          </cell>
          <cell r="E322" t="str">
            <v>PUNJABI BAGH OFFLINE PETTY CASH A/C</v>
          </cell>
          <cell r="F322" t="str">
            <v>ACASH</v>
          </cell>
          <cell r="G322">
            <v>1785</v>
          </cell>
          <cell r="K322">
            <v>1785</v>
          </cell>
        </row>
        <row r="323">
          <cell r="C323">
            <v>23520331</v>
          </cell>
          <cell r="D323" t="str">
            <v>GI0283</v>
          </cell>
          <cell r="E323" t="str">
            <v>PIMPRI PETTY CASH A/C</v>
          </cell>
          <cell r="F323" t="str">
            <v>ACASH</v>
          </cell>
          <cell r="G323">
            <v>2908</v>
          </cell>
          <cell r="K323">
            <v>2908</v>
          </cell>
        </row>
        <row r="324">
          <cell r="C324">
            <v>23520189</v>
          </cell>
          <cell r="D324" t="str">
            <v>GI0497</v>
          </cell>
          <cell r="E324" t="str">
            <v>HYDRABAD HYTECH CITY MADHAPUR PETTY CASH A/C</v>
          </cell>
          <cell r="F324" t="str">
            <v>ACASH</v>
          </cell>
          <cell r="G324">
            <v>2309</v>
          </cell>
          <cell r="K324">
            <v>2309</v>
          </cell>
        </row>
        <row r="325">
          <cell r="C325">
            <v>23520232</v>
          </cell>
          <cell r="D325" t="str">
            <v>GI048</v>
          </cell>
          <cell r="E325" t="str">
            <v>KANPUR PETTY CASH</v>
          </cell>
          <cell r="F325" t="str">
            <v>ACASH</v>
          </cell>
          <cell r="G325">
            <v>334</v>
          </cell>
          <cell r="K325">
            <v>334</v>
          </cell>
        </row>
        <row r="326">
          <cell r="C326">
            <v>23520123</v>
          </cell>
          <cell r="D326" t="str">
            <v>GI0153</v>
          </cell>
          <cell r="E326" t="str">
            <v>DHANBAD PETTY CASH A/C</v>
          </cell>
          <cell r="F326" t="str">
            <v>ACASH</v>
          </cell>
          <cell r="G326">
            <v>545</v>
          </cell>
          <cell r="K326">
            <v>545</v>
          </cell>
        </row>
        <row r="327">
          <cell r="C327">
            <v>23520261</v>
          </cell>
          <cell r="D327" t="str">
            <v>GI050</v>
          </cell>
          <cell r="E327" t="str">
            <v>LUCKNOW PETTY CASH</v>
          </cell>
          <cell r="F327" t="str">
            <v>ACASH</v>
          </cell>
          <cell r="G327">
            <v>559</v>
          </cell>
          <cell r="K327">
            <v>559</v>
          </cell>
        </row>
        <row r="328">
          <cell r="C328">
            <v>23520206</v>
          </cell>
          <cell r="D328" t="str">
            <v>GI0217</v>
          </cell>
          <cell r="E328" t="str">
            <v>JALANDHAR ONLINE PETTY CASH A/C</v>
          </cell>
          <cell r="F328" t="str">
            <v>ACASH</v>
          </cell>
          <cell r="G328">
            <v>160</v>
          </cell>
          <cell r="K328">
            <v>160</v>
          </cell>
        </row>
        <row r="329">
          <cell r="C329">
            <v>23520119</v>
          </cell>
          <cell r="D329" t="str">
            <v>GI0442</v>
          </cell>
          <cell r="E329" t="str">
            <v>DELHI HAUZ KHAS PETTY CASH A/C</v>
          </cell>
          <cell r="F329" t="str">
            <v>ACASH</v>
          </cell>
          <cell r="G329">
            <v>1760</v>
          </cell>
          <cell r="K329">
            <v>1760</v>
          </cell>
        </row>
        <row r="330">
          <cell r="C330">
            <v>23520020</v>
          </cell>
          <cell r="D330" t="str">
            <v>GI059</v>
          </cell>
          <cell r="E330" t="str">
            <v>ALLAHABAD PETTY CASH</v>
          </cell>
          <cell r="F330" t="str">
            <v>ACASH</v>
          </cell>
          <cell r="G330">
            <v>74</v>
          </cell>
          <cell r="K330">
            <v>74</v>
          </cell>
        </row>
        <row r="331">
          <cell r="C331">
            <v>23520194</v>
          </cell>
          <cell r="D331" t="str">
            <v>GI054</v>
          </cell>
          <cell r="E331" t="str">
            <v>INDORE PETTY CASH</v>
          </cell>
          <cell r="F331" t="str">
            <v>ACASH</v>
          </cell>
          <cell r="G331">
            <v>4244</v>
          </cell>
          <cell r="K331">
            <v>4244</v>
          </cell>
        </row>
        <row r="332">
          <cell r="C332">
            <v>23520363</v>
          </cell>
          <cell r="D332" t="str">
            <v>GI062</v>
          </cell>
          <cell r="E332" t="str">
            <v>RANCHI- PETTY CASH</v>
          </cell>
          <cell r="F332" t="str">
            <v>ACASH</v>
          </cell>
          <cell r="G332">
            <v>1945</v>
          </cell>
          <cell r="K332">
            <v>1945</v>
          </cell>
        </row>
        <row r="333">
          <cell r="C333">
            <v>23520197</v>
          </cell>
          <cell r="D333" t="str">
            <v>GI0367</v>
          </cell>
          <cell r="E333" t="str">
            <v>JAIPUR MALVIYA NAGAR ONLINE PETTY CASH A\C</v>
          </cell>
          <cell r="F333" t="str">
            <v>ACASH</v>
          </cell>
          <cell r="G333">
            <v>3954.5</v>
          </cell>
          <cell r="K333">
            <v>3954.5</v>
          </cell>
        </row>
        <row r="334">
          <cell r="C334">
            <v>23520329</v>
          </cell>
          <cell r="D334" t="str">
            <v>GA03002</v>
          </cell>
          <cell r="E334" t="str">
            <v>PATIALA PETTY CASH</v>
          </cell>
          <cell r="F334" t="str">
            <v>ACASH</v>
          </cell>
          <cell r="G334">
            <v>410</v>
          </cell>
          <cell r="K334">
            <v>410</v>
          </cell>
        </row>
        <row r="335">
          <cell r="C335">
            <v>23520188</v>
          </cell>
          <cell r="D335" t="str">
            <v>GI0314</v>
          </cell>
          <cell r="E335" t="str">
            <v>HYDRABAD DILSUKH OFFLINE PETTY CASH A/C</v>
          </cell>
          <cell r="F335" t="str">
            <v>ACASH</v>
          </cell>
          <cell r="G335">
            <v>762</v>
          </cell>
          <cell r="K335">
            <v>762</v>
          </cell>
        </row>
        <row r="336">
          <cell r="C336">
            <v>23520147</v>
          </cell>
          <cell r="D336" t="str">
            <v>GI084</v>
          </cell>
          <cell r="E336" t="str">
            <v>GHAZIABAD PETTY CASH</v>
          </cell>
          <cell r="F336" t="str">
            <v>ACASH</v>
          </cell>
          <cell r="G336">
            <v>924</v>
          </cell>
          <cell r="K336">
            <v>924</v>
          </cell>
        </row>
        <row r="337">
          <cell r="C337">
            <v>23520234</v>
          </cell>
          <cell r="D337" t="str">
            <v>GI0285</v>
          </cell>
          <cell r="E337" t="str">
            <v>KARKARDOOMA PETTY CASH A/C</v>
          </cell>
          <cell r="F337" t="str">
            <v>ACASH</v>
          </cell>
          <cell r="G337">
            <v>291</v>
          </cell>
          <cell r="K337">
            <v>291</v>
          </cell>
        </row>
        <row r="338">
          <cell r="C338">
            <v>23520030</v>
          </cell>
          <cell r="D338" t="str">
            <v>GI0158</v>
          </cell>
          <cell r="E338" t="str">
            <v>AMRITSAR PETTY CASH ONLINE</v>
          </cell>
          <cell r="F338" t="str">
            <v>ACASH</v>
          </cell>
          <cell r="G338">
            <v>1501</v>
          </cell>
          <cell r="K338">
            <v>1501</v>
          </cell>
        </row>
        <row r="339">
          <cell r="C339">
            <v>23520071</v>
          </cell>
          <cell r="D339" t="str">
            <v>GI0262</v>
          </cell>
          <cell r="E339" t="str">
            <v>BHUVNESHWAR JANPATH PETTY CASH A/C</v>
          </cell>
          <cell r="F339" t="str">
            <v>ACASH</v>
          </cell>
          <cell r="G339">
            <v>1759</v>
          </cell>
          <cell r="K339">
            <v>1759</v>
          </cell>
        </row>
        <row r="340">
          <cell r="C340">
            <v>23520396</v>
          </cell>
          <cell r="D340" t="str">
            <v>GI0383</v>
          </cell>
          <cell r="E340" t="str">
            <v>SECUNDERABAD OFFLINE PETTY CASH A/C</v>
          </cell>
          <cell r="F340" t="str">
            <v>ACASH</v>
          </cell>
          <cell r="G340">
            <v>395</v>
          </cell>
          <cell r="K340">
            <v>395</v>
          </cell>
        </row>
        <row r="341">
          <cell r="C341">
            <v>23520441</v>
          </cell>
          <cell r="D341" t="str">
            <v>GI0174</v>
          </cell>
          <cell r="E341" t="str">
            <v>VAISHALI PETTY CASH A/C</v>
          </cell>
          <cell r="F341" t="str">
            <v>ACASH</v>
          </cell>
          <cell r="G341">
            <v>326</v>
          </cell>
          <cell r="K341">
            <v>326</v>
          </cell>
        </row>
        <row r="342">
          <cell r="C342">
            <v>23520439</v>
          </cell>
          <cell r="D342" t="str">
            <v>GI0134</v>
          </cell>
          <cell r="E342" t="str">
            <v>ULLHASNAGAR PETTY CASH</v>
          </cell>
          <cell r="F342" t="str">
            <v>ACASH</v>
          </cell>
          <cell r="G342">
            <v>8691</v>
          </cell>
          <cell r="K342">
            <v>8691</v>
          </cell>
        </row>
        <row r="343">
          <cell r="C343">
            <v>23520087</v>
          </cell>
          <cell r="D343" t="str">
            <v>GI0256</v>
          </cell>
          <cell r="E343" t="str">
            <v>CHANDNI CHOWK OFFLINE PETTY CASH A/C</v>
          </cell>
          <cell r="F343" t="str">
            <v>ACASH</v>
          </cell>
          <cell r="G343">
            <v>452</v>
          </cell>
          <cell r="K343">
            <v>452</v>
          </cell>
        </row>
        <row r="344">
          <cell r="C344">
            <v>23520415</v>
          </cell>
          <cell r="D344" t="str">
            <v>GI0162</v>
          </cell>
          <cell r="E344" t="str">
            <v>SOUTH EXTN. PETTY CASH PART-II</v>
          </cell>
          <cell r="F344" t="str">
            <v>ACASH</v>
          </cell>
          <cell r="G344">
            <v>1491</v>
          </cell>
          <cell r="K344">
            <v>1491</v>
          </cell>
        </row>
        <row r="345">
          <cell r="C345">
            <v>23520262</v>
          </cell>
          <cell r="D345" t="str">
            <v>GI0161</v>
          </cell>
          <cell r="E345" t="str">
            <v>LUCKNOW PETTY CASH ( ONLINE )</v>
          </cell>
          <cell r="F345" t="str">
            <v>ACASH</v>
          </cell>
          <cell r="G345">
            <v>389.7</v>
          </cell>
          <cell r="K345">
            <v>389.7</v>
          </cell>
        </row>
        <row r="346">
          <cell r="C346">
            <v>23520358</v>
          </cell>
          <cell r="D346" t="str">
            <v>GI061</v>
          </cell>
          <cell r="E346" t="str">
            <v>RAJKOT  PETTY CASH</v>
          </cell>
          <cell r="F346" t="str">
            <v>ACASH</v>
          </cell>
          <cell r="G346">
            <v>172</v>
          </cell>
          <cell r="K346">
            <v>172</v>
          </cell>
        </row>
        <row r="347">
          <cell r="C347">
            <v>23520142</v>
          </cell>
          <cell r="D347" t="str">
            <v>GI0263</v>
          </cell>
          <cell r="E347" t="str">
            <v>FORT MUMBAI PETTY CASH A/C</v>
          </cell>
          <cell r="F347" t="str">
            <v>ACASH</v>
          </cell>
          <cell r="G347">
            <v>35</v>
          </cell>
          <cell r="K347">
            <v>35</v>
          </cell>
        </row>
        <row r="348">
          <cell r="C348">
            <v>23520332</v>
          </cell>
          <cell r="D348" t="str">
            <v>GI017</v>
          </cell>
          <cell r="E348" t="str">
            <v>PITAMPURA ( DELHI ) PETTY CASH</v>
          </cell>
          <cell r="F348" t="str">
            <v>ACASH</v>
          </cell>
          <cell r="G348">
            <v>570</v>
          </cell>
          <cell r="K348">
            <v>570</v>
          </cell>
        </row>
        <row r="349">
          <cell r="C349">
            <v>23520134</v>
          </cell>
          <cell r="D349" t="str">
            <v>GI0176</v>
          </cell>
          <cell r="E349" t="str">
            <v>F-BLOCK DELHI PETTY CASH A/C</v>
          </cell>
          <cell r="F349" t="str">
            <v>ACASH</v>
          </cell>
          <cell r="G349">
            <v>11725</v>
          </cell>
          <cell r="K349">
            <v>11725</v>
          </cell>
        </row>
        <row r="350">
          <cell r="C350">
            <v>23520806</v>
          </cell>
          <cell r="E350" t="str">
            <v>GURGAON SECTOR 14 ONLINE PEETY CASH</v>
          </cell>
          <cell r="F350" t="str">
            <v>ACASH</v>
          </cell>
          <cell r="G350">
            <v>4786</v>
          </cell>
          <cell r="K350">
            <v>4786</v>
          </cell>
        </row>
        <row r="351">
          <cell r="C351">
            <v>23520437</v>
          </cell>
          <cell r="D351" t="str">
            <v>GI0127</v>
          </cell>
          <cell r="E351" t="str">
            <v>UDAIPUR PETTY CASH A/C</v>
          </cell>
          <cell r="F351" t="str">
            <v>ACASH</v>
          </cell>
          <cell r="G351">
            <v>2026</v>
          </cell>
          <cell r="K351">
            <v>2026</v>
          </cell>
        </row>
        <row r="352">
          <cell r="C352">
            <v>23520255</v>
          </cell>
          <cell r="D352" t="str">
            <v>GI0299</v>
          </cell>
          <cell r="E352" t="str">
            <v>LAXMI NAGAR ONLINE PETTY CASH A/C</v>
          </cell>
          <cell r="F352" t="str">
            <v>ACASH</v>
          </cell>
          <cell r="G352">
            <v>490</v>
          </cell>
          <cell r="K352">
            <v>490</v>
          </cell>
        </row>
        <row r="353">
          <cell r="C353">
            <v>23520324</v>
          </cell>
          <cell r="D353" t="str">
            <v>GA0025</v>
          </cell>
          <cell r="E353" t="str">
            <v>PANIPAT PETTY CASH</v>
          </cell>
          <cell r="F353" t="str">
            <v>ACASH</v>
          </cell>
          <cell r="G353">
            <v>2429</v>
          </cell>
          <cell r="K353">
            <v>2429</v>
          </cell>
        </row>
        <row r="354">
          <cell r="C354">
            <v>23520145</v>
          </cell>
          <cell r="D354" t="str">
            <v>GI0302</v>
          </cell>
          <cell r="E354" t="str">
            <v>GARIHAT PETTY CASH A/C</v>
          </cell>
          <cell r="F354" t="str">
            <v>ACASH</v>
          </cell>
          <cell r="G354">
            <v>4585.5</v>
          </cell>
          <cell r="K354">
            <v>4585.5</v>
          </cell>
        </row>
        <row r="355">
          <cell r="C355">
            <v>23520183</v>
          </cell>
          <cell r="D355" t="str">
            <v>GI0345</v>
          </cell>
          <cell r="E355" t="str">
            <v>HYDERABAD HITECH CITY PETTY CASH A/C</v>
          </cell>
          <cell r="F355" t="str">
            <v>ACASH</v>
          </cell>
          <cell r="G355">
            <v>1081</v>
          </cell>
          <cell r="K355">
            <v>1081</v>
          </cell>
        </row>
        <row r="356">
          <cell r="C356">
            <v>23520138</v>
          </cell>
          <cell r="D356" t="str">
            <v>GI0430</v>
          </cell>
          <cell r="E356" t="str">
            <v>FARIDABAD OFFLINE SEC-15 PETTY CASH A/C</v>
          </cell>
          <cell r="F356" t="str">
            <v>ACASH</v>
          </cell>
          <cell r="G356">
            <v>4602</v>
          </cell>
          <cell r="K356">
            <v>4602</v>
          </cell>
        </row>
        <row r="357">
          <cell r="C357">
            <v>23520182</v>
          </cell>
          <cell r="D357" t="str">
            <v>GI092</v>
          </cell>
          <cell r="E357" t="str">
            <v>HUBLI PETTY CASH A/C</v>
          </cell>
          <cell r="F357" t="str">
            <v>ACASH</v>
          </cell>
          <cell r="G357">
            <v>15659</v>
          </cell>
          <cell r="K357">
            <v>15659</v>
          </cell>
        </row>
        <row r="358">
          <cell r="C358">
            <v>23520163</v>
          </cell>
          <cell r="D358" t="str">
            <v>GI077</v>
          </cell>
          <cell r="E358" t="str">
            <v>GURGAON - PETTY CASH</v>
          </cell>
          <cell r="F358" t="str">
            <v>ACASH</v>
          </cell>
          <cell r="G358">
            <v>4337</v>
          </cell>
          <cell r="K358">
            <v>4337</v>
          </cell>
        </row>
        <row r="359">
          <cell r="C359">
            <v>23520085</v>
          </cell>
          <cell r="D359" t="str">
            <v>GI0167</v>
          </cell>
          <cell r="E359" t="str">
            <v>CHANDIGARH PETTY CASH A/C ( SECTOR 35 )</v>
          </cell>
          <cell r="F359" t="str">
            <v>ACASH</v>
          </cell>
          <cell r="G359">
            <v>531</v>
          </cell>
          <cell r="K359">
            <v>531</v>
          </cell>
        </row>
        <row r="360">
          <cell r="C360">
            <v>23520029</v>
          </cell>
          <cell r="D360" t="str">
            <v>GI02</v>
          </cell>
          <cell r="E360" t="str">
            <v>AMRITSAR PETTY CASH</v>
          </cell>
          <cell r="F360" t="str">
            <v>ACASH</v>
          </cell>
          <cell r="G360">
            <v>1698</v>
          </cell>
          <cell r="K360">
            <v>1698</v>
          </cell>
        </row>
        <row r="361">
          <cell r="C361">
            <v>23520106</v>
          </cell>
          <cell r="D361" t="str">
            <v>GI060</v>
          </cell>
          <cell r="E361" t="str">
            <v>COCHIN PETTY CASH</v>
          </cell>
          <cell r="F361" t="str">
            <v>ACASH</v>
          </cell>
          <cell r="G361">
            <v>1482</v>
          </cell>
          <cell r="K361">
            <v>1482</v>
          </cell>
        </row>
        <row r="362">
          <cell r="C362">
            <v>23520139</v>
          </cell>
          <cell r="D362" t="str">
            <v>GI057</v>
          </cell>
          <cell r="E362" t="str">
            <v>FARIDABAD PETTY CASH A/C</v>
          </cell>
          <cell r="F362" t="str">
            <v>ACASH</v>
          </cell>
          <cell r="G362">
            <v>1304</v>
          </cell>
          <cell r="K362">
            <v>1304</v>
          </cell>
        </row>
        <row r="363">
          <cell r="C363">
            <v>23520305</v>
          </cell>
          <cell r="D363" t="str">
            <v>GI0252</v>
          </cell>
          <cell r="E363" t="str">
            <v>NASIK OFFLINE PETTY CASH A/C</v>
          </cell>
          <cell r="F363" t="str">
            <v>ACASH</v>
          </cell>
          <cell r="G363">
            <v>41</v>
          </cell>
          <cell r="K363">
            <v>41</v>
          </cell>
        </row>
        <row r="364">
          <cell r="C364">
            <v>23520278</v>
          </cell>
          <cell r="D364" t="str">
            <v>GI0116</v>
          </cell>
          <cell r="E364" t="str">
            <v>MANDI GOBINDGARH- PETTY CASH</v>
          </cell>
          <cell r="F364" t="str">
            <v>ACASH</v>
          </cell>
          <cell r="G364">
            <v>1170</v>
          </cell>
          <cell r="K364">
            <v>1170</v>
          </cell>
        </row>
        <row r="365">
          <cell r="C365">
            <v>23520086</v>
          </cell>
          <cell r="D365" t="str">
            <v>GI0104</v>
          </cell>
          <cell r="E365" t="str">
            <v>CHANDIGHAR PETTY CASH (OFFLINE)</v>
          </cell>
          <cell r="F365" t="str">
            <v>ACASH</v>
          </cell>
          <cell r="G365">
            <v>315</v>
          </cell>
          <cell r="K365">
            <v>315</v>
          </cell>
        </row>
        <row r="366">
          <cell r="C366">
            <v>23520348</v>
          </cell>
          <cell r="D366" t="str">
            <v>GI0427</v>
          </cell>
          <cell r="E366" t="str">
            <v>PUNE SHIVAJINAGAR ONLINE</v>
          </cell>
          <cell r="F366" t="str">
            <v>ACASH</v>
          </cell>
          <cell r="G366">
            <v>700</v>
          </cell>
          <cell r="K366">
            <v>700</v>
          </cell>
        </row>
        <row r="367">
          <cell r="C367">
            <v>23520359</v>
          </cell>
          <cell r="D367" t="str">
            <v>GI0249</v>
          </cell>
          <cell r="E367" t="str">
            <v>RAJKOT ONLINE PETTY CASH A/C</v>
          </cell>
          <cell r="F367" t="str">
            <v>ACASH</v>
          </cell>
          <cell r="G367">
            <v>335</v>
          </cell>
          <cell r="K367">
            <v>335</v>
          </cell>
        </row>
        <row r="368">
          <cell r="C368">
            <v>23520283</v>
          </cell>
          <cell r="D368" t="str">
            <v>GI0145</v>
          </cell>
          <cell r="E368" t="str">
            <v>MANINAGAR OFFLINE PETTY CASH A/C</v>
          </cell>
          <cell r="F368" t="str">
            <v>ACASH</v>
          </cell>
          <cell r="G368">
            <v>3075</v>
          </cell>
          <cell r="K368">
            <v>3075</v>
          </cell>
        </row>
        <row r="369">
          <cell r="C369">
            <v>23520184</v>
          </cell>
          <cell r="D369" t="str">
            <v>GI049</v>
          </cell>
          <cell r="E369" t="str">
            <v>HYDERABAD OFFLINE PETTY CASH A/C</v>
          </cell>
          <cell r="F369" t="str">
            <v>ACASH</v>
          </cell>
          <cell r="G369">
            <v>17098</v>
          </cell>
          <cell r="K369">
            <v>17098</v>
          </cell>
        </row>
        <row r="370">
          <cell r="C370">
            <v>23520248</v>
          </cell>
          <cell r="D370" t="str">
            <v>GI0445</v>
          </cell>
          <cell r="E370" t="str">
            <v>KRISHNA NAGAR OFFLINE PETTY CASH A/C</v>
          </cell>
          <cell r="F370" t="str">
            <v>ACASH</v>
          </cell>
          <cell r="G370">
            <v>5726</v>
          </cell>
          <cell r="K370">
            <v>5726</v>
          </cell>
        </row>
        <row r="371">
          <cell r="C371">
            <v>23520382</v>
          </cell>
          <cell r="D371" t="str">
            <v>GI0102</v>
          </cell>
          <cell r="E371" t="str">
            <v>SALT LAKE ( CALCUTTA ) PETTY CASH A/C</v>
          </cell>
          <cell r="F371" t="str">
            <v>ACASH</v>
          </cell>
          <cell r="G371">
            <v>3786</v>
          </cell>
          <cell r="K371">
            <v>3786</v>
          </cell>
        </row>
        <row r="372">
          <cell r="C372">
            <v>23520012</v>
          </cell>
          <cell r="D372" t="str">
            <v>GI086</v>
          </cell>
          <cell r="E372" t="str">
            <v>AJMER PETTY CASH A/C</v>
          </cell>
          <cell r="F372" t="str">
            <v>ACASH</v>
          </cell>
          <cell r="G372">
            <v>3374</v>
          </cell>
          <cell r="K372">
            <v>3374</v>
          </cell>
        </row>
        <row r="373">
          <cell r="C373">
            <v>23520401</v>
          </cell>
          <cell r="D373" t="str">
            <v>GI0257</v>
          </cell>
          <cell r="E373" t="str">
            <v>SHALIMAR BAGH PETTY CASH A/C</v>
          </cell>
          <cell r="F373" t="str">
            <v>ACASH</v>
          </cell>
          <cell r="G373">
            <v>1152</v>
          </cell>
          <cell r="K373">
            <v>1152</v>
          </cell>
        </row>
        <row r="374">
          <cell r="C374">
            <v>23520151</v>
          </cell>
          <cell r="D374" t="str">
            <v>GI015</v>
          </cell>
          <cell r="E374" t="str">
            <v>GK-II PETTY CASH</v>
          </cell>
          <cell r="F374" t="str">
            <v>ACASH</v>
          </cell>
          <cell r="G374">
            <v>82</v>
          </cell>
          <cell r="K374">
            <v>82</v>
          </cell>
        </row>
        <row r="375">
          <cell r="C375">
            <v>23520347</v>
          </cell>
          <cell r="D375" t="str">
            <v>GI0189</v>
          </cell>
          <cell r="E375" t="str">
            <v>PUNE SHANKAR SETH ROAD PETTY CASH A/C</v>
          </cell>
          <cell r="F375" t="str">
            <v>ACASH</v>
          </cell>
          <cell r="G375">
            <v>255</v>
          </cell>
          <cell r="K375">
            <v>255</v>
          </cell>
        </row>
        <row r="376">
          <cell r="C376">
            <v>23520289</v>
          </cell>
          <cell r="D376" t="str">
            <v>GI0205</v>
          </cell>
          <cell r="E376" t="str">
            <v>MAYAPURI PETTY CASH A/C</v>
          </cell>
          <cell r="F376" t="str">
            <v>ACASH</v>
          </cell>
          <cell r="G376">
            <v>986</v>
          </cell>
          <cell r="K376">
            <v>986</v>
          </cell>
        </row>
        <row r="377">
          <cell r="C377">
            <v>23520394</v>
          </cell>
          <cell r="D377" t="str">
            <v>GI0210</v>
          </cell>
          <cell r="E377" t="str">
            <v>SATELLITE PETTY CASH</v>
          </cell>
          <cell r="F377" t="str">
            <v>ACASH</v>
          </cell>
          <cell r="G377">
            <v>44</v>
          </cell>
          <cell r="K377">
            <v>44</v>
          </cell>
        </row>
        <row r="378">
          <cell r="C378">
            <v>23520075</v>
          </cell>
          <cell r="D378" t="str">
            <v>GI0357</v>
          </cell>
          <cell r="E378" t="str">
            <v>BIKANER PETTY CASH A/C</v>
          </cell>
          <cell r="F378" t="str">
            <v>ACASH</v>
          </cell>
          <cell r="G378">
            <v>4622</v>
          </cell>
          <cell r="K378">
            <v>4622</v>
          </cell>
        </row>
        <row r="379">
          <cell r="C379">
            <v>23520118</v>
          </cell>
          <cell r="D379" t="str">
            <v>GI0310</v>
          </cell>
          <cell r="E379" t="str">
            <v>DEHRADUN RAJA ROAD PETTY CASH A/C</v>
          </cell>
          <cell r="F379" t="str">
            <v>ACASH</v>
          </cell>
          <cell r="G379">
            <v>395</v>
          </cell>
          <cell r="K379">
            <v>395</v>
          </cell>
        </row>
        <row r="380">
          <cell r="C380">
            <v>23520187</v>
          </cell>
          <cell r="D380" t="str">
            <v>GI0297</v>
          </cell>
          <cell r="E380" t="str">
            <v>HYDRABAD DILSUKH NAGAR PETTY CASH A/C</v>
          </cell>
          <cell r="F380" t="str">
            <v>ACASH</v>
          </cell>
          <cell r="G380">
            <v>950</v>
          </cell>
          <cell r="K380">
            <v>950</v>
          </cell>
        </row>
        <row r="381">
          <cell r="C381">
            <v>23520489</v>
          </cell>
          <cell r="E381" t="str">
            <v>KANPUR LAJPAT NAGAR PETTY CASH A/C</v>
          </cell>
          <cell r="F381" t="str">
            <v>ACASH</v>
          </cell>
          <cell r="G381">
            <v>516</v>
          </cell>
          <cell r="K381">
            <v>516</v>
          </cell>
        </row>
        <row r="382">
          <cell r="C382">
            <v>23520450</v>
          </cell>
          <cell r="D382" t="str">
            <v>GI0466</v>
          </cell>
          <cell r="E382" t="str">
            <v>VASHI ONLINE PETTY CASH A/C</v>
          </cell>
          <cell r="F382" t="str">
            <v>ACASH</v>
          </cell>
          <cell r="G382">
            <v>285</v>
          </cell>
          <cell r="K382">
            <v>285</v>
          </cell>
        </row>
        <row r="383">
          <cell r="C383">
            <v>23520148</v>
          </cell>
          <cell r="D383" t="str">
            <v>GI0319</v>
          </cell>
          <cell r="E383" t="str">
            <v>GHAZIABAD VAISHALI PETTY CASH A/C</v>
          </cell>
          <cell r="F383" t="str">
            <v>ACASH</v>
          </cell>
          <cell r="G383">
            <v>11</v>
          </cell>
          <cell r="K383">
            <v>11</v>
          </cell>
        </row>
        <row r="384">
          <cell r="C384">
            <v>23520198</v>
          </cell>
          <cell r="D384" t="str">
            <v>GI013</v>
          </cell>
          <cell r="E384" t="str">
            <v>JAIPUR ONLINE-PETTY CASH</v>
          </cell>
          <cell r="F384" t="str">
            <v>ACASH</v>
          </cell>
          <cell r="G384">
            <v>181</v>
          </cell>
          <cell r="K384">
            <v>181</v>
          </cell>
        </row>
        <row r="385">
          <cell r="C385">
            <v>23521151</v>
          </cell>
          <cell r="E385" t="str">
            <v>Ahemdabad Shivranjani (Dist.Bus.)-Petty cash</v>
          </cell>
          <cell r="F385" t="str">
            <v>ACASH</v>
          </cell>
          <cell r="G385">
            <v>14.5</v>
          </cell>
          <cell r="K385">
            <v>14.5</v>
          </cell>
        </row>
        <row r="386">
          <cell r="C386">
            <v>23520228</v>
          </cell>
          <cell r="D386" t="str">
            <v>GI0298</v>
          </cell>
          <cell r="E386" t="str">
            <v>KANDIVALI WEST PETTY CASH A/C</v>
          </cell>
          <cell r="F386" t="str">
            <v>ACASH</v>
          </cell>
          <cell r="G386">
            <v>13123</v>
          </cell>
          <cell r="K386">
            <v>13123</v>
          </cell>
        </row>
        <row r="387">
          <cell r="C387">
            <v>23520051</v>
          </cell>
          <cell r="D387" t="str">
            <v>GI0103</v>
          </cell>
          <cell r="E387" t="str">
            <v>BARODA -PETTY CASH</v>
          </cell>
          <cell r="F387" t="str">
            <v>ACASH</v>
          </cell>
          <cell r="G387">
            <v>416</v>
          </cell>
          <cell r="K387">
            <v>416</v>
          </cell>
        </row>
        <row r="388">
          <cell r="C388">
            <v>23520306</v>
          </cell>
          <cell r="D388" t="str">
            <v>GI0108</v>
          </cell>
          <cell r="E388" t="str">
            <v>NASIK PETTY CASH</v>
          </cell>
          <cell r="F388" t="str">
            <v>ACASH</v>
          </cell>
          <cell r="G388">
            <v>212.5</v>
          </cell>
          <cell r="K388">
            <v>212.5</v>
          </cell>
        </row>
        <row r="389">
          <cell r="C389">
            <v>23520095</v>
          </cell>
          <cell r="D389" t="str">
            <v>GI0432</v>
          </cell>
          <cell r="E389" t="str">
            <v>CHENNAI P.H. ROAD ONLINE PETTY CASH A/C</v>
          </cell>
          <cell r="F389" t="str">
            <v>ACASH</v>
          </cell>
          <cell r="G389">
            <v>3336</v>
          </cell>
          <cell r="K389">
            <v>3336</v>
          </cell>
        </row>
        <row r="390">
          <cell r="C390">
            <v>23520014</v>
          </cell>
          <cell r="D390" t="str">
            <v>GI0318</v>
          </cell>
          <cell r="E390" t="str">
            <v>ALAKNANDA DELHI PETTY CASH A/C</v>
          </cell>
          <cell r="F390" t="str">
            <v>ACASH</v>
          </cell>
          <cell r="G390">
            <v>240</v>
          </cell>
          <cell r="K390">
            <v>240</v>
          </cell>
        </row>
        <row r="391">
          <cell r="C391">
            <v>23520784</v>
          </cell>
          <cell r="E391" t="str">
            <v>HYDERABAD BANJARA HILLS ONLINE PETTY CASH A/C</v>
          </cell>
          <cell r="F391" t="str">
            <v>ACASH</v>
          </cell>
          <cell r="G391">
            <v>2439</v>
          </cell>
          <cell r="K391">
            <v>2439</v>
          </cell>
        </row>
        <row r="392">
          <cell r="C392">
            <v>23520208</v>
          </cell>
          <cell r="D392" t="str">
            <v>GI0254</v>
          </cell>
          <cell r="E392" t="str">
            <v>JALGAON PETTY CASH A/C</v>
          </cell>
          <cell r="F392" t="str">
            <v>ACASH</v>
          </cell>
          <cell r="G392">
            <v>4</v>
          </cell>
          <cell r="K392">
            <v>4</v>
          </cell>
        </row>
        <row r="393">
          <cell r="C393">
            <v>23520231</v>
          </cell>
          <cell r="D393" t="str">
            <v>GI0132</v>
          </cell>
          <cell r="E393" t="str">
            <v>KANPUR  PETTY CASH A/C ONLINE</v>
          </cell>
          <cell r="F393" t="str">
            <v>ACASH</v>
          </cell>
          <cell r="G393">
            <v>21002</v>
          </cell>
          <cell r="K393">
            <v>21002</v>
          </cell>
        </row>
        <row r="394">
          <cell r="C394">
            <v>23520290</v>
          </cell>
          <cell r="D394" t="str">
            <v>GI058</v>
          </cell>
          <cell r="E394" t="str">
            <v>MEERUT PETTY CASH</v>
          </cell>
          <cell r="F394" t="str">
            <v>ACASH</v>
          </cell>
          <cell r="G394">
            <v>0</v>
          </cell>
          <cell r="K394">
            <v>0</v>
          </cell>
        </row>
        <row r="395">
          <cell r="C395">
            <v>23520296</v>
          </cell>
          <cell r="D395" t="str">
            <v>GI081</v>
          </cell>
          <cell r="E395" t="str">
            <v>MORADABAD PETTY CASH</v>
          </cell>
          <cell r="F395" t="str">
            <v>ACASH</v>
          </cell>
          <cell r="G395">
            <v>0</v>
          </cell>
          <cell r="K395">
            <v>0</v>
          </cell>
        </row>
        <row r="396">
          <cell r="C396">
            <v>23520447</v>
          </cell>
          <cell r="D396" t="str">
            <v>GI0365</v>
          </cell>
          <cell r="E396" t="str">
            <v>VASANT KUNJ ONLINE PETTY CASH A/C</v>
          </cell>
          <cell r="F396" t="str">
            <v>ACASH</v>
          </cell>
          <cell r="G396">
            <v>0</v>
          </cell>
          <cell r="K396">
            <v>0</v>
          </cell>
        </row>
        <row r="397">
          <cell r="C397">
            <v>23520170</v>
          </cell>
          <cell r="D397" t="str">
            <v>GI0294</v>
          </cell>
          <cell r="E397" t="str">
            <v>HAMILTON HOUSE A BLOCK PETTY CASH A/C</v>
          </cell>
          <cell r="F397" t="str">
            <v>ACASH</v>
          </cell>
          <cell r="G397">
            <v>6479</v>
          </cell>
          <cell r="K397">
            <v>6479</v>
          </cell>
        </row>
        <row r="398">
          <cell r="C398">
            <v>23520263</v>
          </cell>
          <cell r="D398" t="str">
            <v>GI0268</v>
          </cell>
          <cell r="E398" t="str">
            <v>LUDHIANA MILLER GUNG PETTY CASH A/C</v>
          </cell>
          <cell r="F398" t="str">
            <v>ACASH</v>
          </cell>
          <cell r="G398">
            <v>0</v>
          </cell>
          <cell r="K398">
            <v>0</v>
          </cell>
        </row>
        <row r="399">
          <cell r="C399">
            <v>23520267</v>
          </cell>
          <cell r="E399" t="str">
            <v>Mumbai Fort Petty Cash ( Distribution Business )</v>
          </cell>
          <cell r="F399" t="str">
            <v>ACASH</v>
          </cell>
          <cell r="G399">
            <v>0</v>
          </cell>
          <cell r="K399">
            <v>0</v>
          </cell>
        </row>
        <row r="400">
          <cell r="C400">
            <v>23520436</v>
          </cell>
          <cell r="D400" t="str">
            <v>GI0324</v>
          </cell>
          <cell r="E400" t="str">
            <v>UDAIPUR OFFLINE PETTY CASH A/C</v>
          </cell>
          <cell r="F400" t="str">
            <v>ACASH</v>
          </cell>
          <cell r="G400">
            <v>0</v>
          </cell>
          <cell r="K400">
            <v>0</v>
          </cell>
        </row>
        <row r="401">
          <cell r="C401">
            <v>23520446</v>
          </cell>
          <cell r="D401" t="str">
            <v>GI0276</v>
          </cell>
          <cell r="E401" t="str">
            <v>VASANT KUNJ OFFLINE PETTY CASH A/C</v>
          </cell>
          <cell r="F401" t="str">
            <v>ACASH</v>
          </cell>
          <cell r="G401">
            <v>0</v>
          </cell>
          <cell r="K401">
            <v>0</v>
          </cell>
        </row>
        <row r="402">
          <cell r="C402">
            <v>23520458</v>
          </cell>
          <cell r="D402" t="str">
            <v>GI0341</v>
          </cell>
          <cell r="E402" t="str">
            <v>VILE PARLE PETTY CASH A/C</v>
          </cell>
          <cell r="F402" t="str">
            <v>ACASH</v>
          </cell>
          <cell r="G402">
            <v>0</v>
          </cell>
          <cell r="K402">
            <v>0</v>
          </cell>
        </row>
        <row r="403">
          <cell r="C403">
            <v>23520748</v>
          </cell>
          <cell r="E403" t="str">
            <v>CHENNAI MYLAPORE ONLINE PETTY CASH A/C</v>
          </cell>
          <cell r="F403" t="str">
            <v>ACASH</v>
          </cell>
          <cell r="G403">
            <v>0</v>
          </cell>
          <cell r="K403">
            <v>0</v>
          </cell>
        </row>
        <row r="404">
          <cell r="C404">
            <v>23520699</v>
          </cell>
          <cell r="E404" t="str">
            <v>Ranchi Petty Cash A/c</v>
          </cell>
          <cell r="F404" t="str">
            <v>ACASH</v>
          </cell>
          <cell r="G404">
            <v>339</v>
          </cell>
          <cell r="K404">
            <v>339</v>
          </cell>
        </row>
        <row r="405">
          <cell r="C405">
            <v>23520276</v>
          </cell>
          <cell r="E405" t="str">
            <v>Delhi A Block Petty Cash A/C(Distribution Busines)</v>
          </cell>
          <cell r="F405" t="str">
            <v>ACASH</v>
          </cell>
          <cell r="G405">
            <v>0</v>
          </cell>
          <cell r="K405">
            <v>0</v>
          </cell>
        </row>
        <row r="406">
          <cell r="C406">
            <v>23521153</v>
          </cell>
          <cell r="E406" t="str">
            <v>Kolkata Dalhousie (Dist. Busi.) Petty Cash</v>
          </cell>
          <cell r="F406" t="str">
            <v>ACASH</v>
          </cell>
          <cell r="G406">
            <v>2235</v>
          </cell>
          <cell r="K406">
            <v>2235</v>
          </cell>
        </row>
        <row r="407">
          <cell r="C407">
            <v>23520254</v>
          </cell>
          <cell r="E407" t="str">
            <v>ROHINI SEC-3 OFFLINE PETTY CASH A/C</v>
          </cell>
          <cell r="F407" t="str">
            <v>ACASH</v>
          </cell>
          <cell r="G407">
            <v>10820</v>
          </cell>
          <cell r="K407">
            <v>10820</v>
          </cell>
        </row>
        <row r="408">
          <cell r="C408">
            <v>23520840</v>
          </cell>
          <cell r="D408" t="str">
            <v>GI0402</v>
          </cell>
          <cell r="E408" t="str">
            <v>MODI NAGAR PETTY CASH A/C</v>
          </cell>
          <cell r="F408" t="str">
            <v>ACASH</v>
          </cell>
          <cell r="G408">
            <v>0</v>
          </cell>
          <cell r="K408">
            <v>0</v>
          </cell>
        </row>
        <row r="409">
          <cell r="C409">
            <v>23520269</v>
          </cell>
          <cell r="E409" t="str">
            <v>Delhi F Block Petty Cash A/C(Distribution Business</v>
          </cell>
          <cell r="F409" t="str">
            <v>ACASH</v>
          </cell>
          <cell r="G409">
            <v>0</v>
          </cell>
          <cell r="K409">
            <v>0</v>
          </cell>
        </row>
        <row r="411">
          <cell r="E411" t="str">
            <v>CURRENT ASSETS- BANK</v>
          </cell>
        </row>
        <row r="412">
          <cell r="C412">
            <v>23514750</v>
          </cell>
          <cell r="E412" t="str">
            <v>IDBI A/C 038102000015543(F/D A/C, GURGAON)</v>
          </cell>
          <cell r="F412" t="str">
            <v>ABANK</v>
          </cell>
          <cell r="G412">
            <v>2981088</v>
          </cell>
          <cell r="K412">
            <v>2981088</v>
          </cell>
        </row>
        <row r="413">
          <cell r="C413">
            <v>23503790</v>
          </cell>
          <cell r="D413" t="str">
            <v>GA00B215</v>
          </cell>
          <cell r="E413" t="str">
            <v>269443  Uco Bank</v>
          </cell>
          <cell r="F413" t="str">
            <v>ABANK</v>
          </cell>
          <cell r="G413">
            <v>10012314.119999999</v>
          </cell>
          <cell r="K413">
            <v>10012314.119999999</v>
          </cell>
        </row>
        <row r="414">
          <cell r="C414">
            <v>23510470</v>
          </cell>
          <cell r="E414" t="str">
            <v>Indian Bank  a/c no 723815435</v>
          </cell>
          <cell r="F414" t="str">
            <v>ABANK</v>
          </cell>
          <cell r="G414">
            <v>62878</v>
          </cell>
          <cell r="K414">
            <v>62878</v>
          </cell>
        </row>
        <row r="415">
          <cell r="C415">
            <v>23500640</v>
          </cell>
          <cell r="D415" t="str">
            <v>GA00B99</v>
          </cell>
          <cell r="E415" t="str">
            <v>Union Bank Of India 25136</v>
          </cell>
          <cell r="F415" t="str">
            <v>ABANK</v>
          </cell>
          <cell r="G415">
            <v>65595.8</v>
          </cell>
          <cell r="K415">
            <v>65595.8</v>
          </cell>
        </row>
        <row r="416">
          <cell r="C416">
            <v>23500890</v>
          </cell>
          <cell r="D416" t="str">
            <v>GA00B104</v>
          </cell>
          <cell r="E416" t="str">
            <v>Icici Bank (Free Press, Mumbai) A/C 15895</v>
          </cell>
          <cell r="F416" t="str">
            <v>ABANK</v>
          </cell>
          <cell r="G416">
            <v>9256080.3900000006</v>
          </cell>
          <cell r="K416">
            <v>9256080.3900000006</v>
          </cell>
        </row>
        <row r="417">
          <cell r="C417">
            <v>23514070</v>
          </cell>
          <cell r="E417" t="str">
            <v>05988510000240 ISL DIVIDEND 2007-2008 A/C</v>
          </cell>
          <cell r="F417" t="str">
            <v>ABANK</v>
          </cell>
          <cell r="G417">
            <v>4376288</v>
          </cell>
          <cell r="K417">
            <v>4376288</v>
          </cell>
        </row>
        <row r="418">
          <cell r="C418">
            <v>23520127</v>
          </cell>
          <cell r="E418" t="str">
            <v>ISL-DIVIDEND A/C-08-09 -HDFC 05988510000422</v>
          </cell>
          <cell r="F418" t="str">
            <v>ABANK</v>
          </cell>
          <cell r="G418">
            <v>3203172</v>
          </cell>
          <cell r="K418">
            <v>3203172</v>
          </cell>
        </row>
        <row r="419">
          <cell r="C419">
            <v>23502580</v>
          </cell>
          <cell r="D419" t="str">
            <v>GA00B182</v>
          </cell>
          <cell r="E419" t="str">
            <v>0030340018143 ISL</v>
          </cell>
          <cell r="F419" t="str">
            <v>ABANK</v>
          </cell>
          <cell r="G419">
            <v>9581025.5999999996</v>
          </cell>
          <cell r="K419">
            <v>9581025.5999999996</v>
          </cell>
        </row>
        <row r="420">
          <cell r="C420">
            <v>23503980</v>
          </cell>
          <cell r="D420" t="str">
            <v>GA00B525</v>
          </cell>
          <cell r="E420" t="str">
            <v>0540340003004 Hdfc Bank Ltd</v>
          </cell>
          <cell r="F420" t="str">
            <v>ABANK</v>
          </cell>
          <cell r="G420">
            <v>3277935</v>
          </cell>
          <cell r="K420">
            <v>3277935</v>
          </cell>
        </row>
        <row r="421">
          <cell r="C421">
            <v>23502620</v>
          </cell>
          <cell r="D421" t="str">
            <v>GA00B243</v>
          </cell>
          <cell r="E421" t="str">
            <v>ISL- Uti Bank Ltd For Ho-007010200039622</v>
          </cell>
          <cell r="F421" t="str">
            <v>ABANK</v>
          </cell>
          <cell r="G421">
            <v>784180.07</v>
          </cell>
          <cell r="K421">
            <v>784180.07</v>
          </cell>
        </row>
        <row r="422">
          <cell r="C422">
            <v>23500090</v>
          </cell>
          <cell r="D422" t="str">
            <v>GA00B211</v>
          </cell>
          <cell r="E422" t="str">
            <v>Hdfc Bank (Brokers) 10340005474</v>
          </cell>
          <cell r="F422" t="str">
            <v>ABANK</v>
          </cell>
          <cell r="G422">
            <v>7001013.1900000004</v>
          </cell>
          <cell r="K422">
            <v>7001013.1900000004</v>
          </cell>
        </row>
        <row r="423">
          <cell r="C423">
            <v>23501590</v>
          </cell>
          <cell r="D423" t="str">
            <v>GA00B142</v>
          </cell>
          <cell r="E423" t="str">
            <v>Hsbc Account 051-895951-002</v>
          </cell>
          <cell r="F423" t="str">
            <v>ABANK</v>
          </cell>
          <cell r="G423">
            <v>8498111.0999999996</v>
          </cell>
          <cell r="K423">
            <v>8498111.0999999996</v>
          </cell>
        </row>
        <row r="424">
          <cell r="C424">
            <v>23520150</v>
          </cell>
          <cell r="E424" t="str">
            <v>Indiabulls Securities Ltd. A/c No. 00030340037616</v>
          </cell>
          <cell r="F424" t="str">
            <v>ABANK</v>
          </cell>
          <cell r="G424">
            <v>7892819.2300000004</v>
          </cell>
          <cell r="K424">
            <v>7892819.2300000004</v>
          </cell>
        </row>
        <row r="425">
          <cell r="C425">
            <v>23500072</v>
          </cell>
          <cell r="E425" t="str">
            <v>ISL Preference Dividend Account 07-08 598851000013</v>
          </cell>
          <cell r="F425" t="str">
            <v>ABANK</v>
          </cell>
          <cell r="G425">
            <v>0</v>
          </cell>
          <cell r="K425">
            <v>0</v>
          </cell>
        </row>
        <row r="426">
          <cell r="C426">
            <v>23520600</v>
          </cell>
          <cell r="E426" t="str">
            <v>0276050413756  UNITED BANK OF INDIA</v>
          </cell>
          <cell r="F426" t="str">
            <v>ABANK</v>
          </cell>
          <cell r="G426">
            <v>321894.36</v>
          </cell>
          <cell r="K426">
            <v>321894.36</v>
          </cell>
        </row>
        <row r="427">
          <cell r="C427">
            <v>23501610</v>
          </cell>
          <cell r="D427" t="str">
            <v>GA00B148</v>
          </cell>
          <cell r="E427" t="str">
            <v>0182340000130 Hdfc Bank</v>
          </cell>
          <cell r="F427" t="str">
            <v>ABANK</v>
          </cell>
          <cell r="G427">
            <v>234198.55</v>
          </cell>
          <cell r="K427">
            <v>234198.55</v>
          </cell>
        </row>
        <row r="428">
          <cell r="C428">
            <v>23503800</v>
          </cell>
          <cell r="D428" t="str">
            <v>GA00B216</v>
          </cell>
          <cell r="E428" t="str">
            <v xml:space="preserve"> Bank of Maharastra 20007603128</v>
          </cell>
          <cell r="F428" t="str">
            <v>ABANK</v>
          </cell>
          <cell r="G428">
            <v>697959</v>
          </cell>
          <cell r="K428">
            <v>697959</v>
          </cell>
        </row>
        <row r="429">
          <cell r="C429">
            <v>23500840</v>
          </cell>
          <cell r="D429" t="str">
            <v>GA00B262</v>
          </cell>
          <cell r="E429" t="str">
            <v>0030340022261 Hdfc Bank Ltd</v>
          </cell>
          <cell r="F429" t="str">
            <v>ABANK</v>
          </cell>
          <cell r="G429">
            <v>149723.73000000001</v>
          </cell>
          <cell r="K429">
            <v>149723.73000000001</v>
          </cell>
        </row>
        <row r="430">
          <cell r="C430">
            <v>23502640</v>
          </cell>
          <cell r="D430" t="str">
            <v>GA00B350</v>
          </cell>
          <cell r="E430" t="str">
            <v>0480340000015 Hdfc Bank Ltd</v>
          </cell>
          <cell r="F430" t="str">
            <v>ABANK</v>
          </cell>
          <cell r="G430">
            <v>134841.60000000001</v>
          </cell>
          <cell r="K430">
            <v>134841.60000000001</v>
          </cell>
        </row>
        <row r="431">
          <cell r="C431">
            <v>23502030</v>
          </cell>
          <cell r="D431" t="str">
            <v>GA00B112</v>
          </cell>
          <cell r="E431" t="str">
            <v>0360340000342 Hdfc Bank</v>
          </cell>
          <cell r="F431" t="str">
            <v>ABANK</v>
          </cell>
          <cell r="G431">
            <v>86067.12</v>
          </cell>
          <cell r="K431">
            <v>86067.12</v>
          </cell>
        </row>
        <row r="432">
          <cell r="C432">
            <v>23502820</v>
          </cell>
          <cell r="D432" t="str">
            <v>GA00B24</v>
          </cell>
          <cell r="E432" t="str">
            <v>0090340000292 Hdfc Bank</v>
          </cell>
          <cell r="F432" t="str">
            <v>ABANK</v>
          </cell>
          <cell r="G432">
            <v>116906.61</v>
          </cell>
          <cell r="K432">
            <v>116906.61</v>
          </cell>
        </row>
        <row r="433">
          <cell r="C433">
            <v>23502060</v>
          </cell>
          <cell r="D433" t="str">
            <v>GA00B115</v>
          </cell>
          <cell r="E433" t="str">
            <v>0070340000352 Hdfc Bank</v>
          </cell>
          <cell r="F433" t="str">
            <v>ABANK</v>
          </cell>
          <cell r="G433">
            <v>107279.79</v>
          </cell>
          <cell r="K433">
            <v>107279.79</v>
          </cell>
        </row>
        <row r="434">
          <cell r="C434">
            <v>23503720</v>
          </cell>
          <cell r="D434" t="str">
            <v>GA00B214</v>
          </cell>
          <cell r="E434" t="str">
            <v>004010200559638  Uti  Bank</v>
          </cell>
          <cell r="F434" t="str">
            <v>ABANK</v>
          </cell>
          <cell r="G434">
            <v>83068.09</v>
          </cell>
          <cell r="K434">
            <v>83068.09</v>
          </cell>
        </row>
        <row r="435">
          <cell r="C435">
            <v>23502300</v>
          </cell>
          <cell r="D435" t="str">
            <v>GA00B488</v>
          </cell>
          <cell r="E435" t="str">
            <v>0280340000028 Hdfc Bankltd</v>
          </cell>
          <cell r="F435" t="str">
            <v>ABANK</v>
          </cell>
          <cell r="G435">
            <v>244599.24</v>
          </cell>
          <cell r="K435">
            <v>244599.24</v>
          </cell>
        </row>
        <row r="436">
          <cell r="C436">
            <v>23503000</v>
          </cell>
          <cell r="D436" t="str">
            <v>GA00B332</v>
          </cell>
          <cell r="E436" t="str">
            <v>1190340000121  Hdfc Bank Ltd.</v>
          </cell>
          <cell r="F436" t="str">
            <v>ABANK</v>
          </cell>
          <cell r="G436">
            <v>159592.59</v>
          </cell>
          <cell r="K436">
            <v>159592.59</v>
          </cell>
        </row>
        <row r="437">
          <cell r="C437">
            <v>23501320</v>
          </cell>
          <cell r="D437" t="str">
            <v>GA00B123</v>
          </cell>
          <cell r="E437" t="str">
            <v>2250340000011 Hdfc Bank</v>
          </cell>
          <cell r="F437" t="str">
            <v>ABANK</v>
          </cell>
          <cell r="G437">
            <v>226763</v>
          </cell>
          <cell r="K437">
            <v>226763</v>
          </cell>
        </row>
        <row r="438">
          <cell r="C438">
            <v>23501000</v>
          </cell>
          <cell r="D438" t="str">
            <v>GA00B167</v>
          </cell>
          <cell r="E438" t="str">
            <v>0040340002766 Hdfc Bank</v>
          </cell>
          <cell r="F438" t="str">
            <v>ABANK</v>
          </cell>
          <cell r="G438">
            <v>131772.63</v>
          </cell>
          <cell r="K438">
            <v>131772.63</v>
          </cell>
        </row>
        <row r="439">
          <cell r="C439">
            <v>23500660</v>
          </cell>
          <cell r="D439" t="str">
            <v>GA00B107</v>
          </cell>
          <cell r="E439" t="str">
            <v>Abn Amro Bank 6523927</v>
          </cell>
          <cell r="F439" t="str">
            <v>ABANK</v>
          </cell>
          <cell r="G439">
            <v>95095.79</v>
          </cell>
          <cell r="K439">
            <v>95095.79</v>
          </cell>
        </row>
        <row r="440">
          <cell r="C440">
            <v>23505120</v>
          </cell>
          <cell r="D440" t="str">
            <v>GA00B477</v>
          </cell>
          <cell r="E440" t="str">
            <v>Allahabad Bank a/c no 20015744423</v>
          </cell>
          <cell r="F440" t="str">
            <v>ABANK</v>
          </cell>
          <cell r="G440">
            <v>1863331</v>
          </cell>
          <cell r="K440">
            <v>1863331</v>
          </cell>
        </row>
        <row r="441">
          <cell r="C441">
            <v>23503750</v>
          </cell>
          <cell r="D441" t="str">
            <v>GA00B285</v>
          </cell>
          <cell r="E441" t="str">
            <v>2260340000179  Hdfc Bank Ltd</v>
          </cell>
          <cell r="F441" t="str">
            <v>ABANK</v>
          </cell>
          <cell r="G441">
            <v>135149.07</v>
          </cell>
          <cell r="K441">
            <v>135149.07</v>
          </cell>
        </row>
        <row r="442">
          <cell r="C442">
            <v>23501400</v>
          </cell>
          <cell r="D442" t="str">
            <v>GA00B92</v>
          </cell>
          <cell r="E442" t="str">
            <v>0540340000958 Hdfc Bank</v>
          </cell>
          <cell r="F442" t="str">
            <v>ABANK</v>
          </cell>
          <cell r="G442">
            <v>86643.199999999997</v>
          </cell>
          <cell r="K442">
            <v>86643.199999999997</v>
          </cell>
        </row>
        <row r="443">
          <cell r="C443">
            <v>23503220</v>
          </cell>
          <cell r="D443" t="str">
            <v>GA00B321</v>
          </cell>
          <cell r="E443" t="str">
            <v>0642340000107  Hdfc Bank Ltd.</v>
          </cell>
          <cell r="F443" t="str">
            <v>ABANK</v>
          </cell>
          <cell r="G443">
            <v>93038.96</v>
          </cell>
          <cell r="K443">
            <v>93038.96</v>
          </cell>
        </row>
        <row r="444">
          <cell r="C444">
            <v>23500410</v>
          </cell>
          <cell r="D444" t="str">
            <v>GA00B209</v>
          </cell>
          <cell r="E444" t="str">
            <v>0880340000064 Hdfc Bank</v>
          </cell>
          <cell r="F444" t="str">
            <v>ABANK</v>
          </cell>
          <cell r="G444">
            <v>145190.01999999999</v>
          </cell>
          <cell r="K444">
            <v>145190.01999999999</v>
          </cell>
        </row>
        <row r="445">
          <cell r="C445">
            <v>23502810</v>
          </cell>
          <cell r="D445" t="str">
            <v>GA00B23</v>
          </cell>
          <cell r="E445" t="str">
            <v>0062340000381 Hdfc Bank</v>
          </cell>
          <cell r="F445" t="str">
            <v>ABANK</v>
          </cell>
          <cell r="G445">
            <v>67487.149999999994</v>
          </cell>
          <cell r="K445">
            <v>67487.149999999994</v>
          </cell>
        </row>
        <row r="446">
          <cell r="C446">
            <v>23501930</v>
          </cell>
          <cell r="D446" t="str">
            <v>GA00B309</v>
          </cell>
          <cell r="E446" t="str">
            <v>4290340000281  Hdfc Bank Ltd.</v>
          </cell>
          <cell r="F446" t="str">
            <v>ABANK</v>
          </cell>
          <cell r="G446">
            <v>120920.99</v>
          </cell>
          <cell r="K446">
            <v>120920.99</v>
          </cell>
        </row>
        <row r="447">
          <cell r="C447">
            <v>23504480</v>
          </cell>
          <cell r="D447" t="str">
            <v>GA00B410</v>
          </cell>
          <cell r="E447" t="str">
            <v>0540340002936  Hdfc Bank Ltd.</v>
          </cell>
          <cell r="F447" t="str">
            <v>ABANK</v>
          </cell>
          <cell r="G447">
            <v>73509.820000000007</v>
          </cell>
          <cell r="K447">
            <v>73509.820000000007</v>
          </cell>
        </row>
        <row r="448">
          <cell r="C448">
            <v>23502660</v>
          </cell>
          <cell r="D448" t="str">
            <v>GA00B351</v>
          </cell>
          <cell r="E448" t="str">
            <v>0482340000055 Hdfc Bank Ltd</v>
          </cell>
          <cell r="F448" t="str">
            <v>ABANK</v>
          </cell>
          <cell r="G448">
            <v>72319.210000000006</v>
          </cell>
          <cell r="K448">
            <v>72319.210000000006</v>
          </cell>
        </row>
        <row r="449">
          <cell r="C449">
            <v>23500400</v>
          </cell>
          <cell r="D449" t="str">
            <v>GA00B175</v>
          </cell>
          <cell r="E449" t="str">
            <v>1270340002975 Hdfc Bank</v>
          </cell>
          <cell r="F449" t="str">
            <v>ABANK</v>
          </cell>
          <cell r="G449">
            <v>46154.720000000001</v>
          </cell>
          <cell r="K449">
            <v>46154.720000000001</v>
          </cell>
        </row>
        <row r="450">
          <cell r="C450">
            <v>23502800</v>
          </cell>
          <cell r="D450" t="str">
            <v>GA00B22</v>
          </cell>
          <cell r="E450" t="str">
            <v>0140340002609 Hdfc Bank</v>
          </cell>
          <cell r="F450" t="str">
            <v>ABANK</v>
          </cell>
          <cell r="G450">
            <v>182122.02</v>
          </cell>
          <cell r="K450">
            <v>182122.02</v>
          </cell>
        </row>
        <row r="451">
          <cell r="C451">
            <v>23512480</v>
          </cell>
          <cell r="E451" t="str">
            <v>HDFC Bank Ltd. SRTRR2 00670340000865</v>
          </cell>
          <cell r="F451" t="str">
            <v>ABANK</v>
          </cell>
          <cell r="G451">
            <v>85940.83</v>
          </cell>
          <cell r="K451">
            <v>85940.83</v>
          </cell>
        </row>
        <row r="452">
          <cell r="C452">
            <v>23501920</v>
          </cell>
          <cell r="D452" t="str">
            <v>GA00B308</v>
          </cell>
          <cell r="E452" t="str">
            <v>0032340000732  Hdfc Bank Ltd</v>
          </cell>
          <cell r="F452" t="str">
            <v>ABANK</v>
          </cell>
          <cell r="G452">
            <v>112432.76</v>
          </cell>
          <cell r="K452">
            <v>112432.76</v>
          </cell>
        </row>
        <row r="453">
          <cell r="C453">
            <v>23502130</v>
          </cell>
          <cell r="D453" t="str">
            <v>GA00B37</v>
          </cell>
          <cell r="E453" t="str">
            <v>2540340000011 Hdfc Bank</v>
          </cell>
          <cell r="F453" t="str">
            <v>ABANK</v>
          </cell>
          <cell r="G453">
            <v>116594.83</v>
          </cell>
          <cell r="K453">
            <v>116594.83</v>
          </cell>
        </row>
        <row r="454">
          <cell r="C454">
            <v>23500940</v>
          </cell>
          <cell r="D454" t="str">
            <v>GA00B159</v>
          </cell>
          <cell r="E454" t="str">
            <v>Karnataka Bank-Mumbai(15201)</v>
          </cell>
          <cell r="F454" t="str">
            <v>ABANK</v>
          </cell>
          <cell r="G454">
            <v>53125</v>
          </cell>
          <cell r="K454">
            <v>53125</v>
          </cell>
        </row>
        <row r="455">
          <cell r="C455">
            <v>23501080</v>
          </cell>
          <cell r="D455" t="str">
            <v>GA00B293</v>
          </cell>
          <cell r="E455" t="str">
            <v>2500340000017 Hdfc Bank Ltd.</v>
          </cell>
          <cell r="F455" t="str">
            <v>ABANK</v>
          </cell>
          <cell r="G455">
            <v>61154</v>
          </cell>
          <cell r="K455">
            <v>61154</v>
          </cell>
        </row>
        <row r="456">
          <cell r="C456">
            <v>23503680</v>
          </cell>
          <cell r="D456" t="str">
            <v>GA00B149</v>
          </cell>
          <cell r="E456" t="str">
            <v>0080340011214 Hdfc Bank</v>
          </cell>
          <cell r="F456" t="str">
            <v>ABANK</v>
          </cell>
          <cell r="G456">
            <v>197200.72</v>
          </cell>
          <cell r="K456">
            <v>197200.72</v>
          </cell>
        </row>
        <row r="457">
          <cell r="C457">
            <v>23500620</v>
          </cell>
          <cell r="D457" t="str">
            <v>GA00B208</v>
          </cell>
          <cell r="E457" t="str">
            <v>1020340000244 Hdfc Bank</v>
          </cell>
          <cell r="F457" t="str">
            <v>ABANK</v>
          </cell>
          <cell r="G457">
            <v>57668.75</v>
          </cell>
          <cell r="K457">
            <v>57668.75</v>
          </cell>
        </row>
        <row r="458">
          <cell r="C458">
            <v>23503210</v>
          </cell>
          <cell r="D458" t="str">
            <v>GA00B320</v>
          </cell>
          <cell r="E458" t="str">
            <v>4372340000015  Hdfc Bank Ltd.</v>
          </cell>
          <cell r="F458" t="str">
            <v>ABANK</v>
          </cell>
          <cell r="G458">
            <v>111591.31</v>
          </cell>
          <cell r="K458">
            <v>111591.31</v>
          </cell>
        </row>
        <row r="459">
          <cell r="C459">
            <v>23500490</v>
          </cell>
          <cell r="D459" t="str">
            <v>GA00B130</v>
          </cell>
          <cell r="E459" t="str">
            <v>Standard Chartered Bank-52505051059</v>
          </cell>
          <cell r="F459" t="str">
            <v>ABANK</v>
          </cell>
          <cell r="G459">
            <v>59531.96</v>
          </cell>
          <cell r="K459">
            <v>59531.96</v>
          </cell>
        </row>
        <row r="460">
          <cell r="C460">
            <v>23502490</v>
          </cell>
          <cell r="D460" t="str">
            <v>GA00B317</v>
          </cell>
          <cell r="E460" t="str">
            <v>1550340000132 Hdfc Bank Ltd.</v>
          </cell>
          <cell r="F460" t="str">
            <v>ABANK</v>
          </cell>
          <cell r="G460">
            <v>38310</v>
          </cell>
          <cell r="K460">
            <v>38310</v>
          </cell>
        </row>
        <row r="461">
          <cell r="C461">
            <v>23501370</v>
          </cell>
          <cell r="D461" t="str">
            <v>GA00B61</v>
          </cell>
          <cell r="E461" t="str">
            <v>0590340000047 Hdfc Bank</v>
          </cell>
          <cell r="F461" t="str">
            <v>ABANK</v>
          </cell>
          <cell r="G461">
            <v>102901.21</v>
          </cell>
          <cell r="K461">
            <v>102901.21</v>
          </cell>
        </row>
        <row r="462">
          <cell r="C462">
            <v>23500540</v>
          </cell>
          <cell r="D462" t="str">
            <v>GA00B190</v>
          </cell>
          <cell r="E462" t="str">
            <v>3002340000055 Hdfc Bank</v>
          </cell>
          <cell r="F462" t="str">
            <v>ABANK</v>
          </cell>
          <cell r="G462">
            <v>48961.75</v>
          </cell>
          <cell r="K462">
            <v>48961.75</v>
          </cell>
        </row>
        <row r="463">
          <cell r="C463">
            <v>23500380</v>
          </cell>
          <cell r="D463" t="str">
            <v>GA00B173</v>
          </cell>
          <cell r="E463" t="str">
            <v>2612340000011 Hdfc Bank</v>
          </cell>
          <cell r="F463" t="str">
            <v>ABANK</v>
          </cell>
          <cell r="G463">
            <v>48665.79</v>
          </cell>
          <cell r="K463">
            <v>48665.79</v>
          </cell>
        </row>
        <row r="464">
          <cell r="C464">
            <v>23505670</v>
          </cell>
          <cell r="D464" t="str">
            <v>GA00B537</v>
          </cell>
          <cell r="E464" t="str">
            <v>2512340000031HDFC BANK LIMITED</v>
          </cell>
          <cell r="F464" t="str">
            <v>ABANK</v>
          </cell>
          <cell r="G464">
            <v>86514.86</v>
          </cell>
          <cell r="K464">
            <v>86514.86</v>
          </cell>
        </row>
        <row r="465">
          <cell r="C465">
            <v>23501940</v>
          </cell>
          <cell r="D465" t="str">
            <v>GA00B310</v>
          </cell>
          <cell r="E465" t="str">
            <v>1310340000124  Hdfc Bank Ltd.</v>
          </cell>
          <cell r="F465" t="str">
            <v>ABANK</v>
          </cell>
          <cell r="G465">
            <v>54557.77</v>
          </cell>
          <cell r="K465">
            <v>54557.77</v>
          </cell>
        </row>
        <row r="466">
          <cell r="C466">
            <v>23502870</v>
          </cell>
          <cell r="D466" t="str">
            <v>GA00B35</v>
          </cell>
          <cell r="E466" t="str">
            <v>Canara Bank 3070 Blocked</v>
          </cell>
          <cell r="F466" t="str">
            <v>ABANK</v>
          </cell>
          <cell r="G466">
            <v>0</v>
          </cell>
          <cell r="K466">
            <v>0</v>
          </cell>
        </row>
        <row r="467">
          <cell r="C467">
            <v>23504120</v>
          </cell>
          <cell r="D467" t="str">
            <v>GA00B463</v>
          </cell>
          <cell r="E467" t="str">
            <v>5452340000020 Hdfc Bank Ltd.</v>
          </cell>
          <cell r="F467" t="str">
            <v>ABANK</v>
          </cell>
          <cell r="G467">
            <v>101970.1</v>
          </cell>
          <cell r="K467">
            <v>101970.1</v>
          </cell>
        </row>
        <row r="468">
          <cell r="C468">
            <v>24532030</v>
          </cell>
          <cell r="E468" t="str">
            <v>Oriental Bank of Commerce a/c no 01791011001474</v>
          </cell>
          <cell r="F468" t="str">
            <v>ABANK</v>
          </cell>
          <cell r="G468">
            <v>5868172</v>
          </cell>
          <cell r="K468">
            <v>5868172</v>
          </cell>
        </row>
        <row r="469">
          <cell r="C469">
            <v>23500520</v>
          </cell>
          <cell r="D469" t="str">
            <v>GA00B140</v>
          </cell>
          <cell r="E469" t="str">
            <v>0330340000504 Hdfc Bank</v>
          </cell>
          <cell r="F469" t="str">
            <v>ABANK</v>
          </cell>
          <cell r="G469">
            <v>59571.69</v>
          </cell>
          <cell r="K469">
            <v>59571.69</v>
          </cell>
        </row>
        <row r="470">
          <cell r="C470">
            <v>23502260</v>
          </cell>
          <cell r="D470" t="str">
            <v>GA00B483</v>
          </cell>
          <cell r="E470" t="str">
            <v>0930340000073 Hdfc Bank Ltd</v>
          </cell>
          <cell r="F470" t="str">
            <v>ABANK</v>
          </cell>
          <cell r="G470">
            <v>13659.7</v>
          </cell>
          <cell r="K470">
            <v>13659.7</v>
          </cell>
        </row>
        <row r="471">
          <cell r="C471">
            <v>23511040</v>
          </cell>
          <cell r="E471" t="str">
            <v>UTI Bank Gurgaon 392010200001656</v>
          </cell>
          <cell r="F471" t="str">
            <v>ABANK</v>
          </cell>
          <cell r="G471">
            <v>0</v>
          </cell>
          <cell r="K471">
            <v>0</v>
          </cell>
        </row>
        <row r="472">
          <cell r="C472">
            <v>23502080</v>
          </cell>
          <cell r="D472" t="str">
            <v>GA00B117</v>
          </cell>
          <cell r="E472" t="str">
            <v>0310340000354 Hdfc Bank</v>
          </cell>
          <cell r="F472" t="str">
            <v>ABANK</v>
          </cell>
          <cell r="G472">
            <v>7520.8</v>
          </cell>
          <cell r="K472">
            <v>7520.8</v>
          </cell>
        </row>
        <row r="473">
          <cell r="C473">
            <v>23500570</v>
          </cell>
          <cell r="D473" t="str">
            <v>GA00B234</v>
          </cell>
          <cell r="E473" t="str">
            <v>Dena Bank a/c no116211001016</v>
          </cell>
          <cell r="F473" t="str">
            <v>ABANK</v>
          </cell>
          <cell r="G473">
            <v>41724</v>
          </cell>
          <cell r="K473">
            <v>41724</v>
          </cell>
        </row>
        <row r="474">
          <cell r="C474">
            <v>23503870</v>
          </cell>
          <cell r="D474" t="str">
            <v>GA00B339</v>
          </cell>
          <cell r="E474" t="str">
            <v>1550340000149  Hdfc Bank Ltd.</v>
          </cell>
          <cell r="F474" t="str">
            <v>ABANK</v>
          </cell>
          <cell r="G474">
            <v>47.16</v>
          </cell>
          <cell r="K474">
            <v>47.16</v>
          </cell>
        </row>
        <row r="475">
          <cell r="C475">
            <v>23502980</v>
          </cell>
          <cell r="D475" t="str">
            <v>GA00B330</v>
          </cell>
          <cell r="E475" t="str">
            <v>3312340000023 Hdfc Bank Ltd.</v>
          </cell>
          <cell r="F475" t="str">
            <v>ABANK</v>
          </cell>
          <cell r="G475">
            <v>25105.75</v>
          </cell>
          <cell r="K475">
            <v>25105.75</v>
          </cell>
        </row>
        <row r="476">
          <cell r="C476">
            <v>23502520</v>
          </cell>
          <cell r="D476" t="str">
            <v>GA00B363</v>
          </cell>
          <cell r="E476" t="str">
            <v xml:space="preserve"> 1822340000084  Hdfc Bank Ltd</v>
          </cell>
          <cell r="F476" t="str">
            <v>ABANK</v>
          </cell>
          <cell r="G476">
            <v>133681.23000000001</v>
          </cell>
          <cell r="K476">
            <v>133681.23000000001</v>
          </cell>
        </row>
        <row r="477">
          <cell r="C477">
            <v>23503040</v>
          </cell>
          <cell r="D477" t="str">
            <v>GA00B245</v>
          </cell>
          <cell r="E477" t="str">
            <v>0080340014480 Hdfc Bank Ltd</v>
          </cell>
          <cell r="F477" t="str">
            <v>ABANK</v>
          </cell>
          <cell r="G477">
            <v>112507.4</v>
          </cell>
          <cell r="K477">
            <v>112507.4</v>
          </cell>
        </row>
        <row r="478">
          <cell r="C478">
            <v>23501440</v>
          </cell>
          <cell r="D478" t="str">
            <v>GA00B93</v>
          </cell>
          <cell r="E478" t="str">
            <v>Lord Krishna Bank - Mumbai 316051000005282</v>
          </cell>
          <cell r="F478" t="str">
            <v>ABANK</v>
          </cell>
          <cell r="G478">
            <v>37148.69</v>
          </cell>
          <cell r="K478">
            <v>37148.69</v>
          </cell>
        </row>
        <row r="479">
          <cell r="C479">
            <v>23505570</v>
          </cell>
          <cell r="E479" t="str">
            <v>2202340000142 HDFC BANK LTD</v>
          </cell>
          <cell r="F479" t="str">
            <v>ABANK</v>
          </cell>
          <cell r="G479">
            <v>113161.4</v>
          </cell>
          <cell r="K479">
            <v>113161.4</v>
          </cell>
        </row>
        <row r="480">
          <cell r="C480">
            <v>23500980</v>
          </cell>
          <cell r="D480" t="str">
            <v>GA00B165</v>
          </cell>
          <cell r="E480" t="str">
            <v>0030340016971 Hdfc Bank</v>
          </cell>
          <cell r="F480" t="str">
            <v>ABANK</v>
          </cell>
          <cell r="G480">
            <v>52914.73</v>
          </cell>
          <cell r="K480">
            <v>52914.73</v>
          </cell>
        </row>
        <row r="481">
          <cell r="C481">
            <v>23500960</v>
          </cell>
          <cell r="D481" t="str">
            <v>GA00B161</v>
          </cell>
          <cell r="E481" t="str">
            <v>Indiabulls Secruities Ltd. 1500340000377 Hdfc Bank</v>
          </cell>
          <cell r="F481" t="str">
            <v>ABANK</v>
          </cell>
          <cell r="G481">
            <v>41803.58</v>
          </cell>
          <cell r="K481">
            <v>41803.58</v>
          </cell>
        </row>
        <row r="482">
          <cell r="C482">
            <v>23502850</v>
          </cell>
          <cell r="D482" t="str">
            <v>GA00B29</v>
          </cell>
          <cell r="E482" t="str">
            <v>0012320000871 Hdfc Bank</v>
          </cell>
          <cell r="F482" t="str">
            <v>ABANK</v>
          </cell>
          <cell r="G482">
            <v>1425873.53</v>
          </cell>
          <cell r="K482">
            <v>1425873.53</v>
          </cell>
        </row>
        <row r="483">
          <cell r="C483">
            <v>23502270</v>
          </cell>
          <cell r="D483" t="str">
            <v>GA00B484</v>
          </cell>
          <cell r="E483" t="str">
            <v>2792340000029  Hdfc Bank Ltd</v>
          </cell>
          <cell r="F483" t="str">
            <v>ABANK</v>
          </cell>
          <cell r="G483">
            <v>18178.810000000001</v>
          </cell>
          <cell r="K483">
            <v>18178.810000000001</v>
          </cell>
        </row>
        <row r="484">
          <cell r="C484">
            <v>23503860</v>
          </cell>
          <cell r="D484" t="str">
            <v>GA00B249</v>
          </cell>
          <cell r="E484" t="str">
            <v>1042340000029 Hdfc Bank Ltd</v>
          </cell>
          <cell r="F484" t="str">
            <v>ABANK</v>
          </cell>
          <cell r="G484">
            <v>66663.45</v>
          </cell>
          <cell r="K484">
            <v>66663.45</v>
          </cell>
        </row>
        <row r="485">
          <cell r="C485">
            <v>23501640</v>
          </cell>
          <cell r="D485" t="str">
            <v>GA00B272</v>
          </cell>
          <cell r="E485" t="str">
            <v>0780340001027 Hdfc Bank Ltd.</v>
          </cell>
          <cell r="F485" t="str">
            <v>ABANK</v>
          </cell>
          <cell r="G485">
            <v>73648.84</v>
          </cell>
          <cell r="K485">
            <v>73648.84</v>
          </cell>
        </row>
        <row r="486">
          <cell r="C486">
            <v>23504490</v>
          </cell>
          <cell r="D486" t="str">
            <v>GA00B411</v>
          </cell>
          <cell r="E486" t="str">
            <v>1800340000327 Hdfc Bank Ltd.</v>
          </cell>
          <cell r="F486" t="str">
            <v>ABANK</v>
          </cell>
          <cell r="G486">
            <v>-3502.35</v>
          </cell>
          <cell r="K486">
            <v>-3502.35</v>
          </cell>
        </row>
        <row r="487">
          <cell r="C487">
            <v>23501310</v>
          </cell>
          <cell r="D487" t="str">
            <v>GA00B122</v>
          </cell>
          <cell r="E487" t="str">
            <v>2050340000034 Hdfc Bank</v>
          </cell>
          <cell r="F487" t="str">
            <v>ABANK</v>
          </cell>
          <cell r="G487">
            <v>74272.58</v>
          </cell>
          <cell r="K487">
            <v>74272.58</v>
          </cell>
        </row>
        <row r="488">
          <cell r="C488">
            <v>24532320</v>
          </cell>
          <cell r="E488" t="str">
            <v>HDFC Bank Ltd A/c ISL HYD online5212340000039</v>
          </cell>
          <cell r="F488" t="str">
            <v>ABANK</v>
          </cell>
          <cell r="G488">
            <v>41734.03</v>
          </cell>
          <cell r="K488">
            <v>41734.03</v>
          </cell>
        </row>
        <row r="489">
          <cell r="C489">
            <v>23502830</v>
          </cell>
          <cell r="D489" t="str">
            <v>GA00B25</v>
          </cell>
          <cell r="E489" t="str">
            <v>0040340001021 Hdfc Bank</v>
          </cell>
          <cell r="F489" t="str">
            <v>ABANK</v>
          </cell>
          <cell r="G489">
            <v>96987.07</v>
          </cell>
          <cell r="K489">
            <v>96987.07</v>
          </cell>
        </row>
        <row r="490">
          <cell r="C490">
            <v>23503150</v>
          </cell>
          <cell r="D490" t="str">
            <v>GA00B87</v>
          </cell>
          <cell r="E490" t="str">
            <v>1090340000131 Hdfc Bank</v>
          </cell>
          <cell r="F490" t="str">
            <v>ABANK</v>
          </cell>
          <cell r="G490">
            <v>44518.12</v>
          </cell>
          <cell r="K490">
            <v>44518.12</v>
          </cell>
        </row>
        <row r="491">
          <cell r="C491">
            <v>23503920</v>
          </cell>
          <cell r="D491" t="str">
            <v>GA00B440</v>
          </cell>
          <cell r="E491" t="str">
            <v>0430002101005835 Pnb</v>
          </cell>
          <cell r="F491" t="str">
            <v>ABANK</v>
          </cell>
          <cell r="G491">
            <v>26231</v>
          </cell>
          <cell r="K491">
            <v>26231</v>
          </cell>
        </row>
        <row r="492">
          <cell r="C492">
            <v>23505140</v>
          </cell>
          <cell r="D492" t="str">
            <v>GA00B417</v>
          </cell>
          <cell r="E492" t="str">
            <v>0272340000084 Hdfc Bank Ltd.</v>
          </cell>
          <cell r="F492" t="str">
            <v>ABANK</v>
          </cell>
          <cell r="G492">
            <v>29380.19</v>
          </cell>
          <cell r="K492">
            <v>29380.19</v>
          </cell>
        </row>
        <row r="493">
          <cell r="C493">
            <v>23514410</v>
          </cell>
          <cell r="E493" t="str">
            <v>ISL A/c No. 00030340036899 HDFC Bank Ltd.</v>
          </cell>
          <cell r="F493" t="str">
            <v>ABANK</v>
          </cell>
          <cell r="G493">
            <v>22700</v>
          </cell>
          <cell r="K493">
            <v>22700</v>
          </cell>
        </row>
        <row r="494">
          <cell r="C494">
            <v>23514360</v>
          </cell>
          <cell r="E494" t="str">
            <v>ISL-A/c no. 00030340036597 HDFC BANK LTD.</v>
          </cell>
          <cell r="F494" t="str">
            <v>ABANK</v>
          </cell>
          <cell r="G494">
            <v>21391</v>
          </cell>
          <cell r="K494">
            <v>21391</v>
          </cell>
        </row>
        <row r="495">
          <cell r="C495">
            <v>23502420</v>
          </cell>
          <cell r="D495" t="str">
            <v>GA00B21</v>
          </cell>
          <cell r="E495" t="str">
            <v>0460340000071 Hdfc Bank</v>
          </cell>
          <cell r="F495" t="str">
            <v>ABANK</v>
          </cell>
          <cell r="G495">
            <v>33822.01</v>
          </cell>
          <cell r="K495">
            <v>33822.01</v>
          </cell>
        </row>
        <row r="496">
          <cell r="C496">
            <v>23501140</v>
          </cell>
          <cell r="D496" t="str">
            <v>GA00B297</v>
          </cell>
          <cell r="E496" t="str">
            <v>0460340000305 Hdfc Bank Ltd</v>
          </cell>
          <cell r="F496" t="str">
            <v>ABANK</v>
          </cell>
          <cell r="G496">
            <v>74018.89</v>
          </cell>
          <cell r="K496">
            <v>74018.89</v>
          </cell>
        </row>
        <row r="497">
          <cell r="C497">
            <v>23504170</v>
          </cell>
          <cell r="D497" t="str">
            <v>GA00B443</v>
          </cell>
          <cell r="E497" t="str">
            <v xml:space="preserve"> 0070340000819 Hdfc Bank Ltd</v>
          </cell>
          <cell r="F497" t="str">
            <v>ABANK</v>
          </cell>
          <cell r="G497">
            <v>61473.18</v>
          </cell>
          <cell r="K497">
            <v>61473.18</v>
          </cell>
        </row>
        <row r="498">
          <cell r="C498">
            <v>23501690</v>
          </cell>
          <cell r="D498" t="str">
            <v>GA00B251</v>
          </cell>
          <cell r="E498" t="str">
            <v>Punjab National Bank - 0061002101604825</v>
          </cell>
          <cell r="F498" t="str">
            <v>ABANK</v>
          </cell>
          <cell r="G498">
            <v>8621308</v>
          </cell>
          <cell r="K498">
            <v>8621308</v>
          </cell>
        </row>
        <row r="499">
          <cell r="C499">
            <v>23509960</v>
          </cell>
          <cell r="D499" t="str">
            <v>GA00B565</v>
          </cell>
          <cell r="E499" t="str">
            <v>2972340000011 HDFC BANK AGRA SADAR-ISL</v>
          </cell>
          <cell r="F499" t="str">
            <v>ABANK</v>
          </cell>
          <cell r="G499">
            <v>69893.59</v>
          </cell>
          <cell r="K499">
            <v>69893.59</v>
          </cell>
        </row>
        <row r="500">
          <cell r="C500">
            <v>23501650</v>
          </cell>
          <cell r="D500" t="str">
            <v>GA00B273</v>
          </cell>
          <cell r="E500" t="str">
            <v xml:space="preserve"> 0090340002064  Hdfc Bank Ltd.</v>
          </cell>
          <cell r="F500" t="str">
            <v>ABANK</v>
          </cell>
          <cell r="G500">
            <v>139063.87</v>
          </cell>
          <cell r="K500">
            <v>139063.87</v>
          </cell>
        </row>
        <row r="501">
          <cell r="C501">
            <v>23514490</v>
          </cell>
          <cell r="E501" t="str">
            <v>ISL A/c 00422340000066 HDFC BANK LTD.</v>
          </cell>
          <cell r="F501" t="str">
            <v>ABANK</v>
          </cell>
          <cell r="G501">
            <v>18883.09</v>
          </cell>
          <cell r="K501">
            <v>18883.09</v>
          </cell>
        </row>
        <row r="502">
          <cell r="C502">
            <v>23504160</v>
          </cell>
          <cell r="D502" t="str">
            <v>GA00B442</v>
          </cell>
          <cell r="E502" t="str">
            <v>4812340000048 Hdfc Bank Ltd</v>
          </cell>
          <cell r="F502" t="str">
            <v>ABANK</v>
          </cell>
          <cell r="G502">
            <v>21148.49</v>
          </cell>
          <cell r="K502">
            <v>21148.49</v>
          </cell>
        </row>
        <row r="503">
          <cell r="C503">
            <v>23501160</v>
          </cell>
          <cell r="D503" t="str">
            <v>GA00B299</v>
          </cell>
          <cell r="E503" t="str">
            <v>1420340000640  Hdfc Bank Ltd</v>
          </cell>
          <cell r="F503" t="str">
            <v>ABANK</v>
          </cell>
          <cell r="G503">
            <v>62860.28</v>
          </cell>
          <cell r="K503">
            <v>62860.28</v>
          </cell>
        </row>
        <row r="504">
          <cell r="C504">
            <v>23503160</v>
          </cell>
          <cell r="D504" t="str">
            <v>GA00B88</v>
          </cell>
          <cell r="E504" t="str">
            <v>0930340000022 Hdfc Bank</v>
          </cell>
          <cell r="F504" t="str">
            <v>ABANK</v>
          </cell>
          <cell r="G504">
            <v>37117.760000000002</v>
          </cell>
          <cell r="K504">
            <v>37117.760000000002</v>
          </cell>
        </row>
        <row r="505">
          <cell r="C505">
            <v>23501510</v>
          </cell>
          <cell r="D505" t="str">
            <v>GA00B050</v>
          </cell>
          <cell r="E505" t="str">
            <v>Indusind Bank 0033-567046-050</v>
          </cell>
          <cell r="F505" t="str">
            <v>ABANK</v>
          </cell>
          <cell r="G505">
            <v>20770.98</v>
          </cell>
          <cell r="K505">
            <v>20770.98</v>
          </cell>
        </row>
        <row r="506">
          <cell r="C506">
            <v>23501770</v>
          </cell>
          <cell r="D506" t="str">
            <v>GA00B138</v>
          </cell>
          <cell r="E506" t="str">
            <v>Abn Amro Bank 1021820</v>
          </cell>
          <cell r="F506" t="str">
            <v>ABANK</v>
          </cell>
          <cell r="G506">
            <v>19338.8</v>
          </cell>
          <cell r="K506">
            <v>19338.8</v>
          </cell>
        </row>
        <row r="507">
          <cell r="C507">
            <v>23504540</v>
          </cell>
          <cell r="D507" t="str">
            <v>GA00B416</v>
          </cell>
          <cell r="E507" t="str">
            <v>0070340000757  Hdfc Bank Ltd.</v>
          </cell>
          <cell r="F507" t="str">
            <v>ABANK</v>
          </cell>
          <cell r="G507">
            <v>49930.26</v>
          </cell>
          <cell r="K507">
            <v>49930.26</v>
          </cell>
        </row>
        <row r="508">
          <cell r="C508">
            <v>23504740</v>
          </cell>
          <cell r="D508" t="str">
            <v>GA00B402</v>
          </cell>
          <cell r="E508" t="str">
            <v>016405002419 Icici Bank Ltd</v>
          </cell>
          <cell r="F508" t="str">
            <v>ABANK</v>
          </cell>
          <cell r="G508">
            <v>0</v>
          </cell>
          <cell r="K508">
            <v>0</v>
          </cell>
        </row>
        <row r="509">
          <cell r="C509">
            <v>23501620</v>
          </cell>
          <cell r="D509" t="str">
            <v>GA00B202</v>
          </cell>
          <cell r="E509" t="str">
            <v>0640340000248 Hdfc Bank</v>
          </cell>
          <cell r="F509" t="str">
            <v>ABANK</v>
          </cell>
          <cell r="G509">
            <v>53595.8</v>
          </cell>
          <cell r="K509">
            <v>53595.8</v>
          </cell>
        </row>
        <row r="510">
          <cell r="C510">
            <v>23514680</v>
          </cell>
          <cell r="E510" t="str">
            <v>ISL A/c No.06450340000562 HDFC Bank Ltd.</v>
          </cell>
          <cell r="F510" t="str">
            <v>ABANK</v>
          </cell>
          <cell r="G510">
            <v>39915</v>
          </cell>
          <cell r="K510">
            <v>39915</v>
          </cell>
        </row>
        <row r="511">
          <cell r="C511">
            <v>23504210</v>
          </cell>
          <cell r="D511" t="str">
            <v>GA00B447</v>
          </cell>
          <cell r="E511" t="str">
            <v>203010200006491 Uti Bank Ltd Blocked</v>
          </cell>
          <cell r="F511" t="str">
            <v>ABANK</v>
          </cell>
          <cell r="G511">
            <v>0</v>
          </cell>
          <cell r="K511">
            <v>0</v>
          </cell>
        </row>
        <row r="512">
          <cell r="C512">
            <v>23514500</v>
          </cell>
          <cell r="E512" t="str">
            <v>Indiabulls Securities Ltd. A/c No. 00482340000099</v>
          </cell>
          <cell r="F512" t="str">
            <v>ABANK</v>
          </cell>
          <cell r="G512">
            <v>5312.46</v>
          </cell>
          <cell r="K512">
            <v>5312.46</v>
          </cell>
        </row>
        <row r="513">
          <cell r="C513">
            <v>23501180</v>
          </cell>
          <cell r="D513" t="str">
            <v>GA00B269</v>
          </cell>
          <cell r="E513" t="str">
            <v>2172340000145  Hdfc Bank Ltd.</v>
          </cell>
          <cell r="F513" t="str">
            <v>ABANK</v>
          </cell>
          <cell r="G513">
            <v>63648.32</v>
          </cell>
          <cell r="K513">
            <v>63648.32</v>
          </cell>
        </row>
        <row r="514">
          <cell r="C514">
            <v>23504530</v>
          </cell>
          <cell r="D514" t="str">
            <v>GA00B415</v>
          </cell>
          <cell r="E514" t="str">
            <v>342010200002929 Uti Bank Ltd. Blocked</v>
          </cell>
          <cell r="F514" t="str">
            <v>ABANK</v>
          </cell>
          <cell r="G514">
            <v>0</v>
          </cell>
          <cell r="K514">
            <v>0</v>
          </cell>
        </row>
        <row r="515">
          <cell r="C515">
            <v>23504330</v>
          </cell>
          <cell r="D515" t="str">
            <v>GA00B394</v>
          </cell>
          <cell r="E515" t="str">
            <v>5260340000038 Hdfc Bank Ltd.</v>
          </cell>
          <cell r="F515" t="str">
            <v>ABANK</v>
          </cell>
          <cell r="G515">
            <v>75361.25</v>
          </cell>
          <cell r="K515">
            <v>75361.25</v>
          </cell>
        </row>
        <row r="516">
          <cell r="C516">
            <v>23513140</v>
          </cell>
          <cell r="E516" t="str">
            <v>Vijaya Bank A/C 500600301000135</v>
          </cell>
          <cell r="F516" t="str">
            <v>ABANK</v>
          </cell>
          <cell r="G516">
            <v>18902</v>
          </cell>
          <cell r="K516">
            <v>18902</v>
          </cell>
        </row>
        <row r="517">
          <cell r="C517">
            <v>23504430</v>
          </cell>
          <cell r="D517" t="str">
            <v>GA00B531</v>
          </cell>
          <cell r="E517" t="str">
            <v>392010200000444 Uti Bank Ltd.(Closed)</v>
          </cell>
          <cell r="F517" t="str">
            <v>ABANK</v>
          </cell>
          <cell r="G517">
            <v>0</v>
          </cell>
          <cell r="K517">
            <v>0</v>
          </cell>
        </row>
        <row r="518">
          <cell r="C518">
            <v>23509280</v>
          </cell>
          <cell r="D518" t="str">
            <v>GA00B567</v>
          </cell>
          <cell r="E518" t="str">
            <v>UTI 392010200000976-ISL Blocked</v>
          </cell>
          <cell r="F518" t="str">
            <v>ABANK</v>
          </cell>
          <cell r="G518">
            <v>0</v>
          </cell>
          <cell r="K518">
            <v>0</v>
          </cell>
        </row>
        <row r="519">
          <cell r="C519">
            <v>23500450</v>
          </cell>
          <cell r="D519" t="str">
            <v>GA00B213</v>
          </cell>
          <cell r="E519" t="str">
            <v>2440340000110 Hdfc Bank</v>
          </cell>
          <cell r="F519" t="str">
            <v>ABANK</v>
          </cell>
          <cell r="G519">
            <v>75950.710000000006</v>
          </cell>
          <cell r="K519">
            <v>75950.710000000006</v>
          </cell>
        </row>
        <row r="520">
          <cell r="C520">
            <v>23502910</v>
          </cell>
          <cell r="D520" t="str">
            <v>GA00B49</v>
          </cell>
          <cell r="E520" t="str">
            <v>0210340000573 Hdfc Bank</v>
          </cell>
          <cell r="F520" t="str">
            <v>ABANK</v>
          </cell>
          <cell r="G520">
            <v>95896.29</v>
          </cell>
          <cell r="K520">
            <v>95896.29</v>
          </cell>
        </row>
        <row r="521">
          <cell r="C521">
            <v>23509910</v>
          </cell>
          <cell r="D521" t="str">
            <v>GA00B535</v>
          </cell>
          <cell r="E521" t="str">
            <v>ISL.3682340000014 HDFC BANK LTD.</v>
          </cell>
          <cell r="F521" t="str">
            <v>ABANK</v>
          </cell>
          <cell r="G521">
            <v>105627.77</v>
          </cell>
          <cell r="K521">
            <v>105627.77</v>
          </cell>
        </row>
        <row r="522">
          <cell r="C522">
            <v>23501870</v>
          </cell>
          <cell r="D522" t="str">
            <v>GA00B276</v>
          </cell>
          <cell r="E522" t="str">
            <v>0310340000560 Hdfc Bank</v>
          </cell>
          <cell r="F522" t="str">
            <v>ABANK</v>
          </cell>
          <cell r="G522">
            <v>89114.3</v>
          </cell>
          <cell r="K522">
            <v>89114.3</v>
          </cell>
        </row>
        <row r="523">
          <cell r="C523">
            <v>23501710</v>
          </cell>
          <cell r="D523" t="str">
            <v>GA00B70</v>
          </cell>
          <cell r="E523" t="str">
            <v>Hdfc Bank Dp 0032000016357</v>
          </cell>
          <cell r="F523" t="str">
            <v>ABANK</v>
          </cell>
          <cell r="G523">
            <v>11500</v>
          </cell>
          <cell r="K523">
            <v>11500</v>
          </cell>
        </row>
        <row r="524">
          <cell r="C524">
            <v>23504070</v>
          </cell>
          <cell r="D524" t="str">
            <v>GA00B458</v>
          </cell>
          <cell r="E524" t="str">
            <v>335010200001892 Uti Bank Ltd. Blocked</v>
          </cell>
          <cell r="F524" t="str">
            <v>ABANK</v>
          </cell>
          <cell r="G524">
            <v>0</v>
          </cell>
          <cell r="K524">
            <v>0</v>
          </cell>
        </row>
        <row r="525">
          <cell r="C525">
            <v>23501360</v>
          </cell>
          <cell r="D525" t="str">
            <v>GA00B58</v>
          </cell>
          <cell r="E525" t="str">
            <v>0500340000185 Hdfc Bank</v>
          </cell>
          <cell r="F525" t="str">
            <v>ABANK</v>
          </cell>
          <cell r="G525">
            <v>86247.23</v>
          </cell>
          <cell r="K525">
            <v>86247.23</v>
          </cell>
        </row>
        <row r="526">
          <cell r="C526">
            <v>23501550</v>
          </cell>
          <cell r="D526" t="str">
            <v>GA00B206</v>
          </cell>
          <cell r="E526" t="str">
            <v>Hdfc Bank 0010340005467</v>
          </cell>
          <cell r="F526" t="str">
            <v>ABANK</v>
          </cell>
          <cell r="G526">
            <v>10100</v>
          </cell>
          <cell r="K526">
            <v>10100</v>
          </cell>
        </row>
        <row r="527">
          <cell r="C527">
            <v>23502750</v>
          </cell>
          <cell r="D527" t="str">
            <v>GA00B193</v>
          </cell>
          <cell r="E527" t="str">
            <v>0600340021760 Hdfc Bank</v>
          </cell>
          <cell r="F527" t="str">
            <v>ABANK</v>
          </cell>
          <cell r="G527">
            <v>10100</v>
          </cell>
          <cell r="K527">
            <v>10100</v>
          </cell>
        </row>
        <row r="528">
          <cell r="C528">
            <v>23510290</v>
          </cell>
          <cell r="D528" t="str">
            <v>GA00B156</v>
          </cell>
          <cell r="E528" t="str">
            <v>ISL A/c no 0030340016580</v>
          </cell>
          <cell r="F528" t="str">
            <v>ABANK</v>
          </cell>
          <cell r="G528">
            <v>10100</v>
          </cell>
          <cell r="K528">
            <v>10100</v>
          </cell>
        </row>
        <row r="529">
          <cell r="C529">
            <v>23500670</v>
          </cell>
          <cell r="D529" t="str">
            <v>GA00B108</v>
          </cell>
          <cell r="E529" t="str">
            <v>Hdfc Bank A/C - Nri Product (5982340002925)</v>
          </cell>
          <cell r="F529" t="str">
            <v>ABANK</v>
          </cell>
          <cell r="G529">
            <v>10001</v>
          </cell>
          <cell r="K529">
            <v>10001</v>
          </cell>
        </row>
        <row r="530">
          <cell r="C530">
            <v>23502220</v>
          </cell>
          <cell r="D530" t="str">
            <v>GA00B501</v>
          </cell>
          <cell r="E530" t="str">
            <v>Malad(W) Hdfc Bank Ltd.</v>
          </cell>
          <cell r="F530" t="str">
            <v>ABANK</v>
          </cell>
          <cell r="G530">
            <v>10000</v>
          </cell>
          <cell r="K530">
            <v>10000</v>
          </cell>
        </row>
        <row r="531">
          <cell r="C531">
            <v>23503990</v>
          </cell>
          <cell r="D531" t="str">
            <v>GA00B526</v>
          </cell>
          <cell r="E531" t="str">
            <v>Stamp Duty Pnb Bank</v>
          </cell>
          <cell r="F531" t="str">
            <v>ABANK</v>
          </cell>
          <cell r="G531">
            <v>10000</v>
          </cell>
          <cell r="K531">
            <v>10000</v>
          </cell>
        </row>
        <row r="532">
          <cell r="C532">
            <v>23504110</v>
          </cell>
          <cell r="D532" t="str">
            <v>GA00B462</v>
          </cell>
          <cell r="E532" t="str">
            <v>Kannur Hdfc Bank Ltd.</v>
          </cell>
          <cell r="F532" t="str">
            <v>ABANK</v>
          </cell>
          <cell r="G532">
            <v>10000</v>
          </cell>
          <cell r="K532">
            <v>10000</v>
          </cell>
        </row>
        <row r="533">
          <cell r="C533">
            <v>23504230</v>
          </cell>
          <cell r="D533" t="str">
            <v>GA00B449</v>
          </cell>
          <cell r="E533" t="str">
            <v>Andheri (E) Hdfc Bank Ltd.</v>
          </cell>
          <cell r="F533" t="str">
            <v>ABANK</v>
          </cell>
          <cell r="G533">
            <v>10000</v>
          </cell>
          <cell r="K533">
            <v>10000</v>
          </cell>
        </row>
        <row r="534">
          <cell r="C534">
            <v>23504340</v>
          </cell>
          <cell r="D534" t="str">
            <v>GA00B497</v>
          </cell>
          <cell r="E534" t="str">
            <v>Majid Bander (E) Mumbai Hdfc Bank</v>
          </cell>
          <cell r="F534" t="str">
            <v>ABANK</v>
          </cell>
          <cell r="G534">
            <v>10000</v>
          </cell>
          <cell r="K534">
            <v>10000</v>
          </cell>
        </row>
        <row r="535">
          <cell r="C535">
            <v>23504820</v>
          </cell>
          <cell r="D535" t="str">
            <v>GA00B473</v>
          </cell>
          <cell r="E535" t="str">
            <v>Hi-Tech Citi Hdfc Bank Ltd.</v>
          </cell>
          <cell r="F535" t="str">
            <v>ABANK</v>
          </cell>
          <cell r="G535">
            <v>10000</v>
          </cell>
          <cell r="K535">
            <v>10000</v>
          </cell>
        </row>
        <row r="536">
          <cell r="C536">
            <v>23505590</v>
          </cell>
          <cell r="E536" t="str">
            <v>ICICI BANK 032505002604 (Closed)</v>
          </cell>
          <cell r="F536" t="str">
            <v>ABANK</v>
          </cell>
          <cell r="G536">
            <v>0</v>
          </cell>
          <cell r="K536">
            <v>0</v>
          </cell>
        </row>
        <row r="537">
          <cell r="C537">
            <v>23505710</v>
          </cell>
          <cell r="E537" t="str">
            <v>ICICI BANK LIMITED 031805002191(Closed)</v>
          </cell>
          <cell r="F537" t="str">
            <v>ABANK</v>
          </cell>
          <cell r="G537">
            <v>0</v>
          </cell>
          <cell r="K537">
            <v>0</v>
          </cell>
        </row>
        <row r="538">
          <cell r="C538">
            <v>23509840</v>
          </cell>
          <cell r="D538" t="str">
            <v>GA00B564</v>
          </cell>
          <cell r="E538" t="str">
            <v>ISL -SHIVPURI HDFC BANK LTD.</v>
          </cell>
          <cell r="F538" t="str">
            <v>ABANK</v>
          </cell>
          <cell r="G538">
            <v>10000</v>
          </cell>
          <cell r="K538">
            <v>10000</v>
          </cell>
        </row>
        <row r="539">
          <cell r="C539">
            <v>23510050</v>
          </cell>
          <cell r="D539" t="str">
            <v>GA00B563</v>
          </cell>
          <cell r="E539" t="str">
            <v>ISL.MANINAGAR HDFC BANK LTD.</v>
          </cell>
          <cell r="F539" t="str">
            <v>ABANK</v>
          </cell>
          <cell r="G539">
            <v>10000</v>
          </cell>
          <cell r="K539">
            <v>10000</v>
          </cell>
        </row>
        <row r="540">
          <cell r="C540">
            <v>23510310</v>
          </cell>
          <cell r="E540" t="str">
            <v>ISL-MERRUT R.G-HDFC</v>
          </cell>
          <cell r="F540" t="str">
            <v>ABANK</v>
          </cell>
          <cell r="G540">
            <v>10000</v>
          </cell>
          <cell r="K540">
            <v>10000</v>
          </cell>
        </row>
        <row r="541">
          <cell r="C541">
            <v>23510730</v>
          </cell>
          <cell r="E541" t="str">
            <v>HDFC Bank - Sirsa Road Fatehabad</v>
          </cell>
          <cell r="F541" t="str">
            <v>ABANK</v>
          </cell>
          <cell r="G541">
            <v>10000</v>
          </cell>
          <cell r="K541">
            <v>10000</v>
          </cell>
        </row>
        <row r="542">
          <cell r="C542">
            <v>23520870</v>
          </cell>
          <cell r="D542" t="str">
            <v>GA00B607</v>
          </cell>
          <cell r="E542" t="str">
            <v>00030340033640(Business a\c) HDFC BANK A/c</v>
          </cell>
          <cell r="F542" t="str">
            <v>ABANK</v>
          </cell>
          <cell r="G542">
            <v>10000</v>
          </cell>
          <cell r="K542">
            <v>10000</v>
          </cell>
        </row>
        <row r="543">
          <cell r="C543">
            <v>24532370</v>
          </cell>
          <cell r="E543" t="str">
            <v>HDFC Bank 00030340030637</v>
          </cell>
          <cell r="F543" t="str">
            <v>ABANK</v>
          </cell>
          <cell r="G543">
            <v>10000</v>
          </cell>
          <cell r="K543">
            <v>10000</v>
          </cell>
        </row>
        <row r="544">
          <cell r="C544">
            <v>23503410</v>
          </cell>
          <cell r="D544" t="str">
            <v>GA00B222</v>
          </cell>
          <cell r="E544" t="str">
            <v>ISL Printing &amp; Stationery A/c no 0030340020877</v>
          </cell>
          <cell r="F544" t="str">
            <v>ABANK</v>
          </cell>
          <cell r="G544">
            <v>10000</v>
          </cell>
          <cell r="K544">
            <v>10000</v>
          </cell>
        </row>
        <row r="545">
          <cell r="C545">
            <v>23514840</v>
          </cell>
          <cell r="E545" t="str">
            <v>ISL A/c No. 04192340000020 HDFC BANK LTD.</v>
          </cell>
          <cell r="F545" t="str">
            <v>ABANK</v>
          </cell>
          <cell r="G545">
            <v>61755.9</v>
          </cell>
          <cell r="K545">
            <v>61755.9</v>
          </cell>
        </row>
        <row r="546">
          <cell r="C546">
            <v>23514850</v>
          </cell>
          <cell r="E546" t="str">
            <v>ISL A/c No. 02250340000220 HDFC BANK LTD</v>
          </cell>
          <cell r="F546" t="str">
            <v>ABANK</v>
          </cell>
          <cell r="G546">
            <v>61377</v>
          </cell>
          <cell r="K546">
            <v>61377</v>
          </cell>
        </row>
        <row r="547">
          <cell r="C547">
            <v>23500720</v>
          </cell>
          <cell r="D547" t="str">
            <v>GA00B280</v>
          </cell>
          <cell r="E547" t="str">
            <v>1220340000152  Hdfc Bank Ltd</v>
          </cell>
          <cell r="F547" t="str">
            <v>ABANK</v>
          </cell>
          <cell r="G547">
            <v>29008.49</v>
          </cell>
          <cell r="K547">
            <v>29008.49</v>
          </cell>
        </row>
        <row r="548">
          <cell r="C548">
            <v>23513090</v>
          </cell>
          <cell r="E548" t="str">
            <v>Punjab and Sind bank a/c no. 105742</v>
          </cell>
          <cell r="F548" t="str">
            <v>ABANK</v>
          </cell>
          <cell r="G548">
            <v>9666</v>
          </cell>
          <cell r="K548">
            <v>9666</v>
          </cell>
        </row>
        <row r="549">
          <cell r="C549">
            <v>23509780</v>
          </cell>
          <cell r="D549" t="str">
            <v>GA00B561</v>
          </cell>
          <cell r="E549" t="str">
            <v>STATE BANK OF PATIALA 65016496315 -ISL</v>
          </cell>
          <cell r="F549" t="str">
            <v>ABANK</v>
          </cell>
          <cell r="G549">
            <v>2816622</v>
          </cell>
          <cell r="K549">
            <v>2816622</v>
          </cell>
        </row>
        <row r="550">
          <cell r="C550">
            <v>23501470</v>
          </cell>
          <cell r="D550" t="str">
            <v>GA00B96</v>
          </cell>
          <cell r="E550" t="str">
            <v>Hdfc Bank - Mumbai 0032340000395</v>
          </cell>
          <cell r="F550" t="str">
            <v>ABANK</v>
          </cell>
          <cell r="G550">
            <v>11983.45</v>
          </cell>
          <cell r="K550">
            <v>11983.45</v>
          </cell>
        </row>
        <row r="551">
          <cell r="C551">
            <v>23504050</v>
          </cell>
          <cell r="D551" t="str">
            <v>GA00B513</v>
          </cell>
          <cell r="E551" t="str">
            <v>Pnb Bank Ltd.-19888002100185139 (Closed)</v>
          </cell>
          <cell r="F551" t="str">
            <v>ABANK</v>
          </cell>
          <cell r="G551">
            <v>0</v>
          </cell>
          <cell r="K551">
            <v>0</v>
          </cell>
        </row>
        <row r="552">
          <cell r="C552">
            <v>23501460</v>
          </cell>
          <cell r="D552" t="str">
            <v>GA00B95</v>
          </cell>
          <cell r="E552" t="str">
            <v>Lord Krishna Bank - Delhi 31515322</v>
          </cell>
          <cell r="F552" t="str">
            <v>ABANK</v>
          </cell>
          <cell r="G552">
            <v>9561.82</v>
          </cell>
          <cell r="K552">
            <v>9561.82</v>
          </cell>
        </row>
        <row r="553">
          <cell r="C553">
            <v>23502890</v>
          </cell>
          <cell r="D553" t="str">
            <v>GA00B45</v>
          </cell>
          <cell r="E553" t="str">
            <v>Global Trust Bank (Delhi) 1700101940</v>
          </cell>
          <cell r="F553" t="str">
            <v>ABANK</v>
          </cell>
          <cell r="G553">
            <v>9550</v>
          </cell>
          <cell r="K553">
            <v>9550</v>
          </cell>
        </row>
        <row r="554">
          <cell r="C554">
            <v>23511870</v>
          </cell>
          <cell r="E554" t="str">
            <v>ICICI Bank 000705008197 (Closed)</v>
          </cell>
          <cell r="F554" t="str">
            <v>ABANK</v>
          </cell>
          <cell r="G554">
            <v>0</v>
          </cell>
          <cell r="K554">
            <v>0</v>
          </cell>
        </row>
        <row r="555">
          <cell r="C555">
            <v>23511880</v>
          </cell>
          <cell r="E555" t="str">
            <v>ICICI Bank 000705008198 (Closed)</v>
          </cell>
          <cell r="F555" t="str">
            <v>ABANK</v>
          </cell>
          <cell r="G555">
            <v>0</v>
          </cell>
          <cell r="K555">
            <v>0</v>
          </cell>
        </row>
        <row r="556">
          <cell r="C556">
            <v>23502960</v>
          </cell>
          <cell r="D556" t="str">
            <v>GA00B328</v>
          </cell>
          <cell r="E556" t="str">
            <v>0912340000180  Hdfc Bank Ltd.</v>
          </cell>
          <cell r="F556" t="str">
            <v>ABANK</v>
          </cell>
          <cell r="G556">
            <v>38332.400000000001</v>
          </cell>
          <cell r="K556">
            <v>38332.400000000001</v>
          </cell>
        </row>
        <row r="557">
          <cell r="C557">
            <v>23502070</v>
          </cell>
          <cell r="D557" t="str">
            <v>GA00B116</v>
          </cell>
          <cell r="E557" t="str">
            <v>2100340000026 Hdfc Bank</v>
          </cell>
          <cell r="F557" t="str">
            <v>ABANK</v>
          </cell>
          <cell r="G557">
            <v>43862.52</v>
          </cell>
          <cell r="K557">
            <v>43862.52</v>
          </cell>
        </row>
        <row r="558">
          <cell r="C558">
            <v>23503290</v>
          </cell>
          <cell r="D558" t="str">
            <v>GA00B370</v>
          </cell>
          <cell r="E558" t="str">
            <v>2182340000023 Hdfc Bank Ltd</v>
          </cell>
          <cell r="F558" t="str">
            <v>ABANK</v>
          </cell>
          <cell r="G558">
            <v>102972.01</v>
          </cell>
          <cell r="K558">
            <v>102972.01</v>
          </cell>
        </row>
        <row r="559">
          <cell r="C559">
            <v>23503910</v>
          </cell>
          <cell r="D559" t="str">
            <v>GA00B343</v>
          </cell>
          <cell r="E559" t="str">
            <v>1830340000175 Hdfc Bank Ltd.</v>
          </cell>
          <cell r="F559" t="str">
            <v>ABANK</v>
          </cell>
          <cell r="G559">
            <v>41560.15</v>
          </cell>
          <cell r="K559">
            <v>41560.15</v>
          </cell>
        </row>
        <row r="560">
          <cell r="C560">
            <v>23500900</v>
          </cell>
          <cell r="D560" t="str">
            <v>GA00B232</v>
          </cell>
          <cell r="E560" t="str">
            <v>Indiabulls  Securities Ltd  A/C 0780340000853 Hdfc</v>
          </cell>
          <cell r="F560" t="str">
            <v>ABANK</v>
          </cell>
          <cell r="G560">
            <v>53815.48</v>
          </cell>
          <cell r="K560">
            <v>53815.48</v>
          </cell>
        </row>
        <row r="561">
          <cell r="C561">
            <v>23500550</v>
          </cell>
          <cell r="D561" t="str">
            <v>GA00B184</v>
          </cell>
          <cell r="E561" t="str">
            <v>0422340000012 Hdfc Bank</v>
          </cell>
          <cell r="F561" t="str">
            <v>ABANK</v>
          </cell>
          <cell r="G561">
            <v>1500.79</v>
          </cell>
          <cell r="K561">
            <v>1500.79</v>
          </cell>
        </row>
        <row r="562">
          <cell r="C562">
            <v>23503190</v>
          </cell>
          <cell r="D562" t="str">
            <v>GA00B91</v>
          </cell>
          <cell r="E562" t="str">
            <v>1270340002025 Hdfc Bank</v>
          </cell>
          <cell r="F562" t="str">
            <v>ABANK</v>
          </cell>
          <cell r="G562">
            <v>69512.429999999993</v>
          </cell>
          <cell r="K562">
            <v>69512.429999999993</v>
          </cell>
        </row>
        <row r="563">
          <cell r="C563">
            <v>24532140</v>
          </cell>
          <cell r="E563" t="str">
            <v>UNION BANK OF INDIA 317901011012025</v>
          </cell>
          <cell r="F563" t="str">
            <v>ABANK</v>
          </cell>
          <cell r="G563">
            <v>6110.76</v>
          </cell>
          <cell r="K563">
            <v>6110.76</v>
          </cell>
        </row>
        <row r="564">
          <cell r="C564">
            <v>23505610</v>
          </cell>
          <cell r="D564" t="str">
            <v>GA00B551</v>
          </cell>
          <cell r="E564" t="str">
            <v>HDFC BANK LIMITED 4832340000023</v>
          </cell>
          <cell r="F564" t="str">
            <v>ABANK</v>
          </cell>
          <cell r="G564">
            <v>602</v>
          </cell>
          <cell r="K564">
            <v>602</v>
          </cell>
        </row>
        <row r="565">
          <cell r="C565">
            <v>23505560</v>
          </cell>
          <cell r="E565" t="str">
            <v>HDFC BANK  0040340003733</v>
          </cell>
          <cell r="F565" t="str">
            <v>ABANK</v>
          </cell>
          <cell r="G565">
            <v>44465.68</v>
          </cell>
          <cell r="K565">
            <v>44465.68</v>
          </cell>
        </row>
        <row r="566">
          <cell r="C566">
            <v>23502650</v>
          </cell>
          <cell r="D566" t="str">
            <v>GA00B154</v>
          </cell>
          <cell r="E566" t="str">
            <v>0540340001935 Hdfc Bank</v>
          </cell>
          <cell r="F566" t="str">
            <v>ABANK</v>
          </cell>
          <cell r="G566">
            <v>44632.26</v>
          </cell>
          <cell r="K566">
            <v>44632.26</v>
          </cell>
        </row>
        <row r="567">
          <cell r="C567">
            <v>23502880</v>
          </cell>
          <cell r="D567" t="str">
            <v>GA00B36</v>
          </cell>
          <cell r="E567" t="str">
            <v>6342340000018 Hdfc Bank</v>
          </cell>
          <cell r="F567" t="str">
            <v>ABANK</v>
          </cell>
          <cell r="G567">
            <v>16444.560000000001</v>
          </cell>
          <cell r="K567">
            <v>16444.560000000001</v>
          </cell>
        </row>
        <row r="568">
          <cell r="C568">
            <v>23502050</v>
          </cell>
          <cell r="D568" t="str">
            <v>GA00B114</v>
          </cell>
          <cell r="E568" t="str">
            <v>1150340000107 Hdfc Bank</v>
          </cell>
          <cell r="F568" t="str">
            <v>ABANK</v>
          </cell>
          <cell r="G568">
            <v>31033.73</v>
          </cell>
          <cell r="K568">
            <v>31033.73</v>
          </cell>
        </row>
        <row r="569">
          <cell r="C569">
            <v>23504730</v>
          </cell>
          <cell r="D569" t="str">
            <v>GA00B401</v>
          </cell>
          <cell r="E569" t="str">
            <v>001805008351 Icici Bank Ltd</v>
          </cell>
          <cell r="F569" t="str">
            <v>ABANK</v>
          </cell>
          <cell r="G569">
            <v>0</v>
          </cell>
          <cell r="K569">
            <v>0</v>
          </cell>
        </row>
        <row r="570">
          <cell r="C570">
            <v>23501750</v>
          </cell>
          <cell r="D570" t="str">
            <v>GA00B69</v>
          </cell>
          <cell r="E570" t="str">
            <v>0600340006963 Hdfc Bank</v>
          </cell>
          <cell r="F570" t="str">
            <v>ABANK</v>
          </cell>
          <cell r="G570">
            <v>1360669.82</v>
          </cell>
          <cell r="K570">
            <v>1360669.82</v>
          </cell>
        </row>
        <row r="571">
          <cell r="C571">
            <v>23500740</v>
          </cell>
          <cell r="D571" t="str">
            <v>GA00B282</v>
          </cell>
          <cell r="E571" t="str">
            <v>4290340000230  Hdfc Bank Ltd</v>
          </cell>
          <cell r="F571" t="str">
            <v>ABANK</v>
          </cell>
          <cell r="G571">
            <v>34158.71</v>
          </cell>
          <cell r="K571">
            <v>34158.71</v>
          </cell>
        </row>
        <row r="572">
          <cell r="C572">
            <v>23501720</v>
          </cell>
          <cell r="D572" t="str">
            <v>GA00B132</v>
          </cell>
          <cell r="E572" t="str">
            <v>0862340000103 Hdfc Bank Blocked</v>
          </cell>
          <cell r="F572" t="str">
            <v>ABANK</v>
          </cell>
          <cell r="G572">
            <v>0</v>
          </cell>
          <cell r="K572">
            <v>0</v>
          </cell>
        </row>
        <row r="573">
          <cell r="C573">
            <v>23503810</v>
          </cell>
          <cell r="D573" t="str">
            <v>GA00B238</v>
          </cell>
          <cell r="E573" t="str">
            <v>1150340000237 Hdfc Bank Ltd</v>
          </cell>
          <cell r="F573" t="str">
            <v>ABANK</v>
          </cell>
          <cell r="G573">
            <v>76826</v>
          </cell>
          <cell r="K573">
            <v>76826</v>
          </cell>
        </row>
        <row r="574">
          <cell r="C574">
            <v>23502040</v>
          </cell>
          <cell r="D574" t="str">
            <v>GA00B113</v>
          </cell>
          <cell r="E574" t="str">
            <v>Canara Bank A/C No.40957</v>
          </cell>
          <cell r="F574" t="str">
            <v>ABANK</v>
          </cell>
          <cell r="G574">
            <v>61634</v>
          </cell>
          <cell r="K574">
            <v>61634</v>
          </cell>
        </row>
        <row r="575">
          <cell r="C575">
            <v>23501270</v>
          </cell>
          <cell r="D575" t="str">
            <v>GA00B180</v>
          </cell>
          <cell r="E575" t="str">
            <v>0540340002133 Hdfc Bank</v>
          </cell>
          <cell r="F575" t="str">
            <v>ABANK</v>
          </cell>
          <cell r="G575">
            <v>39236.32</v>
          </cell>
          <cell r="K575">
            <v>39236.32</v>
          </cell>
        </row>
        <row r="576">
          <cell r="C576">
            <v>23503530</v>
          </cell>
          <cell r="D576" t="str">
            <v>GA00B427</v>
          </cell>
          <cell r="E576" t="str">
            <v>2722340000176 Hdfc Bank Ltd.</v>
          </cell>
          <cell r="F576" t="str">
            <v>ABANK</v>
          </cell>
          <cell r="G576">
            <v>47260.27</v>
          </cell>
          <cell r="K576">
            <v>47260.27</v>
          </cell>
        </row>
        <row r="577">
          <cell r="C577">
            <v>23501340</v>
          </cell>
          <cell r="D577" t="str">
            <v>GA00B60</v>
          </cell>
          <cell r="E577" t="str">
            <v>1160340000012 Hdfc Bank</v>
          </cell>
          <cell r="F577" t="str">
            <v>ABANK</v>
          </cell>
          <cell r="G577">
            <v>51233.22</v>
          </cell>
          <cell r="K577">
            <v>51233.22</v>
          </cell>
        </row>
        <row r="578">
          <cell r="C578">
            <v>23504600</v>
          </cell>
          <cell r="D578" t="str">
            <v>GA00B390</v>
          </cell>
          <cell r="E578" t="str">
            <v>4182340000012 Hdfc Bank Ltd.</v>
          </cell>
          <cell r="F578" t="str">
            <v>ABANK</v>
          </cell>
          <cell r="G578">
            <v>56427.97</v>
          </cell>
          <cell r="K578">
            <v>56427.97</v>
          </cell>
        </row>
        <row r="579">
          <cell r="C579">
            <v>23501810</v>
          </cell>
          <cell r="D579" t="str">
            <v>GA00B177</v>
          </cell>
          <cell r="E579" t="str">
            <v>0912340000156  Hdfc Bank</v>
          </cell>
          <cell r="F579" t="str">
            <v>ABANK</v>
          </cell>
          <cell r="G579">
            <v>27019.26</v>
          </cell>
          <cell r="K579">
            <v>27019.26</v>
          </cell>
        </row>
        <row r="580">
          <cell r="C580">
            <v>23503690</v>
          </cell>
          <cell r="D580" t="str">
            <v>GA00B150</v>
          </cell>
          <cell r="E580" t="str">
            <v>1070340000345 Hdfc Bank</v>
          </cell>
          <cell r="F580" t="str">
            <v>ABANK</v>
          </cell>
          <cell r="G580">
            <v>56786.98</v>
          </cell>
          <cell r="K580">
            <v>56786.98</v>
          </cell>
        </row>
        <row r="581">
          <cell r="C581">
            <v>23503070</v>
          </cell>
          <cell r="D581" t="str">
            <v>GA00B205</v>
          </cell>
          <cell r="E581" t="str">
            <v>0902340000069 Hdfc Bank</v>
          </cell>
          <cell r="F581" t="str">
            <v>ABANK</v>
          </cell>
          <cell r="G581">
            <v>1957.95</v>
          </cell>
          <cell r="K581">
            <v>1957.95</v>
          </cell>
        </row>
        <row r="582">
          <cell r="C582">
            <v>23504440</v>
          </cell>
          <cell r="D582" t="str">
            <v>GA00B532</v>
          </cell>
          <cell r="E582" t="str">
            <v>4672340000026 Hdfc Bank Ltd.</v>
          </cell>
          <cell r="F582" t="str">
            <v>ABANK</v>
          </cell>
          <cell r="G582">
            <v>31433.84</v>
          </cell>
          <cell r="K582">
            <v>31433.84</v>
          </cell>
        </row>
        <row r="583">
          <cell r="C583">
            <v>23503330</v>
          </cell>
          <cell r="D583" t="str">
            <v>GA00B374</v>
          </cell>
          <cell r="E583" t="str">
            <v>1202340000434  Hdfc Bank Ltd</v>
          </cell>
          <cell r="F583" t="str">
            <v>ABANK</v>
          </cell>
          <cell r="G583">
            <v>2264.67</v>
          </cell>
          <cell r="K583">
            <v>2264.67</v>
          </cell>
        </row>
        <row r="584">
          <cell r="C584">
            <v>23501020</v>
          </cell>
          <cell r="D584" t="str">
            <v>GA00B170</v>
          </cell>
          <cell r="E584" t="str">
            <v>0272340000077 Hdfc Bank Ltd.</v>
          </cell>
          <cell r="F584" t="str">
            <v>ABANK</v>
          </cell>
          <cell r="G584">
            <v>73.39</v>
          </cell>
          <cell r="K584">
            <v>73.39</v>
          </cell>
        </row>
        <row r="585">
          <cell r="C585">
            <v>23502920</v>
          </cell>
          <cell r="D585" t="str">
            <v>GA00B50</v>
          </cell>
          <cell r="E585" t="str">
            <v>0350340000118 Hdfc Bank</v>
          </cell>
          <cell r="F585" t="str">
            <v>ABANK</v>
          </cell>
          <cell r="G585">
            <v>62051.53</v>
          </cell>
          <cell r="K585">
            <v>62051.53</v>
          </cell>
        </row>
        <row r="586">
          <cell r="C586">
            <v>23514370</v>
          </cell>
          <cell r="E586" t="str">
            <v>ISL-A/c no. 00600340047111 HDFC BanK LTD.</v>
          </cell>
          <cell r="F586" t="str">
            <v>ABANK</v>
          </cell>
          <cell r="G586">
            <v>3019.7</v>
          </cell>
          <cell r="K586">
            <v>3019.7</v>
          </cell>
        </row>
        <row r="587">
          <cell r="C587">
            <v>23502500</v>
          </cell>
          <cell r="D587" t="str">
            <v>GA00B318</v>
          </cell>
          <cell r="E587" t="str">
            <v>1370340000209 Hdfc Bank Ltd.</v>
          </cell>
          <cell r="F587" t="str">
            <v>ABANK</v>
          </cell>
          <cell r="G587">
            <v>52064.78</v>
          </cell>
          <cell r="K587">
            <v>52064.78</v>
          </cell>
        </row>
        <row r="588">
          <cell r="C588">
            <v>23500440</v>
          </cell>
          <cell r="D588" t="str">
            <v>GA00B212</v>
          </cell>
          <cell r="E588" t="str">
            <v>1190340000086 Hdfc Bank</v>
          </cell>
          <cell r="F588" t="str">
            <v>ABANK</v>
          </cell>
          <cell r="G588">
            <v>40152.550000000003</v>
          </cell>
          <cell r="K588">
            <v>40152.550000000003</v>
          </cell>
        </row>
        <row r="589">
          <cell r="C589">
            <v>23502610</v>
          </cell>
          <cell r="D589" t="str">
            <v>GA00B241</v>
          </cell>
          <cell r="E589" t="str">
            <v>0350340000712  Hdfc Bank Ltd</v>
          </cell>
          <cell r="F589" t="str">
            <v>ABANK</v>
          </cell>
          <cell r="G589">
            <v>46640.55</v>
          </cell>
          <cell r="K589">
            <v>46640.55</v>
          </cell>
        </row>
        <row r="590">
          <cell r="C590">
            <v>23502840</v>
          </cell>
          <cell r="D590" t="str">
            <v>GA00B26</v>
          </cell>
          <cell r="E590" t="str">
            <v>0392000001236 Hdfc Bank</v>
          </cell>
          <cell r="F590" t="str">
            <v>ABANK</v>
          </cell>
          <cell r="G590">
            <v>1170.01</v>
          </cell>
          <cell r="K590">
            <v>1170.01</v>
          </cell>
        </row>
        <row r="591">
          <cell r="C591">
            <v>23500920</v>
          </cell>
          <cell r="D591" t="str">
            <v>GA00B237</v>
          </cell>
          <cell r="E591" t="str">
            <v>A/C No.3192340000054 Hdfc Bank Ltd</v>
          </cell>
          <cell r="F591" t="str">
            <v>ABANK</v>
          </cell>
          <cell r="G591">
            <v>36257.72</v>
          </cell>
          <cell r="K591">
            <v>36257.72</v>
          </cell>
        </row>
        <row r="592">
          <cell r="C592">
            <v>23501520</v>
          </cell>
          <cell r="D592" t="str">
            <v>GA00B192</v>
          </cell>
          <cell r="E592" t="str">
            <v>0600340022685 Hdfc Bank</v>
          </cell>
          <cell r="F592" t="str">
            <v>ABANK</v>
          </cell>
          <cell r="G592">
            <v>68296.63</v>
          </cell>
          <cell r="K592">
            <v>68296.63</v>
          </cell>
        </row>
        <row r="593">
          <cell r="C593">
            <v>23502020</v>
          </cell>
          <cell r="D593" t="str">
            <v>GA00B111</v>
          </cell>
          <cell r="E593" t="str">
            <v>0200340000425 Hdfc Bank</v>
          </cell>
          <cell r="F593" t="str">
            <v>ABANK</v>
          </cell>
          <cell r="G593">
            <v>77611.399999999994</v>
          </cell>
          <cell r="K593">
            <v>77611.399999999994</v>
          </cell>
        </row>
        <row r="594">
          <cell r="C594">
            <v>23502600</v>
          </cell>
          <cell r="D594" t="str">
            <v>GA00B240</v>
          </cell>
          <cell r="E594" t="str">
            <v>0440340000200  Hdfc Bank Ltd</v>
          </cell>
          <cell r="F594" t="str">
            <v>ABANK</v>
          </cell>
          <cell r="G594">
            <v>26748.57</v>
          </cell>
          <cell r="K594">
            <v>26748.57</v>
          </cell>
        </row>
        <row r="595">
          <cell r="C595">
            <v>23501240</v>
          </cell>
          <cell r="D595" t="str">
            <v>GA00B106</v>
          </cell>
          <cell r="E595" t="str">
            <v xml:space="preserve"> Hdfc Bank 0030340012608</v>
          </cell>
          <cell r="F595" t="str">
            <v>ABANK</v>
          </cell>
          <cell r="G595">
            <v>1963.35</v>
          </cell>
          <cell r="K595">
            <v>1963.35</v>
          </cell>
        </row>
        <row r="596">
          <cell r="C596">
            <v>23511000</v>
          </cell>
          <cell r="E596" t="str">
            <v>HDFC Bank A/C-1270340003979 Kanpur Branch</v>
          </cell>
          <cell r="F596" t="str">
            <v>ABANK</v>
          </cell>
          <cell r="G596">
            <v>12343.07</v>
          </cell>
          <cell r="K596">
            <v>12343.07</v>
          </cell>
        </row>
        <row r="597">
          <cell r="C597">
            <v>23503170</v>
          </cell>
          <cell r="D597" t="str">
            <v>GA00B89</v>
          </cell>
          <cell r="E597" t="str">
            <v>1710340000019 Hdfc Bank</v>
          </cell>
          <cell r="F597" t="str">
            <v>ABANK</v>
          </cell>
          <cell r="G597">
            <v>50708.11</v>
          </cell>
          <cell r="K597">
            <v>50708.11</v>
          </cell>
        </row>
        <row r="598">
          <cell r="C598">
            <v>23501850</v>
          </cell>
          <cell r="D598" t="str">
            <v>GA00B145</v>
          </cell>
          <cell r="E598" t="str">
            <v>2850340000040 Hdfc Bank</v>
          </cell>
          <cell r="F598" t="str">
            <v>ABANK</v>
          </cell>
          <cell r="G598">
            <v>0</v>
          </cell>
          <cell r="K598">
            <v>0</v>
          </cell>
        </row>
        <row r="599">
          <cell r="C599">
            <v>23504610</v>
          </cell>
          <cell r="D599" t="str">
            <v>GA00B391</v>
          </cell>
          <cell r="E599" t="str">
            <v>0422340000022 Hdfc Bank Ltd.</v>
          </cell>
          <cell r="F599" t="str">
            <v>ABANK</v>
          </cell>
          <cell r="G599">
            <v>100165.52</v>
          </cell>
          <cell r="K599">
            <v>100165.52</v>
          </cell>
        </row>
        <row r="600">
          <cell r="C600">
            <v>23501070</v>
          </cell>
          <cell r="D600" t="str">
            <v>GA00B292</v>
          </cell>
          <cell r="E600" t="str">
            <v>1010340001903 Hdfc Bank Ltd.</v>
          </cell>
          <cell r="F600" t="str">
            <v>ABANK</v>
          </cell>
          <cell r="G600">
            <v>47597.8</v>
          </cell>
          <cell r="K600">
            <v>47597.8</v>
          </cell>
        </row>
        <row r="601">
          <cell r="C601">
            <v>23502480</v>
          </cell>
          <cell r="D601" t="str">
            <v>GA00B316</v>
          </cell>
          <cell r="E601" t="str">
            <v>2492340000045 Hdfc Bank Ltd.</v>
          </cell>
          <cell r="F601" t="str">
            <v>ABANK</v>
          </cell>
          <cell r="G601">
            <v>32954.639999999999</v>
          </cell>
          <cell r="K601">
            <v>32954.639999999999</v>
          </cell>
        </row>
        <row r="602">
          <cell r="C602">
            <v>23500880</v>
          </cell>
          <cell r="D602" t="str">
            <v>GA00B103</v>
          </cell>
          <cell r="E602" t="str">
            <v>1530340000044 Hdfc Bank</v>
          </cell>
          <cell r="F602" t="str">
            <v>ABANK</v>
          </cell>
          <cell r="G602">
            <v>27640.75</v>
          </cell>
          <cell r="K602">
            <v>27640.75</v>
          </cell>
        </row>
        <row r="603">
          <cell r="C603">
            <v>23501680</v>
          </cell>
          <cell r="D603" t="str">
            <v>GA00B200</v>
          </cell>
          <cell r="E603" t="str">
            <v>0600340022675 Hdfc Bank</v>
          </cell>
          <cell r="F603" t="str">
            <v>ABANK</v>
          </cell>
          <cell r="G603">
            <v>34742.65</v>
          </cell>
          <cell r="K603">
            <v>34742.65</v>
          </cell>
        </row>
        <row r="604">
          <cell r="C604">
            <v>23502440</v>
          </cell>
          <cell r="D604" t="str">
            <v>GA00B353</v>
          </cell>
          <cell r="E604" t="str">
            <v>2592340000015  Hdfc Bank Ltd Blocked</v>
          </cell>
          <cell r="F604" t="str">
            <v>ABANK</v>
          </cell>
          <cell r="G604">
            <v>0</v>
          </cell>
          <cell r="K604">
            <v>0</v>
          </cell>
        </row>
        <row r="605">
          <cell r="C605">
            <v>23505690</v>
          </cell>
          <cell r="D605" t="str">
            <v>GA00B572</v>
          </cell>
          <cell r="E605" t="str">
            <v>1530340000103 HDFC BANK LTD.</v>
          </cell>
          <cell r="F605" t="str">
            <v>ABANK</v>
          </cell>
          <cell r="G605">
            <v>12119</v>
          </cell>
          <cell r="K605">
            <v>12119</v>
          </cell>
        </row>
        <row r="606">
          <cell r="C606">
            <v>23502670</v>
          </cell>
          <cell r="D606" t="str">
            <v>GA00B335</v>
          </cell>
          <cell r="E606" t="str">
            <v>4222340000047 Hdfc Bank Ltd.</v>
          </cell>
          <cell r="F606" t="str">
            <v>ABANK</v>
          </cell>
          <cell r="G606">
            <v>15292</v>
          </cell>
          <cell r="K606">
            <v>15292</v>
          </cell>
        </row>
        <row r="607">
          <cell r="C607">
            <v>23501330</v>
          </cell>
          <cell r="D607" t="str">
            <v>GA00B136</v>
          </cell>
          <cell r="E607" t="str">
            <v>Abn Amro Bank (Dividend A/C 2004-05) 6528414</v>
          </cell>
          <cell r="F607" t="str">
            <v>ABANK</v>
          </cell>
          <cell r="G607">
            <v>807.03</v>
          </cell>
          <cell r="K607">
            <v>807.03</v>
          </cell>
        </row>
        <row r="608">
          <cell r="C608">
            <v>23500510</v>
          </cell>
          <cell r="D608" t="str">
            <v>GA00B139</v>
          </cell>
          <cell r="E608" t="str">
            <v>5402340000128 Hdfc Bank</v>
          </cell>
          <cell r="F608" t="str">
            <v>ABANK</v>
          </cell>
          <cell r="G608">
            <v>117541.97</v>
          </cell>
          <cell r="K608">
            <v>117541.97</v>
          </cell>
        </row>
        <row r="609">
          <cell r="C609">
            <v>23504100</v>
          </cell>
          <cell r="D609" t="str">
            <v>GA00B461</v>
          </cell>
          <cell r="E609" t="str">
            <v>5432340000035 Hdfc Bank Ltd.</v>
          </cell>
          <cell r="F609" t="str">
            <v>ABANK</v>
          </cell>
          <cell r="G609">
            <v>0</v>
          </cell>
          <cell r="K609">
            <v>0</v>
          </cell>
        </row>
        <row r="610">
          <cell r="C610">
            <v>23503180</v>
          </cell>
          <cell r="D610" t="str">
            <v>GA00B90</v>
          </cell>
          <cell r="E610" t="str">
            <v>2260340000039 Hdfc Bank</v>
          </cell>
          <cell r="F610" t="str">
            <v>ABANK</v>
          </cell>
          <cell r="G610">
            <v>79628.100000000006</v>
          </cell>
          <cell r="K610">
            <v>79628.100000000006</v>
          </cell>
        </row>
        <row r="611">
          <cell r="C611">
            <v>23500810</v>
          </cell>
          <cell r="D611" t="str">
            <v>GA00B233</v>
          </cell>
          <cell r="E611" t="str">
            <v>3002340000062 Hdfc Bank Ltd.</v>
          </cell>
          <cell r="F611" t="str">
            <v>ABANK</v>
          </cell>
          <cell r="G611">
            <v>60122.74</v>
          </cell>
          <cell r="K611">
            <v>60122.74</v>
          </cell>
        </row>
        <row r="612">
          <cell r="C612">
            <v>23509940</v>
          </cell>
          <cell r="D612" t="str">
            <v>GA00B569</v>
          </cell>
          <cell r="E612" t="str">
            <v>ISL.0040340003743 HDFC BANK LTD(7160340000037)</v>
          </cell>
          <cell r="F612" t="str">
            <v>ABANK</v>
          </cell>
          <cell r="G612">
            <v>0</v>
          </cell>
          <cell r="K612">
            <v>0</v>
          </cell>
        </row>
        <row r="613">
          <cell r="C613">
            <v>23509990</v>
          </cell>
          <cell r="D613" t="str">
            <v>GA00B581</v>
          </cell>
          <cell r="E613" t="str">
            <v>ISL.DWARKA HDFC BANK 2492340000062</v>
          </cell>
          <cell r="F613" t="str">
            <v>ABANK</v>
          </cell>
          <cell r="G613">
            <v>48175.16</v>
          </cell>
          <cell r="K613">
            <v>48175.16</v>
          </cell>
        </row>
        <row r="614">
          <cell r="C614">
            <v>23502460</v>
          </cell>
          <cell r="D614" t="str">
            <v>GA00B355</v>
          </cell>
          <cell r="E614" t="str">
            <v>2732340000057 Hdfc Bank Ltd</v>
          </cell>
          <cell r="F614" t="str">
            <v>ABANK</v>
          </cell>
          <cell r="G614">
            <v>0</v>
          </cell>
          <cell r="K614">
            <v>0</v>
          </cell>
        </row>
        <row r="615">
          <cell r="C615">
            <v>23502740</v>
          </cell>
          <cell r="D615" t="str">
            <v>GA00B361</v>
          </cell>
          <cell r="E615" t="str">
            <v>0902340000086 Hdfc Bank Ltd</v>
          </cell>
          <cell r="F615" t="str">
            <v>ABANK</v>
          </cell>
          <cell r="G615">
            <v>12335.83</v>
          </cell>
          <cell r="K615">
            <v>12335.83</v>
          </cell>
        </row>
        <row r="616">
          <cell r="C616">
            <v>23500690</v>
          </cell>
          <cell r="D616" t="str">
            <v>GA00B72</v>
          </cell>
          <cell r="E616" t="str">
            <v>Canara Bank 2308,Shimoga</v>
          </cell>
          <cell r="F616" t="str">
            <v>ABANK</v>
          </cell>
          <cell r="G616">
            <v>109</v>
          </cell>
          <cell r="K616">
            <v>109</v>
          </cell>
        </row>
        <row r="617">
          <cell r="C617">
            <v>23501230</v>
          </cell>
          <cell r="D617" t="str">
            <v>GA00B105</v>
          </cell>
          <cell r="E617" t="str">
            <v>0620340000116 Hdfc Bank (Closed)</v>
          </cell>
          <cell r="F617" t="str">
            <v>ABANK</v>
          </cell>
          <cell r="G617">
            <v>0</v>
          </cell>
          <cell r="K617">
            <v>0</v>
          </cell>
        </row>
        <row r="618">
          <cell r="C618">
            <v>23502860</v>
          </cell>
          <cell r="D618" t="str">
            <v>GA00B30</v>
          </cell>
          <cell r="E618" t="str">
            <v>0780340000249 Hdfc Bank</v>
          </cell>
          <cell r="F618" t="str">
            <v>ABANK</v>
          </cell>
          <cell r="G618">
            <v>39715.870000000003</v>
          </cell>
          <cell r="K618">
            <v>39715.870000000003</v>
          </cell>
        </row>
        <row r="619">
          <cell r="C619">
            <v>23510700</v>
          </cell>
          <cell r="E619" t="str">
            <v>ISL 02062340000127 HDFC Bank (Closed)</v>
          </cell>
          <cell r="F619" t="str">
            <v>ABANK</v>
          </cell>
          <cell r="G619">
            <v>0</v>
          </cell>
          <cell r="K619">
            <v>0</v>
          </cell>
        </row>
        <row r="620">
          <cell r="C620">
            <v>23503240</v>
          </cell>
          <cell r="D620" t="str">
            <v>GA00B323</v>
          </cell>
          <cell r="E620" t="str">
            <v>0222340000086 Hdfc Bank Ltd.</v>
          </cell>
          <cell r="F620" t="str">
            <v>ABANK</v>
          </cell>
          <cell r="G620">
            <v>29041.19</v>
          </cell>
          <cell r="K620">
            <v>29041.19</v>
          </cell>
        </row>
        <row r="621">
          <cell r="C621">
            <v>23501030</v>
          </cell>
          <cell r="D621" t="str">
            <v>GA00B168</v>
          </cell>
          <cell r="E621" t="str">
            <v>3420340000032 Hdfc Bank</v>
          </cell>
          <cell r="F621" t="str">
            <v>ABANK</v>
          </cell>
          <cell r="G621">
            <v>67494.63</v>
          </cell>
          <cell r="K621">
            <v>67494.63</v>
          </cell>
        </row>
        <row r="622">
          <cell r="C622">
            <v>23505660</v>
          </cell>
          <cell r="D622" t="str">
            <v>GA00B543</v>
          </cell>
          <cell r="E622" t="str">
            <v>1202340000441 HDFC BANK LIMITED</v>
          </cell>
          <cell r="F622" t="str">
            <v>ABANK</v>
          </cell>
          <cell r="G622">
            <v>39716.58</v>
          </cell>
          <cell r="K622">
            <v>39716.58</v>
          </cell>
        </row>
        <row r="623">
          <cell r="C623">
            <v>23503130</v>
          </cell>
          <cell r="D623" t="str">
            <v>GA00B85</v>
          </cell>
          <cell r="E623" t="str">
            <v>0880340000030 Hdfc Bank</v>
          </cell>
          <cell r="F623" t="str">
            <v>ABANK</v>
          </cell>
          <cell r="G623">
            <v>25433.95</v>
          </cell>
          <cell r="K623">
            <v>25433.95</v>
          </cell>
        </row>
        <row r="624">
          <cell r="C624">
            <v>23502150</v>
          </cell>
          <cell r="D624" t="str">
            <v>GA00B53</v>
          </cell>
          <cell r="E624" t="str">
            <v>1210340000134 Hdfc Bank</v>
          </cell>
          <cell r="F624" t="str">
            <v>ABANK</v>
          </cell>
          <cell r="G624">
            <v>0</v>
          </cell>
          <cell r="K624">
            <v>0</v>
          </cell>
        </row>
        <row r="625">
          <cell r="C625">
            <v>23501290</v>
          </cell>
          <cell r="D625" t="str">
            <v>GA00B120</v>
          </cell>
          <cell r="E625" t="str">
            <v>1582340000288 Hdfc Bank</v>
          </cell>
          <cell r="F625" t="str">
            <v>ABANK</v>
          </cell>
          <cell r="G625">
            <v>28396.39</v>
          </cell>
          <cell r="K625">
            <v>28396.39</v>
          </cell>
        </row>
        <row r="626">
          <cell r="C626">
            <v>23500370</v>
          </cell>
          <cell r="D626" t="str">
            <v>GA00B172</v>
          </cell>
          <cell r="E626" t="str">
            <v>1510340000118 Hdfc Bank</v>
          </cell>
          <cell r="F626" t="str">
            <v>ABANK</v>
          </cell>
          <cell r="G626">
            <v>0</v>
          </cell>
          <cell r="K626">
            <v>0</v>
          </cell>
        </row>
        <row r="627">
          <cell r="C627">
            <v>23500390</v>
          </cell>
          <cell r="D627" t="str">
            <v>GA00B174</v>
          </cell>
          <cell r="E627" t="str">
            <v>0940340000067 Hdfc Bank</v>
          </cell>
          <cell r="F627" t="str">
            <v>ABANK</v>
          </cell>
          <cell r="G627">
            <v>0</v>
          </cell>
          <cell r="K627">
            <v>0</v>
          </cell>
        </row>
        <row r="628">
          <cell r="C628">
            <v>23500420</v>
          </cell>
          <cell r="D628" t="str">
            <v>GA00B210</v>
          </cell>
          <cell r="E628" t="str">
            <v>1090340000416  Hdfc Bank</v>
          </cell>
          <cell r="F628" t="str">
            <v>ABANK</v>
          </cell>
          <cell r="G628">
            <v>0</v>
          </cell>
          <cell r="K628">
            <v>0</v>
          </cell>
        </row>
        <row r="629">
          <cell r="C629">
            <v>23500480</v>
          </cell>
          <cell r="D629" t="str">
            <v>GA00B129</v>
          </cell>
          <cell r="E629" t="str">
            <v>Uti Bank-Bhimavaram 217010200000462</v>
          </cell>
          <cell r="F629" t="str">
            <v>ABANK</v>
          </cell>
          <cell r="G629">
            <v>0</v>
          </cell>
          <cell r="K629">
            <v>0</v>
          </cell>
        </row>
        <row r="630">
          <cell r="C630">
            <v>23500500</v>
          </cell>
          <cell r="D630" t="str">
            <v>GA00B157</v>
          </cell>
          <cell r="E630" t="str">
            <v>0630340000117 Hdfc Bank</v>
          </cell>
          <cell r="F630" t="str">
            <v>ABANK</v>
          </cell>
          <cell r="G630">
            <v>0</v>
          </cell>
          <cell r="K630">
            <v>0</v>
          </cell>
        </row>
        <row r="631">
          <cell r="C631">
            <v>23500580</v>
          </cell>
          <cell r="D631" t="str">
            <v>GA00B235</v>
          </cell>
          <cell r="E631" t="str">
            <v>4392340000017 Hdfc Bank Ltd</v>
          </cell>
          <cell r="F631" t="str">
            <v>ABANK</v>
          </cell>
          <cell r="G631">
            <v>0</v>
          </cell>
          <cell r="K631">
            <v>0</v>
          </cell>
        </row>
        <row r="632">
          <cell r="C632">
            <v>23500600</v>
          </cell>
          <cell r="D632" t="str">
            <v>GA00B256</v>
          </cell>
          <cell r="E632" t="str">
            <v xml:space="preserve"> 2680340000118 Hdfc Bank Ltd</v>
          </cell>
          <cell r="F632" t="str">
            <v>ABANK</v>
          </cell>
          <cell r="G632">
            <v>0</v>
          </cell>
          <cell r="K632">
            <v>0</v>
          </cell>
        </row>
        <row r="633">
          <cell r="C633">
            <v>23500610</v>
          </cell>
          <cell r="D633" t="str">
            <v>GA00B255</v>
          </cell>
          <cell r="E633" t="str">
            <v>1210340000213  Hdfc Bank Ltd</v>
          </cell>
          <cell r="F633" t="str">
            <v>ABANK</v>
          </cell>
          <cell r="G633">
            <v>0</v>
          </cell>
          <cell r="K633">
            <v>0</v>
          </cell>
        </row>
        <row r="634">
          <cell r="C634">
            <v>23500710</v>
          </cell>
          <cell r="D634" t="str">
            <v>GA00B79</v>
          </cell>
          <cell r="E634" t="str">
            <v>2340340000017 Hdfc Bank</v>
          </cell>
          <cell r="F634" t="str">
            <v>ABANK</v>
          </cell>
          <cell r="G634">
            <v>0</v>
          </cell>
          <cell r="K634">
            <v>0</v>
          </cell>
        </row>
        <row r="635">
          <cell r="C635">
            <v>23500730</v>
          </cell>
          <cell r="D635" t="str">
            <v>GA00B281</v>
          </cell>
          <cell r="E635" t="str">
            <v>2830340000038  Hdfc Bank Ltd</v>
          </cell>
          <cell r="F635" t="str">
            <v>ABANK</v>
          </cell>
          <cell r="G635">
            <v>0</v>
          </cell>
          <cell r="K635">
            <v>0</v>
          </cell>
        </row>
        <row r="636">
          <cell r="C636">
            <v>23500750</v>
          </cell>
          <cell r="D636" t="str">
            <v>GA00B204</v>
          </cell>
          <cell r="E636" t="str">
            <v>007010200037129 Uti Bank</v>
          </cell>
          <cell r="F636" t="str">
            <v>ABANK</v>
          </cell>
          <cell r="G636">
            <v>0</v>
          </cell>
          <cell r="K636">
            <v>0</v>
          </cell>
        </row>
        <row r="637">
          <cell r="C637">
            <v>23500760</v>
          </cell>
          <cell r="D637" t="str">
            <v>GA05001</v>
          </cell>
          <cell r="E637" t="str">
            <v>Bse Bank</v>
          </cell>
          <cell r="F637" t="str">
            <v>ABANK</v>
          </cell>
          <cell r="G637">
            <v>0</v>
          </cell>
          <cell r="K637">
            <v>0</v>
          </cell>
        </row>
        <row r="638">
          <cell r="C638">
            <v>23500790</v>
          </cell>
          <cell r="D638" t="str">
            <v>GA00B01</v>
          </cell>
          <cell r="E638" t="str">
            <v>A/C 2080340000037 Hdfc Bank Ltd.</v>
          </cell>
          <cell r="F638" t="str">
            <v>ABANK</v>
          </cell>
          <cell r="G638">
            <v>0</v>
          </cell>
          <cell r="K638">
            <v>0</v>
          </cell>
        </row>
        <row r="639">
          <cell r="C639">
            <v>23500800</v>
          </cell>
          <cell r="D639" t="str">
            <v>GA00B218</v>
          </cell>
          <cell r="E639" t="str">
            <v>4630340000013 Hdfc Bank Ltd</v>
          </cell>
          <cell r="F639" t="str">
            <v>ABANK</v>
          </cell>
          <cell r="G639">
            <v>0</v>
          </cell>
          <cell r="K639">
            <v>0</v>
          </cell>
        </row>
        <row r="640">
          <cell r="C640">
            <v>23500820</v>
          </cell>
          <cell r="D640" t="str">
            <v>GA00B252</v>
          </cell>
          <cell r="E640" t="str">
            <v>0870340000228 Hdfc Bank Ltd</v>
          </cell>
          <cell r="F640" t="str">
            <v>ABANK</v>
          </cell>
          <cell r="G640">
            <v>0</v>
          </cell>
          <cell r="K640">
            <v>0</v>
          </cell>
        </row>
        <row r="641">
          <cell r="C641">
            <v>23500830</v>
          </cell>
          <cell r="D641" t="str">
            <v>GA00B253</v>
          </cell>
          <cell r="E641" t="str">
            <v>3800340000021  Hdfc Bank Ltd</v>
          </cell>
          <cell r="F641" t="str">
            <v>ABANK</v>
          </cell>
          <cell r="G641">
            <v>0</v>
          </cell>
          <cell r="K641">
            <v>0</v>
          </cell>
        </row>
        <row r="642">
          <cell r="C642">
            <v>23500870</v>
          </cell>
          <cell r="D642" t="str">
            <v>GA00B102</v>
          </cell>
          <cell r="E642" t="str">
            <v>1370340000088 Hdfc Bank</v>
          </cell>
          <cell r="F642" t="str">
            <v>ABANK</v>
          </cell>
          <cell r="G642">
            <v>0</v>
          </cell>
          <cell r="K642">
            <v>0</v>
          </cell>
        </row>
        <row r="643">
          <cell r="C643">
            <v>23500910</v>
          </cell>
          <cell r="D643" t="str">
            <v>GA00B236</v>
          </cell>
          <cell r="E643" t="str">
            <v>5050340000060 Hdfc Bank Ltd</v>
          </cell>
          <cell r="F643" t="str">
            <v>ABANK</v>
          </cell>
          <cell r="G643">
            <v>0</v>
          </cell>
          <cell r="K643">
            <v>0</v>
          </cell>
        </row>
        <row r="644">
          <cell r="C644">
            <v>23500930</v>
          </cell>
          <cell r="D644" t="str">
            <v>GA00B158</v>
          </cell>
          <cell r="E644" t="str">
            <v>0650340000040  Hdfc Bank</v>
          </cell>
          <cell r="F644" t="str">
            <v>ABANK</v>
          </cell>
          <cell r="G644">
            <v>0</v>
          </cell>
          <cell r="K644">
            <v>0</v>
          </cell>
        </row>
        <row r="645">
          <cell r="C645">
            <v>23500950</v>
          </cell>
          <cell r="D645" t="str">
            <v>GA00B160</v>
          </cell>
          <cell r="E645" t="str">
            <v>Indusind Bank A/C Indiabulls Securities Ltd</v>
          </cell>
          <cell r="F645" t="str">
            <v>ABANK</v>
          </cell>
          <cell r="G645">
            <v>0</v>
          </cell>
          <cell r="K645">
            <v>0</v>
          </cell>
        </row>
        <row r="646">
          <cell r="C646">
            <v>23500990</v>
          </cell>
          <cell r="D646" t="str">
            <v>GA00B166</v>
          </cell>
          <cell r="E646" t="str">
            <v>2140340000133 Hdfc Bank</v>
          </cell>
          <cell r="F646" t="str">
            <v>ABANK</v>
          </cell>
          <cell r="G646">
            <v>0</v>
          </cell>
          <cell r="K646">
            <v>0</v>
          </cell>
        </row>
        <row r="647">
          <cell r="C647">
            <v>23501040</v>
          </cell>
          <cell r="D647" t="str">
            <v>GA00B171</v>
          </cell>
          <cell r="E647" t="str">
            <v>4260340000018 Hdfc Bank</v>
          </cell>
          <cell r="F647" t="str">
            <v>ABANK</v>
          </cell>
          <cell r="G647">
            <v>0</v>
          </cell>
          <cell r="K647">
            <v>0</v>
          </cell>
        </row>
        <row r="648">
          <cell r="C648">
            <v>23501060</v>
          </cell>
          <cell r="D648" t="str">
            <v>GA00B291</v>
          </cell>
          <cell r="E648" t="str">
            <v>0562340000033 Hdfc Bank Ltd.</v>
          </cell>
          <cell r="F648" t="str">
            <v>ABANK</v>
          </cell>
          <cell r="G648">
            <v>0</v>
          </cell>
          <cell r="K648">
            <v>0</v>
          </cell>
        </row>
        <row r="649">
          <cell r="C649">
            <v>23501100</v>
          </cell>
          <cell r="D649" t="str">
            <v>GA00B295</v>
          </cell>
          <cell r="E649" t="str">
            <v>1770340000165  Hdfc Bank Ltd.</v>
          </cell>
          <cell r="F649" t="str">
            <v>ABANK</v>
          </cell>
          <cell r="G649">
            <v>0</v>
          </cell>
          <cell r="K649">
            <v>0</v>
          </cell>
        </row>
        <row r="650">
          <cell r="C650">
            <v>23501110</v>
          </cell>
          <cell r="D650" t="str">
            <v>GA00B289</v>
          </cell>
          <cell r="E650" t="str">
            <v>1130340000105  Hdfc Bank Ltd.</v>
          </cell>
          <cell r="F650" t="str">
            <v>ABANK</v>
          </cell>
          <cell r="G650">
            <v>0</v>
          </cell>
          <cell r="K650">
            <v>0</v>
          </cell>
        </row>
        <row r="651">
          <cell r="C651">
            <v>23501120</v>
          </cell>
          <cell r="D651" t="str">
            <v>GA00B290</v>
          </cell>
          <cell r="E651" t="str">
            <v>4112340000022  Hdfc Bank Ltd.</v>
          </cell>
          <cell r="F651" t="str">
            <v>ABANK</v>
          </cell>
          <cell r="G651">
            <v>0</v>
          </cell>
          <cell r="K651">
            <v>0</v>
          </cell>
        </row>
        <row r="652">
          <cell r="C652">
            <v>23501130</v>
          </cell>
          <cell r="D652" t="str">
            <v>GA00B296</v>
          </cell>
          <cell r="E652" t="str">
            <v>0172340000019  Hdfc Bank Ltd</v>
          </cell>
          <cell r="F652" t="str">
            <v>ABANK</v>
          </cell>
          <cell r="G652">
            <v>0</v>
          </cell>
          <cell r="K652">
            <v>0</v>
          </cell>
        </row>
        <row r="653">
          <cell r="C653">
            <v>23501150</v>
          </cell>
          <cell r="D653" t="str">
            <v>GA00B298</v>
          </cell>
          <cell r="E653" t="str">
            <v>1822340000074 Hdfc Bank</v>
          </cell>
          <cell r="F653" t="str">
            <v>ABANK</v>
          </cell>
          <cell r="G653">
            <v>0</v>
          </cell>
          <cell r="K653">
            <v>0</v>
          </cell>
        </row>
        <row r="654">
          <cell r="C654">
            <v>23501170</v>
          </cell>
          <cell r="D654" t="str">
            <v>GA00B268</v>
          </cell>
          <cell r="E654" t="str">
            <v>2100340000060  Hdfc Bank Ltd.</v>
          </cell>
          <cell r="F654" t="str">
            <v>ABANK</v>
          </cell>
          <cell r="G654">
            <v>0</v>
          </cell>
          <cell r="K654">
            <v>0</v>
          </cell>
        </row>
        <row r="655">
          <cell r="C655">
            <v>23501200</v>
          </cell>
          <cell r="D655" t="str">
            <v>GA00B303</v>
          </cell>
          <cell r="E655" t="str">
            <v>1310340000114 Hdfc Bank Ltd.</v>
          </cell>
          <cell r="F655" t="str">
            <v>ABANK</v>
          </cell>
          <cell r="G655">
            <v>0</v>
          </cell>
          <cell r="K655">
            <v>0</v>
          </cell>
        </row>
        <row r="656">
          <cell r="C656">
            <v>23501210</v>
          </cell>
          <cell r="D656" t="str">
            <v>GA00B304</v>
          </cell>
          <cell r="E656" t="str">
            <v>1710340000046 Hdfc Bank Ltd.</v>
          </cell>
          <cell r="F656" t="str">
            <v>ABANK</v>
          </cell>
          <cell r="G656">
            <v>0</v>
          </cell>
          <cell r="K656">
            <v>0</v>
          </cell>
        </row>
        <row r="657">
          <cell r="C657">
            <v>23501220</v>
          </cell>
          <cell r="D657" t="str">
            <v>GA00B305</v>
          </cell>
          <cell r="E657" t="str">
            <v>358010200001588 Uti Bank Ltd.</v>
          </cell>
          <cell r="F657" t="str">
            <v>ABANK</v>
          </cell>
          <cell r="G657">
            <v>0</v>
          </cell>
          <cell r="K657">
            <v>0</v>
          </cell>
        </row>
        <row r="658">
          <cell r="C658">
            <v>23501260</v>
          </cell>
          <cell r="D658" t="str">
            <v>GA00B179</v>
          </cell>
          <cell r="E658" t="str">
            <v>1670340000141 Hdfc Bank</v>
          </cell>
          <cell r="F658" t="str">
            <v>ABANK</v>
          </cell>
          <cell r="G658">
            <v>0</v>
          </cell>
          <cell r="K658">
            <v>0</v>
          </cell>
        </row>
        <row r="659">
          <cell r="C659">
            <v>23501300</v>
          </cell>
          <cell r="D659" t="str">
            <v>GA00B121</v>
          </cell>
          <cell r="E659" t="str">
            <v>1420340000087 Hdfc Bank</v>
          </cell>
          <cell r="F659" t="str">
            <v>ABANK</v>
          </cell>
          <cell r="G659">
            <v>0</v>
          </cell>
          <cell r="K659">
            <v>0</v>
          </cell>
        </row>
        <row r="660">
          <cell r="C660">
            <v>23501350</v>
          </cell>
          <cell r="D660" t="str">
            <v>GA00B57</v>
          </cell>
          <cell r="E660" t="str">
            <v>631005007528 Icici Bank Ltd.</v>
          </cell>
          <cell r="F660" t="str">
            <v>ABANK</v>
          </cell>
          <cell r="G660">
            <v>0</v>
          </cell>
          <cell r="K660">
            <v>0</v>
          </cell>
        </row>
        <row r="661">
          <cell r="C661">
            <v>23501410</v>
          </cell>
          <cell r="D661" t="str">
            <v>GA00B147</v>
          </cell>
          <cell r="E661" t="str">
            <v>1230340000084 Hdfc Bank</v>
          </cell>
          <cell r="F661" t="str">
            <v>ABANK</v>
          </cell>
          <cell r="G661">
            <v>0</v>
          </cell>
          <cell r="K661">
            <v>0</v>
          </cell>
        </row>
        <row r="662">
          <cell r="C662">
            <v>23501450</v>
          </cell>
          <cell r="D662" t="str">
            <v>GA00B94</v>
          </cell>
          <cell r="E662" t="str">
            <v>0612340000025 Hdfc Bank</v>
          </cell>
          <cell r="F662" t="str">
            <v>ABANK</v>
          </cell>
          <cell r="G662">
            <v>0</v>
          </cell>
          <cell r="K662">
            <v>0</v>
          </cell>
        </row>
        <row r="663">
          <cell r="C663">
            <v>23501490</v>
          </cell>
          <cell r="D663" t="str">
            <v>GA00B196</v>
          </cell>
          <cell r="E663" t="str">
            <v>2982340000022 Hdfc Bank</v>
          </cell>
          <cell r="F663" t="str">
            <v>ABANK</v>
          </cell>
          <cell r="G663">
            <v>0</v>
          </cell>
          <cell r="K663">
            <v>0</v>
          </cell>
        </row>
        <row r="664">
          <cell r="C664">
            <v>23501500</v>
          </cell>
          <cell r="D664" t="str">
            <v>GA00B197</v>
          </cell>
          <cell r="E664" t="str">
            <v>1592340000039 Hdfc Bank</v>
          </cell>
          <cell r="F664" t="str">
            <v>ABANK</v>
          </cell>
          <cell r="G664">
            <v>0</v>
          </cell>
          <cell r="K664">
            <v>0</v>
          </cell>
        </row>
        <row r="665">
          <cell r="C665">
            <v>23501530</v>
          </cell>
          <cell r="D665" t="str">
            <v>GA00B201</v>
          </cell>
          <cell r="E665" t="str">
            <v>2150340000213 Hdfc Bank</v>
          </cell>
          <cell r="F665" t="str">
            <v>ABANK</v>
          </cell>
          <cell r="G665">
            <v>0</v>
          </cell>
          <cell r="K665">
            <v>0</v>
          </cell>
        </row>
        <row r="666">
          <cell r="C666">
            <v>23501540</v>
          </cell>
          <cell r="D666" t="str">
            <v>GA00B203</v>
          </cell>
          <cell r="E666" t="str">
            <v>0070340000627 Hdfc Bank</v>
          </cell>
          <cell r="F666" t="str">
            <v>ABANK</v>
          </cell>
          <cell r="G666">
            <v>0</v>
          </cell>
          <cell r="K666">
            <v>0</v>
          </cell>
        </row>
        <row r="667">
          <cell r="C667">
            <v>23501560</v>
          </cell>
          <cell r="D667" t="str">
            <v>GA00B207</v>
          </cell>
          <cell r="E667" t="str">
            <v>027905000230 Icici Bank</v>
          </cell>
          <cell r="F667" t="str">
            <v>ABANK</v>
          </cell>
          <cell r="G667">
            <v>0</v>
          </cell>
          <cell r="K667">
            <v>0</v>
          </cell>
        </row>
        <row r="668">
          <cell r="C668">
            <v>23501630</v>
          </cell>
          <cell r="D668" t="str">
            <v>GA00B271</v>
          </cell>
          <cell r="E668" t="str">
            <v>272010200001243  Uti Bank Ltd</v>
          </cell>
          <cell r="F668" t="str">
            <v>ABANK</v>
          </cell>
          <cell r="G668">
            <v>0</v>
          </cell>
          <cell r="K668">
            <v>0</v>
          </cell>
        </row>
        <row r="669">
          <cell r="C669">
            <v>23501660</v>
          </cell>
          <cell r="D669" t="str">
            <v>GA00B198</v>
          </cell>
          <cell r="E669" t="str">
            <v>1520340000060 Hdfc Bank</v>
          </cell>
          <cell r="F669" t="str">
            <v>ABANK</v>
          </cell>
          <cell r="G669">
            <v>0</v>
          </cell>
          <cell r="K669">
            <v>0</v>
          </cell>
        </row>
        <row r="670">
          <cell r="C670">
            <v>23501670</v>
          </cell>
          <cell r="D670" t="str">
            <v>GA00B199</v>
          </cell>
          <cell r="E670" t="str">
            <v>0200340000857 Hdfc Bank</v>
          </cell>
          <cell r="F670" t="str">
            <v>ABANK</v>
          </cell>
          <cell r="G670">
            <v>0</v>
          </cell>
          <cell r="K670">
            <v>0</v>
          </cell>
        </row>
        <row r="671">
          <cell r="C671">
            <v>23501700</v>
          </cell>
          <cell r="D671" t="str">
            <v>GA00B264</v>
          </cell>
          <cell r="E671" t="str">
            <v xml:space="preserve"> 267010200003377  Uti Bank Ltd</v>
          </cell>
          <cell r="F671" t="str">
            <v>ABANK</v>
          </cell>
          <cell r="G671">
            <v>0</v>
          </cell>
          <cell r="K671">
            <v>0</v>
          </cell>
        </row>
        <row r="672">
          <cell r="C672">
            <v>23501730</v>
          </cell>
          <cell r="D672" t="str">
            <v>GA00B133</v>
          </cell>
          <cell r="E672" t="str">
            <v>1452340000278 Hdfc Bank</v>
          </cell>
          <cell r="F672" t="str">
            <v>ABANK</v>
          </cell>
          <cell r="G672">
            <v>0</v>
          </cell>
          <cell r="K672">
            <v>0</v>
          </cell>
        </row>
        <row r="673">
          <cell r="C673">
            <v>23501760</v>
          </cell>
          <cell r="D673" t="str">
            <v>GA00B137</v>
          </cell>
          <cell r="E673" t="str">
            <v>0060340005600 Hdfc Bank</v>
          </cell>
          <cell r="F673" t="str">
            <v>ABANK</v>
          </cell>
          <cell r="G673">
            <v>0</v>
          </cell>
          <cell r="K673">
            <v>0</v>
          </cell>
        </row>
        <row r="674">
          <cell r="C674">
            <v>23501780</v>
          </cell>
          <cell r="D674" t="str">
            <v>GA00B98</v>
          </cell>
          <cell r="E674" t="str">
            <v>0902340000032 Hdfc Bank</v>
          </cell>
          <cell r="F674" t="str">
            <v>ABANK</v>
          </cell>
          <cell r="G674">
            <v>0</v>
          </cell>
          <cell r="K674">
            <v>0</v>
          </cell>
        </row>
        <row r="675">
          <cell r="C675">
            <v>23501820</v>
          </cell>
          <cell r="D675" t="str">
            <v>GA00B163</v>
          </cell>
          <cell r="E675" t="str">
            <v>Indiabullssecurities Ltd. 1780340000122 Hdfc Bank</v>
          </cell>
          <cell r="F675" t="str">
            <v>ABANK</v>
          </cell>
          <cell r="G675">
            <v>0</v>
          </cell>
          <cell r="K675">
            <v>0</v>
          </cell>
        </row>
        <row r="676">
          <cell r="C676">
            <v>23501830</v>
          </cell>
          <cell r="D676" t="str">
            <v>GA00B143</v>
          </cell>
          <cell r="E676" t="str">
            <v>3810340000049 Hdfc Bank</v>
          </cell>
          <cell r="F676" t="str">
            <v>ABANK</v>
          </cell>
          <cell r="G676">
            <v>0</v>
          </cell>
          <cell r="K676">
            <v>0</v>
          </cell>
        </row>
        <row r="677">
          <cell r="C677">
            <v>23501840</v>
          </cell>
          <cell r="D677" t="str">
            <v>GA00B144</v>
          </cell>
          <cell r="E677" t="str">
            <v>0370340000031 Hdfc Bank</v>
          </cell>
          <cell r="F677" t="str">
            <v>ABANK</v>
          </cell>
          <cell r="G677">
            <v>0</v>
          </cell>
          <cell r="K677">
            <v>0</v>
          </cell>
        </row>
        <row r="678">
          <cell r="C678">
            <v>23501890</v>
          </cell>
          <cell r="D678" t="str">
            <v>GA00B278</v>
          </cell>
          <cell r="E678" t="str">
            <v>1830340000165  Hdfc Bank Ltd</v>
          </cell>
          <cell r="F678" t="str">
            <v>ABANK</v>
          </cell>
          <cell r="G678">
            <v>0</v>
          </cell>
          <cell r="K678">
            <v>0</v>
          </cell>
        </row>
        <row r="679">
          <cell r="C679">
            <v>23501900</v>
          </cell>
          <cell r="D679" t="str">
            <v>GA00B279</v>
          </cell>
          <cell r="E679" t="str">
            <v>1950340000184 Hdfc Bank Ltd</v>
          </cell>
          <cell r="F679" t="str">
            <v>ABANK</v>
          </cell>
          <cell r="G679">
            <v>0</v>
          </cell>
          <cell r="K679">
            <v>0</v>
          </cell>
        </row>
        <row r="680">
          <cell r="C680">
            <v>23501910</v>
          </cell>
          <cell r="D680" t="str">
            <v>GA00B307</v>
          </cell>
          <cell r="E680" t="str">
            <v>4030340000038 Hdfc Bank Ltd.</v>
          </cell>
          <cell r="F680" t="str">
            <v>ABANK</v>
          </cell>
          <cell r="G680">
            <v>0</v>
          </cell>
          <cell r="K680">
            <v>0</v>
          </cell>
        </row>
        <row r="681">
          <cell r="C681">
            <v>23501950</v>
          </cell>
          <cell r="D681" t="str">
            <v>GA00B311</v>
          </cell>
          <cell r="E681" t="str">
            <v>4580340000048 Hdfc Bank Ltd.</v>
          </cell>
          <cell r="F681" t="str">
            <v>ABANK</v>
          </cell>
          <cell r="G681">
            <v>0</v>
          </cell>
          <cell r="K681">
            <v>0</v>
          </cell>
        </row>
        <row r="682">
          <cell r="C682">
            <v>23501960</v>
          </cell>
          <cell r="D682" t="str">
            <v>GA00B312</v>
          </cell>
          <cell r="E682" t="str">
            <v>2830340000048 Hdfc Bank Ltd.</v>
          </cell>
          <cell r="F682" t="str">
            <v>ABANK</v>
          </cell>
          <cell r="G682">
            <v>0</v>
          </cell>
          <cell r="K682">
            <v>0</v>
          </cell>
        </row>
        <row r="683">
          <cell r="C683">
            <v>23501970</v>
          </cell>
          <cell r="D683" t="str">
            <v>GA00B313</v>
          </cell>
          <cell r="E683" t="str">
            <v>2250340000107 Hdfc Bank Ltd.</v>
          </cell>
          <cell r="F683" t="str">
            <v>ABANK</v>
          </cell>
          <cell r="G683">
            <v>0</v>
          </cell>
          <cell r="K683">
            <v>0</v>
          </cell>
        </row>
        <row r="684">
          <cell r="C684">
            <v>23501980</v>
          </cell>
          <cell r="D684" t="str">
            <v>GA00B314</v>
          </cell>
          <cell r="E684" t="str">
            <v>2570340000034  Hdfc Bank Ltd.</v>
          </cell>
          <cell r="F684" t="str">
            <v>ABANK</v>
          </cell>
          <cell r="G684">
            <v>0</v>
          </cell>
          <cell r="K684">
            <v>0</v>
          </cell>
        </row>
        <row r="685">
          <cell r="C685">
            <v>23502000</v>
          </cell>
          <cell r="D685" t="str">
            <v>GA00B258</v>
          </cell>
          <cell r="E685" t="str">
            <v>1640340000086 Hdfc Bank</v>
          </cell>
          <cell r="F685" t="str">
            <v>ABANK</v>
          </cell>
          <cell r="G685">
            <v>0</v>
          </cell>
          <cell r="K685">
            <v>0</v>
          </cell>
        </row>
        <row r="686">
          <cell r="C686">
            <v>23502010</v>
          </cell>
          <cell r="D686" t="str">
            <v>GA00B110</v>
          </cell>
          <cell r="E686" t="str">
            <v>019005000406 Icici Bank Ltd.</v>
          </cell>
          <cell r="F686" t="str">
            <v>ABANK</v>
          </cell>
          <cell r="G686">
            <v>0</v>
          </cell>
          <cell r="K686">
            <v>0</v>
          </cell>
        </row>
        <row r="687">
          <cell r="C687">
            <v>23502090</v>
          </cell>
          <cell r="D687" t="str">
            <v>GA00B118</v>
          </cell>
          <cell r="E687" t="str">
            <v>2150340000110 Hdfc Bank</v>
          </cell>
          <cell r="F687" t="str">
            <v>ABANK</v>
          </cell>
          <cell r="G687">
            <v>0</v>
          </cell>
          <cell r="K687">
            <v>0</v>
          </cell>
        </row>
        <row r="688">
          <cell r="C688">
            <v>23502100</v>
          </cell>
          <cell r="D688" t="str">
            <v>GA00B267</v>
          </cell>
          <cell r="E688" t="str">
            <v>3500340000071  Hdfc Bank Ltd</v>
          </cell>
          <cell r="F688" t="str">
            <v>ABANK</v>
          </cell>
          <cell r="G688">
            <v>0</v>
          </cell>
          <cell r="K688">
            <v>0</v>
          </cell>
        </row>
        <row r="689">
          <cell r="C689">
            <v>23502140</v>
          </cell>
          <cell r="D689" t="str">
            <v>GA00B40</v>
          </cell>
          <cell r="E689" t="str">
            <v>1220340000128 Hdfc Bank</v>
          </cell>
          <cell r="F689" t="str">
            <v>ABANK</v>
          </cell>
          <cell r="G689">
            <v>0</v>
          </cell>
          <cell r="K689">
            <v>0</v>
          </cell>
        </row>
        <row r="690">
          <cell r="C690">
            <v>23502160</v>
          </cell>
          <cell r="D690" t="str">
            <v>GA00B186</v>
          </cell>
          <cell r="E690" t="str">
            <v>3040340000036 Hdfc Bank</v>
          </cell>
          <cell r="F690" t="str">
            <v>ABANK</v>
          </cell>
          <cell r="G690">
            <v>0</v>
          </cell>
          <cell r="K690">
            <v>0</v>
          </cell>
        </row>
        <row r="691">
          <cell r="C691">
            <v>23502170</v>
          </cell>
          <cell r="D691" t="str">
            <v>GA00B187</v>
          </cell>
          <cell r="E691" t="str">
            <v>4532340000015 Hdfc Bank</v>
          </cell>
          <cell r="F691" t="str">
            <v>ABANK</v>
          </cell>
          <cell r="G691">
            <v>0</v>
          </cell>
          <cell r="K691">
            <v>0</v>
          </cell>
        </row>
        <row r="692">
          <cell r="C692">
            <v>23502180</v>
          </cell>
          <cell r="D692" t="str">
            <v>GA00B259</v>
          </cell>
          <cell r="E692" t="str">
            <v>0802340000018 Hdfc Bank Ltd</v>
          </cell>
          <cell r="F692" t="str">
            <v>ABANK</v>
          </cell>
          <cell r="G692">
            <v>0</v>
          </cell>
          <cell r="K692">
            <v>0</v>
          </cell>
        </row>
        <row r="693">
          <cell r="C693">
            <v>23502190</v>
          </cell>
          <cell r="D693" t="str">
            <v>GA00B260</v>
          </cell>
          <cell r="E693" t="str">
            <v>3582340000017  Hdfc Bank Ltd</v>
          </cell>
          <cell r="F693" t="str">
            <v>ABANK</v>
          </cell>
          <cell r="G693">
            <v>0</v>
          </cell>
          <cell r="K693">
            <v>0</v>
          </cell>
        </row>
        <row r="694">
          <cell r="C694">
            <v>23502200</v>
          </cell>
          <cell r="D694" t="str">
            <v>GA00B261</v>
          </cell>
          <cell r="E694" t="str">
            <v>3500340000061 Hdfc Bank Ltd</v>
          </cell>
          <cell r="F694" t="str">
            <v>ABANK</v>
          </cell>
          <cell r="G694">
            <v>0</v>
          </cell>
          <cell r="K694">
            <v>0</v>
          </cell>
        </row>
        <row r="695">
          <cell r="C695">
            <v>23502210</v>
          </cell>
          <cell r="D695" t="str">
            <v>GA00B242</v>
          </cell>
          <cell r="E695" t="str">
            <v>2680340000101 Hdfc Bank Ltd</v>
          </cell>
          <cell r="F695" t="str">
            <v>ABANK</v>
          </cell>
          <cell r="G695">
            <v>0</v>
          </cell>
          <cell r="K695">
            <v>0</v>
          </cell>
        </row>
        <row r="696">
          <cell r="C696">
            <v>23502240</v>
          </cell>
          <cell r="D696" t="str">
            <v>GA00B436</v>
          </cell>
          <cell r="E696" t="str">
            <v>0620340000486 Hdfc Bank Ltd.</v>
          </cell>
          <cell r="F696" t="str">
            <v>ABANK</v>
          </cell>
          <cell r="G696">
            <v>0</v>
          </cell>
          <cell r="K696">
            <v>0</v>
          </cell>
        </row>
        <row r="697">
          <cell r="C697">
            <v>23502280</v>
          </cell>
          <cell r="D697" t="str">
            <v>GA00B486</v>
          </cell>
          <cell r="E697" t="str">
            <v>2692340000022  Hdfc Bank Ltd</v>
          </cell>
          <cell r="F697" t="str">
            <v>ABANK</v>
          </cell>
          <cell r="G697">
            <v>0</v>
          </cell>
          <cell r="K697">
            <v>0</v>
          </cell>
        </row>
        <row r="698">
          <cell r="C698">
            <v>23502290</v>
          </cell>
          <cell r="D698" t="str">
            <v>GA00B487</v>
          </cell>
          <cell r="E698" t="str">
            <v>3482340000037 Hdfc Bank Ltd</v>
          </cell>
          <cell r="F698" t="str">
            <v>ABANK</v>
          </cell>
          <cell r="G698">
            <v>0</v>
          </cell>
          <cell r="K698">
            <v>0</v>
          </cell>
        </row>
        <row r="699">
          <cell r="C699">
            <v>23502310</v>
          </cell>
          <cell r="D699" t="str">
            <v>GA00B489</v>
          </cell>
          <cell r="E699" t="str">
            <v>5002340000017 Hdfc Bank Ltd</v>
          </cell>
          <cell r="F699" t="str">
            <v>ABANK</v>
          </cell>
          <cell r="G699">
            <v>0</v>
          </cell>
          <cell r="K699">
            <v>0</v>
          </cell>
        </row>
        <row r="700">
          <cell r="C700">
            <v>23502320</v>
          </cell>
          <cell r="D700" t="str">
            <v>GA00B490</v>
          </cell>
          <cell r="E700" t="str">
            <v>7160340000020  Hdfc Bank Ltd</v>
          </cell>
          <cell r="F700" t="str">
            <v>ABANK</v>
          </cell>
          <cell r="G700">
            <v>0</v>
          </cell>
          <cell r="K700">
            <v>0</v>
          </cell>
        </row>
        <row r="701">
          <cell r="C701">
            <v>23502330</v>
          </cell>
          <cell r="D701" t="str">
            <v>GA00B491</v>
          </cell>
          <cell r="E701" t="str">
            <v>4442340000019 Hdfc Bank Ltd</v>
          </cell>
          <cell r="F701" t="str">
            <v>ABANK</v>
          </cell>
          <cell r="G701">
            <v>0</v>
          </cell>
          <cell r="K701">
            <v>0</v>
          </cell>
        </row>
        <row r="702">
          <cell r="C702">
            <v>23502340</v>
          </cell>
          <cell r="D702" t="str">
            <v>GA00B493</v>
          </cell>
          <cell r="E702" t="str">
            <v>1230340000163 Hdfc Bank Ltd</v>
          </cell>
          <cell r="F702" t="str">
            <v>ABANK</v>
          </cell>
          <cell r="G702">
            <v>0</v>
          </cell>
          <cell r="K702">
            <v>0</v>
          </cell>
        </row>
        <row r="703">
          <cell r="C703">
            <v>23502350</v>
          </cell>
          <cell r="D703" t="str">
            <v>GA00B494</v>
          </cell>
          <cell r="E703" t="str">
            <v>Erode Hdfc Bank.</v>
          </cell>
          <cell r="F703" t="str">
            <v>ABANK</v>
          </cell>
          <cell r="G703">
            <v>0</v>
          </cell>
          <cell r="K703">
            <v>0</v>
          </cell>
        </row>
        <row r="704">
          <cell r="C704">
            <v>23502360</v>
          </cell>
          <cell r="D704" t="str">
            <v>GA00B495</v>
          </cell>
          <cell r="E704" t="str">
            <v>Pondichery Hdfc Bank.</v>
          </cell>
          <cell r="F704" t="str">
            <v>ABANK</v>
          </cell>
          <cell r="G704">
            <v>0</v>
          </cell>
          <cell r="K704">
            <v>0</v>
          </cell>
        </row>
        <row r="705">
          <cell r="C705">
            <v>23502370</v>
          </cell>
          <cell r="D705" t="str">
            <v>GA00B496</v>
          </cell>
          <cell r="E705" t="str">
            <v>1780340000190 Hdfc Bank Ltd</v>
          </cell>
          <cell r="F705" t="str">
            <v>ABANK</v>
          </cell>
          <cell r="G705">
            <v>0</v>
          </cell>
          <cell r="K705">
            <v>0</v>
          </cell>
        </row>
        <row r="706">
          <cell r="C706">
            <v>23502390</v>
          </cell>
          <cell r="D706" t="str">
            <v>GA00B12</v>
          </cell>
          <cell r="E706" t="str">
            <v>1950340000044 Hdfc Bank</v>
          </cell>
          <cell r="F706" t="str">
            <v>ABANK</v>
          </cell>
          <cell r="G706">
            <v>0</v>
          </cell>
          <cell r="K706">
            <v>0</v>
          </cell>
        </row>
        <row r="707">
          <cell r="C707">
            <v>23502450</v>
          </cell>
          <cell r="D707" t="str">
            <v>GA00B354</v>
          </cell>
          <cell r="E707" t="str">
            <v>3572340000016  Hdfc Bank Ltd</v>
          </cell>
          <cell r="F707" t="str">
            <v>ABANK</v>
          </cell>
          <cell r="G707">
            <v>0</v>
          </cell>
          <cell r="K707">
            <v>0</v>
          </cell>
        </row>
        <row r="708">
          <cell r="C708">
            <v>23502470</v>
          </cell>
          <cell r="D708" t="str">
            <v>GA00B356</v>
          </cell>
          <cell r="E708" t="str">
            <v>1700340000035 Hdfc Bank Ltd</v>
          </cell>
          <cell r="F708" t="str">
            <v>ABANK</v>
          </cell>
          <cell r="G708">
            <v>0</v>
          </cell>
          <cell r="K708">
            <v>0</v>
          </cell>
        </row>
        <row r="709">
          <cell r="C709">
            <v>23502530</v>
          </cell>
          <cell r="D709" t="str">
            <v>GA00B364</v>
          </cell>
          <cell r="E709" t="str">
            <v>2812340000015  Hdfc Bank Ltd</v>
          </cell>
          <cell r="F709" t="str">
            <v>ABANK</v>
          </cell>
          <cell r="G709">
            <v>0</v>
          </cell>
          <cell r="K709">
            <v>0</v>
          </cell>
        </row>
        <row r="710">
          <cell r="C710">
            <v>23502540</v>
          </cell>
          <cell r="D710" t="str">
            <v>GA00B365</v>
          </cell>
          <cell r="E710" t="str">
            <v>1752340000039 HDFC BANK LTD</v>
          </cell>
          <cell r="F710" t="str">
            <v>ABANK</v>
          </cell>
          <cell r="G710">
            <v>0</v>
          </cell>
          <cell r="K710">
            <v>0</v>
          </cell>
        </row>
        <row r="711">
          <cell r="C711">
            <v>23502550</v>
          </cell>
          <cell r="D711" t="str">
            <v>GA00B366</v>
          </cell>
          <cell r="E711" t="str">
            <v>Jaipur Triveni Nagar Hdfc Bank Ltd</v>
          </cell>
          <cell r="F711" t="str">
            <v>ABANK</v>
          </cell>
          <cell r="G711">
            <v>0</v>
          </cell>
          <cell r="K711">
            <v>0</v>
          </cell>
        </row>
        <row r="712">
          <cell r="C712">
            <v>23502560</v>
          </cell>
          <cell r="D712" t="str">
            <v>GA00B367</v>
          </cell>
          <cell r="E712" t="str">
            <v xml:space="preserve"> 1430340000010  Hdfc Bank Ltd</v>
          </cell>
          <cell r="F712" t="str">
            <v>ABANK</v>
          </cell>
          <cell r="G712">
            <v>0</v>
          </cell>
          <cell r="K712">
            <v>0</v>
          </cell>
        </row>
        <row r="713">
          <cell r="C713">
            <v>23502570</v>
          </cell>
          <cell r="D713" t="str">
            <v>GA00B155</v>
          </cell>
          <cell r="E713" t="str">
            <v>1822340000067 Hdfc Bank</v>
          </cell>
          <cell r="F713" t="str">
            <v>ABANK</v>
          </cell>
          <cell r="G713">
            <v>0</v>
          </cell>
          <cell r="K713">
            <v>0</v>
          </cell>
        </row>
        <row r="714">
          <cell r="C714">
            <v>23502630</v>
          </cell>
          <cell r="D714" t="str">
            <v>GA00B481</v>
          </cell>
          <cell r="E714" t="str">
            <v>2220340000086 Hdfc Bank Ltd.</v>
          </cell>
          <cell r="F714" t="str">
            <v>ABANK</v>
          </cell>
          <cell r="G714">
            <v>0</v>
          </cell>
          <cell r="K714">
            <v>0</v>
          </cell>
        </row>
        <row r="715">
          <cell r="C715">
            <v>23502680</v>
          </cell>
          <cell r="D715" t="str">
            <v>GA00B336</v>
          </cell>
          <cell r="E715" t="str">
            <v>2050340000120  Hdfc Bank Ltd.</v>
          </cell>
          <cell r="F715" t="str">
            <v>ABANK</v>
          </cell>
          <cell r="G715">
            <v>0</v>
          </cell>
          <cell r="K715">
            <v>0</v>
          </cell>
        </row>
        <row r="716">
          <cell r="C716">
            <v>23502690</v>
          </cell>
          <cell r="D716" t="str">
            <v>GA00B338</v>
          </cell>
          <cell r="E716" t="str">
            <v>1020340000306  Hdfc Bank Ltd.</v>
          </cell>
          <cell r="F716" t="str">
            <v>ABANK</v>
          </cell>
          <cell r="G716">
            <v>0</v>
          </cell>
          <cell r="K716">
            <v>0</v>
          </cell>
        </row>
        <row r="717">
          <cell r="C717">
            <v>23502700</v>
          </cell>
          <cell r="D717" t="str">
            <v>GA00B357</v>
          </cell>
          <cell r="E717" t="str">
            <v>5922340000015 Hdfc Bank Ltd</v>
          </cell>
          <cell r="F717" t="str">
            <v>ABANK</v>
          </cell>
          <cell r="G717">
            <v>0</v>
          </cell>
          <cell r="K717">
            <v>0</v>
          </cell>
        </row>
        <row r="718">
          <cell r="C718">
            <v>23502710</v>
          </cell>
          <cell r="D718" t="str">
            <v>GA00B358</v>
          </cell>
          <cell r="E718" t="str">
            <v>4142340000015 Hdfc Bank Ltd</v>
          </cell>
          <cell r="F718" t="str">
            <v>ABANK</v>
          </cell>
          <cell r="G718">
            <v>0</v>
          </cell>
          <cell r="K718">
            <v>0</v>
          </cell>
        </row>
        <row r="719">
          <cell r="C719">
            <v>23502720</v>
          </cell>
          <cell r="D719" t="str">
            <v>GA00B359</v>
          </cell>
          <cell r="E719" t="str">
            <v>0542340000333 Hdfc Bank Ltd</v>
          </cell>
          <cell r="F719" t="str">
            <v>ABANK</v>
          </cell>
          <cell r="G719">
            <v>0</v>
          </cell>
          <cell r="K719">
            <v>0</v>
          </cell>
        </row>
        <row r="720">
          <cell r="C720">
            <v>23502760</v>
          </cell>
          <cell r="D720" t="str">
            <v>GA00B194</v>
          </cell>
          <cell r="E720" t="str">
            <v>3192340000044 Hdfc Bank</v>
          </cell>
          <cell r="F720" t="str">
            <v>ABANK</v>
          </cell>
          <cell r="G720">
            <v>0</v>
          </cell>
          <cell r="K720">
            <v>0</v>
          </cell>
        </row>
        <row r="721">
          <cell r="C721">
            <v>23502940</v>
          </cell>
          <cell r="D721" t="str">
            <v>GA00B326</v>
          </cell>
          <cell r="E721" t="str">
            <v>4580340000058  Hdfc Bank Ltd</v>
          </cell>
          <cell r="F721" t="str">
            <v>ABANK</v>
          </cell>
          <cell r="G721">
            <v>0</v>
          </cell>
          <cell r="K721">
            <v>0</v>
          </cell>
        </row>
        <row r="722">
          <cell r="C722">
            <v>23502970</v>
          </cell>
          <cell r="D722" t="str">
            <v>GA00B329</v>
          </cell>
          <cell r="E722" t="str">
            <v>4730340000054 Hdfc Bank Ltd.</v>
          </cell>
          <cell r="F722" t="str">
            <v>ABANK</v>
          </cell>
          <cell r="G722">
            <v>0</v>
          </cell>
          <cell r="K722">
            <v>0</v>
          </cell>
        </row>
        <row r="723">
          <cell r="C723">
            <v>23502990</v>
          </cell>
          <cell r="D723" t="str">
            <v>GA00B331</v>
          </cell>
          <cell r="E723" t="str">
            <v>0522340000029  Hdfc Bank Ltd.</v>
          </cell>
          <cell r="F723" t="str">
            <v>ABANK</v>
          </cell>
          <cell r="G723">
            <v>0</v>
          </cell>
          <cell r="K723">
            <v>0</v>
          </cell>
        </row>
        <row r="724">
          <cell r="C724">
            <v>23503010</v>
          </cell>
          <cell r="E724" t="str">
            <v>129010200013989 Uti Bank Ltd.</v>
          </cell>
          <cell r="F724" t="str">
            <v>ABANK</v>
          </cell>
          <cell r="G724">
            <v>0</v>
          </cell>
          <cell r="K724">
            <v>0</v>
          </cell>
        </row>
        <row r="725">
          <cell r="C725">
            <v>23503020</v>
          </cell>
          <cell r="D725" t="str">
            <v>GA00B334</v>
          </cell>
          <cell r="E725" t="str">
            <v>182010200004329 Uti Bank Ltd</v>
          </cell>
          <cell r="F725" t="str">
            <v>ABANK</v>
          </cell>
          <cell r="G725">
            <v>0</v>
          </cell>
          <cell r="K725">
            <v>0</v>
          </cell>
        </row>
        <row r="726">
          <cell r="C726">
            <v>23503030</v>
          </cell>
          <cell r="D726" t="str">
            <v>GA00B244</v>
          </cell>
          <cell r="E726" t="str">
            <v>1870340000145 Hdfc Bank Ltd.</v>
          </cell>
          <cell r="F726" t="str">
            <v>ABANK</v>
          </cell>
          <cell r="G726">
            <v>0</v>
          </cell>
          <cell r="K726">
            <v>0</v>
          </cell>
        </row>
        <row r="727">
          <cell r="C727">
            <v>23503060</v>
          </cell>
          <cell r="D727" t="str">
            <v>GA00B247</v>
          </cell>
          <cell r="E727" t="str">
            <v>1732340000010  Hdfc Bank Ltd</v>
          </cell>
          <cell r="F727" t="str">
            <v>ABANK</v>
          </cell>
          <cell r="G727">
            <v>0</v>
          </cell>
          <cell r="K727">
            <v>0</v>
          </cell>
        </row>
        <row r="728">
          <cell r="C728">
            <v>23503080</v>
          </cell>
          <cell r="D728" t="str">
            <v>GA00B217</v>
          </cell>
          <cell r="E728" t="str">
            <v>ISL Salary A/c no 0030340020802</v>
          </cell>
          <cell r="F728" t="str">
            <v>ABANK</v>
          </cell>
          <cell r="G728">
            <v>0</v>
          </cell>
          <cell r="K728">
            <v>0</v>
          </cell>
        </row>
        <row r="729">
          <cell r="C729">
            <v>23503090</v>
          </cell>
          <cell r="D729" t="str">
            <v>GA00B337</v>
          </cell>
          <cell r="E729" t="str">
            <v>3372340000012  Hdfc Bank Ltd.</v>
          </cell>
          <cell r="F729" t="str">
            <v>ABANK</v>
          </cell>
          <cell r="G729">
            <v>0</v>
          </cell>
          <cell r="K729">
            <v>0</v>
          </cell>
        </row>
        <row r="730">
          <cell r="C730">
            <v>23503100</v>
          </cell>
          <cell r="D730" t="str">
            <v>GA00B523</v>
          </cell>
          <cell r="E730" t="str">
            <v>0152340000110 Hdfc Bank Ltd.</v>
          </cell>
          <cell r="F730" t="str">
            <v>ABANK</v>
          </cell>
          <cell r="G730">
            <v>0</v>
          </cell>
          <cell r="K730">
            <v>0</v>
          </cell>
        </row>
        <row r="731">
          <cell r="C731">
            <v>23503110</v>
          </cell>
          <cell r="D731" t="str">
            <v>GA00B524</v>
          </cell>
          <cell r="E731" t="str">
            <v>3592340000028 Hdfc Bank Ltd.</v>
          </cell>
          <cell r="F731" t="str">
            <v>ABANK</v>
          </cell>
          <cell r="G731">
            <v>0</v>
          </cell>
          <cell r="K731">
            <v>0</v>
          </cell>
        </row>
        <row r="732">
          <cell r="C732">
            <v>23503120</v>
          </cell>
          <cell r="D732" t="str">
            <v>GA00B83</v>
          </cell>
          <cell r="E732" t="str">
            <v>1310340000028 Hdfc Bank</v>
          </cell>
          <cell r="F732" t="str">
            <v>ABANK</v>
          </cell>
          <cell r="G732">
            <v>0</v>
          </cell>
          <cell r="K732">
            <v>0</v>
          </cell>
        </row>
        <row r="733">
          <cell r="C733">
            <v>23503140</v>
          </cell>
          <cell r="D733" t="str">
            <v>GA00B86</v>
          </cell>
          <cell r="E733" t="str">
            <v>2200340000016 Hdfc Bank</v>
          </cell>
          <cell r="F733" t="str">
            <v>ABANK</v>
          </cell>
          <cell r="G733">
            <v>0</v>
          </cell>
          <cell r="K733">
            <v>0</v>
          </cell>
        </row>
        <row r="734">
          <cell r="C734">
            <v>23503200</v>
          </cell>
          <cell r="D734" t="str">
            <v>GA00B319</v>
          </cell>
          <cell r="E734" t="str">
            <v>4730340000047  Hdfc Bank Ltd.</v>
          </cell>
          <cell r="F734" t="str">
            <v>ABANK</v>
          </cell>
          <cell r="G734">
            <v>0</v>
          </cell>
          <cell r="K734">
            <v>0</v>
          </cell>
        </row>
        <row r="735">
          <cell r="C735">
            <v>23503230</v>
          </cell>
          <cell r="D735" t="str">
            <v>GA00B322</v>
          </cell>
          <cell r="E735" t="str">
            <v>2382340000010 Hdfc Bank Ltd.</v>
          </cell>
          <cell r="F735" t="str">
            <v>ABANK</v>
          </cell>
          <cell r="G735">
            <v>0</v>
          </cell>
          <cell r="K735">
            <v>0</v>
          </cell>
        </row>
        <row r="736">
          <cell r="C736">
            <v>23503250</v>
          </cell>
          <cell r="D736" t="str">
            <v>GA00B324</v>
          </cell>
          <cell r="E736" t="str">
            <v>5250340000064  Hdfc Bank Ltd.</v>
          </cell>
          <cell r="F736" t="str">
            <v>ABANK</v>
          </cell>
          <cell r="G736">
            <v>0</v>
          </cell>
          <cell r="K736">
            <v>0</v>
          </cell>
        </row>
        <row r="737">
          <cell r="C737">
            <v>23503260</v>
          </cell>
          <cell r="D737" t="str">
            <v>GA00B325</v>
          </cell>
          <cell r="E737" t="str">
            <v>3260340000069 Hdfc Bank Ltd</v>
          </cell>
          <cell r="F737" t="str">
            <v>ABANK</v>
          </cell>
          <cell r="G737">
            <v>0</v>
          </cell>
          <cell r="K737">
            <v>0</v>
          </cell>
        </row>
        <row r="738">
          <cell r="C738">
            <v>23503270</v>
          </cell>
          <cell r="D738" t="str">
            <v>GA00B368</v>
          </cell>
          <cell r="E738" t="str">
            <v>0720340000027  Hdfc Bank Ltd</v>
          </cell>
          <cell r="F738" t="str">
            <v>ABANK</v>
          </cell>
          <cell r="G738">
            <v>0</v>
          </cell>
          <cell r="K738">
            <v>0</v>
          </cell>
        </row>
        <row r="739">
          <cell r="C739">
            <v>23503280</v>
          </cell>
          <cell r="E739" t="str">
            <v>Chikmagalur Hdfc Bank Ltd</v>
          </cell>
          <cell r="F739" t="str">
            <v>ABANK</v>
          </cell>
          <cell r="G739">
            <v>0</v>
          </cell>
          <cell r="K739">
            <v>0</v>
          </cell>
        </row>
        <row r="740">
          <cell r="C740">
            <v>23503300</v>
          </cell>
          <cell r="D740" t="str">
            <v>GA00B371</v>
          </cell>
          <cell r="E740" t="str">
            <v>Andheri(E) Mahakali Hdfc Bank Ltd</v>
          </cell>
          <cell r="F740" t="str">
            <v>ABANK</v>
          </cell>
          <cell r="G740">
            <v>0</v>
          </cell>
          <cell r="K740">
            <v>0</v>
          </cell>
        </row>
        <row r="741">
          <cell r="C741">
            <v>23503310</v>
          </cell>
          <cell r="D741" t="str">
            <v>GA00B372</v>
          </cell>
          <cell r="E741" t="str">
            <v>3040340000060 Hdfc Bank Ltd</v>
          </cell>
          <cell r="F741" t="str">
            <v>ABANK</v>
          </cell>
          <cell r="G741">
            <v>0</v>
          </cell>
          <cell r="K741">
            <v>0</v>
          </cell>
        </row>
        <row r="742">
          <cell r="C742">
            <v>23503320</v>
          </cell>
          <cell r="D742" t="str">
            <v>GA00B373</v>
          </cell>
          <cell r="E742" t="str">
            <v>0492340000073  Hdfc Bank Ltd</v>
          </cell>
          <cell r="F742" t="str">
            <v>ABANK</v>
          </cell>
          <cell r="G742">
            <v>0</v>
          </cell>
          <cell r="K742">
            <v>0</v>
          </cell>
        </row>
        <row r="743">
          <cell r="C743">
            <v>23503340</v>
          </cell>
          <cell r="D743" t="str">
            <v>GA00B375</v>
          </cell>
          <cell r="E743" t="str">
            <v>4062340000013 Hdfc Bank Ltd</v>
          </cell>
          <cell r="F743" t="str">
            <v>ABANK</v>
          </cell>
          <cell r="G743">
            <v>0</v>
          </cell>
          <cell r="K743">
            <v>0</v>
          </cell>
        </row>
        <row r="744">
          <cell r="C744">
            <v>23503370</v>
          </cell>
          <cell r="D744" t="str">
            <v>GA00B510</v>
          </cell>
          <cell r="E744" t="str">
            <v>Client A/C Hdfc Bank</v>
          </cell>
          <cell r="F744" t="str">
            <v>ABANK</v>
          </cell>
          <cell r="G744">
            <v>0</v>
          </cell>
          <cell r="K744">
            <v>0</v>
          </cell>
        </row>
        <row r="745">
          <cell r="C745">
            <v>23503380</v>
          </cell>
          <cell r="D745" t="str">
            <v>GA00B219</v>
          </cell>
          <cell r="E745" t="str">
            <v>ISL Rent A/c no 0030340020794</v>
          </cell>
          <cell r="F745" t="str">
            <v>ABANK</v>
          </cell>
          <cell r="G745">
            <v>0</v>
          </cell>
          <cell r="K745">
            <v>0</v>
          </cell>
        </row>
        <row r="746">
          <cell r="C746">
            <v>23503390</v>
          </cell>
          <cell r="D746" t="str">
            <v>GA00B220</v>
          </cell>
          <cell r="E746" t="str">
            <v>ISL Telephone A/c no 0030340020733</v>
          </cell>
          <cell r="F746" t="str">
            <v>ABANK</v>
          </cell>
          <cell r="G746">
            <v>0</v>
          </cell>
          <cell r="K746">
            <v>0</v>
          </cell>
        </row>
        <row r="747">
          <cell r="C747">
            <v>23503400</v>
          </cell>
          <cell r="D747" t="str">
            <v>GA00B221</v>
          </cell>
          <cell r="E747" t="str">
            <v>ISL Electricity A/c no 0030340020846</v>
          </cell>
          <cell r="F747" t="str">
            <v>ABANK</v>
          </cell>
          <cell r="G747">
            <v>0</v>
          </cell>
          <cell r="K747">
            <v>0</v>
          </cell>
        </row>
        <row r="748">
          <cell r="C748">
            <v>23503420</v>
          </cell>
          <cell r="D748" t="str">
            <v>GA00B223</v>
          </cell>
          <cell r="E748" t="str">
            <v>ISL Stamp Duty A/c no 0030340020767</v>
          </cell>
          <cell r="F748" t="str">
            <v>ABANK</v>
          </cell>
          <cell r="G748">
            <v>0</v>
          </cell>
          <cell r="K748">
            <v>0</v>
          </cell>
        </row>
        <row r="749">
          <cell r="C749">
            <v>23503430</v>
          </cell>
          <cell r="D749" t="str">
            <v>GA00B224</v>
          </cell>
          <cell r="E749" t="str">
            <v>ISL Transaction Charges A/c no 0030340020723</v>
          </cell>
          <cell r="F749" t="str">
            <v>ABANK</v>
          </cell>
          <cell r="G749">
            <v>0</v>
          </cell>
          <cell r="K749">
            <v>0</v>
          </cell>
        </row>
        <row r="750">
          <cell r="C750">
            <v>23503450</v>
          </cell>
          <cell r="D750" t="str">
            <v>GA00B226</v>
          </cell>
          <cell r="E750" t="str">
            <v>ISL Advertisement A/c no 0030340020716</v>
          </cell>
          <cell r="F750" t="str">
            <v>ABANK</v>
          </cell>
          <cell r="G750">
            <v>0</v>
          </cell>
          <cell r="K750">
            <v>0</v>
          </cell>
        </row>
        <row r="751">
          <cell r="C751">
            <v>23503460</v>
          </cell>
          <cell r="D751" t="str">
            <v>GA00B227</v>
          </cell>
          <cell r="E751" t="str">
            <v>ISL Repair &amp; Maintenance A/c 0030340020836</v>
          </cell>
          <cell r="F751" t="str">
            <v>ABANK</v>
          </cell>
          <cell r="G751">
            <v>0</v>
          </cell>
          <cell r="K751">
            <v>0</v>
          </cell>
        </row>
        <row r="752">
          <cell r="C752">
            <v>23503470</v>
          </cell>
          <cell r="D752" t="str">
            <v>GA00B228</v>
          </cell>
          <cell r="E752" t="str">
            <v>ISL Commisson A/c no 0030340020853</v>
          </cell>
          <cell r="F752" t="str">
            <v>ABANK</v>
          </cell>
          <cell r="G752">
            <v>0</v>
          </cell>
          <cell r="K752">
            <v>0</v>
          </cell>
        </row>
        <row r="753">
          <cell r="C753">
            <v>23503480</v>
          </cell>
          <cell r="D753" t="str">
            <v>GA00B229</v>
          </cell>
          <cell r="E753" t="str">
            <v>ISL Vsat Charges A/c no 0030340020750</v>
          </cell>
          <cell r="F753" t="str">
            <v>ABANK</v>
          </cell>
          <cell r="G753">
            <v>0</v>
          </cell>
          <cell r="K753">
            <v>0</v>
          </cell>
        </row>
        <row r="754">
          <cell r="C754">
            <v>23503490</v>
          </cell>
          <cell r="D754" t="str">
            <v>GA00B230</v>
          </cell>
          <cell r="E754" t="str">
            <v>ISL NSDL Charges A/c no 0030340020829</v>
          </cell>
          <cell r="F754" t="str">
            <v>ABANK</v>
          </cell>
          <cell r="G754">
            <v>0</v>
          </cell>
          <cell r="K754">
            <v>0</v>
          </cell>
        </row>
        <row r="755">
          <cell r="C755">
            <v>23503500</v>
          </cell>
          <cell r="D755" t="str">
            <v>GA00B231</v>
          </cell>
          <cell r="E755" t="str">
            <v>ISL Lease Line Charges A/c no 0030340020819</v>
          </cell>
          <cell r="F755" t="str">
            <v>ABANK</v>
          </cell>
          <cell r="G755">
            <v>0</v>
          </cell>
          <cell r="K755">
            <v>0</v>
          </cell>
        </row>
        <row r="756">
          <cell r="C756">
            <v>23503510</v>
          </cell>
          <cell r="D756" t="str">
            <v>GA00B425</v>
          </cell>
          <cell r="E756" t="str">
            <v>5032340000098 Hdfc Bank Ltd.</v>
          </cell>
          <cell r="F756" t="str">
            <v>ABANK</v>
          </cell>
          <cell r="G756">
            <v>0</v>
          </cell>
          <cell r="K756">
            <v>0</v>
          </cell>
        </row>
        <row r="757">
          <cell r="C757">
            <v>23503520</v>
          </cell>
          <cell r="D757" t="str">
            <v>GA00B426</v>
          </cell>
          <cell r="E757" t="str">
            <v>3192340000061 Hdfc Bank Ltd.</v>
          </cell>
          <cell r="F757" t="str">
            <v>ABANK</v>
          </cell>
          <cell r="G757">
            <v>0</v>
          </cell>
          <cell r="K757">
            <v>0</v>
          </cell>
        </row>
        <row r="758">
          <cell r="C758">
            <v>23503540</v>
          </cell>
          <cell r="D758" t="str">
            <v>GA00B428</v>
          </cell>
          <cell r="E758" t="str">
            <v>023905000960 Icici Bank Ltd</v>
          </cell>
          <cell r="F758" t="str">
            <v>ABANK</v>
          </cell>
          <cell r="G758">
            <v>0</v>
          </cell>
          <cell r="K758">
            <v>0</v>
          </cell>
        </row>
        <row r="759">
          <cell r="C759">
            <v>23503550</v>
          </cell>
          <cell r="D759" t="str">
            <v>GA00B437</v>
          </cell>
          <cell r="E759" t="str">
            <v>5412340000016  Hdfc Bank Ltd.</v>
          </cell>
          <cell r="F759" t="str">
            <v>ABANK</v>
          </cell>
          <cell r="G759">
            <v>0</v>
          </cell>
          <cell r="K759">
            <v>0</v>
          </cell>
        </row>
        <row r="760">
          <cell r="C760">
            <v>23503560</v>
          </cell>
          <cell r="D760" t="str">
            <v>GA00B438</v>
          </cell>
          <cell r="E760" t="str">
            <v>2240340000106 Hdfc Bank Ltd.</v>
          </cell>
          <cell r="F760" t="str">
            <v>ABANK</v>
          </cell>
          <cell r="G760">
            <v>0</v>
          </cell>
          <cell r="K760">
            <v>0</v>
          </cell>
        </row>
        <row r="761">
          <cell r="C761">
            <v>23503570</v>
          </cell>
          <cell r="D761" t="str">
            <v>GA00B439</v>
          </cell>
          <cell r="E761" t="str">
            <v>3302340000012 Hdfc Bank Ltd.</v>
          </cell>
          <cell r="F761" t="str">
            <v>ABANK</v>
          </cell>
          <cell r="G761">
            <v>0</v>
          </cell>
          <cell r="K761">
            <v>0</v>
          </cell>
        </row>
        <row r="762">
          <cell r="C762">
            <v>23503580</v>
          </cell>
          <cell r="D762" t="str">
            <v>GA00B257</v>
          </cell>
          <cell r="E762" t="str">
            <v>2840340000135  Hdfc Bank Ltd.(CLOSED)</v>
          </cell>
          <cell r="F762" t="str">
            <v>ABANK</v>
          </cell>
          <cell r="G762">
            <v>0</v>
          </cell>
          <cell r="K762">
            <v>0</v>
          </cell>
        </row>
        <row r="763">
          <cell r="C763">
            <v>23503590</v>
          </cell>
          <cell r="D763" t="str">
            <v>GA00B301</v>
          </cell>
          <cell r="E763" t="str">
            <v>2210340000164 Hdfc Bank Ltd.</v>
          </cell>
          <cell r="F763" t="str">
            <v>ABANK</v>
          </cell>
          <cell r="G763">
            <v>0</v>
          </cell>
          <cell r="K763">
            <v>0</v>
          </cell>
        </row>
        <row r="764">
          <cell r="C764">
            <v>23503610</v>
          </cell>
          <cell r="D764" t="str">
            <v>GA00B502</v>
          </cell>
          <cell r="E764" t="str">
            <v>3220340000011 Hdfc Bank Ltd.</v>
          </cell>
          <cell r="F764" t="str">
            <v>ABANK</v>
          </cell>
          <cell r="G764">
            <v>0</v>
          </cell>
          <cell r="K764">
            <v>0</v>
          </cell>
        </row>
        <row r="765">
          <cell r="C765">
            <v>23503620</v>
          </cell>
          <cell r="D765" t="str">
            <v>GA00B503</v>
          </cell>
          <cell r="E765" t="str">
            <v>3460340000012 Hdfc Bank Ltd.</v>
          </cell>
          <cell r="F765" t="str">
            <v>ABANK</v>
          </cell>
          <cell r="G765">
            <v>0</v>
          </cell>
          <cell r="K765">
            <v>0</v>
          </cell>
        </row>
        <row r="766">
          <cell r="C766">
            <v>23503630</v>
          </cell>
          <cell r="D766" t="str">
            <v>GA00B504</v>
          </cell>
          <cell r="E766" t="str">
            <v>4090340000071  Hdfc Bank Ltd.</v>
          </cell>
          <cell r="F766" t="str">
            <v>ABANK</v>
          </cell>
          <cell r="G766">
            <v>0</v>
          </cell>
          <cell r="K766">
            <v>0</v>
          </cell>
        </row>
        <row r="767">
          <cell r="C767">
            <v>23503640</v>
          </cell>
          <cell r="D767" t="str">
            <v>GA00B505</v>
          </cell>
          <cell r="E767" t="str">
            <v>0512340000018  Hdfc Bank Ltd.</v>
          </cell>
          <cell r="F767" t="str">
            <v>ABANK</v>
          </cell>
          <cell r="G767">
            <v>0</v>
          </cell>
          <cell r="K767">
            <v>0</v>
          </cell>
        </row>
        <row r="768">
          <cell r="C768">
            <v>23503650</v>
          </cell>
          <cell r="D768" t="str">
            <v>GA00B508</v>
          </cell>
          <cell r="E768" t="str">
            <v>2210340000171 Hdfc  Bank Ltd</v>
          </cell>
          <cell r="F768" t="str">
            <v>ABANK</v>
          </cell>
          <cell r="G768">
            <v>0</v>
          </cell>
          <cell r="K768">
            <v>0</v>
          </cell>
        </row>
        <row r="769">
          <cell r="C769">
            <v>23503660</v>
          </cell>
          <cell r="D769" t="str">
            <v>GA00B514</v>
          </cell>
          <cell r="E769" t="str">
            <v>1810340000077 Hdfc Bank Ltd</v>
          </cell>
          <cell r="F769" t="str">
            <v>ABANK</v>
          </cell>
          <cell r="G769">
            <v>0</v>
          </cell>
          <cell r="K769">
            <v>0</v>
          </cell>
        </row>
        <row r="770">
          <cell r="C770">
            <v>23503670</v>
          </cell>
          <cell r="D770" t="str">
            <v>GA00B515</v>
          </cell>
          <cell r="E770" t="str">
            <v>2760340000010  Hdfc Bank Ltd</v>
          </cell>
          <cell r="F770" t="str">
            <v>ABANK</v>
          </cell>
          <cell r="G770">
            <v>0</v>
          </cell>
          <cell r="K770">
            <v>0</v>
          </cell>
        </row>
        <row r="771">
          <cell r="C771">
            <v>23503700</v>
          </cell>
          <cell r="D771" t="str">
            <v>GA00B151</v>
          </cell>
          <cell r="E771" t="str">
            <v>3750340000012 Hdfc Bank</v>
          </cell>
          <cell r="F771" t="str">
            <v>ABANK</v>
          </cell>
          <cell r="G771">
            <v>0</v>
          </cell>
          <cell r="K771">
            <v>0</v>
          </cell>
        </row>
        <row r="772">
          <cell r="C772">
            <v>23503710</v>
          </cell>
          <cell r="D772" t="str">
            <v>GA00B152</v>
          </cell>
          <cell r="E772" t="str">
            <v>1890340000206 Hdfc Bank</v>
          </cell>
          <cell r="F772" t="str">
            <v>ABANK</v>
          </cell>
          <cell r="G772">
            <v>0</v>
          </cell>
          <cell r="K772">
            <v>0</v>
          </cell>
        </row>
        <row r="773">
          <cell r="C773">
            <v>23503730</v>
          </cell>
          <cell r="D773" t="str">
            <v>GA00B283</v>
          </cell>
          <cell r="E773" t="str">
            <v xml:space="preserve"> 2492340000035 Hdfc Bank Ltd</v>
          </cell>
          <cell r="F773" t="str">
            <v>ABANK</v>
          </cell>
          <cell r="G773">
            <v>0</v>
          </cell>
          <cell r="K773">
            <v>0</v>
          </cell>
        </row>
        <row r="774">
          <cell r="C774">
            <v>23503740</v>
          </cell>
          <cell r="D774" t="str">
            <v>GA00B284</v>
          </cell>
          <cell r="E774" t="str">
            <v>0132340000090  Hdfc Bank Ltd</v>
          </cell>
          <cell r="F774" t="str">
            <v>ABANK</v>
          </cell>
          <cell r="G774">
            <v>0</v>
          </cell>
          <cell r="K774">
            <v>0</v>
          </cell>
        </row>
        <row r="775">
          <cell r="C775">
            <v>23503760</v>
          </cell>
          <cell r="D775" t="str">
            <v>GA00B286</v>
          </cell>
          <cell r="E775" t="str">
            <v>0640340000317 Hdfc Bank Ltd</v>
          </cell>
          <cell r="F775" t="str">
            <v>ABANK</v>
          </cell>
          <cell r="G775">
            <v>0</v>
          </cell>
          <cell r="K775">
            <v>0</v>
          </cell>
        </row>
        <row r="776">
          <cell r="C776">
            <v>23503770</v>
          </cell>
          <cell r="D776" t="str">
            <v>GA00B287</v>
          </cell>
          <cell r="E776" t="str">
            <v>0382340000048 Hdfc Bank Ltd</v>
          </cell>
          <cell r="F776" t="str">
            <v>ABANK</v>
          </cell>
          <cell r="G776">
            <v>0</v>
          </cell>
          <cell r="K776">
            <v>0</v>
          </cell>
        </row>
        <row r="777">
          <cell r="C777">
            <v>23503780</v>
          </cell>
          <cell r="D777" t="str">
            <v>GA00B288</v>
          </cell>
          <cell r="E777" t="str">
            <v xml:space="preserve"> 0570340000096 Hdfc Bank Ltd</v>
          </cell>
          <cell r="F777" t="str">
            <v>ABANK</v>
          </cell>
          <cell r="G777">
            <v>0</v>
          </cell>
          <cell r="K777">
            <v>0</v>
          </cell>
        </row>
        <row r="778">
          <cell r="C778">
            <v>23503830</v>
          </cell>
          <cell r="D778" t="str">
            <v>GA00B266</v>
          </cell>
          <cell r="E778" t="str">
            <v>Yes Bank A/C No 281300000104</v>
          </cell>
          <cell r="F778" t="str">
            <v>ABANK</v>
          </cell>
          <cell r="G778">
            <v>0</v>
          </cell>
          <cell r="K778">
            <v>0</v>
          </cell>
        </row>
        <row r="779">
          <cell r="C779">
            <v>23503840</v>
          </cell>
          <cell r="D779" t="str">
            <v>GA00B306</v>
          </cell>
          <cell r="E779" t="str">
            <v>3020340000051 Hdfc Bank Ltd.</v>
          </cell>
          <cell r="F779" t="str">
            <v>ABANK</v>
          </cell>
          <cell r="G779">
            <v>0</v>
          </cell>
          <cell r="K779">
            <v>0</v>
          </cell>
        </row>
        <row r="780">
          <cell r="C780">
            <v>23503850</v>
          </cell>
          <cell r="D780" t="str">
            <v>GA00B275</v>
          </cell>
          <cell r="E780" t="str">
            <v>1870340000152  Hdfc Bank Ltd</v>
          </cell>
          <cell r="F780" t="str">
            <v>ABANK</v>
          </cell>
          <cell r="G780">
            <v>0</v>
          </cell>
          <cell r="K780">
            <v>0</v>
          </cell>
        </row>
        <row r="781">
          <cell r="C781">
            <v>23503890</v>
          </cell>
          <cell r="D781" t="str">
            <v>GA00B341</v>
          </cell>
          <cell r="E781" t="str">
            <v>5400340000026 Hdfc Bank Ltd.</v>
          </cell>
          <cell r="F781" t="str">
            <v>ABANK</v>
          </cell>
          <cell r="G781">
            <v>0</v>
          </cell>
          <cell r="K781">
            <v>0</v>
          </cell>
        </row>
        <row r="782">
          <cell r="C782">
            <v>23503930</v>
          </cell>
          <cell r="D782" t="str">
            <v>GA00B500</v>
          </cell>
          <cell r="E782" t="str">
            <v>002805002529 Icici Bank Ltd</v>
          </cell>
          <cell r="F782" t="str">
            <v>ABANK</v>
          </cell>
          <cell r="G782">
            <v>0</v>
          </cell>
          <cell r="K782">
            <v>0</v>
          </cell>
        </row>
        <row r="783">
          <cell r="C783">
            <v>23503940</v>
          </cell>
          <cell r="D783" t="str">
            <v>GA00B528</v>
          </cell>
          <cell r="E783" t="str">
            <v>0090340002246 Hdfc Bank Ltd.</v>
          </cell>
          <cell r="F783" t="str">
            <v>ABANK</v>
          </cell>
          <cell r="G783">
            <v>0</v>
          </cell>
          <cell r="K783">
            <v>0</v>
          </cell>
        </row>
        <row r="784">
          <cell r="C784">
            <v>23503950</v>
          </cell>
          <cell r="D784" t="str">
            <v>GA00B478</v>
          </cell>
          <cell r="E784" t="str">
            <v>2122340000034 Hdfc Bank Ltd.</v>
          </cell>
          <cell r="F784" t="str">
            <v>ABANK</v>
          </cell>
          <cell r="G784">
            <v>0</v>
          </cell>
          <cell r="K784">
            <v>0</v>
          </cell>
        </row>
        <row r="785">
          <cell r="C785">
            <v>23503960</v>
          </cell>
          <cell r="D785" t="str">
            <v>GA00B479</v>
          </cell>
          <cell r="E785" t="str">
            <v>Rishikesh Uti Bank Ltd.</v>
          </cell>
          <cell r="F785" t="str">
            <v>ABANK</v>
          </cell>
          <cell r="G785">
            <v>0</v>
          </cell>
          <cell r="K785">
            <v>0</v>
          </cell>
        </row>
        <row r="786">
          <cell r="C786">
            <v>23503970</v>
          </cell>
          <cell r="D786" t="str">
            <v>GA00B480</v>
          </cell>
          <cell r="E786" t="str">
            <v>195010200004701 Uti Bank Ltd</v>
          </cell>
          <cell r="F786" t="str">
            <v>ABANK</v>
          </cell>
          <cell r="G786">
            <v>0</v>
          </cell>
          <cell r="K786">
            <v>0</v>
          </cell>
        </row>
        <row r="787">
          <cell r="C787">
            <v>23504000</v>
          </cell>
          <cell r="D787" t="str">
            <v>GA00B529</v>
          </cell>
          <cell r="E787" t="str">
            <v>039005000832 Icici Bank Ltd</v>
          </cell>
          <cell r="F787" t="str">
            <v>ABANK</v>
          </cell>
          <cell r="G787">
            <v>0</v>
          </cell>
          <cell r="K787">
            <v>0</v>
          </cell>
        </row>
        <row r="788">
          <cell r="C788">
            <v>23504010</v>
          </cell>
          <cell r="D788" t="str">
            <v>GA00B383</v>
          </cell>
          <cell r="E788" t="str">
            <v>0010340005708  Hdfc Bank Ltd</v>
          </cell>
          <cell r="F788" t="str">
            <v>ABANK</v>
          </cell>
          <cell r="G788">
            <v>0</v>
          </cell>
          <cell r="K788">
            <v>0</v>
          </cell>
        </row>
        <row r="789">
          <cell r="C789">
            <v>23504020</v>
          </cell>
          <cell r="D789" t="str">
            <v>GA00B384</v>
          </cell>
          <cell r="E789" t="str">
            <v>0423002100100685 Pnb</v>
          </cell>
          <cell r="F789" t="str">
            <v>ABANK</v>
          </cell>
          <cell r="G789">
            <v>0</v>
          </cell>
          <cell r="K789">
            <v>0</v>
          </cell>
        </row>
        <row r="790">
          <cell r="C790">
            <v>23504030</v>
          </cell>
          <cell r="D790" t="str">
            <v>GA00B385</v>
          </cell>
          <cell r="E790" t="str">
            <v>Rampur P N B Ltd.</v>
          </cell>
          <cell r="F790" t="str">
            <v>ABANK</v>
          </cell>
          <cell r="G790">
            <v>0</v>
          </cell>
          <cell r="K790">
            <v>0</v>
          </cell>
        </row>
        <row r="791">
          <cell r="C791">
            <v>23504040</v>
          </cell>
          <cell r="D791" t="str">
            <v>GA00B386</v>
          </cell>
          <cell r="E791" t="str">
            <v>3260340000076 Hdfc Bank Ltd.</v>
          </cell>
          <cell r="F791" t="str">
            <v>ABANK</v>
          </cell>
          <cell r="G791">
            <v>0</v>
          </cell>
          <cell r="K791">
            <v>0</v>
          </cell>
        </row>
        <row r="792">
          <cell r="C792">
            <v>23504060</v>
          </cell>
          <cell r="D792" t="str">
            <v>GA00B434</v>
          </cell>
          <cell r="E792" t="str">
            <v>1250340000114 Hdfc Bank Ltd.</v>
          </cell>
          <cell r="F792" t="str">
            <v>ABANK</v>
          </cell>
          <cell r="G792">
            <v>0</v>
          </cell>
          <cell r="K792">
            <v>0</v>
          </cell>
        </row>
        <row r="793">
          <cell r="C793">
            <v>23504090</v>
          </cell>
          <cell r="D793" t="str">
            <v>GA00B460</v>
          </cell>
          <cell r="E793" t="str">
            <v>1810340000060 Hdfc Bank Ltd.</v>
          </cell>
          <cell r="F793" t="str">
            <v>ABANK</v>
          </cell>
          <cell r="G793">
            <v>0</v>
          </cell>
          <cell r="K793">
            <v>0</v>
          </cell>
        </row>
        <row r="794">
          <cell r="C794">
            <v>23504130</v>
          </cell>
          <cell r="D794" t="str">
            <v>GA00B464</v>
          </cell>
          <cell r="E794" t="str">
            <v>188010200008068 Uti Bank Ltd.</v>
          </cell>
          <cell r="F794" t="str">
            <v>ABANK</v>
          </cell>
          <cell r="G794">
            <v>0</v>
          </cell>
          <cell r="K794">
            <v>0</v>
          </cell>
        </row>
        <row r="795">
          <cell r="C795">
            <v>23504140</v>
          </cell>
          <cell r="D795" t="str">
            <v>GA00B392</v>
          </cell>
          <cell r="E795" t="str">
            <v>2872340000075 Hdfc Bank Ltd.</v>
          </cell>
          <cell r="F795" t="str">
            <v>ABANK</v>
          </cell>
          <cell r="G795">
            <v>0</v>
          </cell>
          <cell r="K795">
            <v>0</v>
          </cell>
        </row>
        <row r="796">
          <cell r="C796">
            <v>23504180</v>
          </cell>
          <cell r="D796" t="str">
            <v>GA00B444</v>
          </cell>
          <cell r="E796" t="str">
            <v>4352340000020 Hdfc Bank Ltd</v>
          </cell>
          <cell r="F796" t="str">
            <v>ABANK</v>
          </cell>
          <cell r="G796">
            <v>0</v>
          </cell>
          <cell r="K796">
            <v>0</v>
          </cell>
        </row>
        <row r="797">
          <cell r="C797">
            <v>23504190</v>
          </cell>
          <cell r="D797" t="str">
            <v>GA00B445</v>
          </cell>
          <cell r="E797" t="str">
            <v>0070340000826 Hdfc Bank Ltd</v>
          </cell>
          <cell r="F797" t="str">
            <v>ABANK</v>
          </cell>
          <cell r="G797">
            <v>0</v>
          </cell>
          <cell r="K797">
            <v>0</v>
          </cell>
        </row>
        <row r="798">
          <cell r="C798">
            <v>23504200</v>
          </cell>
          <cell r="D798" t="str">
            <v>GA00B446</v>
          </cell>
          <cell r="E798" t="str">
            <v>4272340000025 Hdfc Bank Ltd</v>
          </cell>
          <cell r="F798" t="str">
            <v>ABANK</v>
          </cell>
          <cell r="G798">
            <v>0</v>
          </cell>
          <cell r="K798">
            <v>0</v>
          </cell>
        </row>
        <row r="799">
          <cell r="C799">
            <v>23504220</v>
          </cell>
          <cell r="D799" t="str">
            <v>GA00B448</v>
          </cell>
          <cell r="E799" t="str">
            <v>4490340000018 Hdfc Bank Ltd</v>
          </cell>
          <cell r="F799" t="str">
            <v>ABANK</v>
          </cell>
          <cell r="G799">
            <v>0</v>
          </cell>
          <cell r="K799">
            <v>0</v>
          </cell>
        </row>
        <row r="800">
          <cell r="C800">
            <v>23504240</v>
          </cell>
          <cell r="D800" t="str">
            <v>GA00B450</v>
          </cell>
          <cell r="E800" t="str">
            <v>018605002424 Icici Bank</v>
          </cell>
          <cell r="F800" t="str">
            <v>ABANK</v>
          </cell>
          <cell r="G800">
            <v>0</v>
          </cell>
          <cell r="K800">
            <v>0</v>
          </cell>
        </row>
        <row r="801">
          <cell r="C801">
            <v>23504250</v>
          </cell>
          <cell r="D801" t="str">
            <v>GA00B381</v>
          </cell>
          <cell r="E801" t="str">
            <v>030005002071 Icici Bank Ltd</v>
          </cell>
          <cell r="F801" t="str">
            <v>ABANK</v>
          </cell>
          <cell r="G801">
            <v>0</v>
          </cell>
          <cell r="K801">
            <v>0</v>
          </cell>
        </row>
        <row r="802">
          <cell r="C802">
            <v>23504260</v>
          </cell>
          <cell r="D802" t="str">
            <v>GA00B382</v>
          </cell>
          <cell r="E802" t="str">
            <v>030105000854 Icici Bank Ltd</v>
          </cell>
          <cell r="F802" t="str">
            <v>ABANK</v>
          </cell>
          <cell r="G802">
            <v>0</v>
          </cell>
          <cell r="K802">
            <v>0</v>
          </cell>
        </row>
        <row r="803">
          <cell r="C803">
            <v>23504270</v>
          </cell>
          <cell r="E803" t="str">
            <v>217010200000462 Uti Bank Ltd.</v>
          </cell>
          <cell r="F803" t="str">
            <v>ABANK</v>
          </cell>
          <cell r="G803">
            <v>0</v>
          </cell>
          <cell r="K803">
            <v>0</v>
          </cell>
        </row>
        <row r="804">
          <cell r="C804">
            <v>23504350</v>
          </cell>
          <cell r="D804" t="str">
            <v>GA00B498</v>
          </cell>
          <cell r="E804" t="str">
            <v>1820340000017 Hdfc Bank Ltd</v>
          </cell>
          <cell r="F804" t="str">
            <v>ABANK</v>
          </cell>
          <cell r="G804">
            <v>0</v>
          </cell>
          <cell r="K804">
            <v>0</v>
          </cell>
        </row>
        <row r="805">
          <cell r="C805">
            <v>23504360</v>
          </cell>
          <cell r="D805" t="str">
            <v>GA00B499</v>
          </cell>
          <cell r="E805" t="str">
            <v>2142340000019  Hdfc Bank Ltd.</v>
          </cell>
          <cell r="F805" t="str">
            <v>ABANK</v>
          </cell>
          <cell r="G805">
            <v>0</v>
          </cell>
          <cell r="K805">
            <v>0</v>
          </cell>
        </row>
        <row r="806">
          <cell r="C806">
            <v>23504380</v>
          </cell>
          <cell r="D806" t="str">
            <v>GA00B476</v>
          </cell>
          <cell r="E806" t="str">
            <v>Malerkotla Pnb Bank</v>
          </cell>
          <cell r="F806" t="str">
            <v>ABANK</v>
          </cell>
          <cell r="G806">
            <v>0</v>
          </cell>
          <cell r="K806">
            <v>0</v>
          </cell>
        </row>
        <row r="807">
          <cell r="C807">
            <v>23504390</v>
          </cell>
          <cell r="D807" t="str">
            <v>GA00B407</v>
          </cell>
          <cell r="E807" t="str">
            <v>2620340000026 Hdfc Bank Ltd</v>
          </cell>
          <cell r="F807" t="str">
            <v>ABANK</v>
          </cell>
          <cell r="G807">
            <v>0</v>
          </cell>
          <cell r="K807">
            <v>0</v>
          </cell>
        </row>
        <row r="808">
          <cell r="C808">
            <v>23504400</v>
          </cell>
          <cell r="D808" t="str">
            <v>GA00B511</v>
          </cell>
          <cell r="E808" t="str">
            <v>1430340000020 Hdfc Bank Ltd</v>
          </cell>
          <cell r="F808" t="str">
            <v>ABANK</v>
          </cell>
          <cell r="G808">
            <v>0</v>
          </cell>
          <cell r="K808">
            <v>0</v>
          </cell>
        </row>
        <row r="809">
          <cell r="C809">
            <v>23504420</v>
          </cell>
          <cell r="D809" t="str">
            <v>GA00B530</v>
          </cell>
          <cell r="E809" t="str">
            <v>5400340000036 Hdfc Bank Ltd.</v>
          </cell>
          <cell r="F809" t="str">
            <v>ABANK</v>
          </cell>
          <cell r="G809">
            <v>0</v>
          </cell>
          <cell r="K809">
            <v>0</v>
          </cell>
        </row>
        <row r="810">
          <cell r="C810">
            <v>23504450</v>
          </cell>
          <cell r="D810" t="str">
            <v>GA00B506</v>
          </cell>
          <cell r="E810" t="str">
            <v>023305001663 Icici Bank</v>
          </cell>
          <cell r="F810" t="str">
            <v>ABANK</v>
          </cell>
          <cell r="G810">
            <v>0</v>
          </cell>
          <cell r="K810">
            <v>0</v>
          </cell>
        </row>
        <row r="811">
          <cell r="C811">
            <v>23504460</v>
          </cell>
          <cell r="D811" t="str">
            <v>GA00B408</v>
          </cell>
          <cell r="E811" t="str">
            <v>2360340000122 Hdfc Bank Ltd.</v>
          </cell>
          <cell r="F811" t="str">
            <v>ABANK</v>
          </cell>
          <cell r="G811">
            <v>0</v>
          </cell>
          <cell r="K811">
            <v>0</v>
          </cell>
        </row>
        <row r="812">
          <cell r="C812">
            <v>23504500</v>
          </cell>
          <cell r="D812" t="str">
            <v>GA00B412</v>
          </cell>
          <cell r="E812" t="str">
            <v>0580340000108 Hdfc Bank Ltd.</v>
          </cell>
          <cell r="F812" t="str">
            <v>ABANK</v>
          </cell>
          <cell r="G812">
            <v>0</v>
          </cell>
          <cell r="K812">
            <v>0</v>
          </cell>
        </row>
        <row r="813">
          <cell r="C813">
            <v>23504510</v>
          </cell>
          <cell r="D813" t="str">
            <v>GA00B413</v>
          </cell>
          <cell r="E813" t="str">
            <v>0500340000357 Hdfc Bank Ltd.</v>
          </cell>
          <cell r="F813" t="str">
            <v>ABANK</v>
          </cell>
          <cell r="G813">
            <v>0</v>
          </cell>
          <cell r="K813">
            <v>0</v>
          </cell>
        </row>
        <row r="814">
          <cell r="C814">
            <v>23504520</v>
          </cell>
          <cell r="D814" t="str">
            <v>GA00B414</v>
          </cell>
          <cell r="E814" t="str">
            <v>0500340000367 Hdfc Bank Ltd.</v>
          </cell>
          <cell r="F814" t="str">
            <v>ABANK</v>
          </cell>
          <cell r="G814">
            <v>0</v>
          </cell>
          <cell r="K814">
            <v>0</v>
          </cell>
        </row>
        <row r="815">
          <cell r="C815">
            <v>23504550</v>
          </cell>
          <cell r="D815" t="str">
            <v>GA00B393</v>
          </cell>
          <cell r="E815" t="str">
            <v>0842340000083 Hdfc Bank Ltd.</v>
          </cell>
          <cell r="F815" t="str">
            <v>ABANK</v>
          </cell>
          <cell r="G815">
            <v>0</v>
          </cell>
          <cell r="K815">
            <v>0</v>
          </cell>
        </row>
        <row r="816">
          <cell r="C816">
            <v>23504560</v>
          </cell>
          <cell r="E816" t="str">
            <v xml:space="preserve">  Hdfc Bank Ltd</v>
          </cell>
          <cell r="F816" t="str">
            <v>ABANK</v>
          </cell>
          <cell r="G816">
            <v>0</v>
          </cell>
          <cell r="K816">
            <v>0</v>
          </cell>
        </row>
        <row r="817">
          <cell r="C817">
            <v>23504570</v>
          </cell>
          <cell r="D817" t="str">
            <v>GA00B387</v>
          </cell>
          <cell r="E817" t="str">
            <v>3870340000038 Hdfc Bank Ltd.</v>
          </cell>
          <cell r="F817" t="str">
            <v>ABANK</v>
          </cell>
          <cell r="G817">
            <v>0</v>
          </cell>
          <cell r="K817">
            <v>0</v>
          </cell>
        </row>
        <row r="818">
          <cell r="C818">
            <v>23504580</v>
          </cell>
          <cell r="D818" t="str">
            <v>GA00B388</v>
          </cell>
          <cell r="E818" t="str">
            <v>0200340001072  Hdfc Bank Ltd.</v>
          </cell>
          <cell r="F818" t="str">
            <v>ABANK</v>
          </cell>
          <cell r="G818">
            <v>0</v>
          </cell>
          <cell r="K818">
            <v>0</v>
          </cell>
        </row>
        <row r="819">
          <cell r="C819">
            <v>23504590</v>
          </cell>
          <cell r="D819" t="str">
            <v>GA00B389</v>
          </cell>
          <cell r="E819" t="str">
            <v>1920340000188 Hdfc Bank Ltd.</v>
          </cell>
          <cell r="F819" t="str">
            <v>ABANK</v>
          </cell>
          <cell r="G819">
            <v>0</v>
          </cell>
          <cell r="K819">
            <v>0</v>
          </cell>
        </row>
        <row r="820">
          <cell r="C820">
            <v>23504620</v>
          </cell>
          <cell r="D820" t="str">
            <v>GA00B431</v>
          </cell>
          <cell r="E820" t="str">
            <v>4432340000015 Hdfc Bank Ltd.</v>
          </cell>
          <cell r="F820" t="str">
            <v>ABANK</v>
          </cell>
          <cell r="G820">
            <v>0</v>
          </cell>
          <cell r="K820">
            <v>0</v>
          </cell>
        </row>
        <row r="821">
          <cell r="C821">
            <v>23504640</v>
          </cell>
          <cell r="D821" t="str">
            <v>GA00B433</v>
          </cell>
          <cell r="E821" t="str">
            <v>1592340000073 Hdfc Bank Ltd.</v>
          </cell>
          <cell r="F821" t="str">
            <v>ABANK</v>
          </cell>
          <cell r="G821">
            <v>0</v>
          </cell>
          <cell r="K821">
            <v>0</v>
          </cell>
        </row>
        <row r="822">
          <cell r="C822">
            <v>23504650</v>
          </cell>
          <cell r="D822" t="str">
            <v>GA00B430</v>
          </cell>
          <cell r="E822" t="str">
            <v>1760340000051 Hdfc Bank Ltd.</v>
          </cell>
          <cell r="F822" t="str">
            <v>ABANK</v>
          </cell>
          <cell r="G822">
            <v>0</v>
          </cell>
          <cell r="K822">
            <v>0</v>
          </cell>
        </row>
        <row r="823">
          <cell r="C823">
            <v>23504670</v>
          </cell>
          <cell r="D823" t="str">
            <v>GA00B534</v>
          </cell>
          <cell r="E823" t="str">
            <v>5412340000026 Hdfc Bank Ltd.</v>
          </cell>
          <cell r="F823" t="str">
            <v>ABANK</v>
          </cell>
          <cell r="G823">
            <v>0</v>
          </cell>
          <cell r="K823">
            <v>0</v>
          </cell>
        </row>
        <row r="824">
          <cell r="C824">
            <v>23504680</v>
          </cell>
          <cell r="D824" t="str">
            <v>GA00B465</v>
          </cell>
          <cell r="E824" t="str">
            <v>249010200004534 Uti Bank Ltd.</v>
          </cell>
          <cell r="F824" t="str">
            <v>ABANK</v>
          </cell>
          <cell r="G824">
            <v>0</v>
          </cell>
          <cell r="K824">
            <v>0</v>
          </cell>
        </row>
        <row r="825">
          <cell r="C825">
            <v>23504700</v>
          </cell>
          <cell r="D825" t="str">
            <v>GA00B467</v>
          </cell>
          <cell r="E825" t="str">
            <v>4090340000054 Hdfc  Bank Ltd.</v>
          </cell>
          <cell r="F825" t="str">
            <v>ABANK</v>
          </cell>
          <cell r="G825">
            <v>0</v>
          </cell>
          <cell r="K825">
            <v>0</v>
          </cell>
        </row>
        <row r="826">
          <cell r="C826">
            <v>23504710</v>
          </cell>
          <cell r="D826" t="str">
            <v>GA00B468</v>
          </cell>
          <cell r="E826" t="str">
            <v>2380340000031 Hdfc  Bank Ltd.</v>
          </cell>
          <cell r="F826" t="str">
            <v>ABANK</v>
          </cell>
          <cell r="G826">
            <v>0</v>
          </cell>
          <cell r="K826">
            <v>0</v>
          </cell>
        </row>
        <row r="827">
          <cell r="C827">
            <v>23504720</v>
          </cell>
          <cell r="D827" t="str">
            <v>GA00B469</v>
          </cell>
          <cell r="E827" t="str">
            <v>Karur Uti Bank Ltd.</v>
          </cell>
          <cell r="F827" t="str">
            <v>ABANK</v>
          </cell>
          <cell r="G827">
            <v>0</v>
          </cell>
          <cell r="K827">
            <v>0</v>
          </cell>
        </row>
        <row r="828">
          <cell r="C828">
            <v>23504750</v>
          </cell>
          <cell r="D828" t="str">
            <v>GA00B527</v>
          </cell>
          <cell r="E828" t="str">
            <v>Samana Hdfc Bank Ltd.</v>
          </cell>
          <cell r="F828" t="str">
            <v>ABANK</v>
          </cell>
          <cell r="G828">
            <v>0</v>
          </cell>
          <cell r="K828">
            <v>0</v>
          </cell>
        </row>
        <row r="829">
          <cell r="C829">
            <v>23504760</v>
          </cell>
          <cell r="D829" t="str">
            <v>GA00B474</v>
          </cell>
          <cell r="E829" t="str">
            <v>0152340000092 Hdfc Bank Ltd.</v>
          </cell>
          <cell r="F829" t="str">
            <v>ABANK</v>
          </cell>
          <cell r="G829">
            <v>0</v>
          </cell>
          <cell r="K829">
            <v>0</v>
          </cell>
        </row>
        <row r="830">
          <cell r="C830">
            <v>23504780</v>
          </cell>
          <cell r="D830" t="str">
            <v>GA00B470</v>
          </cell>
          <cell r="E830" t="str">
            <v>0010340005742 Hdfc Bank Ltd.</v>
          </cell>
          <cell r="F830" t="str">
            <v>ABANK</v>
          </cell>
          <cell r="G830">
            <v>0</v>
          </cell>
          <cell r="K830">
            <v>0</v>
          </cell>
        </row>
        <row r="831">
          <cell r="C831">
            <v>23504790</v>
          </cell>
          <cell r="D831" t="str">
            <v>GA00B521</v>
          </cell>
          <cell r="E831" t="str">
            <v>Besant Hdfc Bank Ltd.</v>
          </cell>
          <cell r="F831" t="str">
            <v>ABANK</v>
          </cell>
          <cell r="G831">
            <v>0</v>
          </cell>
          <cell r="K831">
            <v>0</v>
          </cell>
        </row>
        <row r="832">
          <cell r="C832">
            <v>23504810</v>
          </cell>
          <cell r="D832" t="str">
            <v>GA00B471</v>
          </cell>
          <cell r="E832" t="str">
            <v>5422340000157 Hdfc Bank Ltd.</v>
          </cell>
          <cell r="F832" t="str">
            <v>ABANK</v>
          </cell>
          <cell r="G832">
            <v>0</v>
          </cell>
          <cell r="K832">
            <v>0</v>
          </cell>
        </row>
        <row r="833">
          <cell r="C833">
            <v>23504830</v>
          </cell>
          <cell r="D833" t="str">
            <v>GA00B472</v>
          </cell>
          <cell r="E833" t="str">
            <v>4392640000055 Hdfc Bank Ltd.</v>
          </cell>
          <cell r="F833" t="str">
            <v>ABANK</v>
          </cell>
          <cell r="G833">
            <v>0</v>
          </cell>
          <cell r="K833">
            <v>0</v>
          </cell>
        </row>
        <row r="834">
          <cell r="C834">
            <v>23504840</v>
          </cell>
          <cell r="D834" t="str">
            <v>GA00B451</v>
          </cell>
          <cell r="E834" t="str">
            <v>2992340000084 Hdfc Bank Ltd.</v>
          </cell>
          <cell r="F834" t="str">
            <v>ABANK</v>
          </cell>
          <cell r="G834">
            <v>0</v>
          </cell>
          <cell r="K834">
            <v>0</v>
          </cell>
        </row>
        <row r="835">
          <cell r="C835">
            <v>23504850</v>
          </cell>
          <cell r="D835" t="str">
            <v>GA00B452</v>
          </cell>
          <cell r="E835" t="str">
            <v>4612340000034 Hdfc Bank Ltd.</v>
          </cell>
          <cell r="F835" t="str">
            <v>ABANK</v>
          </cell>
          <cell r="G835">
            <v>0</v>
          </cell>
          <cell r="K835">
            <v>0</v>
          </cell>
        </row>
        <row r="836">
          <cell r="C836">
            <v>23504860</v>
          </cell>
          <cell r="D836" t="str">
            <v>GA00B453</v>
          </cell>
          <cell r="E836" t="str">
            <v>2220340000096 Hdfc Bank Ltd.</v>
          </cell>
          <cell r="F836" t="str">
            <v>ABANK</v>
          </cell>
          <cell r="G836">
            <v>0</v>
          </cell>
          <cell r="K836">
            <v>0</v>
          </cell>
        </row>
        <row r="837">
          <cell r="C837">
            <v>23504870</v>
          </cell>
          <cell r="D837" t="str">
            <v>GA00B454</v>
          </cell>
          <cell r="E837" t="str">
            <v>0222340000096 Hdfc Bank Ltd.</v>
          </cell>
          <cell r="F837" t="str">
            <v>ABANK</v>
          </cell>
          <cell r="G837">
            <v>0</v>
          </cell>
          <cell r="K837">
            <v>0</v>
          </cell>
        </row>
        <row r="838">
          <cell r="C838">
            <v>23504890</v>
          </cell>
          <cell r="D838" t="str">
            <v>GA00B456</v>
          </cell>
          <cell r="E838" t="str">
            <v>4062340000020  Hdfc Bank Ltd.</v>
          </cell>
          <cell r="F838" t="str">
            <v>ABANK</v>
          </cell>
          <cell r="G838">
            <v>0</v>
          </cell>
          <cell r="K838">
            <v>0</v>
          </cell>
        </row>
        <row r="839">
          <cell r="C839">
            <v>23504900</v>
          </cell>
          <cell r="D839" t="str">
            <v>GA00B457</v>
          </cell>
          <cell r="E839" t="str">
            <v>0862340000110 Hdfc Bank Ltd.</v>
          </cell>
          <cell r="F839" t="str">
            <v>ABANK</v>
          </cell>
          <cell r="G839">
            <v>0</v>
          </cell>
          <cell r="K839">
            <v>0</v>
          </cell>
        </row>
        <row r="840">
          <cell r="C840">
            <v>23504910</v>
          </cell>
          <cell r="D840" t="str">
            <v>GA00B344</v>
          </cell>
          <cell r="E840" t="str">
            <v>6110340000012 Hdfc Bank Ltd.</v>
          </cell>
          <cell r="F840" t="str">
            <v>ABANK</v>
          </cell>
          <cell r="G840">
            <v>0</v>
          </cell>
          <cell r="K840">
            <v>0</v>
          </cell>
        </row>
        <row r="841">
          <cell r="C841">
            <v>23504920</v>
          </cell>
          <cell r="D841" t="str">
            <v>GA00B345</v>
          </cell>
          <cell r="E841" t="str">
            <v>2272340000056  Hdfc Bank Ltd.</v>
          </cell>
          <cell r="F841" t="str">
            <v>ABANK</v>
          </cell>
          <cell r="G841">
            <v>0</v>
          </cell>
          <cell r="K841">
            <v>0</v>
          </cell>
        </row>
        <row r="842">
          <cell r="C842">
            <v>23504940</v>
          </cell>
          <cell r="D842" t="str">
            <v>GA00B347</v>
          </cell>
          <cell r="E842" t="str">
            <v>0792340000249 Hdfc Bank Ltd.</v>
          </cell>
          <cell r="F842" t="str">
            <v>ABANK</v>
          </cell>
          <cell r="G842">
            <v>0</v>
          </cell>
          <cell r="K842">
            <v>0</v>
          </cell>
        </row>
        <row r="843">
          <cell r="C843">
            <v>23504950</v>
          </cell>
          <cell r="D843" t="str">
            <v>GA00B348</v>
          </cell>
          <cell r="E843" t="str">
            <v>1822340000091  Hdfc Bank Ltd.</v>
          </cell>
          <cell r="F843" t="str">
            <v>ABANK</v>
          </cell>
          <cell r="G843">
            <v>0</v>
          </cell>
          <cell r="K843">
            <v>0</v>
          </cell>
        </row>
        <row r="844">
          <cell r="C844">
            <v>23504960</v>
          </cell>
          <cell r="D844" t="str">
            <v>GA00B519</v>
          </cell>
          <cell r="E844" t="str">
            <v>Gurgaon( Ipo Product) Hdfc Bank</v>
          </cell>
          <cell r="F844" t="str">
            <v>ABANK</v>
          </cell>
          <cell r="G844">
            <v>0</v>
          </cell>
          <cell r="K844">
            <v>0</v>
          </cell>
        </row>
        <row r="845">
          <cell r="C845">
            <v>23504970</v>
          </cell>
          <cell r="D845" t="str">
            <v>GA00B422</v>
          </cell>
          <cell r="E845" t="str">
            <v>0152340000100 Hdfc Bank Ltd.</v>
          </cell>
          <cell r="F845" t="str">
            <v>ABANK</v>
          </cell>
          <cell r="G845">
            <v>0</v>
          </cell>
          <cell r="K845">
            <v>0</v>
          </cell>
        </row>
        <row r="846">
          <cell r="C846">
            <v>23504980</v>
          </cell>
          <cell r="D846" t="str">
            <v>GA00B423</v>
          </cell>
          <cell r="E846" t="str">
            <v>2472340000163 Hdfc Bank Ltd.</v>
          </cell>
          <cell r="F846" t="str">
            <v>ABANK</v>
          </cell>
          <cell r="G846">
            <v>0</v>
          </cell>
          <cell r="K846">
            <v>0</v>
          </cell>
        </row>
        <row r="847">
          <cell r="C847">
            <v>23504990</v>
          </cell>
          <cell r="D847" t="str">
            <v>GA00B424</v>
          </cell>
          <cell r="E847" t="str">
            <v>1510340000152 Hdfc Bank Ltd.</v>
          </cell>
          <cell r="F847" t="str">
            <v>ABANK</v>
          </cell>
          <cell r="G847">
            <v>0</v>
          </cell>
          <cell r="K847">
            <v>0</v>
          </cell>
        </row>
        <row r="848">
          <cell r="C848">
            <v>23505000</v>
          </cell>
          <cell r="E848" t="str">
            <v>017005000646 Icici Bank Ltd</v>
          </cell>
          <cell r="F848" t="str">
            <v>ABANK</v>
          </cell>
          <cell r="G848">
            <v>0</v>
          </cell>
          <cell r="K848">
            <v>0</v>
          </cell>
        </row>
        <row r="849">
          <cell r="C849">
            <v>23505020</v>
          </cell>
          <cell r="D849" t="str">
            <v>GA00B396</v>
          </cell>
          <cell r="E849" t="str">
            <v>2080340000047 Hdfc Bank Ltd.</v>
          </cell>
          <cell r="F849" t="str">
            <v>ABANK</v>
          </cell>
          <cell r="G849">
            <v>0</v>
          </cell>
          <cell r="K849">
            <v>0</v>
          </cell>
        </row>
        <row r="850">
          <cell r="C850">
            <v>23505030</v>
          </cell>
          <cell r="D850" t="str">
            <v>GA00B397</v>
          </cell>
          <cell r="E850" t="str">
            <v>0070340000740 Hdfc Bank Ltd.</v>
          </cell>
          <cell r="F850" t="str">
            <v>ABANK</v>
          </cell>
          <cell r="G850">
            <v>0</v>
          </cell>
          <cell r="K850">
            <v>0</v>
          </cell>
        </row>
        <row r="851">
          <cell r="C851">
            <v>23505040</v>
          </cell>
          <cell r="D851" t="str">
            <v>GA00B398</v>
          </cell>
          <cell r="E851" t="str">
            <v>1802340000021 Hdfc Bank Ltd.</v>
          </cell>
          <cell r="F851" t="str">
            <v>ABANK</v>
          </cell>
          <cell r="G851">
            <v>0</v>
          </cell>
          <cell r="K851">
            <v>0</v>
          </cell>
        </row>
        <row r="852">
          <cell r="C852">
            <v>23505050</v>
          </cell>
          <cell r="D852" t="str">
            <v>GA00B399</v>
          </cell>
          <cell r="E852" t="str">
            <v>0502340000078 Hdfc Bank Ltd.</v>
          </cell>
          <cell r="F852" t="str">
            <v>ABANK</v>
          </cell>
          <cell r="G852">
            <v>0</v>
          </cell>
          <cell r="K852">
            <v>0</v>
          </cell>
        </row>
        <row r="853">
          <cell r="C853">
            <v>23505060</v>
          </cell>
          <cell r="D853" t="str">
            <v>GA00B400</v>
          </cell>
          <cell r="E853" t="str">
            <v>0842340000093 Hdfc Bank Ltd.</v>
          </cell>
          <cell r="F853" t="str">
            <v>ABANK</v>
          </cell>
          <cell r="G853">
            <v>0</v>
          </cell>
          <cell r="K853">
            <v>0</v>
          </cell>
        </row>
        <row r="854">
          <cell r="C854">
            <v>23505070</v>
          </cell>
          <cell r="D854" t="str">
            <v>GA00B485</v>
          </cell>
          <cell r="E854" t="str">
            <v>3212340000026 Hdfc Bank Ltd</v>
          </cell>
          <cell r="F854" t="str">
            <v>ABANK</v>
          </cell>
          <cell r="G854">
            <v>0</v>
          </cell>
          <cell r="K854">
            <v>0</v>
          </cell>
        </row>
        <row r="855">
          <cell r="C855">
            <v>23505080</v>
          </cell>
          <cell r="D855" t="str">
            <v>GA00B520</v>
          </cell>
          <cell r="E855" t="str">
            <v>5412340000033 Hdfc Bank Ltd</v>
          </cell>
          <cell r="F855" t="str">
            <v>ABANK</v>
          </cell>
          <cell r="G855">
            <v>0</v>
          </cell>
          <cell r="K855">
            <v>0</v>
          </cell>
        </row>
        <row r="856">
          <cell r="C856">
            <v>23505090</v>
          </cell>
          <cell r="D856" t="str">
            <v>GA00B378</v>
          </cell>
          <cell r="E856" t="str">
            <v>Bikaner</v>
          </cell>
          <cell r="F856" t="str">
            <v>ABANK</v>
          </cell>
          <cell r="G856">
            <v>0</v>
          </cell>
          <cell r="K856">
            <v>0</v>
          </cell>
        </row>
        <row r="857">
          <cell r="C857">
            <v>23505100</v>
          </cell>
          <cell r="D857" t="str">
            <v>GA00B379</v>
          </cell>
          <cell r="E857" t="str">
            <v>2882340000032 Hdfc Bank Ltd.</v>
          </cell>
          <cell r="F857" t="str">
            <v>ABANK</v>
          </cell>
          <cell r="G857">
            <v>0</v>
          </cell>
          <cell r="K857">
            <v>0</v>
          </cell>
        </row>
        <row r="858">
          <cell r="C858">
            <v>23505110</v>
          </cell>
          <cell r="D858" t="str">
            <v>GA00B380</v>
          </cell>
          <cell r="E858" t="str">
            <v>3020340000068 Hdfc Bank Ltd.</v>
          </cell>
          <cell r="F858" t="str">
            <v>ABANK</v>
          </cell>
          <cell r="G858">
            <v>0</v>
          </cell>
          <cell r="K858">
            <v>0</v>
          </cell>
        </row>
        <row r="859">
          <cell r="C859">
            <v>23505150</v>
          </cell>
          <cell r="D859" t="str">
            <v>GA00B418</v>
          </cell>
          <cell r="E859" t="str">
            <v>1650340000026 Hdfc Bank Ltd.</v>
          </cell>
          <cell r="F859" t="str">
            <v>ABANK</v>
          </cell>
          <cell r="G859">
            <v>0</v>
          </cell>
          <cell r="K859">
            <v>0</v>
          </cell>
        </row>
        <row r="860">
          <cell r="C860">
            <v>23505170</v>
          </cell>
          <cell r="D860" t="str">
            <v>GA00B420</v>
          </cell>
          <cell r="E860" t="str">
            <v>4572340000019 Hdfc Bank Ltd.</v>
          </cell>
          <cell r="F860" t="str">
            <v>ABANK</v>
          </cell>
          <cell r="G860">
            <v>0</v>
          </cell>
          <cell r="K860">
            <v>0</v>
          </cell>
        </row>
        <row r="861">
          <cell r="C861">
            <v>23505200</v>
          </cell>
          <cell r="D861" t="str">
            <v>GA00B518</v>
          </cell>
          <cell r="E861" t="str">
            <v>INDIABULLS SECURITIES LTD 503011015417 ING VYSYA B</v>
          </cell>
          <cell r="F861" t="str">
            <v>ABANK</v>
          </cell>
          <cell r="G861">
            <v>0</v>
          </cell>
          <cell r="K861">
            <v>0</v>
          </cell>
        </row>
        <row r="862">
          <cell r="C862">
            <v>23505410</v>
          </cell>
          <cell r="E862" t="str">
            <v>ICICI BANK-GA00B39</v>
          </cell>
          <cell r="F862" t="str">
            <v>ABANK</v>
          </cell>
          <cell r="G862">
            <v>0</v>
          </cell>
          <cell r="K862">
            <v>0</v>
          </cell>
        </row>
        <row r="863">
          <cell r="C863">
            <v>23505541</v>
          </cell>
          <cell r="D863" t="str">
            <v>GA00B516</v>
          </cell>
          <cell r="E863" t="str">
            <v>Indiabulls Securities Ltd. 0432340000057 HDFC BANK</v>
          </cell>
          <cell r="F863" t="str">
            <v>ABANK</v>
          </cell>
          <cell r="G863">
            <v>0</v>
          </cell>
          <cell r="K863">
            <v>0</v>
          </cell>
        </row>
        <row r="864">
          <cell r="C864">
            <v>23505550</v>
          </cell>
          <cell r="D864" t="str">
            <v>GA00B540</v>
          </cell>
          <cell r="E864" t="str">
            <v>HDFC BANK LIMITED -0680340000087 BHARUCH</v>
          </cell>
          <cell r="F864" t="str">
            <v>ABANK</v>
          </cell>
          <cell r="G864">
            <v>0</v>
          </cell>
          <cell r="K864">
            <v>0</v>
          </cell>
        </row>
        <row r="865">
          <cell r="C865">
            <v>23505580</v>
          </cell>
          <cell r="E865" t="str">
            <v>1270340003918 HDFC BANK LTD</v>
          </cell>
          <cell r="F865" t="str">
            <v>ABANK</v>
          </cell>
          <cell r="G865">
            <v>0</v>
          </cell>
          <cell r="K865">
            <v>0</v>
          </cell>
        </row>
        <row r="866">
          <cell r="C866">
            <v>23505600</v>
          </cell>
          <cell r="E866" t="str">
            <v>0540340003134 HDFC BANK LTD</v>
          </cell>
          <cell r="F866" t="str">
            <v>ABANK</v>
          </cell>
          <cell r="G866">
            <v>0</v>
          </cell>
          <cell r="K866">
            <v>0</v>
          </cell>
        </row>
        <row r="867">
          <cell r="C867">
            <v>23505620</v>
          </cell>
          <cell r="D867" t="str">
            <v>GA00B552</v>
          </cell>
          <cell r="E867" t="str">
            <v>HDFC BANK LTD. 0322340000162</v>
          </cell>
          <cell r="F867" t="str">
            <v>ABANK</v>
          </cell>
          <cell r="G867">
            <v>0</v>
          </cell>
          <cell r="K867">
            <v>0</v>
          </cell>
        </row>
        <row r="868">
          <cell r="C868">
            <v>23505630</v>
          </cell>
          <cell r="D868" t="str">
            <v>GA00B566</v>
          </cell>
          <cell r="E868" t="str">
            <v>2850340000136HDFC BANK LIMITED</v>
          </cell>
          <cell r="F868" t="str">
            <v>ABANK</v>
          </cell>
          <cell r="G868">
            <v>0</v>
          </cell>
          <cell r="K868">
            <v>0</v>
          </cell>
        </row>
        <row r="869">
          <cell r="C869">
            <v>23505640</v>
          </cell>
          <cell r="D869" t="str">
            <v>GA00B539</v>
          </cell>
          <cell r="E869" t="str">
            <v>2272340000063 HDFC BANK LIMITED</v>
          </cell>
          <cell r="F869" t="str">
            <v>ABANK</v>
          </cell>
          <cell r="G869">
            <v>0</v>
          </cell>
          <cell r="K869">
            <v>0</v>
          </cell>
        </row>
        <row r="870">
          <cell r="C870">
            <v>23505650</v>
          </cell>
          <cell r="D870" t="str">
            <v>GA00B536</v>
          </cell>
          <cell r="E870" t="str">
            <v>5402340000155 HDFC BANK LIMITED</v>
          </cell>
          <cell r="F870" t="str">
            <v>ABANK</v>
          </cell>
          <cell r="G870">
            <v>0</v>
          </cell>
          <cell r="K870">
            <v>0</v>
          </cell>
        </row>
        <row r="871">
          <cell r="C871">
            <v>23505680</v>
          </cell>
          <cell r="D871" t="str">
            <v>GA00B570</v>
          </cell>
          <cell r="E871" t="str">
            <v>2692340000039 HDFC BANK LIMITED</v>
          </cell>
          <cell r="F871" t="str">
            <v>ABANK</v>
          </cell>
          <cell r="G871">
            <v>0</v>
          </cell>
          <cell r="K871">
            <v>0</v>
          </cell>
        </row>
        <row r="872">
          <cell r="C872">
            <v>23505700</v>
          </cell>
          <cell r="E872" t="str">
            <v>HDFC BANK LIMITED 2062340000100</v>
          </cell>
          <cell r="F872" t="str">
            <v>ABANK</v>
          </cell>
          <cell r="G872">
            <v>0</v>
          </cell>
          <cell r="K872">
            <v>0</v>
          </cell>
        </row>
        <row r="873">
          <cell r="C873">
            <v>23505720</v>
          </cell>
          <cell r="E873" t="str">
            <v>UTI BANK LIMITED 392010200000806</v>
          </cell>
          <cell r="F873" t="str">
            <v>ABANK</v>
          </cell>
          <cell r="G873">
            <v>0</v>
          </cell>
          <cell r="K873">
            <v>0</v>
          </cell>
        </row>
        <row r="874">
          <cell r="C874">
            <v>23505730</v>
          </cell>
          <cell r="E874" t="str">
            <v>UTI BANK LIMITED 392010200000815</v>
          </cell>
          <cell r="F874" t="str">
            <v>ABANK</v>
          </cell>
          <cell r="G874">
            <v>0</v>
          </cell>
          <cell r="K874">
            <v>0</v>
          </cell>
        </row>
        <row r="875">
          <cell r="C875">
            <v>23505740</v>
          </cell>
          <cell r="E875" t="str">
            <v>HFFC BANK LTD 0680340000070</v>
          </cell>
          <cell r="F875" t="str">
            <v>ABANK</v>
          </cell>
          <cell r="G875">
            <v>0</v>
          </cell>
          <cell r="K875">
            <v>0</v>
          </cell>
        </row>
        <row r="876">
          <cell r="C876">
            <v>23505750</v>
          </cell>
          <cell r="E876" t="str">
            <v>HFFC BANK LTD 3942340000011</v>
          </cell>
          <cell r="F876" t="str">
            <v>ABANK</v>
          </cell>
          <cell r="G876">
            <v>0</v>
          </cell>
          <cell r="K876">
            <v>0</v>
          </cell>
        </row>
        <row r="877">
          <cell r="C877">
            <v>23509230</v>
          </cell>
          <cell r="E877" t="str">
            <v>UTI BANK LIMITED 392010200001267</v>
          </cell>
          <cell r="F877" t="str">
            <v>ABANK</v>
          </cell>
          <cell r="G877">
            <v>0</v>
          </cell>
          <cell r="K877">
            <v>0</v>
          </cell>
        </row>
        <row r="878">
          <cell r="C878">
            <v>23509300</v>
          </cell>
          <cell r="E878" t="str">
            <v>HDFC-3212340000033-ISL - Block</v>
          </cell>
          <cell r="F878" t="str">
            <v>ABANK</v>
          </cell>
          <cell r="G878">
            <v>0</v>
          </cell>
          <cell r="K878">
            <v>0</v>
          </cell>
        </row>
        <row r="879">
          <cell r="C879">
            <v>23509310</v>
          </cell>
          <cell r="E879" t="str">
            <v>0820340000092   HDFC-ISL</v>
          </cell>
          <cell r="F879" t="str">
            <v>ABANK</v>
          </cell>
          <cell r="G879">
            <v>0</v>
          </cell>
          <cell r="K879">
            <v>0</v>
          </cell>
        </row>
        <row r="880">
          <cell r="C880">
            <v>23509320</v>
          </cell>
          <cell r="E880" t="str">
            <v>3862340000016- HDFC-ISL</v>
          </cell>
          <cell r="F880" t="str">
            <v>ABANK</v>
          </cell>
          <cell r="G880">
            <v>0</v>
          </cell>
          <cell r="K880">
            <v>0</v>
          </cell>
        </row>
        <row r="881">
          <cell r="C881">
            <v>23509330</v>
          </cell>
          <cell r="E881" t="str">
            <v>1842340000018-HDFC-ISL</v>
          </cell>
          <cell r="F881" t="str">
            <v>ABANK</v>
          </cell>
          <cell r="G881">
            <v>0</v>
          </cell>
          <cell r="K881">
            <v>0</v>
          </cell>
        </row>
        <row r="882">
          <cell r="C882">
            <v>23509340</v>
          </cell>
          <cell r="E882" t="str">
            <v>1660340000432 HDFC -ISL</v>
          </cell>
          <cell r="F882" t="str">
            <v>ABANK</v>
          </cell>
          <cell r="G882">
            <v>0</v>
          </cell>
          <cell r="K882">
            <v>0</v>
          </cell>
        </row>
        <row r="883">
          <cell r="C883">
            <v>23509790</v>
          </cell>
          <cell r="D883" t="str">
            <v>GA00B541</v>
          </cell>
          <cell r="E883" t="str">
            <v>ISL 7352340000012 HDFC BANK LTD</v>
          </cell>
          <cell r="F883" t="str">
            <v>ABANK</v>
          </cell>
          <cell r="G883">
            <v>0</v>
          </cell>
          <cell r="K883">
            <v>0</v>
          </cell>
        </row>
        <row r="884">
          <cell r="C884">
            <v>23509800</v>
          </cell>
          <cell r="D884" t="str">
            <v>GA00B542</v>
          </cell>
          <cell r="E884" t="str">
            <v>ISL 6370340000118  HDFC BANK LTD</v>
          </cell>
          <cell r="F884" t="str">
            <v>ABANK</v>
          </cell>
          <cell r="G884">
            <v>0</v>
          </cell>
          <cell r="K884">
            <v>0</v>
          </cell>
        </row>
        <row r="885">
          <cell r="C885">
            <v>23509810</v>
          </cell>
          <cell r="D885" t="str">
            <v>GA00B559</v>
          </cell>
          <cell r="E885" t="str">
            <v>ISL-392010200000815 UTI BANK LTD.</v>
          </cell>
          <cell r="F885" t="str">
            <v>ABANK</v>
          </cell>
          <cell r="G885">
            <v>0</v>
          </cell>
          <cell r="K885">
            <v>0</v>
          </cell>
        </row>
        <row r="886">
          <cell r="C886">
            <v>23509820</v>
          </cell>
          <cell r="D886" t="str">
            <v>GA00B554</v>
          </cell>
          <cell r="E886" t="str">
            <v>ISL-2290340000096 HDFC BANK LTD</v>
          </cell>
          <cell r="F886" t="str">
            <v>ABANK</v>
          </cell>
          <cell r="G886">
            <v>0</v>
          </cell>
          <cell r="K886">
            <v>0</v>
          </cell>
        </row>
        <row r="887">
          <cell r="C887">
            <v>23509850</v>
          </cell>
          <cell r="D887" t="str">
            <v>GA00B580</v>
          </cell>
          <cell r="E887" t="str">
            <v>ISL -SANTHOME HDFC BANK LTD.</v>
          </cell>
          <cell r="F887" t="str">
            <v>ABANK</v>
          </cell>
          <cell r="G887">
            <v>0</v>
          </cell>
          <cell r="K887">
            <v>0</v>
          </cell>
        </row>
        <row r="888">
          <cell r="C888">
            <v>23509860</v>
          </cell>
          <cell r="D888" t="str">
            <v>GA00B560</v>
          </cell>
          <cell r="E888" t="str">
            <v>ISL-RAI BAREILLY PUNJAB NATIONAL BANK</v>
          </cell>
          <cell r="F888" t="str">
            <v>ABANK</v>
          </cell>
          <cell r="G888">
            <v>0</v>
          </cell>
          <cell r="K888">
            <v>0</v>
          </cell>
        </row>
        <row r="889">
          <cell r="C889">
            <v>23509880</v>
          </cell>
          <cell r="D889" t="str">
            <v>GA00B538</v>
          </cell>
          <cell r="E889" t="str">
            <v>ISL.0680340000070 HDFC BANK LTD.</v>
          </cell>
          <cell r="F889" t="str">
            <v>ABANK</v>
          </cell>
          <cell r="G889">
            <v>0</v>
          </cell>
          <cell r="K889">
            <v>0</v>
          </cell>
        </row>
        <row r="890">
          <cell r="C890">
            <v>23509890</v>
          </cell>
          <cell r="D890" t="str">
            <v>GA00B568</v>
          </cell>
          <cell r="E890" t="str">
            <v>ISL.1092340000171 HDFC BANK LTD.</v>
          </cell>
          <cell r="F890" t="str">
            <v>ABANK</v>
          </cell>
          <cell r="G890">
            <v>0</v>
          </cell>
          <cell r="K890">
            <v>0</v>
          </cell>
        </row>
        <row r="891">
          <cell r="C891">
            <v>23509900</v>
          </cell>
          <cell r="D891" t="str">
            <v>GA00B562</v>
          </cell>
          <cell r="E891" t="str">
            <v>ISL.2670340000058 HDFC BANK LTD.</v>
          </cell>
          <cell r="F891" t="str">
            <v>ABANK</v>
          </cell>
          <cell r="G891">
            <v>0</v>
          </cell>
          <cell r="K891">
            <v>0</v>
          </cell>
        </row>
        <row r="892">
          <cell r="C892">
            <v>23509930</v>
          </cell>
          <cell r="D892" t="str">
            <v>GA00B555</v>
          </cell>
          <cell r="E892" t="str">
            <v>ISL.3942340000011 HDFC BANK LTD.</v>
          </cell>
          <cell r="F892" t="str">
            <v>ABANK</v>
          </cell>
          <cell r="G892">
            <v>0</v>
          </cell>
          <cell r="K892">
            <v>0</v>
          </cell>
        </row>
        <row r="893">
          <cell r="C893">
            <v>23509950</v>
          </cell>
          <cell r="D893" t="str">
            <v>GA00B573</v>
          </cell>
          <cell r="E893" t="str">
            <v>ISL.ADYAR CHENNAI HDFC BANK LTD 102340000053</v>
          </cell>
          <cell r="F893" t="str">
            <v>ABANK</v>
          </cell>
          <cell r="G893">
            <v>0</v>
          </cell>
          <cell r="K893">
            <v>0</v>
          </cell>
        </row>
        <row r="894">
          <cell r="C894">
            <v>23509970</v>
          </cell>
          <cell r="D894" t="str">
            <v>GA00B575</v>
          </cell>
          <cell r="E894" t="str">
            <v>ISL.ANNA-NAGAR  HDFC BANK LTD.</v>
          </cell>
          <cell r="F894" t="str">
            <v>ABANK</v>
          </cell>
          <cell r="G894">
            <v>0</v>
          </cell>
          <cell r="K894">
            <v>0</v>
          </cell>
        </row>
        <row r="895">
          <cell r="C895">
            <v>23509980</v>
          </cell>
          <cell r="D895" t="str">
            <v>GA00B578</v>
          </cell>
          <cell r="E895" t="str">
            <v>2152340000010 HDFC BANK LTD.</v>
          </cell>
          <cell r="F895" t="str">
            <v>ABANK</v>
          </cell>
          <cell r="G895">
            <v>0</v>
          </cell>
          <cell r="K895">
            <v>0</v>
          </cell>
        </row>
        <row r="896">
          <cell r="C896">
            <v>23510010</v>
          </cell>
          <cell r="D896" t="str">
            <v>GA00B558</v>
          </cell>
          <cell r="E896" t="str">
            <v>ISL.003034026502 HDFC BANK LTD.</v>
          </cell>
          <cell r="F896" t="str">
            <v>ABANK</v>
          </cell>
          <cell r="G896">
            <v>0</v>
          </cell>
          <cell r="K896">
            <v>0</v>
          </cell>
        </row>
        <row r="897">
          <cell r="C897">
            <v>23510020</v>
          </cell>
          <cell r="D897" t="str">
            <v>GA00B579</v>
          </cell>
          <cell r="E897" t="str">
            <v>ISL.INDIRA NAGAR HDFC BANK LTD.</v>
          </cell>
          <cell r="F897" t="str">
            <v>ABANK</v>
          </cell>
          <cell r="G897">
            <v>0</v>
          </cell>
          <cell r="K897">
            <v>0</v>
          </cell>
        </row>
        <row r="898">
          <cell r="C898">
            <v>23510030</v>
          </cell>
          <cell r="D898" t="str">
            <v>GA00B574</v>
          </cell>
          <cell r="E898" t="str">
            <v>ISL.KALYAN  HDFC BANK LTD.</v>
          </cell>
          <cell r="F898" t="str">
            <v>ABANK</v>
          </cell>
          <cell r="G898">
            <v>0</v>
          </cell>
          <cell r="K898">
            <v>0</v>
          </cell>
        </row>
        <row r="899">
          <cell r="C899">
            <v>23510040</v>
          </cell>
          <cell r="D899" t="str">
            <v>GA00B544</v>
          </cell>
          <cell r="E899" t="str">
            <v>ISL.KANNUR UTI BANK LTD-392010200000763</v>
          </cell>
          <cell r="F899" t="str">
            <v>ABANK</v>
          </cell>
          <cell r="G899">
            <v>0</v>
          </cell>
          <cell r="K899">
            <v>0</v>
          </cell>
        </row>
        <row r="900">
          <cell r="C900">
            <v>23510070</v>
          </cell>
          <cell r="D900" t="str">
            <v>GA00B557</v>
          </cell>
          <cell r="E900" t="str">
            <v>ISL.PALI HDFC BANK LTD.</v>
          </cell>
          <cell r="F900" t="str">
            <v>ABANK</v>
          </cell>
          <cell r="G900">
            <v>0</v>
          </cell>
          <cell r="K900">
            <v>0</v>
          </cell>
        </row>
        <row r="901">
          <cell r="C901">
            <v>23510300</v>
          </cell>
          <cell r="D901" t="str">
            <v>GA00B376</v>
          </cell>
          <cell r="E901" t="str">
            <v>ISL-BORIVALLI EAST-GA00B376</v>
          </cell>
          <cell r="F901" t="str">
            <v>ABANK</v>
          </cell>
          <cell r="G901">
            <v>0</v>
          </cell>
          <cell r="K901">
            <v>0</v>
          </cell>
        </row>
        <row r="902">
          <cell r="C902">
            <v>23510680</v>
          </cell>
          <cell r="E902" t="str">
            <v>3002340000072 HDFC BANK LTD BPNGRG</v>
          </cell>
          <cell r="F902" t="str">
            <v>ABANK</v>
          </cell>
          <cell r="G902">
            <v>0</v>
          </cell>
          <cell r="K902">
            <v>0</v>
          </cell>
        </row>
        <row r="903">
          <cell r="C903">
            <v>23510720</v>
          </cell>
          <cell r="E903" t="str">
            <v>HDFC Bank - MG Road Besant Nagar Chennai</v>
          </cell>
          <cell r="F903" t="str">
            <v>ABANK</v>
          </cell>
          <cell r="G903">
            <v>0</v>
          </cell>
          <cell r="K903">
            <v>0</v>
          </cell>
        </row>
        <row r="904">
          <cell r="C904">
            <v>23510740</v>
          </cell>
          <cell r="E904" t="str">
            <v>ICICI BANK A/C- 000705019794</v>
          </cell>
          <cell r="F904" t="str">
            <v>ABANK</v>
          </cell>
          <cell r="G904">
            <v>0</v>
          </cell>
          <cell r="K904">
            <v>0</v>
          </cell>
        </row>
        <row r="905">
          <cell r="C905">
            <v>23510810</v>
          </cell>
          <cell r="E905" t="str">
            <v>HDFC Bank  - New - Mulund West  0152340000127</v>
          </cell>
          <cell r="F905" t="str">
            <v>ABANK</v>
          </cell>
          <cell r="G905">
            <v>0</v>
          </cell>
          <cell r="K905">
            <v>0</v>
          </cell>
        </row>
        <row r="906">
          <cell r="C906">
            <v>23511080</v>
          </cell>
          <cell r="E906" t="str">
            <v>HDFC BANK LTD. 1660340000493</v>
          </cell>
          <cell r="F906" t="str">
            <v>ABANK</v>
          </cell>
          <cell r="G906">
            <v>0</v>
          </cell>
          <cell r="K906">
            <v>0</v>
          </cell>
        </row>
        <row r="907">
          <cell r="C907">
            <v>23511360</v>
          </cell>
          <cell r="E907" t="str">
            <v>HDFC Bank 7860340000012 Nimbaheda</v>
          </cell>
          <cell r="F907" t="str">
            <v>ABANK</v>
          </cell>
          <cell r="G907">
            <v>0</v>
          </cell>
          <cell r="K907">
            <v>0</v>
          </cell>
        </row>
        <row r="908">
          <cell r="C908">
            <v>23512490</v>
          </cell>
          <cell r="E908" t="str">
            <v>UTI BANK (49799)</v>
          </cell>
          <cell r="F908" t="str">
            <v>ABANK</v>
          </cell>
          <cell r="G908">
            <v>0</v>
          </cell>
          <cell r="K908">
            <v>0</v>
          </cell>
        </row>
        <row r="909">
          <cell r="C909">
            <v>24532090</v>
          </cell>
          <cell r="E909" t="str">
            <v>HDFC BANK Sec-31 Gurgaon - 0440340000261</v>
          </cell>
          <cell r="F909" t="str">
            <v>ABANK</v>
          </cell>
          <cell r="G909">
            <v>0</v>
          </cell>
          <cell r="K909">
            <v>0</v>
          </cell>
        </row>
        <row r="910">
          <cell r="C910">
            <v>24532100</v>
          </cell>
          <cell r="E910" t="str">
            <v>HDFC BANK Sec-22 Gurgaon - 0440340000244</v>
          </cell>
          <cell r="F910" t="str">
            <v>ABANK</v>
          </cell>
          <cell r="G910">
            <v>0</v>
          </cell>
          <cell r="K910">
            <v>0</v>
          </cell>
        </row>
        <row r="911">
          <cell r="C911">
            <v>24532120</v>
          </cell>
          <cell r="E911" t="str">
            <v>HDFC BANK Manesar - 5890340000019</v>
          </cell>
          <cell r="F911" t="str">
            <v>ABANK</v>
          </cell>
          <cell r="G911">
            <v>0</v>
          </cell>
          <cell r="K911">
            <v>0</v>
          </cell>
        </row>
        <row r="912">
          <cell r="C912">
            <v>24532150</v>
          </cell>
          <cell r="E912" t="str">
            <v>Pali Thane(w) HDFC Bank ltd</v>
          </cell>
          <cell r="F912" t="str">
            <v>ABANK</v>
          </cell>
          <cell r="G912">
            <v>0</v>
          </cell>
          <cell r="K912">
            <v>0</v>
          </cell>
        </row>
        <row r="913">
          <cell r="C913">
            <v>24532340</v>
          </cell>
          <cell r="E913" t="str">
            <v>2892340000043 HDFC BANK LTD.- ISL,JAIPUR</v>
          </cell>
          <cell r="F913" t="str">
            <v>ABANK</v>
          </cell>
          <cell r="G913">
            <v>0</v>
          </cell>
          <cell r="K913">
            <v>0</v>
          </cell>
        </row>
        <row r="914">
          <cell r="C914">
            <v>23504880</v>
          </cell>
          <cell r="D914" t="str">
            <v>GA00B455</v>
          </cell>
          <cell r="E914" t="str">
            <v>2430340000057 Hdfc Bank Ltd.(CLOSED)</v>
          </cell>
          <cell r="F914" t="str">
            <v>ABANK</v>
          </cell>
          <cell r="G914">
            <v>0</v>
          </cell>
          <cell r="K914">
            <v>0</v>
          </cell>
        </row>
        <row r="915">
          <cell r="C915">
            <v>23502770</v>
          </cell>
          <cell r="D915" t="str">
            <v>GA00B195</v>
          </cell>
          <cell r="E915" t="str">
            <v>0070340000610 Hdfc Bank(CLOSED)</v>
          </cell>
          <cell r="F915" t="str">
            <v>ABANK</v>
          </cell>
          <cell r="G915">
            <v>0</v>
          </cell>
          <cell r="K915">
            <v>0</v>
          </cell>
        </row>
        <row r="916">
          <cell r="C916">
            <v>23501190</v>
          </cell>
          <cell r="D916" t="str">
            <v>GA00B302</v>
          </cell>
          <cell r="E916" t="str">
            <v>4402340000066 Hdfc Bank Ltd. (Closed)</v>
          </cell>
          <cell r="F916" t="str">
            <v>ABANK</v>
          </cell>
          <cell r="G916">
            <v>0</v>
          </cell>
          <cell r="K916">
            <v>0</v>
          </cell>
        </row>
        <row r="917">
          <cell r="C917">
            <v>23504930</v>
          </cell>
          <cell r="D917" t="str">
            <v>GA00B346</v>
          </cell>
          <cell r="E917" t="str">
            <v>0392340000076  Hdfc Bank Ltd. (Closed)</v>
          </cell>
          <cell r="F917" t="str">
            <v>ABANK</v>
          </cell>
          <cell r="G917">
            <v>0</v>
          </cell>
          <cell r="K917">
            <v>0</v>
          </cell>
        </row>
        <row r="918">
          <cell r="C918">
            <v>23510000</v>
          </cell>
          <cell r="D918" t="str">
            <v>GA00B577</v>
          </cell>
          <cell r="E918" t="str">
            <v>ISL.GEORGE TOWN HDFC BANK1660340000432(CLOSED)</v>
          </cell>
          <cell r="F918" t="str">
            <v>ABANK</v>
          </cell>
          <cell r="G918">
            <v>0</v>
          </cell>
          <cell r="K918">
            <v>0</v>
          </cell>
        </row>
        <row r="919">
          <cell r="C919">
            <v>23500530</v>
          </cell>
          <cell r="D919" t="str">
            <v>GA00B134</v>
          </cell>
          <cell r="E919" t="str">
            <v>1182340000091 Hdfc Bank (Closed)</v>
          </cell>
          <cell r="F919" t="str">
            <v>ABANK</v>
          </cell>
          <cell r="G919">
            <v>0</v>
          </cell>
          <cell r="K919">
            <v>0</v>
          </cell>
        </row>
        <row r="920">
          <cell r="C920">
            <v>23501050</v>
          </cell>
          <cell r="D920" t="str">
            <v>GA00B270</v>
          </cell>
          <cell r="E920" t="str">
            <v>2782340000018 Hdfc Bank (Closed)</v>
          </cell>
          <cell r="F920" t="str">
            <v>ABANK</v>
          </cell>
          <cell r="G920">
            <v>0</v>
          </cell>
          <cell r="K920">
            <v>0</v>
          </cell>
        </row>
        <row r="921">
          <cell r="C921">
            <v>23510640</v>
          </cell>
          <cell r="E921" t="str">
            <v>HDFC BANK -CIVILLINE KANPUR1270340003969(CLOSED)</v>
          </cell>
          <cell r="F921" t="str">
            <v>ABANK</v>
          </cell>
          <cell r="G921">
            <v>0</v>
          </cell>
          <cell r="K921">
            <v>0</v>
          </cell>
        </row>
        <row r="922">
          <cell r="C922">
            <v>23501430</v>
          </cell>
          <cell r="D922" t="str">
            <v>GA00B189</v>
          </cell>
          <cell r="E922" t="str">
            <v>0670340000536 Hdfc Bank(CLOSED)</v>
          </cell>
          <cell r="F922" t="str">
            <v>ABANK</v>
          </cell>
          <cell r="G922">
            <v>0</v>
          </cell>
          <cell r="K922">
            <v>0</v>
          </cell>
        </row>
        <row r="923">
          <cell r="C923">
            <v>24532110</v>
          </cell>
          <cell r="E923" t="str">
            <v>HDFC BANK Galleria - 0440340000251(CLOSED)</v>
          </cell>
          <cell r="F923" t="str">
            <v>ABANK</v>
          </cell>
          <cell r="G923">
            <v>0</v>
          </cell>
          <cell r="K923">
            <v>0</v>
          </cell>
        </row>
        <row r="924">
          <cell r="C924">
            <v>23503600</v>
          </cell>
          <cell r="D924" t="str">
            <v>GA00B300</v>
          </cell>
          <cell r="E924" t="str">
            <v>2190340000011  Hdfc Bank Ltd(CLOSED)</v>
          </cell>
          <cell r="F924" t="str">
            <v>ABANK</v>
          </cell>
          <cell r="G924">
            <v>0</v>
          </cell>
          <cell r="K924">
            <v>0</v>
          </cell>
        </row>
        <row r="925">
          <cell r="C925">
            <v>23501880</v>
          </cell>
          <cell r="D925" t="str">
            <v>GA00B277</v>
          </cell>
          <cell r="E925" t="str">
            <v xml:space="preserve"> 0210340003206  Hdfc Bank Ltd</v>
          </cell>
          <cell r="F925" t="str">
            <v>ABANK</v>
          </cell>
          <cell r="G925">
            <v>0</v>
          </cell>
          <cell r="K925">
            <v>0</v>
          </cell>
        </row>
        <row r="926">
          <cell r="C926">
            <v>23504470</v>
          </cell>
          <cell r="D926" t="str">
            <v>GA00B409</v>
          </cell>
          <cell r="E926" t="str">
            <v>1592340000066 Hdfc Bank Ltd. (Closed)</v>
          </cell>
          <cell r="F926" t="str">
            <v>ABANK</v>
          </cell>
          <cell r="G926">
            <v>0</v>
          </cell>
          <cell r="K926">
            <v>0</v>
          </cell>
        </row>
        <row r="927">
          <cell r="C927">
            <v>23502430</v>
          </cell>
          <cell r="D927" t="str">
            <v>GA00B352</v>
          </cell>
          <cell r="E927" t="str">
            <v>2892340000026 Hdfc Bank Lid (Closed)</v>
          </cell>
          <cell r="F927" t="str">
            <v>ABANK</v>
          </cell>
          <cell r="G927">
            <v>0</v>
          </cell>
          <cell r="K927">
            <v>0</v>
          </cell>
        </row>
        <row r="928">
          <cell r="C928">
            <v>23502510</v>
          </cell>
          <cell r="D928" t="str">
            <v>GA00B362</v>
          </cell>
          <cell r="E928" t="str">
            <v xml:space="preserve"> 0412340000021 Hdfc Ank Ltd (Closed)</v>
          </cell>
          <cell r="F928" t="str">
            <v>ABANK</v>
          </cell>
          <cell r="G928">
            <v>0</v>
          </cell>
          <cell r="K928">
            <v>0</v>
          </cell>
        </row>
        <row r="929">
          <cell r="C929">
            <v>23500590</v>
          </cell>
          <cell r="D929" t="str">
            <v>GA00B248</v>
          </cell>
          <cell r="E929" t="str">
            <v>0522340000019  Hdfc Bank Ltd (Closed)</v>
          </cell>
          <cell r="F929" t="str">
            <v>ABANK</v>
          </cell>
          <cell r="G929">
            <v>0</v>
          </cell>
          <cell r="K929">
            <v>0</v>
          </cell>
        </row>
        <row r="930">
          <cell r="C930">
            <v>23503050</v>
          </cell>
          <cell r="D930" t="str">
            <v>GA00B246</v>
          </cell>
          <cell r="E930" t="str">
            <v>4000340000018  Hdfc Bank Ltd(CLOSED)</v>
          </cell>
          <cell r="F930" t="str">
            <v>ABANK</v>
          </cell>
          <cell r="G930">
            <v>0</v>
          </cell>
          <cell r="K930">
            <v>0</v>
          </cell>
        </row>
        <row r="931">
          <cell r="C931">
            <v>23520520</v>
          </cell>
          <cell r="E931" t="str">
            <v>2850340000146 -HDFC ISL(CLOCKED)</v>
          </cell>
          <cell r="F931" t="str">
            <v>ABANK</v>
          </cell>
          <cell r="G931">
            <v>0</v>
          </cell>
          <cell r="K931">
            <v>0</v>
          </cell>
        </row>
        <row r="932">
          <cell r="C932">
            <v>23502230</v>
          </cell>
          <cell r="D932" t="str">
            <v>GA00B435</v>
          </cell>
          <cell r="E932" t="str">
            <v>4860340000013 Hdfc Bank Ltd.(CLOSED)</v>
          </cell>
          <cell r="F932" t="str">
            <v>ABANK</v>
          </cell>
          <cell r="G932">
            <v>0</v>
          </cell>
          <cell r="K932">
            <v>0</v>
          </cell>
        </row>
        <row r="933">
          <cell r="C933">
            <v>23502120</v>
          </cell>
          <cell r="D933" t="str">
            <v>GA00B517</v>
          </cell>
          <cell r="E933" t="str">
            <v>0540340003014 Hdfc Bank Ltd.(CLOSED)</v>
          </cell>
          <cell r="F933" t="str">
            <v>ABANK</v>
          </cell>
          <cell r="G933">
            <v>0</v>
          </cell>
          <cell r="K933">
            <v>0</v>
          </cell>
        </row>
        <row r="934">
          <cell r="C934">
            <v>23503900</v>
          </cell>
          <cell r="D934" t="str">
            <v>GA00B342</v>
          </cell>
          <cell r="E934" t="str">
            <v>1910340000067 Hdfc Bank Ltd.(CLOCKED)</v>
          </cell>
          <cell r="F934" t="str">
            <v>ABANK</v>
          </cell>
          <cell r="G934">
            <v>0</v>
          </cell>
          <cell r="K934">
            <v>0</v>
          </cell>
        </row>
        <row r="935">
          <cell r="C935">
            <v>23503820</v>
          </cell>
          <cell r="D935" t="str">
            <v>GA00B239</v>
          </cell>
          <cell r="E935" t="str">
            <v>2840340000118 Hdfc Bank Ltd(CLOSED)</v>
          </cell>
          <cell r="F935" t="str">
            <v>ABANK</v>
          </cell>
          <cell r="G935">
            <v>0</v>
          </cell>
          <cell r="K935">
            <v>0</v>
          </cell>
        </row>
        <row r="936">
          <cell r="C936">
            <v>23502250</v>
          </cell>
          <cell r="D936" t="str">
            <v>GA00B482</v>
          </cell>
          <cell r="E936" t="str">
            <v>0930340000066 Hdfc Bank(CLOSED)</v>
          </cell>
          <cell r="F936" t="str">
            <v>ABANK</v>
          </cell>
          <cell r="G936">
            <v>0</v>
          </cell>
          <cell r="K936">
            <v>0</v>
          </cell>
        </row>
        <row r="937">
          <cell r="C937">
            <v>23501010</v>
          </cell>
          <cell r="D937" t="str">
            <v>GA00B169</v>
          </cell>
          <cell r="E937" t="str">
            <v>2530340000010 Hdfc Bank(CLOCKED)</v>
          </cell>
          <cell r="F937" t="str">
            <v>ABANK</v>
          </cell>
          <cell r="G937">
            <v>0</v>
          </cell>
          <cell r="K937">
            <v>0</v>
          </cell>
        </row>
        <row r="938">
          <cell r="C938">
            <v>23504630</v>
          </cell>
          <cell r="D938" t="str">
            <v>GA00B432</v>
          </cell>
          <cell r="E938" t="str">
            <v>0472340000209  Hdfc Bank Ltd. (Closed)</v>
          </cell>
          <cell r="F938" t="str">
            <v>ABANK</v>
          </cell>
          <cell r="G938">
            <v>0</v>
          </cell>
          <cell r="K938">
            <v>0</v>
          </cell>
        </row>
        <row r="939">
          <cell r="C939">
            <v>23505180</v>
          </cell>
          <cell r="D939" t="str">
            <v>GA00B421</v>
          </cell>
          <cell r="E939" t="str">
            <v>1292340000210 Hdfc Bank Ltd. (Closed)</v>
          </cell>
          <cell r="F939" t="str">
            <v>ABANK</v>
          </cell>
          <cell r="G939">
            <v>0</v>
          </cell>
          <cell r="K939">
            <v>0</v>
          </cell>
        </row>
        <row r="940">
          <cell r="C940">
            <v>23504770</v>
          </cell>
          <cell r="D940" t="str">
            <v>GA00B475</v>
          </cell>
          <cell r="E940" t="str">
            <v>4112340000039 Hdfc Bank Ltd.</v>
          </cell>
          <cell r="F940" t="str">
            <v>ABANK</v>
          </cell>
          <cell r="G940">
            <v>0</v>
          </cell>
          <cell r="K940">
            <v>0</v>
          </cell>
        </row>
        <row r="941">
          <cell r="C941">
            <v>23501800</v>
          </cell>
          <cell r="D941" t="str">
            <v>GA00B176</v>
          </cell>
          <cell r="E941" t="str">
            <v>0210340002379 Hdfc Bank (Closed)</v>
          </cell>
          <cell r="F941" t="str">
            <v>ABANK</v>
          </cell>
          <cell r="G941">
            <v>0</v>
          </cell>
          <cell r="K941">
            <v>0</v>
          </cell>
        </row>
        <row r="942">
          <cell r="C942">
            <v>23501280</v>
          </cell>
          <cell r="D942" t="str">
            <v>GA00B181</v>
          </cell>
          <cell r="E942" t="str">
            <v>0402340000044 Hdfc Bank ( CLOSED)</v>
          </cell>
          <cell r="F942" t="str">
            <v>ABANK</v>
          </cell>
          <cell r="G942">
            <v>0</v>
          </cell>
          <cell r="K942">
            <v>0</v>
          </cell>
        </row>
        <row r="943">
          <cell r="C943">
            <v>23501090</v>
          </cell>
          <cell r="D943" t="str">
            <v>GA00B294</v>
          </cell>
          <cell r="E943" t="str">
            <v>2872340000068 Hdfc Bank Ltd.(Closed)</v>
          </cell>
          <cell r="F943" t="str">
            <v>ABANK</v>
          </cell>
          <cell r="G943">
            <v>0</v>
          </cell>
          <cell r="K943">
            <v>0</v>
          </cell>
        </row>
        <row r="944">
          <cell r="C944">
            <v>23503360</v>
          </cell>
          <cell r="D944" t="str">
            <v>GA00B509</v>
          </cell>
          <cell r="E944" t="str">
            <v>Client A/C-  Idbi Bank</v>
          </cell>
          <cell r="F944" t="str">
            <v>ABANK</v>
          </cell>
          <cell r="G944">
            <v>0</v>
          </cell>
          <cell r="K944">
            <v>0</v>
          </cell>
        </row>
        <row r="945">
          <cell r="C945">
            <v>23509830</v>
          </cell>
          <cell r="D945" t="str">
            <v>GA00B556</v>
          </cell>
          <cell r="E945" t="str">
            <v>ISL -VILE PARLE HDFC BANK LTD.(CLOSED)</v>
          </cell>
          <cell r="F945" t="str">
            <v>ABANK</v>
          </cell>
          <cell r="G945">
            <v>0</v>
          </cell>
          <cell r="K945">
            <v>0</v>
          </cell>
        </row>
        <row r="946">
          <cell r="C946">
            <v>23510060</v>
          </cell>
          <cell r="D946" t="str">
            <v>GA00B576</v>
          </cell>
          <cell r="E946" t="str">
            <v>ISL.NUMGAMBAKKAM  HDFC BANK LTD.</v>
          </cell>
          <cell r="F946" t="str">
            <v>ABANK</v>
          </cell>
          <cell r="G946">
            <v>0</v>
          </cell>
          <cell r="K946">
            <v>0</v>
          </cell>
        </row>
        <row r="947">
          <cell r="C947">
            <v>23511200</v>
          </cell>
          <cell r="E947" t="str">
            <v>Axis bank - 392010200001861</v>
          </cell>
          <cell r="F947" t="str">
            <v>ABANK</v>
          </cell>
          <cell r="G947">
            <v>0</v>
          </cell>
          <cell r="K947">
            <v>0</v>
          </cell>
        </row>
        <row r="948">
          <cell r="C948">
            <v>24532080</v>
          </cell>
          <cell r="E948" t="str">
            <v>HDFC BANK DLF Phase-I Gurgaon</v>
          </cell>
          <cell r="F948" t="str">
            <v>ABANK</v>
          </cell>
          <cell r="G948">
            <v>0</v>
          </cell>
          <cell r="K948">
            <v>0</v>
          </cell>
        </row>
        <row r="949">
          <cell r="C949">
            <v>23504660</v>
          </cell>
          <cell r="D949" t="str">
            <v>GA00B533</v>
          </cell>
          <cell r="E949" t="str">
            <v>Rajkot Hdfc Bank Ltd.(CLOSED)</v>
          </cell>
          <cell r="F949" t="str">
            <v>ABANK</v>
          </cell>
          <cell r="G949">
            <v>0</v>
          </cell>
          <cell r="K949">
            <v>0</v>
          </cell>
        </row>
        <row r="950">
          <cell r="C950">
            <v>23501990</v>
          </cell>
          <cell r="D950" t="str">
            <v>GA00B315</v>
          </cell>
          <cell r="E950" t="str">
            <v>3982340000015  Hdfc Bank Ltd.( Closed)</v>
          </cell>
          <cell r="F950" t="str">
            <v>ABANK</v>
          </cell>
          <cell r="G950">
            <v>0</v>
          </cell>
          <cell r="K950">
            <v>0</v>
          </cell>
        </row>
        <row r="951">
          <cell r="C951">
            <v>23505010</v>
          </cell>
          <cell r="D951" t="str">
            <v>GA00B395</v>
          </cell>
          <cell r="E951" t="str">
            <v>Indiabulls Securities Ltd. A/c No. 05452340000013</v>
          </cell>
          <cell r="F951" t="str">
            <v>ABANK</v>
          </cell>
          <cell r="G951">
            <v>48473.43</v>
          </cell>
          <cell r="K951">
            <v>48473.43</v>
          </cell>
        </row>
        <row r="952">
          <cell r="C952">
            <v>23505160</v>
          </cell>
          <cell r="D952" t="str">
            <v>GA00B419</v>
          </cell>
          <cell r="E952" t="str">
            <v>2732340000064 Hdfc Bank Ltd.</v>
          </cell>
          <cell r="F952" t="str">
            <v>ABANK</v>
          </cell>
          <cell r="G952">
            <v>608.07000000000005</v>
          </cell>
          <cell r="K952">
            <v>608.07000000000005</v>
          </cell>
        </row>
        <row r="953">
          <cell r="C953">
            <v>23509350</v>
          </cell>
          <cell r="E953" t="str">
            <v>0172340000026 HDFC -ISL Blocked</v>
          </cell>
          <cell r="F953" t="str">
            <v>ABANK</v>
          </cell>
          <cell r="G953">
            <v>0</v>
          </cell>
          <cell r="K953">
            <v>0</v>
          </cell>
        </row>
        <row r="954">
          <cell r="C954">
            <v>23509998</v>
          </cell>
          <cell r="E954" t="str">
            <v>HDFC Bank Ltd. GRGS14 Online 0440340000285</v>
          </cell>
          <cell r="F954" t="str">
            <v>ABANK</v>
          </cell>
          <cell r="G954">
            <v>34721.599999999999</v>
          </cell>
          <cell r="K954">
            <v>34721.599999999999</v>
          </cell>
        </row>
        <row r="955">
          <cell r="C955">
            <v>23500560</v>
          </cell>
          <cell r="D955" t="str">
            <v>GA00B185</v>
          </cell>
          <cell r="E955" t="str">
            <v>0030340018472-HDFC ISL</v>
          </cell>
          <cell r="F955" t="str">
            <v>ABANK</v>
          </cell>
          <cell r="G955">
            <v>-4474173.18</v>
          </cell>
          <cell r="K955">
            <v>-4474173.18</v>
          </cell>
        </row>
        <row r="956">
          <cell r="C956">
            <v>23502780</v>
          </cell>
          <cell r="D956" t="str">
            <v>GA00B3</v>
          </cell>
          <cell r="E956" t="str">
            <v>Hdfc Bank  A/C 0030340000640 (Old No. 08)</v>
          </cell>
          <cell r="F956" t="str">
            <v>ABANK</v>
          </cell>
          <cell r="G956">
            <v>-88158647.019999996</v>
          </cell>
          <cell r="K956">
            <v>-88158647.019999996</v>
          </cell>
        </row>
        <row r="957">
          <cell r="C957">
            <v>23512491</v>
          </cell>
          <cell r="E957" t="str">
            <v>ISL A/c No. 00070340001542 HDFC Bank Ltd.</v>
          </cell>
          <cell r="F957" t="str">
            <v>ABANK</v>
          </cell>
          <cell r="G957">
            <v>4970</v>
          </cell>
          <cell r="K957">
            <v>4970</v>
          </cell>
        </row>
        <row r="958">
          <cell r="C958">
            <v>23520036</v>
          </cell>
          <cell r="E958" t="str">
            <v>ISL A/c No. 00080340032912 HDFC Bank Ltd.</v>
          </cell>
          <cell r="F958" t="str">
            <v>ABANK</v>
          </cell>
          <cell r="G958">
            <v>24624</v>
          </cell>
          <cell r="K958">
            <v>24624</v>
          </cell>
        </row>
        <row r="959">
          <cell r="C959">
            <v>23500680</v>
          </cell>
          <cell r="E959" t="str">
            <v>0670340000484 Hdfc Bank</v>
          </cell>
          <cell r="F959" t="str">
            <v>ABANK</v>
          </cell>
          <cell r="G959">
            <v>0</v>
          </cell>
          <cell r="K959">
            <v>0</v>
          </cell>
        </row>
        <row r="960">
          <cell r="C960">
            <v>23500850</v>
          </cell>
          <cell r="D960" t="str">
            <v>GA00B263</v>
          </cell>
          <cell r="E960" t="str">
            <v>2062340000085  Hdfc Bank Ltd</v>
          </cell>
          <cell r="F960" t="str">
            <v>ABANK</v>
          </cell>
          <cell r="G960">
            <v>0</v>
          </cell>
          <cell r="K960">
            <v>0</v>
          </cell>
        </row>
        <row r="961">
          <cell r="C961">
            <v>23502730</v>
          </cell>
          <cell r="D961" t="str">
            <v>GA00B360</v>
          </cell>
          <cell r="E961" t="str">
            <v>5512340000013 Hdfc Bank Ltd</v>
          </cell>
          <cell r="F961" t="str">
            <v>ABANK</v>
          </cell>
          <cell r="G961">
            <v>25750.32</v>
          </cell>
          <cell r="K961">
            <v>25750.32</v>
          </cell>
        </row>
        <row r="962">
          <cell r="C962">
            <v>23504690</v>
          </cell>
          <cell r="E962" t="str">
            <v>276010200006514 Uti Bank Ltd.</v>
          </cell>
          <cell r="F962" t="str">
            <v>ABANK</v>
          </cell>
          <cell r="G962">
            <v>0</v>
          </cell>
          <cell r="K962">
            <v>0</v>
          </cell>
        </row>
        <row r="963">
          <cell r="C963">
            <v>23509920</v>
          </cell>
          <cell r="D963" t="str">
            <v>GA00B553</v>
          </cell>
          <cell r="E963" t="str">
            <v>ISL.392010200000806 UTI BANK LTD.</v>
          </cell>
          <cell r="F963" t="str">
            <v>ABANK</v>
          </cell>
          <cell r="G963">
            <v>0</v>
          </cell>
          <cell r="K963">
            <v>0</v>
          </cell>
        </row>
        <row r="964">
          <cell r="C964">
            <v>23504320</v>
          </cell>
          <cell r="D964" t="str">
            <v>GA00B512</v>
          </cell>
          <cell r="E964" t="str">
            <v>0081002100015824 Pnb</v>
          </cell>
          <cell r="F964" t="str">
            <v>ABANK</v>
          </cell>
          <cell r="G964">
            <v>0</v>
          </cell>
          <cell r="K964">
            <v>0</v>
          </cell>
        </row>
        <row r="965">
          <cell r="C965">
            <v>23502590</v>
          </cell>
          <cell r="D965" t="str">
            <v>GA00B188</v>
          </cell>
          <cell r="E965" t="str">
            <v>1202340000382 Hdfc Bank</v>
          </cell>
          <cell r="F965" t="str">
            <v>ABANK</v>
          </cell>
          <cell r="G965">
            <v>22558.95</v>
          </cell>
          <cell r="K965">
            <v>22558.95</v>
          </cell>
        </row>
        <row r="966">
          <cell r="C966">
            <v>23504080</v>
          </cell>
          <cell r="D966" t="str">
            <v>GA00B459</v>
          </cell>
          <cell r="E966" t="str">
            <v>5462340000014 Hdfc Bank Ltd.</v>
          </cell>
          <cell r="F966" t="str">
            <v>ABANK</v>
          </cell>
          <cell r="G966">
            <v>108194.25</v>
          </cell>
          <cell r="K966">
            <v>108194.25</v>
          </cell>
        </row>
        <row r="967">
          <cell r="C967">
            <v>24532050</v>
          </cell>
          <cell r="E967" t="str">
            <v>CITI BANK A/C NO 325250046.</v>
          </cell>
          <cell r="F967" t="str">
            <v>ABANK</v>
          </cell>
          <cell r="G967">
            <v>36398.06</v>
          </cell>
          <cell r="K967">
            <v>36398.06</v>
          </cell>
        </row>
        <row r="968">
          <cell r="C968">
            <v>23500470</v>
          </cell>
          <cell r="D968" t="str">
            <v xml:space="preserve">GA00B39 </v>
          </cell>
          <cell r="E968" t="str">
            <v>ISL -ICICI-HO -000705001615</v>
          </cell>
          <cell r="F968" t="str">
            <v>ABANK</v>
          </cell>
          <cell r="G968">
            <v>481347.22</v>
          </cell>
          <cell r="K968">
            <v>481347.22</v>
          </cell>
        </row>
        <row r="969">
          <cell r="C969">
            <v>23502930</v>
          </cell>
          <cell r="D969" t="str">
            <v>GA00B75</v>
          </cell>
          <cell r="E969" t="str">
            <v>Hdfc (Wdm00030340000667)</v>
          </cell>
          <cell r="F969" t="str">
            <v>ABANK</v>
          </cell>
          <cell r="G969">
            <v>-193971467.63999999</v>
          </cell>
          <cell r="K969">
            <v>-193971467.63999999</v>
          </cell>
        </row>
        <row r="970">
          <cell r="C970">
            <v>23520073</v>
          </cell>
          <cell r="E970" t="str">
            <v>HDFC Bank Ltd. A/C (Ranchi ON)-ISL</v>
          </cell>
          <cell r="F970" t="str">
            <v>ABANK</v>
          </cell>
          <cell r="G970">
            <v>69974.899999999994</v>
          </cell>
          <cell r="K970">
            <v>69974.899999999994</v>
          </cell>
        </row>
        <row r="971">
          <cell r="C971">
            <v>23515070</v>
          </cell>
          <cell r="E971" t="str">
            <v>ISL-HDFC Bank Ltd. A/C (DEL-GTB ON)</v>
          </cell>
          <cell r="F971" t="str">
            <v>ABANK</v>
          </cell>
          <cell r="G971">
            <v>10000</v>
          </cell>
          <cell r="K971">
            <v>10000</v>
          </cell>
        </row>
        <row r="972">
          <cell r="C972">
            <v>23515080</v>
          </cell>
          <cell r="E972" t="str">
            <v>ISL-HDFC Bank Ltd. A/C (DEL-KBPR OFF)</v>
          </cell>
          <cell r="F972" t="str">
            <v>ABANK</v>
          </cell>
          <cell r="G972">
            <v>10000</v>
          </cell>
          <cell r="K972">
            <v>10000</v>
          </cell>
        </row>
        <row r="974">
          <cell r="C974">
            <v>23505430</v>
          </cell>
          <cell r="D974" t="str">
            <v>GA00B82</v>
          </cell>
          <cell r="E974" t="str">
            <v>Hdfc Bank Ltd.</v>
          </cell>
          <cell r="F974" t="str">
            <v>ABANKC</v>
          </cell>
          <cell r="G974">
            <v>-22562274.800000001</v>
          </cell>
          <cell r="K974">
            <v>-22562274.800000001</v>
          </cell>
        </row>
        <row r="975">
          <cell r="C975">
            <v>23500190</v>
          </cell>
          <cell r="D975" t="str">
            <v>GA00B5</v>
          </cell>
          <cell r="E975" t="str">
            <v>Icici Bank  &lt;Delhi&gt; 05/22 705000229</v>
          </cell>
          <cell r="F975" t="str">
            <v>ABANKC</v>
          </cell>
          <cell r="G975">
            <v>-20921881.809999999</v>
          </cell>
          <cell r="K975">
            <v>-20921881.809999999</v>
          </cell>
        </row>
        <row r="976">
          <cell r="C976">
            <v>23505320</v>
          </cell>
          <cell r="D976" t="str">
            <v>GA00B740</v>
          </cell>
          <cell r="E976" t="str">
            <v>Hdfc Bank - 0030340020740</v>
          </cell>
          <cell r="F976" t="str">
            <v>ABANKC</v>
          </cell>
          <cell r="G976">
            <v>-21267172.57</v>
          </cell>
          <cell r="K976">
            <v>-21267172.57</v>
          </cell>
        </row>
        <row r="977">
          <cell r="C977">
            <v>23505420</v>
          </cell>
          <cell r="D977" t="str">
            <v>GA00B7</v>
          </cell>
          <cell r="E977" t="str">
            <v>0032340000015 HDFC ISL CLIENT A/C</v>
          </cell>
          <cell r="F977" t="str">
            <v>ABANKC</v>
          </cell>
          <cell r="G977">
            <v>21182232.09</v>
          </cell>
          <cell r="K977">
            <v>21182232.09</v>
          </cell>
        </row>
        <row r="978">
          <cell r="C978">
            <v>23505290</v>
          </cell>
          <cell r="D978" t="str">
            <v>GA00B80</v>
          </cell>
          <cell r="E978" t="str">
            <v>Icici Bank Delhi 705001648</v>
          </cell>
          <cell r="F978" t="str">
            <v>ABANKC</v>
          </cell>
          <cell r="G978">
            <v>0</v>
          </cell>
          <cell r="K978">
            <v>0</v>
          </cell>
        </row>
        <row r="979">
          <cell r="C979">
            <v>23505220</v>
          </cell>
          <cell r="D979" t="str">
            <v>GA00B14</v>
          </cell>
          <cell r="E979" t="str">
            <v>Uti Bank (Mumbai) 28010200002781</v>
          </cell>
          <cell r="F979" t="str">
            <v>ABANKC</v>
          </cell>
          <cell r="G979">
            <v>0</v>
          </cell>
          <cell r="K979">
            <v>0</v>
          </cell>
        </row>
        <row r="980">
          <cell r="C980">
            <v>23505450</v>
          </cell>
          <cell r="D980" t="str">
            <v>GA00B03</v>
          </cell>
          <cell r="E980" t="str">
            <v>Citi Bank 325250003</v>
          </cell>
          <cell r="F980" t="str">
            <v>ABANKC</v>
          </cell>
          <cell r="G980">
            <v>-2863477.28</v>
          </cell>
          <cell r="K980">
            <v>-2863477.28</v>
          </cell>
        </row>
        <row r="981">
          <cell r="C981">
            <v>23501570</v>
          </cell>
          <cell r="D981" t="str">
            <v>GA0B5</v>
          </cell>
          <cell r="E981" t="str">
            <v>Hdfc Bank Ltd. - 0030340015511</v>
          </cell>
          <cell r="F981" t="str">
            <v>ABANKC</v>
          </cell>
          <cell r="G981">
            <v>-12771739.18</v>
          </cell>
          <cell r="K981">
            <v>-12771739.18</v>
          </cell>
        </row>
        <row r="982">
          <cell r="C982">
            <v>23511050</v>
          </cell>
          <cell r="D982" t="str">
            <v>GA00B598</v>
          </cell>
          <cell r="E982" t="str">
            <v>UTI Bank Gurgaon 392010200001687</v>
          </cell>
          <cell r="F982" t="str">
            <v>ABANKC</v>
          </cell>
          <cell r="G982">
            <v>1338563.05</v>
          </cell>
          <cell r="K982">
            <v>1338563.05</v>
          </cell>
        </row>
        <row r="983">
          <cell r="C983">
            <v>23505370</v>
          </cell>
          <cell r="D983" t="str">
            <v>GL1019</v>
          </cell>
          <cell r="E983" t="str">
            <v>0030130000080-HDFC ACCOUNT ISL</v>
          </cell>
          <cell r="F983" t="str">
            <v>ABANKC</v>
          </cell>
          <cell r="G983">
            <v>-26919703.949999999</v>
          </cell>
          <cell r="K983">
            <v>-26919703.949999999</v>
          </cell>
        </row>
        <row r="984">
          <cell r="C984">
            <v>23505270</v>
          </cell>
          <cell r="D984" t="str">
            <v>GA00B77</v>
          </cell>
          <cell r="E984" t="str">
            <v>Indusland Bank 5109794060</v>
          </cell>
          <cell r="F984" t="str">
            <v>ABANKC</v>
          </cell>
          <cell r="G984">
            <v>1803038.04</v>
          </cell>
          <cell r="K984">
            <v>1803038.04</v>
          </cell>
        </row>
        <row r="985">
          <cell r="C985">
            <v>23505210</v>
          </cell>
          <cell r="D985" t="str">
            <v>GA00B11</v>
          </cell>
          <cell r="E985" t="str">
            <v>Uti Bank (Delhi) 7010200009867</v>
          </cell>
          <cell r="F985" t="str">
            <v>ABANKC</v>
          </cell>
          <cell r="G985">
            <v>9907103.6199999992</v>
          </cell>
          <cell r="K985">
            <v>9907103.6199999992</v>
          </cell>
        </row>
        <row r="986">
          <cell r="C986">
            <v>23505190</v>
          </cell>
          <cell r="D986" t="str">
            <v>GA00B28</v>
          </cell>
          <cell r="E986" t="str">
            <v>Citi Bank (Delhi) 421751226</v>
          </cell>
          <cell r="F986" t="str">
            <v>ABANKC</v>
          </cell>
          <cell r="G986">
            <v>310031.49</v>
          </cell>
          <cell r="K986">
            <v>310031.49</v>
          </cell>
        </row>
        <row r="987">
          <cell r="C987">
            <v>23505300</v>
          </cell>
          <cell r="D987" t="str">
            <v>GA00B191</v>
          </cell>
          <cell r="E987" t="str">
            <v>Union Bank Of India - Client A/C 101917312</v>
          </cell>
          <cell r="F987" t="str">
            <v>ABANKC</v>
          </cell>
          <cell r="G987">
            <v>2243071.86</v>
          </cell>
          <cell r="K987">
            <v>2243071.86</v>
          </cell>
        </row>
        <row r="988">
          <cell r="C988">
            <v>23505440</v>
          </cell>
          <cell r="D988" t="str">
            <v>GA00B153</v>
          </cell>
          <cell r="E988" t="str">
            <v>Bank Of Rajasthan (113762)</v>
          </cell>
          <cell r="F988" t="str">
            <v>ABANKC</v>
          </cell>
          <cell r="G988">
            <v>1962235.86</v>
          </cell>
          <cell r="K988">
            <v>1962235.86</v>
          </cell>
        </row>
        <row r="989">
          <cell r="C989">
            <v>23505360</v>
          </cell>
          <cell r="D989" t="str">
            <v>GA00B250</v>
          </cell>
          <cell r="E989" t="str">
            <v>Pnb A/C No.   1988002100183894</v>
          </cell>
          <cell r="F989" t="str">
            <v>ABANKC</v>
          </cell>
          <cell r="G989">
            <v>350917.7</v>
          </cell>
          <cell r="K989">
            <v>350917.7</v>
          </cell>
        </row>
        <row r="990">
          <cell r="C990">
            <v>23505380</v>
          </cell>
          <cell r="D990" t="str">
            <v>GA00B10</v>
          </cell>
          <cell r="E990" t="str">
            <v>Standard Charter (Vasant) 523-0-513377-9</v>
          </cell>
          <cell r="F990" t="str">
            <v>ABANKC</v>
          </cell>
          <cell r="G990">
            <v>161520.79999999999</v>
          </cell>
          <cell r="K990">
            <v>161520.79999999999</v>
          </cell>
        </row>
        <row r="991">
          <cell r="C991">
            <v>23505260</v>
          </cell>
          <cell r="D991" t="str">
            <v>GA00B73</v>
          </cell>
          <cell r="E991" t="str">
            <v>Idbi 102000015075</v>
          </cell>
          <cell r="F991" t="str">
            <v>ABANKC</v>
          </cell>
          <cell r="G991">
            <v>1692568.71</v>
          </cell>
          <cell r="K991">
            <v>1692568.71</v>
          </cell>
        </row>
        <row r="992">
          <cell r="C992">
            <v>23505240</v>
          </cell>
          <cell r="D992" t="str">
            <v>GA00B71</v>
          </cell>
          <cell r="E992" t="str">
            <v>Abn Amro Bank- A/C 6518796</v>
          </cell>
          <cell r="F992" t="str">
            <v>ABANKC</v>
          </cell>
          <cell r="G992">
            <v>21342.49</v>
          </cell>
          <cell r="K992">
            <v>21342.49</v>
          </cell>
        </row>
        <row r="993">
          <cell r="C993">
            <v>23500270</v>
          </cell>
          <cell r="D993" t="str">
            <v>GA00B131</v>
          </cell>
          <cell r="E993" t="str">
            <v>Ing Vysya Bank 503011007955</v>
          </cell>
          <cell r="F993" t="str">
            <v>ABANKC</v>
          </cell>
          <cell r="G993">
            <v>1643596.52</v>
          </cell>
          <cell r="K993">
            <v>1643596.52</v>
          </cell>
        </row>
        <row r="994">
          <cell r="C994">
            <v>23505280</v>
          </cell>
          <cell r="D994" t="str">
            <v>GA00B146</v>
          </cell>
          <cell r="E994" t="str">
            <v>Karur Vysya Bank 410112700000020</v>
          </cell>
          <cell r="F994" t="str">
            <v>ABANKC</v>
          </cell>
          <cell r="G994">
            <v>1983882.65</v>
          </cell>
          <cell r="K994">
            <v>1983882.65</v>
          </cell>
        </row>
        <row r="995">
          <cell r="C995">
            <v>23505350</v>
          </cell>
          <cell r="D995" t="str">
            <v>GA00B183</v>
          </cell>
          <cell r="E995" t="str">
            <v>Syndicate Bank 90363050000067</v>
          </cell>
          <cell r="F995" t="str">
            <v>ABANKC</v>
          </cell>
          <cell r="G995">
            <v>1249998.72</v>
          </cell>
          <cell r="K995">
            <v>1249998.72</v>
          </cell>
        </row>
        <row r="996">
          <cell r="C996">
            <v>23505230</v>
          </cell>
          <cell r="D996" t="str">
            <v>GA00B109</v>
          </cell>
          <cell r="E996" t="str">
            <v>Hsbc 51895951001</v>
          </cell>
          <cell r="F996" t="str">
            <v>ABANKC</v>
          </cell>
          <cell r="G996">
            <v>1593534.42</v>
          </cell>
          <cell r="K996">
            <v>1593534.42</v>
          </cell>
        </row>
        <row r="997">
          <cell r="C997">
            <v>23505310</v>
          </cell>
          <cell r="D997" t="str">
            <v>GA00B67</v>
          </cell>
          <cell r="E997" t="str">
            <v>Bank Of Punjab Ltd 112099017 Blocked</v>
          </cell>
          <cell r="F997" t="str">
            <v>ABANKC</v>
          </cell>
          <cell r="G997">
            <v>0</v>
          </cell>
          <cell r="K997">
            <v>0</v>
          </cell>
        </row>
        <row r="998">
          <cell r="C998">
            <v>23511750</v>
          </cell>
          <cell r="D998" t="str">
            <v>GA00B603</v>
          </cell>
          <cell r="E998" t="str">
            <v>AXIS Bank 007010200049799</v>
          </cell>
          <cell r="F998" t="str">
            <v>ABANKC</v>
          </cell>
          <cell r="G998">
            <v>46149759.780000001</v>
          </cell>
          <cell r="K998">
            <v>46149759.780000001</v>
          </cell>
        </row>
        <row r="999">
          <cell r="C999">
            <v>23520890</v>
          </cell>
          <cell r="E999" t="str">
            <v>HDFC BANK '0030340025525</v>
          </cell>
          <cell r="F999" t="str">
            <v>ABANKC</v>
          </cell>
          <cell r="G999">
            <v>21710.34</v>
          </cell>
          <cell r="K999">
            <v>21710.34</v>
          </cell>
        </row>
        <row r="1000">
          <cell r="C1000">
            <v>23505250</v>
          </cell>
          <cell r="D1000" t="str">
            <v>GA00B84</v>
          </cell>
          <cell r="E1000" t="str">
            <v>Canara Bank (2309, Shimoga Branch Only)</v>
          </cell>
          <cell r="F1000" t="str">
            <v>ABANKC</v>
          </cell>
          <cell r="G1000">
            <v>648609.22</v>
          </cell>
          <cell r="K1000">
            <v>648609.22</v>
          </cell>
        </row>
        <row r="1001">
          <cell r="C1001">
            <v>23510510</v>
          </cell>
          <cell r="D1001" t="str">
            <v>GA00B507</v>
          </cell>
          <cell r="E1001" t="str">
            <v>ISL BANK OF INDIA(600320110000136)</v>
          </cell>
          <cell r="F1001" t="str">
            <v>ABANKC</v>
          </cell>
          <cell r="G1001">
            <v>276190</v>
          </cell>
          <cell r="K1001">
            <v>276190</v>
          </cell>
        </row>
        <row r="1002">
          <cell r="C1002">
            <v>23505330</v>
          </cell>
          <cell r="D1002" t="str">
            <v>GA00B164</v>
          </cell>
          <cell r="E1002" t="str">
            <v>Andhra Bank - 93286</v>
          </cell>
          <cell r="F1002" t="str">
            <v>ABANKC</v>
          </cell>
          <cell r="G1002">
            <v>579861.32999999996</v>
          </cell>
          <cell r="K1002">
            <v>579861.32999999996</v>
          </cell>
        </row>
        <row r="1003">
          <cell r="C1003">
            <v>23505460</v>
          </cell>
          <cell r="D1003" t="str">
            <v>GA00B265</v>
          </cell>
          <cell r="E1003" t="str">
            <v>Cenutrion Bank Of Punjab A/C No 0011422384061</v>
          </cell>
          <cell r="F1003" t="str">
            <v>ABANKC</v>
          </cell>
          <cell r="G1003">
            <v>78642.95</v>
          </cell>
          <cell r="K1003">
            <v>78642.95</v>
          </cell>
        </row>
        <row r="1004">
          <cell r="C1004">
            <v>23520860</v>
          </cell>
          <cell r="D1004" t="str">
            <v>GA00B606</v>
          </cell>
          <cell r="E1004" t="str">
            <v>00030340033633 (Client a\c)  HDFC BANK A/C</v>
          </cell>
          <cell r="F1004" t="str">
            <v>ABANKC</v>
          </cell>
          <cell r="G1004">
            <v>10000</v>
          </cell>
          <cell r="K1004">
            <v>10000</v>
          </cell>
        </row>
        <row r="1005">
          <cell r="C1005">
            <v>23501420</v>
          </cell>
          <cell r="D1005" t="str">
            <v>GA00B64</v>
          </cell>
          <cell r="E1005" t="str">
            <v>1010340000329 Hdfc Bank</v>
          </cell>
          <cell r="F1005" t="str">
            <v>ABANKC</v>
          </cell>
          <cell r="G1005">
            <v>43293.59</v>
          </cell>
          <cell r="K1005">
            <v>43293.59</v>
          </cell>
        </row>
        <row r="1006">
          <cell r="C1006">
            <v>23500630</v>
          </cell>
          <cell r="D1006" t="str">
            <v>GA00B101</v>
          </cell>
          <cell r="E1006" t="str">
            <v>Punjab National Bank (5148)</v>
          </cell>
          <cell r="F1006" t="str">
            <v>ABANKC</v>
          </cell>
          <cell r="G1006">
            <v>0</v>
          </cell>
          <cell r="K1006">
            <v>0</v>
          </cell>
        </row>
        <row r="1007">
          <cell r="C1007">
            <v>23505340</v>
          </cell>
          <cell r="D1007" t="str">
            <v>GYESB</v>
          </cell>
          <cell r="E1007" t="str">
            <v>Yes Bank 000281300000076</v>
          </cell>
          <cell r="F1007" t="str">
            <v>ABANKC</v>
          </cell>
          <cell r="G1007">
            <v>0</v>
          </cell>
          <cell r="K1007">
            <v>0</v>
          </cell>
        </row>
        <row r="1008">
          <cell r="C1008">
            <v>23505130</v>
          </cell>
          <cell r="D1008" t="str">
            <v>GA00B492</v>
          </cell>
          <cell r="E1008" t="str">
            <v>Union Bank Of India ( 1804 Jalana Branch)Closed</v>
          </cell>
          <cell r="F1008" t="str">
            <v>ABANKC</v>
          </cell>
          <cell r="G1008">
            <v>0</v>
          </cell>
          <cell r="K1008">
            <v>0</v>
          </cell>
        </row>
        <row r="1009">
          <cell r="C1009">
            <v>23505390</v>
          </cell>
          <cell r="D1009" t="str">
            <v>GA0OD</v>
          </cell>
          <cell r="E1009" t="str">
            <v>Citi Bank 67352227 (Closed)</v>
          </cell>
          <cell r="F1009" t="str">
            <v>ABANKC</v>
          </cell>
          <cell r="G1009">
            <v>0</v>
          </cell>
          <cell r="K1009">
            <v>0</v>
          </cell>
        </row>
        <row r="1010">
          <cell r="C1010">
            <v>23504800</v>
          </cell>
          <cell r="D1010" t="str">
            <v>GA00B545</v>
          </cell>
          <cell r="E1010" t="str">
            <v>BOI(FATEH PUR BRANCH ONLY)696520100000223(CLOSED)</v>
          </cell>
          <cell r="F1010" t="str">
            <v>ABANKC</v>
          </cell>
          <cell r="G1010">
            <v>0</v>
          </cell>
          <cell r="K1010">
            <v>0</v>
          </cell>
        </row>
        <row r="1011">
          <cell r="C1011">
            <v>23520910</v>
          </cell>
          <cell r="E1011" t="str">
            <v>IDBI BANK 038102000010779</v>
          </cell>
          <cell r="F1011" t="str">
            <v>ABANKC</v>
          </cell>
          <cell r="G1011">
            <v>9998</v>
          </cell>
          <cell r="K1011">
            <v>9998</v>
          </cell>
        </row>
        <row r="1012">
          <cell r="C1012">
            <v>23520880</v>
          </cell>
          <cell r="E1012" t="str">
            <v>HDFC BANK 5982340005073</v>
          </cell>
          <cell r="F1012" t="str">
            <v>ABANKC</v>
          </cell>
          <cell r="G1012">
            <v>10000</v>
          </cell>
          <cell r="K1012">
            <v>10000</v>
          </cell>
        </row>
        <row r="1013">
          <cell r="C1013">
            <v>23520900</v>
          </cell>
          <cell r="E1013" t="str">
            <v>ICICI BANK  000705017636</v>
          </cell>
          <cell r="F1013" t="str">
            <v>ABANKC</v>
          </cell>
          <cell r="G1013">
            <v>0</v>
          </cell>
          <cell r="K1013">
            <v>0</v>
          </cell>
        </row>
        <row r="1014">
          <cell r="C1014">
            <v>23505400</v>
          </cell>
          <cell r="D1014" t="str">
            <v>GA0B3</v>
          </cell>
          <cell r="E1014" t="str">
            <v>Hdfc (Delhi)- 00030340000657</v>
          </cell>
          <cell r="F1014" t="str">
            <v>ABANKC</v>
          </cell>
          <cell r="G1014">
            <v>12791739.199999999</v>
          </cell>
          <cell r="K1014">
            <v>12791739.199999999</v>
          </cell>
        </row>
        <row r="1015">
          <cell r="C1015">
            <v>23505470</v>
          </cell>
          <cell r="D1015" t="str">
            <v>GA00B4</v>
          </cell>
          <cell r="E1015" t="str">
            <v>0990650000155  Hdfc  Bank</v>
          </cell>
          <cell r="F1015" t="str">
            <v>ABANKED</v>
          </cell>
          <cell r="G1015">
            <v>4824990</v>
          </cell>
          <cell r="K1015">
            <v>4824990</v>
          </cell>
        </row>
        <row r="1016">
          <cell r="C1016">
            <v>23520850</v>
          </cell>
          <cell r="E1016" t="str">
            <v>00990630003199 (Settlement a\c ) HDFC BANK A\C</v>
          </cell>
          <cell r="F1016" t="str">
            <v>ABANKS</v>
          </cell>
          <cell r="G1016">
            <v>1201947.5</v>
          </cell>
          <cell r="K1016">
            <v>1201947.5</v>
          </cell>
        </row>
        <row r="1017">
          <cell r="C1017">
            <v>23505490</v>
          </cell>
          <cell r="D1017" t="str">
            <v>GA00B125</v>
          </cell>
          <cell r="E1017" t="str">
            <v>Icici Bank - Bse Clearing Account 000405019074</v>
          </cell>
          <cell r="F1017" t="str">
            <v>ABANKS</v>
          </cell>
          <cell r="G1017">
            <v>1687002</v>
          </cell>
          <cell r="K1017">
            <v>1687002</v>
          </cell>
        </row>
        <row r="1018">
          <cell r="C1018">
            <v>23505500</v>
          </cell>
          <cell r="D1018" t="str">
            <v>GA00B1</v>
          </cell>
          <cell r="E1018" t="str">
            <v>Hdfc Bank (246 Clearing A/C 02) 990610000246</v>
          </cell>
          <cell r="F1018" t="str">
            <v>ABANKS</v>
          </cell>
          <cell r="G1018">
            <v>48871330.810000002</v>
          </cell>
          <cell r="K1018">
            <v>48871330.810000002</v>
          </cell>
        </row>
        <row r="1019">
          <cell r="C1019">
            <v>23505480</v>
          </cell>
          <cell r="D1019" t="str">
            <v>GA00B81</v>
          </cell>
          <cell r="E1019" t="str">
            <v>Hdfc F&amp;O Clearing (0990630001246)</v>
          </cell>
          <cell r="F1019" t="str">
            <v>ABANKS</v>
          </cell>
          <cell r="G1019">
            <v>21502447.600000001</v>
          </cell>
          <cell r="K1019">
            <v>21502447.600000001</v>
          </cell>
        </row>
        <row r="1020">
          <cell r="C1020">
            <v>23515020</v>
          </cell>
          <cell r="E1020" t="str">
            <v>ISL-HDFC Bank Ltd. A/C (Jalgaon ON)</v>
          </cell>
          <cell r="F1020" t="str">
            <v>ABANKC</v>
          </cell>
          <cell r="G1020">
            <v>10000</v>
          </cell>
          <cell r="K1020">
            <v>10000</v>
          </cell>
        </row>
        <row r="1022">
          <cell r="E1022" t="str">
            <v>CURRENT ASSETS- FDR</v>
          </cell>
        </row>
        <row r="1023">
          <cell r="C1023">
            <v>23510570</v>
          </cell>
          <cell r="D1023" t="str">
            <v>GFDR</v>
          </cell>
          <cell r="E1023" t="str">
            <v>FDR GENERAL</v>
          </cell>
          <cell r="F1023" t="str">
            <v>AFDR</v>
          </cell>
          <cell r="G1023">
            <v>4753620941.75</v>
          </cell>
          <cell r="K1023">
            <v>4753620941.75</v>
          </cell>
        </row>
        <row r="1024">
          <cell r="C1024">
            <v>23510550</v>
          </cell>
          <cell r="D1024" t="str">
            <v>GA00BG</v>
          </cell>
          <cell r="E1024" t="str">
            <v>FDR FOR BANK GUARANTEE</v>
          </cell>
          <cell r="F1024" t="str">
            <v>AFDR</v>
          </cell>
          <cell r="G1024">
            <v>0</v>
          </cell>
          <cell r="K1024">
            <v>0</v>
          </cell>
        </row>
        <row r="1025">
          <cell r="C1025">
            <v>23512660</v>
          </cell>
          <cell r="E1025" t="str">
            <v xml:space="preserve"> FDR for NSCCL F &amp; O SEG.</v>
          </cell>
          <cell r="F1025" t="str">
            <v>AFDR</v>
          </cell>
          <cell r="G1025">
            <v>0</v>
          </cell>
          <cell r="K1025">
            <v>0</v>
          </cell>
        </row>
        <row r="1026">
          <cell r="C1026">
            <v>23511760</v>
          </cell>
          <cell r="E1026" t="str">
            <v>Fixed Deposit Against OD</v>
          </cell>
          <cell r="F1026" t="str">
            <v>AFDR</v>
          </cell>
          <cell r="G1026">
            <v>0</v>
          </cell>
          <cell r="K1026">
            <v>0</v>
          </cell>
        </row>
        <row r="1027">
          <cell r="C1027">
            <v>23510560</v>
          </cell>
          <cell r="D1027" t="str">
            <v>GA00NSC</v>
          </cell>
          <cell r="E1027" t="str">
            <v>FDR FOR NSCCL  ARBITRAGE</v>
          </cell>
          <cell r="F1027" t="str">
            <v>AFDR</v>
          </cell>
          <cell r="G1027">
            <v>0</v>
          </cell>
          <cell r="K1027">
            <v>0</v>
          </cell>
        </row>
        <row r="1028">
          <cell r="C1028">
            <v>24510005</v>
          </cell>
          <cell r="E1028" t="str">
            <v>FDR NSCCL Currency Derivative</v>
          </cell>
          <cell r="F1028" t="str">
            <v>AFDR</v>
          </cell>
          <cell r="G1028">
            <v>0</v>
          </cell>
          <cell r="K1028">
            <v>0</v>
          </cell>
        </row>
        <row r="1030">
          <cell r="E1030" t="str">
            <v>CURRENT ASSETS- INTT. ACCRUED BUT NOT DUE</v>
          </cell>
        </row>
        <row r="1031">
          <cell r="C1031">
            <v>90000265</v>
          </cell>
          <cell r="D1031" t="str">
            <v>GINRE</v>
          </cell>
          <cell r="E1031" t="str">
            <v>INTEREST RECEIVABLE ON FDR</v>
          </cell>
          <cell r="F1031" t="str">
            <v>AINTA</v>
          </cell>
          <cell r="G1031">
            <v>55993436.57</v>
          </cell>
          <cell r="K1031">
            <v>55993436.57</v>
          </cell>
        </row>
        <row r="1033">
          <cell r="E1033" t="str">
            <v>LOANS &amp; ADVANCES - ARCK</v>
          </cell>
        </row>
        <row r="1034">
          <cell r="C1034">
            <v>24710123</v>
          </cell>
          <cell r="D1034" t="str">
            <v>GE0024A</v>
          </cell>
          <cell r="E1034" t="str">
            <v>Advance For Expense</v>
          </cell>
          <cell r="F1034" t="str">
            <v>ADVAN</v>
          </cell>
          <cell r="G1034">
            <v>119755</v>
          </cell>
          <cell r="K1034">
            <v>119755</v>
          </cell>
        </row>
        <row r="1035">
          <cell r="C1035">
            <v>24710900</v>
          </cell>
          <cell r="E1035" t="str">
            <v>Advance for New Company Incorporated</v>
          </cell>
          <cell r="F1035" t="str">
            <v>ADVAN</v>
          </cell>
          <cell r="G1035">
            <v>0</v>
          </cell>
          <cell r="K1035">
            <v>0</v>
          </cell>
        </row>
        <row r="1036">
          <cell r="C1036">
            <v>24710114</v>
          </cell>
          <cell r="E1036" t="str">
            <v>SALARY ADVANCE</v>
          </cell>
          <cell r="F1036" t="str">
            <v>ADVAN</v>
          </cell>
          <cell r="G1036">
            <v>234475.87</v>
          </cell>
          <cell r="K1036">
            <v>234475.87</v>
          </cell>
        </row>
        <row r="1037">
          <cell r="C1037">
            <v>24710071</v>
          </cell>
          <cell r="D1037" t="str">
            <v>GA0024</v>
          </cell>
          <cell r="E1037" t="str">
            <v>Staff Advance</v>
          </cell>
          <cell r="F1037" t="str">
            <v>ADVAN</v>
          </cell>
          <cell r="G1037">
            <v>0</v>
          </cell>
          <cell r="K1037">
            <v>0</v>
          </cell>
        </row>
        <row r="1038">
          <cell r="C1038">
            <v>24710721</v>
          </cell>
          <cell r="D1038" t="str">
            <v>GL14</v>
          </cell>
          <cell r="E1038" t="str">
            <v>AMT RECOVERABLE FROM AMITESHWAR CHOUDHARY</v>
          </cell>
          <cell r="F1038" t="str">
            <v>ADVAN</v>
          </cell>
          <cell r="G1038">
            <v>85000</v>
          </cell>
          <cell r="K1038">
            <v>85000</v>
          </cell>
        </row>
        <row r="1040">
          <cell r="C1040">
            <v>24700043</v>
          </cell>
          <cell r="E1040" t="str">
            <v>Vendors Balances - Advance Against Salary</v>
          </cell>
          <cell r="F1040" t="str">
            <v>ADVAN</v>
          </cell>
          <cell r="G1040">
            <v>418986</v>
          </cell>
          <cell r="K1040">
            <v>418986</v>
          </cell>
        </row>
        <row r="1041">
          <cell r="C1041">
            <v>24700046</v>
          </cell>
          <cell r="E1041" t="str">
            <v>Vendors Balances - Others Advances to Employees</v>
          </cell>
          <cell r="F1041" t="str">
            <v>ADVAN</v>
          </cell>
          <cell r="G1041">
            <v>49024</v>
          </cell>
          <cell r="K1041">
            <v>49024</v>
          </cell>
        </row>
        <row r="1042">
          <cell r="C1042">
            <v>24700037</v>
          </cell>
          <cell r="E1042" t="str">
            <v>Vendors Balances-Against Advance for Interior</v>
          </cell>
          <cell r="F1042" t="str">
            <v>ADVAN</v>
          </cell>
          <cell r="G1042">
            <v>969592</v>
          </cell>
          <cell r="K1042">
            <v>969592</v>
          </cell>
        </row>
        <row r="1043">
          <cell r="C1043">
            <v>24700041</v>
          </cell>
          <cell r="E1043" t="str">
            <v>Vendors Balances-Other Vendor Advances</v>
          </cell>
          <cell r="F1043" t="str">
            <v>ADVAN</v>
          </cell>
          <cell r="G1043">
            <v>26769992.100000001</v>
          </cell>
          <cell r="K1043">
            <v>26769992.100000001</v>
          </cell>
        </row>
        <row r="1044">
          <cell r="C1044">
            <v>24710070</v>
          </cell>
          <cell r="D1044" t="str">
            <v>GPRIC</v>
          </cell>
          <cell r="E1044" t="str">
            <v>Vendors -Provision for Incentives</v>
          </cell>
          <cell r="F1044" t="str">
            <v>ADVAN</v>
          </cell>
          <cell r="G1044">
            <v>0</v>
          </cell>
          <cell r="K1044">
            <v>0</v>
          </cell>
        </row>
        <row r="1046">
          <cell r="C1046">
            <v>24710130</v>
          </cell>
          <cell r="D1046" t="str">
            <v>GADPR</v>
          </cell>
          <cell r="E1046" t="str">
            <v>D.P INCOME RECEIVABLE</v>
          </cell>
          <cell r="F1046" t="str">
            <v>ADVAN</v>
          </cell>
          <cell r="G1046">
            <v>0</v>
          </cell>
          <cell r="K1046">
            <v>0</v>
          </cell>
        </row>
        <row r="1047">
          <cell r="C1047">
            <v>24700011</v>
          </cell>
          <cell r="D1047" t="str">
            <v>GSNSE</v>
          </cell>
          <cell r="E1047" t="str">
            <v>TDS - NSE GSNSE</v>
          </cell>
          <cell r="F1047" t="str">
            <v>ADVAN</v>
          </cell>
          <cell r="G1047">
            <v>1445894</v>
          </cell>
          <cell r="K1047">
            <v>1445894</v>
          </cell>
        </row>
        <row r="1048">
          <cell r="C1048">
            <v>24700010</v>
          </cell>
          <cell r="D1048" t="str">
            <v>GSBSE</v>
          </cell>
          <cell r="E1048" t="str">
            <v>TDS BSE -GBSE</v>
          </cell>
          <cell r="F1048" t="str">
            <v>ADVAN</v>
          </cell>
          <cell r="G1048">
            <v>148290</v>
          </cell>
          <cell r="K1048">
            <v>148290</v>
          </cell>
        </row>
        <row r="1050">
          <cell r="C1050">
            <v>24710724</v>
          </cell>
          <cell r="D1050" t="str">
            <v>GLMRGN</v>
          </cell>
          <cell r="E1050" t="str">
            <v>ERROR ACCOUNT</v>
          </cell>
          <cell r="F1050" t="str">
            <v>ADVAN</v>
          </cell>
          <cell r="G1050">
            <v>0</v>
          </cell>
          <cell r="K1050">
            <v>0</v>
          </cell>
        </row>
        <row r="1052">
          <cell r="C1052">
            <v>24710815</v>
          </cell>
          <cell r="E1052" t="str">
            <v>Excise Duty 16.48% and 12.5% CST on 116.48% (NonM)</v>
          </cell>
          <cell r="F1052" t="str">
            <v>ADVAN</v>
          </cell>
          <cell r="G1052">
            <v>0</v>
          </cell>
          <cell r="K1052">
            <v>0</v>
          </cell>
        </row>
        <row r="1053">
          <cell r="C1053">
            <v>24710790</v>
          </cell>
          <cell r="E1053" t="str">
            <v>Higher &amp; Secondory Education Cess BED 1%</v>
          </cell>
          <cell r="F1053" t="str">
            <v>ADVAN</v>
          </cell>
          <cell r="G1053">
            <v>61150.79</v>
          </cell>
          <cell r="K1053">
            <v>61150.79</v>
          </cell>
        </row>
        <row r="1054">
          <cell r="C1054">
            <v>24710073</v>
          </cell>
          <cell r="E1054" t="str">
            <v>Input  Service Tax Clearing Modvatable 4.12%</v>
          </cell>
          <cell r="F1054" t="str">
            <v>ADVAN</v>
          </cell>
          <cell r="G1054">
            <v>0</v>
          </cell>
          <cell r="K1054">
            <v>0</v>
          </cell>
        </row>
        <row r="1055">
          <cell r="C1055">
            <v>24710061</v>
          </cell>
          <cell r="E1055" t="str">
            <v>Input Service Tax Clearing</v>
          </cell>
          <cell r="F1055" t="str">
            <v>ADVAN</v>
          </cell>
          <cell r="G1055">
            <v>0</v>
          </cell>
          <cell r="K1055">
            <v>0</v>
          </cell>
        </row>
        <row r="1056">
          <cell r="C1056">
            <v>24710791</v>
          </cell>
          <cell r="E1056" t="str">
            <v>Input Service Tax Clearing 12.36% and 4% VAT(NonM)</v>
          </cell>
          <cell r="F1056" t="str">
            <v>ADVAN</v>
          </cell>
          <cell r="G1056">
            <v>0</v>
          </cell>
          <cell r="K1056">
            <v>0</v>
          </cell>
        </row>
        <row r="1057">
          <cell r="C1057">
            <v>24710087</v>
          </cell>
          <cell r="E1057" t="str">
            <v>Input Service Tax Clearing 3.06%</v>
          </cell>
          <cell r="F1057" t="str">
            <v>ADVAN</v>
          </cell>
          <cell r="G1057">
            <v>0</v>
          </cell>
          <cell r="K1057">
            <v>0</v>
          </cell>
        </row>
        <row r="1058">
          <cell r="C1058">
            <v>24710936</v>
          </cell>
          <cell r="E1058" t="str">
            <v>Input Service Tax Clearing 3.09%</v>
          </cell>
          <cell r="F1058" t="str">
            <v>ADVAN</v>
          </cell>
          <cell r="G1058">
            <v>0</v>
          </cell>
          <cell r="K1058">
            <v>0</v>
          </cell>
        </row>
        <row r="1059">
          <cell r="C1059">
            <v>24710063</v>
          </cell>
          <cell r="E1059" t="str">
            <v>Input Service Tax Clearing 4.08%</v>
          </cell>
          <cell r="F1059" t="str">
            <v>ADVAN</v>
          </cell>
          <cell r="G1059">
            <v>0</v>
          </cell>
          <cell r="K1059">
            <v>0</v>
          </cell>
        </row>
        <row r="1060">
          <cell r="C1060">
            <v>24710816</v>
          </cell>
          <cell r="E1060" t="str">
            <v>Input Service Tax Clg 12.36% and 3% CST(Non M)</v>
          </cell>
          <cell r="F1060" t="str">
            <v>ADVAN</v>
          </cell>
          <cell r="G1060">
            <v>0</v>
          </cell>
          <cell r="K1060">
            <v>0</v>
          </cell>
        </row>
        <row r="1061">
          <cell r="C1061">
            <v>24710783</v>
          </cell>
          <cell r="E1061" t="str">
            <v>Input ST12.36% Of 33 % of Invoice Value</v>
          </cell>
          <cell r="F1061" t="str">
            <v>ADVAN</v>
          </cell>
          <cell r="G1061">
            <v>0</v>
          </cell>
          <cell r="K1061">
            <v>0</v>
          </cell>
        </row>
        <row r="1062">
          <cell r="C1062">
            <v>24710784</v>
          </cell>
          <cell r="E1062" t="str">
            <v>Input ST12.36% Of 80 % of Invoice Value</v>
          </cell>
          <cell r="F1062" t="str">
            <v>ADVAN</v>
          </cell>
          <cell r="G1062">
            <v>0</v>
          </cell>
          <cell r="K1062">
            <v>0</v>
          </cell>
        </row>
        <row r="1063">
          <cell r="C1063">
            <v>24710793</v>
          </cell>
          <cell r="E1063" t="str">
            <v>Input STax Cl 12.36% and 4% VAT on 112.36 (NonM)</v>
          </cell>
          <cell r="F1063" t="str">
            <v>ADVAN</v>
          </cell>
          <cell r="G1063">
            <v>0</v>
          </cell>
          <cell r="K1063">
            <v>0</v>
          </cell>
        </row>
        <row r="1064">
          <cell r="C1064">
            <v>24710827</v>
          </cell>
          <cell r="E1064" t="str">
            <v>Modvatable Input Service Tax Clearing 10.30%</v>
          </cell>
          <cell r="F1064" t="str">
            <v>ADVAN</v>
          </cell>
          <cell r="G1064">
            <v>6679153.9199999999</v>
          </cell>
          <cell r="K1064">
            <v>6679153.9199999999</v>
          </cell>
        </row>
        <row r="1065">
          <cell r="C1065">
            <v>24710072</v>
          </cell>
          <cell r="E1065" t="str">
            <v>Modvatable Input Service Tax Clearing 12.36%</v>
          </cell>
          <cell r="F1065" t="str">
            <v>ADVAN</v>
          </cell>
          <cell r="G1065">
            <v>6924.5</v>
          </cell>
          <cell r="K1065">
            <v>6924.5</v>
          </cell>
        </row>
        <row r="1066">
          <cell r="C1066">
            <v>24710078</v>
          </cell>
          <cell r="E1066" t="str">
            <v>Service Tax Refund Claim 12.36%</v>
          </cell>
          <cell r="F1066" t="str">
            <v>ADVAN</v>
          </cell>
          <cell r="G1066">
            <v>0</v>
          </cell>
          <cell r="K1066">
            <v>0</v>
          </cell>
        </row>
        <row r="1067">
          <cell r="C1067">
            <v>24710108</v>
          </cell>
          <cell r="E1067" t="str">
            <v>Service Tax Refund Claim Manual</v>
          </cell>
          <cell r="F1067" t="str">
            <v>ADVAN</v>
          </cell>
          <cell r="G1067">
            <v>191746.07</v>
          </cell>
          <cell r="K1067">
            <v>191746.07</v>
          </cell>
        </row>
        <row r="1068">
          <cell r="C1068">
            <v>24710945</v>
          </cell>
          <cell r="E1068" t="str">
            <v>Service  Tax Reversal account.</v>
          </cell>
          <cell r="F1068" t="str">
            <v>ADVAN</v>
          </cell>
          <cell r="G1068">
            <v>0</v>
          </cell>
          <cell r="K1068">
            <v>0</v>
          </cell>
        </row>
        <row r="1069">
          <cell r="C1069">
            <v>24710129</v>
          </cell>
          <cell r="D1069" t="str">
            <v>GCESS</v>
          </cell>
          <cell r="E1069" t="str">
            <v>EDUCATION CESS</v>
          </cell>
          <cell r="F1069" t="str">
            <v>ADVAN</v>
          </cell>
          <cell r="G1069">
            <v>0</v>
          </cell>
          <cell r="K1069">
            <v>0</v>
          </cell>
        </row>
        <row r="1070">
          <cell r="C1070">
            <v>24710789</v>
          </cell>
          <cell r="E1070" t="str">
            <v>Education Cess BED 2%</v>
          </cell>
          <cell r="F1070" t="str">
            <v>ADVAN</v>
          </cell>
          <cell r="G1070">
            <v>122300.94</v>
          </cell>
          <cell r="K1070">
            <v>122300.94</v>
          </cell>
        </row>
        <row r="1071">
          <cell r="C1071">
            <v>24710156</v>
          </cell>
          <cell r="D1071" t="str">
            <v>GCESR</v>
          </cell>
          <cell r="E1071" t="str">
            <v>EDUCATION CESS RECEIVABLE</v>
          </cell>
          <cell r="F1071" t="str">
            <v>ADVAN</v>
          </cell>
          <cell r="G1071">
            <v>0</v>
          </cell>
          <cell r="K1071">
            <v>0</v>
          </cell>
        </row>
        <row r="1072">
          <cell r="C1072">
            <v>24710785</v>
          </cell>
          <cell r="E1072" t="str">
            <v>BED Modvatable 14%</v>
          </cell>
          <cell r="F1072" t="str">
            <v>ADVAN</v>
          </cell>
          <cell r="G1072">
            <v>0</v>
          </cell>
          <cell r="K1072">
            <v>0</v>
          </cell>
        </row>
        <row r="1073">
          <cell r="C1073">
            <v>24700069</v>
          </cell>
          <cell r="D1073" t="str">
            <v>GCENV</v>
          </cell>
          <cell r="E1073" t="str">
            <v>CENVAT REFUND CLAIM</v>
          </cell>
          <cell r="F1073" t="str">
            <v>ADVAN</v>
          </cell>
          <cell r="G1073">
            <v>104373.36</v>
          </cell>
          <cell r="K1073">
            <v>104373.36</v>
          </cell>
        </row>
        <row r="1074">
          <cell r="C1074">
            <v>24710131</v>
          </cell>
          <cell r="D1074" t="str">
            <v>GCENVR</v>
          </cell>
          <cell r="E1074" t="str">
            <v>CENVAT REFUND RECEIVABLE</v>
          </cell>
          <cell r="F1074" t="str">
            <v>ADVAN</v>
          </cell>
          <cell r="G1074">
            <v>0</v>
          </cell>
          <cell r="K1074">
            <v>0</v>
          </cell>
        </row>
        <row r="1076">
          <cell r="C1076">
            <v>24710726</v>
          </cell>
          <cell r="D1076" t="str">
            <v>GLMRGN</v>
          </cell>
          <cell r="E1076" t="str">
            <v>MAHESH  SEHGAL MARGIN</v>
          </cell>
          <cell r="F1076" t="str">
            <v>lscred</v>
          </cell>
          <cell r="G1076">
            <v>-5000</v>
          </cell>
          <cell r="K1076">
            <v>-5000</v>
          </cell>
        </row>
        <row r="1077">
          <cell r="C1077">
            <v>24710734</v>
          </cell>
          <cell r="D1077" t="str">
            <v>GLMRGN</v>
          </cell>
          <cell r="E1077" t="str">
            <v>PRO ACCOUNT</v>
          </cell>
          <cell r="F1077" t="str">
            <v>ADVAN</v>
          </cell>
          <cell r="G1077">
            <v>0</v>
          </cell>
          <cell r="K1077">
            <v>0</v>
          </cell>
        </row>
        <row r="1078">
          <cell r="C1078">
            <v>24710733</v>
          </cell>
          <cell r="D1078" t="str">
            <v>GLMRGN</v>
          </cell>
          <cell r="E1078" t="str">
            <v>N C JAIN MARGIN</v>
          </cell>
          <cell r="F1078" t="str">
            <v>ADVAN</v>
          </cell>
          <cell r="G1078">
            <v>500000</v>
          </cell>
          <cell r="K1078">
            <v>500000</v>
          </cell>
        </row>
        <row r="1079">
          <cell r="C1079">
            <v>24710735</v>
          </cell>
          <cell r="D1079" t="str">
            <v>GLMRGN</v>
          </cell>
          <cell r="E1079" t="str">
            <v>S P JAIN MARGIN</v>
          </cell>
          <cell r="F1079" t="str">
            <v>ADVAN</v>
          </cell>
          <cell r="G1079">
            <v>100000</v>
          </cell>
          <cell r="K1079">
            <v>100000</v>
          </cell>
        </row>
        <row r="1080">
          <cell r="C1080">
            <v>24710725</v>
          </cell>
          <cell r="D1080" t="str">
            <v>GLMRGN</v>
          </cell>
          <cell r="E1080" t="str">
            <v>KAVITA ROHATGI MARGIN</v>
          </cell>
          <cell r="F1080" t="str">
            <v>ADVAN</v>
          </cell>
          <cell r="G1080">
            <v>0</v>
          </cell>
          <cell r="K1080">
            <v>0</v>
          </cell>
        </row>
        <row r="1081">
          <cell r="C1081">
            <v>24710731</v>
          </cell>
          <cell r="D1081" t="str">
            <v>GLMRGN</v>
          </cell>
          <cell r="E1081" t="str">
            <v>MARGINS</v>
          </cell>
          <cell r="F1081" t="str">
            <v>ADVAN</v>
          </cell>
          <cell r="G1081">
            <v>0</v>
          </cell>
          <cell r="K1081">
            <v>0</v>
          </cell>
        </row>
        <row r="1082">
          <cell r="C1082">
            <v>24710935</v>
          </cell>
          <cell r="E1082" t="str">
            <v>MARGINS - N</v>
          </cell>
          <cell r="F1082" t="str">
            <v>ADVAN</v>
          </cell>
          <cell r="G1082">
            <v>4.0599999999999996</v>
          </cell>
          <cell r="K1082">
            <v>4.0599999999999996</v>
          </cell>
        </row>
        <row r="1084">
          <cell r="C1084">
            <v>24710060</v>
          </cell>
          <cell r="E1084" t="str">
            <v>Loan and Advances- Vendors ICD Given</v>
          </cell>
          <cell r="F1084" t="str">
            <v>ADVAN</v>
          </cell>
          <cell r="G1084">
            <v>0</v>
          </cell>
          <cell r="K1084">
            <v>0</v>
          </cell>
        </row>
        <row r="1085">
          <cell r="C1085">
            <v>24710109</v>
          </cell>
          <cell r="D1085" t="str">
            <v>GAIRC</v>
          </cell>
          <cell r="E1085" t="str">
            <v>Insurance Recoverable</v>
          </cell>
          <cell r="F1085" t="str">
            <v>ADVAN</v>
          </cell>
          <cell r="G1085">
            <v>0</v>
          </cell>
          <cell r="K1085">
            <v>0</v>
          </cell>
        </row>
        <row r="1087">
          <cell r="C1087">
            <v>24710110</v>
          </cell>
          <cell r="D1087" t="str">
            <v>GA0037</v>
          </cell>
          <cell r="E1087" t="str">
            <v>Prepaid Expenses</v>
          </cell>
          <cell r="F1087" t="str">
            <v>ADVAN</v>
          </cell>
          <cell r="G1087">
            <v>55326703.270000003</v>
          </cell>
          <cell r="K1087">
            <v>55326703.270000003</v>
          </cell>
        </row>
        <row r="1089">
          <cell r="C1089">
            <v>14890383</v>
          </cell>
          <cell r="D1089" t="str">
            <v>GL00116</v>
          </cell>
          <cell r="E1089" t="str">
            <v>PROV FOR DOUBTFUL ADVANCE</v>
          </cell>
          <cell r="F1089" t="str">
            <v>LOLIAB</v>
          </cell>
          <cell r="G1089">
            <v>-6507669.5</v>
          </cell>
          <cell r="K1089">
            <v>-6507669.5</v>
          </cell>
        </row>
        <row r="1091">
          <cell r="C1091">
            <v>24710126</v>
          </cell>
          <cell r="D1091" t="str">
            <v>GL05</v>
          </cell>
          <cell r="E1091" t="str">
            <v>AMITABH MISHRA LOAN A/C</v>
          </cell>
          <cell r="F1091" t="str">
            <v>ADVAN</v>
          </cell>
          <cell r="G1091">
            <v>100000</v>
          </cell>
          <cell r="K1091">
            <v>100000</v>
          </cell>
        </row>
        <row r="1092">
          <cell r="C1092">
            <v>24710722</v>
          </cell>
          <cell r="D1092" t="str">
            <v>GA0240</v>
          </cell>
          <cell r="E1092" t="str">
            <v>BIBHAS CHHAYA LOAN A/C</v>
          </cell>
          <cell r="F1092" t="str">
            <v>ADVAN</v>
          </cell>
          <cell r="G1092">
            <v>454750</v>
          </cell>
          <cell r="K1092">
            <v>454750</v>
          </cell>
        </row>
        <row r="1094">
          <cell r="C1094">
            <v>90000309</v>
          </cell>
          <cell r="E1094" t="str">
            <v>Sundry Debtrors -Customers (Others)</v>
          </cell>
          <cell r="F1094" t="str">
            <v>ADVAN</v>
          </cell>
          <cell r="G1094">
            <v>0</v>
          </cell>
          <cell r="K1094">
            <v>0</v>
          </cell>
        </row>
        <row r="1096">
          <cell r="E1096" t="str">
            <v>LOANS &amp; ADVANCES - SECURITY DEPOSIT - RENT</v>
          </cell>
        </row>
        <row r="1097">
          <cell r="C1097">
            <v>24710111</v>
          </cell>
          <cell r="E1097" t="str">
            <v>Security Deposit Rent</v>
          </cell>
          <cell r="F1097" t="str">
            <v>ASECUR</v>
          </cell>
          <cell r="G1097">
            <v>355614</v>
          </cell>
          <cell r="K1097">
            <v>355614</v>
          </cell>
        </row>
        <row r="1098">
          <cell r="C1098">
            <v>24710970</v>
          </cell>
          <cell r="E1098" t="str">
            <v>SECURITY DEPOSIT AVINASHI ROAD COIMBATORE</v>
          </cell>
          <cell r="F1098" t="str">
            <v>ASECUR</v>
          </cell>
          <cell r="G1098">
            <v>450000</v>
          </cell>
          <cell r="K1098">
            <v>450000</v>
          </cell>
        </row>
        <row r="1099">
          <cell r="C1099">
            <v>24710182</v>
          </cell>
          <cell r="D1099" t="str">
            <v>GASECJ</v>
          </cell>
          <cell r="E1099" t="str">
            <v>SECURITY DEPOSIT GAURAV TOWER MAINT. SOCIETY</v>
          </cell>
          <cell r="F1099" t="str">
            <v>ASECUR</v>
          </cell>
          <cell r="G1099">
            <v>33874.5</v>
          </cell>
          <cell r="K1099">
            <v>33874.5</v>
          </cell>
        </row>
        <row r="1100">
          <cell r="C1100">
            <v>24710196</v>
          </cell>
          <cell r="D1100" t="str">
            <v>GACALTG</v>
          </cell>
          <cell r="E1100" t="str">
            <v>SECURITY DEPOSIT-CALCUTTA TOLLYGANJ</v>
          </cell>
          <cell r="F1100" t="str">
            <v>ASECUR</v>
          </cell>
          <cell r="G1100">
            <v>6000</v>
          </cell>
          <cell r="K1100">
            <v>6000</v>
          </cell>
        </row>
        <row r="1101">
          <cell r="C1101">
            <v>24710807</v>
          </cell>
          <cell r="E1101" t="str">
            <v>Security Deposit of Amiteshwar Choudhary</v>
          </cell>
          <cell r="F1101" t="str">
            <v>ASECUR</v>
          </cell>
          <cell r="G1101">
            <v>0</v>
          </cell>
          <cell r="K1101">
            <v>0</v>
          </cell>
        </row>
        <row r="1102">
          <cell r="C1102">
            <v>24710650</v>
          </cell>
          <cell r="D1102" t="str">
            <v>GSECH</v>
          </cell>
          <cell r="E1102" t="str">
            <v>SECURITY FOR HAMILTON HOUSE - DELHI</v>
          </cell>
          <cell r="F1102" t="str">
            <v>ASECUR</v>
          </cell>
          <cell r="G1102">
            <v>4320000</v>
          </cell>
          <cell r="K1102">
            <v>4320000</v>
          </cell>
        </row>
        <row r="1103">
          <cell r="C1103">
            <v>24710410</v>
          </cell>
          <cell r="D1103" t="str">
            <v>GSEGARI</v>
          </cell>
          <cell r="E1103" t="str">
            <v>SECURITY DEPOSIT OF GARIAHAT KOLKATA</v>
          </cell>
          <cell r="F1103" t="str">
            <v>ASECUR</v>
          </cell>
          <cell r="G1103">
            <v>2214712</v>
          </cell>
          <cell r="K1103">
            <v>2214712</v>
          </cell>
        </row>
        <row r="1104">
          <cell r="C1104">
            <v>24710314</v>
          </cell>
          <cell r="D1104" t="str">
            <v>GAKOLK</v>
          </cell>
          <cell r="E1104" t="str">
            <v>SECURITY DEPOSIT KOLKATA</v>
          </cell>
          <cell r="F1104" t="str">
            <v>ASECUR</v>
          </cell>
          <cell r="G1104">
            <v>1915200</v>
          </cell>
          <cell r="K1104">
            <v>1915200</v>
          </cell>
        </row>
        <row r="1105">
          <cell r="C1105">
            <v>24710703</v>
          </cell>
          <cell r="D1105" t="str">
            <v>GSEBA</v>
          </cell>
          <cell r="E1105" t="str">
            <v>SERITY DEPOSIT FOR BANGALORE PREMISES (NEW)</v>
          </cell>
          <cell r="F1105" t="str">
            <v>ASECUR</v>
          </cell>
          <cell r="G1105">
            <v>1629120</v>
          </cell>
          <cell r="K1105">
            <v>1629120</v>
          </cell>
        </row>
        <row r="1106">
          <cell r="C1106">
            <v>24710240</v>
          </cell>
          <cell r="D1106" t="str">
            <v>GSEDA</v>
          </cell>
          <cell r="E1106" t="str">
            <v>SECURITY DEPOSIT DALHOUSIE</v>
          </cell>
          <cell r="F1106" t="str">
            <v>ASECUR</v>
          </cell>
          <cell r="G1106">
            <v>1620000</v>
          </cell>
          <cell r="K1106">
            <v>1620000</v>
          </cell>
        </row>
        <row r="1107">
          <cell r="C1107">
            <v>24710239</v>
          </cell>
          <cell r="D1107" t="str">
            <v>GACMB</v>
          </cell>
          <cell r="E1107" t="str">
            <v>SECURITY DEPOSIT COIMBATORE</v>
          </cell>
          <cell r="F1107" t="str">
            <v>ASECUR</v>
          </cell>
          <cell r="G1107">
            <v>1349698.19</v>
          </cell>
          <cell r="K1107">
            <v>1349698.19</v>
          </cell>
        </row>
        <row r="1108">
          <cell r="C1108">
            <v>24710497</v>
          </cell>
          <cell r="D1108" t="str">
            <v>GSENOI</v>
          </cell>
          <cell r="E1108" t="str">
            <v>SECURITY DEPOSIT OF NOIDA SECTOR 18</v>
          </cell>
          <cell r="F1108" t="str">
            <v>ASECUR</v>
          </cell>
          <cell r="G1108">
            <v>860080</v>
          </cell>
          <cell r="K1108">
            <v>860080</v>
          </cell>
        </row>
        <row r="1109">
          <cell r="C1109">
            <v>24710561</v>
          </cell>
          <cell r="D1109" t="str">
            <v>GSETHK</v>
          </cell>
          <cell r="E1109" t="str">
            <v>SECURITY DEPOSIT OF THAKUR VILLAGE KANDIVALI BRANC</v>
          </cell>
          <cell r="F1109" t="str">
            <v>ASECUR</v>
          </cell>
          <cell r="G1109">
            <v>1500000</v>
          </cell>
          <cell r="K1109">
            <v>1500000</v>
          </cell>
        </row>
        <row r="1110">
          <cell r="C1110">
            <v>24710260</v>
          </cell>
          <cell r="D1110" t="str">
            <v>GA0346</v>
          </cell>
          <cell r="E1110" t="str">
            <v>SECURITY DEPOSIT FOR F-60</v>
          </cell>
          <cell r="F1110" t="str">
            <v>ASECUR</v>
          </cell>
          <cell r="G1110">
            <v>1200000</v>
          </cell>
          <cell r="K1110">
            <v>1200000</v>
          </cell>
        </row>
        <row r="1111">
          <cell r="C1111">
            <v>24710391</v>
          </cell>
          <cell r="D1111" t="str">
            <v>GSEDADA</v>
          </cell>
          <cell r="E1111" t="str">
            <v>SECURITY DEPOSIT OF DADAR (E) MUMBAI</v>
          </cell>
          <cell r="F1111" t="str">
            <v>ASECUR</v>
          </cell>
          <cell r="G1111">
            <v>1200000</v>
          </cell>
          <cell r="K1111">
            <v>1200000</v>
          </cell>
        </row>
        <row r="1112">
          <cell r="C1112">
            <v>24710535</v>
          </cell>
          <cell r="D1112" t="str">
            <v>GSESAL1</v>
          </cell>
          <cell r="E1112" t="str">
            <v>SECURITY DEPOSIT OF SALT LAKE SEC-1 KOLKATTA</v>
          </cell>
          <cell r="F1112" t="str">
            <v>ASECUR</v>
          </cell>
          <cell r="G1112">
            <v>1200000</v>
          </cell>
          <cell r="K1112">
            <v>1200000</v>
          </cell>
        </row>
        <row r="1113">
          <cell r="C1113">
            <v>24710666</v>
          </cell>
          <cell r="D1113" t="str">
            <v>GSECMB</v>
          </cell>
          <cell r="E1113" t="str">
            <v>SECURITY FOR M BLOCK</v>
          </cell>
          <cell r="F1113" t="str">
            <v>ASECUR</v>
          </cell>
          <cell r="G1113">
            <v>1200000</v>
          </cell>
          <cell r="K1113">
            <v>1200000</v>
          </cell>
        </row>
        <row r="1114">
          <cell r="C1114">
            <v>24710261</v>
          </cell>
          <cell r="D1114" t="str">
            <v>GSEGHAT</v>
          </cell>
          <cell r="E1114" t="str">
            <v>SECURITY DEPOSIT FOR GHATKOPAR BRANCH</v>
          </cell>
          <cell r="F1114" t="str">
            <v>ASECUR</v>
          </cell>
          <cell r="G1114">
            <v>1170000</v>
          </cell>
          <cell r="K1114">
            <v>1170000</v>
          </cell>
        </row>
        <row r="1115">
          <cell r="C1115">
            <v>24710236</v>
          </cell>
          <cell r="D1115" t="str">
            <v>GSECHEN</v>
          </cell>
          <cell r="E1115" t="str">
            <v>SECURITY DEPOSIT CHENNAI - MYLAPORE</v>
          </cell>
          <cell r="F1115" t="str">
            <v>ASECUR</v>
          </cell>
          <cell r="G1115">
            <v>791901</v>
          </cell>
          <cell r="K1115">
            <v>791901</v>
          </cell>
        </row>
        <row r="1116">
          <cell r="C1116">
            <v>24710581</v>
          </cell>
          <cell r="D1116" t="str">
            <v>GSEVIP</v>
          </cell>
          <cell r="E1116" t="str">
            <v>SECURITY DEPOSIT OF VIP PARK  NARAYANTALA(W) KOL</v>
          </cell>
          <cell r="F1116" t="str">
            <v>ASECUR</v>
          </cell>
          <cell r="G1116">
            <v>1052700</v>
          </cell>
          <cell r="K1116">
            <v>1052700</v>
          </cell>
        </row>
        <row r="1117">
          <cell r="C1117">
            <v>24710411</v>
          </cell>
          <cell r="D1117" t="str">
            <v>GSEGEO</v>
          </cell>
          <cell r="E1117" t="str">
            <v>SECURITY DEPOSIT OF GEORGE TOWN NSC ROAD CHENNAI</v>
          </cell>
          <cell r="F1117" t="str">
            <v>ASECUR</v>
          </cell>
          <cell r="G1117">
            <v>781419.67</v>
          </cell>
          <cell r="K1117">
            <v>781419.67</v>
          </cell>
        </row>
        <row r="1118">
          <cell r="C1118">
            <v>24710606</v>
          </cell>
          <cell r="D1118" t="str">
            <v>GSE13</v>
          </cell>
          <cell r="E1118" t="str">
            <v>SECURITY DEPOSIT SOUTH  EXT. PART II</v>
          </cell>
          <cell r="F1118" t="str">
            <v>ASECUR</v>
          </cell>
          <cell r="G1118">
            <v>1000000</v>
          </cell>
          <cell r="K1118">
            <v>1000000</v>
          </cell>
        </row>
        <row r="1119">
          <cell r="C1119">
            <v>24710621</v>
          </cell>
          <cell r="D1119" t="str">
            <v>GSDLD43</v>
          </cell>
          <cell r="E1119" t="str">
            <v>SECURITY DEPOSIT VASHI (MUMBAI)</v>
          </cell>
          <cell r="F1119" t="str">
            <v>ASECUR</v>
          </cell>
          <cell r="G1119">
            <v>0</v>
          </cell>
          <cell r="K1119">
            <v>0</v>
          </cell>
        </row>
        <row r="1120">
          <cell r="C1120">
            <v>24710302</v>
          </cell>
          <cell r="D1120" t="str">
            <v>GSEGRG-14</v>
          </cell>
          <cell r="E1120" t="str">
            <v>SECURITY DEPOSIT GURGAON SECTOR -14</v>
          </cell>
          <cell r="F1120" t="str">
            <v>ASECUR</v>
          </cell>
          <cell r="G1120">
            <v>930000</v>
          </cell>
          <cell r="K1120">
            <v>930000</v>
          </cell>
        </row>
        <row r="1121">
          <cell r="C1121">
            <v>24710245</v>
          </cell>
          <cell r="D1121" t="str">
            <v>GSEFBD</v>
          </cell>
          <cell r="E1121" t="str">
            <v>SECURITY DEPOSIT FARIDABAD</v>
          </cell>
          <cell r="F1121" t="str">
            <v>ASECUR</v>
          </cell>
          <cell r="G1121">
            <v>900000</v>
          </cell>
          <cell r="K1121">
            <v>900000</v>
          </cell>
        </row>
        <row r="1122">
          <cell r="C1122">
            <v>24710664</v>
          </cell>
          <cell r="D1122" t="str">
            <v>GSELH</v>
          </cell>
          <cell r="E1122" t="str">
            <v>SECURITY FOR LOKHANDWALA</v>
          </cell>
          <cell r="F1122" t="str">
            <v>ASECUR</v>
          </cell>
          <cell r="G1122">
            <v>749653.4</v>
          </cell>
          <cell r="K1122">
            <v>749653.4</v>
          </cell>
        </row>
        <row r="1123">
          <cell r="C1123">
            <v>24710402</v>
          </cell>
          <cell r="D1123" t="str">
            <v>GSEKAIL</v>
          </cell>
          <cell r="E1123" t="str">
            <v>SECURITY DEPOSIT OF EAST OF KAILASH NEW DELHI</v>
          </cell>
          <cell r="F1123" t="str">
            <v>ASECUR</v>
          </cell>
          <cell r="G1123">
            <v>401370.68</v>
          </cell>
          <cell r="K1123">
            <v>401370.68</v>
          </cell>
        </row>
        <row r="1124">
          <cell r="C1124">
            <v>24710548</v>
          </cell>
          <cell r="D1124" t="str">
            <v>GSESHP</v>
          </cell>
          <cell r="E1124" t="str">
            <v>SECURITY DEPOSIT OF SHIVAJI NAGAR PUNE BRANCH</v>
          </cell>
          <cell r="F1124" t="str">
            <v>ASECUR</v>
          </cell>
          <cell r="G1124">
            <v>780010</v>
          </cell>
          <cell r="K1124">
            <v>780010</v>
          </cell>
        </row>
        <row r="1125">
          <cell r="C1125">
            <v>24710383</v>
          </cell>
          <cell r="D1125" t="str">
            <v>GSEPUG</v>
          </cell>
          <cell r="E1125" t="str">
            <v>SECURITY DEPOSIT OF CENTRAL MARKET PUNJABI BAGH</v>
          </cell>
          <cell r="F1125" t="str">
            <v>ASECUR</v>
          </cell>
          <cell r="G1125">
            <v>750000</v>
          </cell>
          <cell r="K1125">
            <v>750000</v>
          </cell>
        </row>
        <row r="1126">
          <cell r="C1126">
            <v>24710692</v>
          </cell>
          <cell r="D1126" t="str">
            <v>GA00222</v>
          </cell>
          <cell r="E1126" t="str">
            <v>SECURITY RENT OF CHENNAI</v>
          </cell>
          <cell r="F1126" t="str">
            <v>ASECUR</v>
          </cell>
          <cell r="G1126">
            <v>750000</v>
          </cell>
          <cell r="K1126">
            <v>750000</v>
          </cell>
        </row>
        <row r="1127">
          <cell r="C1127">
            <v>24710697</v>
          </cell>
          <cell r="D1127" t="str">
            <v>GSE06</v>
          </cell>
          <cell r="E1127" t="str">
            <v>SECUTIRY DEPOSIT JAMSHEDPUR</v>
          </cell>
          <cell r="F1127" t="str">
            <v>ASECUR</v>
          </cell>
          <cell r="G1127">
            <v>529565.14</v>
          </cell>
          <cell r="K1127">
            <v>529565.14</v>
          </cell>
        </row>
        <row r="1128">
          <cell r="C1128">
            <v>24710924</v>
          </cell>
          <cell r="E1128" t="str">
            <v>SECURITY DEPOSIT E-29,CP</v>
          </cell>
          <cell r="F1128" t="str">
            <v>ASECUR</v>
          </cell>
          <cell r="G1128">
            <v>720000</v>
          </cell>
          <cell r="K1128">
            <v>720000</v>
          </cell>
        </row>
        <row r="1129">
          <cell r="C1129">
            <v>24710317</v>
          </cell>
          <cell r="D1129" t="str">
            <v>GSELA</v>
          </cell>
          <cell r="E1129" t="str">
            <v>SECURITY DEPOSIT LAXMINAGAR (DELHI)</v>
          </cell>
          <cell r="F1129" t="str">
            <v>ASECUR</v>
          </cell>
          <cell r="G1129">
            <v>715170</v>
          </cell>
          <cell r="K1129">
            <v>715170</v>
          </cell>
        </row>
        <row r="1130">
          <cell r="C1130">
            <v>24710458</v>
          </cell>
          <cell r="D1130" t="str">
            <v>GSEKON</v>
          </cell>
          <cell r="E1130" t="str">
            <v>SECURITY DEPOSIT OF KONDWA BRANCH</v>
          </cell>
          <cell r="F1130" t="str">
            <v>ASECUR</v>
          </cell>
          <cell r="G1130">
            <v>700000</v>
          </cell>
          <cell r="K1130">
            <v>700000</v>
          </cell>
        </row>
        <row r="1131">
          <cell r="C1131">
            <v>24710233</v>
          </cell>
          <cell r="D1131" t="str">
            <v>GSECHA</v>
          </cell>
          <cell r="E1131" t="str">
            <v>SECURITY DEPOSIT CHANDNI CHOWK (DELHI)</v>
          </cell>
          <cell r="F1131" t="str">
            <v>ASECUR</v>
          </cell>
          <cell r="G1131">
            <v>670000</v>
          </cell>
          <cell r="K1131">
            <v>670000</v>
          </cell>
        </row>
        <row r="1132">
          <cell r="C1132">
            <v>24710235</v>
          </cell>
          <cell r="D1132" t="str">
            <v>GSECHT</v>
          </cell>
          <cell r="E1132" t="str">
            <v>SECURITY DEPOSIT CHENNAI (T NAGAR)</v>
          </cell>
          <cell r="F1132" t="str">
            <v>ASECUR</v>
          </cell>
          <cell r="G1132">
            <v>587832</v>
          </cell>
          <cell r="K1132">
            <v>587832</v>
          </cell>
        </row>
        <row r="1133">
          <cell r="C1133">
            <v>24710297</v>
          </cell>
          <cell r="D1133" t="str">
            <v>GSEGK</v>
          </cell>
          <cell r="E1133" t="str">
            <v>SECURITY DEPOSIT GREATER KAILASH</v>
          </cell>
          <cell r="F1133" t="str">
            <v>ASECUR</v>
          </cell>
          <cell r="G1133">
            <v>636000</v>
          </cell>
          <cell r="K1133">
            <v>636000</v>
          </cell>
        </row>
        <row r="1134">
          <cell r="C1134">
            <v>24710315</v>
          </cell>
          <cell r="D1134" t="str">
            <v>GSE04</v>
          </cell>
          <cell r="E1134" t="str">
            <v>SECURITY DEPOSIT KORAMANGLA BANGLORE</v>
          </cell>
          <cell r="F1134" t="str">
            <v>ASECUR</v>
          </cell>
          <cell r="G1134">
            <v>630000</v>
          </cell>
          <cell r="K1134">
            <v>630000</v>
          </cell>
        </row>
        <row r="1135">
          <cell r="C1135">
            <v>24710332</v>
          </cell>
          <cell r="D1135" t="str">
            <v>GSECNA</v>
          </cell>
          <cell r="E1135" t="str">
            <v>SECURITY DEPOSIT NASIK</v>
          </cell>
          <cell r="F1135" t="str">
            <v>ASECUR</v>
          </cell>
          <cell r="G1135">
            <v>627135.9</v>
          </cell>
          <cell r="K1135">
            <v>627135.9</v>
          </cell>
        </row>
        <row r="1136">
          <cell r="C1136">
            <v>24710545</v>
          </cell>
          <cell r="D1136" t="str">
            <v>GSEDSB</v>
          </cell>
          <cell r="E1136" t="str">
            <v>SECURITY DEPOSIT OF SHALIMAR BAGH DELHI</v>
          </cell>
          <cell r="F1136" t="str">
            <v>ASECUR</v>
          </cell>
          <cell r="G1136">
            <v>624000</v>
          </cell>
          <cell r="K1136">
            <v>624000</v>
          </cell>
        </row>
        <row r="1137">
          <cell r="C1137">
            <v>24710612</v>
          </cell>
          <cell r="D1137" t="str">
            <v>GSE12</v>
          </cell>
          <cell r="E1137" t="str">
            <v>SECURITY DEPOSIT TOLLYGUNJ (KOLKATA)</v>
          </cell>
          <cell r="F1137" t="str">
            <v>ASECUR</v>
          </cell>
          <cell r="G1137">
            <v>609000</v>
          </cell>
          <cell r="K1137">
            <v>609000</v>
          </cell>
        </row>
        <row r="1138">
          <cell r="C1138">
            <v>24710373</v>
          </cell>
          <cell r="D1138" t="str">
            <v>GSEBHP</v>
          </cell>
          <cell r="E1138" t="str">
            <v>SECURITY DEPOSIT OF BHANDARKAR ROAD PUNE BRANCH</v>
          </cell>
          <cell r="F1138" t="str">
            <v>ASECUR</v>
          </cell>
          <cell r="G1138">
            <v>600000</v>
          </cell>
          <cell r="K1138">
            <v>600000</v>
          </cell>
        </row>
        <row r="1139">
          <cell r="C1139">
            <v>24710431</v>
          </cell>
          <cell r="D1139" t="str">
            <v>GSEHAUZ</v>
          </cell>
          <cell r="E1139" t="str">
            <v>SECURITY DEPOSIT OF HAUZ KHAS E-31 BRANCH</v>
          </cell>
          <cell r="F1139" t="str">
            <v>ASECUR</v>
          </cell>
          <cell r="G1139">
            <v>600000</v>
          </cell>
          <cell r="K1139">
            <v>600000</v>
          </cell>
        </row>
        <row r="1140">
          <cell r="C1140">
            <v>24710479</v>
          </cell>
          <cell r="D1140" t="str">
            <v>GSEMAYA</v>
          </cell>
          <cell r="E1140" t="str">
            <v>SECURITY DEPOSIT OF MAYAPURI NEW DELHI</v>
          </cell>
          <cell r="F1140" t="str">
            <v>ASECUR</v>
          </cell>
          <cell r="G1140">
            <v>325248</v>
          </cell>
          <cell r="K1140">
            <v>325248</v>
          </cell>
        </row>
        <row r="1141">
          <cell r="C1141">
            <v>24710525</v>
          </cell>
          <cell r="D1141" t="str">
            <v>GSERH3</v>
          </cell>
          <cell r="E1141" t="str">
            <v>SECURITY DEPOSIT OF ROHINI MANGLAM PLACE SEC- 3</v>
          </cell>
          <cell r="F1141" t="str">
            <v>ASECUR</v>
          </cell>
          <cell r="G1141">
            <v>342000</v>
          </cell>
          <cell r="K1141">
            <v>342000</v>
          </cell>
        </row>
        <row r="1142">
          <cell r="C1142">
            <v>24710691</v>
          </cell>
          <cell r="D1142" t="str">
            <v>GSECMUM</v>
          </cell>
          <cell r="E1142" t="str">
            <v>SECURITY RENT MUMBAI</v>
          </cell>
          <cell r="F1142" t="str">
            <v>ASECUR</v>
          </cell>
          <cell r="G1142">
            <v>570000</v>
          </cell>
          <cell r="K1142">
            <v>570000</v>
          </cell>
        </row>
        <row r="1143">
          <cell r="C1143">
            <v>24710272</v>
          </cell>
          <cell r="D1143" t="str">
            <v>GSEMAD</v>
          </cell>
          <cell r="E1143" t="str">
            <v>SECURITY DEPOSIT FOR MAHIM OFFLINE</v>
          </cell>
          <cell r="F1143" t="str">
            <v>ASECUR</v>
          </cell>
          <cell r="G1143">
            <v>414129</v>
          </cell>
          <cell r="K1143">
            <v>414129</v>
          </cell>
        </row>
        <row r="1144">
          <cell r="C1144">
            <v>24710218</v>
          </cell>
          <cell r="D1144" t="str">
            <v>GSEALI</v>
          </cell>
          <cell r="E1144" t="str">
            <v>SECURITY DEPOSIT ALIPORE (KOLKOTA)</v>
          </cell>
          <cell r="F1144" t="str">
            <v>ASECUR</v>
          </cell>
          <cell r="G1144">
            <v>332600.52</v>
          </cell>
          <cell r="K1144">
            <v>332600.52</v>
          </cell>
        </row>
        <row r="1145">
          <cell r="C1145">
            <v>24710632</v>
          </cell>
          <cell r="D1145" t="str">
            <v>GSBAR</v>
          </cell>
          <cell r="E1145" t="str">
            <v>SECURITY DEPOSITS BARODA</v>
          </cell>
          <cell r="F1145" t="str">
            <v>ASECUR</v>
          </cell>
          <cell r="G1145">
            <v>45000</v>
          </cell>
          <cell r="K1145">
            <v>45000</v>
          </cell>
        </row>
        <row r="1146">
          <cell r="C1146">
            <v>24710319</v>
          </cell>
          <cell r="D1146" t="str">
            <v>GSELUD</v>
          </cell>
          <cell r="E1146" t="str">
            <v>SECURITY DEPOSIT LUDHIANA</v>
          </cell>
          <cell r="F1146" t="str">
            <v>ASECUR</v>
          </cell>
          <cell r="G1146">
            <v>451157</v>
          </cell>
          <cell r="K1146">
            <v>451157</v>
          </cell>
        </row>
        <row r="1147">
          <cell r="C1147">
            <v>24710340</v>
          </cell>
          <cell r="D1147" t="str">
            <v>GSEALKD</v>
          </cell>
          <cell r="E1147" t="str">
            <v>SECURITY DEPOSIT OF ALAKNANDA NEW DELHI</v>
          </cell>
          <cell r="F1147" t="str">
            <v>ASECUR</v>
          </cell>
          <cell r="G1147">
            <v>510000</v>
          </cell>
          <cell r="K1147">
            <v>510000</v>
          </cell>
        </row>
        <row r="1148">
          <cell r="C1148">
            <v>24710250</v>
          </cell>
          <cell r="D1148" t="str">
            <v>GSEBAG</v>
          </cell>
          <cell r="E1148" t="str">
            <v>SECURITY DEPOSIT FOR BANDRA ONLINE</v>
          </cell>
          <cell r="F1148" t="str">
            <v>ASECUR</v>
          </cell>
          <cell r="G1148">
            <v>500000</v>
          </cell>
          <cell r="K1148">
            <v>500000</v>
          </cell>
        </row>
        <row r="1149">
          <cell r="C1149">
            <v>24710310</v>
          </cell>
          <cell r="D1149" t="str">
            <v>GSE21</v>
          </cell>
          <cell r="E1149" t="str">
            <v>SECURITY DEPOSIT KANDIVALI WEST</v>
          </cell>
          <cell r="F1149" t="str">
            <v>ASECUR</v>
          </cell>
          <cell r="G1149">
            <v>500000</v>
          </cell>
          <cell r="K1149">
            <v>500000</v>
          </cell>
        </row>
        <row r="1150">
          <cell r="C1150">
            <v>24710329</v>
          </cell>
          <cell r="D1150" t="str">
            <v>GSENAG</v>
          </cell>
          <cell r="E1150" t="str">
            <v>SECURITY DEPOSIT NAGPUR</v>
          </cell>
          <cell r="F1150" t="str">
            <v>ASECUR</v>
          </cell>
          <cell r="G1150">
            <v>500000</v>
          </cell>
          <cell r="K1150">
            <v>500000</v>
          </cell>
        </row>
        <row r="1151">
          <cell r="C1151">
            <v>24710656</v>
          </cell>
          <cell r="D1151" t="str">
            <v>GSEJA</v>
          </cell>
          <cell r="E1151" t="str">
            <v>SECURITY FOR JAYANAGAR(BANGALORE) REMISES</v>
          </cell>
          <cell r="F1151" t="str">
            <v>ASECUR</v>
          </cell>
          <cell r="G1151">
            <v>500000</v>
          </cell>
          <cell r="K1151">
            <v>500000</v>
          </cell>
        </row>
        <row r="1152">
          <cell r="C1152">
            <v>24710516</v>
          </cell>
          <cell r="D1152" t="str">
            <v>GSEPVR</v>
          </cell>
          <cell r="E1152" t="str">
            <v>SECURITY DEPOSIT OF PVR SAKET NEW DELHI</v>
          </cell>
          <cell r="F1152" t="str">
            <v>ASECUR</v>
          </cell>
          <cell r="G1152">
            <v>496536</v>
          </cell>
          <cell r="K1152">
            <v>496536</v>
          </cell>
        </row>
        <row r="1153">
          <cell r="C1153">
            <v>24710607</v>
          </cell>
          <cell r="D1153" t="str">
            <v>GSESU</v>
          </cell>
          <cell r="E1153" t="str">
            <v>SECURITY DEPOSIT SURAT</v>
          </cell>
          <cell r="F1153" t="str">
            <v>ASECUR</v>
          </cell>
          <cell r="G1153">
            <v>470700</v>
          </cell>
          <cell r="K1153">
            <v>470700</v>
          </cell>
        </row>
        <row r="1154">
          <cell r="C1154">
            <v>24710287</v>
          </cell>
          <cell r="D1154" t="str">
            <v>GSESAT</v>
          </cell>
          <cell r="E1154" t="str">
            <v>SECURITY DEPOSIT FOR SATARA POWAI NAKA BRANCH</v>
          </cell>
          <cell r="F1154" t="str">
            <v>ASECUR</v>
          </cell>
          <cell r="G1154">
            <v>380247</v>
          </cell>
          <cell r="K1154">
            <v>380247</v>
          </cell>
        </row>
        <row r="1155">
          <cell r="C1155">
            <v>24710589</v>
          </cell>
          <cell r="D1155" t="str">
            <v>GSEPAN</v>
          </cell>
          <cell r="E1155" t="str">
            <v>SECURITY DEPOSIT PANJIM</v>
          </cell>
          <cell r="F1155" t="str">
            <v>ASECUR</v>
          </cell>
          <cell r="G1155">
            <v>450000</v>
          </cell>
          <cell r="K1155">
            <v>450000</v>
          </cell>
        </row>
        <row r="1156">
          <cell r="C1156">
            <v>24710425</v>
          </cell>
          <cell r="D1156" t="str">
            <v>GSEHABS</v>
          </cell>
          <cell r="E1156" t="str">
            <v>SECURITY DEPOSIT OF HABSIGUDA HYDERABAD ONLINE</v>
          </cell>
          <cell r="F1156" t="str">
            <v>ASECUR</v>
          </cell>
          <cell r="G1156">
            <v>448800</v>
          </cell>
          <cell r="K1156">
            <v>448800</v>
          </cell>
        </row>
        <row r="1157">
          <cell r="C1157">
            <v>24710647</v>
          </cell>
          <cell r="D1157" t="str">
            <v>GSEGH</v>
          </cell>
          <cell r="E1157" t="str">
            <v>SECURITY FOR GHATKOPAR PREMISES</v>
          </cell>
          <cell r="F1157" t="str">
            <v>ASECUR</v>
          </cell>
          <cell r="G1157">
            <v>425000</v>
          </cell>
          <cell r="K1157">
            <v>425000</v>
          </cell>
        </row>
        <row r="1158">
          <cell r="C1158">
            <v>24710280</v>
          </cell>
          <cell r="D1158" t="str">
            <v>GSEPIM</v>
          </cell>
          <cell r="E1158" t="str">
            <v>SECURITY DEPOSIT FOR PIMPRI BRANCH</v>
          </cell>
          <cell r="F1158" t="str">
            <v>ASECUR</v>
          </cell>
          <cell r="G1158">
            <v>420000</v>
          </cell>
          <cell r="K1158">
            <v>420000</v>
          </cell>
        </row>
        <row r="1159">
          <cell r="C1159">
            <v>24710399</v>
          </cell>
          <cell r="D1159" t="str">
            <v>GSEDIL</v>
          </cell>
          <cell r="E1159" t="str">
            <v>SECURITY DEPOSIT OF DILSHUK NAGAR HYDERABAD</v>
          </cell>
          <cell r="F1159" t="str">
            <v>ASECUR</v>
          </cell>
          <cell r="G1159">
            <v>420000</v>
          </cell>
          <cell r="K1159">
            <v>420000</v>
          </cell>
        </row>
        <row r="1160">
          <cell r="C1160">
            <v>24710668</v>
          </cell>
          <cell r="D1160" t="str">
            <v>GSEMN</v>
          </cell>
          <cell r="E1160" t="str">
            <v>SECURITY FOR MANINAGAR BARANCH</v>
          </cell>
          <cell r="F1160" t="str">
            <v>ASECUR</v>
          </cell>
          <cell r="G1160">
            <v>418800</v>
          </cell>
          <cell r="K1160">
            <v>418800</v>
          </cell>
        </row>
        <row r="1161">
          <cell r="C1161">
            <v>24710523</v>
          </cell>
          <cell r="D1161" t="str">
            <v>GSESRT</v>
          </cell>
          <cell r="E1161" t="str">
            <v>SECURITY DEPOSIT OF RING ROAD SURAT BRANCH</v>
          </cell>
          <cell r="F1161" t="str">
            <v>ASECUR</v>
          </cell>
          <cell r="G1161">
            <v>0</v>
          </cell>
          <cell r="K1161">
            <v>0</v>
          </cell>
        </row>
        <row r="1162">
          <cell r="C1162">
            <v>24710592</v>
          </cell>
          <cell r="D1162" t="str">
            <v>GSEPUNE</v>
          </cell>
          <cell r="E1162" t="str">
            <v>SECURITY DEPOSIT PUNE (SATARA ROAD)</v>
          </cell>
          <cell r="F1162" t="str">
            <v>ASECUR</v>
          </cell>
          <cell r="G1162">
            <v>402000</v>
          </cell>
          <cell r="K1162">
            <v>402000</v>
          </cell>
        </row>
        <row r="1163">
          <cell r="C1163">
            <v>24710489</v>
          </cell>
          <cell r="D1163" t="str">
            <v>GSEVPE</v>
          </cell>
          <cell r="E1163" t="str">
            <v>SECURITY DEPOSIT OF MUMBAI VILE PARLE (E) ONLINE</v>
          </cell>
          <cell r="F1163" t="str">
            <v>ASECUR</v>
          </cell>
          <cell r="G1163">
            <v>230900</v>
          </cell>
          <cell r="K1163">
            <v>230900</v>
          </cell>
        </row>
        <row r="1164">
          <cell r="C1164">
            <v>24710672</v>
          </cell>
          <cell r="D1164" t="str">
            <v>GSEBR</v>
          </cell>
          <cell r="E1164" t="str">
            <v>SECURITY FOR MUMBAI BORIWALI</v>
          </cell>
          <cell r="F1164" t="str">
            <v>ASECUR</v>
          </cell>
          <cell r="G1164">
            <v>400000</v>
          </cell>
          <cell r="K1164">
            <v>400000</v>
          </cell>
        </row>
        <row r="1165">
          <cell r="C1165">
            <v>24710517</v>
          </cell>
          <cell r="D1165" t="str">
            <v>GSECMBR</v>
          </cell>
          <cell r="E1165" t="str">
            <v>SECURITY DEPOSIT OF R. S. PURAM COIMBATORE</v>
          </cell>
          <cell r="F1165" t="str">
            <v>ASECUR</v>
          </cell>
          <cell r="G1165">
            <v>0</v>
          </cell>
          <cell r="K1165">
            <v>0</v>
          </cell>
        </row>
        <row r="1166">
          <cell r="C1166">
            <v>24710442</v>
          </cell>
          <cell r="D1166" t="str">
            <v>GSEJALGN</v>
          </cell>
          <cell r="E1166" t="str">
            <v>SECURITY DEPOSIT OF JALGAON DHAKE TOWERS BRANCH</v>
          </cell>
          <cell r="F1166" t="str">
            <v>ASECUR</v>
          </cell>
          <cell r="G1166">
            <v>360000</v>
          </cell>
          <cell r="K1166">
            <v>360000</v>
          </cell>
        </row>
        <row r="1167">
          <cell r="C1167">
            <v>24710693</v>
          </cell>
          <cell r="D1167" t="str">
            <v>GA00122</v>
          </cell>
          <cell r="E1167" t="str">
            <v>SECURITY RENT OF PUNE</v>
          </cell>
          <cell r="F1167" t="str">
            <v>ASECUR</v>
          </cell>
          <cell r="G1167">
            <v>348000</v>
          </cell>
          <cell r="K1167">
            <v>348000</v>
          </cell>
        </row>
        <row r="1168">
          <cell r="C1168">
            <v>24710540</v>
          </cell>
          <cell r="D1168" t="str">
            <v>GSESAN</v>
          </cell>
          <cell r="E1168" t="str">
            <v>SECURITY DEPOSIT OF SANTHOME (CHENNAI)</v>
          </cell>
          <cell r="F1168" t="str">
            <v>ASECUR</v>
          </cell>
          <cell r="G1168">
            <v>0</v>
          </cell>
          <cell r="K1168">
            <v>0</v>
          </cell>
        </row>
        <row r="1169">
          <cell r="C1169">
            <v>24710401</v>
          </cell>
          <cell r="D1169" t="str">
            <v>GSEDWA6</v>
          </cell>
          <cell r="E1169" t="str">
            <v>SECURITY DEPOSIT OF DWARKA SECTOR -6 CENTRAL MARKE</v>
          </cell>
          <cell r="F1169" t="str">
            <v>ASECUR</v>
          </cell>
          <cell r="G1169">
            <v>330000</v>
          </cell>
          <cell r="K1169">
            <v>330000</v>
          </cell>
        </row>
        <row r="1170">
          <cell r="C1170">
            <v>24710434</v>
          </cell>
          <cell r="D1170" t="str">
            <v>GSEHTEC</v>
          </cell>
          <cell r="E1170" t="str">
            <v>SECURITY DEPOSIT OF HITECH CITY HYDERABAD</v>
          </cell>
          <cell r="F1170" t="str">
            <v>ASECUR</v>
          </cell>
          <cell r="G1170">
            <v>330000</v>
          </cell>
          <cell r="K1170">
            <v>330000</v>
          </cell>
        </row>
        <row r="1171">
          <cell r="C1171">
            <v>24710640</v>
          </cell>
          <cell r="D1171" t="str">
            <v>GSECCH</v>
          </cell>
          <cell r="E1171" t="str">
            <v>SECURITY FOR CHANDIGARH OFFICE (NEW)</v>
          </cell>
          <cell r="F1171" t="str">
            <v>ASECUR</v>
          </cell>
          <cell r="G1171">
            <v>330000</v>
          </cell>
          <cell r="K1171">
            <v>330000</v>
          </cell>
        </row>
        <row r="1172">
          <cell r="C1172">
            <v>24710638</v>
          </cell>
          <cell r="D1172" t="str">
            <v>GSECM</v>
          </cell>
          <cell r="E1172" t="str">
            <v>SECURITY FOR ANDHERI OFFICE PREMISES</v>
          </cell>
          <cell r="F1172" t="str">
            <v>ASECUR</v>
          </cell>
          <cell r="G1172">
            <v>0</v>
          </cell>
          <cell r="K1172">
            <v>0</v>
          </cell>
        </row>
        <row r="1173">
          <cell r="C1173">
            <v>24710687</v>
          </cell>
          <cell r="D1173" t="str">
            <v>GACAL</v>
          </cell>
          <cell r="E1173" t="str">
            <v>SECURITY RENT CALCUTTA</v>
          </cell>
          <cell r="F1173" t="str">
            <v>ASECUR</v>
          </cell>
          <cell r="G1173">
            <v>324720</v>
          </cell>
          <cell r="K1173">
            <v>324720</v>
          </cell>
        </row>
        <row r="1174">
          <cell r="C1174">
            <v>24710350</v>
          </cell>
          <cell r="D1174" t="str">
            <v>GSEAMR</v>
          </cell>
          <cell r="E1174" t="str">
            <v>SECURITY DEPOSIT OF AMRAWATI GULSHAN PLAZA BRANCH</v>
          </cell>
          <cell r="F1174" t="str">
            <v>ASECUR</v>
          </cell>
          <cell r="G1174">
            <v>268789.90000000002</v>
          </cell>
          <cell r="K1174">
            <v>268789.90000000002</v>
          </cell>
        </row>
        <row r="1175">
          <cell r="C1175">
            <v>24710277</v>
          </cell>
          <cell r="D1175" t="str">
            <v>GSENAK</v>
          </cell>
          <cell r="E1175" t="str">
            <v>SECURITY DEPOSIT FOR NASHIK ONLINE BRANCH</v>
          </cell>
          <cell r="F1175" t="str">
            <v>ASECUR</v>
          </cell>
          <cell r="G1175">
            <v>306240</v>
          </cell>
          <cell r="K1175">
            <v>306240</v>
          </cell>
        </row>
        <row r="1176">
          <cell r="C1176">
            <v>24710699</v>
          </cell>
          <cell r="D1176" t="str">
            <v>GSEAHM</v>
          </cell>
          <cell r="E1176" t="str">
            <v>SECUTIRY DEPOSITED AHMEDABAD (OFFLINE)</v>
          </cell>
          <cell r="F1176" t="str">
            <v>ASECUR</v>
          </cell>
          <cell r="G1176">
            <v>0</v>
          </cell>
          <cell r="K1176">
            <v>0</v>
          </cell>
        </row>
        <row r="1177">
          <cell r="C1177">
            <v>24710256</v>
          </cell>
          <cell r="D1177" t="str">
            <v>GSEDAH</v>
          </cell>
          <cell r="E1177" t="str">
            <v>SECURITY DEPOSIT FOR DAHISAR BRANCH</v>
          </cell>
          <cell r="F1177" t="str">
            <v>ASECUR</v>
          </cell>
          <cell r="G1177">
            <v>300000</v>
          </cell>
          <cell r="K1177">
            <v>300000</v>
          </cell>
        </row>
        <row r="1178">
          <cell r="C1178">
            <v>24710295</v>
          </cell>
          <cell r="D1178" t="str">
            <v>GA0522</v>
          </cell>
          <cell r="E1178" t="str">
            <v>SECURITY DEPOSIT FORT</v>
          </cell>
          <cell r="F1178" t="str">
            <v>ASECUR</v>
          </cell>
          <cell r="G1178">
            <v>300000</v>
          </cell>
          <cell r="K1178">
            <v>300000</v>
          </cell>
        </row>
        <row r="1179">
          <cell r="C1179">
            <v>24710403</v>
          </cell>
          <cell r="D1179" t="str">
            <v>GSEERNA</v>
          </cell>
          <cell r="E1179" t="str">
            <v>SECURITY DEPOSIT OF ERNAKULAM  KOCHI (KERALA) OF</v>
          </cell>
          <cell r="F1179" t="str">
            <v>ASECUR</v>
          </cell>
          <cell r="G1179">
            <v>261816.71</v>
          </cell>
          <cell r="K1179">
            <v>261816.71</v>
          </cell>
        </row>
        <row r="1180">
          <cell r="C1180">
            <v>24710573</v>
          </cell>
          <cell r="D1180" t="str">
            <v>GSEVASA</v>
          </cell>
          <cell r="E1180" t="str">
            <v>SECURITY DEPOSIT OF VASANT KUNJ NEW DELHI ONLINE</v>
          </cell>
          <cell r="F1180" t="str">
            <v>ASECUR</v>
          </cell>
          <cell r="G1180">
            <v>0</v>
          </cell>
          <cell r="K1180">
            <v>0</v>
          </cell>
        </row>
        <row r="1181">
          <cell r="C1181">
            <v>24710604</v>
          </cell>
          <cell r="D1181" t="str">
            <v>GSESE</v>
          </cell>
          <cell r="E1181" t="str">
            <v>SECURITY DEPOSIT SECUNDRABAD</v>
          </cell>
          <cell r="F1181" t="str">
            <v>ASECUR</v>
          </cell>
          <cell r="G1181">
            <v>278280</v>
          </cell>
          <cell r="K1181">
            <v>278280</v>
          </cell>
        </row>
        <row r="1182">
          <cell r="C1182">
            <v>24710676</v>
          </cell>
          <cell r="D1182" t="str">
            <v>GSECP</v>
          </cell>
          <cell r="E1182" t="str">
            <v>SECURITY FOR PITAMPURA PREMISES</v>
          </cell>
          <cell r="F1182" t="str">
            <v>ASECUR</v>
          </cell>
          <cell r="G1182">
            <v>265965</v>
          </cell>
          <cell r="K1182">
            <v>265965</v>
          </cell>
        </row>
        <row r="1183">
          <cell r="C1183">
            <v>24710215</v>
          </cell>
          <cell r="D1183" t="str">
            <v>GSCAH</v>
          </cell>
          <cell r="E1183" t="str">
            <v>SECURITY DEPOSIT - AHMEDABAD</v>
          </cell>
          <cell r="F1183" t="str">
            <v>ASECUR</v>
          </cell>
          <cell r="G1183">
            <v>261167</v>
          </cell>
          <cell r="K1183">
            <v>261167</v>
          </cell>
        </row>
        <row r="1184">
          <cell r="C1184">
            <v>24710353</v>
          </cell>
          <cell r="D1184" t="str">
            <v>GSEDAN</v>
          </cell>
          <cell r="E1184" t="str">
            <v>SECURITY DEPOSIT OF ANAND VIHAR  DELHI BRANCH</v>
          </cell>
          <cell r="F1184" t="str">
            <v>ASECUR</v>
          </cell>
          <cell r="G1184">
            <v>260000</v>
          </cell>
          <cell r="K1184">
            <v>260000</v>
          </cell>
        </row>
        <row r="1185">
          <cell r="C1185">
            <v>24710680</v>
          </cell>
          <cell r="D1185" t="str">
            <v>GA0425</v>
          </cell>
          <cell r="E1185" t="str">
            <v>SECURITY FOR SHANTI NIKET</v>
          </cell>
          <cell r="F1185" t="str">
            <v>ASECUR</v>
          </cell>
          <cell r="G1185">
            <v>255000</v>
          </cell>
          <cell r="K1185">
            <v>255000</v>
          </cell>
        </row>
        <row r="1186">
          <cell r="C1186">
            <v>24710351</v>
          </cell>
          <cell r="D1186" t="str">
            <v>GSEAMRIT</v>
          </cell>
          <cell r="E1186" t="str">
            <v>SECURITY DEPOSIT OF AMRITSAR OFFLINE BRANCH</v>
          </cell>
          <cell r="F1186" t="str">
            <v>ASECUR</v>
          </cell>
          <cell r="G1186">
            <v>254100</v>
          </cell>
          <cell r="K1186">
            <v>254100</v>
          </cell>
        </row>
        <row r="1187">
          <cell r="C1187">
            <v>24710598</v>
          </cell>
          <cell r="D1187" t="str">
            <v>GARANC</v>
          </cell>
          <cell r="E1187" t="str">
            <v>SECURITY DEPOSIT RANCHI</v>
          </cell>
          <cell r="F1187" t="str">
            <v>ASECUR</v>
          </cell>
          <cell r="G1187">
            <v>252000</v>
          </cell>
          <cell r="K1187">
            <v>252000</v>
          </cell>
        </row>
        <row r="1188">
          <cell r="C1188">
            <v>24710238</v>
          </cell>
          <cell r="D1188" t="str">
            <v>GSECO</v>
          </cell>
          <cell r="E1188" t="str">
            <v>SECURITY DEPOSIT COCHIN</v>
          </cell>
          <cell r="F1188" t="str">
            <v>ASECUR</v>
          </cell>
          <cell r="G1188">
            <v>250000</v>
          </cell>
          <cell r="K1188">
            <v>250000</v>
          </cell>
        </row>
        <row r="1189">
          <cell r="C1189">
            <v>24710626</v>
          </cell>
          <cell r="D1189" t="str">
            <v>GSVIS</v>
          </cell>
          <cell r="E1189" t="str">
            <v>SECURITY DEPOSIT VISAKHAPATNAM</v>
          </cell>
          <cell r="F1189" t="str">
            <v>ASECUR</v>
          </cell>
          <cell r="G1189">
            <v>243912</v>
          </cell>
          <cell r="K1189">
            <v>243912</v>
          </cell>
        </row>
        <row r="1190">
          <cell r="C1190">
            <v>24710441</v>
          </cell>
          <cell r="D1190" t="str">
            <v>GSEJAL</v>
          </cell>
          <cell r="E1190" t="str">
            <v>SECURITY DEPOSIT OF JALANA (MAHARASHTRA)</v>
          </cell>
          <cell r="F1190" t="str">
            <v>ASECUR</v>
          </cell>
          <cell r="G1190">
            <v>204227.34</v>
          </cell>
          <cell r="K1190">
            <v>204227.34</v>
          </cell>
        </row>
        <row r="1191">
          <cell r="C1191">
            <v>24710212</v>
          </cell>
          <cell r="D1191" t="str">
            <v>GSENDA</v>
          </cell>
          <cell r="E1191" t="str">
            <v>SECURITY  DEPOSIT NOIDA ONLINE</v>
          </cell>
          <cell r="F1191" t="str">
            <v>ASECUR</v>
          </cell>
          <cell r="G1191">
            <v>240000</v>
          </cell>
          <cell r="K1191">
            <v>240000</v>
          </cell>
        </row>
        <row r="1192">
          <cell r="C1192">
            <v>24710496</v>
          </cell>
          <cell r="D1192" t="str">
            <v>GSENIT</v>
          </cell>
          <cell r="E1192" t="str">
            <v>SECURITY DEPOSIT OF NIT- FARIDABAD (HARYANA)</v>
          </cell>
          <cell r="F1192" t="str">
            <v>ASECUR</v>
          </cell>
          <cell r="G1192">
            <v>240000</v>
          </cell>
          <cell r="K1192">
            <v>240000</v>
          </cell>
        </row>
        <row r="1193">
          <cell r="C1193">
            <v>24710243</v>
          </cell>
          <cell r="D1193" t="str">
            <v>GSEDH</v>
          </cell>
          <cell r="E1193" t="str">
            <v>SECURITY DEPOSIT DHANBAD</v>
          </cell>
          <cell r="F1193" t="str">
            <v>ASECUR</v>
          </cell>
          <cell r="G1193">
            <v>225000</v>
          </cell>
          <cell r="K1193">
            <v>225000</v>
          </cell>
        </row>
        <row r="1194">
          <cell r="C1194">
            <v>24710301</v>
          </cell>
          <cell r="D1194" t="str">
            <v>GSECD</v>
          </cell>
          <cell r="E1194" t="str">
            <v>SECURITY DEPOSIT GURGAON - LANDLORD</v>
          </cell>
          <cell r="F1194" t="str">
            <v>ASECUR</v>
          </cell>
          <cell r="G1194">
            <v>225000</v>
          </cell>
          <cell r="K1194">
            <v>225000</v>
          </cell>
        </row>
        <row r="1195">
          <cell r="C1195">
            <v>24710221</v>
          </cell>
          <cell r="D1195" t="str">
            <v>GSEAMB</v>
          </cell>
          <cell r="E1195" t="str">
            <v>SECURITY DEPOSIT AMBALA</v>
          </cell>
          <cell r="F1195" t="str">
            <v>ASECUR</v>
          </cell>
          <cell r="G1195">
            <v>192036</v>
          </cell>
          <cell r="K1195">
            <v>192036</v>
          </cell>
        </row>
        <row r="1196">
          <cell r="C1196">
            <v>24710289</v>
          </cell>
          <cell r="D1196" t="str">
            <v>GSEVAP</v>
          </cell>
          <cell r="E1196" t="str">
            <v>SECURITY DEPOSIT FOR VAPI BRANCH</v>
          </cell>
          <cell r="F1196" t="str">
            <v>ASECUR</v>
          </cell>
          <cell r="G1196">
            <v>220000</v>
          </cell>
          <cell r="K1196">
            <v>220000</v>
          </cell>
        </row>
        <row r="1197">
          <cell r="C1197">
            <v>24710381</v>
          </cell>
          <cell r="D1197" t="str">
            <v>GSEBOK</v>
          </cell>
          <cell r="E1197" t="str">
            <v>SECURITY DEPOSIT OF BOKARO ( JHARKHAND) BRANCH</v>
          </cell>
          <cell r="F1197" t="str">
            <v>ASECUR</v>
          </cell>
          <cell r="G1197">
            <v>214200</v>
          </cell>
          <cell r="K1197">
            <v>214200</v>
          </cell>
        </row>
        <row r="1198">
          <cell r="C1198">
            <v>24710432</v>
          </cell>
          <cell r="D1198" t="str">
            <v>GSEHISS</v>
          </cell>
          <cell r="E1198" t="str">
            <v>SECURITY DEPOSIT OF HISSAR HARYANA BRANCH</v>
          </cell>
          <cell r="F1198" t="str">
            <v>ASECUR</v>
          </cell>
          <cell r="G1198">
            <v>124087.1</v>
          </cell>
          <cell r="K1198">
            <v>124087.1</v>
          </cell>
        </row>
        <row r="1199">
          <cell r="C1199">
            <v>24710336</v>
          </cell>
          <cell r="D1199" t="str">
            <v>GSEAGRC</v>
          </cell>
          <cell r="E1199" t="str">
            <v>SECURITY DEPOSIT OF AGRA CANTT SADAR OFFLINE BRANC</v>
          </cell>
          <cell r="F1199" t="str">
            <v>ASECUR</v>
          </cell>
          <cell r="G1199">
            <v>125853.99</v>
          </cell>
          <cell r="K1199">
            <v>125853.99</v>
          </cell>
        </row>
        <row r="1200">
          <cell r="C1200">
            <v>24710134</v>
          </cell>
          <cell r="E1200" t="str">
            <v>SECURITY DEPOSIT MUMBAI ( COLABA OFFICE)</v>
          </cell>
          <cell r="F1200" t="str">
            <v>ASECUR</v>
          </cell>
          <cell r="G1200">
            <v>200000</v>
          </cell>
          <cell r="K1200">
            <v>200000</v>
          </cell>
        </row>
        <row r="1201">
          <cell r="C1201">
            <v>24710451</v>
          </cell>
          <cell r="D1201" t="str">
            <v>GSEKARA</v>
          </cell>
          <cell r="E1201" t="str">
            <v>SECURITY DEPOSIT OF KARAD OFFLINE (MAHARASHTRA)</v>
          </cell>
          <cell r="F1201" t="str">
            <v>ASECUR</v>
          </cell>
          <cell r="G1201">
            <v>200000</v>
          </cell>
          <cell r="K1201">
            <v>200000</v>
          </cell>
        </row>
        <row r="1202">
          <cell r="C1202">
            <v>24710641</v>
          </cell>
          <cell r="D1202" t="str">
            <v>GSECDH</v>
          </cell>
          <cell r="E1202" t="str">
            <v>SECURITY FOR DEHRADUN PREMISES</v>
          </cell>
          <cell r="F1202" t="str">
            <v>ASECUR</v>
          </cell>
          <cell r="G1202">
            <v>200000</v>
          </cell>
          <cell r="K1202">
            <v>200000</v>
          </cell>
        </row>
        <row r="1203">
          <cell r="C1203">
            <v>24710232</v>
          </cell>
          <cell r="D1203" t="str">
            <v>GSECHAN</v>
          </cell>
          <cell r="E1203" t="str">
            <v>SECURITY DEPOSIT CHANDIGARH</v>
          </cell>
          <cell r="F1203" t="str">
            <v>ASECUR</v>
          </cell>
          <cell r="G1203">
            <v>97500</v>
          </cell>
          <cell r="K1203">
            <v>97500</v>
          </cell>
        </row>
        <row r="1204">
          <cell r="C1204">
            <v>24710308</v>
          </cell>
          <cell r="D1204" t="str">
            <v>GSE22</v>
          </cell>
          <cell r="E1204" t="str">
            <v>SECURITY DEPOSIT JAM NAGAR</v>
          </cell>
          <cell r="F1204" t="str">
            <v>ASECUR</v>
          </cell>
          <cell r="G1204">
            <v>85326.26</v>
          </cell>
          <cell r="K1204">
            <v>85326.26</v>
          </cell>
        </row>
        <row r="1205">
          <cell r="C1205">
            <v>24710653</v>
          </cell>
          <cell r="D1205" t="str">
            <v>GSEIN</v>
          </cell>
          <cell r="E1205" t="str">
            <v>SECURITY FOR INDORE PREMISES (NEW)</v>
          </cell>
          <cell r="F1205" t="str">
            <v>ASECUR</v>
          </cell>
          <cell r="G1205">
            <v>186000</v>
          </cell>
          <cell r="K1205">
            <v>186000</v>
          </cell>
        </row>
        <row r="1206">
          <cell r="C1206">
            <v>24710541</v>
          </cell>
          <cell r="D1206" t="str">
            <v>GSELSA</v>
          </cell>
          <cell r="E1206" t="str">
            <v>SECURITY DEPOSIT OF SARAN CHEMBER-2 LUCKNOW</v>
          </cell>
          <cell r="F1206" t="str">
            <v>ASECUR</v>
          </cell>
          <cell r="G1206">
            <v>181800</v>
          </cell>
          <cell r="K1206">
            <v>181800</v>
          </cell>
        </row>
        <row r="1207">
          <cell r="C1207">
            <v>24710374</v>
          </cell>
          <cell r="D1207" t="str">
            <v>GSEBHOP</v>
          </cell>
          <cell r="E1207" t="str">
            <v>SECURITY DEPOSIT OF BHARAT HOUSE BHOPAL OFFLINE</v>
          </cell>
          <cell r="F1207" t="str">
            <v>ASECUR</v>
          </cell>
          <cell r="G1207">
            <v>146453.57999999999</v>
          </cell>
          <cell r="K1207">
            <v>146453.57999999999</v>
          </cell>
        </row>
        <row r="1208">
          <cell r="C1208">
            <v>24710636</v>
          </cell>
          <cell r="D1208" t="str">
            <v>GSECA</v>
          </cell>
          <cell r="E1208" t="str">
            <v>SECURITY FOR AMBALA CANTT.PREMISES</v>
          </cell>
          <cell r="F1208" t="str">
            <v>ASECUR</v>
          </cell>
          <cell r="G1208">
            <v>175150</v>
          </cell>
          <cell r="K1208">
            <v>175150</v>
          </cell>
        </row>
        <row r="1209">
          <cell r="C1209">
            <v>24710618</v>
          </cell>
          <cell r="D1209" t="str">
            <v>GSDLD39</v>
          </cell>
          <cell r="E1209" t="str">
            <v>SECURITY DEPOSIT VAISHALI</v>
          </cell>
          <cell r="F1209" t="str">
            <v>ASECUR</v>
          </cell>
          <cell r="G1209">
            <v>175000</v>
          </cell>
          <cell r="K1209">
            <v>175000</v>
          </cell>
        </row>
        <row r="1210">
          <cell r="C1210">
            <v>24710254</v>
          </cell>
          <cell r="D1210" t="str">
            <v>GSECDR</v>
          </cell>
          <cell r="E1210" t="str">
            <v>SECURITY DEPOSIT FOR CHANDRAPUR BRANCH</v>
          </cell>
          <cell r="F1210" t="str">
            <v>ASECUR</v>
          </cell>
          <cell r="G1210">
            <v>163171.35</v>
          </cell>
          <cell r="K1210">
            <v>163171.35</v>
          </cell>
        </row>
        <row r="1211">
          <cell r="C1211">
            <v>24710409</v>
          </cell>
          <cell r="D1211" t="str">
            <v>GSEGAN</v>
          </cell>
          <cell r="E1211" t="str">
            <v>SECURITY DEPOSIT OF GANDHIDHAM GUJARAT OFFLINE</v>
          </cell>
          <cell r="F1211" t="str">
            <v>ASECUR</v>
          </cell>
          <cell r="G1211">
            <v>0</v>
          </cell>
          <cell r="K1211">
            <v>0</v>
          </cell>
        </row>
        <row r="1212">
          <cell r="C1212">
            <v>24710597</v>
          </cell>
          <cell r="D1212" t="str">
            <v>GSERA</v>
          </cell>
          <cell r="E1212" t="str">
            <v>SECURITY DEPOSIT RAJKOT</v>
          </cell>
          <cell r="F1212" t="str">
            <v>ASECUR</v>
          </cell>
          <cell r="G1212">
            <v>245145.87</v>
          </cell>
          <cell r="K1212">
            <v>245145.87</v>
          </cell>
        </row>
        <row r="1213">
          <cell r="C1213">
            <v>24710657</v>
          </cell>
          <cell r="D1213" t="str">
            <v>GSECJ</v>
          </cell>
          <cell r="E1213" t="str">
            <v>SECURITY FOR JODHPUR PREMISES</v>
          </cell>
          <cell r="F1213" t="str">
            <v>ASECUR</v>
          </cell>
          <cell r="G1213">
            <v>168000</v>
          </cell>
          <cell r="K1213">
            <v>168000</v>
          </cell>
        </row>
        <row r="1214">
          <cell r="C1214">
            <v>24710213</v>
          </cell>
          <cell r="D1214" t="str">
            <v>GSENAGP</v>
          </cell>
          <cell r="E1214" t="str">
            <v>SECURITY DEOSIT OF NAGPUR CIVIL LINES</v>
          </cell>
          <cell r="F1214" t="str">
            <v>ASECUR</v>
          </cell>
          <cell r="G1214">
            <v>167000</v>
          </cell>
          <cell r="K1214">
            <v>167000</v>
          </cell>
        </row>
        <row r="1215">
          <cell r="C1215">
            <v>24710477</v>
          </cell>
          <cell r="D1215" t="str">
            <v>GSEMAJ</v>
          </cell>
          <cell r="E1215" t="str">
            <v>SECURITY DEPOSIT OF MANJALPUR BARODA</v>
          </cell>
          <cell r="F1215" t="str">
            <v>ASECUR</v>
          </cell>
          <cell r="G1215">
            <v>165600</v>
          </cell>
          <cell r="K1215">
            <v>165600</v>
          </cell>
        </row>
        <row r="1216">
          <cell r="C1216">
            <v>24710654</v>
          </cell>
          <cell r="D1216" t="str">
            <v>GSEJP</v>
          </cell>
          <cell r="E1216" t="str">
            <v>SECURITY FOR JAIPUR PREMISES - NEW</v>
          </cell>
          <cell r="F1216" t="str">
            <v>ASECUR</v>
          </cell>
          <cell r="G1216">
            <v>165000</v>
          </cell>
          <cell r="K1216">
            <v>165000</v>
          </cell>
        </row>
        <row r="1217">
          <cell r="C1217">
            <v>24710570</v>
          </cell>
          <cell r="D1217" t="str">
            <v>GSETRB</v>
          </cell>
          <cell r="E1217" t="str">
            <v>SECURITY DEPOSIT OF TRIDENT BRODA BRANCH</v>
          </cell>
          <cell r="F1217" t="str">
            <v>ASECUR</v>
          </cell>
          <cell r="G1217">
            <v>165000</v>
          </cell>
          <cell r="K1217">
            <v>165000</v>
          </cell>
        </row>
        <row r="1218">
          <cell r="C1218">
            <v>24710532</v>
          </cell>
          <cell r="D1218" t="str">
            <v>GSESABA</v>
          </cell>
          <cell r="E1218" t="str">
            <v>SECURITY DEPOSIT OF SABARMATI ONLINE BRANCH</v>
          </cell>
          <cell r="F1218" t="str">
            <v>ASECUR</v>
          </cell>
          <cell r="G1218">
            <v>164604</v>
          </cell>
          <cell r="K1218">
            <v>164604</v>
          </cell>
        </row>
        <row r="1219">
          <cell r="C1219">
            <v>24710637</v>
          </cell>
          <cell r="D1219" t="str">
            <v>GSEAM</v>
          </cell>
          <cell r="E1219" t="str">
            <v>SECURITY FOR AMRITSAR PREMISES</v>
          </cell>
          <cell r="F1219" t="str">
            <v>ASECUR</v>
          </cell>
          <cell r="G1219">
            <v>162000</v>
          </cell>
          <cell r="K1219">
            <v>162000</v>
          </cell>
        </row>
        <row r="1220">
          <cell r="C1220">
            <v>24710337</v>
          </cell>
          <cell r="D1220" t="str">
            <v>GSEAGR</v>
          </cell>
          <cell r="E1220" t="str">
            <v>SECURITY DEPOSIT OF AGRA SADAR BAZAR (UP)</v>
          </cell>
          <cell r="F1220" t="str">
            <v>ASECUR</v>
          </cell>
          <cell r="G1220">
            <v>158100</v>
          </cell>
          <cell r="K1220">
            <v>158100</v>
          </cell>
        </row>
        <row r="1221">
          <cell r="C1221">
            <v>24710655</v>
          </cell>
          <cell r="D1221" t="str">
            <v>GSEJL</v>
          </cell>
          <cell r="E1221" t="str">
            <v>SECURITY FOR JALANDHAR PREMISES</v>
          </cell>
          <cell r="F1221" t="str">
            <v>ASECUR</v>
          </cell>
          <cell r="G1221">
            <v>156041</v>
          </cell>
          <cell r="K1221">
            <v>156041</v>
          </cell>
        </row>
        <row r="1222">
          <cell r="C1222">
            <v>24710360</v>
          </cell>
          <cell r="D1222" t="str">
            <v>GSEAUD</v>
          </cell>
          <cell r="E1222" t="str">
            <v>SECURITY DEPOSIT OF ASHOK NAGAR UDAIPUR</v>
          </cell>
          <cell r="F1222" t="str">
            <v>ASECUR</v>
          </cell>
          <cell r="G1222">
            <v>156000</v>
          </cell>
          <cell r="K1222">
            <v>156000</v>
          </cell>
        </row>
        <row r="1223">
          <cell r="C1223">
            <v>24710392</v>
          </cell>
          <cell r="D1223" t="str">
            <v>GSDDND</v>
          </cell>
          <cell r="E1223" t="str">
            <v>SECURITY DEPOSIT OF DEHRADUN OFFLINE-2</v>
          </cell>
          <cell r="F1223" t="str">
            <v>ASECUR</v>
          </cell>
          <cell r="G1223">
            <v>136976</v>
          </cell>
          <cell r="K1223">
            <v>136976</v>
          </cell>
        </row>
        <row r="1224">
          <cell r="C1224">
            <v>24710459</v>
          </cell>
          <cell r="D1224" t="str">
            <v>GSEKOT</v>
          </cell>
          <cell r="E1224" t="str">
            <v>SECURITY DEPOSIT OF KOTAKPURA PUNJAB ONLINE</v>
          </cell>
          <cell r="F1224" t="str">
            <v>ASECUR</v>
          </cell>
          <cell r="G1224">
            <v>153000</v>
          </cell>
          <cell r="K1224">
            <v>153000</v>
          </cell>
        </row>
        <row r="1225">
          <cell r="C1225">
            <v>24710311</v>
          </cell>
          <cell r="D1225" t="str">
            <v>GSEKAN</v>
          </cell>
          <cell r="E1225" t="str">
            <v>SECURITY DEPOSIT KANPUR</v>
          </cell>
          <cell r="F1225" t="str">
            <v>ASECUR</v>
          </cell>
          <cell r="G1225">
            <v>151050</v>
          </cell>
          <cell r="K1225">
            <v>151050</v>
          </cell>
        </row>
        <row r="1226">
          <cell r="C1226">
            <v>24710223</v>
          </cell>
          <cell r="D1226" t="str">
            <v>GSEANDH</v>
          </cell>
          <cell r="E1226" t="str">
            <v>SECURITY DEPOSIT ANDHERI MUMBAI (WEST)</v>
          </cell>
          <cell r="F1226" t="str">
            <v>ASECUR</v>
          </cell>
          <cell r="G1226">
            <v>115696.67</v>
          </cell>
          <cell r="K1226">
            <v>115696.67</v>
          </cell>
        </row>
        <row r="1227">
          <cell r="C1227">
            <v>24710689</v>
          </cell>
          <cell r="D1227" t="str">
            <v>GSECHYD</v>
          </cell>
          <cell r="E1227" t="str">
            <v>SECURITY RENT HYDRABAD</v>
          </cell>
          <cell r="F1227" t="str">
            <v>ASECUR</v>
          </cell>
          <cell r="G1227">
            <v>150192</v>
          </cell>
          <cell r="K1227">
            <v>150192</v>
          </cell>
        </row>
        <row r="1228">
          <cell r="C1228">
            <v>24710262</v>
          </cell>
          <cell r="D1228" t="str">
            <v>GSEGON</v>
          </cell>
          <cell r="E1228" t="str">
            <v>SECURITY DEPOSIT FOR GONDIA BRANCH</v>
          </cell>
          <cell r="F1228" t="str">
            <v>ASECUR</v>
          </cell>
          <cell r="G1228">
            <v>150000</v>
          </cell>
          <cell r="K1228">
            <v>150000</v>
          </cell>
        </row>
        <row r="1229">
          <cell r="C1229">
            <v>24710293</v>
          </cell>
          <cell r="D1229" t="str">
            <v>GSEVIR</v>
          </cell>
          <cell r="E1229" t="str">
            <v>SECURITY DEPOSIT FOR VIRAR BRANCH</v>
          </cell>
          <cell r="F1229" t="str">
            <v>ASECUR</v>
          </cell>
          <cell r="G1229">
            <v>150000</v>
          </cell>
          <cell r="K1229">
            <v>150000</v>
          </cell>
        </row>
        <row r="1230">
          <cell r="C1230">
            <v>24710299</v>
          </cell>
          <cell r="D1230" t="str">
            <v>GSEGRG</v>
          </cell>
          <cell r="E1230" t="str">
            <v>SECURITY DEPOSIT GURGAON</v>
          </cell>
          <cell r="F1230" t="str">
            <v>ASECUR</v>
          </cell>
          <cell r="G1230">
            <v>150000</v>
          </cell>
          <cell r="K1230">
            <v>150000</v>
          </cell>
        </row>
        <row r="1231">
          <cell r="C1231">
            <v>24710422</v>
          </cell>
          <cell r="D1231" t="str">
            <v>GSEGGH</v>
          </cell>
          <cell r="E1231" t="str">
            <v>SECURITY DEPOSIT OF GURGAON GUEST HOUSE</v>
          </cell>
          <cell r="F1231" t="str">
            <v>ASECUR</v>
          </cell>
          <cell r="G1231">
            <v>113163.68</v>
          </cell>
          <cell r="K1231">
            <v>113163.68</v>
          </cell>
        </row>
        <row r="1232">
          <cell r="C1232">
            <v>24710429</v>
          </cell>
          <cell r="D1232" t="str">
            <v>GSEHRD</v>
          </cell>
          <cell r="E1232" t="str">
            <v>SECURITY DEPOSIT OF HARIDWAR BRANCH</v>
          </cell>
          <cell r="F1232" t="str">
            <v>ASECUR</v>
          </cell>
          <cell r="G1232">
            <v>0</v>
          </cell>
          <cell r="K1232">
            <v>0</v>
          </cell>
        </row>
        <row r="1233">
          <cell r="C1233">
            <v>24710651</v>
          </cell>
          <cell r="D1233" t="str">
            <v>GSEHU</v>
          </cell>
          <cell r="E1233" t="str">
            <v>SECURITY FOR HUBLI BRANCH</v>
          </cell>
          <cell r="F1233" t="str">
            <v>ASECUR</v>
          </cell>
          <cell r="G1233">
            <v>150000</v>
          </cell>
          <cell r="K1233">
            <v>150000</v>
          </cell>
        </row>
        <row r="1234">
          <cell r="C1234">
            <v>24710686</v>
          </cell>
          <cell r="D1234" t="str">
            <v>GSEYA</v>
          </cell>
          <cell r="E1234" t="str">
            <v>SECURITY FOR YAMUNA NAGAR PREMISES(NEW)</v>
          </cell>
          <cell r="F1234" t="str">
            <v>ASECUR</v>
          </cell>
          <cell r="G1234">
            <v>144900</v>
          </cell>
          <cell r="K1234">
            <v>144900</v>
          </cell>
        </row>
        <row r="1235">
          <cell r="C1235">
            <v>24710685</v>
          </cell>
          <cell r="D1235" t="str">
            <v>GA0458</v>
          </cell>
          <cell r="E1235" t="str">
            <v>SECURITY FOR VIJAYWADA PREMISES</v>
          </cell>
          <cell r="F1235" t="str">
            <v>ASECUR</v>
          </cell>
          <cell r="G1235">
            <v>144000</v>
          </cell>
          <cell r="K1235">
            <v>144000</v>
          </cell>
        </row>
        <row r="1236">
          <cell r="C1236">
            <v>24710472</v>
          </cell>
          <cell r="D1236" t="str">
            <v>GSEMJA</v>
          </cell>
          <cell r="E1236" t="str">
            <v>SECURITY DEPOSIT OF MALVIYA NAGAR JAIPUR BRANCH</v>
          </cell>
          <cell r="F1236" t="str">
            <v>ASECUR</v>
          </cell>
          <cell r="G1236">
            <v>135375.70000000001</v>
          </cell>
          <cell r="K1236">
            <v>135375.70000000001</v>
          </cell>
        </row>
        <row r="1237">
          <cell r="C1237">
            <v>24710665</v>
          </cell>
          <cell r="D1237" t="str">
            <v>GSECL</v>
          </cell>
          <cell r="E1237" t="str">
            <v>SECURITY FOR LUCKNOW PREMISES</v>
          </cell>
          <cell r="F1237" t="str">
            <v>ASECUR</v>
          </cell>
          <cell r="G1237">
            <v>141990</v>
          </cell>
          <cell r="K1237">
            <v>141990</v>
          </cell>
        </row>
        <row r="1238">
          <cell r="C1238">
            <v>24710527</v>
          </cell>
          <cell r="D1238" t="str">
            <v>GSEROR</v>
          </cell>
          <cell r="E1238" t="str">
            <v>SECURITY DEPOSIT OF ROORKEE (UTRANCHAL) OFFLINE</v>
          </cell>
          <cell r="F1238" t="str">
            <v>ASECUR</v>
          </cell>
          <cell r="G1238">
            <v>138000</v>
          </cell>
          <cell r="K1238">
            <v>138000</v>
          </cell>
        </row>
        <row r="1239">
          <cell r="C1239">
            <v>24710393</v>
          </cell>
          <cell r="D1239" t="str">
            <v>GSEKRIS</v>
          </cell>
          <cell r="E1239" t="str">
            <v>SECURITY DEPOSIT OF DELHI KRISHNA NAGAR OFFLINE</v>
          </cell>
          <cell r="F1239" t="str">
            <v>ASECUR</v>
          </cell>
          <cell r="G1239">
            <v>127500</v>
          </cell>
          <cell r="K1239">
            <v>127500</v>
          </cell>
        </row>
        <row r="1240">
          <cell r="C1240">
            <v>24710413</v>
          </cell>
          <cell r="D1240" t="str">
            <v>GSEGHAZ</v>
          </cell>
          <cell r="E1240" t="str">
            <v>SECURITY DEPOSIT OF GHAZIABAD RDC RAJ NAGAR</v>
          </cell>
          <cell r="F1240" t="str">
            <v>ASECUR</v>
          </cell>
          <cell r="G1240">
            <v>73387.22</v>
          </cell>
          <cell r="K1240">
            <v>73387.22</v>
          </cell>
        </row>
        <row r="1241">
          <cell r="C1241">
            <v>24710530</v>
          </cell>
          <cell r="D1241" t="str">
            <v>GSRUDR</v>
          </cell>
          <cell r="E1241" t="str">
            <v>SECURITY DEPOSIT OF RUDRAPUR (UTTARANCHAL)</v>
          </cell>
          <cell r="F1241" t="str">
            <v>ASECUR</v>
          </cell>
          <cell r="G1241">
            <v>84490</v>
          </cell>
          <cell r="K1241">
            <v>84490</v>
          </cell>
        </row>
        <row r="1242">
          <cell r="C1242">
            <v>24710539</v>
          </cell>
          <cell r="D1242" t="str">
            <v>GSESRUR</v>
          </cell>
          <cell r="E1242" t="str">
            <v>SECURITY DEPOSIT OF SANGRUR PUNJAB BRANCH</v>
          </cell>
          <cell r="F1242" t="str">
            <v>ASECUR</v>
          </cell>
          <cell r="G1242">
            <v>98951.84</v>
          </cell>
          <cell r="K1242">
            <v>98951.84</v>
          </cell>
        </row>
        <row r="1243">
          <cell r="C1243">
            <v>24710554</v>
          </cell>
          <cell r="D1243" t="str">
            <v>GSESOL</v>
          </cell>
          <cell r="E1243" t="str">
            <v>SECURITY DEPOSIT OF SOLAN ONLINE BRANCH HIMAC</v>
          </cell>
          <cell r="F1243" t="str">
            <v>ASECUR</v>
          </cell>
          <cell r="G1243">
            <v>64514.32</v>
          </cell>
          <cell r="K1243">
            <v>64514.32</v>
          </cell>
        </row>
        <row r="1244">
          <cell r="C1244">
            <v>24710368</v>
          </cell>
          <cell r="D1244" t="str">
            <v>GSEBARE</v>
          </cell>
          <cell r="E1244" t="str">
            <v>SECURITY DEPOSIT OF BAREILLY ONLINE BRANCH</v>
          </cell>
          <cell r="F1244" t="str">
            <v>ASECUR</v>
          </cell>
          <cell r="G1244">
            <v>92827.48</v>
          </cell>
          <cell r="K1244">
            <v>92827.48</v>
          </cell>
        </row>
        <row r="1245">
          <cell r="C1245">
            <v>24710313</v>
          </cell>
          <cell r="D1245" t="str">
            <v>GSKOLH</v>
          </cell>
          <cell r="E1245" t="str">
            <v>SECURITY DEPOSIT KOLHAPUR  (OFFLINE)</v>
          </cell>
          <cell r="F1245" t="str">
            <v>ASECUR</v>
          </cell>
          <cell r="G1245">
            <v>115000</v>
          </cell>
          <cell r="K1245">
            <v>115000</v>
          </cell>
        </row>
        <row r="1246">
          <cell r="C1246">
            <v>24710307</v>
          </cell>
          <cell r="D1246" t="str">
            <v>GSEJAI</v>
          </cell>
          <cell r="E1246" t="str">
            <v>SECURITY DEPOSIT JAIPUR</v>
          </cell>
          <cell r="F1246" t="str">
            <v>ASECUR</v>
          </cell>
          <cell r="G1246">
            <v>114906.37</v>
          </cell>
          <cell r="K1246">
            <v>114906.37</v>
          </cell>
        </row>
        <row r="1247">
          <cell r="C1247">
            <v>24710662</v>
          </cell>
          <cell r="D1247" t="str">
            <v>GSEKA</v>
          </cell>
          <cell r="E1247" t="str">
            <v>SECURITY FOR KARNAL DEPOSIT</v>
          </cell>
          <cell r="F1247" t="str">
            <v>ASECUR</v>
          </cell>
          <cell r="G1247">
            <v>114000</v>
          </cell>
          <cell r="K1247">
            <v>114000</v>
          </cell>
        </row>
        <row r="1248">
          <cell r="C1248">
            <v>24710421</v>
          </cell>
          <cell r="D1248" t="str">
            <v>GSEGUL</v>
          </cell>
          <cell r="E1248" t="str">
            <v>SECURITY DEPOSIT OF GULBARGA(KARNATKA)</v>
          </cell>
          <cell r="F1248" t="str">
            <v>ASECUR</v>
          </cell>
          <cell r="G1248">
            <v>0</v>
          </cell>
          <cell r="K1248">
            <v>0</v>
          </cell>
        </row>
        <row r="1249">
          <cell r="C1249">
            <v>24710148</v>
          </cell>
          <cell r="E1249" t="str">
            <v>SECURITY DEPOSIT FOR SAFDARJUNG ENCLAVE</v>
          </cell>
          <cell r="F1249" t="str">
            <v>ASECUR</v>
          </cell>
          <cell r="G1249">
            <v>100000</v>
          </cell>
          <cell r="K1249">
            <v>100000</v>
          </cell>
        </row>
        <row r="1250">
          <cell r="C1250">
            <v>24710362</v>
          </cell>
          <cell r="D1250" t="str">
            <v>GSEAURA</v>
          </cell>
          <cell r="E1250" t="str">
            <v>SECURITY DEPOSIT OF AURANGABAD SAI ARCADE OFFLINE</v>
          </cell>
          <cell r="F1250" t="str">
            <v>ASECUR</v>
          </cell>
          <cell r="G1250">
            <v>0</v>
          </cell>
          <cell r="K1250">
            <v>0</v>
          </cell>
        </row>
        <row r="1251">
          <cell r="C1251">
            <v>24710371</v>
          </cell>
          <cell r="D1251" t="str">
            <v>GSEBELL</v>
          </cell>
          <cell r="E1251" t="str">
            <v>SECURITY DEPOSIT OF BELLARY (KARNATKA)</v>
          </cell>
          <cell r="F1251" t="str">
            <v>ASECUR</v>
          </cell>
          <cell r="G1251">
            <v>0</v>
          </cell>
          <cell r="K1251">
            <v>0</v>
          </cell>
        </row>
        <row r="1252">
          <cell r="C1252">
            <v>24710546</v>
          </cell>
          <cell r="D1252" t="str">
            <v>GSESHA</v>
          </cell>
          <cell r="E1252" t="str">
            <v>SECURITY DEPOSIT OF SHARANPUR COURT ROAD UP BRANCH</v>
          </cell>
          <cell r="F1252" t="str">
            <v>ASECUR</v>
          </cell>
          <cell r="G1252">
            <v>95434</v>
          </cell>
          <cell r="K1252">
            <v>95434</v>
          </cell>
        </row>
        <row r="1253">
          <cell r="C1253">
            <v>24710584</v>
          </cell>
          <cell r="D1253" t="str">
            <v>GSEYUV</v>
          </cell>
          <cell r="E1253" t="str">
            <v>SECURITY DEPOSIT OF YUVRAJ SINGH CHOUDHARY</v>
          </cell>
          <cell r="F1253" t="str">
            <v>ASECUR</v>
          </cell>
          <cell r="G1253">
            <v>100000</v>
          </cell>
          <cell r="K1253">
            <v>100000</v>
          </cell>
        </row>
        <row r="1254">
          <cell r="C1254">
            <v>24710623</v>
          </cell>
          <cell r="D1254" t="str">
            <v>GMUKU</v>
          </cell>
          <cell r="E1254" t="str">
            <v>SECURITY DEPOSIT VASI (MG)</v>
          </cell>
          <cell r="F1254" t="str">
            <v>ASECUR</v>
          </cell>
          <cell r="G1254">
            <v>100000</v>
          </cell>
          <cell r="K1254">
            <v>100000</v>
          </cell>
        </row>
        <row r="1255">
          <cell r="C1255">
            <v>24710320</v>
          </cell>
          <cell r="D1255" t="str">
            <v>GSEMAN</v>
          </cell>
          <cell r="E1255" t="str">
            <v>SECURITY DEPOSIT MANDI GOBINDGARH</v>
          </cell>
          <cell r="F1255" t="str">
            <v>ASECUR</v>
          </cell>
          <cell r="G1255">
            <v>96000</v>
          </cell>
          <cell r="K1255">
            <v>96000</v>
          </cell>
        </row>
        <row r="1256">
          <cell r="C1256">
            <v>24710615</v>
          </cell>
          <cell r="D1256" t="str">
            <v>GSEUD</v>
          </cell>
          <cell r="E1256" t="str">
            <v>SECURITY DEPOSIT UDIAPUR</v>
          </cell>
          <cell r="F1256" t="str">
            <v>ASECUR</v>
          </cell>
          <cell r="G1256">
            <v>96000</v>
          </cell>
          <cell r="K1256">
            <v>96000</v>
          </cell>
        </row>
        <row r="1257">
          <cell r="C1257">
            <v>24710219</v>
          </cell>
          <cell r="D1257" t="str">
            <v>GSEALL</v>
          </cell>
          <cell r="E1257" t="str">
            <v>SECURITY DEPOSIT ALLAHABAD (ONLINE)</v>
          </cell>
          <cell r="F1257" t="str">
            <v>ASECUR</v>
          </cell>
          <cell r="G1257">
            <v>93600</v>
          </cell>
          <cell r="K1257">
            <v>93600</v>
          </cell>
        </row>
        <row r="1258">
          <cell r="C1258">
            <v>24710222</v>
          </cell>
          <cell r="D1258" t="str">
            <v>GSE01</v>
          </cell>
          <cell r="E1258" t="str">
            <v>SECURITY DEPOSIT ANAND (AHEMDABAD)</v>
          </cell>
          <cell r="F1258" t="str">
            <v>ASECUR</v>
          </cell>
          <cell r="G1258">
            <v>91008</v>
          </cell>
          <cell r="K1258">
            <v>91008</v>
          </cell>
        </row>
        <row r="1259">
          <cell r="C1259">
            <v>24710387</v>
          </cell>
          <cell r="D1259" t="str">
            <v>GSECHIC</v>
          </cell>
          <cell r="E1259" t="str">
            <v>SECURITY DEPOSIT OF CHICKMAGLORE (KARNATAKA) BRANC</v>
          </cell>
          <cell r="F1259" t="str">
            <v>ASECUR</v>
          </cell>
          <cell r="G1259">
            <v>90000</v>
          </cell>
          <cell r="K1259">
            <v>90000</v>
          </cell>
        </row>
        <row r="1260">
          <cell r="C1260">
            <v>24710462</v>
          </cell>
          <cell r="D1260" t="str">
            <v>GSELAJ</v>
          </cell>
          <cell r="E1260" t="str">
            <v>SECURITY DEPOSIT OF LAJPAT NAGAR KANPUR ONLINE</v>
          </cell>
          <cell r="F1260" t="str">
            <v>ASECUR</v>
          </cell>
          <cell r="G1260">
            <v>90000</v>
          </cell>
          <cell r="K1260">
            <v>90000</v>
          </cell>
        </row>
        <row r="1261">
          <cell r="C1261">
            <v>24710616</v>
          </cell>
          <cell r="D1261" t="str">
            <v>GSEUJ</v>
          </cell>
          <cell r="E1261" t="str">
            <v>SECURITY DEPOSIT UJJAIN</v>
          </cell>
          <cell r="F1261" t="str">
            <v>ASECUR</v>
          </cell>
          <cell r="G1261">
            <v>90000</v>
          </cell>
          <cell r="K1261">
            <v>90000</v>
          </cell>
        </row>
        <row r="1262">
          <cell r="C1262">
            <v>24710394</v>
          </cell>
          <cell r="D1262" t="str">
            <v>GSEJHN</v>
          </cell>
          <cell r="E1262" t="str">
            <v>SECURITY DEPOSIT OF DEMROO CINEMA COMPLEX JHANSI</v>
          </cell>
          <cell r="F1262" t="str">
            <v>ASECUR</v>
          </cell>
          <cell r="G1262">
            <v>15911.33</v>
          </cell>
          <cell r="K1262">
            <v>15911.33</v>
          </cell>
        </row>
        <row r="1263">
          <cell r="C1263">
            <v>24710508</v>
          </cell>
          <cell r="D1263" t="str">
            <v>GSEPTKG</v>
          </cell>
          <cell r="E1263" t="str">
            <v>SECURITY DEPOSIT OF PATHANKOT PUNJAB BRANCH</v>
          </cell>
          <cell r="F1263" t="str">
            <v>ASECUR</v>
          </cell>
          <cell r="G1263">
            <v>87000</v>
          </cell>
          <cell r="K1263">
            <v>87000</v>
          </cell>
        </row>
        <row r="1264">
          <cell r="C1264">
            <v>24710327</v>
          </cell>
          <cell r="D1264" t="str">
            <v>GSDLD40</v>
          </cell>
          <cell r="E1264" t="str">
            <v>SECURITY DEPOSIT MUMBAI FORT</v>
          </cell>
          <cell r="F1264" t="str">
            <v>ASECUR</v>
          </cell>
          <cell r="G1264">
            <v>85000</v>
          </cell>
          <cell r="K1264">
            <v>85000</v>
          </cell>
        </row>
        <row r="1265">
          <cell r="C1265">
            <v>24710506</v>
          </cell>
          <cell r="D1265" t="str">
            <v>GSEPALW</v>
          </cell>
          <cell r="E1265" t="str">
            <v>SECURITY DEPOSIT OF PALWAL  FARIDABAD ONLINE BRANC</v>
          </cell>
          <cell r="F1265" t="str">
            <v>ASECUR</v>
          </cell>
          <cell r="G1265">
            <v>85000</v>
          </cell>
          <cell r="K1265">
            <v>85000</v>
          </cell>
        </row>
        <row r="1266">
          <cell r="C1266">
            <v>24710398</v>
          </cell>
          <cell r="D1266" t="str">
            <v>GSEDHAR</v>
          </cell>
          <cell r="E1266" t="str">
            <v>SECURITY DEPOSIT OF DHARWAD  JUBLEE CIRCLE</v>
          </cell>
          <cell r="F1266" t="str">
            <v>ASECUR</v>
          </cell>
          <cell r="G1266">
            <v>0</v>
          </cell>
          <cell r="K1266">
            <v>0</v>
          </cell>
        </row>
        <row r="1267">
          <cell r="C1267">
            <v>24710507</v>
          </cell>
          <cell r="D1267" t="str">
            <v>GSEPGT</v>
          </cell>
          <cell r="E1267" t="str">
            <v>SECURITY DEPOSIT OF PANIPAT NEAR GURUDWARA</v>
          </cell>
          <cell r="F1267" t="str">
            <v>ASECUR</v>
          </cell>
          <cell r="G1267">
            <v>75000</v>
          </cell>
          <cell r="K1267">
            <v>75000</v>
          </cell>
        </row>
        <row r="1268">
          <cell r="C1268">
            <v>24710343</v>
          </cell>
          <cell r="D1268" t="str">
            <v>GSEALO</v>
          </cell>
          <cell r="E1268" t="str">
            <v>SECURITY DEPOSIT OF ALLAHABAD OFFLINE</v>
          </cell>
          <cell r="F1268" t="str">
            <v>ASECUR</v>
          </cell>
          <cell r="G1268">
            <v>74250</v>
          </cell>
          <cell r="K1268">
            <v>74250</v>
          </cell>
        </row>
        <row r="1269">
          <cell r="C1269">
            <v>24710424</v>
          </cell>
          <cell r="D1269" t="str">
            <v>GSEGWA</v>
          </cell>
          <cell r="E1269" t="str">
            <v>SECURITY DEPOSIT OF GWALIOR BRANCH (UP)</v>
          </cell>
          <cell r="F1269" t="str">
            <v>ASECUR</v>
          </cell>
          <cell r="G1269">
            <v>0</v>
          </cell>
          <cell r="K1269">
            <v>0</v>
          </cell>
        </row>
        <row r="1270">
          <cell r="C1270">
            <v>24710465</v>
          </cell>
          <cell r="D1270" t="str">
            <v>GSELUC</v>
          </cell>
          <cell r="E1270" t="str">
            <v>SECURITY DEPOSIT OF LUCKNOW (ONLINE)</v>
          </cell>
          <cell r="F1270" t="str">
            <v>ASECUR</v>
          </cell>
          <cell r="G1270">
            <v>72000</v>
          </cell>
          <cell r="K1270">
            <v>72000</v>
          </cell>
        </row>
        <row r="1271">
          <cell r="C1271">
            <v>24710460</v>
          </cell>
          <cell r="D1271" t="str">
            <v>GSEKVA</v>
          </cell>
          <cell r="E1271" t="str">
            <v>SECURITY DEPOSIT OF KUBER A C MARKET VARANASI</v>
          </cell>
          <cell r="F1271" t="str">
            <v>ASECUR</v>
          </cell>
          <cell r="G1271">
            <v>71757</v>
          </cell>
          <cell r="K1271">
            <v>71757</v>
          </cell>
        </row>
        <row r="1272">
          <cell r="C1272">
            <v>24710300</v>
          </cell>
          <cell r="D1272" t="str">
            <v>GSDLF</v>
          </cell>
          <cell r="E1272" t="str">
            <v>SECURITY DEPOSIT GURGAON - DLF</v>
          </cell>
          <cell r="F1272" t="str">
            <v>ASECUR</v>
          </cell>
          <cell r="G1272">
            <v>60000</v>
          </cell>
          <cell r="K1272">
            <v>60000</v>
          </cell>
        </row>
        <row r="1273">
          <cell r="C1273">
            <v>24710331</v>
          </cell>
          <cell r="D1273" t="str">
            <v>GSENAR</v>
          </cell>
          <cell r="E1273" t="str">
            <v>SECURITY DEPOSIT NARIMAN POINT</v>
          </cell>
          <cell r="F1273" t="str">
            <v>ASECUR</v>
          </cell>
          <cell r="G1273">
            <v>60000</v>
          </cell>
          <cell r="K1273">
            <v>60000</v>
          </cell>
        </row>
        <row r="1274">
          <cell r="C1274">
            <v>24710384</v>
          </cell>
          <cell r="D1274" t="str">
            <v>GSETIRUP</v>
          </cell>
          <cell r="E1274" t="str">
            <v>SECURITY DEPOSIT OF CENTRAL PARK TIRUPATI BRANCH</v>
          </cell>
          <cell r="F1274" t="str">
            <v>ASECUR</v>
          </cell>
          <cell r="G1274">
            <v>60000</v>
          </cell>
          <cell r="K1274">
            <v>60000</v>
          </cell>
        </row>
        <row r="1275">
          <cell r="C1275">
            <v>24710614</v>
          </cell>
          <cell r="D1275" t="str">
            <v>GSETRU</v>
          </cell>
          <cell r="E1275" t="str">
            <v>SECURITY DEPOSIT TRUPATI</v>
          </cell>
          <cell r="F1275" t="str">
            <v>ASECUR</v>
          </cell>
          <cell r="G1275">
            <v>60000</v>
          </cell>
          <cell r="K1275">
            <v>60000</v>
          </cell>
        </row>
        <row r="1276">
          <cell r="C1276">
            <v>24710652</v>
          </cell>
          <cell r="D1276" t="str">
            <v>GA0388</v>
          </cell>
          <cell r="E1276" t="str">
            <v>SECURITY FOR INDORE PREMI</v>
          </cell>
          <cell r="F1276" t="str">
            <v>ASECUR</v>
          </cell>
          <cell r="G1276">
            <v>57000</v>
          </cell>
          <cell r="K1276">
            <v>57000</v>
          </cell>
        </row>
        <row r="1277">
          <cell r="C1277">
            <v>24710440</v>
          </cell>
          <cell r="D1277" t="str">
            <v>GSEVAIS</v>
          </cell>
          <cell r="E1277" t="str">
            <v>SECURITY DEPOSIT OF JAIPUR VAISHALI NAGAR OFFLINE</v>
          </cell>
          <cell r="F1277" t="str">
            <v>ASECUR</v>
          </cell>
          <cell r="G1277">
            <v>55500</v>
          </cell>
          <cell r="K1277">
            <v>55500</v>
          </cell>
        </row>
        <row r="1278">
          <cell r="C1278">
            <v>24710296</v>
          </cell>
          <cell r="D1278" t="str">
            <v>GSEGOR</v>
          </cell>
          <cell r="E1278" t="str">
            <v>SECURITY DEPOSIT GORAKHPUR ONLINE</v>
          </cell>
          <cell r="F1278" t="str">
            <v>ASECUR</v>
          </cell>
          <cell r="G1278">
            <v>54840</v>
          </cell>
          <cell r="K1278">
            <v>54840</v>
          </cell>
        </row>
        <row r="1279">
          <cell r="C1279">
            <v>24710630</v>
          </cell>
          <cell r="D1279" t="str">
            <v>GSENO</v>
          </cell>
          <cell r="E1279" t="str">
            <v>SECURITY DEPOSITE GREATER NOIDA</v>
          </cell>
          <cell r="F1279" t="str">
            <v>ASECUR</v>
          </cell>
          <cell r="G1279">
            <v>37030.32</v>
          </cell>
          <cell r="K1279">
            <v>37030.32</v>
          </cell>
        </row>
        <row r="1280">
          <cell r="C1280">
            <v>24710214</v>
          </cell>
          <cell r="D1280" t="str">
            <v>GE0093</v>
          </cell>
          <cell r="E1280" t="str">
            <v>SECURITY DEPOSIT (JAIPUR)</v>
          </cell>
          <cell r="F1280" t="str">
            <v>ASECUR</v>
          </cell>
          <cell r="G1280">
            <v>53676</v>
          </cell>
          <cell r="K1280">
            <v>53676</v>
          </cell>
        </row>
        <row r="1281">
          <cell r="C1281">
            <v>24710696</v>
          </cell>
          <cell r="D1281" t="str">
            <v>GSE07</v>
          </cell>
          <cell r="E1281" t="str">
            <v>SECUTIRY DEPOSIT GORKHPUR OFFLINE</v>
          </cell>
          <cell r="F1281" t="str">
            <v>ASECUR</v>
          </cell>
          <cell r="G1281">
            <v>52500</v>
          </cell>
          <cell r="K1281">
            <v>52500</v>
          </cell>
        </row>
        <row r="1282">
          <cell r="C1282">
            <v>24710397</v>
          </cell>
          <cell r="D1282" t="str">
            <v>GSEDHA</v>
          </cell>
          <cell r="E1282" t="str">
            <v>SECURITY DEPOSIT OF DHANAVAIPETA RAJAHMUNDRY BRANC</v>
          </cell>
          <cell r="F1282" t="str">
            <v>ASECUR</v>
          </cell>
          <cell r="G1282">
            <v>0</v>
          </cell>
          <cell r="K1282">
            <v>0</v>
          </cell>
        </row>
        <row r="1283">
          <cell r="C1283">
            <v>24710419</v>
          </cell>
          <cell r="D1283" t="str">
            <v>GSEGOV</v>
          </cell>
          <cell r="E1283" t="str">
            <v>SECURITY DEPOSIT OF GOVERNORPET VIJAYAWADA BRANCH</v>
          </cell>
          <cell r="F1283" t="str">
            <v>ASECUR</v>
          </cell>
          <cell r="G1283">
            <v>0</v>
          </cell>
          <cell r="K1283">
            <v>0</v>
          </cell>
        </row>
        <row r="1284">
          <cell r="C1284">
            <v>24710558</v>
          </cell>
          <cell r="D1284" t="str">
            <v>GSESRIK</v>
          </cell>
          <cell r="E1284" t="str">
            <v>SECURITY DEPOSIT OF SRIKAKULAM ANDHRA PRADESH OF</v>
          </cell>
          <cell r="F1284" t="str">
            <v>ASECUR</v>
          </cell>
          <cell r="G1284">
            <v>0</v>
          </cell>
          <cell r="K1284">
            <v>0</v>
          </cell>
        </row>
        <row r="1285">
          <cell r="C1285">
            <v>24710571</v>
          </cell>
          <cell r="D1285" t="str">
            <v>GSEKUR</v>
          </cell>
          <cell r="E1285" t="str">
            <v>SECURITY DEPOSIT OF UCON PLAZA KURNOOL OFFLINE</v>
          </cell>
          <cell r="F1285" t="str">
            <v>ASECUR</v>
          </cell>
          <cell r="G1285">
            <v>0</v>
          </cell>
          <cell r="K1285">
            <v>0</v>
          </cell>
        </row>
        <row r="1286">
          <cell r="C1286">
            <v>24710622</v>
          </cell>
          <cell r="D1286" t="str">
            <v>GGAUR</v>
          </cell>
          <cell r="E1286" t="str">
            <v>SECURITY DEPOSIT VASI (GMG)</v>
          </cell>
          <cell r="F1286" t="str">
            <v>ASECUR</v>
          </cell>
          <cell r="G1286">
            <v>50000</v>
          </cell>
          <cell r="K1286">
            <v>50000</v>
          </cell>
        </row>
        <row r="1287">
          <cell r="C1287">
            <v>24710649</v>
          </cell>
          <cell r="D1287" t="str">
            <v>GSECG</v>
          </cell>
          <cell r="E1287" t="str">
            <v>SECURITY FOR GOA PREMISES(NEW)</v>
          </cell>
          <cell r="F1287" t="str">
            <v>ASECUR</v>
          </cell>
          <cell r="G1287">
            <v>49823</v>
          </cell>
          <cell r="K1287">
            <v>49823</v>
          </cell>
        </row>
        <row r="1288">
          <cell r="C1288">
            <v>24710309</v>
          </cell>
          <cell r="D1288" t="str">
            <v>GSEJHA</v>
          </cell>
          <cell r="E1288" t="str">
            <v>SECURITY DEPOSIT JHANSI</v>
          </cell>
          <cell r="F1288" t="str">
            <v>ASECUR</v>
          </cell>
          <cell r="G1288">
            <v>48000</v>
          </cell>
          <cell r="K1288">
            <v>48000</v>
          </cell>
        </row>
        <row r="1289">
          <cell r="C1289">
            <v>24710578</v>
          </cell>
          <cell r="D1289" t="str">
            <v>GSEVIK</v>
          </cell>
          <cell r="E1289" t="str">
            <v>SECURITY DEPOSIT OF VIKAS SACHEVA RESIDENTIAL LEAS</v>
          </cell>
          <cell r="F1289" t="str">
            <v>ASECUR</v>
          </cell>
          <cell r="G1289">
            <v>48000</v>
          </cell>
          <cell r="K1289">
            <v>48000</v>
          </cell>
        </row>
        <row r="1290">
          <cell r="C1290">
            <v>24710648</v>
          </cell>
          <cell r="D1290" t="str">
            <v>GSECZ</v>
          </cell>
          <cell r="E1290" t="str">
            <v>SECURITY FOR GHAZIABAD PREMISES</v>
          </cell>
          <cell r="F1290" t="str">
            <v>ASECUR</v>
          </cell>
          <cell r="G1290">
            <v>48000</v>
          </cell>
          <cell r="K1290">
            <v>48000</v>
          </cell>
        </row>
        <row r="1291">
          <cell r="C1291">
            <v>24710230</v>
          </cell>
          <cell r="D1291" t="str">
            <v>GSEBIK</v>
          </cell>
          <cell r="E1291" t="str">
            <v>SECURITY DEPOSIT BIKANER</v>
          </cell>
          <cell r="F1291" t="str">
            <v>ASECUR</v>
          </cell>
          <cell r="G1291">
            <v>45000</v>
          </cell>
          <cell r="K1291">
            <v>45000</v>
          </cell>
        </row>
        <row r="1292">
          <cell r="C1292">
            <v>24710344</v>
          </cell>
          <cell r="D1292" t="str">
            <v>GSEALWAR</v>
          </cell>
          <cell r="E1292" t="str">
            <v>SECURITY DEPOSIT OF ALWAR ONLINE (RAJSTAN)</v>
          </cell>
          <cell r="F1292" t="str">
            <v>ASECUR</v>
          </cell>
          <cell r="G1292">
            <v>0</v>
          </cell>
          <cell r="K1292">
            <v>0</v>
          </cell>
        </row>
        <row r="1293">
          <cell r="C1293">
            <v>24710352</v>
          </cell>
          <cell r="D1293" t="str">
            <v>GSEAMRI</v>
          </cell>
          <cell r="E1293" t="str">
            <v>SECURITY DEPOSIT OF AMRITSAR ONLINE BRANCH</v>
          </cell>
          <cell r="F1293" t="str">
            <v>ASECUR</v>
          </cell>
          <cell r="G1293">
            <v>45000</v>
          </cell>
          <cell r="K1293">
            <v>45000</v>
          </cell>
        </row>
        <row r="1294">
          <cell r="C1294">
            <v>24710435</v>
          </cell>
          <cell r="D1294" t="str">
            <v>GSEHALD</v>
          </cell>
          <cell r="E1294" t="str">
            <v>SECURITY DEPOSIT OF HOLDWANI  DURGA CITY</v>
          </cell>
          <cell r="F1294" t="str">
            <v>ASECUR</v>
          </cell>
          <cell r="G1294">
            <v>45000</v>
          </cell>
          <cell r="K1294">
            <v>45000</v>
          </cell>
        </row>
        <row r="1295">
          <cell r="C1295">
            <v>24710342</v>
          </cell>
          <cell r="D1295" t="str">
            <v>GSEALIG</v>
          </cell>
          <cell r="E1295" t="str">
            <v>SECURITY DEPOSIT OF ALIGANJ KAPOORTHLA LUNCKNOW</v>
          </cell>
          <cell r="F1295" t="str">
            <v>ASECUR</v>
          </cell>
          <cell r="G1295">
            <v>44490</v>
          </cell>
          <cell r="K1295">
            <v>44490</v>
          </cell>
        </row>
        <row r="1296">
          <cell r="C1296">
            <v>24710694</v>
          </cell>
          <cell r="D1296" t="str">
            <v>GASEGH</v>
          </cell>
          <cell r="E1296" t="str">
            <v>SECURITY RENT SJE GH</v>
          </cell>
          <cell r="F1296" t="str">
            <v>ASECUR</v>
          </cell>
          <cell r="G1296">
            <v>44000</v>
          </cell>
          <cell r="K1296">
            <v>44000</v>
          </cell>
        </row>
        <row r="1297">
          <cell r="C1297">
            <v>24710341</v>
          </cell>
          <cell r="D1297" t="str">
            <v>GSEALAM</v>
          </cell>
          <cell r="E1297" t="str">
            <v>SECURITY DEPOSIT OF ALAMBAGH   KANPUR RAOD</v>
          </cell>
          <cell r="F1297" t="str">
            <v>ASECUR</v>
          </cell>
          <cell r="G1297">
            <v>43200</v>
          </cell>
          <cell r="K1297">
            <v>43200</v>
          </cell>
        </row>
        <row r="1298">
          <cell r="C1298">
            <v>24710416</v>
          </cell>
          <cell r="D1298" t="str">
            <v>GSEGOPA</v>
          </cell>
          <cell r="E1298" t="str">
            <v>SECURITY DEPOSIT OF GOPALPURA MANSAROVAR BRANCH</v>
          </cell>
          <cell r="F1298" t="str">
            <v>ASECUR</v>
          </cell>
          <cell r="G1298">
            <v>43090</v>
          </cell>
          <cell r="K1298">
            <v>43090</v>
          </cell>
        </row>
        <row r="1299">
          <cell r="C1299">
            <v>24710627</v>
          </cell>
          <cell r="D1299" t="str">
            <v>GA00022</v>
          </cell>
          <cell r="E1299" t="str">
            <v>SECURITY DEPOSIT VIZAG</v>
          </cell>
          <cell r="F1299" t="str">
            <v>ASECUR</v>
          </cell>
          <cell r="G1299">
            <v>42000</v>
          </cell>
          <cell r="K1299">
            <v>42000</v>
          </cell>
        </row>
        <row r="1300">
          <cell r="C1300">
            <v>24710635</v>
          </cell>
          <cell r="D1300" t="str">
            <v>GSEAJ</v>
          </cell>
          <cell r="E1300" t="str">
            <v>SECURITY FOR AJMER PREMISES</v>
          </cell>
          <cell r="F1300" t="str">
            <v>ASECUR</v>
          </cell>
          <cell r="G1300">
            <v>39980</v>
          </cell>
          <cell r="K1300">
            <v>39980</v>
          </cell>
        </row>
        <row r="1301">
          <cell r="C1301">
            <v>24710474</v>
          </cell>
          <cell r="D1301" t="str">
            <v>GSEMANG</v>
          </cell>
          <cell r="E1301" t="str">
            <v>SECURITY DEPOSIT OF MANGALAGIRI BRANCH</v>
          </cell>
          <cell r="F1301" t="str">
            <v>ASECUR</v>
          </cell>
          <cell r="G1301">
            <v>39000</v>
          </cell>
          <cell r="K1301">
            <v>39000</v>
          </cell>
        </row>
        <row r="1302">
          <cell r="C1302">
            <v>24710675</v>
          </cell>
          <cell r="D1302" t="str">
            <v>GSEPN</v>
          </cell>
          <cell r="E1302" t="str">
            <v>SECURITY FOR PANIPAT OFFICE (NEW)</v>
          </cell>
          <cell r="F1302" t="str">
            <v>ASECUR</v>
          </cell>
          <cell r="G1302">
            <v>38000</v>
          </cell>
          <cell r="K1302">
            <v>38000</v>
          </cell>
        </row>
        <row r="1303">
          <cell r="C1303">
            <v>24710661</v>
          </cell>
          <cell r="D1303" t="str">
            <v>GSEKP</v>
          </cell>
          <cell r="E1303" t="str">
            <v>SECURITY FOR KANPUR PREMISES - NEW</v>
          </cell>
          <cell r="F1303" t="str">
            <v>ASECUR</v>
          </cell>
          <cell r="G1303">
            <v>37500</v>
          </cell>
          <cell r="K1303">
            <v>37500</v>
          </cell>
        </row>
        <row r="1304">
          <cell r="C1304">
            <v>24710549</v>
          </cell>
          <cell r="D1304" t="str">
            <v>GSESHIV</v>
          </cell>
          <cell r="E1304" t="str">
            <v>SECURITY DEPOSIT OF SHIVPURI UTSAV VATIKA OFFLINE</v>
          </cell>
          <cell r="F1304" t="str">
            <v>ASECUR</v>
          </cell>
          <cell r="G1304">
            <v>0</v>
          </cell>
          <cell r="K1304">
            <v>0</v>
          </cell>
        </row>
        <row r="1305">
          <cell r="C1305">
            <v>24710503</v>
          </cell>
          <cell r="D1305" t="str">
            <v>GSEPALA</v>
          </cell>
          <cell r="E1305" t="str">
            <v>SECURITY DEPOSIT OF PALAKOL (AP)</v>
          </cell>
          <cell r="F1305" t="str">
            <v>ASECUR</v>
          </cell>
          <cell r="G1305">
            <v>37432</v>
          </cell>
          <cell r="K1305">
            <v>37432</v>
          </cell>
        </row>
        <row r="1306">
          <cell r="C1306">
            <v>24710380</v>
          </cell>
          <cell r="D1306" t="str">
            <v>GSEBILA</v>
          </cell>
          <cell r="E1306" t="str">
            <v>SECURITY DEPOSIT OF BILASPUR CHATTISHGARH OFFLINE</v>
          </cell>
          <cell r="F1306" t="str">
            <v>ASECUR</v>
          </cell>
          <cell r="G1306">
            <v>0</v>
          </cell>
          <cell r="K1306">
            <v>0</v>
          </cell>
        </row>
        <row r="1307">
          <cell r="C1307">
            <v>24710601</v>
          </cell>
          <cell r="D1307" t="str">
            <v>GSE17</v>
          </cell>
          <cell r="E1307" t="str">
            <v>SECURITY DEPOSIT RENT RENUKOOT SHREE HANUMAN MKT</v>
          </cell>
          <cell r="F1307" t="str">
            <v>ASECUR</v>
          </cell>
          <cell r="G1307">
            <v>35500</v>
          </cell>
          <cell r="K1307">
            <v>35500</v>
          </cell>
        </row>
        <row r="1308">
          <cell r="C1308">
            <v>24710446</v>
          </cell>
          <cell r="D1308" t="str">
            <v>GSEKAK</v>
          </cell>
          <cell r="E1308" t="str">
            <v>SECURITY DEPOSIT OF KAKADEO  KANPUR (UP)</v>
          </cell>
          <cell r="F1308" t="str">
            <v>ASECUR</v>
          </cell>
          <cell r="G1308">
            <v>33100</v>
          </cell>
          <cell r="K1308">
            <v>33100</v>
          </cell>
        </row>
        <row r="1309">
          <cell r="C1309">
            <v>24710306</v>
          </cell>
          <cell r="D1309" t="str">
            <v>GSEJAB</v>
          </cell>
          <cell r="E1309" t="str">
            <v>SECURITY DEPOSIT JABALPUR BRANCH</v>
          </cell>
          <cell r="F1309" t="str">
            <v>ASECUR</v>
          </cell>
          <cell r="G1309">
            <v>0</v>
          </cell>
          <cell r="K1309">
            <v>0</v>
          </cell>
        </row>
        <row r="1310">
          <cell r="C1310">
            <v>24710510</v>
          </cell>
          <cell r="D1310" t="str">
            <v>GSEPATI</v>
          </cell>
          <cell r="E1310" t="str">
            <v>SECURITY DEPOSIT OF PATIALA EXPENTION PUNJAB ONLIN</v>
          </cell>
          <cell r="F1310" t="str">
            <v>ASECUR</v>
          </cell>
          <cell r="G1310">
            <v>33000</v>
          </cell>
          <cell r="K1310">
            <v>33000</v>
          </cell>
        </row>
        <row r="1311">
          <cell r="C1311">
            <v>24710690</v>
          </cell>
          <cell r="D1311" t="str">
            <v>GALUD</v>
          </cell>
          <cell r="E1311" t="str">
            <v>SECURITY RENT LUDHIANA</v>
          </cell>
          <cell r="F1311" t="str">
            <v>ASECUR</v>
          </cell>
          <cell r="G1311">
            <v>33000</v>
          </cell>
          <cell r="K1311">
            <v>33000</v>
          </cell>
        </row>
        <row r="1312">
          <cell r="C1312">
            <v>24710281</v>
          </cell>
          <cell r="D1312" t="str">
            <v>GSCRAM</v>
          </cell>
          <cell r="E1312" t="str">
            <v>SECURITY DEPOSIT FOR RAMPUR ( UP )</v>
          </cell>
          <cell r="F1312" t="str">
            <v>ASECUR</v>
          </cell>
          <cell r="G1312">
            <v>0</v>
          </cell>
          <cell r="K1312">
            <v>0</v>
          </cell>
        </row>
        <row r="1313">
          <cell r="C1313">
            <v>24710603</v>
          </cell>
          <cell r="D1313" t="str">
            <v>GA0074</v>
          </cell>
          <cell r="E1313" t="str">
            <v>SECURITY DEPOSIT RENT-PATIALA</v>
          </cell>
          <cell r="F1313" t="str">
            <v>ASECUR</v>
          </cell>
          <cell r="G1313">
            <v>32000</v>
          </cell>
          <cell r="K1313">
            <v>32000</v>
          </cell>
        </row>
        <row r="1314">
          <cell r="C1314">
            <v>24710599</v>
          </cell>
          <cell r="D1314" t="str">
            <v>GA0023</v>
          </cell>
          <cell r="E1314" t="str">
            <v>SECURITY DEPOSIT RENT (PATIALA)</v>
          </cell>
          <cell r="F1314" t="str">
            <v>ASECUR</v>
          </cell>
          <cell r="G1314">
            <v>30900</v>
          </cell>
          <cell r="K1314">
            <v>30900</v>
          </cell>
        </row>
        <row r="1315">
          <cell r="C1315">
            <v>24710339</v>
          </cell>
          <cell r="D1315" t="str">
            <v>GSEALAK</v>
          </cell>
          <cell r="E1315" t="str">
            <v>SECURITY DEPOSIT OF ALAKNANDA ABHISHEK TOWER</v>
          </cell>
          <cell r="F1315" t="str">
            <v>ASECUR</v>
          </cell>
          <cell r="G1315">
            <v>30000</v>
          </cell>
          <cell r="K1315">
            <v>30000</v>
          </cell>
        </row>
        <row r="1316">
          <cell r="C1316">
            <v>24710542</v>
          </cell>
          <cell r="D1316" t="str">
            <v>GSESATN</v>
          </cell>
          <cell r="E1316" t="str">
            <v>SECURITY DEPOSIT OF SATNA OFFLINE</v>
          </cell>
          <cell r="F1316" t="str">
            <v>ASECUR</v>
          </cell>
          <cell r="G1316">
            <v>0</v>
          </cell>
          <cell r="K1316">
            <v>0</v>
          </cell>
        </row>
        <row r="1317">
          <cell r="C1317">
            <v>24710634</v>
          </cell>
          <cell r="D1317" t="str">
            <v>GSEAR</v>
          </cell>
          <cell r="E1317" t="str">
            <v>SECURITY FOR AGRA PREMISES</v>
          </cell>
          <cell r="F1317" t="str">
            <v>ASECUR</v>
          </cell>
          <cell r="G1317">
            <v>30000</v>
          </cell>
          <cell r="K1317">
            <v>30000</v>
          </cell>
        </row>
        <row r="1318">
          <cell r="C1318">
            <v>24710596</v>
          </cell>
          <cell r="D1318" t="str">
            <v>GSO24</v>
          </cell>
          <cell r="E1318" t="str">
            <v>SECURITY DEPOSIT RAJAJIPURAM</v>
          </cell>
          <cell r="F1318" t="str">
            <v>ASECUR</v>
          </cell>
          <cell r="G1318">
            <v>28000</v>
          </cell>
          <cell r="K1318">
            <v>28000</v>
          </cell>
        </row>
        <row r="1319">
          <cell r="C1319">
            <v>24710364</v>
          </cell>
          <cell r="D1319" t="str">
            <v>GSEBALL</v>
          </cell>
          <cell r="E1319" t="str">
            <v>SECURITY DEPOSIT OF BALLIA UP OFFLINE</v>
          </cell>
          <cell r="F1319" t="str">
            <v>ASECUR</v>
          </cell>
          <cell r="G1319">
            <v>27450.61</v>
          </cell>
          <cell r="K1319">
            <v>27450.61</v>
          </cell>
        </row>
        <row r="1320">
          <cell r="C1320">
            <v>24710405</v>
          </cell>
          <cell r="D1320" t="str">
            <v>GSEFAI</v>
          </cell>
          <cell r="E1320" t="str">
            <v>SECURITY DEPOSIT OF FAIZABAD OFFLINE</v>
          </cell>
          <cell r="F1320" t="str">
            <v>ASECUR</v>
          </cell>
          <cell r="G1320">
            <v>0</v>
          </cell>
          <cell r="K1320">
            <v>0</v>
          </cell>
        </row>
        <row r="1321">
          <cell r="C1321">
            <v>24710282</v>
          </cell>
          <cell r="D1321" t="str">
            <v>GSESAR</v>
          </cell>
          <cell r="E1321" t="str">
            <v>SECURITY DEPOSIT FOR SAGAR M P BRANCH</v>
          </cell>
          <cell r="F1321" t="str">
            <v>ASECUR</v>
          </cell>
          <cell r="G1321">
            <v>26910</v>
          </cell>
          <cell r="K1321">
            <v>26910</v>
          </cell>
        </row>
        <row r="1322">
          <cell r="C1322">
            <v>24710216</v>
          </cell>
          <cell r="D1322" t="str">
            <v>GSCPA</v>
          </cell>
          <cell r="E1322" t="str">
            <v>SECURITY DEPOSIT - PANCHKULA</v>
          </cell>
          <cell r="F1322" t="str">
            <v>ASECUR</v>
          </cell>
          <cell r="G1322">
            <v>26400</v>
          </cell>
          <cell r="K1322">
            <v>26400</v>
          </cell>
        </row>
        <row r="1323">
          <cell r="C1323">
            <v>24710522</v>
          </cell>
          <cell r="D1323" t="str">
            <v>GSEREN</v>
          </cell>
          <cell r="E1323" t="str">
            <v>SECURITY DEPOSIT OF RENUKOOT BRANCH</v>
          </cell>
          <cell r="F1323" t="str">
            <v>ASECUR</v>
          </cell>
          <cell r="G1323">
            <v>25000</v>
          </cell>
          <cell r="K1323">
            <v>25000</v>
          </cell>
        </row>
        <row r="1324">
          <cell r="C1324">
            <v>24710645</v>
          </cell>
          <cell r="D1324" t="str">
            <v>GSEFD</v>
          </cell>
          <cell r="E1324" t="str">
            <v>SECURITY FOR FARIDABAD PREMISES (NEW)</v>
          </cell>
          <cell r="F1324" t="str">
            <v>ASECUR</v>
          </cell>
          <cell r="G1324">
            <v>25000</v>
          </cell>
          <cell r="K1324">
            <v>25000</v>
          </cell>
        </row>
        <row r="1325">
          <cell r="C1325">
            <v>24710439</v>
          </cell>
          <cell r="D1325" t="str">
            <v>GSEJAGG</v>
          </cell>
          <cell r="E1325" t="str">
            <v>SECURITY DEPOSIT OF JAGGAMPETA (ANDHRA PRADESH)</v>
          </cell>
          <cell r="F1325" t="str">
            <v>ASECUR</v>
          </cell>
          <cell r="G1325">
            <v>24000</v>
          </cell>
          <cell r="K1325">
            <v>24000</v>
          </cell>
        </row>
        <row r="1326">
          <cell r="C1326">
            <v>24710531</v>
          </cell>
          <cell r="D1326" t="str">
            <v>GSERUD</v>
          </cell>
          <cell r="E1326" t="str">
            <v>SECURITY DEPOSIT OF RUDURPUR  U. S. NAGAR</v>
          </cell>
          <cell r="F1326" t="str">
            <v>ASECUR</v>
          </cell>
          <cell r="G1326">
            <v>20688</v>
          </cell>
          <cell r="K1326">
            <v>20688</v>
          </cell>
        </row>
        <row r="1327">
          <cell r="C1327">
            <v>24710423</v>
          </cell>
          <cell r="D1327" t="str">
            <v>GSEGR15</v>
          </cell>
          <cell r="E1327" t="str">
            <v>SECURITY DEPOSIT OF GURGAON SEC 15</v>
          </cell>
          <cell r="F1327" t="str">
            <v>ASECUR</v>
          </cell>
          <cell r="G1327">
            <v>20679.22</v>
          </cell>
          <cell r="K1327">
            <v>20679.22</v>
          </cell>
        </row>
        <row r="1328">
          <cell r="C1328">
            <v>24710512</v>
          </cell>
          <cell r="D1328" t="str">
            <v>GSEPILI</v>
          </cell>
          <cell r="E1328" t="str">
            <v>SECURITY DEPOSIT OF PILIBHIT CHOWK BAZAR UP OFFLIN</v>
          </cell>
          <cell r="F1328" t="str">
            <v>ASECUR</v>
          </cell>
          <cell r="G1328">
            <v>19800</v>
          </cell>
          <cell r="K1328">
            <v>19800</v>
          </cell>
        </row>
        <row r="1329">
          <cell r="C1329">
            <v>24710684</v>
          </cell>
          <cell r="D1329" t="str">
            <v>GSVIJ</v>
          </cell>
          <cell r="E1329" t="str">
            <v>SECURITY FOR VIJAYANAGARAM PRENISES</v>
          </cell>
          <cell r="F1329" t="str">
            <v>ASECUR</v>
          </cell>
          <cell r="G1329">
            <v>18000</v>
          </cell>
          <cell r="K1329">
            <v>18000</v>
          </cell>
        </row>
        <row r="1330">
          <cell r="C1330">
            <v>24710701</v>
          </cell>
          <cell r="D1330" t="str">
            <v>GSPNP</v>
          </cell>
          <cell r="E1330" t="str">
            <v>SECUTITY DEPOSIT PANIPAT</v>
          </cell>
          <cell r="F1330" t="str">
            <v>ASECUR</v>
          </cell>
          <cell r="G1330">
            <v>18000</v>
          </cell>
          <cell r="K1330">
            <v>18000</v>
          </cell>
        </row>
        <row r="1331">
          <cell r="C1331">
            <v>24710688</v>
          </cell>
          <cell r="D1331" t="str">
            <v>GADUR</v>
          </cell>
          <cell r="E1331" t="str">
            <v>SECURITY RENT DURGAPUR</v>
          </cell>
          <cell r="F1331" t="str">
            <v>ASECUR</v>
          </cell>
          <cell r="G1331">
            <v>15000</v>
          </cell>
          <cell r="K1331">
            <v>15000</v>
          </cell>
        </row>
        <row r="1332">
          <cell r="C1332">
            <v>24710644</v>
          </cell>
          <cell r="D1332" t="str">
            <v>GA0475</v>
          </cell>
          <cell r="E1332" t="str">
            <v>SECURITY FOR FARIDABAD PR</v>
          </cell>
          <cell r="F1332" t="str">
            <v>ASECUR</v>
          </cell>
          <cell r="G1332">
            <v>14000</v>
          </cell>
          <cell r="K1332">
            <v>14000</v>
          </cell>
        </row>
        <row r="1333">
          <cell r="C1333">
            <v>24710345</v>
          </cell>
          <cell r="D1333" t="str">
            <v>GSEALWA</v>
          </cell>
          <cell r="E1333" t="str">
            <v>SECURITY DEPOSIT OF ALWAR  MANU MARG (RAJASTHAN)</v>
          </cell>
          <cell r="F1333" t="str">
            <v>ASECUR</v>
          </cell>
          <cell r="G1333">
            <v>12245.24</v>
          </cell>
          <cell r="K1333">
            <v>12245.24</v>
          </cell>
        </row>
        <row r="1334">
          <cell r="C1334">
            <v>24710511</v>
          </cell>
          <cell r="D1334" t="str">
            <v>GSEPHA</v>
          </cell>
          <cell r="E1334" t="str">
            <v>SECURITY DEPOSIT OF PHALODI BRANCH</v>
          </cell>
          <cell r="F1334" t="str">
            <v>ASECUR</v>
          </cell>
          <cell r="G1334">
            <v>12000</v>
          </cell>
          <cell r="K1334">
            <v>12000</v>
          </cell>
        </row>
        <row r="1335">
          <cell r="C1335">
            <v>24710372</v>
          </cell>
          <cell r="D1335" t="str">
            <v>GSEBHAD</v>
          </cell>
          <cell r="E1335" t="str">
            <v>SECURITY DEPOSIT OF BHADOHI OFFLINE BRANCH</v>
          </cell>
          <cell r="F1335" t="str">
            <v>ASECUR</v>
          </cell>
          <cell r="G1335">
            <v>11418</v>
          </cell>
          <cell r="K1335">
            <v>11418</v>
          </cell>
        </row>
        <row r="1336">
          <cell r="C1336">
            <v>24710671</v>
          </cell>
          <cell r="D1336" t="str">
            <v>GSMOR</v>
          </cell>
          <cell r="E1336" t="str">
            <v>SECURITY FOR MORADABAD PREMISES</v>
          </cell>
          <cell r="F1336" t="str">
            <v>ASECUR</v>
          </cell>
          <cell r="G1336">
            <v>9750</v>
          </cell>
          <cell r="K1336">
            <v>9750</v>
          </cell>
        </row>
        <row r="1337">
          <cell r="C1337">
            <v>24710678</v>
          </cell>
          <cell r="D1337" t="str">
            <v>GSECR</v>
          </cell>
          <cell r="E1337" t="str">
            <v>SECURITY FOR RAJAMUNDRY PREMISES</v>
          </cell>
          <cell r="F1337" t="str">
            <v>ASECUR</v>
          </cell>
          <cell r="G1337">
            <v>8500</v>
          </cell>
          <cell r="K1337">
            <v>8500</v>
          </cell>
        </row>
        <row r="1338">
          <cell r="C1338">
            <v>24710412</v>
          </cell>
          <cell r="D1338" t="str">
            <v>GSEHAZ</v>
          </cell>
          <cell r="E1338" t="str">
            <v>SECURITY DEPOSIT OF GGS ROAD HAZARIBAGH OFFLINE</v>
          </cell>
          <cell r="F1338" t="str">
            <v>ASECUR</v>
          </cell>
          <cell r="G1338">
            <v>7706.71</v>
          </cell>
          <cell r="K1338">
            <v>7706.71</v>
          </cell>
        </row>
        <row r="1339">
          <cell r="C1339">
            <v>24710318</v>
          </cell>
          <cell r="D1339" t="str">
            <v>GSELUC UP</v>
          </cell>
          <cell r="E1339" t="str">
            <v>SECURITY DEPOSIT LUCKNOW INDRA NAGAR</v>
          </cell>
          <cell r="F1339" t="str">
            <v>ASECUR</v>
          </cell>
          <cell r="G1339">
            <v>3594</v>
          </cell>
          <cell r="K1339">
            <v>3594</v>
          </cell>
        </row>
        <row r="1340">
          <cell r="C1340">
            <v>24710646</v>
          </cell>
          <cell r="D1340" t="str">
            <v>GSECF</v>
          </cell>
          <cell r="E1340" t="str">
            <v>SECURITY FOR FURNITURE - LUCKNOW</v>
          </cell>
          <cell r="F1340" t="str">
            <v>ASECUR</v>
          </cell>
          <cell r="G1340">
            <v>3000</v>
          </cell>
          <cell r="K1340">
            <v>3000</v>
          </cell>
        </row>
        <row r="1341">
          <cell r="C1341">
            <v>24710679</v>
          </cell>
          <cell r="D1341" t="str">
            <v>GSESL</v>
          </cell>
          <cell r="E1341" t="str">
            <v>SECURITY FOR SALT LAKE - KOLKATTA</v>
          </cell>
          <cell r="F1341" t="str">
            <v>ASECUR</v>
          </cell>
          <cell r="G1341">
            <v>1432</v>
          </cell>
          <cell r="K1341">
            <v>1432</v>
          </cell>
        </row>
        <row r="1342">
          <cell r="C1342">
            <v>24710486</v>
          </cell>
          <cell r="D1342" t="str">
            <v>GSEMOU</v>
          </cell>
          <cell r="E1342" t="str">
            <v>SECURITY DEPOSIT OF MOUNT ROAD CHENNAI ONLINE BRA</v>
          </cell>
          <cell r="F1342" t="str">
            <v>ASECUR</v>
          </cell>
          <cell r="G1342">
            <v>0</v>
          </cell>
          <cell r="K1342">
            <v>0</v>
          </cell>
        </row>
        <row r="1343">
          <cell r="C1343">
            <v>24710253</v>
          </cell>
          <cell r="D1343" t="str">
            <v>GSEBHU</v>
          </cell>
          <cell r="E1343" t="str">
            <v>SECURITY DEPOSIT FOR BHUBANESWAR BRANCH</v>
          </cell>
          <cell r="F1343" t="str">
            <v>ASECUR</v>
          </cell>
          <cell r="G1343">
            <v>0</v>
          </cell>
          <cell r="K1343">
            <v>0</v>
          </cell>
        </row>
        <row r="1344">
          <cell r="C1344">
            <v>24710355</v>
          </cell>
          <cell r="D1344" t="str">
            <v>GSEANC</v>
          </cell>
          <cell r="E1344" t="str">
            <v>SECURITY DEPOSIT OF ANNA NAGAR CHENNAI</v>
          </cell>
          <cell r="F1344" t="str">
            <v>ASECUR</v>
          </cell>
          <cell r="G1344">
            <v>0</v>
          </cell>
          <cell r="K1344">
            <v>0</v>
          </cell>
        </row>
        <row r="1345">
          <cell r="C1345">
            <v>24710620</v>
          </cell>
          <cell r="D1345" t="str">
            <v>GSDLD3</v>
          </cell>
          <cell r="E1345" t="str">
            <v>SECURITY DEPOSIT VASAI</v>
          </cell>
          <cell r="F1345" t="str">
            <v>ASECUR</v>
          </cell>
          <cell r="G1345">
            <v>0</v>
          </cell>
          <cell r="K1345">
            <v>0</v>
          </cell>
        </row>
        <row r="1346">
          <cell r="C1346">
            <v>24710494</v>
          </cell>
          <cell r="D1346" t="str">
            <v>GSENEL</v>
          </cell>
          <cell r="E1346" t="str">
            <v>SECURITY DEPOSIT OF NELLORE BRANCH</v>
          </cell>
          <cell r="F1346" t="str">
            <v>ASECUR</v>
          </cell>
          <cell r="G1346">
            <v>0</v>
          </cell>
          <cell r="K1346">
            <v>0</v>
          </cell>
        </row>
        <row r="1347">
          <cell r="C1347">
            <v>24710593</v>
          </cell>
          <cell r="D1347" t="str">
            <v>GSEPB</v>
          </cell>
          <cell r="E1347" t="str">
            <v>SECURITY DEPOSIT PUNJABI BAGH</v>
          </cell>
          <cell r="F1347" t="str">
            <v>ASECUR</v>
          </cell>
          <cell r="G1347">
            <v>0</v>
          </cell>
          <cell r="K1347">
            <v>0</v>
          </cell>
        </row>
        <row r="1348">
          <cell r="C1348">
            <v>24710617</v>
          </cell>
          <cell r="D1348" t="str">
            <v>GSEUL</v>
          </cell>
          <cell r="E1348" t="str">
            <v>SECURITY DEPOSIT ULHAS NAGAR (MUMBAI)</v>
          </cell>
          <cell r="F1348" t="str">
            <v>ASECUR</v>
          </cell>
          <cell r="G1348">
            <v>0</v>
          </cell>
          <cell r="K1348">
            <v>0</v>
          </cell>
        </row>
        <row r="1349">
          <cell r="C1349">
            <v>24710363</v>
          </cell>
          <cell r="D1349" t="str">
            <v>GSEMEER</v>
          </cell>
          <cell r="E1349" t="str">
            <v>SECURITY DEPOSIT OF BACHA PARK MEERUT</v>
          </cell>
          <cell r="F1349" t="str">
            <v>ASECUR</v>
          </cell>
          <cell r="G1349">
            <v>0</v>
          </cell>
          <cell r="K1349">
            <v>0</v>
          </cell>
        </row>
        <row r="1350">
          <cell r="C1350">
            <v>24710485</v>
          </cell>
          <cell r="D1350" t="str">
            <v>GSMOHI</v>
          </cell>
          <cell r="E1350" t="str">
            <v>SECURITY DEPOSIT OF MOHALI ROPAR BRANCH</v>
          </cell>
          <cell r="F1350" t="str">
            <v>ASECUR</v>
          </cell>
          <cell r="G1350">
            <v>0</v>
          </cell>
          <cell r="K1350">
            <v>0</v>
          </cell>
        </row>
        <row r="1351">
          <cell r="C1351">
            <v>24710480</v>
          </cell>
          <cell r="D1351" t="str">
            <v>GSEHYD</v>
          </cell>
          <cell r="E1351" t="str">
            <v>SECURITY DEPOSIT OF MAZAMJAHI MARKET HYDRABAD</v>
          </cell>
          <cell r="F1351" t="str">
            <v>ASECUR</v>
          </cell>
          <cell r="G1351">
            <v>0</v>
          </cell>
          <cell r="K1351">
            <v>0</v>
          </cell>
        </row>
        <row r="1352">
          <cell r="C1352">
            <v>24710475</v>
          </cell>
          <cell r="D1352" t="str">
            <v>GSEMANI</v>
          </cell>
          <cell r="E1352" t="str">
            <v>SECURITY DEPOSIT OF MANIMAJRA CHANDIGARH</v>
          </cell>
          <cell r="F1352" t="str">
            <v>ASECUR</v>
          </cell>
          <cell r="G1352">
            <v>0</v>
          </cell>
          <cell r="K1352">
            <v>0</v>
          </cell>
        </row>
        <row r="1353">
          <cell r="C1353">
            <v>24710225</v>
          </cell>
          <cell r="D1353" t="str">
            <v>GSE10</v>
          </cell>
          <cell r="E1353" t="str">
            <v>SECURITY DEPOSIT AT TRICHUR</v>
          </cell>
          <cell r="F1353" t="str">
            <v>ASECUR</v>
          </cell>
          <cell r="G1353">
            <v>0</v>
          </cell>
          <cell r="K1353">
            <v>0</v>
          </cell>
        </row>
        <row r="1354">
          <cell r="C1354">
            <v>24710234</v>
          </cell>
          <cell r="D1354" t="str">
            <v>GSECHE</v>
          </cell>
          <cell r="E1354" t="str">
            <v>SECURITY DEPOSIT CHENNAI</v>
          </cell>
          <cell r="F1354" t="str">
            <v>ASECUR</v>
          </cell>
          <cell r="G1354">
            <v>0</v>
          </cell>
          <cell r="K1354">
            <v>0</v>
          </cell>
        </row>
        <row r="1355">
          <cell r="C1355">
            <v>24710576</v>
          </cell>
          <cell r="D1355" t="str">
            <v>GSEKVID</v>
          </cell>
          <cell r="E1355" t="str">
            <v>SECURITY DEPOSIT OF VIDYARTHI MARKET KANPUR</v>
          </cell>
          <cell r="F1355" t="str">
            <v>ASECUR</v>
          </cell>
          <cell r="G1355">
            <v>0</v>
          </cell>
          <cell r="K1355">
            <v>0</v>
          </cell>
        </row>
        <row r="1356">
          <cell r="C1356">
            <v>24710482</v>
          </cell>
          <cell r="D1356" t="str">
            <v>GSEMIRZ</v>
          </cell>
          <cell r="E1356" t="str">
            <v>SECURITY DEPOSIT OF MIRZAPUR OFFLINE</v>
          </cell>
          <cell r="F1356" t="str">
            <v>ASECUR</v>
          </cell>
          <cell r="G1356">
            <v>0</v>
          </cell>
          <cell r="K1356">
            <v>0</v>
          </cell>
        </row>
        <row r="1358">
          <cell r="E1358" t="str">
            <v>LOANS &amp; ADVANCES - SECURITY DEPOSIT - OTHERS</v>
          </cell>
        </row>
        <row r="1359">
          <cell r="C1359">
            <v>24700038</v>
          </cell>
          <cell r="E1359" t="str">
            <v>Security Deposit Paid</v>
          </cell>
          <cell r="F1359" t="str">
            <v>ASECO</v>
          </cell>
          <cell r="G1359">
            <v>6753662</v>
          </cell>
          <cell r="K1359">
            <v>6753662</v>
          </cell>
        </row>
        <row r="1360">
          <cell r="C1360">
            <v>24710210</v>
          </cell>
          <cell r="D1360" t="str">
            <v>GAA001</v>
          </cell>
          <cell r="E1360" t="str">
            <v>SECURITY WITH ASIAN CERC</v>
          </cell>
          <cell r="F1360" t="str">
            <v>ASECO</v>
          </cell>
          <cell r="G1360">
            <v>50000</v>
          </cell>
          <cell r="K1360">
            <v>50000</v>
          </cell>
        </row>
        <row r="1361">
          <cell r="C1361">
            <v>24710176</v>
          </cell>
          <cell r="D1361" t="str">
            <v>GBANG</v>
          </cell>
          <cell r="E1361" t="str">
            <v>SECURITY DEPOSIT BANHALORE - GEN.</v>
          </cell>
          <cell r="F1361" t="str">
            <v>ASECO</v>
          </cell>
          <cell r="G1361">
            <v>20000</v>
          </cell>
          <cell r="K1361">
            <v>20000</v>
          </cell>
        </row>
        <row r="1362">
          <cell r="C1362">
            <v>24710193</v>
          </cell>
          <cell r="D1362" t="str">
            <v>GAMER1</v>
          </cell>
          <cell r="E1362" t="str">
            <v>SECURITY DEPOSIT VSNL (ME</v>
          </cell>
          <cell r="F1362" t="str">
            <v>ASECO</v>
          </cell>
          <cell r="G1362">
            <v>11000</v>
          </cell>
          <cell r="K1362">
            <v>11000</v>
          </cell>
        </row>
        <row r="1363">
          <cell r="C1363">
            <v>24710185</v>
          </cell>
          <cell r="D1363" t="str">
            <v>GSDKTHV</v>
          </cell>
          <cell r="E1363" t="str">
            <v>SECURITY DEPOSIT TEA VENDING MACHINE KANDI</v>
          </cell>
          <cell r="F1363" t="str">
            <v>ASECO</v>
          </cell>
          <cell r="G1363">
            <v>5000</v>
          </cell>
          <cell r="K1363">
            <v>5000</v>
          </cell>
        </row>
        <row r="1364">
          <cell r="C1364">
            <v>24700093</v>
          </cell>
          <cell r="E1364" t="str">
            <v>Security Deposit with IPPL</v>
          </cell>
          <cell r="F1364" t="str">
            <v>ASECO</v>
          </cell>
          <cell r="G1364">
            <v>154641613.75</v>
          </cell>
          <cell r="K1364">
            <v>154641613.75</v>
          </cell>
        </row>
        <row r="1366">
          <cell r="E1366" t="str">
            <v>LOANS &amp; ADVANCES - SECURITY DEPOSIT - ELECTRICITY</v>
          </cell>
        </row>
        <row r="1367">
          <cell r="C1367">
            <v>24710198</v>
          </cell>
          <cell r="D1367" t="str">
            <v>GSDEL</v>
          </cell>
          <cell r="E1367" t="str">
            <v>SECURITY DEPOSITE FOR ELECTRICITY</v>
          </cell>
          <cell r="F1367" t="str">
            <v>ASECUE</v>
          </cell>
          <cell r="G1367">
            <v>376056</v>
          </cell>
          <cell r="K1367">
            <v>376056</v>
          </cell>
        </row>
        <row r="1368">
          <cell r="C1368">
            <v>24710180</v>
          </cell>
          <cell r="D1368" t="str">
            <v>GSDBR</v>
          </cell>
          <cell r="E1368" t="str">
            <v>SECURITY DEPOSIT ELECTRICITY - BARODA</v>
          </cell>
          <cell r="F1368" t="str">
            <v>ASECUE</v>
          </cell>
          <cell r="G1368">
            <v>155860</v>
          </cell>
          <cell r="K1368">
            <v>155860</v>
          </cell>
        </row>
        <row r="1369">
          <cell r="C1369">
            <v>24710181</v>
          </cell>
          <cell r="D1369" t="str">
            <v>GKLELE</v>
          </cell>
          <cell r="E1369" t="str">
            <v>SECURITY DEPOSIT ELECTRICITY KARNAL</v>
          </cell>
          <cell r="F1369" t="str">
            <v>ASECUE</v>
          </cell>
          <cell r="G1369">
            <v>122475</v>
          </cell>
          <cell r="K1369">
            <v>122475</v>
          </cell>
        </row>
        <row r="1370">
          <cell r="C1370">
            <v>24710197</v>
          </cell>
          <cell r="D1370" t="str">
            <v>GOKEL</v>
          </cell>
          <cell r="E1370" t="str">
            <v>SECURITY DEPOSITE ELECTRICITY OKHLA</v>
          </cell>
          <cell r="F1370" t="str">
            <v>ASECUE</v>
          </cell>
          <cell r="G1370">
            <v>41800</v>
          </cell>
          <cell r="K1370">
            <v>41800</v>
          </cell>
        </row>
        <row r="1371">
          <cell r="C1371">
            <v>24710179</v>
          </cell>
          <cell r="D1371" t="str">
            <v>GELRO</v>
          </cell>
          <cell r="E1371" t="str">
            <v>SECURITY DEPOSIT ELECTRICITY ( ROHTAK )</v>
          </cell>
          <cell r="F1371" t="str">
            <v>ASECUE</v>
          </cell>
          <cell r="G1371">
            <v>0</v>
          </cell>
          <cell r="K1371">
            <v>0</v>
          </cell>
        </row>
        <row r="1372">
          <cell r="C1372">
            <v>24710820</v>
          </cell>
          <cell r="E1372" t="str">
            <v>SECURITY DEPOSIT ELECTIRCITY DHANBAD</v>
          </cell>
          <cell r="F1372" t="str">
            <v>ASECUE</v>
          </cell>
          <cell r="G1372">
            <v>26300</v>
          </cell>
          <cell r="K1372">
            <v>26300</v>
          </cell>
        </row>
        <row r="1373">
          <cell r="C1373">
            <v>24710906</v>
          </cell>
          <cell r="E1373" t="str">
            <v>Security Deposit Electricty Jaipur Vaishali Nagar</v>
          </cell>
          <cell r="F1373" t="str">
            <v>ASECUE</v>
          </cell>
          <cell r="G1373">
            <v>15100</v>
          </cell>
          <cell r="K1373">
            <v>15100</v>
          </cell>
        </row>
        <row r="1374">
          <cell r="C1374">
            <v>24710824</v>
          </cell>
          <cell r="E1374" t="str">
            <v>SECURITY DEPOSIT ELECTRICITY SECUNDERABAD</v>
          </cell>
          <cell r="F1374" t="str">
            <v>ASECUE</v>
          </cell>
          <cell r="G1374">
            <v>5600</v>
          </cell>
          <cell r="K1374">
            <v>5600</v>
          </cell>
        </row>
        <row r="1375">
          <cell r="C1375">
            <v>24710178</v>
          </cell>
          <cell r="D1375" t="str">
            <v>GUDEL</v>
          </cell>
          <cell r="E1375" t="str">
            <v>SECURITY DEPOSIT ELECTRICITY  UDAIPUR</v>
          </cell>
          <cell r="F1375" t="str">
            <v>ASECUE</v>
          </cell>
          <cell r="G1375">
            <v>3380</v>
          </cell>
          <cell r="K1375">
            <v>3380</v>
          </cell>
        </row>
        <row r="1376">
          <cell r="C1376">
            <v>24710705</v>
          </cell>
          <cell r="D1376" t="str">
            <v>GASECU</v>
          </cell>
          <cell r="E1376" t="str">
            <v>SECURITY DEPOSIT(ELECTRCITY DALHOUSIE)</v>
          </cell>
          <cell r="F1376" t="str">
            <v>ASECUE</v>
          </cell>
          <cell r="G1376">
            <v>600000</v>
          </cell>
          <cell r="K1376">
            <v>600000</v>
          </cell>
        </row>
        <row r="1377">
          <cell r="C1377">
            <v>24710706</v>
          </cell>
          <cell r="D1377" t="str">
            <v>GHOWEL</v>
          </cell>
          <cell r="E1377" t="str">
            <v>SECURITY DEPOSIT-ELECTRICITY(HOWRAH)</v>
          </cell>
          <cell r="F1377" t="str">
            <v>ASECUE</v>
          </cell>
          <cell r="G1377">
            <v>80000</v>
          </cell>
          <cell r="K1377">
            <v>80000</v>
          </cell>
        </row>
        <row r="1378">
          <cell r="C1378">
            <v>24710704</v>
          </cell>
          <cell r="D1378" t="str">
            <v>GSEBBL</v>
          </cell>
          <cell r="E1378" t="str">
            <v>SECURITY DEPOSIT FOR ELECTRIC METER FOR BORIWOLI</v>
          </cell>
          <cell r="F1378" t="str">
            <v>ASECUE</v>
          </cell>
          <cell r="G1378">
            <v>9833</v>
          </cell>
          <cell r="K1378">
            <v>9833</v>
          </cell>
        </row>
        <row r="1380">
          <cell r="E1380" t="str">
            <v>LOANS &amp; ADVANCES - SECURITY DEPOSIT - LEASE LINE</v>
          </cell>
        </row>
        <row r="1381">
          <cell r="C1381">
            <v>24710172</v>
          </cell>
          <cell r="D1381" t="str">
            <v>GALLD</v>
          </cell>
          <cell r="E1381" t="str">
            <v>LEASE LINE DEPOSIT</v>
          </cell>
          <cell r="F1381" t="str">
            <v>ASECULL</v>
          </cell>
          <cell r="G1381">
            <v>3531482</v>
          </cell>
          <cell r="K1381">
            <v>3531482</v>
          </cell>
        </row>
        <row r="1382">
          <cell r="C1382">
            <v>24710202</v>
          </cell>
          <cell r="D1382" t="str">
            <v>GSECU</v>
          </cell>
          <cell r="E1382" t="str">
            <v>SECURITY FOR LEASELINE - DELHI</v>
          </cell>
          <cell r="F1382" t="str">
            <v>ASECULL</v>
          </cell>
          <cell r="G1382">
            <v>150000</v>
          </cell>
          <cell r="K1382">
            <v>150000</v>
          </cell>
        </row>
        <row r="1383">
          <cell r="C1383">
            <v>24710201</v>
          </cell>
          <cell r="D1383" t="str">
            <v>GSNLL</v>
          </cell>
          <cell r="E1383" t="str">
            <v>SECURITY FOR LEASE LINE -MUMBAI</v>
          </cell>
          <cell r="F1383" t="str">
            <v>ASECULL</v>
          </cell>
          <cell r="G1383">
            <v>100000</v>
          </cell>
          <cell r="K1383">
            <v>100000</v>
          </cell>
        </row>
        <row r="1384">
          <cell r="C1384">
            <v>24710856</v>
          </cell>
          <cell r="E1384" t="str">
            <v>Security Deposit - Lease Line</v>
          </cell>
          <cell r="F1384" t="str">
            <v>ASECULL</v>
          </cell>
          <cell r="G1384">
            <v>800000</v>
          </cell>
          <cell r="K1384">
            <v>800000</v>
          </cell>
        </row>
        <row r="1386">
          <cell r="E1386" t="str">
            <v>LOANS &amp; ADVANCES - SECURITY DEPOSIT - TELEPHONE</v>
          </cell>
        </row>
        <row r="1387">
          <cell r="C1387">
            <v>24710203</v>
          </cell>
          <cell r="D1387" t="str">
            <v>GA021</v>
          </cell>
          <cell r="E1387" t="str">
            <v>SECURITY FOR TELEPHONE</v>
          </cell>
          <cell r="F1387" t="str">
            <v>ASECUT</v>
          </cell>
          <cell r="G1387">
            <v>444207</v>
          </cell>
          <cell r="K1387">
            <v>444207</v>
          </cell>
        </row>
        <row r="1388">
          <cell r="C1388">
            <v>24710174</v>
          </cell>
          <cell r="D1388" t="str">
            <v>GMTNS</v>
          </cell>
          <cell r="E1388" t="str">
            <v>MTNL SECURITY DEPOSITED</v>
          </cell>
          <cell r="F1388" t="str">
            <v>ASECUT</v>
          </cell>
          <cell r="G1388">
            <v>23161</v>
          </cell>
          <cell r="K1388">
            <v>23161</v>
          </cell>
        </row>
        <row r="1389">
          <cell r="C1389">
            <v>24710211</v>
          </cell>
          <cell r="D1389" t="str">
            <v>GAAGT</v>
          </cell>
          <cell r="E1389" t="str">
            <v>TELEPHONE - AGARTALA</v>
          </cell>
          <cell r="F1389" t="str">
            <v>ASECUT</v>
          </cell>
          <cell r="G1389">
            <v>18000</v>
          </cell>
          <cell r="K1389">
            <v>18000</v>
          </cell>
        </row>
        <row r="1390">
          <cell r="C1390">
            <v>24710187</v>
          </cell>
          <cell r="D1390" t="str">
            <v>GATRAN</v>
          </cell>
          <cell r="E1390" t="str">
            <v>SECURITY DEPOSIT TELEPHONE RANCHI</v>
          </cell>
          <cell r="F1390" t="str">
            <v>ASECUT</v>
          </cell>
          <cell r="G1390">
            <v>6300</v>
          </cell>
          <cell r="K1390">
            <v>6300</v>
          </cell>
        </row>
        <row r="1391">
          <cell r="C1391">
            <v>24710209</v>
          </cell>
          <cell r="D1391" t="str">
            <v>GATCOIM</v>
          </cell>
          <cell r="E1391" t="str">
            <v>SECURITY TELEPHONE-COIMBATURE</v>
          </cell>
          <cell r="F1391" t="str">
            <v>ASECUT</v>
          </cell>
          <cell r="G1391">
            <v>9000</v>
          </cell>
          <cell r="K1391">
            <v>9000</v>
          </cell>
        </row>
        <row r="1392">
          <cell r="C1392">
            <v>24710200</v>
          </cell>
          <cell r="D1392" t="str">
            <v>GA00125</v>
          </cell>
          <cell r="E1392" t="str">
            <v>SECURITY DEPOSITE-BSNL SHIMOGA</v>
          </cell>
          <cell r="F1392" t="str">
            <v>ASECUT</v>
          </cell>
          <cell r="G1392">
            <v>8000</v>
          </cell>
          <cell r="K1392">
            <v>8000</v>
          </cell>
        </row>
        <row r="1393">
          <cell r="C1393">
            <v>24710208</v>
          </cell>
          <cell r="D1393" t="str">
            <v>GATTCO</v>
          </cell>
          <cell r="E1393" t="str">
            <v>SECURITY TELEPHONE - THAKUR COMPLEX</v>
          </cell>
          <cell r="F1393" t="str">
            <v>ASECUT</v>
          </cell>
          <cell r="G1393">
            <v>7000</v>
          </cell>
          <cell r="K1393">
            <v>7000</v>
          </cell>
        </row>
        <row r="1394">
          <cell r="C1394">
            <v>24710177</v>
          </cell>
          <cell r="D1394" t="str">
            <v>GSEBS</v>
          </cell>
          <cell r="E1394" t="str">
            <v>SECURITY DEPOSIT BSNL GR. NOIDA</v>
          </cell>
          <cell r="F1394" t="str">
            <v>ASECUT</v>
          </cell>
          <cell r="G1394">
            <v>5000</v>
          </cell>
          <cell r="K1394">
            <v>5000</v>
          </cell>
        </row>
        <row r="1395">
          <cell r="C1395">
            <v>24710190</v>
          </cell>
          <cell r="D1395" t="str">
            <v>GASRKWCR</v>
          </cell>
          <cell r="E1395" t="str">
            <v>SECURITY DEPOSIT TELEPHONE-SRIKAKULAM</v>
          </cell>
          <cell r="F1395" t="str">
            <v>ASECUT</v>
          </cell>
          <cell r="G1395">
            <v>5000</v>
          </cell>
          <cell r="K1395">
            <v>5000</v>
          </cell>
        </row>
        <row r="1396">
          <cell r="C1396">
            <v>24710199</v>
          </cell>
          <cell r="D1396" t="str">
            <v>GATSEC</v>
          </cell>
          <cell r="E1396" t="str">
            <v>SECURITY DEPOSITE TELEPHONE SECUNDRABAD</v>
          </cell>
          <cell r="F1396" t="str">
            <v>ASECUT</v>
          </cell>
          <cell r="G1396">
            <v>0</v>
          </cell>
          <cell r="K1396">
            <v>0</v>
          </cell>
        </row>
        <row r="1397">
          <cell r="C1397">
            <v>24710207</v>
          </cell>
          <cell r="D1397" t="str">
            <v>GATOHR</v>
          </cell>
          <cell r="E1397" t="str">
            <v>SECURITY TELEPHONE - HARIDWAR</v>
          </cell>
          <cell r="F1397" t="str">
            <v>ASECUT</v>
          </cell>
          <cell r="G1397">
            <v>5000</v>
          </cell>
          <cell r="K1397">
            <v>5000</v>
          </cell>
        </row>
        <row r="1398">
          <cell r="C1398">
            <v>24710186</v>
          </cell>
          <cell r="D1398" t="str">
            <v>GATSRS</v>
          </cell>
          <cell r="E1398" t="str">
            <v>SECURITY DEPOSIT TELEPHONE -SIRSA OFFLINE</v>
          </cell>
          <cell r="F1398" t="str">
            <v>ASECUT</v>
          </cell>
          <cell r="G1398">
            <v>3500</v>
          </cell>
          <cell r="K1398">
            <v>3500</v>
          </cell>
        </row>
        <row r="1399">
          <cell r="C1399">
            <v>24710194</v>
          </cell>
          <cell r="D1399" t="str">
            <v>GATMMR</v>
          </cell>
          <cell r="E1399" t="str">
            <v>SECURITY DEPOSIT- TELEPHONE MUM-MIRA ROAD</v>
          </cell>
          <cell r="F1399" t="str">
            <v>ASECUT</v>
          </cell>
          <cell r="G1399">
            <v>1510.51</v>
          </cell>
          <cell r="K1399">
            <v>1510.51</v>
          </cell>
        </row>
        <row r="1400">
          <cell r="C1400">
            <v>24710175</v>
          </cell>
          <cell r="D1400" t="str">
            <v>GATHIR</v>
          </cell>
          <cell r="E1400" t="str">
            <v>SECURITY DEPOSIT - TELEPHONE HIRANANDNI</v>
          </cell>
          <cell r="F1400" t="str">
            <v>ASECUT</v>
          </cell>
          <cell r="G1400">
            <v>2500</v>
          </cell>
          <cell r="K1400">
            <v>2500</v>
          </cell>
        </row>
        <row r="1401">
          <cell r="C1401">
            <v>24710205</v>
          </cell>
          <cell r="D1401" t="str">
            <v>GABHVW</v>
          </cell>
          <cell r="E1401" t="str">
            <v>SECURITY TELEPHONE - BHAVNAGAR WAGHAVADI ROAD</v>
          </cell>
          <cell r="F1401" t="str">
            <v>ASECUT</v>
          </cell>
          <cell r="G1401">
            <v>1290</v>
          </cell>
          <cell r="K1401">
            <v>1290</v>
          </cell>
        </row>
        <row r="1402">
          <cell r="C1402">
            <v>24710189</v>
          </cell>
          <cell r="D1402" t="str">
            <v>GATGOREW</v>
          </cell>
          <cell r="E1402" t="str">
            <v>SECURITY DEPOSIT TELEPHONE-GOREGAON-WEST</v>
          </cell>
          <cell r="F1402" t="str">
            <v>ASECUT</v>
          </cell>
          <cell r="G1402">
            <v>1084</v>
          </cell>
          <cell r="K1402">
            <v>1084</v>
          </cell>
        </row>
        <row r="1403">
          <cell r="C1403">
            <v>24710188</v>
          </cell>
          <cell r="D1403" t="str">
            <v>GATCALG</v>
          </cell>
          <cell r="E1403" t="str">
            <v>SECURITY DEPOSIT TELEPHONE-CALCUTTA GARIAHAT</v>
          </cell>
          <cell r="F1403" t="str">
            <v>ASECUT</v>
          </cell>
          <cell r="G1403">
            <v>947</v>
          </cell>
          <cell r="K1403">
            <v>947</v>
          </cell>
        </row>
        <row r="1404">
          <cell r="C1404">
            <v>24710173</v>
          </cell>
          <cell r="D1404" t="str">
            <v>GMTNLS</v>
          </cell>
          <cell r="E1404" t="str">
            <v>MTNL SECURITY DEPOSIT CHANDNI CHOWK</v>
          </cell>
          <cell r="F1404" t="str">
            <v>ASECUT</v>
          </cell>
          <cell r="G1404">
            <v>829.26</v>
          </cell>
          <cell r="K1404">
            <v>829.26</v>
          </cell>
        </row>
        <row r="1405">
          <cell r="C1405">
            <v>24710206</v>
          </cell>
          <cell r="D1405" t="str">
            <v>GACUT</v>
          </cell>
          <cell r="E1405" t="str">
            <v>SECURITY TELEPHONE - CUTTAK</v>
          </cell>
          <cell r="F1405" t="str">
            <v>ASECUT</v>
          </cell>
          <cell r="G1405">
            <v>734</v>
          </cell>
          <cell r="K1405">
            <v>734</v>
          </cell>
        </row>
        <row r="1407">
          <cell r="E1407" t="str">
            <v>LOANS &amp; ADVANCES - SECURITY DEPOSIT - VSAT</v>
          </cell>
        </row>
        <row r="1408">
          <cell r="C1408">
            <v>24710204</v>
          </cell>
          <cell r="D1408" t="str">
            <v>GA125</v>
          </cell>
          <cell r="E1408" t="str">
            <v>SECURITY FOR VSAT TO CEPCO</v>
          </cell>
          <cell r="F1408" t="str">
            <v>ASECUV</v>
          </cell>
          <cell r="G1408">
            <v>75000</v>
          </cell>
          <cell r="K1408">
            <v>75000</v>
          </cell>
        </row>
        <row r="1409">
          <cell r="C1409">
            <v>24710184</v>
          </cell>
          <cell r="D1409" t="str">
            <v>GSEVAN</v>
          </cell>
          <cell r="E1409" t="str">
            <v>SECURITY DEPOSIT OF VSAT OF ANAND VIHAR BRANCH</v>
          </cell>
          <cell r="F1409" t="str">
            <v>ASECUV</v>
          </cell>
          <cell r="G1409">
            <v>65000</v>
          </cell>
          <cell r="K1409">
            <v>65000</v>
          </cell>
        </row>
        <row r="1410">
          <cell r="C1410">
            <v>24710192</v>
          </cell>
          <cell r="D1410" t="str">
            <v>GSVSATO</v>
          </cell>
          <cell r="E1410" t="str">
            <v>SECURITY DEPOSIT VSAT OSHIWARA BRANCH A/C</v>
          </cell>
          <cell r="F1410" t="str">
            <v>ASECUV</v>
          </cell>
          <cell r="G1410">
            <v>20000</v>
          </cell>
          <cell r="K1410">
            <v>20000</v>
          </cell>
        </row>
        <row r="1411">
          <cell r="C1411">
            <v>24710183</v>
          </cell>
          <cell r="D1411" t="str">
            <v>GSEVDW</v>
          </cell>
          <cell r="E1411" t="str">
            <v>SECURITY DEPOSIT OF VSAT FOR DWARKA OFFLINE (N</v>
          </cell>
          <cell r="F1411" t="str">
            <v>ASECUV</v>
          </cell>
          <cell r="G1411">
            <v>12666.67</v>
          </cell>
          <cell r="K1411">
            <v>12666.67</v>
          </cell>
        </row>
        <row r="1412">
          <cell r="C1412">
            <v>24710191</v>
          </cell>
          <cell r="D1412" t="str">
            <v>GSECV</v>
          </cell>
          <cell r="E1412" t="str">
            <v>SECURITY DEPOSIT VSAT - CALCUTTA</v>
          </cell>
          <cell r="F1412" t="str">
            <v>ASECUV</v>
          </cell>
          <cell r="G1412">
            <v>9000</v>
          </cell>
          <cell r="K1412">
            <v>9000</v>
          </cell>
        </row>
        <row r="1414">
          <cell r="C1414">
            <v>14890671</v>
          </cell>
          <cell r="E1414" t="str">
            <v>PROVISION FOR DOUBTFUL SECURITY DEPOSITS</v>
          </cell>
          <cell r="F1414" t="str">
            <v>LOLIAB</v>
          </cell>
          <cell r="G1414">
            <v>-6027431.0300000003</v>
          </cell>
          <cell r="K1414">
            <v>-6027431.0300000003</v>
          </cell>
        </row>
        <row r="1416">
          <cell r="E1416" t="str">
            <v>LOANS &amp; ADVANCES - DEPOSITS WITH STOCK EXCHANGE</v>
          </cell>
        </row>
        <row r="1417">
          <cell r="C1417">
            <v>24710171</v>
          </cell>
          <cell r="D1417" t="str">
            <v>GBSVD</v>
          </cell>
          <cell r="E1417" t="str">
            <v>VSAT DEPOSIT (BSE)</v>
          </cell>
          <cell r="F1417" t="str">
            <v>ADEPO</v>
          </cell>
          <cell r="G1417">
            <v>4230000</v>
          </cell>
          <cell r="K1417">
            <v>4230000</v>
          </cell>
        </row>
        <row r="1418">
          <cell r="C1418">
            <v>24700112</v>
          </cell>
          <cell r="E1418" t="str">
            <v>Security Deposit with BSE for SLBS Registration</v>
          </cell>
          <cell r="F1418" t="str">
            <v>ADEPO</v>
          </cell>
          <cell r="G1418">
            <v>1000000</v>
          </cell>
          <cell r="K1418">
            <v>1000000</v>
          </cell>
        </row>
        <row r="1419">
          <cell r="C1419">
            <v>24710158</v>
          </cell>
          <cell r="D1419" t="str">
            <v>GBCTGF</v>
          </cell>
          <cell r="E1419" t="str">
            <v>BSE COLLATERAL -TRADE GUARANTEE FEE</v>
          </cell>
          <cell r="F1419" t="str">
            <v>ADEPO</v>
          </cell>
          <cell r="G1419">
            <v>1000000</v>
          </cell>
          <cell r="K1419">
            <v>1000000</v>
          </cell>
        </row>
        <row r="1420">
          <cell r="C1420">
            <v>24700013</v>
          </cell>
          <cell r="D1420" t="str">
            <v>GBDEP</v>
          </cell>
          <cell r="E1420" t="str">
            <v>Security Deposit With Bse</v>
          </cell>
          <cell r="F1420" t="str">
            <v>ADEPO</v>
          </cell>
          <cell r="G1420">
            <v>500000</v>
          </cell>
          <cell r="K1420">
            <v>500000</v>
          </cell>
        </row>
        <row r="1421">
          <cell r="C1421">
            <v>24710801</v>
          </cell>
          <cell r="D1421" t="str">
            <v>GL01220</v>
          </cell>
          <cell r="E1421" t="str">
            <v>Additional Margin with BSE</v>
          </cell>
          <cell r="F1421" t="str">
            <v>ADEPO</v>
          </cell>
          <cell r="G1421">
            <v>0</v>
          </cell>
          <cell r="K1421">
            <v>0</v>
          </cell>
        </row>
        <row r="1422">
          <cell r="C1422">
            <v>24710159</v>
          </cell>
          <cell r="D1422" t="str">
            <v>GBCDEP</v>
          </cell>
          <cell r="E1422" t="str">
            <v>BSE COLLATERAL DEPOSIT (BASE CAPITAL)</v>
          </cell>
          <cell r="F1422" t="str">
            <v>ADEPO</v>
          </cell>
          <cell r="G1422">
            <v>500000</v>
          </cell>
          <cell r="K1422">
            <v>500000</v>
          </cell>
        </row>
        <row r="1424">
          <cell r="C1424">
            <v>24710160</v>
          </cell>
          <cell r="D1424" t="str">
            <v>GA0035</v>
          </cell>
          <cell r="E1424" t="str">
            <v>NSE DEPOSITS</v>
          </cell>
          <cell r="F1424" t="str">
            <v>ADEPO</v>
          </cell>
          <cell r="G1424">
            <v>5000000</v>
          </cell>
          <cell r="K1424">
            <v>5000000</v>
          </cell>
        </row>
        <row r="1425">
          <cell r="C1425">
            <v>24710161</v>
          </cell>
          <cell r="D1425" t="str">
            <v>GA0072</v>
          </cell>
          <cell r="E1425" t="str">
            <v>NSE FUTURES SEGMENT MARGI</v>
          </cell>
          <cell r="F1425" t="str">
            <v>ADEPO</v>
          </cell>
          <cell r="G1425">
            <v>200000</v>
          </cell>
          <cell r="K1425">
            <v>200000</v>
          </cell>
        </row>
        <row r="1426">
          <cell r="C1426">
            <v>90000509</v>
          </cell>
          <cell r="D1426" t="str">
            <v>GNABCSLB</v>
          </cell>
          <cell r="E1426" t="str">
            <v>ABC MARGIN - NSE (SLB)</v>
          </cell>
          <cell r="F1426" t="str">
            <v>ADEPO</v>
          </cell>
          <cell r="G1426">
            <v>500000</v>
          </cell>
          <cell r="K1426">
            <v>500000</v>
          </cell>
        </row>
        <row r="1427">
          <cell r="C1427">
            <v>90000379</v>
          </cell>
          <cell r="D1427" t="str">
            <v>GL01005</v>
          </cell>
          <cell r="E1427" t="str">
            <v>NSE MARGIN A/C</v>
          </cell>
          <cell r="F1427" t="str">
            <v>ADEPO</v>
          </cell>
          <cell r="G1427">
            <v>0</v>
          </cell>
          <cell r="K1427">
            <v>0</v>
          </cell>
        </row>
        <row r="1428">
          <cell r="C1428">
            <v>24710157</v>
          </cell>
          <cell r="D1428" t="str">
            <v>GADMG</v>
          </cell>
          <cell r="E1428" t="str">
            <v>ADDITIONAL MARGIN WITH NSE</v>
          </cell>
          <cell r="F1428" t="str">
            <v>ADEPO</v>
          </cell>
          <cell r="G1428">
            <v>0</v>
          </cell>
          <cell r="K1428">
            <v>0</v>
          </cell>
        </row>
        <row r="1429">
          <cell r="C1429">
            <v>24710166</v>
          </cell>
          <cell r="D1429" t="str">
            <v>GA0120</v>
          </cell>
          <cell r="E1429" t="str">
            <v>SECURITY FOR FUTURE SEGME</v>
          </cell>
          <cell r="F1429" t="str">
            <v>ADEPO</v>
          </cell>
          <cell r="G1429">
            <v>600000</v>
          </cell>
          <cell r="K1429">
            <v>600000</v>
          </cell>
        </row>
        <row r="1430">
          <cell r="C1430">
            <v>90000498</v>
          </cell>
          <cell r="E1430" t="str">
            <v>Deposits of Trading Membership Currency Derivative</v>
          </cell>
          <cell r="F1430" t="str">
            <v>ADEPO</v>
          </cell>
          <cell r="G1430">
            <v>1000000</v>
          </cell>
          <cell r="K1430">
            <v>1000000</v>
          </cell>
        </row>
        <row r="1431">
          <cell r="C1431">
            <v>24710169</v>
          </cell>
          <cell r="D1431" t="str">
            <v>GANSE</v>
          </cell>
          <cell r="E1431" t="str">
            <v>SECURITY WITH NSE</v>
          </cell>
          <cell r="F1431" t="str">
            <v>ADEPO</v>
          </cell>
          <cell r="G1431">
            <v>5000000</v>
          </cell>
          <cell r="K1431">
            <v>5000000</v>
          </cell>
        </row>
        <row r="1432">
          <cell r="C1432">
            <v>24710162</v>
          </cell>
          <cell r="D1432" t="str">
            <v>GA0304</v>
          </cell>
          <cell r="E1432" t="str">
            <v>NSE SECURITY FOR WHOLESAL</v>
          </cell>
          <cell r="F1432" t="str">
            <v>ADEPO</v>
          </cell>
          <cell r="G1432">
            <v>15000000</v>
          </cell>
          <cell r="K1432">
            <v>15000000</v>
          </cell>
        </row>
        <row r="1433">
          <cell r="C1433">
            <v>24710170</v>
          </cell>
          <cell r="D1433" t="str">
            <v>GE0039</v>
          </cell>
          <cell r="E1433" t="str">
            <v>Security Deposit -VSAT</v>
          </cell>
          <cell r="F1433" t="str">
            <v>ADEPO</v>
          </cell>
          <cell r="G1433">
            <v>6488463</v>
          </cell>
          <cell r="K1433">
            <v>6488463</v>
          </cell>
        </row>
        <row r="1434">
          <cell r="C1434">
            <v>24710167</v>
          </cell>
          <cell r="D1434" t="str">
            <v>GSNSC</v>
          </cell>
          <cell r="E1434" t="str">
            <v>SECURITY IN NSCCL FOR F &amp; O</v>
          </cell>
          <cell r="F1434" t="str">
            <v>ADEPO</v>
          </cell>
          <cell r="G1434">
            <v>2500000</v>
          </cell>
          <cell r="K1434">
            <v>2500000</v>
          </cell>
        </row>
        <row r="1435">
          <cell r="C1435">
            <v>24710921</v>
          </cell>
          <cell r="D1435" t="str">
            <v>GDSLBS</v>
          </cell>
          <cell r="E1435" t="str">
            <v>Deposit  with NSCCL SLBS</v>
          </cell>
          <cell r="F1435" t="str">
            <v>ADEPO</v>
          </cell>
          <cell r="G1435">
            <v>1000000</v>
          </cell>
          <cell r="K1435">
            <v>1000000</v>
          </cell>
        </row>
        <row r="1436">
          <cell r="C1436">
            <v>90000499</v>
          </cell>
          <cell r="E1436" t="str">
            <v>Deposit of Clearing Membership Currency Derivativs</v>
          </cell>
          <cell r="F1436" t="str">
            <v>ADEPO</v>
          </cell>
          <cell r="G1436">
            <v>2500000</v>
          </cell>
          <cell r="K1436">
            <v>2500000</v>
          </cell>
        </row>
        <row r="1438">
          <cell r="C1438">
            <v>24710163</v>
          </cell>
          <cell r="D1438" t="str">
            <v>GL01006</v>
          </cell>
          <cell r="E1438" t="str">
            <v>RETAIL DEBT MARKET</v>
          </cell>
          <cell r="F1438" t="str">
            <v>ADEPO</v>
          </cell>
          <cell r="G1438">
            <v>500000</v>
          </cell>
          <cell r="K1438">
            <v>500000</v>
          </cell>
        </row>
        <row r="1440">
          <cell r="C1440">
            <v>24710168</v>
          </cell>
          <cell r="D1440" t="str">
            <v>GANSDL</v>
          </cell>
          <cell r="E1440" t="str">
            <v>SECURITY WITH NSDL</v>
          </cell>
          <cell r="F1440" t="str">
            <v>ADEPO</v>
          </cell>
          <cell r="G1440">
            <v>1000000</v>
          </cell>
          <cell r="K1440">
            <v>1000000</v>
          </cell>
        </row>
        <row r="1441">
          <cell r="C1441">
            <v>24710164</v>
          </cell>
          <cell r="D1441" t="str">
            <v>GA0442</v>
          </cell>
          <cell r="E1441" t="str">
            <v>SECURITY DEPOSIT WITH CDS</v>
          </cell>
          <cell r="F1441" t="str">
            <v>ADEPO</v>
          </cell>
          <cell r="G1441">
            <v>250000</v>
          </cell>
          <cell r="K1441">
            <v>250000</v>
          </cell>
        </row>
        <row r="1442">
          <cell r="C1442">
            <v>24710165</v>
          </cell>
          <cell r="D1442" t="str">
            <v>GAMCX</v>
          </cell>
          <cell r="E1442" t="str">
            <v>SECURITY DEPOSIT WITH MCX</v>
          </cell>
          <cell r="F1442" t="str">
            <v>ADEPO</v>
          </cell>
          <cell r="G1442">
            <v>500000</v>
          </cell>
          <cell r="K1442">
            <v>500000</v>
          </cell>
        </row>
        <row r="1443">
          <cell r="C1443">
            <v>24710723</v>
          </cell>
          <cell r="D1443" t="str">
            <v>GSNCD</v>
          </cell>
          <cell r="E1443" t="str">
            <v>EMPANALMENT OF DP WITH NCDEX</v>
          </cell>
          <cell r="F1443" t="str">
            <v>ADEPO</v>
          </cell>
          <cell r="G1443">
            <v>500000</v>
          </cell>
          <cell r="K1443">
            <v>500000</v>
          </cell>
        </row>
        <row r="1446">
          <cell r="E1446" t="str">
            <v>LOANS &amp; ADVANCES - INCOME TAX - F.Y.2006-07</v>
          </cell>
        </row>
        <row r="1447">
          <cell r="C1447">
            <v>24700016</v>
          </cell>
          <cell r="D1447" t="str">
            <v>GADT200607</v>
          </cell>
          <cell r="E1447" t="str">
            <v>Advance Tax A.Y. 2006-07</v>
          </cell>
          <cell r="F1447" t="str">
            <v>ATDSA</v>
          </cell>
          <cell r="G1447">
            <v>352500000</v>
          </cell>
          <cell r="K1447">
            <v>352500000</v>
          </cell>
        </row>
        <row r="1448">
          <cell r="C1448">
            <v>24700088</v>
          </cell>
          <cell r="E1448" t="str">
            <v>Self Assessment Tax FY 06-07</v>
          </cell>
          <cell r="F1448" t="str">
            <v>ATDSA</v>
          </cell>
          <cell r="G1448">
            <v>116252209</v>
          </cell>
          <cell r="K1448">
            <v>116252209</v>
          </cell>
        </row>
        <row r="1449">
          <cell r="C1449">
            <v>24710710</v>
          </cell>
          <cell r="D1449" t="str">
            <v>GFDTD67</v>
          </cell>
          <cell r="E1449" t="str">
            <v>TDS DEDUCTED ON FDR 2006-2007</v>
          </cell>
          <cell r="F1449" t="str">
            <v>ATDSA</v>
          </cell>
          <cell r="G1449">
            <v>68338647.329999998</v>
          </cell>
          <cell r="K1449">
            <v>68338647.329999998</v>
          </cell>
        </row>
        <row r="1450">
          <cell r="C1450">
            <v>24710707</v>
          </cell>
          <cell r="D1450" t="str">
            <v>GA091</v>
          </cell>
          <cell r="E1450" t="str">
            <v>TDS DEDUCTED - GROUP COMPANIES 2006-07</v>
          </cell>
          <cell r="F1450" t="str">
            <v>ATDSA</v>
          </cell>
          <cell r="G1450">
            <v>18943687</v>
          </cell>
          <cell r="K1450">
            <v>18943687</v>
          </cell>
        </row>
        <row r="1451">
          <cell r="C1451">
            <v>24700034</v>
          </cell>
          <cell r="D1451" t="str">
            <v>GA090</v>
          </cell>
          <cell r="E1451" t="str">
            <v>Tax Deducted at Source 2006-07</v>
          </cell>
          <cell r="F1451" t="str">
            <v>ATDSA</v>
          </cell>
          <cell r="G1451">
            <v>10791520.26</v>
          </cell>
          <cell r="K1451">
            <v>10791520.26</v>
          </cell>
        </row>
        <row r="1452">
          <cell r="C1452">
            <v>24700035</v>
          </cell>
          <cell r="D1452" t="str">
            <v>GA095</v>
          </cell>
          <cell r="E1452" t="str">
            <v>Tds Deducted Dividend - 2006-07</v>
          </cell>
          <cell r="F1452" t="str">
            <v>ATDSA</v>
          </cell>
          <cell r="G1452">
            <v>3603</v>
          </cell>
          <cell r="K1452">
            <v>3603</v>
          </cell>
        </row>
        <row r="1453">
          <cell r="C1453">
            <v>13113990</v>
          </cell>
          <cell r="D1453" t="str">
            <v>GPTAX06-07</v>
          </cell>
          <cell r="E1453" t="str">
            <v>PROVISION FOR TAXATION 2006-2007</v>
          </cell>
          <cell r="F1453" t="str">
            <v>PTAX</v>
          </cell>
          <cell r="G1453">
            <v>-555300000</v>
          </cell>
          <cell r="K1453">
            <v>-555300000</v>
          </cell>
        </row>
        <row r="1455">
          <cell r="E1455" t="str">
            <v>LOANS &amp; ADVANCES - INCOME TAX - F.Y.2007-08</v>
          </cell>
        </row>
        <row r="1456">
          <cell r="C1456">
            <v>24710800</v>
          </cell>
          <cell r="E1456" t="str">
            <v>Advance Tax A.Y. 2008-09</v>
          </cell>
          <cell r="F1456" t="str">
            <v>ATDSA</v>
          </cell>
          <cell r="G1456">
            <v>1110000000</v>
          </cell>
          <cell r="K1456">
            <v>1110000000</v>
          </cell>
        </row>
        <row r="1457">
          <cell r="C1457">
            <v>24700060</v>
          </cell>
          <cell r="E1457" t="str">
            <v>TDS DEDUCTED FIXED DEPOSIT 2007-2008</v>
          </cell>
          <cell r="F1457" t="str">
            <v>ATDSA</v>
          </cell>
          <cell r="G1457">
            <v>69436108.640000001</v>
          </cell>
          <cell r="K1457">
            <v>69436108.640000001</v>
          </cell>
        </row>
        <row r="1458">
          <cell r="C1458">
            <v>24710909</v>
          </cell>
          <cell r="E1458" t="str">
            <v>TDS Deducted Group Co. 2007-08</v>
          </cell>
          <cell r="F1458" t="str">
            <v>ATDSA</v>
          </cell>
          <cell r="G1458">
            <v>19713366.120000001</v>
          </cell>
          <cell r="K1458">
            <v>19713366.120000001</v>
          </cell>
        </row>
        <row r="1459">
          <cell r="C1459">
            <v>24700055</v>
          </cell>
          <cell r="D1459" t="str">
            <v>GA092</v>
          </cell>
          <cell r="E1459" t="str">
            <v>Tax Deducted at Source 2007-08</v>
          </cell>
          <cell r="F1459" t="str">
            <v>ATDSA</v>
          </cell>
          <cell r="G1459">
            <v>15960656.99</v>
          </cell>
          <cell r="K1459">
            <v>15960656.99</v>
          </cell>
        </row>
        <row r="1460">
          <cell r="C1460">
            <v>24710967</v>
          </cell>
          <cell r="E1460" t="str">
            <v>Self Assessment Tax AY 2008 - 09(FY2007-08)</v>
          </cell>
          <cell r="F1460" t="str">
            <v>ATDSA</v>
          </cell>
          <cell r="G1460">
            <v>4803750</v>
          </cell>
          <cell r="K1460">
            <v>4803750</v>
          </cell>
        </row>
        <row r="1461">
          <cell r="C1461">
            <v>14890410</v>
          </cell>
          <cell r="E1461" t="str">
            <v>PROVISION FOR INCOME TAX - 2007-08</v>
          </cell>
          <cell r="F1461" t="str">
            <v>PTAX</v>
          </cell>
          <cell r="G1461">
            <v>-1217100000</v>
          </cell>
          <cell r="K1461">
            <v>-1217100000</v>
          </cell>
        </row>
        <row r="1463">
          <cell r="E1463" t="str">
            <v>LOANS &amp; ADVANCES - INCOME TAX - F.Y.2008-09</v>
          </cell>
        </row>
        <row r="1464">
          <cell r="C1464">
            <v>24700113</v>
          </cell>
          <cell r="E1464" t="str">
            <v>Advance Tax A.Y. 2009-10</v>
          </cell>
          <cell r="F1464" t="str">
            <v>ATDSA</v>
          </cell>
          <cell r="G1464">
            <v>316500000</v>
          </cell>
          <cell r="K1464">
            <v>316500000</v>
          </cell>
        </row>
        <row r="1465">
          <cell r="C1465">
            <v>24710091</v>
          </cell>
          <cell r="D1465" t="str">
            <v>GFDTD89</v>
          </cell>
          <cell r="E1465" t="str">
            <v>TDS DEDUCTED FIXED DEPOSIT 2008-2009</v>
          </cell>
          <cell r="F1465" t="str">
            <v>ATDSA</v>
          </cell>
          <cell r="G1465">
            <v>106626984.68000001</v>
          </cell>
          <cell r="K1465">
            <v>106626984.68000001</v>
          </cell>
        </row>
        <row r="1466">
          <cell r="C1466">
            <v>24710937</v>
          </cell>
          <cell r="D1466" t="str">
            <v>GA094</v>
          </cell>
          <cell r="E1466" t="str">
            <v>TDS DEDUCTED OTHERS 2008-09</v>
          </cell>
          <cell r="F1466" t="str">
            <v>ATDSA</v>
          </cell>
          <cell r="G1466">
            <v>8570498</v>
          </cell>
          <cell r="K1466">
            <v>8570498</v>
          </cell>
        </row>
        <row r="1467">
          <cell r="C1467">
            <v>24700109</v>
          </cell>
          <cell r="E1467" t="str">
            <v>Tds Deducted FY 2008-09</v>
          </cell>
          <cell r="F1467" t="str">
            <v>ATDSA</v>
          </cell>
          <cell r="G1467">
            <v>3087760</v>
          </cell>
          <cell r="K1467">
            <v>3087760</v>
          </cell>
        </row>
        <row r="1468">
          <cell r="C1468">
            <v>14890558</v>
          </cell>
          <cell r="E1468" t="str">
            <v>PROVISION FOR INCOME TAX - 2008-09</v>
          </cell>
          <cell r="F1468" t="str">
            <v>PTAX</v>
          </cell>
          <cell r="G1468">
            <v>0</v>
          </cell>
          <cell r="K1468">
            <v>0</v>
          </cell>
        </row>
        <row r="1470">
          <cell r="E1470" t="str">
            <v>LOANS &amp; ADVANCES - INCOME TAX - F.Y.2009-10</v>
          </cell>
        </row>
        <row r="1471">
          <cell r="C1471">
            <v>24710992</v>
          </cell>
          <cell r="E1471" t="str">
            <v>Advance Tax A.Y.2010-11</v>
          </cell>
          <cell r="F1471" t="str">
            <v>ATDSA</v>
          </cell>
          <cell r="G1471">
            <v>140000000</v>
          </cell>
          <cell r="K1471">
            <v>140000000</v>
          </cell>
        </row>
        <row r="1472">
          <cell r="C1472">
            <v>24700128</v>
          </cell>
          <cell r="E1472" t="str">
            <v>TDS - Brokerage (third party) ( 09-10 )</v>
          </cell>
          <cell r="F1472" t="str">
            <v>ATDSA</v>
          </cell>
          <cell r="G1472">
            <v>26052.23</v>
          </cell>
          <cell r="K1472">
            <v>26052.23</v>
          </cell>
        </row>
        <row r="1473">
          <cell r="C1473">
            <v>24710997</v>
          </cell>
          <cell r="D1473" t="str">
            <v>GA097</v>
          </cell>
          <cell r="E1473" t="str">
            <v>TDS DEDUCTED OTHERS 2009-10</v>
          </cell>
          <cell r="F1473" t="str">
            <v>ATDSA</v>
          </cell>
          <cell r="G1473">
            <v>2065981</v>
          </cell>
          <cell r="K1473">
            <v>2065981</v>
          </cell>
        </row>
        <row r="1474">
          <cell r="C1474">
            <v>90000536</v>
          </cell>
          <cell r="E1474" t="str">
            <v>TDS Ded. FDR 09-10</v>
          </cell>
          <cell r="F1474" t="str">
            <v>ATDSA</v>
          </cell>
          <cell r="G1474">
            <v>7826452.3300000001</v>
          </cell>
          <cell r="K1474">
            <v>7826452.3300000001</v>
          </cell>
        </row>
        <row r="1476">
          <cell r="C1476">
            <v>24700127</v>
          </cell>
          <cell r="E1476" t="str">
            <v>Tds Deducted FY 09 -10</v>
          </cell>
          <cell r="F1476" t="str">
            <v>ATDSA</v>
          </cell>
          <cell r="G1476">
            <v>932199</v>
          </cell>
          <cell r="K1476">
            <v>932199</v>
          </cell>
        </row>
        <row r="1477">
          <cell r="C1477">
            <v>90000537</v>
          </cell>
          <cell r="E1477" t="str">
            <v>TDS Cert.Rece.09-10</v>
          </cell>
          <cell r="F1477" t="str">
            <v>ATDSA</v>
          </cell>
          <cell r="G1477">
            <v>39000</v>
          </cell>
          <cell r="K1477">
            <v>39000</v>
          </cell>
        </row>
        <row r="1478">
          <cell r="C1478">
            <v>24711003</v>
          </cell>
          <cell r="E1478" t="str">
            <v>TDS Deducted (Group Companies) 2009-10</v>
          </cell>
          <cell r="F1478" t="str">
            <v>ATDSA</v>
          </cell>
          <cell r="G1478">
            <v>260715</v>
          </cell>
          <cell r="K1478">
            <v>260715</v>
          </cell>
        </row>
        <row r="1480">
          <cell r="E1480" t="str">
            <v>LOANS &amp; ADVANCES - FBT - F.Y.2007-08</v>
          </cell>
        </row>
        <row r="1481">
          <cell r="C1481">
            <v>24700065</v>
          </cell>
          <cell r="E1481" t="str">
            <v>Advance FBT(F.Y.07-08)</v>
          </cell>
          <cell r="F1481" t="str">
            <v>ATDSA</v>
          </cell>
          <cell r="G1481">
            <v>7022000</v>
          </cell>
          <cell r="K1481">
            <v>7022000</v>
          </cell>
        </row>
        <row r="1482">
          <cell r="C1482">
            <v>24700121</v>
          </cell>
          <cell r="E1482" t="str">
            <v>Self Asst. Tax -FBT(AY.08-09)</v>
          </cell>
          <cell r="F1482" t="str">
            <v>ATDSA</v>
          </cell>
          <cell r="G1482">
            <v>0</v>
          </cell>
          <cell r="K1482">
            <v>0</v>
          </cell>
        </row>
        <row r="1483">
          <cell r="C1483">
            <v>13114052</v>
          </cell>
          <cell r="E1483" t="str">
            <v>Pro.For FBT FY.07-08</v>
          </cell>
          <cell r="F1483" t="str">
            <v>PTAX</v>
          </cell>
          <cell r="G1483">
            <v>-7489048.2400000002</v>
          </cell>
          <cell r="K1483">
            <v>-7489048.2400000002</v>
          </cell>
        </row>
        <row r="1484">
          <cell r="C1484">
            <v>24700120</v>
          </cell>
          <cell r="E1484" t="str">
            <v>Self Assessment FBT(F.Y-2007-08)</v>
          </cell>
          <cell r="F1484" t="str">
            <v>ATDSA</v>
          </cell>
          <cell r="G1484">
            <v>466484</v>
          </cell>
          <cell r="K1484">
            <v>466484</v>
          </cell>
        </row>
        <row r="1486">
          <cell r="E1486" t="str">
            <v>LOANS &amp; ADVANCES - FBT - F.Y.2008-09</v>
          </cell>
        </row>
        <row r="1487">
          <cell r="C1487">
            <v>24700114</v>
          </cell>
          <cell r="E1487" t="str">
            <v>Advance FBT(F.Y.08-09)</v>
          </cell>
          <cell r="F1487" t="str">
            <v>ATDSA</v>
          </cell>
          <cell r="G1487">
            <v>51590477</v>
          </cell>
          <cell r="K1487">
            <v>51590477</v>
          </cell>
        </row>
        <row r="1488">
          <cell r="C1488">
            <v>14890533</v>
          </cell>
          <cell r="E1488" t="str">
            <v>PROVISION FOR FBT F.Y(08-09)</v>
          </cell>
          <cell r="F1488" t="str">
            <v>PTAX</v>
          </cell>
          <cell r="G1488">
            <v>-51611924.600000001</v>
          </cell>
          <cell r="K1488">
            <v>-51611924.600000001</v>
          </cell>
        </row>
        <row r="1490">
          <cell r="E1490" t="str">
            <v>LOANS &amp; ADVANCES - FBT - F.Y.2009-10</v>
          </cell>
        </row>
        <row r="1491">
          <cell r="C1491">
            <v>24710994</v>
          </cell>
          <cell r="E1491" t="str">
            <v>Advance FBT(F.Y.09-10)</v>
          </cell>
          <cell r="F1491" t="str">
            <v>ATDSA</v>
          </cell>
          <cell r="G1491">
            <v>785632</v>
          </cell>
          <cell r="K1491">
            <v>785632</v>
          </cell>
        </row>
        <row r="1493">
          <cell r="E1493" t="str">
            <v>LOANS &amp; ADVANCES - WEALTH TAX - F.Y.2007-08</v>
          </cell>
        </row>
        <row r="1494">
          <cell r="C1494">
            <v>13113991</v>
          </cell>
          <cell r="D1494" t="str">
            <v>GPWTAX</v>
          </cell>
          <cell r="E1494" t="str">
            <v>PROVISION FOR WEALTH TAX</v>
          </cell>
          <cell r="F1494" t="str">
            <v>PTAX</v>
          </cell>
          <cell r="G1494">
            <v>-1012</v>
          </cell>
          <cell r="K1494">
            <v>-1012</v>
          </cell>
        </row>
        <row r="1495">
          <cell r="C1495">
            <v>13114103</v>
          </cell>
          <cell r="E1495" t="str">
            <v>Provision for Wealth Tax F.Y. 2008-09</v>
          </cell>
          <cell r="F1495" t="str">
            <v>PTAX</v>
          </cell>
          <cell r="G1495">
            <v>0</v>
          </cell>
          <cell r="K1495">
            <v>0</v>
          </cell>
        </row>
        <row r="1497">
          <cell r="E1497" t="str">
            <v>CURRENT LIABILITIES - SUNDRY CREDITORS</v>
          </cell>
        </row>
        <row r="1498">
          <cell r="C1498">
            <v>14890063</v>
          </cell>
          <cell r="E1498" t="str">
            <v>Sundry Creditors- Vendors Communication</v>
          </cell>
          <cell r="F1498" t="str">
            <v>LSCRED</v>
          </cell>
          <cell r="G1498">
            <v>-2868588.75</v>
          </cell>
          <cell r="K1498">
            <v>-2868588.75</v>
          </cell>
        </row>
        <row r="1499">
          <cell r="C1499">
            <v>14890077</v>
          </cell>
          <cell r="E1499" t="str">
            <v>Sundry Creditors- Vendors Services</v>
          </cell>
          <cell r="F1499" t="str">
            <v>LSCRED</v>
          </cell>
          <cell r="G1499">
            <v>-928542.01</v>
          </cell>
          <cell r="K1499">
            <v>-928542.01</v>
          </cell>
        </row>
        <row r="1500">
          <cell r="C1500">
            <v>15000024</v>
          </cell>
          <cell r="E1500" t="str">
            <v>Sundry Creditors- Vendors Misc</v>
          </cell>
          <cell r="F1500" t="str">
            <v>LSCRED</v>
          </cell>
          <cell r="G1500">
            <v>-5357140.3899999997</v>
          </cell>
          <cell r="K1500">
            <v>-5357140.3899999997</v>
          </cell>
        </row>
        <row r="1501">
          <cell r="C1501">
            <v>14890073</v>
          </cell>
          <cell r="E1501" t="str">
            <v>Sundry Creditors- Vendors Materials</v>
          </cell>
          <cell r="F1501" t="str">
            <v>LSCRED</v>
          </cell>
          <cell r="G1501">
            <v>-535535</v>
          </cell>
          <cell r="K1501">
            <v>-535535</v>
          </cell>
        </row>
        <row r="1502">
          <cell r="C1502">
            <v>14890060</v>
          </cell>
          <cell r="E1502" t="str">
            <v>Sundry Creditors- Vendors Balances Advertisement</v>
          </cell>
          <cell r="F1502" t="str">
            <v>LSCRED</v>
          </cell>
          <cell r="G1502">
            <v>-523567</v>
          </cell>
          <cell r="K1502">
            <v>-523567</v>
          </cell>
        </row>
        <row r="1503">
          <cell r="C1503">
            <v>14890071</v>
          </cell>
          <cell r="E1503" t="str">
            <v>Sundry Creditors- Vendors Legal &amp; Professional</v>
          </cell>
          <cell r="F1503" t="str">
            <v>LSCRED</v>
          </cell>
          <cell r="G1503">
            <v>-121330.5</v>
          </cell>
          <cell r="K1503">
            <v>-121330.5</v>
          </cell>
        </row>
        <row r="1504">
          <cell r="C1504">
            <v>14890078</v>
          </cell>
          <cell r="E1504" t="str">
            <v>Sundry Creditors- Vendors Subbroker Distribution</v>
          </cell>
          <cell r="F1504" t="str">
            <v>LSCRED</v>
          </cell>
          <cell r="G1504">
            <v>-887</v>
          </cell>
          <cell r="K1504">
            <v>-887</v>
          </cell>
        </row>
        <row r="1505">
          <cell r="C1505">
            <v>14890056</v>
          </cell>
          <cell r="E1505" t="str">
            <v>Sundry Creditors-Vendors Secured Loans</v>
          </cell>
          <cell r="F1505" t="str">
            <v>LSCRED</v>
          </cell>
          <cell r="G1505">
            <v>0</v>
          </cell>
          <cell r="K1505">
            <v>0</v>
          </cell>
        </row>
        <row r="1506">
          <cell r="C1506">
            <v>14890062</v>
          </cell>
          <cell r="E1506" t="str">
            <v>Sundry Creditors- Vendors Collection Agency</v>
          </cell>
          <cell r="F1506" t="str">
            <v>LSCRED</v>
          </cell>
          <cell r="G1506">
            <v>0</v>
          </cell>
          <cell r="K1506">
            <v>0</v>
          </cell>
        </row>
        <row r="1507">
          <cell r="C1507">
            <v>14890064</v>
          </cell>
          <cell r="E1507" t="str">
            <v>Sundry Creditors- Vendors Credit Agency</v>
          </cell>
          <cell r="F1507" t="str">
            <v>LSCRED</v>
          </cell>
          <cell r="G1507">
            <v>0</v>
          </cell>
          <cell r="K1507">
            <v>0</v>
          </cell>
        </row>
        <row r="1508">
          <cell r="C1508">
            <v>14890068</v>
          </cell>
          <cell r="E1508" t="str">
            <v>Sundry Creditors- Vendors Foregin</v>
          </cell>
          <cell r="F1508" t="str">
            <v>LSCRED</v>
          </cell>
          <cell r="G1508">
            <v>0</v>
          </cell>
          <cell r="K1508">
            <v>0</v>
          </cell>
        </row>
        <row r="1509">
          <cell r="C1509">
            <v>14890070</v>
          </cell>
          <cell r="E1509" t="str">
            <v>Sundry Creditors- Vendors Housekeeping</v>
          </cell>
          <cell r="F1509" t="str">
            <v>LSCRED</v>
          </cell>
          <cell r="G1509">
            <v>0</v>
          </cell>
          <cell r="K1509">
            <v>0</v>
          </cell>
        </row>
        <row r="1510">
          <cell r="C1510">
            <v>14890072</v>
          </cell>
          <cell r="E1510" t="str">
            <v>Sundry Creditors- Vendors Marketing Associates/DSA</v>
          </cell>
          <cell r="F1510" t="str">
            <v>LSCRED</v>
          </cell>
          <cell r="G1510">
            <v>-960</v>
          </cell>
          <cell r="K1510">
            <v>-960</v>
          </cell>
        </row>
        <row r="1511">
          <cell r="C1511">
            <v>14890076</v>
          </cell>
          <cell r="E1511" t="str">
            <v>Sundry Creditors- Vendors Recruitment &amp; Training A</v>
          </cell>
          <cell r="F1511" t="str">
            <v>LSCRED</v>
          </cell>
          <cell r="G1511">
            <v>0</v>
          </cell>
          <cell r="K1511">
            <v>0</v>
          </cell>
        </row>
        <row r="1512">
          <cell r="C1512">
            <v>14890080</v>
          </cell>
          <cell r="E1512" t="str">
            <v>Sundry Creditors- Vendors Stationery</v>
          </cell>
          <cell r="F1512" t="str">
            <v>LSCRED</v>
          </cell>
          <cell r="G1512">
            <v>0</v>
          </cell>
          <cell r="K1512">
            <v>0</v>
          </cell>
        </row>
        <row r="1513">
          <cell r="C1513">
            <v>14890082</v>
          </cell>
          <cell r="E1513" t="str">
            <v>Sundry Creditors-Vendors Travelling</v>
          </cell>
          <cell r="F1513" t="str">
            <v>LSCRED</v>
          </cell>
          <cell r="G1513">
            <v>0</v>
          </cell>
          <cell r="K1513">
            <v>0</v>
          </cell>
        </row>
        <row r="1514">
          <cell r="C1514">
            <v>14890083</v>
          </cell>
          <cell r="E1514" t="str">
            <v>Sundry Creditors-Vendors Works Contract</v>
          </cell>
          <cell r="F1514" t="str">
            <v>LSCRED</v>
          </cell>
          <cell r="G1514">
            <v>0</v>
          </cell>
          <cell r="K1514">
            <v>0</v>
          </cell>
        </row>
        <row r="1515">
          <cell r="C1515">
            <v>15000011</v>
          </cell>
          <cell r="E1515" t="str">
            <v>Sundry Creditors Vendors Fixed Assets &amp; Other</v>
          </cell>
          <cell r="F1515" t="str">
            <v>LSCRED</v>
          </cell>
          <cell r="G1515">
            <v>-23639893.440000001</v>
          </cell>
          <cell r="K1515">
            <v>-23639893.440000001</v>
          </cell>
        </row>
        <row r="1516">
          <cell r="C1516">
            <v>15000025</v>
          </cell>
          <cell r="E1516" t="str">
            <v>Sundry Creditors -Vendors (Landlord)</v>
          </cell>
          <cell r="F1516" t="str">
            <v>LSCRED</v>
          </cell>
          <cell r="G1516">
            <v>842062.74</v>
          </cell>
          <cell r="K1516">
            <v>842062.74</v>
          </cell>
        </row>
        <row r="1517">
          <cell r="C1517">
            <v>14890057</v>
          </cell>
          <cell r="E1517" t="str">
            <v>Sundry Creditors-Vendors Unsecured Loans</v>
          </cell>
          <cell r="F1517" t="str">
            <v>LSCRED</v>
          </cell>
          <cell r="G1517">
            <v>0</v>
          </cell>
          <cell r="K1517">
            <v>0</v>
          </cell>
        </row>
        <row r="1519">
          <cell r="C1519">
            <v>24710776</v>
          </cell>
          <cell r="E1519" t="str">
            <v>Vendors Inter Company REceivables</v>
          </cell>
          <cell r="F1519" t="str">
            <v>ADVAN</v>
          </cell>
          <cell r="G1519">
            <v>0</v>
          </cell>
          <cell r="K1519">
            <v>0</v>
          </cell>
        </row>
        <row r="1520">
          <cell r="C1520">
            <v>15000018</v>
          </cell>
          <cell r="E1520" t="str">
            <v>Sundry Creditors Vendors Emp (Other Than Salary)</v>
          </cell>
          <cell r="F1520" t="str">
            <v>ADVAN</v>
          </cell>
          <cell r="G1520">
            <v>67736.47</v>
          </cell>
          <cell r="K1520">
            <v>67736.47</v>
          </cell>
        </row>
        <row r="1521">
          <cell r="C1521">
            <v>14890392</v>
          </cell>
          <cell r="E1521" t="str">
            <v>Sundry Creditors-Vendors Inter Company Payables</v>
          </cell>
          <cell r="F1521" t="str">
            <v>LSCRED</v>
          </cell>
          <cell r="G1521">
            <v>-78915</v>
          </cell>
          <cell r="K1521">
            <v>-78915</v>
          </cell>
        </row>
        <row r="1523">
          <cell r="E1523" t="str">
            <v>CURRENT LIABILITIES - ADV. FROM CUSTOMERS</v>
          </cell>
        </row>
        <row r="1524">
          <cell r="C1524">
            <v>90000192</v>
          </cell>
          <cell r="D1524" t="str">
            <v>GA05050</v>
          </cell>
          <cell r="E1524" t="str">
            <v>Sundry Debtors A/C</v>
          </cell>
          <cell r="F1524" t="str">
            <v>ADEBT</v>
          </cell>
          <cell r="G1524">
            <v>-1879864559.4200001</v>
          </cell>
          <cell r="K1524">
            <v>-1879864559.4200001</v>
          </cell>
        </row>
        <row r="1525">
          <cell r="C1525">
            <v>90000183</v>
          </cell>
          <cell r="D1525" t="str">
            <v>GA05050</v>
          </cell>
          <cell r="E1525" t="str">
            <v>Bombay Stock Exchange Limited</v>
          </cell>
          <cell r="F1525" t="str">
            <v>ADEBT</v>
          </cell>
          <cell r="G1525">
            <v>-72569230.909999996</v>
          </cell>
          <cell r="K1525">
            <v>-72569230.909999996</v>
          </cell>
        </row>
        <row r="1526">
          <cell r="C1526">
            <v>90000005</v>
          </cell>
          <cell r="D1526" t="str">
            <v>GA0B1</v>
          </cell>
          <cell r="E1526" t="str">
            <v>Cleared Ch. In Hdfc Bank</v>
          </cell>
          <cell r="F1526" t="str">
            <v>ADEBT</v>
          </cell>
          <cell r="G1526">
            <v>-537514.72</v>
          </cell>
          <cell r="K1526">
            <v>-537514.72</v>
          </cell>
        </row>
        <row r="1527">
          <cell r="C1527">
            <v>90000104</v>
          </cell>
          <cell r="D1527" t="str">
            <v>GL1028</v>
          </cell>
          <cell r="E1527" t="str">
            <v>STATE BANK OF INDIA (WDM)</v>
          </cell>
          <cell r="F1527" t="str">
            <v>ADEBT</v>
          </cell>
          <cell r="G1527">
            <v>-11500</v>
          </cell>
          <cell r="K1527">
            <v>-11500</v>
          </cell>
        </row>
        <row r="1528">
          <cell r="C1528">
            <v>90000335</v>
          </cell>
          <cell r="D1528" t="str">
            <v>GL1028</v>
          </cell>
          <cell r="E1528" t="str">
            <v>ALLAHABAD BANK (WDM)</v>
          </cell>
          <cell r="F1528" t="str">
            <v>ADEBT</v>
          </cell>
          <cell r="G1528">
            <v>-8500</v>
          </cell>
          <cell r="K1528">
            <v>-8500</v>
          </cell>
        </row>
        <row r="1529">
          <cell r="C1529">
            <v>90000088</v>
          </cell>
          <cell r="D1529" t="str">
            <v>GL1028</v>
          </cell>
          <cell r="E1529" t="str">
            <v>NAGPUR NAGRIK SAHAKARI B</v>
          </cell>
          <cell r="F1529" t="str">
            <v>ADEBT</v>
          </cell>
          <cell r="G1529">
            <v>-7264</v>
          </cell>
          <cell r="K1529">
            <v>-7264</v>
          </cell>
        </row>
        <row r="1530">
          <cell r="C1530">
            <v>90000082</v>
          </cell>
          <cell r="D1530" t="str">
            <v>GL1028</v>
          </cell>
          <cell r="E1530" t="str">
            <v>JANTA SAHAKARI BANK(WDM)</v>
          </cell>
          <cell r="F1530" t="str">
            <v>ADEBT</v>
          </cell>
          <cell r="G1530">
            <v>-7000</v>
          </cell>
          <cell r="K1530">
            <v>-7000</v>
          </cell>
        </row>
        <row r="1531">
          <cell r="C1531">
            <v>90000112</v>
          </cell>
          <cell r="D1531" t="str">
            <v>GL1028</v>
          </cell>
          <cell r="E1531" t="str">
            <v>UNITED BANK OF INDIA (WDM)</v>
          </cell>
          <cell r="F1531" t="str">
            <v>ADEBT</v>
          </cell>
          <cell r="G1531">
            <v>-5250</v>
          </cell>
          <cell r="K1531">
            <v>-5250</v>
          </cell>
        </row>
        <row r="1532">
          <cell r="C1532">
            <v>90000066</v>
          </cell>
          <cell r="D1532" t="str">
            <v>GL1028</v>
          </cell>
          <cell r="E1532" t="str">
            <v>CANARA BANK(WDM)</v>
          </cell>
          <cell r="F1532" t="str">
            <v>ADEBT</v>
          </cell>
          <cell r="G1532">
            <v>-6000</v>
          </cell>
          <cell r="K1532">
            <v>-6000</v>
          </cell>
        </row>
        <row r="1533">
          <cell r="C1533">
            <v>90000058</v>
          </cell>
          <cell r="D1533" t="str">
            <v>GL1028</v>
          </cell>
          <cell r="E1533" t="str">
            <v>BANK OF BARODA CAPITALMARKETS(WDM)</v>
          </cell>
          <cell r="F1533" t="str">
            <v>ADEBT</v>
          </cell>
          <cell r="G1533">
            <v>-5250</v>
          </cell>
          <cell r="K1533">
            <v>-5250</v>
          </cell>
        </row>
        <row r="1534">
          <cell r="C1534">
            <v>90000099</v>
          </cell>
          <cell r="D1534" t="str">
            <v>GL1028</v>
          </cell>
          <cell r="E1534" t="str">
            <v>SBI MUTUAL FUND (WDM)</v>
          </cell>
          <cell r="F1534" t="str">
            <v>ADEBT</v>
          </cell>
          <cell r="G1534">
            <v>-3500</v>
          </cell>
          <cell r="K1534">
            <v>-3500</v>
          </cell>
        </row>
        <row r="1535">
          <cell r="C1535">
            <v>90000109</v>
          </cell>
          <cell r="D1535" t="str">
            <v>GL1028</v>
          </cell>
          <cell r="E1535" t="str">
            <v>THE SANGLI BANK (WDM)</v>
          </cell>
          <cell r="F1535" t="str">
            <v>ADEBT</v>
          </cell>
          <cell r="G1535">
            <v>-3500</v>
          </cell>
          <cell r="K1535">
            <v>-3500</v>
          </cell>
        </row>
        <row r="1536">
          <cell r="C1536">
            <v>90000063</v>
          </cell>
          <cell r="D1536" t="str">
            <v>GL1028</v>
          </cell>
          <cell r="E1536" t="str">
            <v>BHARAT CO-OP BANK LTD. (WDM)</v>
          </cell>
          <cell r="F1536" t="str">
            <v>ADEBT</v>
          </cell>
          <cell r="G1536">
            <v>-3200</v>
          </cell>
          <cell r="K1536">
            <v>-3200</v>
          </cell>
        </row>
        <row r="1537">
          <cell r="C1537">
            <v>90000004</v>
          </cell>
          <cell r="D1537" t="str">
            <v>GL10130</v>
          </cell>
          <cell r="E1537" t="str">
            <v>Account To Be Open</v>
          </cell>
          <cell r="F1537" t="str">
            <v>ADEBT</v>
          </cell>
          <cell r="G1537">
            <v>-3050</v>
          </cell>
          <cell r="K1537">
            <v>-3050</v>
          </cell>
        </row>
        <row r="1538">
          <cell r="C1538">
            <v>90000111</v>
          </cell>
          <cell r="D1538" t="str">
            <v>GL1028</v>
          </cell>
          <cell r="E1538" t="str">
            <v>UCO BANK</v>
          </cell>
          <cell r="F1538" t="str">
            <v>ADEBT</v>
          </cell>
          <cell r="G1538">
            <v>-2250</v>
          </cell>
          <cell r="K1538">
            <v>-2250</v>
          </cell>
        </row>
        <row r="1539">
          <cell r="C1539">
            <v>90000200</v>
          </cell>
          <cell r="D1539" t="str">
            <v>GL1028</v>
          </cell>
          <cell r="E1539" t="str">
            <v>AHMEDNAGAR SAHAR SAHAKARI BANK (WDM)</v>
          </cell>
          <cell r="F1539" t="str">
            <v>ADEBT</v>
          </cell>
          <cell r="G1539">
            <v>-2000</v>
          </cell>
          <cell r="K1539">
            <v>-2000</v>
          </cell>
        </row>
        <row r="1540">
          <cell r="C1540">
            <v>90000072</v>
          </cell>
          <cell r="D1540" t="str">
            <v>GL1028</v>
          </cell>
          <cell r="E1540" t="str">
            <v>FEDERAL BANK(WDM)</v>
          </cell>
          <cell r="F1540" t="str">
            <v>ADEBT</v>
          </cell>
          <cell r="G1540">
            <v>-1750</v>
          </cell>
          <cell r="K1540">
            <v>-1750</v>
          </cell>
        </row>
        <row r="1541">
          <cell r="C1541">
            <v>90000092</v>
          </cell>
          <cell r="D1541" t="str">
            <v>GL1028</v>
          </cell>
          <cell r="E1541" t="str">
            <v>ORIENTAL BANK OF COMM. (WDM)</v>
          </cell>
          <cell r="F1541" t="str">
            <v>ADEBT</v>
          </cell>
          <cell r="G1541">
            <v>1500</v>
          </cell>
          <cell r="K1541">
            <v>1500</v>
          </cell>
        </row>
        <row r="1542">
          <cell r="C1542">
            <v>90000011</v>
          </cell>
          <cell r="D1542" t="str">
            <v>GA05050</v>
          </cell>
          <cell r="E1542" t="str">
            <v>Sundry Debtors A/C.Customers Direct</v>
          </cell>
          <cell r="F1542" t="str">
            <v>ADEBT</v>
          </cell>
          <cell r="G1542">
            <v>-524.01</v>
          </cell>
          <cell r="K1542">
            <v>-524.01</v>
          </cell>
        </row>
        <row r="1543">
          <cell r="C1543">
            <v>90000106</v>
          </cell>
          <cell r="D1543" t="str">
            <v>GL1028</v>
          </cell>
          <cell r="E1543" t="str">
            <v>STATE BANK OF SHAURASHTR</v>
          </cell>
          <cell r="F1543" t="str">
            <v>ADEBT</v>
          </cell>
          <cell r="G1543">
            <v>-500</v>
          </cell>
          <cell r="K1543">
            <v>-500</v>
          </cell>
        </row>
        <row r="1544">
          <cell r="C1544">
            <v>90000074</v>
          </cell>
          <cell r="D1544" t="str">
            <v>GL1028</v>
          </cell>
          <cell r="E1544" t="str">
            <v>ICHALKARANJI JANTA SAHAKARI BANK(WDM)</v>
          </cell>
          <cell r="F1544" t="str">
            <v>ADEBT</v>
          </cell>
          <cell r="G1544">
            <v>-491</v>
          </cell>
          <cell r="K1544">
            <v>-491</v>
          </cell>
        </row>
        <row r="1545">
          <cell r="C1545">
            <v>90000003</v>
          </cell>
          <cell r="D1545" t="str">
            <v>GA05090</v>
          </cell>
          <cell r="E1545" t="str">
            <v>Balancing Account</v>
          </cell>
          <cell r="F1545" t="str">
            <v>ADEBT</v>
          </cell>
          <cell r="G1545">
            <v>59140594.189999998</v>
          </cell>
          <cell r="K1545">
            <v>59140594.189999998</v>
          </cell>
        </row>
        <row r="1546">
          <cell r="C1546">
            <v>90000186</v>
          </cell>
          <cell r="D1546" t="str">
            <v>GA05050</v>
          </cell>
          <cell r="E1546" t="str">
            <v>National Stock Exchange</v>
          </cell>
          <cell r="F1546" t="str">
            <v>ADEBT</v>
          </cell>
          <cell r="G1546">
            <v>162496475.33000001</v>
          </cell>
          <cell r="K1546">
            <v>162496475.33000001</v>
          </cell>
        </row>
        <row r="1547">
          <cell r="C1547">
            <v>90000184</v>
          </cell>
          <cell r="D1547" t="str">
            <v>GA05050</v>
          </cell>
          <cell r="E1547" t="str">
            <v>Bombay Stock Exchange Limited - STT A/C</v>
          </cell>
          <cell r="F1547" t="str">
            <v>ADEBT</v>
          </cell>
          <cell r="G1547">
            <v>136148.94</v>
          </cell>
          <cell r="K1547">
            <v>136148.94</v>
          </cell>
        </row>
        <row r="1548">
          <cell r="C1548">
            <v>13113802</v>
          </cell>
          <cell r="D1548" t="str">
            <v>GA0383</v>
          </cell>
          <cell r="E1548" t="str">
            <v>Deposit Received From Clients</v>
          </cell>
          <cell r="F1548" t="str">
            <v>LMAR</v>
          </cell>
          <cell r="G1548">
            <v>-600000</v>
          </cell>
          <cell r="K1548">
            <v>-600000</v>
          </cell>
        </row>
        <row r="1549">
          <cell r="C1549">
            <v>14890126</v>
          </cell>
          <cell r="D1549" t="str">
            <v>GADCM</v>
          </cell>
          <cell r="E1549" t="str">
            <v>MARKET WIZARDS SECURITIES PVT LTD</v>
          </cell>
          <cell r="F1549" t="str">
            <v>LMAR</v>
          </cell>
          <cell r="G1549">
            <v>-100000</v>
          </cell>
          <cell r="K1549">
            <v>-100000</v>
          </cell>
        </row>
        <row r="1550">
          <cell r="C1550">
            <v>14890123</v>
          </cell>
          <cell r="D1550" t="str">
            <v>GADCM</v>
          </cell>
          <cell r="E1550" t="str">
            <v>AVINASH KUMAR</v>
          </cell>
          <cell r="F1550" t="str">
            <v>LMAR</v>
          </cell>
          <cell r="G1550">
            <v>-50000</v>
          </cell>
          <cell r="K1550">
            <v>-50000</v>
          </cell>
        </row>
        <row r="1551">
          <cell r="C1551">
            <v>14890124</v>
          </cell>
          <cell r="D1551" t="str">
            <v>GADCM</v>
          </cell>
          <cell r="E1551" t="str">
            <v>GURMEET SINGH OBEROI</v>
          </cell>
          <cell r="F1551" t="str">
            <v>LMAR</v>
          </cell>
          <cell r="G1551">
            <v>-50000</v>
          </cell>
          <cell r="K1551">
            <v>-50000</v>
          </cell>
        </row>
        <row r="1552">
          <cell r="C1552">
            <v>14890127</v>
          </cell>
          <cell r="D1552" t="str">
            <v>GADCM</v>
          </cell>
          <cell r="E1552" t="str">
            <v>MITUL ASHWIN ADHIYA</v>
          </cell>
          <cell r="F1552" t="str">
            <v>LMAR</v>
          </cell>
          <cell r="G1552">
            <v>-50000</v>
          </cell>
          <cell r="K1552">
            <v>-50000</v>
          </cell>
        </row>
        <row r="1553">
          <cell r="C1553">
            <v>14890148</v>
          </cell>
          <cell r="D1553" t="str">
            <v>GL01MAR</v>
          </cell>
          <cell r="E1553" t="str">
            <v>S K SINGHAL-BOM MARGIN A\</v>
          </cell>
          <cell r="F1553" t="str">
            <v>LMAR</v>
          </cell>
          <cell r="G1553">
            <v>-10000</v>
          </cell>
          <cell r="K1553">
            <v>-10000</v>
          </cell>
        </row>
        <row r="1554">
          <cell r="C1554">
            <v>14890149</v>
          </cell>
          <cell r="D1554" t="str">
            <v>GL01MAR</v>
          </cell>
          <cell r="E1554" t="str">
            <v>SURINDER MADHAVAN MARGIN</v>
          </cell>
          <cell r="F1554" t="str">
            <v>LMAR</v>
          </cell>
          <cell r="G1554">
            <v>-1000</v>
          </cell>
          <cell r="K1554">
            <v>-1000</v>
          </cell>
        </row>
        <row r="1555">
          <cell r="C1555">
            <v>14890122</v>
          </cell>
          <cell r="D1555" t="str">
            <v>GADCM</v>
          </cell>
          <cell r="E1555" t="str">
            <v>3M SECURITIES</v>
          </cell>
          <cell r="F1555" t="str">
            <v>LMAR</v>
          </cell>
          <cell r="G1555">
            <v>0</v>
          </cell>
          <cell r="K1555">
            <v>0</v>
          </cell>
        </row>
        <row r="1556">
          <cell r="C1556">
            <v>14890125</v>
          </cell>
          <cell r="D1556" t="str">
            <v>GADCM</v>
          </cell>
          <cell r="E1556" t="str">
            <v>INDER KUMAR TANDON</v>
          </cell>
          <cell r="F1556" t="str">
            <v>LMAR</v>
          </cell>
          <cell r="G1556">
            <v>0</v>
          </cell>
          <cell r="K1556">
            <v>0</v>
          </cell>
        </row>
        <row r="1557">
          <cell r="C1557">
            <v>14890128</v>
          </cell>
          <cell r="D1557" t="str">
            <v>GADCM</v>
          </cell>
          <cell r="E1557" t="str">
            <v>SUBRATA SAHA</v>
          </cell>
          <cell r="F1557" t="str">
            <v>LMAR</v>
          </cell>
          <cell r="G1557">
            <v>0</v>
          </cell>
          <cell r="K1557">
            <v>0</v>
          </cell>
        </row>
        <row r="1558">
          <cell r="C1558">
            <v>14890129</v>
          </cell>
          <cell r="D1558" t="str">
            <v>GADCM</v>
          </cell>
          <cell r="E1558" t="str">
            <v>SWASTIK INVESTMENTS</v>
          </cell>
          <cell r="F1558" t="str">
            <v>LMAR</v>
          </cell>
          <cell r="G1558">
            <v>0</v>
          </cell>
          <cell r="K1558">
            <v>0</v>
          </cell>
        </row>
        <row r="1559">
          <cell r="C1559">
            <v>14890679</v>
          </cell>
          <cell r="E1559" t="str">
            <v>Security Deposit from Arbitrage Vendors</v>
          </cell>
          <cell r="F1559" t="str">
            <v>LMAR</v>
          </cell>
          <cell r="G1559">
            <v>-500000</v>
          </cell>
          <cell r="K1559">
            <v>-500000</v>
          </cell>
        </row>
        <row r="1562">
          <cell r="E1562" t="str">
            <v>CURRENT LIABILITIES - TEMP. OVERDRAWAN BALANCES</v>
          </cell>
        </row>
        <row r="1564">
          <cell r="E1564" t="str">
            <v>CURRENT LIABILITIES - OTHER LIAB. - SECURITY DEPOSIT FOR CAR</v>
          </cell>
        </row>
        <row r="1565">
          <cell r="C1565">
            <v>13114056</v>
          </cell>
          <cell r="D1565" t="str">
            <v>GSEEE</v>
          </cell>
          <cell r="E1565" t="str">
            <v>SECURITY DEPOSIT FROM ANURAG OHRI</v>
          </cell>
          <cell r="F1565" t="str">
            <v>ASECO</v>
          </cell>
          <cell r="G1565">
            <v>-547476</v>
          </cell>
          <cell r="K1565">
            <v>-547476</v>
          </cell>
        </row>
        <row r="1566">
          <cell r="C1566">
            <v>14890176</v>
          </cell>
          <cell r="D1566" t="str">
            <v>GSEEE</v>
          </cell>
          <cell r="E1566" t="str">
            <v>SECURITY DEPOSIT FROM NANDAKISHORE</v>
          </cell>
          <cell r="F1566" t="str">
            <v>ASECO</v>
          </cell>
          <cell r="G1566">
            <v>-180130</v>
          </cell>
          <cell r="K1566">
            <v>-180130</v>
          </cell>
        </row>
        <row r="1567">
          <cell r="C1567">
            <v>14890413</v>
          </cell>
          <cell r="D1567" t="str">
            <v>GSEEE</v>
          </cell>
          <cell r="E1567" t="str">
            <v>SECURITY DEPOSIT FROM SANJAY GROVER</v>
          </cell>
          <cell r="F1567" t="str">
            <v>ASECO</v>
          </cell>
          <cell r="G1567">
            <v>-168837</v>
          </cell>
          <cell r="K1567">
            <v>-168837</v>
          </cell>
        </row>
        <row r="1568">
          <cell r="C1568">
            <v>14890181</v>
          </cell>
          <cell r="D1568" t="str">
            <v>GSEEE</v>
          </cell>
          <cell r="E1568" t="str">
            <v>SECURITY DEPSOIT SACHIN JAIN</v>
          </cell>
          <cell r="F1568" t="str">
            <v>ASECO</v>
          </cell>
          <cell r="G1568">
            <v>-151703</v>
          </cell>
          <cell r="K1568">
            <v>-151703</v>
          </cell>
        </row>
        <row r="1569">
          <cell r="C1569">
            <v>14890416</v>
          </cell>
          <cell r="D1569" t="str">
            <v>GSEEE</v>
          </cell>
          <cell r="E1569" t="str">
            <v>SECURITY DEPOSIT FROM VIKAS SACHDEVA</v>
          </cell>
          <cell r="F1569" t="str">
            <v>ASECO</v>
          </cell>
          <cell r="G1569">
            <v>-124790</v>
          </cell>
          <cell r="K1569">
            <v>-124790</v>
          </cell>
        </row>
        <row r="1570">
          <cell r="C1570">
            <v>14890420</v>
          </cell>
          <cell r="D1570" t="str">
            <v>GSEEE</v>
          </cell>
          <cell r="E1570" t="str">
            <v>SECURITY DEPOSIT FROM SANJEEV KASHYAP</v>
          </cell>
          <cell r="F1570" t="str">
            <v>ASECO</v>
          </cell>
          <cell r="G1570">
            <v>-124790</v>
          </cell>
          <cell r="K1570">
            <v>-124790</v>
          </cell>
        </row>
        <row r="1571">
          <cell r="C1571">
            <v>14890179</v>
          </cell>
          <cell r="D1571" t="str">
            <v>GSEEE</v>
          </cell>
          <cell r="E1571" t="str">
            <v>SECURITY DEPOSIT FROM MANISH SAHIJWANI</v>
          </cell>
          <cell r="F1571" t="str">
            <v>ASECO</v>
          </cell>
          <cell r="G1571">
            <v>-117517</v>
          </cell>
          <cell r="K1571">
            <v>-117517</v>
          </cell>
        </row>
        <row r="1572">
          <cell r="C1572">
            <v>14890171</v>
          </cell>
          <cell r="D1572" t="str">
            <v>GSEEE</v>
          </cell>
          <cell r="E1572" t="str">
            <v>SECURITY DEPOSIT BY ARJUN MEHRA</v>
          </cell>
          <cell r="F1572" t="str">
            <v>ASECO</v>
          </cell>
          <cell r="G1572">
            <v>-99363</v>
          </cell>
          <cell r="K1572">
            <v>-99363</v>
          </cell>
        </row>
        <row r="1573">
          <cell r="C1573">
            <v>14890177</v>
          </cell>
          <cell r="D1573" t="str">
            <v>GSEEE</v>
          </cell>
          <cell r="E1573" t="str">
            <v>SECURITY DEPOSIT FROM HARSHVARDHAN</v>
          </cell>
          <cell r="F1573" t="str">
            <v>ASECO</v>
          </cell>
          <cell r="G1573">
            <v>-94619</v>
          </cell>
          <cell r="K1573">
            <v>-94619</v>
          </cell>
        </row>
        <row r="1574">
          <cell r="C1574">
            <v>14890175</v>
          </cell>
          <cell r="D1574" t="str">
            <v>GSEEE</v>
          </cell>
          <cell r="E1574" t="str">
            <v>SECURITY DEPOSIT FROM KAUSHAL</v>
          </cell>
          <cell r="F1574" t="str">
            <v>ASECO</v>
          </cell>
          <cell r="G1574">
            <v>-89106</v>
          </cell>
          <cell r="K1574">
            <v>-89106</v>
          </cell>
        </row>
        <row r="1575">
          <cell r="C1575">
            <v>14890173</v>
          </cell>
          <cell r="D1575" t="str">
            <v>GSEEE</v>
          </cell>
          <cell r="E1575" t="str">
            <v>SECURITY DEPOSIT FROM BALARAMAN</v>
          </cell>
          <cell r="F1575" t="str">
            <v>ASECO</v>
          </cell>
          <cell r="G1575">
            <v>-69315</v>
          </cell>
          <cell r="K1575">
            <v>-69315</v>
          </cell>
        </row>
        <row r="1576">
          <cell r="C1576">
            <v>14890174</v>
          </cell>
          <cell r="D1576" t="str">
            <v>GSEEE</v>
          </cell>
          <cell r="E1576" t="str">
            <v>SECURITY DEPOSIT FROM GAURAV</v>
          </cell>
          <cell r="F1576" t="str">
            <v>ASECO</v>
          </cell>
          <cell r="G1576">
            <v>-68764</v>
          </cell>
          <cell r="K1576">
            <v>-68764</v>
          </cell>
        </row>
        <row r="1577">
          <cell r="C1577">
            <v>14890178</v>
          </cell>
          <cell r="D1577" t="str">
            <v>GSEEE</v>
          </cell>
          <cell r="E1577" t="str">
            <v>SECURITY DEPOSIT FROM MUKUL MAHAJAN</v>
          </cell>
          <cell r="F1577" t="str">
            <v>ASECO</v>
          </cell>
          <cell r="G1577">
            <v>-64019</v>
          </cell>
          <cell r="K1577">
            <v>-64019</v>
          </cell>
        </row>
        <row r="1578">
          <cell r="C1578">
            <v>14890182</v>
          </cell>
          <cell r="D1578" t="str">
            <v>GSEEE</v>
          </cell>
          <cell r="E1578" t="str">
            <v>SECURITY DEPOSIT YASHWINDER SINGH</v>
          </cell>
          <cell r="F1578" t="str">
            <v>ASECO</v>
          </cell>
          <cell r="G1578">
            <v>0</v>
          </cell>
          <cell r="K1578">
            <v>0</v>
          </cell>
        </row>
        <row r="1579">
          <cell r="C1579">
            <v>13114048</v>
          </cell>
          <cell r="D1579" t="str">
            <v>GSEEE</v>
          </cell>
          <cell r="E1579" t="str">
            <v>SECURITY DEPOSIT FROM KUNAL NAGPAL</v>
          </cell>
          <cell r="F1579" t="str">
            <v>ASECO</v>
          </cell>
          <cell r="G1579">
            <v>-56120</v>
          </cell>
          <cell r="K1579">
            <v>-56120</v>
          </cell>
        </row>
        <row r="1580">
          <cell r="C1580">
            <v>14890172</v>
          </cell>
          <cell r="D1580" t="str">
            <v>GSEEE</v>
          </cell>
          <cell r="E1580" t="str">
            <v>SECURITY DEPOSIT FROM BHAVIK SHAH</v>
          </cell>
          <cell r="F1580" t="str">
            <v>ASECO</v>
          </cell>
          <cell r="G1580">
            <v>-21574</v>
          </cell>
          <cell r="K1580">
            <v>-21574</v>
          </cell>
        </row>
        <row r="1581">
          <cell r="C1581">
            <v>14890169</v>
          </cell>
          <cell r="D1581" t="str">
            <v>GSEEE</v>
          </cell>
          <cell r="E1581" t="str">
            <v>SECURITY DEPOSIT FROM JOSEPH ABRAHAM MANINAGAR</v>
          </cell>
          <cell r="F1581" t="str">
            <v>ASECO</v>
          </cell>
          <cell r="G1581">
            <v>-20025</v>
          </cell>
          <cell r="K1581">
            <v>-20025</v>
          </cell>
        </row>
        <row r="1582">
          <cell r="C1582">
            <v>14890180</v>
          </cell>
          <cell r="D1582" t="str">
            <v>GSEEE</v>
          </cell>
          <cell r="E1582" t="str">
            <v>SECURITY DEPOSIT FROM SHARAD</v>
          </cell>
          <cell r="F1582" t="str">
            <v>ASECO</v>
          </cell>
          <cell r="G1582">
            <v>-4432</v>
          </cell>
          <cell r="K1582">
            <v>-4432</v>
          </cell>
        </row>
        <row r="1586">
          <cell r="E1586" t="str">
            <v>CURRENT LIABILITIES - OTHER LIAB. - DIVIDEND PAYABLE</v>
          </cell>
        </row>
        <row r="1587">
          <cell r="C1587">
            <v>13114004</v>
          </cell>
          <cell r="D1587" t="str">
            <v>GL01DIV</v>
          </cell>
          <cell r="E1587" t="str">
            <v>Dividend Clients Payable</v>
          </cell>
          <cell r="F1587" t="str">
            <v>LDIV</v>
          </cell>
          <cell r="G1587">
            <v>21153.67</v>
          </cell>
          <cell r="K1587">
            <v>21153.67</v>
          </cell>
        </row>
        <row r="1589">
          <cell r="E1589" t="str">
            <v>CURRENT LIABILITIES - OTHER LIAB.- TDS PAYABLE</v>
          </cell>
        </row>
        <row r="1590">
          <cell r="C1590">
            <v>13113940</v>
          </cell>
          <cell r="D1590" t="str">
            <v>GA080A</v>
          </cell>
          <cell r="E1590" t="str">
            <v>Withholding Tax (TDS) SALARY payable</v>
          </cell>
          <cell r="F1590" t="str">
            <v>LOLIAB</v>
          </cell>
          <cell r="G1590">
            <v>-906043.36</v>
          </cell>
          <cell r="K1590">
            <v>-906043.36</v>
          </cell>
        </row>
        <row r="1591">
          <cell r="C1591">
            <v>13113941</v>
          </cell>
          <cell r="D1591" t="str">
            <v>GA080BC</v>
          </cell>
          <cell r="E1591" t="str">
            <v>Withholding Tax (Tds) Rent Payable</v>
          </cell>
          <cell r="F1591" t="str">
            <v>LOLIAB</v>
          </cell>
          <cell r="G1591">
            <v>-817172</v>
          </cell>
          <cell r="K1591">
            <v>-817172</v>
          </cell>
        </row>
        <row r="1592">
          <cell r="C1592">
            <v>13113942</v>
          </cell>
          <cell r="D1592" t="str">
            <v>GA080DC</v>
          </cell>
          <cell r="E1592" t="str">
            <v>Withholding Tax (Tds) Contractor Payable</v>
          </cell>
          <cell r="F1592" t="str">
            <v>LOLIAB</v>
          </cell>
          <cell r="G1592">
            <v>-37427</v>
          </cell>
          <cell r="K1592">
            <v>-37427</v>
          </cell>
        </row>
        <row r="1593">
          <cell r="C1593">
            <v>13113943</v>
          </cell>
          <cell r="D1593" t="str">
            <v>GA080CC</v>
          </cell>
          <cell r="E1593" t="str">
            <v>Withholding Tax (Tds) Professional  Payable</v>
          </cell>
          <cell r="F1593" t="str">
            <v>LOLIAB</v>
          </cell>
          <cell r="G1593">
            <v>-878517</v>
          </cell>
          <cell r="K1593">
            <v>-878517</v>
          </cell>
        </row>
        <row r="1594">
          <cell r="C1594">
            <v>13113944</v>
          </cell>
          <cell r="D1594" t="str">
            <v>GA080EC</v>
          </cell>
          <cell r="E1594" t="str">
            <v>Withholding Tax (Tds) Commission  Payable</v>
          </cell>
          <cell r="F1594" t="str">
            <v>LOLIAB</v>
          </cell>
          <cell r="G1594">
            <v>0</v>
          </cell>
          <cell r="K1594">
            <v>0</v>
          </cell>
        </row>
        <row r="1595">
          <cell r="C1595">
            <v>13113945</v>
          </cell>
          <cell r="D1595" t="str">
            <v>GA080F</v>
          </cell>
          <cell r="E1595" t="str">
            <v>Withholding Tax (Tds) Interest  Payable</v>
          </cell>
          <cell r="F1595" t="str">
            <v>LOLIAB</v>
          </cell>
          <cell r="G1595">
            <v>0</v>
          </cell>
          <cell r="K1595">
            <v>0</v>
          </cell>
        </row>
        <row r="1596">
          <cell r="C1596">
            <v>13113946</v>
          </cell>
          <cell r="D1596" t="str">
            <v>GA080GNC</v>
          </cell>
          <cell r="E1596" t="str">
            <v>Withholding Tax (Tds) (Non Resident) Payable</v>
          </cell>
          <cell r="F1596" t="str">
            <v>LOLIAB</v>
          </cell>
          <cell r="G1596">
            <v>0</v>
          </cell>
          <cell r="K1596">
            <v>0</v>
          </cell>
        </row>
        <row r="1597">
          <cell r="C1597">
            <v>14890631</v>
          </cell>
          <cell r="E1597" t="str">
            <v>TDS Prof 08-09 pay against prov</v>
          </cell>
          <cell r="F1597" t="str">
            <v>LOLIAB</v>
          </cell>
          <cell r="G1597">
            <v>0</v>
          </cell>
          <cell r="K1597">
            <v>0</v>
          </cell>
        </row>
        <row r="1598">
          <cell r="C1598">
            <v>14890632</v>
          </cell>
          <cell r="E1598" t="str">
            <v>TDS Rent 08-09 pay against prov</v>
          </cell>
          <cell r="F1598" t="str">
            <v>LOLIAB</v>
          </cell>
          <cell r="G1598">
            <v>0</v>
          </cell>
          <cell r="K1598">
            <v>0</v>
          </cell>
        </row>
        <row r="1599">
          <cell r="C1599">
            <v>14890633</v>
          </cell>
          <cell r="E1599" t="str">
            <v>TDS Cont 08-09 pay against prov</v>
          </cell>
          <cell r="F1599" t="str">
            <v>LOLIAB</v>
          </cell>
          <cell r="G1599">
            <v>0</v>
          </cell>
          <cell r="K1599">
            <v>0</v>
          </cell>
        </row>
        <row r="1600">
          <cell r="C1600">
            <v>14890634</v>
          </cell>
          <cell r="E1600" t="str">
            <v>TDS Comm. 08-09 pay against prov</v>
          </cell>
          <cell r="F1600" t="str">
            <v>LOLIAB</v>
          </cell>
          <cell r="G1600">
            <v>0</v>
          </cell>
          <cell r="K1600">
            <v>0</v>
          </cell>
        </row>
        <row r="1603">
          <cell r="E1603" t="str">
            <v>CURRENT LIABILITIES - OTHER LIAB.- SERVICE TAX</v>
          </cell>
        </row>
        <row r="1604">
          <cell r="C1604">
            <v>14890031</v>
          </cell>
          <cell r="D1604" t="str">
            <v>GFSTAX</v>
          </cell>
          <cell r="E1604" t="str">
            <v>Service Tax Payable Nse F&amp;O</v>
          </cell>
          <cell r="F1604" t="str">
            <v>LOLIAB</v>
          </cell>
          <cell r="G1604">
            <v>-11459023.77</v>
          </cell>
          <cell r="K1604">
            <v>-11459023.77</v>
          </cell>
        </row>
        <row r="1605">
          <cell r="C1605">
            <v>14890032</v>
          </cell>
          <cell r="D1605" t="str">
            <v>GBSTAX</v>
          </cell>
          <cell r="E1605" t="str">
            <v>Service Tax Payable Bse CM</v>
          </cell>
          <cell r="F1605" t="str">
            <v>LOLIAB</v>
          </cell>
          <cell r="G1605">
            <v>-1090537.78</v>
          </cell>
          <cell r="K1605">
            <v>-1090537.78</v>
          </cell>
        </row>
        <row r="1606">
          <cell r="C1606">
            <v>14890034</v>
          </cell>
          <cell r="D1606" t="str">
            <v>GAOCST</v>
          </cell>
          <cell r="E1606" t="str">
            <v>Service Tax Payable Account Opening</v>
          </cell>
          <cell r="F1606" t="str">
            <v>LOLIAB</v>
          </cell>
          <cell r="G1606">
            <v>-580151</v>
          </cell>
          <cell r="K1606">
            <v>-580151</v>
          </cell>
        </row>
        <row r="1607">
          <cell r="C1607">
            <v>14890038</v>
          </cell>
          <cell r="D1607" t="str">
            <v>GCSTAX</v>
          </cell>
          <cell r="E1607" t="str">
            <v>Service Tax Payable CDSL Charges</v>
          </cell>
          <cell r="F1607" t="str">
            <v>LOLIAB</v>
          </cell>
          <cell r="G1607">
            <v>-337654.31</v>
          </cell>
          <cell r="K1607">
            <v>-337654.31</v>
          </cell>
        </row>
        <row r="1608">
          <cell r="C1608">
            <v>14890037</v>
          </cell>
          <cell r="D1608" t="str">
            <v>GNSTAX</v>
          </cell>
          <cell r="E1608" t="str">
            <v>Service Tax Payable NSDL Charges</v>
          </cell>
          <cell r="F1608" t="str">
            <v>LOLIAB</v>
          </cell>
          <cell r="G1608">
            <v>-102642.03</v>
          </cell>
          <cell r="K1608">
            <v>-102642.03</v>
          </cell>
        </row>
        <row r="1609">
          <cell r="C1609">
            <v>14890036</v>
          </cell>
          <cell r="D1609" t="str">
            <v>GSTAXO</v>
          </cell>
          <cell r="E1609" t="str">
            <v>Service Tax Payable Other</v>
          </cell>
          <cell r="F1609" t="str">
            <v>LOLIAB</v>
          </cell>
          <cell r="G1609">
            <v>-101387.92</v>
          </cell>
          <cell r="K1609">
            <v>-101387.92</v>
          </cell>
        </row>
        <row r="1610">
          <cell r="C1610">
            <v>14890033</v>
          </cell>
          <cell r="D1610" t="str">
            <v>GSERTP</v>
          </cell>
          <cell r="E1610" t="str">
            <v>Service Tax Payable WDM</v>
          </cell>
          <cell r="F1610" t="str">
            <v>LOLIAB</v>
          </cell>
          <cell r="G1610">
            <v>0</v>
          </cell>
          <cell r="K1610">
            <v>0</v>
          </cell>
        </row>
        <row r="1611">
          <cell r="C1611">
            <v>14890035</v>
          </cell>
          <cell r="D1611" t="str">
            <v>GSTAXT</v>
          </cell>
          <cell r="E1611" t="str">
            <v>Service Tax Payable Transaction Charges</v>
          </cell>
          <cell r="F1611" t="str">
            <v>LOLIAB</v>
          </cell>
          <cell r="G1611">
            <v>0</v>
          </cell>
          <cell r="K1611">
            <v>0</v>
          </cell>
        </row>
        <row r="1612">
          <cell r="C1612">
            <v>14890030</v>
          </cell>
          <cell r="D1612" t="str">
            <v>GL01001</v>
          </cell>
          <cell r="E1612" t="str">
            <v>Service Tax Payable Nse CM</v>
          </cell>
          <cell r="F1612" t="str">
            <v>LOLIAB</v>
          </cell>
          <cell r="G1612">
            <v>-53709.68</v>
          </cell>
          <cell r="K1612">
            <v>-53709.68</v>
          </cell>
        </row>
        <row r="1613">
          <cell r="C1613">
            <v>13114097</v>
          </cell>
          <cell r="E1613" t="str">
            <v>CDS SERVICE TAX</v>
          </cell>
          <cell r="F1613" t="str">
            <v>LOLIAB</v>
          </cell>
          <cell r="G1613">
            <v>-265435.8</v>
          </cell>
          <cell r="K1613">
            <v>-265435.8</v>
          </cell>
        </row>
        <row r="1614">
          <cell r="C1614">
            <v>13114100</v>
          </cell>
          <cell r="D1614" t="str">
            <v>GSSTAX</v>
          </cell>
          <cell r="E1614" t="str">
            <v>SERVICE TAX - SLBS</v>
          </cell>
          <cell r="F1614" t="str">
            <v>LOLIAB</v>
          </cell>
          <cell r="G1614">
            <v>-0.12</v>
          </cell>
          <cell r="K1614">
            <v>-0.12</v>
          </cell>
        </row>
        <row r="1615">
          <cell r="C1615">
            <v>14890371</v>
          </cell>
          <cell r="D1615" t="str">
            <v>GSTAX</v>
          </cell>
          <cell r="E1615" t="str">
            <v>SERVICE TAX  PAYABLE -GSTAX</v>
          </cell>
          <cell r="F1615" t="str">
            <v>LOLIAB</v>
          </cell>
          <cell r="G1615">
            <v>-10423509.93</v>
          </cell>
          <cell r="K1615">
            <v>-10423509.93</v>
          </cell>
        </row>
        <row r="1616">
          <cell r="C1616">
            <v>14890372</v>
          </cell>
          <cell r="D1616" t="str">
            <v>GSTAXD</v>
          </cell>
          <cell r="E1616" t="str">
            <v>SERVICE TAX UNDER DISPUTE</v>
          </cell>
          <cell r="F1616" t="str">
            <v>LOLIAB</v>
          </cell>
          <cell r="G1616">
            <v>0</v>
          </cell>
          <cell r="K1616">
            <v>0</v>
          </cell>
        </row>
        <row r="1617">
          <cell r="C1617">
            <v>14890544</v>
          </cell>
          <cell r="D1617" t="str">
            <v>GATAX</v>
          </cell>
          <cell r="E1617" t="str">
            <v>Service tax Payable -Advisory</v>
          </cell>
          <cell r="F1617" t="str">
            <v>LOLIAB</v>
          </cell>
          <cell r="G1617">
            <v>0.03</v>
          </cell>
          <cell r="K1617">
            <v>0.03</v>
          </cell>
        </row>
        <row r="1618">
          <cell r="C1618">
            <v>24710075</v>
          </cell>
          <cell r="D1618" t="str">
            <v>GSTRC</v>
          </cell>
          <cell r="E1618" t="str">
            <v>Service Tax Refind Claim 12.24 %</v>
          </cell>
          <cell r="F1618" t="str">
            <v>LOLIAB</v>
          </cell>
          <cell r="G1618">
            <v>0</v>
          </cell>
          <cell r="K1618">
            <v>0</v>
          </cell>
        </row>
        <row r="1619">
          <cell r="C1619">
            <v>14890592</v>
          </cell>
          <cell r="D1619" t="str">
            <v>GSTAXS</v>
          </cell>
          <cell r="E1619" t="str">
            <v>SERVICE TAX ON SCHEME CHARGES</v>
          </cell>
          <cell r="F1619" t="str">
            <v>LOLIAB</v>
          </cell>
          <cell r="G1619">
            <v>-987807.23</v>
          </cell>
          <cell r="K1619">
            <v>-987807.23</v>
          </cell>
        </row>
        <row r="1620">
          <cell r="C1620">
            <v>14890052</v>
          </cell>
          <cell r="E1620" t="str">
            <v>Service Charges Payable</v>
          </cell>
          <cell r="F1620" t="str">
            <v>LOLIAB</v>
          </cell>
          <cell r="G1620">
            <v>0</v>
          </cell>
          <cell r="K1620">
            <v>0</v>
          </cell>
        </row>
        <row r="1621">
          <cell r="C1621">
            <v>13114105</v>
          </cell>
          <cell r="E1621" t="str">
            <v>Service Tax Payable - FD Brokerage</v>
          </cell>
          <cell r="F1621" t="str">
            <v>LOLIAB</v>
          </cell>
          <cell r="G1621">
            <v>-1992</v>
          </cell>
          <cell r="K1621">
            <v>-1992</v>
          </cell>
        </row>
        <row r="1624">
          <cell r="E1624" t="str">
            <v>CURRENT LIABILITIES - OTHER LIAB.- EXPENSES PAYABLE</v>
          </cell>
        </row>
        <row r="1625">
          <cell r="C1625">
            <v>13110100</v>
          </cell>
          <cell r="E1625" t="str">
            <v>GR/IR-clearing - ext procurement - Dom</v>
          </cell>
          <cell r="F1625" t="str">
            <v>LOLIAB</v>
          </cell>
          <cell r="G1625">
            <v>-1999270.03</v>
          </cell>
          <cell r="K1625">
            <v>-1999270.03</v>
          </cell>
        </row>
        <row r="1626">
          <cell r="C1626">
            <v>13113000</v>
          </cell>
          <cell r="E1626" t="str">
            <v>Salary, wages payable</v>
          </cell>
          <cell r="F1626" t="str">
            <v>LOLIAB</v>
          </cell>
          <cell r="G1626">
            <v>-8646171.2300000004</v>
          </cell>
          <cell r="K1626">
            <v>-8646171.2300000004</v>
          </cell>
        </row>
        <row r="1627">
          <cell r="C1627">
            <v>13113001</v>
          </cell>
          <cell r="D1627" t="str">
            <v>GA0010</v>
          </cell>
          <cell r="E1627" t="str">
            <v>Salary Payable</v>
          </cell>
          <cell r="F1627" t="str">
            <v>LOLIAB</v>
          </cell>
          <cell r="G1627">
            <v>-1516367.35</v>
          </cell>
          <cell r="K1627">
            <v>-1516367.35</v>
          </cell>
        </row>
        <row r="1628">
          <cell r="C1628">
            <v>13113004</v>
          </cell>
          <cell r="D1628" t="str">
            <v>GEXPENSE</v>
          </cell>
          <cell r="E1628" t="str">
            <v>Incentive Payable</v>
          </cell>
          <cell r="F1628" t="str">
            <v>LOLIAB</v>
          </cell>
          <cell r="G1628">
            <v>-231877.08</v>
          </cell>
          <cell r="K1628">
            <v>-231877.08</v>
          </cell>
        </row>
        <row r="1629">
          <cell r="C1629">
            <v>13113012</v>
          </cell>
          <cell r="E1629" t="str">
            <v>Labour Welfare Fund Payable</v>
          </cell>
          <cell r="F1629" t="str">
            <v>LOLIAB</v>
          </cell>
          <cell r="G1629">
            <v>-10605</v>
          </cell>
          <cell r="K1629">
            <v>-10605</v>
          </cell>
        </row>
        <row r="1630">
          <cell r="C1630">
            <v>13113350</v>
          </cell>
          <cell r="E1630" t="str">
            <v>Other salary deductions - Non Statutory</v>
          </cell>
          <cell r="F1630" t="str">
            <v>LOLIAB</v>
          </cell>
          <cell r="G1630">
            <v>-502600.77</v>
          </cell>
          <cell r="K1630">
            <v>-502600.77</v>
          </cell>
        </row>
        <row r="1631">
          <cell r="C1631">
            <v>13113505</v>
          </cell>
          <cell r="E1631" t="str">
            <v>Notice Pay Deduction</v>
          </cell>
          <cell r="F1631" t="str">
            <v>LOLIAB</v>
          </cell>
          <cell r="G1631">
            <v>-261552</v>
          </cell>
          <cell r="K1631">
            <v>-261552</v>
          </cell>
        </row>
        <row r="1633">
          <cell r="C1633">
            <v>14890600</v>
          </cell>
          <cell r="E1633" t="str">
            <v>BUSINESS PROMOTION EXPENSES (2008-09) PAYABLE</v>
          </cell>
          <cell r="F1633" t="str">
            <v>LOLIAB</v>
          </cell>
          <cell r="G1633">
            <v>0</v>
          </cell>
          <cell r="K1633">
            <v>0</v>
          </cell>
        </row>
        <row r="1634">
          <cell r="C1634">
            <v>14890624</v>
          </cell>
          <cell r="E1634" t="str">
            <v>TELEPHONE EXPENSE (2008-09) PAYABLE</v>
          </cell>
          <cell r="F1634" t="str">
            <v>LOLIAB</v>
          </cell>
          <cell r="G1634">
            <v>0</v>
          </cell>
          <cell r="K1634">
            <v>0</v>
          </cell>
        </row>
        <row r="1635">
          <cell r="C1635">
            <v>14890610</v>
          </cell>
          <cell r="E1635" t="str">
            <v>LEASELINE CHARGES (2008-09) PAYABLE</v>
          </cell>
          <cell r="F1635" t="str">
            <v>LOLIAB</v>
          </cell>
          <cell r="G1635">
            <v>0</v>
          </cell>
          <cell r="K1635">
            <v>0</v>
          </cell>
        </row>
        <row r="1636">
          <cell r="C1636">
            <v>14890627</v>
          </cell>
          <cell r="E1636" t="str">
            <v>V SAT CHARGES (2008-09) PAYABLE</v>
          </cell>
          <cell r="F1636" t="str">
            <v>LOLIAB</v>
          </cell>
          <cell r="G1636">
            <v>0</v>
          </cell>
          <cell r="K1636">
            <v>0</v>
          </cell>
        </row>
        <row r="1637">
          <cell r="C1637">
            <v>14890615</v>
          </cell>
          <cell r="E1637" t="str">
            <v>POSTAGE &amp; COURIER CHARGES (2008-09) PAYABLE</v>
          </cell>
          <cell r="F1637" t="str">
            <v>LOLIAB</v>
          </cell>
          <cell r="G1637">
            <v>-49999.77</v>
          </cell>
          <cell r="K1637">
            <v>-49999.77</v>
          </cell>
        </row>
        <row r="1638">
          <cell r="C1638">
            <v>14890618</v>
          </cell>
          <cell r="E1638" t="str">
            <v>RENT EXPENSE (2008-09) PAYABLE</v>
          </cell>
          <cell r="F1638" t="str">
            <v>LOLIAB</v>
          </cell>
          <cell r="G1638">
            <v>0</v>
          </cell>
          <cell r="K1638">
            <v>0</v>
          </cell>
        </row>
        <row r="1639">
          <cell r="C1639">
            <v>14890606</v>
          </cell>
          <cell r="E1639" t="str">
            <v>ELECTRICITY EXPENSE (2008-09) PAYABLE</v>
          </cell>
          <cell r="F1639" t="str">
            <v>LOLIAB</v>
          </cell>
          <cell r="G1639">
            <v>0</v>
          </cell>
          <cell r="K1639">
            <v>0</v>
          </cell>
        </row>
        <row r="1640">
          <cell r="C1640">
            <v>14890617</v>
          </cell>
          <cell r="E1640" t="str">
            <v>RECRUITMENT &amp; TRAINING EXPENSES (2008-09) PAYABLE</v>
          </cell>
          <cell r="F1640" t="str">
            <v>LOLIAB</v>
          </cell>
          <cell r="G1640">
            <v>-555127.65</v>
          </cell>
          <cell r="K1640">
            <v>-555127.65</v>
          </cell>
        </row>
        <row r="1641">
          <cell r="C1641">
            <v>14890628</v>
          </cell>
          <cell r="E1641" t="str">
            <v>WEB HOSTING CHARGES (2008-09) PAYABLE</v>
          </cell>
          <cell r="F1641" t="str">
            <v>LOLIAB</v>
          </cell>
          <cell r="G1641">
            <v>-573824.34</v>
          </cell>
          <cell r="K1641">
            <v>-573824.34</v>
          </cell>
        </row>
        <row r="1642">
          <cell r="C1642">
            <v>14890622</v>
          </cell>
          <cell r="E1642" t="str">
            <v>SOFTWARE CHARGES (2008-09) PAYABLE</v>
          </cell>
          <cell r="F1642" t="str">
            <v>LOLIAB</v>
          </cell>
          <cell r="G1642">
            <v>0</v>
          </cell>
          <cell r="K1642">
            <v>0</v>
          </cell>
        </row>
        <row r="1643">
          <cell r="C1643">
            <v>14890616</v>
          </cell>
          <cell r="E1643" t="str">
            <v>PRINTING &amp; STATIONERY (2008-09) PAYABLE</v>
          </cell>
          <cell r="F1643" t="str">
            <v>LOLIAB</v>
          </cell>
          <cell r="G1643">
            <v>0</v>
          </cell>
          <cell r="K1643">
            <v>0</v>
          </cell>
        </row>
        <row r="1644">
          <cell r="C1644">
            <v>14890597</v>
          </cell>
          <cell r="E1644" t="str">
            <v>AMC CHARGES HARDWARE (2008-09) PAYABLE</v>
          </cell>
          <cell r="F1644" t="str">
            <v>LOLIAB</v>
          </cell>
          <cell r="G1644">
            <v>0</v>
          </cell>
          <cell r="K1644">
            <v>0</v>
          </cell>
        </row>
        <row r="1645">
          <cell r="C1645">
            <v>14890602</v>
          </cell>
          <cell r="E1645" t="str">
            <v>COMMISSION (2008-09) PAYABLE</v>
          </cell>
          <cell r="F1645" t="str">
            <v>LOLIAB</v>
          </cell>
          <cell r="G1645">
            <v>0</v>
          </cell>
          <cell r="K1645">
            <v>0</v>
          </cell>
        </row>
        <row r="1646">
          <cell r="C1646">
            <v>14890626</v>
          </cell>
          <cell r="E1646" t="str">
            <v>TRAVELLING EXPENSES (2008-09) PAYABLE</v>
          </cell>
          <cell r="F1646" t="str">
            <v>LOLIAB</v>
          </cell>
          <cell r="G1646">
            <v>0</v>
          </cell>
          <cell r="K1646">
            <v>0</v>
          </cell>
        </row>
        <row r="1647">
          <cell r="C1647">
            <v>14890598</v>
          </cell>
          <cell r="E1647" t="str">
            <v>AMC CHARGES SOFTWARE (2008-09) PAYABLE</v>
          </cell>
          <cell r="F1647" t="str">
            <v>LOLIAB</v>
          </cell>
          <cell r="G1647">
            <v>0</v>
          </cell>
          <cell r="K1647">
            <v>0</v>
          </cell>
        </row>
        <row r="1648">
          <cell r="C1648">
            <v>14890623</v>
          </cell>
          <cell r="E1648" t="str">
            <v>STAFF WELFARE EXPENSES (2008-09) PAYABLE</v>
          </cell>
          <cell r="F1648" t="str">
            <v>LOLIAB</v>
          </cell>
          <cell r="G1648">
            <v>0</v>
          </cell>
          <cell r="K1648">
            <v>0</v>
          </cell>
        </row>
        <row r="1649">
          <cell r="C1649">
            <v>14890603</v>
          </cell>
          <cell r="E1649" t="str">
            <v>CONTENT EXPENSES (2008-09) PAYABLE</v>
          </cell>
          <cell r="F1649" t="str">
            <v>LOLIAB</v>
          </cell>
          <cell r="G1649">
            <v>0</v>
          </cell>
          <cell r="K1649">
            <v>0</v>
          </cell>
        </row>
        <row r="1650">
          <cell r="C1650">
            <v>14890619</v>
          </cell>
          <cell r="E1650" t="str">
            <v>REPAIR &amp; MAINTENANCE EXPENSES (2008-09) PAYABLE</v>
          </cell>
          <cell r="F1650" t="str">
            <v>LOLIAB</v>
          </cell>
          <cell r="G1650">
            <v>-950</v>
          </cell>
          <cell r="K1650">
            <v>-950</v>
          </cell>
        </row>
        <row r="1651">
          <cell r="C1651">
            <v>14890611</v>
          </cell>
          <cell r="E1651" t="str">
            <v>LEGAL &amp; PROFESSIONAL EXPENSES (2008-09) PAYABLE</v>
          </cell>
          <cell r="F1651" t="str">
            <v>LOLIAB</v>
          </cell>
          <cell r="G1651">
            <v>0</v>
          </cell>
          <cell r="K1651">
            <v>0</v>
          </cell>
        </row>
        <row r="1652">
          <cell r="C1652">
            <v>13114102</v>
          </cell>
          <cell r="E1652" t="str">
            <v>Salary Payable 2008-09</v>
          </cell>
          <cell r="F1652" t="str">
            <v>LOLIAB</v>
          </cell>
          <cell r="G1652">
            <v>0</v>
          </cell>
          <cell r="K1652">
            <v>0</v>
          </cell>
        </row>
        <row r="1653">
          <cell r="C1653">
            <v>14890605</v>
          </cell>
          <cell r="E1653" t="str">
            <v>DMAT CHARGES (2008-09) PAYABLE</v>
          </cell>
          <cell r="F1653" t="str">
            <v>LOLIAB</v>
          </cell>
          <cell r="G1653">
            <v>0</v>
          </cell>
          <cell r="K1653">
            <v>0</v>
          </cell>
        </row>
        <row r="1654">
          <cell r="C1654">
            <v>14890620</v>
          </cell>
          <cell r="E1654" t="str">
            <v>SEBI CHARGES (2008-09) PAYABLE</v>
          </cell>
          <cell r="F1654" t="str">
            <v>LOLIAB</v>
          </cell>
          <cell r="G1654">
            <v>0</v>
          </cell>
          <cell r="K1654">
            <v>0</v>
          </cell>
        </row>
        <row r="1655">
          <cell r="C1655">
            <v>14890599</v>
          </cell>
          <cell r="E1655" t="str">
            <v>AUDIT FEES (2008-09) PAYABLE</v>
          </cell>
          <cell r="F1655" t="str">
            <v>LOLIAB</v>
          </cell>
          <cell r="G1655">
            <v>0</v>
          </cell>
          <cell r="K1655">
            <v>0</v>
          </cell>
        </row>
        <row r="1656">
          <cell r="C1656">
            <v>14890604</v>
          </cell>
          <cell r="E1656" t="str">
            <v>DEPOSITORY CHARGES (2008-09) PAYABLE</v>
          </cell>
          <cell r="F1656" t="str">
            <v>LOLIAB</v>
          </cell>
          <cell r="G1656">
            <v>0</v>
          </cell>
          <cell r="K1656">
            <v>0</v>
          </cell>
        </row>
        <row r="1657">
          <cell r="C1657">
            <v>14890608</v>
          </cell>
          <cell r="E1657" t="str">
            <v>INTEREST ON CAR LOANS (2008-09) PAYABLE</v>
          </cell>
          <cell r="F1657" t="str">
            <v>LOLIAB</v>
          </cell>
          <cell r="G1657">
            <v>0</v>
          </cell>
          <cell r="K1657">
            <v>0</v>
          </cell>
        </row>
        <row r="1658">
          <cell r="C1658">
            <v>14890621</v>
          </cell>
          <cell r="E1658" t="str">
            <v>SERVICE CHARGES (2008-09) PAYABLE</v>
          </cell>
          <cell r="F1658" t="str">
            <v>LOLIAB</v>
          </cell>
          <cell r="G1658">
            <v>0</v>
          </cell>
          <cell r="K1658">
            <v>0</v>
          </cell>
        </row>
        <row r="1659">
          <cell r="C1659">
            <v>14890614</v>
          </cell>
          <cell r="E1659" t="str">
            <v>OFFICE MAINTENANCE (2008-09) PAYABLE</v>
          </cell>
          <cell r="F1659" t="str">
            <v>LOLIAB</v>
          </cell>
          <cell r="G1659">
            <v>0</v>
          </cell>
          <cell r="K1659">
            <v>0</v>
          </cell>
        </row>
        <row r="1660">
          <cell r="C1660">
            <v>14890609</v>
          </cell>
          <cell r="E1660" t="str">
            <v>INTERNET BAND WIDTH (2008-09) PAYABLE</v>
          </cell>
          <cell r="F1660" t="str">
            <v>LOLIAB</v>
          </cell>
          <cell r="G1660">
            <v>0</v>
          </cell>
          <cell r="K1660">
            <v>0</v>
          </cell>
        </row>
        <row r="1666">
          <cell r="C1666">
            <v>14890145</v>
          </cell>
          <cell r="D1666" t="str">
            <v>GEXPENSE</v>
          </cell>
          <cell r="E1666" t="str">
            <v>TELEPHONE EXPENSE(FIXED) PAYABLE</v>
          </cell>
          <cell r="F1666" t="str">
            <v>LOLIAB</v>
          </cell>
          <cell r="G1666">
            <v>-1134.6500000000001</v>
          </cell>
          <cell r="K1666">
            <v>-1134.6500000000001</v>
          </cell>
        </row>
        <row r="1667">
          <cell r="C1667">
            <v>14890147</v>
          </cell>
          <cell r="D1667" t="str">
            <v>GEXPENSE</v>
          </cell>
          <cell r="E1667" t="str">
            <v>WEB HOSTING CHARGES PAYBLE</v>
          </cell>
          <cell r="F1667" t="str">
            <v>LOLIAB</v>
          </cell>
          <cell r="G1667">
            <v>0</v>
          </cell>
          <cell r="K1667">
            <v>0</v>
          </cell>
        </row>
        <row r="1668">
          <cell r="C1668">
            <v>14890139</v>
          </cell>
          <cell r="D1668" t="str">
            <v>GEXPENSE</v>
          </cell>
          <cell r="E1668" t="str">
            <v>POSTAGE &amp; COURIER CHARGES PAYABLE</v>
          </cell>
          <cell r="F1668" t="str">
            <v>LOLIAB</v>
          </cell>
          <cell r="G1668">
            <v>0</v>
          </cell>
          <cell r="K1668">
            <v>0</v>
          </cell>
        </row>
        <row r="1669">
          <cell r="C1669">
            <v>14890135</v>
          </cell>
          <cell r="E1669" t="str">
            <v>LEASELINE CHARGES PAYABLE</v>
          </cell>
          <cell r="F1669" t="str">
            <v>LOLIAB</v>
          </cell>
          <cell r="G1669">
            <v>0</v>
          </cell>
          <cell r="K1669">
            <v>0</v>
          </cell>
        </row>
        <row r="1670">
          <cell r="C1670">
            <v>14890362</v>
          </cell>
          <cell r="D1670" t="str">
            <v>GEXPENSE</v>
          </cell>
          <cell r="E1670" t="str">
            <v>Business Promotion Expenses Payable</v>
          </cell>
          <cell r="F1670" t="str">
            <v>LOLIAB</v>
          </cell>
          <cell r="G1670">
            <v>-826747</v>
          </cell>
          <cell r="K1670">
            <v>-826747</v>
          </cell>
        </row>
        <row r="1671">
          <cell r="C1671">
            <v>14890141</v>
          </cell>
          <cell r="D1671" t="str">
            <v>GEXPENSE</v>
          </cell>
          <cell r="E1671" t="str">
            <v>RECRUITMENT &amp; TRAINING EXPENSES PAYABLE</v>
          </cell>
          <cell r="F1671" t="str">
            <v>LOLIAB</v>
          </cell>
          <cell r="G1671">
            <v>-18381.98</v>
          </cell>
          <cell r="K1671">
            <v>-18381.98</v>
          </cell>
        </row>
        <row r="1672">
          <cell r="C1672">
            <v>14890363</v>
          </cell>
          <cell r="D1672" t="str">
            <v>GEXPENSE</v>
          </cell>
          <cell r="E1672" t="str">
            <v>AMC CHARGES SOFTWARE PAYABLE</v>
          </cell>
          <cell r="F1672" t="str">
            <v>LOLIAB</v>
          </cell>
          <cell r="G1672">
            <v>0</v>
          </cell>
          <cell r="K1672">
            <v>0</v>
          </cell>
        </row>
        <row r="1673">
          <cell r="C1673">
            <v>14890134</v>
          </cell>
          <cell r="D1673" t="str">
            <v>GEXPENSE</v>
          </cell>
          <cell r="E1673" t="str">
            <v>ELECTRICITY EXPENSE PAYABLE</v>
          </cell>
          <cell r="F1673" t="str">
            <v>LOLIAB</v>
          </cell>
          <cell r="G1673">
            <v>0</v>
          </cell>
          <cell r="K1673">
            <v>0</v>
          </cell>
        </row>
        <row r="1674">
          <cell r="C1674">
            <v>14890138</v>
          </cell>
          <cell r="D1674" t="str">
            <v>GEXPENSE</v>
          </cell>
          <cell r="E1674" t="str">
            <v>OFFICE  MAINTENANCE PAYABLE</v>
          </cell>
          <cell r="F1674" t="str">
            <v>LOLIAB</v>
          </cell>
          <cell r="G1674">
            <v>0</v>
          </cell>
          <cell r="K1674">
            <v>0</v>
          </cell>
        </row>
        <row r="1675">
          <cell r="C1675">
            <v>14890364</v>
          </cell>
          <cell r="D1675" t="str">
            <v>GEXPENSE</v>
          </cell>
          <cell r="E1675" t="str">
            <v>AMC CHARGES HARDWARE PAYABLE</v>
          </cell>
          <cell r="F1675" t="str">
            <v>LOLIAB</v>
          </cell>
          <cell r="G1675">
            <v>0</v>
          </cell>
          <cell r="K1675">
            <v>0</v>
          </cell>
        </row>
        <row r="1676">
          <cell r="C1676">
            <v>14890136</v>
          </cell>
          <cell r="D1676" t="str">
            <v>GEXPENSE</v>
          </cell>
          <cell r="E1676" t="str">
            <v>Legal &amp; Professional Expenses Payable</v>
          </cell>
          <cell r="F1676" t="str">
            <v>LOLIAB</v>
          </cell>
          <cell r="G1676">
            <v>0</v>
          </cell>
          <cell r="K1676">
            <v>0</v>
          </cell>
        </row>
        <row r="1677">
          <cell r="C1677">
            <v>14890140</v>
          </cell>
          <cell r="D1677" t="str">
            <v>GEXPENSE</v>
          </cell>
          <cell r="E1677" t="str">
            <v>PRINTING &amp; STATIONERY PAYABLE</v>
          </cell>
          <cell r="F1677" t="str">
            <v>LOLIAB</v>
          </cell>
          <cell r="G1677">
            <v>0</v>
          </cell>
          <cell r="K1677">
            <v>0</v>
          </cell>
        </row>
        <row r="1678">
          <cell r="C1678">
            <v>14890131</v>
          </cell>
          <cell r="D1678" t="str">
            <v>GEXPENSE</v>
          </cell>
          <cell r="E1678" t="str">
            <v>COMMISSION  PAYABLE</v>
          </cell>
          <cell r="F1678" t="str">
            <v>LOLIAB</v>
          </cell>
          <cell r="G1678">
            <v>0</v>
          </cell>
          <cell r="K1678">
            <v>0</v>
          </cell>
        </row>
        <row r="1679">
          <cell r="C1679">
            <v>14890276</v>
          </cell>
          <cell r="D1679" t="str">
            <v>GEXPENSE</v>
          </cell>
          <cell r="E1679" t="str">
            <v>Internet Band Width Payable</v>
          </cell>
          <cell r="F1679" t="str">
            <v>LOLIAB</v>
          </cell>
          <cell r="G1679">
            <v>0</v>
          </cell>
          <cell r="K1679">
            <v>0</v>
          </cell>
        </row>
        <row r="1680">
          <cell r="C1680">
            <v>14890146</v>
          </cell>
          <cell r="D1680" t="str">
            <v>GEXPENSE</v>
          </cell>
          <cell r="E1680" t="str">
            <v>TRAVELLIN EXPENSES PAYABLE</v>
          </cell>
          <cell r="F1680" t="str">
            <v>LOLIAB</v>
          </cell>
          <cell r="G1680">
            <v>0</v>
          </cell>
          <cell r="K1680">
            <v>0</v>
          </cell>
        </row>
        <row r="1681">
          <cell r="C1681">
            <v>14890187</v>
          </cell>
          <cell r="D1681" t="str">
            <v>GEXPENSE</v>
          </cell>
          <cell r="E1681" t="str">
            <v>REPAIR &amp; MAINTENANCE EXPENSES PAYABLE</v>
          </cell>
          <cell r="F1681" t="str">
            <v>LOLIAB</v>
          </cell>
          <cell r="G1681">
            <v>0</v>
          </cell>
          <cell r="K1681">
            <v>0</v>
          </cell>
        </row>
        <row r="1682">
          <cell r="C1682">
            <v>14890144</v>
          </cell>
          <cell r="D1682" t="str">
            <v>GEXPENSE</v>
          </cell>
          <cell r="E1682" t="str">
            <v>STAFF WELFARE EXPENSES PAYABLE</v>
          </cell>
          <cell r="F1682" t="str">
            <v>LOLIAB</v>
          </cell>
          <cell r="G1682">
            <v>0</v>
          </cell>
          <cell r="K1682">
            <v>0</v>
          </cell>
        </row>
        <row r="1683">
          <cell r="C1683">
            <v>14890556</v>
          </cell>
          <cell r="E1683" t="str">
            <v>Rates &amp; Tax Payable</v>
          </cell>
          <cell r="F1683" t="str">
            <v>LOLIAB</v>
          </cell>
          <cell r="G1683">
            <v>0</v>
          </cell>
          <cell r="K1683">
            <v>0</v>
          </cell>
        </row>
        <row r="1684">
          <cell r="C1684">
            <v>14890412</v>
          </cell>
          <cell r="E1684" t="str">
            <v>DMAT Charges Payable</v>
          </cell>
          <cell r="F1684" t="str">
            <v>LOLIAB</v>
          </cell>
          <cell r="G1684">
            <v>0</v>
          </cell>
          <cell r="K1684">
            <v>0</v>
          </cell>
        </row>
        <row r="1685">
          <cell r="C1685">
            <v>14890491</v>
          </cell>
          <cell r="E1685" t="str">
            <v>Interest on Car Loans Payable</v>
          </cell>
          <cell r="F1685" t="str">
            <v>LOLIAB</v>
          </cell>
          <cell r="G1685">
            <v>0</v>
          </cell>
          <cell r="K1685">
            <v>0</v>
          </cell>
        </row>
        <row r="1686">
          <cell r="C1686">
            <v>14890492</v>
          </cell>
          <cell r="E1686" t="str">
            <v>Membership Fees payable</v>
          </cell>
          <cell r="F1686" t="str">
            <v>LOLIAB</v>
          </cell>
          <cell r="G1686">
            <v>0</v>
          </cell>
          <cell r="K1686">
            <v>0</v>
          </cell>
        </row>
        <row r="1687">
          <cell r="C1687">
            <v>13113951</v>
          </cell>
          <cell r="E1687" t="str">
            <v>Interest Payable Hdfc</v>
          </cell>
          <cell r="F1687" t="str">
            <v>LOLIAB</v>
          </cell>
          <cell r="G1687">
            <v>0</v>
          </cell>
          <cell r="K1687">
            <v>0</v>
          </cell>
        </row>
        <row r="1688">
          <cell r="C1688">
            <v>14890374</v>
          </cell>
          <cell r="D1688" t="str">
            <v>GA0366</v>
          </cell>
          <cell r="E1688" t="str">
            <v>NSDL CHARGES PAYABLE</v>
          </cell>
          <cell r="F1688" t="str">
            <v>LOLIAB</v>
          </cell>
          <cell r="G1688">
            <v>0</v>
          </cell>
          <cell r="K1688">
            <v>0</v>
          </cell>
        </row>
        <row r="1689">
          <cell r="C1689">
            <v>14890053</v>
          </cell>
          <cell r="E1689" t="str">
            <v>Rent Expense Payable</v>
          </cell>
          <cell r="F1689" t="str">
            <v>LOLIAB</v>
          </cell>
          <cell r="G1689">
            <v>0</v>
          </cell>
          <cell r="K1689">
            <v>0</v>
          </cell>
        </row>
        <row r="1690">
          <cell r="C1690">
            <v>14890054</v>
          </cell>
          <cell r="E1690" t="str">
            <v>V Sat Charges Payable</v>
          </cell>
          <cell r="F1690" t="str">
            <v>LOLIAB</v>
          </cell>
          <cell r="G1690">
            <v>0</v>
          </cell>
          <cell r="K1690">
            <v>0</v>
          </cell>
        </row>
        <row r="1691">
          <cell r="C1691">
            <v>14890130</v>
          </cell>
          <cell r="D1691" t="str">
            <v>GEXPENSE</v>
          </cell>
          <cell r="E1691" t="str">
            <v>Audit Fees Payable</v>
          </cell>
          <cell r="F1691" t="str">
            <v>LOLIAB</v>
          </cell>
          <cell r="G1691">
            <v>0</v>
          </cell>
          <cell r="K1691">
            <v>0</v>
          </cell>
        </row>
        <row r="1692">
          <cell r="C1692">
            <v>14890132</v>
          </cell>
          <cell r="D1692" t="str">
            <v>GEXPENSE</v>
          </cell>
          <cell r="E1692" t="str">
            <v>CONTENT EXPENSES PAYABLE</v>
          </cell>
          <cell r="F1692" t="str">
            <v>LOLIAB</v>
          </cell>
          <cell r="G1692">
            <v>0</v>
          </cell>
          <cell r="K1692">
            <v>0</v>
          </cell>
        </row>
        <row r="1693">
          <cell r="C1693">
            <v>14890133</v>
          </cell>
          <cell r="D1693" t="str">
            <v>GEXPENSE</v>
          </cell>
          <cell r="E1693" t="str">
            <v>DEPOSITORY CHARGES PAYABLE</v>
          </cell>
          <cell r="F1693" t="str">
            <v>LOLIAB</v>
          </cell>
          <cell r="G1693">
            <v>0</v>
          </cell>
          <cell r="K1693">
            <v>0</v>
          </cell>
        </row>
        <row r="1694">
          <cell r="C1694">
            <v>14890142</v>
          </cell>
          <cell r="D1694" t="str">
            <v>GEXPENSE</v>
          </cell>
          <cell r="E1694" t="str">
            <v>RENT EXPENSE PAYABLE</v>
          </cell>
          <cell r="F1694" t="str">
            <v>LOLIAB</v>
          </cell>
          <cell r="G1694">
            <v>0</v>
          </cell>
          <cell r="K1694">
            <v>0</v>
          </cell>
        </row>
        <row r="1695">
          <cell r="C1695">
            <v>14890143</v>
          </cell>
          <cell r="D1695" t="str">
            <v>GEXPENSE</v>
          </cell>
          <cell r="E1695" t="str">
            <v>SEBI CHARGES PAYABLE</v>
          </cell>
          <cell r="F1695" t="str">
            <v>LOLIAB</v>
          </cell>
          <cell r="G1695">
            <v>0</v>
          </cell>
          <cell r="K1695">
            <v>0</v>
          </cell>
        </row>
        <row r="1696">
          <cell r="C1696">
            <v>14890277</v>
          </cell>
          <cell r="D1696" t="str">
            <v>GCDSP</v>
          </cell>
          <cell r="E1696" t="str">
            <v>CDSL CHARGES PAYABLE</v>
          </cell>
          <cell r="F1696" t="str">
            <v>LOLIAB</v>
          </cell>
          <cell r="G1696">
            <v>0</v>
          </cell>
          <cell r="K1696">
            <v>0</v>
          </cell>
        </row>
        <row r="1697">
          <cell r="C1697">
            <v>14890288</v>
          </cell>
          <cell r="E1697" t="str">
            <v>Recruitment &amp; Training Expenses Payable</v>
          </cell>
          <cell r="F1697" t="str">
            <v>LOLIAB</v>
          </cell>
          <cell r="G1697">
            <v>0</v>
          </cell>
          <cell r="K1697">
            <v>0</v>
          </cell>
        </row>
        <row r="1698">
          <cell r="C1698">
            <v>14890289</v>
          </cell>
          <cell r="D1698" t="str">
            <v>GEXPENSE</v>
          </cell>
          <cell r="E1698" t="str">
            <v>SOFTWARE CHARGES PAYABLE</v>
          </cell>
          <cell r="F1698" t="str">
            <v>LOLIAB</v>
          </cell>
          <cell r="G1698">
            <v>0</v>
          </cell>
          <cell r="K1698">
            <v>0</v>
          </cell>
        </row>
        <row r="1699">
          <cell r="C1699">
            <v>14890360</v>
          </cell>
          <cell r="D1699" t="str">
            <v>GEXPENSE</v>
          </cell>
          <cell r="E1699" t="str">
            <v>TRANSACTION CHARGES PAYABLE</v>
          </cell>
          <cell r="F1699" t="str">
            <v>LOLIAB</v>
          </cell>
          <cell r="G1699">
            <v>0</v>
          </cell>
          <cell r="K1699">
            <v>0</v>
          </cell>
        </row>
        <row r="1700">
          <cell r="C1700">
            <v>14890361</v>
          </cell>
          <cell r="D1700" t="str">
            <v>GEXPENSE</v>
          </cell>
          <cell r="E1700" t="str">
            <v>Interest Payable</v>
          </cell>
          <cell r="F1700" t="str">
            <v>LOLIAB</v>
          </cell>
          <cell r="G1700">
            <v>0</v>
          </cell>
          <cell r="K1700">
            <v>0</v>
          </cell>
        </row>
        <row r="1702">
          <cell r="C1702">
            <v>14890004</v>
          </cell>
          <cell r="E1702" t="str">
            <v>Provision For Electricity Expenses</v>
          </cell>
          <cell r="F1702" t="str">
            <v>LOLIAB</v>
          </cell>
          <cell r="G1702">
            <v>0</v>
          </cell>
          <cell r="K1702">
            <v>0</v>
          </cell>
        </row>
        <row r="1703">
          <cell r="C1703">
            <v>14890006</v>
          </cell>
          <cell r="E1703" t="str">
            <v>Provision For Office Maintenance</v>
          </cell>
          <cell r="F1703" t="str">
            <v>LOLIAB</v>
          </cell>
          <cell r="G1703">
            <v>0</v>
          </cell>
          <cell r="K1703">
            <v>0</v>
          </cell>
        </row>
        <row r="1704">
          <cell r="C1704">
            <v>14890007</v>
          </cell>
          <cell r="E1704" t="str">
            <v>Provision For Postage And Courier</v>
          </cell>
          <cell r="F1704" t="str">
            <v>LOLIAB</v>
          </cell>
          <cell r="G1704">
            <v>0</v>
          </cell>
          <cell r="K1704">
            <v>0</v>
          </cell>
        </row>
        <row r="1705">
          <cell r="C1705">
            <v>14890008</v>
          </cell>
          <cell r="E1705" t="str">
            <v>Provision For Printing</v>
          </cell>
          <cell r="F1705" t="str">
            <v>LOLIAB</v>
          </cell>
          <cell r="G1705">
            <v>0</v>
          </cell>
          <cell r="K1705">
            <v>0</v>
          </cell>
        </row>
        <row r="1706">
          <cell r="C1706">
            <v>14890011</v>
          </cell>
          <cell r="E1706" t="str">
            <v>Provision For Telephone Exp.</v>
          </cell>
          <cell r="F1706" t="str">
            <v>LOLIAB</v>
          </cell>
          <cell r="G1706">
            <v>0</v>
          </cell>
          <cell r="K1706">
            <v>0</v>
          </cell>
        </row>
        <row r="1708">
          <cell r="C1708">
            <v>14890186</v>
          </cell>
          <cell r="D1708" t="str">
            <v>GL01050</v>
          </cell>
          <cell r="E1708" t="str">
            <v>NSE PENALTY CHARGES PAYABLE</v>
          </cell>
          <cell r="F1708" t="str">
            <v>LOLIAB</v>
          </cell>
          <cell r="G1708">
            <v>-616554.6</v>
          </cell>
          <cell r="K1708">
            <v>-616554.6</v>
          </cell>
        </row>
        <row r="1709">
          <cell r="C1709">
            <v>14890183</v>
          </cell>
          <cell r="D1709" t="str">
            <v>GCDP</v>
          </cell>
          <cell r="E1709" t="str">
            <v>INDIABULLS DP</v>
          </cell>
          <cell r="F1709" t="str">
            <v>LOLIAB</v>
          </cell>
          <cell r="G1709">
            <v>3663387.28</v>
          </cell>
          <cell r="K1709">
            <v>3663387.28</v>
          </cell>
        </row>
        <row r="1710">
          <cell r="C1710">
            <v>14890051</v>
          </cell>
          <cell r="D1710" t="str">
            <v>GL01025</v>
          </cell>
          <cell r="E1710" t="str">
            <v>TURNOVER TAX Payable</v>
          </cell>
          <cell r="F1710" t="str">
            <v>LOLIAB</v>
          </cell>
          <cell r="G1710">
            <v>-8738458.1699999999</v>
          </cell>
          <cell r="K1710">
            <v>-8738458.1699999999</v>
          </cell>
        </row>
        <row r="1711">
          <cell r="C1711">
            <v>14890184</v>
          </cell>
          <cell r="D1711" t="str">
            <v>GFAMAR</v>
          </cell>
          <cell r="E1711" t="str">
            <v>NSE ADDITIONAL MARGIN (F&amp;O)</v>
          </cell>
          <cell r="F1711" t="str">
            <v>LOLIAB</v>
          </cell>
          <cell r="G1711">
            <v>0</v>
          </cell>
          <cell r="K1711">
            <v>0</v>
          </cell>
        </row>
        <row r="1712">
          <cell r="C1712">
            <v>14890185</v>
          </cell>
          <cell r="D1712" t="str">
            <v>GI04002</v>
          </cell>
          <cell r="E1712" t="str">
            <v>CH CLEARED IN BANK</v>
          </cell>
          <cell r="F1712" t="str">
            <v>LOLIAB</v>
          </cell>
          <cell r="G1712">
            <v>-3336452.49</v>
          </cell>
          <cell r="K1712">
            <v>-3336452.49</v>
          </cell>
        </row>
        <row r="1713">
          <cell r="C1713">
            <v>14890367</v>
          </cell>
          <cell r="D1713" t="str">
            <v>GI04003</v>
          </cell>
          <cell r="E1713" t="str">
            <v>CHEQUE CLEARED IN BANK</v>
          </cell>
          <cell r="F1713" t="str">
            <v>LOLIAB</v>
          </cell>
          <cell r="G1713">
            <v>-59232</v>
          </cell>
          <cell r="K1713">
            <v>-59232</v>
          </cell>
        </row>
        <row r="1714">
          <cell r="C1714">
            <v>14890368</v>
          </cell>
          <cell r="D1714" t="str">
            <v>GI04006</v>
          </cell>
          <cell r="E1714" t="str">
            <v>CHQ CLEARED IN BANK (SUSPENSE-ONLINE)</v>
          </cell>
          <cell r="F1714" t="str">
            <v>LOLIAB</v>
          </cell>
          <cell r="G1714">
            <v>-372338.12</v>
          </cell>
          <cell r="K1714">
            <v>-372338.12</v>
          </cell>
        </row>
        <row r="1715">
          <cell r="C1715">
            <v>14890370</v>
          </cell>
          <cell r="D1715" t="str">
            <v>GLIPO</v>
          </cell>
          <cell r="E1715" t="str">
            <v>REFUND RECEIVED ON PUBLIC ISSUE</v>
          </cell>
          <cell r="F1715" t="str">
            <v>LOLIAB</v>
          </cell>
          <cell r="G1715">
            <v>-243220.75</v>
          </cell>
          <cell r="K1715">
            <v>-243220.75</v>
          </cell>
        </row>
        <row r="1717">
          <cell r="C1717">
            <v>13113008</v>
          </cell>
          <cell r="E1717" t="str">
            <v>Other Payable</v>
          </cell>
          <cell r="F1717" t="str">
            <v>LOLIAB</v>
          </cell>
          <cell r="G1717">
            <v>-99786643.680000007</v>
          </cell>
          <cell r="K1717">
            <v>-99786643.680000007</v>
          </cell>
        </row>
        <row r="1719">
          <cell r="C1719">
            <v>13113964</v>
          </cell>
          <cell r="D1719" t="str">
            <v>GLAPT</v>
          </cell>
          <cell r="E1719" t="str">
            <v>DEDUCTION FROM SALARIES</v>
          </cell>
          <cell r="F1719" t="str">
            <v>LOLIAB</v>
          </cell>
          <cell r="G1719">
            <v>0</v>
          </cell>
          <cell r="K1719">
            <v>0</v>
          </cell>
        </row>
        <row r="1720">
          <cell r="C1720">
            <v>13114020</v>
          </cell>
          <cell r="D1720" t="str">
            <v>GLPDD</v>
          </cell>
          <cell r="E1720" t="str">
            <v>Laptop Deduction</v>
          </cell>
          <cell r="F1720" t="str">
            <v>LOLIAB</v>
          </cell>
          <cell r="G1720">
            <v>-1451250</v>
          </cell>
          <cell r="K1720">
            <v>-1451250</v>
          </cell>
        </row>
        <row r="1721">
          <cell r="C1721">
            <v>14890387</v>
          </cell>
          <cell r="D1721" t="str">
            <v>GOTH</v>
          </cell>
          <cell r="E1721" t="str">
            <v>Other Deduction</v>
          </cell>
          <cell r="F1721" t="str">
            <v>LOLIAB</v>
          </cell>
          <cell r="G1721">
            <v>-196855</v>
          </cell>
          <cell r="K1721">
            <v>-196855</v>
          </cell>
        </row>
        <row r="1722">
          <cell r="C1722">
            <v>14890019</v>
          </cell>
          <cell r="E1722" t="str">
            <v>Other Deduction</v>
          </cell>
          <cell r="F1722" t="str">
            <v>LOLIAB</v>
          </cell>
          <cell r="G1722">
            <v>25500</v>
          </cell>
          <cell r="K1722">
            <v>25500</v>
          </cell>
        </row>
        <row r="1724">
          <cell r="C1724">
            <v>14890369</v>
          </cell>
          <cell r="D1724" t="str">
            <v>GPRFT</v>
          </cell>
          <cell r="E1724" t="str">
            <v>PROFESSIONAL TAX  PAYABLE</v>
          </cell>
          <cell r="F1724" t="str">
            <v>LOLIAB</v>
          </cell>
          <cell r="G1724">
            <v>-329917.53999999998</v>
          </cell>
          <cell r="K1724">
            <v>-329917.53999999998</v>
          </cell>
        </row>
        <row r="1725">
          <cell r="C1725">
            <v>13113961</v>
          </cell>
          <cell r="D1725" t="str">
            <v>GE0135</v>
          </cell>
          <cell r="E1725" t="str">
            <v>EPF Payable</v>
          </cell>
          <cell r="F1725" t="str">
            <v>LOLIAB</v>
          </cell>
          <cell r="G1725">
            <v>0</v>
          </cell>
          <cell r="K1725">
            <v>0</v>
          </cell>
        </row>
        <row r="1726">
          <cell r="C1726">
            <v>13114006</v>
          </cell>
          <cell r="E1726" t="str">
            <v>EDLI CHARGES PAYABLE</v>
          </cell>
          <cell r="F1726" t="str">
            <v>LOLIAB</v>
          </cell>
          <cell r="G1726">
            <v>0</v>
          </cell>
          <cell r="K1726">
            <v>0</v>
          </cell>
        </row>
        <row r="1728">
          <cell r="C1728">
            <v>14890020</v>
          </cell>
          <cell r="D1728" t="str">
            <v>GL00121</v>
          </cell>
          <cell r="E1728" t="str">
            <v>Stale Cheque Account</v>
          </cell>
          <cell r="F1728" t="str">
            <v>LOLIAB</v>
          </cell>
          <cell r="G1728">
            <v>-15591728.49</v>
          </cell>
          <cell r="K1728">
            <v>-15591728.49</v>
          </cell>
        </row>
        <row r="1729">
          <cell r="C1729">
            <v>14890023</v>
          </cell>
          <cell r="D1729" t="str">
            <v>GLS003</v>
          </cell>
          <cell r="E1729" t="str">
            <v>STAMP DUTY</v>
          </cell>
          <cell r="F1729" t="str">
            <v>LOLIAB</v>
          </cell>
          <cell r="G1729">
            <v>-1261643.6000000001</v>
          </cell>
          <cell r="K1729">
            <v>-1261643.6000000001</v>
          </cell>
        </row>
        <row r="1730">
          <cell r="C1730">
            <v>14890084</v>
          </cell>
          <cell r="E1730" t="str">
            <v>Vendors- Dividend Payable</v>
          </cell>
          <cell r="F1730" t="str">
            <v>LOLIAB</v>
          </cell>
          <cell r="G1730">
            <v>0</v>
          </cell>
          <cell r="K1730">
            <v>0</v>
          </cell>
        </row>
        <row r="1731">
          <cell r="C1731">
            <v>14890151</v>
          </cell>
          <cell r="D1731" t="str">
            <v>GLCP01</v>
          </cell>
          <cell r="E1731" t="str">
            <v>CHARBAK  GADANAYAK</v>
          </cell>
          <cell r="F1731" t="str">
            <v>LOLIAB</v>
          </cell>
          <cell r="G1731">
            <v>-1781</v>
          </cell>
          <cell r="K1731">
            <v>-1781</v>
          </cell>
        </row>
        <row r="1732">
          <cell r="C1732">
            <v>14890152</v>
          </cell>
          <cell r="D1732" t="str">
            <v>GLCP01</v>
          </cell>
          <cell r="E1732" t="str">
            <v>GITA RANI BASU</v>
          </cell>
          <cell r="F1732" t="str">
            <v>LOLIAB</v>
          </cell>
          <cell r="G1732">
            <v>-2074</v>
          </cell>
          <cell r="K1732">
            <v>-2074</v>
          </cell>
        </row>
        <row r="1733">
          <cell r="C1733">
            <v>14890153</v>
          </cell>
          <cell r="D1733" t="str">
            <v>GLCP01</v>
          </cell>
          <cell r="E1733" t="str">
            <v>INVESTWELL</v>
          </cell>
          <cell r="F1733" t="str">
            <v>LOLIAB</v>
          </cell>
          <cell r="G1733">
            <v>-13848</v>
          </cell>
          <cell r="K1733">
            <v>-13848</v>
          </cell>
        </row>
        <row r="1734">
          <cell r="C1734">
            <v>14890154</v>
          </cell>
          <cell r="D1734" t="str">
            <v>GLCP01</v>
          </cell>
          <cell r="E1734" t="str">
            <v>JYOTI ENTERPRISES</v>
          </cell>
          <cell r="F1734" t="str">
            <v>LOLIAB</v>
          </cell>
          <cell r="G1734">
            <v>-541</v>
          </cell>
          <cell r="K1734">
            <v>-541</v>
          </cell>
        </row>
        <row r="1735">
          <cell r="C1735">
            <v>14890155</v>
          </cell>
          <cell r="D1735" t="str">
            <v>GLCP01</v>
          </cell>
          <cell r="E1735" t="str">
            <v>KRISHNARAMSA NIRANJAN</v>
          </cell>
          <cell r="F1735" t="str">
            <v>LOLIAB</v>
          </cell>
          <cell r="G1735">
            <v>-1241</v>
          </cell>
          <cell r="K1735">
            <v>-1241</v>
          </cell>
        </row>
        <row r="1736">
          <cell r="C1736">
            <v>14890156</v>
          </cell>
          <cell r="D1736" t="str">
            <v>GLCP01</v>
          </cell>
          <cell r="E1736" t="str">
            <v>LAKSHMI  SRINIVASA</v>
          </cell>
          <cell r="F1736" t="str">
            <v>LOLIAB</v>
          </cell>
          <cell r="G1736">
            <v>-362</v>
          </cell>
          <cell r="K1736">
            <v>-362</v>
          </cell>
        </row>
        <row r="1737">
          <cell r="C1737">
            <v>14890157</v>
          </cell>
          <cell r="D1737" t="str">
            <v>GLCP01</v>
          </cell>
          <cell r="E1737" t="str">
            <v>LIPIKA DAS</v>
          </cell>
          <cell r="F1737" t="str">
            <v>LOLIAB</v>
          </cell>
          <cell r="G1737">
            <v>-195183</v>
          </cell>
          <cell r="K1737">
            <v>-195183</v>
          </cell>
        </row>
        <row r="1738">
          <cell r="C1738">
            <v>14890158</v>
          </cell>
          <cell r="D1738" t="str">
            <v>GLCP01</v>
          </cell>
          <cell r="E1738" t="str">
            <v>MAHESH PRABHU ATTUR</v>
          </cell>
          <cell r="F1738" t="str">
            <v>LOLIAB</v>
          </cell>
          <cell r="G1738">
            <v>-853</v>
          </cell>
          <cell r="K1738">
            <v>-853</v>
          </cell>
        </row>
        <row r="1739">
          <cell r="C1739">
            <v>14890159</v>
          </cell>
          <cell r="D1739" t="str">
            <v>GLCP01</v>
          </cell>
          <cell r="E1739" t="str">
            <v>MISC. MAS AND OLS WRITTEN OFF</v>
          </cell>
          <cell r="F1739" t="str">
            <v>LOLIAB</v>
          </cell>
          <cell r="G1739">
            <v>0</v>
          </cell>
          <cell r="K1739">
            <v>0</v>
          </cell>
        </row>
        <row r="1740">
          <cell r="C1740">
            <v>14890160</v>
          </cell>
          <cell r="D1740" t="str">
            <v>GLCP01</v>
          </cell>
          <cell r="E1740" t="str">
            <v>MITUL ASHWIN ADHIYA</v>
          </cell>
          <cell r="F1740" t="str">
            <v>LOLIAB</v>
          </cell>
          <cell r="G1740">
            <v>-352</v>
          </cell>
          <cell r="K1740">
            <v>-352</v>
          </cell>
        </row>
        <row r="1741">
          <cell r="C1741">
            <v>14890161</v>
          </cell>
          <cell r="D1741" t="str">
            <v>GLCP01</v>
          </cell>
          <cell r="E1741" t="str">
            <v>MRINAL KUMAR CHAKRABORTTY</v>
          </cell>
          <cell r="F1741" t="str">
            <v>LOLIAB</v>
          </cell>
          <cell r="G1741">
            <v>-515</v>
          </cell>
          <cell r="K1741">
            <v>-515</v>
          </cell>
        </row>
        <row r="1742">
          <cell r="C1742">
            <v>14890162</v>
          </cell>
          <cell r="D1742" t="str">
            <v>GLCP01</v>
          </cell>
          <cell r="E1742" t="str">
            <v>MUKESH DIPCHAND DOSHI</v>
          </cell>
          <cell r="F1742" t="str">
            <v>LOLIAB</v>
          </cell>
          <cell r="G1742">
            <v>-6010</v>
          </cell>
          <cell r="K1742">
            <v>-6010</v>
          </cell>
        </row>
        <row r="1743">
          <cell r="C1743">
            <v>14890163</v>
          </cell>
          <cell r="D1743" t="str">
            <v>GLCP01</v>
          </cell>
          <cell r="E1743" t="str">
            <v>NARENDRA RAJA</v>
          </cell>
          <cell r="F1743" t="str">
            <v>LOLIAB</v>
          </cell>
          <cell r="G1743">
            <v>-2999</v>
          </cell>
          <cell r="K1743">
            <v>-2999</v>
          </cell>
        </row>
        <row r="1744">
          <cell r="C1744">
            <v>14890164</v>
          </cell>
          <cell r="D1744" t="str">
            <v>GLCP01</v>
          </cell>
          <cell r="E1744" t="str">
            <v>NAVIN KUMAR NIGOTIYA</v>
          </cell>
          <cell r="F1744" t="str">
            <v>LOLIAB</v>
          </cell>
          <cell r="G1744">
            <v>-306</v>
          </cell>
          <cell r="K1744">
            <v>-306</v>
          </cell>
        </row>
        <row r="1745">
          <cell r="C1745">
            <v>14890165</v>
          </cell>
          <cell r="D1745" t="str">
            <v>GLCP01</v>
          </cell>
          <cell r="E1745" t="str">
            <v>NEERAJ KUMAR KEDIA</v>
          </cell>
          <cell r="F1745" t="str">
            <v>LOLIAB</v>
          </cell>
          <cell r="G1745">
            <v>-3344</v>
          </cell>
          <cell r="K1745">
            <v>-3344</v>
          </cell>
        </row>
        <row r="1746">
          <cell r="C1746">
            <v>14890166</v>
          </cell>
          <cell r="D1746" t="str">
            <v>GLCP01</v>
          </cell>
          <cell r="E1746" t="str">
            <v>TILAK  WANKHEDKAR</v>
          </cell>
          <cell r="F1746" t="str">
            <v>LOLIAB</v>
          </cell>
          <cell r="G1746">
            <v>-6687</v>
          </cell>
          <cell r="K1746">
            <v>-6687</v>
          </cell>
        </row>
        <row r="1747">
          <cell r="C1747">
            <v>14890168</v>
          </cell>
          <cell r="D1747" t="str">
            <v>GLCP01</v>
          </cell>
          <cell r="E1747" t="str">
            <v>VENKATRAJ INVESTMENTS</v>
          </cell>
          <cell r="F1747" t="str">
            <v>LOLIAB</v>
          </cell>
          <cell r="G1747">
            <v>-0.33</v>
          </cell>
          <cell r="K1747">
            <v>-0.33</v>
          </cell>
        </row>
        <row r="1749">
          <cell r="C1749">
            <v>14890373</v>
          </cell>
          <cell r="D1749" t="str">
            <v>GADVSC</v>
          </cell>
          <cell r="E1749" t="str">
            <v>ADVANCE AGAINST SALE OF CAR</v>
          </cell>
          <cell r="F1749" t="str">
            <v>LOLIAB</v>
          </cell>
          <cell r="G1749">
            <v>-367521</v>
          </cell>
          <cell r="K1749">
            <v>-367521</v>
          </cell>
        </row>
        <row r="1751">
          <cell r="C1751">
            <v>14890532</v>
          </cell>
          <cell r="E1751" t="str">
            <v>FBT_ESOP_IBFSL</v>
          </cell>
          <cell r="F1751" t="str">
            <v>LOLIAB</v>
          </cell>
          <cell r="G1751">
            <v>-13628180.6</v>
          </cell>
          <cell r="K1751">
            <v>-13628180.6</v>
          </cell>
        </row>
        <row r="1752">
          <cell r="C1752">
            <v>14890577</v>
          </cell>
          <cell r="E1752" t="str">
            <v>CALL MONEY NETWORK 18 MEDIA &amp; INVESTMENTS LTD.</v>
          </cell>
          <cell r="F1752" t="str">
            <v>LOLIAB</v>
          </cell>
          <cell r="G1752">
            <v>0</v>
          </cell>
          <cell r="K1752">
            <v>0</v>
          </cell>
        </row>
        <row r="1753">
          <cell r="C1753">
            <v>14890685</v>
          </cell>
          <cell r="E1753" t="str">
            <v>Right Issue Tinplate Company Of India Ltd</v>
          </cell>
          <cell r="F1753" t="str">
            <v>LOLIAB</v>
          </cell>
          <cell r="G1753">
            <v>0</v>
          </cell>
          <cell r="K1753">
            <v>0</v>
          </cell>
        </row>
        <row r="1754">
          <cell r="C1754">
            <v>14890688</v>
          </cell>
          <cell r="E1754" t="str">
            <v>Right Issue Wire &amp; Wireless India Ltd</v>
          </cell>
          <cell r="F1754" t="str">
            <v>LOLIAB</v>
          </cell>
          <cell r="G1754">
            <v>0</v>
          </cell>
          <cell r="K1754">
            <v>0</v>
          </cell>
        </row>
        <row r="1755">
          <cell r="C1755">
            <v>14890689</v>
          </cell>
          <cell r="E1755" t="str">
            <v>RIGHT ISSUE ICCL LTD (IMFA)</v>
          </cell>
          <cell r="F1755" t="str">
            <v>LOLIAB</v>
          </cell>
          <cell r="G1755">
            <v>0</v>
          </cell>
          <cell r="K1755">
            <v>0</v>
          </cell>
        </row>
        <row r="1757">
          <cell r="C1757">
            <v>14890596</v>
          </cell>
          <cell r="E1757" t="str">
            <v>Control a/c(Reimbursement of Expenses)</v>
          </cell>
          <cell r="F1757" t="str">
            <v>LOLIAB</v>
          </cell>
          <cell r="G1757">
            <v>0</v>
          </cell>
          <cell r="K1757">
            <v>0</v>
          </cell>
        </row>
        <row r="1758">
          <cell r="C1758">
            <v>50600000</v>
          </cell>
          <cell r="E1758" t="str">
            <v>Material Overheads(Not invent)-Freight In</v>
          </cell>
          <cell r="F1758" t="str">
            <v>LOLIAB</v>
          </cell>
          <cell r="G1758">
            <v>0</v>
          </cell>
          <cell r="K1758">
            <v>0</v>
          </cell>
        </row>
        <row r="1759">
          <cell r="C1759">
            <v>13112500</v>
          </cell>
          <cell r="E1759" t="str">
            <v>GR/IR-clearing - Octroi</v>
          </cell>
          <cell r="F1759" t="str">
            <v>LOLIAB</v>
          </cell>
          <cell r="G1759">
            <v>-19775</v>
          </cell>
          <cell r="K1759">
            <v>-19775</v>
          </cell>
        </row>
        <row r="1761">
          <cell r="E1761" t="str">
            <v>CURRENT LIABILITIES - UNPAID DIVIDEND</v>
          </cell>
        </row>
        <row r="1762">
          <cell r="C1762">
            <v>14890378</v>
          </cell>
          <cell r="E1762" t="str">
            <v>UNPAID DIVIDEND A/C</v>
          </cell>
          <cell r="F1762" t="str">
            <v>LUDIV</v>
          </cell>
          <cell r="G1762">
            <v>-4376288</v>
          </cell>
          <cell r="K1762">
            <v>-4376288</v>
          </cell>
        </row>
        <row r="1763">
          <cell r="C1763">
            <v>14890687</v>
          </cell>
          <cell r="E1763" t="str">
            <v>ISL Unpaid Equity Dividend Account 2008-09</v>
          </cell>
          <cell r="F1763" t="str">
            <v>LUDIV</v>
          </cell>
          <cell r="G1763">
            <v>-3203172</v>
          </cell>
          <cell r="K1763">
            <v>-3203172</v>
          </cell>
        </row>
        <row r="1765">
          <cell r="E1765" t="str">
            <v>PROVISIONS - GRATUITY &amp; OTHER RETIREMENT BENEFITS</v>
          </cell>
        </row>
        <row r="1766">
          <cell r="C1766">
            <v>13113958</v>
          </cell>
          <cell r="D1766" t="str">
            <v>GGP</v>
          </cell>
          <cell r="E1766" t="str">
            <v>Gratuity Payable</v>
          </cell>
          <cell r="F1766" t="str">
            <v>PGP</v>
          </cell>
          <cell r="G1766">
            <v>-36999121.539999999</v>
          </cell>
          <cell r="K1766">
            <v>-36999121.539999999</v>
          </cell>
        </row>
        <row r="1767">
          <cell r="C1767">
            <v>14890001</v>
          </cell>
          <cell r="D1767" t="str">
            <v>GL0PS</v>
          </cell>
          <cell r="E1767" t="str">
            <v>Provision For Superannuation</v>
          </cell>
          <cell r="F1767" t="str">
            <v>PGP</v>
          </cell>
          <cell r="G1767">
            <v>0</v>
          </cell>
          <cell r="K1767">
            <v>0</v>
          </cell>
        </row>
        <row r="1769">
          <cell r="E1769" t="str">
            <v>PROVISIONS - LEAVE ENCASHMENT</v>
          </cell>
        </row>
        <row r="1770">
          <cell r="C1770">
            <v>14700000</v>
          </cell>
          <cell r="D1770" t="str">
            <v>GLP</v>
          </cell>
          <cell r="E1770" t="str">
            <v>Provision-leave encashment at retirement</v>
          </cell>
          <cell r="F1770" t="str">
            <v>PGL</v>
          </cell>
          <cell r="G1770">
            <v>-21118056</v>
          </cell>
          <cell r="K1770">
            <v>-21118056</v>
          </cell>
        </row>
        <row r="1772">
          <cell r="E1772" t="str">
            <v>PROVISIONS - PREFERENCE DIVIDEND</v>
          </cell>
        </row>
        <row r="1773">
          <cell r="C1773">
            <v>13300002</v>
          </cell>
          <cell r="E1773" t="str">
            <v>Preference Dividend Payable</v>
          </cell>
          <cell r="F1773" t="str">
            <v>PPD</v>
          </cell>
          <cell r="G1773">
            <v>0</v>
          </cell>
          <cell r="K1773">
            <v>0</v>
          </cell>
        </row>
        <row r="1775">
          <cell r="E1775" t="str">
            <v>PROVISIONS - PREFERENCE DIVIDEND TAX</v>
          </cell>
        </row>
        <row r="1776">
          <cell r="C1776">
            <v>14880002</v>
          </cell>
          <cell r="D1776" t="str">
            <v>GLCDP</v>
          </cell>
          <cell r="E1776" t="str">
            <v>Corporate Dividend Tax Payable</v>
          </cell>
          <cell r="F1776" t="str">
            <v>CDT</v>
          </cell>
          <cell r="G1776">
            <v>0</v>
          </cell>
          <cell r="K1776">
            <v>0</v>
          </cell>
        </row>
        <row r="1777">
          <cell r="C1777">
            <v>14890085</v>
          </cell>
          <cell r="E1777" t="str">
            <v>DIVIDEND PAYABLE(INDIABULLS)</v>
          </cell>
          <cell r="F1777" t="str">
            <v>PDIV</v>
          </cell>
          <cell r="G1777">
            <v>0</v>
          </cell>
          <cell r="K1777">
            <v>0</v>
          </cell>
        </row>
        <row r="1779">
          <cell r="E1779" t="str">
            <v>REVENUE - BROKERAGE INCOME</v>
          </cell>
        </row>
        <row r="1780">
          <cell r="C1780">
            <v>44020018</v>
          </cell>
          <cell r="D1780" t="str">
            <v>GBROK</v>
          </cell>
          <cell r="E1780" t="str">
            <v>Brokerage Income</v>
          </cell>
          <cell r="F1780" t="str">
            <v>IGB</v>
          </cell>
          <cell r="G1780">
            <v>-834780699.22000003</v>
          </cell>
          <cell r="K1780">
            <v>-834780699.22000003</v>
          </cell>
        </row>
        <row r="1781">
          <cell r="C1781">
            <v>44020020</v>
          </cell>
          <cell r="D1781" t="str">
            <v>GFBROK</v>
          </cell>
          <cell r="E1781" t="str">
            <v>Brokerage Income F&amp;O</v>
          </cell>
          <cell r="F1781" t="str">
            <v>IGB</v>
          </cell>
          <cell r="G1781">
            <v>-791253284.46000004</v>
          </cell>
          <cell r="K1781">
            <v>-791253284.46000004</v>
          </cell>
        </row>
        <row r="1782">
          <cell r="C1782">
            <v>44020019</v>
          </cell>
          <cell r="D1782" t="str">
            <v>GBBROK</v>
          </cell>
          <cell r="E1782" t="str">
            <v>Brokerage Income Bse</v>
          </cell>
          <cell r="F1782" t="str">
            <v>IGB</v>
          </cell>
          <cell r="G1782">
            <v>-48769061.630000003</v>
          </cell>
          <cell r="K1782">
            <v>-48769061.630000003</v>
          </cell>
        </row>
        <row r="1783">
          <cell r="C1783">
            <v>44020125</v>
          </cell>
          <cell r="D1783" t="str">
            <v>GBROKS</v>
          </cell>
          <cell r="E1783" t="str">
            <v>BROKERAGE &amp; SERVICE CHARGES-SCHEME</v>
          </cell>
          <cell r="F1783" t="str">
            <v>IGB</v>
          </cell>
          <cell r="G1783">
            <v>-41665262.670000002</v>
          </cell>
          <cell r="K1783">
            <v>-41665262.670000002</v>
          </cell>
        </row>
        <row r="1784">
          <cell r="C1784">
            <v>43500002</v>
          </cell>
          <cell r="D1784" t="str">
            <v>GCBROK</v>
          </cell>
          <cell r="E1784" t="str">
            <v>Brokerage Curreny Derivate</v>
          </cell>
          <cell r="F1784" t="str">
            <v>IGB</v>
          </cell>
          <cell r="G1784">
            <v>-8790549.9000000004</v>
          </cell>
          <cell r="K1784">
            <v>-8790549.9000000004</v>
          </cell>
        </row>
        <row r="1785">
          <cell r="C1785">
            <v>44020021</v>
          </cell>
          <cell r="D1785" t="str">
            <v>GIWDM</v>
          </cell>
          <cell r="E1785" t="str">
            <v>Brokerage Wdm</v>
          </cell>
          <cell r="F1785" t="str">
            <v>IGB</v>
          </cell>
          <cell r="G1785">
            <v>-257000</v>
          </cell>
          <cell r="K1785">
            <v>-257000</v>
          </cell>
        </row>
        <row r="1786">
          <cell r="C1786">
            <v>44020124</v>
          </cell>
          <cell r="D1786" t="str">
            <v>GSBROK</v>
          </cell>
          <cell r="E1786" t="str">
            <v>BROKERAGE INCOME - SLBS</v>
          </cell>
          <cell r="F1786" t="str">
            <v>IGB</v>
          </cell>
          <cell r="G1786">
            <v>0</v>
          </cell>
          <cell r="K1786">
            <v>0</v>
          </cell>
        </row>
        <row r="1788">
          <cell r="E1788" t="str">
            <v>REVENUE - INTEREST ON MARGIN FUNDING</v>
          </cell>
        </row>
        <row r="1789">
          <cell r="C1789">
            <v>44020002</v>
          </cell>
          <cell r="D1789" t="str">
            <v>GINT1</v>
          </cell>
          <cell r="E1789" t="str">
            <v>Interest</v>
          </cell>
          <cell r="F1789" t="str">
            <v>IGM</v>
          </cell>
          <cell r="G1789">
            <v>-152164933.18000001</v>
          </cell>
          <cell r="K1789">
            <v>-152164933.18000001</v>
          </cell>
        </row>
        <row r="1790">
          <cell r="C1790">
            <v>44020003</v>
          </cell>
          <cell r="D1790" t="str">
            <v>GINTI</v>
          </cell>
          <cell r="E1790" t="str">
            <v>Interest Income</v>
          </cell>
          <cell r="F1790" t="str">
            <v>IGM</v>
          </cell>
          <cell r="G1790">
            <v>0</v>
          </cell>
          <cell r="K1790">
            <v>0</v>
          </cell>
        </row>
        <row r="1792">
          <cell r="E1792" t="str">
            <v>REVENUE - DEPOSITORY INCOME</v>
          </cell>
        </row>
        <row r="1793">
          <cell r="C1793">
            <v>46000123</v>
          </cell>
          <cell r="D1793" t="str">
            <v>GIDP</v>
          </cell>
          <cell r="E1793" t="str">
            <v>DP INCOME A/C</v>
          </cell>
          <cell r="F1793" t="str">
            <v>IGD</v>
          </cell>
          <cell r="G1793">
            <v>-29530797.710000001</v>
          </cell>
          <cell r="K1793">
            <v>-29530797.710000001</v>
          </cell>
        </row>
        <row r="1795">
          <cell r="E1795" t="str">
            <v>TRANSACTION AND OTHER CHARGES</v>
          </cell>
        </row>
        <row r="1796">
          <cell r="C1796">
            <v>44020032</v>
          </cell>
          <cell r="D1796" t="str">
            <v>GTRANS</v>
          </cell>
          <cell r="E1796" t="str">
            <v>Transaction Charges</v>
          </cell>
          <cell r="F1796" t="str">
            <v>IGT</v>
          </cell>
          <cell r="G1796">
            <v>-73054075.219999999</v>
          </cell>
          <cell r="K1796">
            <v>-73054075.219999999</v>
          </cell>
        </row>
        <row r="1797">
          <cell r="C1797">
            <v>44020035</v>
          </cell>
          <cell r="D1797" t="str">
            <v>GFTRANS</v>
          </cell>
          <cell r="E1797" t="str">
            <v>Transaction Charges F&amp;O</v>
          </cell>
          <cell r="F1797" t="str">
            <v>IGT</v>
          </cell>
          <cell r="G1797">
            <v>-76346856.549999997</v>
          </cell>
          <cell r="K1797">
            <v>-76346856.549999997</v>
          </cell>
        </row>
        <row r="1798">
          <cell r="C1798">
            <v>46000044</v>
          </cell>
          <cell r="D1798" t="str">
            <v>GTRXNCG</v>
          </cell>
          <cell r="E1798" t="str">
            <v>TRANSACTION CHARGES GTRXNCG</v>
          </cell>
          <cell r="F1798" t="str">
            <v>IGT</v>
          </cell>
          <cell r="G1798">
            <v>-76752755.090000004</v>
          </cell>
          <cell r="K1798">
            <v>-76752755.090000004</v>
          </cell>
        </row>
        <row r="1799">
          <cell r="C1799">
            <v>46000137</v>
          </cell>
          <cell r="D1799" t="str">
            <v>GSDT</v>
          </cell>
          <cell r="E1799" t="str">
            <v>CNSDT Income a/c</v>
          </cell>
          <cell r="F1799" t="str">
            <v>IGT</v>
          </cell>
          <cell r="G1799">
            <v>-59476743.590000004</v>
          </cell>
          <cell r="K1799">
            <v>-59476743.590000004</v>
          </cell>
        </row>
        <row r="1800">
          <cell r="C1800">
            <v>44020034</v>
          </cell>
          <cell r="D1800" t="str">
            <v>GBTRANS</v>
          </cell>
          <cell r="E1800" t="str">
            <v>Transaction Charges Bse</v>
          </cell>
          <cell r="F1800" t="str">
            <v>IGT</v>
          </cell>
          <cell r="G1800">
            <v>-4198222.93</v>
          </cell>
          <cell r="K1800">
            <v>-4198222.93</v>
          </cell>
        </row>
        <row r="1801">
          <cell r="C1801">
            <v>46000136</v>
          </cell>
          <cell r="D1801" t="str">
            <v>GSDT</v>
          </cell>
          <cell r="E1801" t="str">
            <v>CBSDT Income a/c</v>
          </cell>
          <cell r="F1801" t="str">
            <v>IGT</v>
          </cell>
          <cell r="G1801">
            <v>-4522459.88</v>
          </cell>
          <cell r="K1801">
            <v>-4522459.88</v>
          </cell>
        </row>
        <row r="1802">
          <cell r="C1802">
            <v>44020028</v>
          </cell>
          <cell r="D1802" t="str">
            <v>GE01080</v>
          </cell>
          <cell r="E1802" t="str">
            <v>Insurance Charges</v>
          </cell>
          <cell r="F1802" t="str">
            <v>IGT</v>
          </cell>
          <cell r="G1802">
            <v>0</v>
          </cell>
          <cell r="K1802">
            <v>0</v>
          </cell>
        </row>
        <row r="1803">
          <cell r="C1803">
            <v>46000134</v>
          </cell>
          <cell r="D1803" t="str">
            <v>GBINSU</v>
          </cell>
          <cell r="E1803" t="str">
            <v>Insurance Charges Bse</v>
          </cell>
          <cell r="F1803" t="str">
            <v>IGT</v>
          </cell>
          <cell r="G1803">
            <v>0</v>
          </cell>
          <cell r="K1803">
            <v>0</v>
          </cell>
        </row>
        <row r="1804">
          <cell r="C1804">
            <v>90000182</v>
          </cell>
          <cell r="D1804" t="str">
            <v>GSDT</v>
          </cell>
          <cell r="E1804" t="str">
            <v>CBSDT</v>
          </cell>
          <cell r="F1804" t="str">
            <v>IGT</v>
          </cell>
          <cell r="G1804">
            <v>0</v>
          </cell>
          <cell r="K1804">
            <v>0</v>
          </cell>
        </row>
        <row r="1805">
          <cell r="C1805">
            <v>90000185</v>
          </cell>
          <cell r="D1805" t="str">
            <v>GSDT</v>
          </cell>
          <cell r="E1805" t="str">
            <v>CNSDT</v>
          </cell>
          <cell r="F1805" t="str">
            <v>IGT</v>
          </cell>
          <cell r="G1805">
            <v>0</v>
          </cell>
          <cell r="K1805">
            <v>0</v>
          </cell>
        </row>
        <row r="1806">
          <cell r="C1806">
            <v>44020036</v>
          </cell>
          <cell r="D1806" t="str">
            <v>GTRAN</v>
          </cell>
          <cell r="E1806" t="str">
            <v>Transaction Charges Refund</v>
          </cell>
          <cell r="F1806" t="str">
            <v>IGT</v>
          </cell>
          <cell r="G1806">
            <v>2964812.76</v>
          </cell>
          <cell r="K1806">
            <v>2964812.76</v>
          </cell>
        </row>
        <row r="1807">
          <cell r="C1807">
            <v>44020077</v>
          </cell>
          <cell r="D1807" t="str">
            <v>GSDTX</v>
          </cell>
          <cell r="E1807" t="str">
            <v>Transaction Charges-Service tax</v>
          </cell>
          <cell r="F1807" t="str">
            <v>IGT</v>
          </cell>
          <cell r="G1807">
            <v>4907178.1100000003</v>
          </cell>
          <cell r="K1807">
            <v>4907178.1100000003</v>
          </cell>
        </row>
        <row r="1808">
          <cell r="C1808">
            <v>46000045</v>
          </cell>
          <cell r="D1808" t="str">
            <v>GL01002</v>
          </cell>
          <cell r="E1808" t="str">
            <v>TRANSACTION CHARGES  GL01002</v>
          </cell>
          <cell r="F1808" t="str">
            <v>IGT</v>
          </cell>
          <cell r="G1808">
            <v>75647914.849999994</v>
          </cell>
          <cell r="K1808">
            <v>75647914.849999994</v>
          </cell>
        </row>
        <row r="1810">
          <cell r="E1810" t="str">
            <v>REVENUE - INTEREST ON DEPOSITS</v>
          </cell>
        </row>
        <row r="1811">
          <cell r="C1811">
            <v>44010001</v>
          </cell>
          <cell r="D1811" t="str">
            <v>GINTR</v>
          </cell>
          <cell r="E1811" t="str">
            <v>Interest On Fdr</v>
          </cell>
          <cell r="F1811" t="str">
            <v>IOI</v>
          </cell>
          <cell r="G1811">
            <v>-213574125.28999999</v>
          </cell>
          <cell r="K1811">
            <v>-213574125.28999999</v>
          </cell>
        </row>
        <row r="1813">
          <cell r="E1813" t="str">
            <v>REVENUE - ADVISORY INCOME</v>
          </cell>
        </row>
        <row r="1814">
          <cell r="C1814">
            <v>44100004</v>
          </cell>
          <cell r="D1814" t="str">
            <v>GIADV</v>
          </cell>
          <cell r="E1814" t="str">
            <v>Advisory Income</v>
          </cell>
          <cell r="F1814" t="str">
            <v>IAI</v>
          </cell>
          <cell r="G1814">
            <v>-7500000</v>
          </cell>
          <cell r="K1814">
            <v>-7500000</v>
          </cell>
        </row>
        <row r="1816">
          <cell r="E1816" t="str">
            <v>REVENUE - INCOME FROM EQUITY ANALYSIS, MUTUAL FUNDS, ACCOUNT OPENING &amp; OTHER CHARGES</v>
          </cell>
        </row>
        <row r="1817">
          <cell r="C1817">
            <v>44020014</v>
          </cell>
          <cell r="D1817" t="str">
            <v>GAOC</v>
          </cell>
          <cell r="E1817" t="str">
            <v>Income from Account Opening Charges</v>
          </cell>
          <cell r="F1817" t="str">
            <v>IOM</v>
          </cell>
          <cell r="G1817">
            <v>-30503830.25</v>
          </cell>
          <cell r="K1817">
            <v>-30503830.25</v>
          </cell>
        </row>
        <row r="1818">
          <cell r="C1818">
            <v>44020025</v>
          </cell>
          <cell r="D1818" t="str">
            <v>GMFB</v>
          </cell>
          <cell r="E1818" t="str">
            <v>Mutual Fund Brokerage</v>
          </cell>
          <cell r="F1818" t="str">
            <v>IOM</v>
          </cell>
          <cell r="G1818">
            <v>-22042451.280000001</v>
          </cell>
          <cell r="K1818">
            <v>-22042451.280000001</v>
          </cell>
        </row>
        <row r="1819">
          <cell r="C1819">
            <v>44020134</v>
          </cell>
          <cell r="E1819" t="str">
            <v>FIXED DEPOSIT BROKERAGE</v>
          </cell>
          <cell r="F1819" t="str">
            <v>IOM</v>
          </cell>
          <cell r="G1819">
            <v>-225617.27</v>
          </cell>
          <cell r="K1819">
            <v>-225617.27</v>
          </cell>
        </row>
        <row r="1820">
          <cell r="C1820">
            <v>44020135</v>
          </cell>
          <cell r="E1820" t="str">
            <v>NCD BROKERAGE</v>
          </cell>
          <cell r="F1820" t="str">
            <v>IOM</v>
          </cell>
          <cell r="G1820">
            <v>-46907</v>
          </cell>
          <cell r="K1820">
            <v>-46907</v>
          </cell>
        </row>
        <row r="1821">
          <cell r="C1821">
            <v>40300000</v>
          </cell>
          <cell r="E1821" t="str">
            <v>Sale of scrap</v>
          </cell>
          <cell r="F1821" t="str">
            <v>IOM</v>
          </cell>
          <cell r="G1821">
            <v>0</v>
          </cell>
          <cell r="K1821">
            <v>0</v>
          </cell>
        </row>
        <row r="1822">
          <cell r="C1822">
            <v>44020043</v>
          </cell>
          <cell r="D1822" t="str">
            <v>GIEA</v>
          </cell>
          <cell r="E1822" t="str">
            <v>Income-Equity Analysis</v>
          </cell>
          <cell r="F1822" t="str">
            <v>IOM</v>
          </cell>
          <cell r="G1822">
            <v>0</v>
          </cell>
          <cell r="K1822">
            <v>0</v>
          </cell>
        </row>
        <row r="1823">
          <cell r="C1823">
            <v>44020078</v>
          </cell>
          <cell r="D1823" t="str">
            <v>GIEAX</v>
          </cell>
          <cell r="E1823" t="str">
            <v>Income-Equity Analysis-Service Tax</v>
          </cell>
          <cell r="F1823" t="str">
            <v>IOM</v>
          </cell>
          <cell r="G1823">
            <v>0</v>
          </cell>
          <cell r="K1823">
            <v>0</v>
          </cell>
        </row>
        <row r="1824">
          <cell r="C1824">
            <v>44020038</v>
          </cell>
          <cell r="D1824" t="str">
            <v>GIPOC</v>
          </cell>
          <cell r="E1824" t="str">
            <v>Ipo Commission Recd</v>
          </cell>
          <cell r="F1824" t="str">
            <v>IOM</v>
          </cell>
          <cell r="G1824">
            <v>-1333223.78</v>
          </cell>
          <cell r="K1824">
            <v>-1333223.78</v>
          </cell>
        </row>
        <row r="1825">
          <cell r="C1825">
            <v>44020041</v>
          </cell>
          <cell r="D1825" t="str">
            <v>GI01010</v>
          </cell>
          <cell r="E1825" t="str">
            <v>Power Activation Charges</v>
          </cell>
          <cell r="F1825" t="str">
            <v>IOM</v>
          </cell>
          <cell r="G1825">
            <v>-7287751.75</v>
          </cell>
          <cell r="K1825">
            <v>-7287751.75</v>
          </cell>
        </row>
        <row r="1827">
          <cell r="E1827" t="str">
            <v>OTHER INCOME - PROFIT ON INVESTMENTS</v>
          </cell>
        </row>
        <row r="1828">
          <cell r="C1828">
            <v>44020050</v>
          </cell>
          <cell r="D1828" t="str">
            <v>GPRO</v>
          </cell>
          <cell r="E1828" t="str">
            <v>PROFIT &amp; LOSS ON SECURITIES/INVESTMENTS</v>
          </cell>
          <cell r="F1828" t="str">
            <v>IOPS</v>
          </cell>
          <cell r="G1828">
            <v>11721837</v>
          </cell>
          <cell r="K1828">
            <v>11721837</v>
          </cell>
        </row>
        <row r="1829">
          <cell r="C1829">
            <v>44020049</v>
          </cell>
          <cell r="E1829" t="str">
            <v>PROFIT &amp; LOSS ON F&amp;O</v>
          </cell>
          <cell r="F1829" t="str">
            <v>IOPS</v>
          </cell>
          <cell r="G1829">
            <v>-16789348.100000001</v>
          </cell>
          <cell r="K1829">
            <v>-16789348.100000001</v>
          </cell>
        </row>
        <row r="1830">
          <cell r="C1830">
            <v>44020116</v>
          </cell>
          <cell r="E1830" t="str">
            <v>Profit/(Loss) on Intra Day Purchase Sale of Shares</v>
          </cell>
          <cell r="F1830" t="str">
            <v>IOPS</v>
          </cell>
          <cell r="G1830">
            <v>1239709.46</v>
          </cell>
          <cell r="K1830">
            <v>1239709.46</v>
          </cell>
        </row>
        <row r="1831">
          <cell r="C1831">
            <v>50100315</v>
          </cell>
          <cell r="E1831" t="str">
            <v>Dimunition in value of Investment provided for</v>
          </cell>
          <cell r="F1831" t="str">
            <v>IOPS</v>
          </cell>
          <cell r="G1831">
            <v>557243</v>
          </cell>
          <cell r="K1831">
            <v>557243</v>
          </cell>
        </row>
        <row r="1832">
          <cell r="C1832">
            <v>50100344</v>
          </cell>
          <cell r="E1832" t="str">
            <v>Stamp Duty Chgs - Pro</v>
          </cell>
          <cell r="F1832" t="str">
            <v>IOPS</v>
          </cell>
          <cell r="G1832">
            <v>208743.9</v>
          </cell>
          <cell r="K1832">
            <v>208743.9</v>
          </cell>
        </row>
        <row r="1836">
          <cell r="E1836" t="str">
            <v>OTHER INCOME - DIVIDEND INCOME</v>
          </cell>
        </row>
        <row r="1837">
          <cell r="C1837">
            <v>46000219</v>
          </cell>
          <cell r="E1837" t="str">
            <v>Dividend Reliance Liquidity Fund.</v>
          </cell>
          <cell r="F1837" t="str">
            <v>IDV</v>
          </cell>
          <cell r="G1837">
            <v>-3905844.66</v>
          </cell>
          <cell r="K1837">
            <v>-3905844.66</v>
          </cell>
        </row>
        <row r="1838">
          <cell r="C1838">
            <v>46000306</v>
          </cell>
          <cell r="E1838" t="str">
            <v>DIVIDEND RELAINCE MEDIUM TERM FUND - DAILY PLAN</v>
          </cell>
          <cell r="F1838" t="str">
            <v>IDV</v>
          </cell>
          <cell r="G1838">
            <v>-1852408.41</v>
          </cell>
          <cell r="K1838">
            <v>-1852408.41</v>
          </cell>
        </row>
        <row r="1839">
          <cell r="C1839">
            <v>44020126</v>
          </cell>
          <cell r="E1839" t="str">
            <v>DIVIDEND LICMF SAVINGS PLUS FUND - DAILY PLAN</v>
          </cell>
          <cell r="F1839" t="str">
            <v>IDV</v>
          </cell>
          <cell r="G1839">
            <v>-811972.9</v>
          </cell>
          <cell r="K1839">
            <v>-811972.9</v>
          </cell>
        </row>
        <row r="1840">
          <cell r="C1840">
            <v>46000228</v>
          </cell>
          <cell r="E1840" t="str">
            <v>Dividend 32ISD ICICI PRUDENTIAL INSTITUTIONAL LIQU</v>
          </cell>
          <cell r="F1840" t="str">
            <v>IDV</v>
          </cell>
          <cell r="G1840">
            <v>-414944.26</v>
          </cell>
          <cell r="K1840">
            <v>-414944.26</v>
          </cell>
        </row>
        <row r="1841">
          <cell r="C1841">
            <v>44020006</v>
          </cell>
          <cell r="D1841" t="str">
            <v>GDIVMF</v>
          </cell>
          <cell r="E1841" t="str">
            <v>Dividend On Mutual Fund</v>
          </cell>
          <cell r="F1841" t="str">
            <v>IDV</v>
          </cell>
          <cell r="G1841">
            <v>-9988569.1300000008</v>
          </cell>
          <cell r="K1841">
            <v>-9988569.1300000008</v>
          </cell>
        </row>
        <row r="1842">
          <cell r="C1842">
            <v>44020115</v>
          </cell>
          <cell r="E1842" t="str">
            <v>DIVIDEND LICMF LIQUID FUND</v>
          </cell>
          <cell r="F1842" t="str">
            <v>IDV</v>
          </cell>
          <cell r="G1842">
            <v>-51383.13</v>
          </cell>
          <cell r="K1842">
            <v>-51383.13</v>
          </cell>
        </row>
        <row r="1843">
          <cell r="C1843">
            <v>44100014</v>
          </cell>
          <cell r="E1843" t="str">
            <v>Dividend Copal Partners Ltd</v>
          </cell>
          <cell r="F1843" t="str">
            <v>IDV</v>
          </cell>
          <cell r="G1843">
            <v>0</v>
          </cell>
          <cell r="K1843">
            <v>0</v>
          </cell>
        </row>
        <row r="1844">
          <cell r="C1844">
            <v>46000221</v>
          </cell>
          <cell r="E1844" t="str">
            <v>Dividend Birla Sun Life Liquid Plus</v>
          </cell>
          <cell r="F1844" t="str">
            <v>IDV</v>
          </cell>
          <cell r="G1844">
            <v>0</v>
          </cell>
          <cell r="K1844">
            <v>0</v>
          </cell>
        </row>
        <row r="1845">
          <cell r="C1845">
            <v>44020015</v>
          </cell>
          <cell r="D1845" t="str">
            <v>GDIVPR</v>
          </cell>
          <cell r="E1845" t="str">
            <v>Dividend Income (Pro Account)</v>
          </cell>
          <cell r="F1845" t="str">
            <v>IDV</v>
          </cell>
          <cell r="G1845">
            <v>-759576</v>
          </cell>
          <cell r="K1845">
            <v>-759576</v>
          </cell>
        </row>
        <row r="1846">
          <cell r="C1846">
            <v>44020118</v>
          </cell>
          <cell r="E1846" t="str">
            <v>DIVIDEND LICMF LIQUID PLUS</v>
          </cell>
          <cell r="F1846" t="str">
            <v>IDV</v>
          </cell>
          <cell r="G1846">
            <v>0</v>
          </cell>
          <cell r="K1846">
            <v>0</v>
          </cell>
        </row>
        <row r="1847">
          <cell r="C1847">
            <v>44020127</v>
          </cell>
          <cell r="E1847" t="str">
            <v>DIVIDEND LICMF SAVINGS PLUS FUND - WEEKLY PLAN</v>
          </cell>
          <cell r="F1847" t="str">
            <v>IDV</v>
          </cell>
          <cell r="G1847">
            <v>0</v>
          </cell>
          <cell r="K1847">
            <v>0</v>
          </cell>
        </row>
        <row r="1848">
          <cell r="C1848">
            <v>46000220</v>
          </cell>
          <cell r="E1848" t="str">
            <v>Dividend Birla Cash Plus -Instt Prem</v>
          </cell>
          <cell r="F1848" t="str">
            <v>IDV</v>
          </cell>
          <cell r="G1848">
            <v>0</v>
          </cell>
          <cell r="K1848">
            <v>0</v>
          </cell>
        </row>
        <row r="1849">
          <cell r="C1849">
            <v>46000218</v>
          </cell>
          <cell r="E1849" t="str">
            <v>Dividend Reliance Liquid Plus Fund-Treasury plan</v>
          </cell>
          <cell r="F1849" t="str">
            <v>IDV</v>
          </cell>
          <cell r="G1849">
            <v>0</v>
          </cell>
          <cell r="K1849">
            <v>0</v>
          </cell>
        </row>
        <row r="1851">
          <cell r="E1851" t="str">
            <v>REVENUE - SUNDRY CREDIT WRITTEN BACK</v>
          </cell>
        </row>
        <row r="1852">
          <cell r="C1852">
            <v>44020040</v>
          </cell>
          <cell r="D1852" t="str">
            <v>GMII</v>
          </cell>
          <cell r="E1852" t="str">
            <v>Miscellanious Income</v>
          </cell>
          <cell r="F1852" t="str">
            <v>IOWB</v>
          </cell>
          <cell r="G1852">
            <v>-205989.74</v>
          </cell>
          <cell r="K1852">
            <v>-205989.74</v>
          </cell>
        </row>
        <row r="1853">
          <cell r="C1853">
            <v>45200000</v>
          </cell>
          <cell r="E1853" t="str">
            <v>Balances written back</v>
          </cell>
          <cell r="F1853" t="str">
            <v>IOWB</v>
          </cell>
          <cell r="G1853">
            <v>-46674165.149999999</v>
          </cell>
          <cell r="K1853">
            <v>-46674165.149999999</v>
          </cell>
        </row>
        <row r="1855">
          <cell r="E1855" t="str">
            <v>OPERATING EXP. - STAMP DUTY</v>
          </cell>
        </row>
        <row r="1856">
          <cell r="C1856">
            <v>50100024</v>
          </cell>
          <cell r="D1856" t="str">
            <v>GSTAM</v>
          </cell>
          <cell r="E1856" t="str">
            <v>Stamp Duty Charges</v>
          </cell>
          <cell r="F1856" t="str">
            <v>EOSD</v>
          </cell>
          <cell r="G1856">
            <v>31337979</v>
          </cell>
          <cell r="K1856">
            <v>31337979</v>
          </cell>
        </row>
        <row r="1857">
          <cell r="C1857">
            <v>58165012</v>
          </cell>
          <cell r="E1857" t="str">
            <v>Stamp Paper/Franking Charges</v>
          </cell>
          <cell r="F1857" t="str">
            <v>EOSD</v>
          </cell>
          <cell r="G1857">
            <v>26234859</v>
          </cell>
          <cell r="K1857">
            <v>26234859</v>
          </cell>
        </row>
        <row r="1858">
          <cell r="C1858">
            <v>50100023</v>
          </cell>
          <cell r="D1858" t="str">
            <v>GSTMP</v>
          </cell>
          <cell r="E1858" t="str">
            <v>Stamp Paper Expenses</v>
          </cell>
          <cell r="F1858" t="str">
            <v>EOSD</v>
          </cell>
          <cell r="G1858">
            <v>355729.3</v>
          </cell>
          <cell r="K1858">
            <v>355729.3</v>
          </cell>
        </row>
        <row r="1860">
          <cell r="E1860" t="str">
            <v>OPERATING EXP. - DMAT CHARGES</v>
          </cell>
        </row>
        <row r="1861">
          <cell r="C1861">
            <v>58242025</v>
          </cell>
          <cell r="E1861" t="str">
            <v>DEMAT Charges</v>
          </cell>
          <cell r="F1861" t="str">
            <v>EODC</v>
          </cell>
          <cell r="G1861">
            <v>0</v>
          </cell>
          <cell r="K1861">
            <v>0</v>
          </cell>
        </row>
        <row r="1863">
          <cell r="E1863" t="str">
            <v>OPERATING EXP. - SEBI CHARGES</v>
          </cell>
        </row>
        <row r="1864">
          <cell r="C1864">
            <v>50100055</v>
          </cell>
          <cell r="E1864" t="str">
            <v>Sebi Turnover Fee</v>
          </cell>
          <cell r="F1864" t="str">
            <v>EOSC</v>
          </cell>
          <cell r="G1864">
            <v>2714129</v>
          </cell>
          <cell r="K1864">
            <v>2714129</v>
          </cell>
        </row>
        <row r="1865">
          <cell r="C1865">
            <v>56000166</v>
          </cell>
          <cell r="D1865" t="str">
            <v>GEPM</v>
          </cell>
          <cell r="E1865" t="str">
            <v>SEBI FEES FOR PORTFLIO MANAGEMENT</v>
          </cell>
          <cell r="F1865" t="str">
            <v>EOSC</v>
          </cell>
          <cell r="G1865">
            <v>221098.73</v>
          </cell>
          <cell r="K1865">
            <v>221098.73</v>
          </cell>
        </row>
        <row r="1866">
          <cell r="C1866">
            <v>50100068</v>
          </cell>
          <cell r="E1866" t="str">
            <v>SEBI Fees for Renewal of Reg. as Merchant Banker</v>
          </cell>
          <cell r="F1866" t="str">
            <v>EOSC</v>
          </cell>
          <cell r="G1866">
            <v>111310.66</v>
          </cell>
          <cell r="K1866">
            <v>111310.66</v>
          </cell>
        </row>
        <row r="1867">
          <cell r="C1867">
            <v>50100054</v>
          </cell>
          <cell r="D1867" t="str">
            <v>GSEBI</v>
          </cell>
          <cell r="E1867" t="str">
            <v>Sebi Charges</v>
          </cell>
          <cell r="F1867" t="str">
            <v>EOSC</v>
          </cell>
          <cell r="G1867">
            <v>21000</v>
          </cell>
          <cell r="K1867">
            <v>21000</v>
          </cell>
        </row>
        <row r="1868">
          <cell r="C1868">
            <v>50100053</v>
          </cell>
          <cell r="D1868" t="str">
            <v>GE01110</v>
          </cell>
          <cell r="E1868" t="str">
            <v>Sebi Registration Fees</v>
          </cell>
          <cell r="F1868" t="str">
            <v>EOSC</v>
          </cell>
          <cell r="G1868">
            <v>0</v>
          </cell>
          <cell r="K1868">
            <v>0</v>
          </cell>
        </row>
        <row r="1870">
          <cell r="E1870" t="str">
            <v>OPERATING EXP. - COMMISSION</v>
          </cell>
        </row>
        <row r="1871">
          <cell r="C1871">
            <v>50100065</v>
          </cell>
          <cell r="D1871" t="str">
            <v>GCOB</v>
          </cell>
          <cell r="E1871" t="str">
            <v>Commision</v>
          </cell>
          <cell r="F1871" t="str">
            <v>EOCB</v>
          </cell>
          <cell r="G1871">
            <v>3360854</v>
          </cell>
          <cell r="K1871">
            <v>3360854</v>
          </cell>
        </row>
        <row r="1872">
          <cell r="C1872">
            <v>50100012</v>
          </cell>
          <cell r="D1872" t="str">
            <v>GCOMMB</v>
          </cell>
          <cell r="E1872" t="str">
            <v>Commission &amp; Brokerage (Rent)</v>
          </cell>
          <cell r="F1872" t="str">
            <v>EOCB</v>
          </cell>
          <cell r="G1872">
            <v>190000</v>
          </cell>
          <cell r="K1872">
            <v>190000</v>
          </cell>
        </row>
        <row r="1873">
          <cell r="C1873">
            <v>50100304</v>
          </cell>
          <cell r="E1873" t="str">
            <v>Commission for Distribution</v>
          </cell>
          <cell r="F1873" t="str">
            <v>EOCB</v>
          </cell>
          <cell r="G1873">
            <v>531945.05000000005</v>
          </cell>
          <cell r="K1873">
            <v>531945.05000000005</v>
          </cell>
        </row>
        <row r="1875">
          <cell r="E1875" t="str">
            <v>OPERATING EXP. - DEPOSITORY CHARGES</v>
          </cell>
        </row>
        <row r="1876">
          <cell r="C1876">
            <v>56000164</v>
          </cell>
          <cell r="D1876" t="str">
            <v>GDEPO</v>
          </cell>
          <cell r="E1876" t="str">
            <v>Depository Charges</v>
          </cell>
          <cell r="F1876" t="str">
            <v>EONS</v>
          </cell>
          <cell r="G1876">
            <v>11683741.710000001</v>
          </cell>
          <cell r="K1876">
            <v>11683741.710000001</v>
          </cell>
        </row>
        <row r="1878">
          <cell r="E1878" t="str">
            <v>OPERATING EXP. - TRANSACTION CHARGES</v>
          </cell>
        </row>
        <row r="1879">
          <cell r="C1879">
            <v>50100011</v>
          </cell>
          <cell r="D1879" t="str">
            <v>GL00117</v>
          </cell>
          <cell r="E1879" t="str">
            <v>Nse Transaction Charges  (Exp. )</v>
          </cell>
          <cell r="F1879" t="str">
            <v>EOTC</v>
          </cell>
          <cell r="G1879">
            <v>55756990.170000002</v>
          </cell>
          <cell r="K1879">
            <v>55756990.170000002</v>
          </cell>
        </row>
        <row r="1880">
          <cell r="C1880">
            <v>50100026</v>
          </cell>
          <cell r="D1880" t="str">
            <v>GL00118</v>
          </cell>
          <cell r="E1880" t="str">
            <v>Bse Transaction Charges (Exp)</v>
          </cell>
          <cell r="F1880" t="str">
            <v>EOTC</v>
          </cell>
          <cell r="G1880">
            <v>1782570</v>
          </cell>
          <cell r="K1880">
            <v>1782570</v>
          </cell>
        </row>
        <row r="1882">
          <cell r="E1882" t="str">
            <v>OPERATING EXP. - MEMBERSHIP FEES</v>
          </cell>
        </row>
        <row r="1883">
          <cell r="C1883">
            <v>50100020</v>
          </cell>
          <cell r="D1883" t="str">
            <v>GMEMB</v>
          </cell>
          <cell r="E1883" t="str">
            <v>Membership Fees</v>
          </cell>
          <cell r="F1883" t="str">
            <v>EOM</v>
          </cell>
          <cell r="G1883">
            <v>1189536.54</v>
          </cell>
          <cell r="K1883">
            <v>1189536.54</v>
          </cell>
        </row>
        <row r="1885">
          <cell r="E1885" t="str">
            <v>OPERATING EXP. - WEBHOSTING EXPENSES</v>
          </cell>
        </row>
        <row r="1886">
          <cell r="C1886">
            <v>50100111</v>
          </cell>
          <cell r="D1886" t="str">
            <v>GWEBH</v>
          </cell>
          <cell r="E1886" t="str">
            <v>Web Hosting Charges</v>
          </cell>
          <cell r="F1886" t="str">
            <v>EOW</v>
          </cell>
          <cell r="G1886">
            <v>12225558.75</v>
          </cell>
          <cell r="K1886">
            <v>12225558.75</v>
          </cell>
        </row>
        <row r="1888">
          <cell r="E1888" t="str">
            <v>OPERATING EXP. - VSAT CHARGES</v>
          </cell>
        </row>
        <row r="1889">
          <cell r="C1889">
            <v>50100010</v>
          </cell>
          <cell r="D1889" t="str">
            <v>GVSAT</v>
          </cell>
          <cell r="E1889" t="str">
            <v>Vsat Charges</v>
          </cell>
          <cell r="F1889" t="str">
            <v>EOVC</v>
          </cell>
          <cell r="G1889">
            <v>3916111.68</v>
          </cell>
          <cell r="K1889">
            <v>3916111.68</v>
          </cell>
        </row>
        <row r="1891">
          <cell r="E1891" t="str">
            <v>OPERATING EXP. - LEASED LINE EXPENSES</v>
          </cell>
        </row>
        <row r="1892">
          <cell r="C1892">
            <v>58040009</v>
          </cell>
          <cell r="D1892" t="str">
            <v>GLEAS</v>
          </cell>
          <cell r="E1892" t="str">
            <v>Lease Line Charges</v>
          </cell>
          <cell r="F1892" t="str">
            <v>EOLL</v>
          </cell>
          <cell r="G1892">
            <v>6947144.8300000001</v>
          </cell>
          <cell r="K1892">
            <v>6947144.8300000001</v>
          </cell>
        </row>
        <row r="1893">
          <cell r="C1893">
            <v>58040008</v>
          </cell>
          <cell r="D1893" t="str">
            <v>GINTN</v>
          </cell>
          <cell r="E1893" t="str">
            <v>Internet Band Width Cost</v>
          </cell>
          <cell r="F1893" t="str">
            <v>EOLL</v>
          </cell>
          <cell r="G1893">
            <v>9644777.9000000004</v>
          </cell>
          <cell r="K1893">
            <v>9644777.9000000004</v>
          </cell>
        </row>
        <row r="1894">
          <cell r="C1894">
            <v>55230001</v>
          </cell>
          <cell r="E1894" t="str">
            <v>MPLS Charges</v>
          </cell>
          <cell r="F1894" t="str">
            <v>EOLL</v>
          </cell>
          <cell r="G1894">
            <v>4219376.67</v>
          </cell>
          <cell r="K1894">
            <v>4219376.67</v>
          </cell>
        </row>
        <row r="1896">
          <cell r="E1896" t="str">
            <v>OPERATING EXP. - CONTENT EXPENSES</v>
          </cell>
        </row>
        <row r="1897">
          <cell r="C1897">
            <v>62100010</v>
          </cell>
          <cell r="D1897" t="str">
            <v>GCONT</v>
          </cell>
          <cell r="E1897" t="str">
            <v>Content Expenses</v>
          </cell>
          <cell r="F1897" t="str">
            <v>EOCE</v>
          </cell>
          <cell r="G1897">
            <v>2057264.66</v>
          </cell>
          <cell r="K1897">
            <v>2057264.66</v>
          </cell>
        </row>
        <row r="1899">
          <cell r="E1899" t="str">
            <v>OPERATING EXP. - SOFTWARE CHARGES</v>
          </cell>
        </row>
        <row r="1900">
          <cell r="C1900">
            <v>50100025</v>
          </cell>
          <cell r="D1900" t="str">
            <v>GSOFT</v>
          </cell>
          <cell r="E1900" t="str">
            <v>Software Charges</v>
          </cell>
          <cell r="F1900" t="str">
            <v>EOSE</v>
          </cell>
          <cell r="G1900">
            <v>3757502.38</v>
          </cell>
          <cell r="K1900">
            <v>3757502.38</v>
          </cell>
        </row>
        <row r="1902">
          <cell r="E1902" t="str">
            <v>PERSONNEL COST - SALARIES</v>
          </cell>
        </row>
        <row r="1903">
          <cell r="C1903">
            <v>50100004</v>
          </cell>
          <cell r="D1903" t="str">
            <v>GSALA</v>
          </cell>
          <cell r="E1903" t="str">
            <v>Salary Expenses</v>
          </cell>
          <cell r="F1903" t="str">
            <v>EESE</v>
          </cell>
          <cell r="G1903">
            <v>611188680.70000005</v>
          </cell>
          <cell r="K1903">
            <v>611188680.70000005</v>
          </cell>
        </row>
        <row r="1904">
          <cell r="C1904">
            <v>50100002</v>
          </cell>
          <cell r="D1904" t="str">
            <v>GINCE</v>
          </cell>
          <cell r="E1904" t="str">
            <v>Incentive Expenses</v>
          </cell>
          <cell r="F1904" t="str">
            <v>EESE</v>
          </cell>
          <cell r="G1904">
            <v>134683488.66999999</v>
          </cell>
          <cell r="K1904">
            <v>134683488.66999999</v>
          </cell>
        </row>
        <row r="1905">
          <cell r="C1905">
            <v>50100102</v>
          </cell>
          <cell r="E1905" t="str">
            <v>Exgratia Expense</v>
          </cell>
          <cell r="F1905" t="str">
            <v>EESE</v>
          </cell>
          <cell r="G1905">
            <v>1256618.27</v>
          </cell>
          <cell r="K1905">
            <v>1256618.27</v>
          </cell>
        </row>
        <row r="1906">
          <cell r="C1906">
            <v>62100009</v>
          </cell>
          <cell r="D1906" t="str">
            <v>GSTIP</v>
          </cell>
          <cell r="E1906" t="str">
            <v>Stipend Expenses</v>
          </cell>
          <cell r="F1906" t="str">
            <v>EESE</v>
          </cell>
          <cell r="G1906">
            <v>10000</v>
          </cell>
          <cell r="K1906">
            <v>10000</v>
          </cell>
        </row>
        <row r="1907">
          <cell r="C1907">
            <v>50100104</v>
          </cell>
          <cell r="E1907" t="str">
            <v>Joining Bonus</v>
          </cell>
          <cell r="F1907" t="str">
            <v>EESE</v>
          </cell>
          <cell r="G1907">
            <v>0</v>
          </cell>
          <cell r="K1907">
            <v>0</v>
          </cell>
        </row>
        <row r="1909">
          <cell r="E1909" t="str">
            <v>PERSONNEL COST - CONTRIBUTION TO P.F. &amp; OTHER FUNDS</v>
          </cell>
        </row>
        <row r="1910">
          <cell r="C1910">
            <v>58030018</v>
          </cell>
          <cell r="E1910" t="str">
            <v>EPF Expenses Employer Contribution</v>
          </cell>
          <cell r="F1910" t="str">
            <v>EEPF</v>
          </cell>
          <cell r="G1910">
            <v>604227</v>
          </cell>
          <cell r="K1910">
            <v>604227</v>
          </cell>
        </row>
        <row r="1911">
          <cell r="C1911">
            <v>50100208</v>
          </cell>
          <cell r="E1911" t="str">
            <v>Labour Welfare Fund expenses</v>
          </cell>
          <cell r="F1911" t="str">
            <v>EEPF</v>
          </cell>
          <cell r="G1911">
            <v>68728.5</v>
          </cell>
          <cell r="K1911">
            <v>68728.5</v>
          </cell>
        </row>
        <row r="1912">
          <cell r="C1912">
            <v>58242032</v>
          </cell>
          <cell r="E1912" t="str">
            <v>EPF Admin &amp; EDLI Charges</v>
          </cell>
          <cell r="F1912" t="str">
            <v>EEPF</v>
          </cell>
          <cell r="G1912">
            <v>81067.740000000005</v>
          </cell>
          <cell r="K1912">
            <v>81067.740000000005</v>
          </cell>
        </row>
        <row r="1913">
          <cell r="C1913">
            <v>58030008</v>
          </cell>
          <cell r="D1913" t="str">
            <v>GEPFE</v>
          </cell>
          <cell r="E1913" t="str">
            <v>Epf Expenses</v>
          </cell>
          <cell r="F1913" t="str">
            <v>EEPF</v>
          </cell>
          <cell r="G1913">
            <v>0</v>
          </cell>
          <cell r="K1913">
            <v>0</v>
          </cell>
        </row>
        <row r="1914">
          <cell r="C1914">
            <v>58030020</v>
          </cell>
          <cell r="E1914" t="str">
            <v>EDLI Charges</v>
          </cell>
          <cell r="F1914" t="str">
            <v>EEPF</v>
          </cell>
          <cell r="G1914">
            <v>0</v>
          </cell>
          <cell r="K1914">
            <v>0</v>
          </cell>
        </row>
        <row r="1915">
          <cell r="C1915">
            <v>50100001</v>
          </cell>
          <cell r="D1915" t="str">
            <v>GGRAT</v>
          </cell>
          <cell r="E1915" t="str">
            <v>Gratuity Expenses</v>
          </cell>
          <cell r="F1915" t="str">
            <v>EEGC</v>
          </cell>
          <cell r="G1915">
            <v>0</v>
          </cell>
          <cell r="K1915">
            <v>0</v>
          </cell>
        </row>
        <row r="1916">
          <cell r="C1916">
            <v>50100003</v>
          </cell>
          <cell r="D1916" t="str">
            <v>GLEAV</v>
          </cell>
          <cell r="E1916" t="str">
            <v>Leave Encashment Expenses</v>
          </cell>
          <cell r="F1916" t="str">
            <v>EEGC</v>
          </cell>
          <cell r="G1916">
            <v>0</v>
          </cell>
          <cell r="K1916">
            <v>0</v>
          </cell>
        </row>
        <row r="1918">
          <cell r="E1918" t="str">
            <v>PERSONNEL COST - STAFF WELFARE EXPENSES</v>
          </cell>
        </row>
        <row r="1919">
          <cell r="C1919">
            <v>50100032</v>
          </cell>
          <cell r="D1919" t="str">
            <v>GSTAF</v>
          </cell>
          <cell r="E1919" t="str">
            <v>Staff Welfare Expenses</v>
          </cell>
          <cell r="F1919" t="str">
            <v>EESW</v>
          </cell>
          <cell r="G1919">
            <v>8368214.3099999996</v>
          </cell>
          <cell r="K1919">
            <v>8368214.3099999996</v>
          </cell>
        </row>
        <row r="1920">
          <cell r="C1920">
            <v>58163000</v>
          </cell>
          <cell r="E1920" t="str">
            <v>Donations and Contributions</v>
          </cell>
          <cell r="F1920" t="str">
            <v>EESW</v>
          </cell>
          <cell r="G1920">
            <v>150000</v>
          </cell>
          <cell r="K1920">
            <v>150000</v>
          </cell>
        </row>
        <row r="1921">
          <cell r="C1921">
            <v>59999994</v>
          </cell>
          <cell r="E1921" t="str">
            <v>Reimbursment of MEDICAL EXPENSES</v>
          </cell>
          <cell r="F1921" t="str">
            <v>EESW</v>
          </cell>
          <cell r="G1921">
            <v>91553</v>
          </cell>
          <cell r="K1921">
            <v>91553</v>
          </cell>
        </row>
        <row r="1922">
          <cell r="C1922">
            <v>50100204</v>
          </cell>
          <cell r="E1922" t="str">
            <v>MEDICAL EXPENSES</v>
          </cell>
          <cell r="F1922" t="str">
            <v>EESW</v>
          </cell>
          <cell r="G1922">
            <v>20000</v>
          </cell>
          <cell r="K1922">
            <v>20000</v>
          </cell>
        </row>
        <row r="1923">
          <cell r="C1923">
            <v>50100035</v>
          </cell>
          <cell r="D1923" t="str">
            <v>GEMEDI</v>
          </cell>
          <cell r="E1923" t="str">
            <v>Mediclaim Expenses</v>
          </cell>
          <cell r="F1923" t="str">
            <v>EESW</v>
          </cell>
          <cell r="G1923">
            <v>0</v>
          </cell>
          <cell r="K1923">
            <v>0</v>
          </cell>
        </row>
        <row r="1924">
          <cell r="C1924">
            <v>50100034</v>
          </cell>
          <cell r="D1924" t="str">
            <v>GDIWA</v>
          </cell>
          <cell r="E1924" t="str">
            <v>Diwali Expenses</v>
          </cell>
          <cell r="F1924" t="str">
            <v>EESW</v>
          </cell>
          <cell r="G1924">
            <v>322562</v>
          </cell>
          <cell r="K1924">
            <v>322562</v>
          </cell>
        </row>
        <row r="1925">
          <cell r="C1925">
            <v>58040027</v>
          </cell>
          <cell r="E1925" t="str">
            <v>Water Expenses</v>
          </cell>
          <cell r="F1925" t="str">
            <v>EESW</v>
          </cell>
          <cell r="G1925">
            <v>0</v>
          </cell>
          <cell r="K1925">
            <v>0</v>
          </cell>
        </row>
        <row r="1926">
          <cell r="C1926">
            <v>58040039</v>
          </cell>
          <cell r="E1926" t="str">
            <v>Relocation Expenses</v>
          </cell>
          <cell r="F1926" t="str">
            <v>EESW</v>
          </cell>
          <cell r="G1926">
            <v>0</v>
          </cell>
          <cell r="K1926">
            <v>0</v>
          </cell>
        </row>
        <row r="1927">
          <cell r="C1927">
            <v>50100008</v>
          </cell>
          <cell r="D1927" t="str">
            <v>GSTAF</v>
          </cell>
          <cell r="E1927" t="str">
            <v>Staff Welfare Expenses liable to FBT</v>
          </cell>
          <cell r="F1927" t="str">
            <v>EESW</v>
          </cell>
          <cell r="G1927">
            <v>0</v>
          </cell>
          <cell r="K1927">
            <v>0</v>
          </cell>
        </row>
        <row r="1928">
          <cell r="C1928">
            <v>58040021</v>
          </cell>
          <cell r="E1928" t="str">
            <v>WATER EXPENSES</v>
          </cell>
          <cell r="F1928" t="str">
            <v>EESW</v>
          </cell>
          <cell r="G1928">
            <v>58500</v>
          </cell>
          <cell r="K1928">
            <v>58500</v>
          </cell>
        </row>
        <row r="1930">
          <cell r="E1930" t="str">
            <v>ADM. &amp; OTHER EXP. - LEASE RENT</v>
          </cell>
        </row>
        <row r="1931">
          <cell r="C1931">
            <v>58040002</v>
          </cell>
          <cell r="D1931" t="str">
            <v>GRENT</v>
          </cell>
          <cell r="E1931" t="str">
            <v>Rent Expenses</v>
          </cell>
          <cell r="F1931" t="str">
            <v>EARE</v>
          </cell>
          <cell r="G1931">
            <v>72060729.489999995</v>
          </cell>
          <cell r="K1931">
            <v>72060729.489999995</v>
          </cell>
        </row>
        <row r="1932">
          <cell r="C1932">
            <v>50100038</v>
          </cell>
          <cell r="D1932" t="str">
            <v>GSERV</v>
          </cell>
          <cell r="E1932" t="str">
            <v>Service Charges</v>
          </cell>
          <cell r="F1932" t="str">
            <v>EARE</v>
          </cell>
          <cell r="G1932">
            <v>11406242.02</v>
          </cell>
          <cell r="K1932">
            <v>11406242.02</v>
          </cell>
        </row>
        <row r="1934">
          <cell r="E1934" t="str">
            <v>ADM. &amp; OTHER EXP. - RECRUITMENT EXPENSES</v>
          </cell>
        </row>
        <row r="1935">
          <cell r="C1935">
            <v>50100007</v>
          </cell>
          <cell r="D1935" t="str">
            <v>GRECR</v>
          </cell>
          <cell r="E1935" t="str">
            <v>Recruitment &amp; Training Expenses</v>
          </cell>
          <cell r="F1935" t="str">
            <v>EAREC</v>
          </cell>
          <cell r="G1935">
            <v>156665.16</v>
          </cell>
          <cell r="K1935">
            <v>156665.16</v>
          </cell>
        </row>
        <row r="1936">
          <cell r="C1936">
            <v>50100033</v>
          </cell>
          <cell r="E1936" t="str">
            <v>Training Expenses A/C</v>
          </cell>
          <cell r="F1936" t="str">
            <v>EAREC</v>
          </cell>
          <cell r="G1936">
            <v>0</v>
          </cell>
          <cell r="K1936">
            <v>0</v>
          </cell>
        </row>
        <row r="1938">
          <cell r="E1938" t="str">
            <v>ADM. &amp; OTHER EXP. - RATES &amp; TAXES</v>
          </cell>
        </row>
        <row r="1939">
          <cell r="C1939">
            <v>50100305</v>
          </cell>
          <cell r="E1939" t="str">
            <v>Buy Back Expenses</v>
          </cell>
          <cell r="F1939" t="str">
            <v>EART</v>
          </cell>
          <cell r="G1939">
            <v>1896465.39</v>
          </cell>
          <cell r="K1939">
            <v>1896465.39</v>
          </cell>
        </row>
        <row r="1940">
          <cell r="C1940">
            <v>58030004</v>
          </cell>
          <cell r="D1940" t="str">
            <v>GRATE</v>
          </cell>
          <cell r="E1940" t="str">
            <v>Rates &amp; Taxes</v>
          </cell>
          <cell r="F1940" t="str">
            <v>EART</v>
          </cell>
          <cell r="G1940">
            <v>908199.77</v>
          </cell>
          <cell r="K1940">
            <v>908199.77</v>
          </cell>
        </row>
        <row r="1941">
          <cell r="C1941">
            <v>58030029</v>
          </cell>
          <cell r="E1941" t="str">
            <v>Profession Tax</v>
          </cell>
          <cell r="F1941" t="str">
            <v>EART</v>
          </cell>
          <cell r="G1941">
            <v>6478.94</v>
          </cell>
          <cell r="K1941">
            <v>6478.94</v>
          </cell>
        </row>
        <row r="1942">
          <cell r="C1942">
            <v>58030003</v>
          </cell>
          <cell r="E1942" t="str">
            <v>Listing Charges</v>
          </cell>
          <cell r="F1942" t="str">
            <v>EART</v>
          </cell>
          <cell r="G1942">
            <v>140154.38</v>
          </cell>
          <cell r="K1942">
            <v>140154.38</v>
          </cell>
        </row>
        <row r="1943">
          <cell r="C1943">
            <v>58030002</v>
          </cell>
          <cell r="E1943" t="str">
            <v>Filing Fees</v>
          </cell>
          <cell r="F1943" t="str">
            <v>EART</v>
          </cell>
          <cell r="G1943">
            <v>9626</v>
          </cell>
          <cell r="K1943">
            <v>9626</v>
          </cell>
        </row>
        <row r="1944">
          <cell r="C1944">
            <v>58242024</v>
          </cell>
          <cell r="D1944" t="str">
            <v>GSERT</v>
          </cell>
          <cell r="E1944" t="str">
            <v>Service Tax - WDM</v>
          </cell>
          <cell r="F1944" t="str">
            <v>EART</v>
          </cell>
          <cell r="G1944">
            <v>22196.5</v>
          </cell>
          <cell r="K1944">
            <v>22196.5</v>
          </cell>
        </row>
        <row r="1945">
          <cell r="C1945">
            <v>50100080</v>
          </cell>
          <cell r="E1945" t="str">
            <v>Registration Charges</v>
          </cell>
          <cell r="F1945" t="str">
            <v>EART</v>
          </cell>
          <cell r="G1945">
            <v>0</v>
          </cell>
          <cell r="K1945">
            <v>0</v>
          </cell>
        </row>
        <row r="1946">
          <cell r="C1946">
            <v>58030001</v>
          </cell>
          <cell r="E1946" t="str">
            <v>Annual Listing Fees</v>
          </cell>
          <cell r="F1946" t="str">
            <v>EART</v>
          </cell>
          <cell r="G1946">
            <v>0</v>
          </cell>
          <cell r="K1946">
            <v>0</v>
          </cell>
        </row>
        <row r="1947">
          <cell r="C1947">
            <v>58242002</v>
          </cell>
          <cell r="E1947" t="str">
            <v>Registration Exp.</v>
          </cell>
          <cell r="F1947" t="str">
            <v>EART</v>
          </cell>
          <cell r="G1947">
            <v>0</v>
          </cell>
          <cell r="K1947">
            <v>0</v>
          </cell>
        </row>
        <row r="1949">
          <cell r="E1949" t="str">
            <v>ADM. &amp; OTHER EXP. - ELECTRICITY EXPENSES</v>
          </cell>
        </row>
        <row r="1950">
          <cell r="C1950">
            <v>58030016</v>
          </cell>
          <cell r="D1950" t="str">
            <v>GELEC</v>
          </cell>
          <cell r="E1950" t="str">
            <v>Electricity Expenses</v>
          </cell>
          <cell r="F1950" t="str">
            <v>EAEE</v>
          </cell>
          <cell r="G1950">
            <v>14650757.34</v>
          </cell>
          <cell r="K1950">
            <v>14650757.34</v>
          </cell>
        </row>
        <row r="1952">
          <cell r="E1952" t="str">
            <v>ADM. &amp; OTHER EXP. -  INSURANCE</v>
          </cell>
        </row>
        <row r="1953">
          <cell r="C1953">
            <v>50100058</v>
          </cell>
          <cell r="D1953" t="str">
            <v>GINSV</v>
          </cell>
          <cell r="E1953" t="str">
            <v>Insurance Expenses Vehicles</v>
          </cell>
          <cell r="F1953" t="str">
            <v>EAIC</v>
          </cell>
          <cell r="G1953">
            <v>338626.29</v>
          </cell>
          <cell r="K1953">
            <v>338626.29</v>
          </cell>
        </row>
        <row r="1954">
          <cell r="C1954">
            <v>50100061</v>
          </cell>
          <cell r="E1954" t="str">
            <v>Insurance Expenses Stock Broker Policy</v>
          </cell>
          <cell r="F1954" t="str">
            <v>EAIC</v>
          </cell>
          <cell r="G1954">
            <v>10059.030000000001</v>
          </cell>
          <cell r="K1954">
            <v>10059.030000000001</v>
          </cell>
        </row>
        <row r="1955">
          <cell r="C1955">
            <v>58165023</v>
          </cell>
          <cell r="E1955" t="str">
            <v>INSURANCE EXPENSES - EXCHANGE</v>
          </cell>
          <cell r="F1955" t="str">
            <v>EAIC</v>
          </cell>
          <cell r="G1955">
            <v>0</v>
          </cell>
          <cell r="K1955">
            <v>0</v>
          </cell>
        </row>
        <row r="1956">
          <cell r="C1956">
            <v>50100060</v>
          </cell>
          <cell r="E1956" t="str">
            <v>Insurance Expenses General</v>
          </cell>
          <cell r="F1956" t="str">
            <v>EAIC</v>
          </cell>
          <cell r="G1956">
            <v>833.7</v>
          </cell>
          <cell r="K1956">
            <v>833.7</v>
          </cell>
        </row>
        <row r="1957">
          <cell r="C1957">
            <v>58242056</v>
          </cell>
          <cell r="E1957" t="str">
            <v>Insurance Expenses- Depository</v>
          </cell>
          <cell r="F1957" t="str">
            <v>EAIC</v>
          </cell>
          <cell r="G1957">
            <v>3443</v>
          </cell>
          <cell r="K1957">
            <v>3443</v>
          </cell>
        </row>
        <row r="1959">
          <cell r="E1959" t="str">
            <v>ADM. &amp; OTHER EXP. - COMMUNICATION EXPENSES</v>
          </cell>
        </row>
        <row r="1960">
          <cell r="C1960">
            <v>58040007</v>
          </cell>
          <cell r="D1960" t="str">
            <v>GTELE</v>
          </cell>
          <cell r="E1960" t="str">
            <v>Telephone Expenses(Fixed Line)</v>
          </cell>
          <cell r="F1960" t="str">
            <v>EACE</v>
          </cell>
          <cell r="G1960">
            <v>23129608.16</v>
          </cell>
          <cell r="K1960">
            <v>23129608.16</v>
          </cell>
        </row>
        <row r="1961">
          <cell r="C1961">
            <v>50100057</v>
          </cell>
          <cell r="D1961" t="str">
            <v>GPOST</v>
          </cell>
          <cell r="E1961" t="str">
            <v>Postage &amp; Courier Charges</v>
          </cell>
          <cell r="F1961" t="str">
            <v>EACE</v>
          </cell>
          <cell r="G1961">
            <v>21657574.370000001</v>
          </cell>
          <cell r="K1961">
            <v>21657574.370000001</v>
          </cell>
        </row>
        <row r="1962">
          <cell r="C1962">
            <v>58040006</v>
          </cell>
          <cell r="D1962" t="str">
            <v>GMOBI</v>
          </cell>
          <cell r="E1962" t="str">
            <v>Telephone Exp.(Mobile)</v>
          </cell>
          <cell r="F1962" t="str">
            <v>EACE</v>
          </cell>
          <cell r="G1962">
            <v>1043617.33</v>
          </cell>
          <cell r="K1962">
            <v>1043617.33</v>
          </cell>
        </row>
        <row r="1963">
          <cell r="C1963">
            <v>58242031</v>
          </cell>
          <cell r="D1963" t="str">
            <v>GTELE</v>
          </cell>
          <cell r="E1963" t="str">
            <v>Telephone Expenses -PRI Lines</v>
          </cell>
          <cell r="F1963" t="str">
            <v>EACE</v>
          </cell>
          <cell r="G1963">
            <v>420487.45</v>
          </cell>
          <cell r="K1963">
            <v>420487.45</v>
          </cell>
        </row>
        <row r="1964">
          <cell r="C1964">
            <v>59999993</v>
          </cell>
          <cell r="D1964" t="str">
            <v>GTELE</v>
          </cell>
          <cell r="E1964" t="str">
            <v>Staff Welfare Reimbursement Of Telephone Expenses</v>
          </cell>
          <cell r="F1964" t="str">
            <v>EACE</v>
          </cell>
          <cell r="G1964">
            <v>23480</v>
          </cell>
          <cell r="K1964">
            <v>23480</v>
          </cell>
        </row>
        <row r="1965">
          <cell r="C1965">
            <v>58040005</v>
          </cell>
          <cell r="D1965" t="str">
            <v>GPOST</v>
          </cell>
          <cell r="E1965" t="str">
            <v>Postage &amp; Courier Charges</v>
          </cell>
          <cell r="F1965" t="str">
            <v>EACE</v>
          </cell>
          <cell r="G1965">
            <v>0</v>
          </cell>
          <cell r="K1965">
            <v>0</v>
          </cell>
        </row>
        <row r="1967">
          <cell r="E1967" t="str">
            <v>ADM. &amp; OTHER EXP. - PROFESSIONAL CHARGES</v>
          </cell>
        </row>
        <row r="1968">
          <cell r="C1968">
            <v>58040013</v>
          </cell>
          <cell r="D1968" t="str">
            <v>GLEGAL</v>
          </cell>
          <cell r="E1968" t="str">
            <v>Legal Expenses</v>
          </cell>
          <cell r="F1968" t="str">
            <v>EAPC</v>
          </cell>
          <cell r="G1968">
            <v>1955908.56</v>
          </cell>
          <cell r="K1968">
            <v>1955908.56</v>
          </cell>
        </row>
        <row r="1969">
          <cell r="C1969">
            <v>46000043</v>
          </cell>
          <cell r="E1969" t="str">
            <v>Technical Charge Fees</v>
          </cell>
          <cell r="F1969" t="str">
            <v>EAPC</v>
          </cell>
          <cell r="G1969">
            <v>433475</v>
          </cell>
          <cell r="K1969">
            <v>433475</v>
          </cell>
        </row>
        <row r="1970">
          <cell r="C1970">
            <v>58040015</v>
          </cell>
          <cell r="D1970" t="str">
            <v>GPROF</v>
          </cell>
          <cell r="E1970" t="str">
            <v>Professional Charges</v>
          </cell>
          <cell r="F1970" t="str">
            <v>EAPC</v>
          </cell>
          <cell r="G1970">
            <v>0</v>
          </cell>
          <cell r="K1970">
            <v>0</v>
          </cell>
        </row>
        <row r="1971">
          <cell r="C1971">
            <v>58040014</v>
          </cell>
          <cell r="D1971" t="str">
            <v>GCONS</v>
          </cell>
          <cell r="E1971" t="str">
            <v>Consultancy Charges</v>
          </cell>
          <cell r="F1971" t="str">
            <v>EAPC</v>
          </cell>
          <cell r="G1971">
            <v>0</v>
          </cell>
          <cell r="K1971">
            <v>0</v>
          </cell>
        </row>
        <row r="1972">
          <cell r="C1972">
            <v>58040016</v>
          </cell>
          <cell r="D1972" t="str">
            <v>GPROI</v>
          </cell>
          <cell r="E1972" t="str">
            <v>Professional &amp; Consultancy Charges</v>
          </cell>
          <cell r="F1972" t="str">
            <v>EAPC</v>
          </cell>
          <cell r="G1972">
            <v>33042855.16</v>
          </cell>
          <cell r="K1972">
            <v>33042855.16</v>
          </cell>
        </row>
        <row r="1973">
          <cell r="C1973">
            <v>58241023</v>
          </cell>
          <cell r="E1973" t="str">
            <v>Technical Support Expense</v>
          </cell>
          <cell r="F1973" t="str">
            <v>EAPC</v>
          </cell>
          <cell r="G1973">
            <v>1396500</v>
          </cell>
          <cell r="K1973">
            <v>1396500</v>
          </cell>
        </row>
        <row r="1975">
          <cell r="E1975" t="str">
            <v>ADM. &amp; OTHER EXP. - TRAVELLING &amp; CONVEYANCE</v>
          </cell>
        </row>
        <row r="1976">
          <cell r="C1976">
            <v>58040003</v>
          </cell>
          <cell r="D1976" t="str">
            <v>GCONV</v>
          </cell>
          <cell r="E1976" t="str">
            <v>Conveyance Expenses</v>
          </cell>
          <cell r="F1976" t="str">
            <v>EATC</v>
          </cell>
          <cell r="G1976">
            <v>3411560.2</v>
          </cell>
          <cell r="K1976">
            <v>3411560.2</v>
          </cell>
        </row>
        <row r="1977">
          <cell r="C1977">
            <v>58040004</v>
          </cell>
          <cell r="D1977" t="str">
            <v>GTRAV</v>
          </cell>
          <cell r="E1977" t="str">
            <v>Travelling Expenses</v>
          </cell>
          <cell r="F1977" t="str">
            <v>EATC</v>
          </cell>
          <cell r="G1977">
            <v>2277878.4300000002</v>
          </cell>
          <cell r="K1977">
            <v>2277878.4300000002</v>
          </cell>
        </row>
        <row r="1978">
          <cell r="C1978">
            <v>50100172</v>
          </cell>
          <cell r="E1978" t="str">
            <v>Travelling-Lodging &amp; Boarding</v>
          </cell>
          <cell r="F1978" t="str">
            <v>EATC</v>
          </cell>
          <cell r="G1978">
            <v>712237</v>
          </cell>
          <cell r="K1978">
            <v>712237</v>
          </cell>
        </row>
        <row r="1979">
          <cell r="C1979">
            <v>50100077</v>
          </cell>
          <cell r="E1979" t="str">
            <v>TRANSPORT CHARGES</v>
          </cell>
          <cell r="F1979" t="str">
            <v>EATC</v>
          </cell>
          <cell r="G1979">
            <v>297493.5</v>
          </cell>
          <cell r="K1979">
            <v>297493.5</v>
          </cell>
        </row>
        <row r="1980">
          <cell r="C1980">
            <v>59999995</v>
          </cell>
          <cell r="E1980" t="str">
            <v>Reimbursement of LEAVE TRAVEL ALLOWANCE</v>
          </cell>
          <cell r="F1980" t="str">
            <v>EATC</v>
          </cell>
          <cell r="G1980">
            <v>50368</v>
          </cell>
          <cell r="K1980">
            <v>50368</v>
          </cell>
        </row>
        <row r="1981">
          <cell r="C1981">
            <v>59999996</v>
          </cell>
          <cell r="E1981" t="str">
            <v>Staff Welfare Reimbursement Of Fuel Charges</v>
          </cell>
          <cell r="F1981" t="str">
            <v>EATC</v>
          </cell>
          <cell r="G1981">
            <v>461011</v>
          </cell>
          <cell r="K1981">
            <v>461011</v>
          </cell>
        </row>
        <row r="1982">
          <cell r="C1982">
            <v>59999998</v>
          </cell>
          <cell r="D1982" t="str">
            <v>GTRAV</v>
          </cell>
          <cell r="E1982" t="str">
            <v>Staff Welfare Reimbursement Agst. Domestic Travel</v>
          </cell>
          <cell r="F1982" t="str">
            <v>EATC</v>
          </cell>
          <cell r="G1982">
            <v>161252</v>
          </cell>
          <cell r="K1982">
            <v>161252</v>
          </cell>
        </row>
        <row r="1983">
          <cell r="C1983">
            <v>59999997</v>
          </cell>
          <cell r="D1983" t="str">
            <v>GTRAV</v>
          </cell>
          <cell r="E1983" t="str">
            <v>REIMBURSEMENT AGAINST FOREIGN TRAVEL</v>
          </cell>
          <cell r="F1983" t="str">
            <v>EATC</v>
          </cell>
          <cell r="G1983">
            <v>0</v>
          </cell>
          <cell r="K1983">
            <v>0</v>
          </cell>
        </row>
        <row r="1984">
          <cell r="C1984">
            <v>50100056</v>
          </cell>
          <cell r="D1984" t="str">
            <v>GLOCA</v>
          </cell>
          <cell r="E1984" t="str">
            <v>Local Conveyance</v>
          </cell>
          <cell r="F1984" t="str">
            <v>EATC</v>
          </cell>
          <cell r="G1984">
            <v>0</v>
          </cell>
          <cell r="K1984">
            <v>0</v>
          </cell>
        </row>
        <row r="1986">
          <cell r="E1986" t="str">
            <v>ADM. &amp; OTHER EXP. - PRINTING &amp; STATIONERY</v>
          </cell>
        </row>
        <row r="1987">
          <cell r="C1987">
            <v>58040011</v>
          </cell>
          <cell r="E1987" t="str">
            <v>Printing &amp; Stationery</v>
          </cell>
          <cell r="F1987" t="str">
            <v>EAPS</v>
          </cell>
          <cell r="G1987">
            <v>14683886.810000001</v>
          </cell>
          <cell r="K1987">
            <v>14683886.810000001</v>
          </cell>
        </row>
        <row r="1988">
          <cell r="C1988">
            <v>50100062</v>
          </cell>
          <cell r="D1988" t="str">
            <v>GPRIN</v>
          </cell>
          <cell r="E1988" t="str">
            <v>Printing &amp; Stationery</v>
          </cell>
          <cell r="F1988" t="str">
            <v>EAPS</v>
          </cell>
          <cell r="G1988">
            <v>0</v>
          </cell>
          <cell r="K1988">
            <v>0</v>
          </cell>
        </row>
        <row r="1989">
          <cell r="C1989">
            <v>50100063</v>
          </cell>
          <cell r="D1989" t="str">
            <v>GBOOK</v>
          </cell>
          <cell r="E1989" t="str">
            <v>Books &amp; Periodical</v>
          </cell>
          <cell r="F1989" t="str">
            <v>EAPS</v>
          </cell>
          <cell r="G1989">
            <v>193401.61</v>
          </cell>
          <cell r="K1989">
            <v>193401.61</v>
          </cell>
        </row>
        <row r="1990">
          <cell r="C1990">
            <v>59999999</v>
          </cell>
          <cell r="E1990" t="str">
            <v>Staff Welfare Reimbursement Of Books &amp; Periodicals</v>
          </cell>
          <cell r="F1990" t="str">
            <v>EAPS</v>
          </cell>
          <cell r="G1990">
            <v>115572</v>
          </cell>
          <cell r="K1990">
            <v>115572</v>
          </cell>
        </row>
        <row r="1991">
          <cell r="C1991">
            <v>62000026</v>
          </cell>
          <cell r="E1991" t="str">
            <v>Raw Material Consumed</v>
          </cell>
          <cell r="F1991" t="str">
            <v>EAPS</v>
          </cell>
          <cell r="G1991">
            <v>0</v>
          </cell>
          <cell r="K1991">
            <v>0</v>
          </cell>
        </row>
        <row r="1993">
          <cell r="E1993" t="str">
            <v>ADM. &amp; OTHER EXP. - REPAIR &amp; MAINTENANCE</v>
          </cell>
        </row>
        <row r="1994">
          <cell r="C1994">
            <v>50100048</v>
          </cell>
          <cell r="D1994" t="str">
            <v>GAMCA</v>
          </cell>
          <cell r="E1994" t="str">
            <v>Amc Air Conditioners</v>
          </cell>
          <cell r="F1994" t="str">
            <v>EARM</v>
          </cell>
          <cell r="G1994">
            <v>47965</v>
          </cell>
          <cell r="K1994">
            <v>47965</v>
          </cell>
        </row>
        <row r="1995">
          <cell r="C1995">
            <v>50100050</v>
          </cell>
          <cell r="E1995" t="str">
            <v>Amc Charges Epabx</v>
          </cell>
          <cell r="F1995" t="str">
            <v>EARM</v>
          </cell>
          <cell r="G1995">
            <v>5636.44</v>
          </cell>
          <cell r="K1995">
            <v>5636.44</v>
          </cell>
        </row>
        <row r="1996">
          <cell r="C1996">
            <v>50100045</v>
          </cell>
          <cell r="D1996" t="str">
            <v>GAMCC</v>
          </cell>
          <cell r="E1996" t="str">
            <v>Amc Hardware Computer</v>
          </cell>
          <cell r="F1996" t="str">
            <v>EARM</v>
          </cell>
          <cell r="G1996">
            <v>10184027.699999999</v>
          </cell>
          <cell r="K1996">
            <v>10184027.699999999</v>
          </cell>
        </row>
        <row r="1997">
          <cell r="C1997">
            <v>50100043</v>
          </cell>
          <cell r="D1997" t="str">
            <v>GAMCH</v>
          </cell>
          <cell r="E1997" t="str">
            <v>Amc Hardware Expenses</v>
          </cell>
          <cell r="F1997" t="str">
            <v>EARM</v>
          </cell>
          <cell r="G1997">
            <v>1330617.31</v>
          </cell>
          <cell r="K1997">
            <v>1330617.31</v>
          </cell>
        </row>
        <row r="1998">
          <cell r="C1998">
            <v>50100047</v>
          </cell>
          <cell r="D1998" t="str">
            <v>GAMCG</v>
          </cell>
          <cell r="E1998" t="str">
            <v>Amc Hardware Generators</v>
          </cell>
          <cell r="F1998" t="str">
            <v>EARM</v>
          </cell>
          <cell r="G1998">
            <v>926</v>
          </cell>
          <cell r="K1998">
            <v>926</v>
          </cell>
        </row>
        <row r="1999">
          <cell r="C1999">
            <v>50100046</v>
          </cell>
          <cell r="D1999" t="str">
            <v>GAMCU</v>
          </cell>
          <cell r="E1999" t="str">
            <v>Amc Hardware Ups</v>
          </cell>
          <cell r="F1999" t="str">
            <v>EARM</v>
          </cell>
          <cell r="G1999">
            <v>615770.39</v>
          </cell>
          <cell r="K1999">
            <v>615770.39</v>
          </cell>
        </row>
        <row r="2000">
          <cell r="C2000">
            <v>50100044</v>
          </cell>
          <cell r="D2000" t="str">
            <v>GAMCS</v>
          </cell>
          <cell r="E2000" t="str">
            <v>Amc Software Expenses</v>
          </cell>
          <cell r="F2000" t="str">
            <v>EARM</v>
          </cell>
          <cell r="G2000">
            <v>2668113.58</v>
          </cell>
          <cell r="K2000">
            <v>2668113.58</v>
          </cell>
        </row>
        <row r="2001">
          <cell r="C2001">
            <v>50100101</v>
          </cell>
          <cell r="E2001" t="str">
            <v>Computer Hardware Expense</v>
          </cell>
          <cell r="F2001" t="str">
            <v>EARM</v>
          </cell>
          <cell r="G2001">
            <v>1462119.98</v>
          </cell>
          <cell r="K2001">
            <v>1462119.98</v>
          </cell>
        </row>
        <row r="2002">
          <cell r="C2002">
            <v>50100049</v>
          </cell>
          <cell r="D2002" t="str">
            <v>GGENE</v>
          </cell>
          <cell r="E2002" t="str">
            <v>Generator Expenses</v>
          </cell>
          <cell r="F2002" t="str">
            <v>EARM</v>
          </cell>
          <cell r="G2002">
            <v>2924090.41</v>
          </cell>
          <cell r="K2002">
            <v>2924090.41</v>
          </cell>
        </row>
        <row r="2003">
          <cell r="C2003">
            <v>58040001</v>
          </cell>
          <cell r="E2003" t="str">
            <v>Generator Expenses</v>
          </cell>
          <cell r="F2003" t="str">
            <v>EARM</v>
          </cell>
          <cell r="G2003">
            <v>0</v>
          </cell>
          <cell r="K2003">
            <v>0</v>
          </cell>
        </row>
        <row r="2004">
          <cell r="C2004">
            <v>62000003</v>
          </cell>
          <cell r="E2004" t="str">
            <v>Generator Fuel Expenses</v>
          </cell>
          <cell r="F2004" t="str">
            <v>EARM</v>
          </cell>
          <cell r="G2004">
            <v>0</v>
          </cell>
          <cell r="K2004">
            <v>0</v>
          </cell>
        </row>
        <row r="2005">
          <cell r="C2005">
            <v>16000001</v>
          </cell>
          <cell r="E2005" t="str">
            <v>Machinery Spares</v>
          </cell>
          <cell r="F2005" t="str">
            <v>EARM</v>
          </cell>
          <cell r="G2005">
            <v>0</v>
          </cell>
          <cell r="K2005">
            <v>0</v>
          </cell>
        </row>
        <row r="2006">
          <cell r="C2006">
            <v>50100051</v>
          </cell>
          <cell r="D2006" t="str">
            <v>GREPA</v>
          </cell>
          <cell r="E2006" t="str">
            <v>Repair &amp; Maintenance</v>
          </cell>
          <cell r="F2006" t="str">
            <v>EARM</v>
          </cell>
          <cell r="G2006">
            <v>5124086.59</v>
          </cell>
          <cell r="K2006">
            <v>5124086.59</v>
          </cell>
        </row>
        <row r="2007">
          <cell r="C2007">
            <v>58022000</v>
          </cell>
          <cell r="E2007" t="str">
            <v>Repairs and maintenance - Others</v>
          </cell>
          <cell r="F2007" t="str">
            <v>EARM</v>
          </cell>
          <cell r="G2007">
            <v>0</v>
          </cell>
          <cell r="K2007">
            <v>0</v>
          </cell>
        </row>
        <row r="2008">
          <cell r="C2008">
            <v>58021100</v>
          </cell>
          <cell r="E2008" t="str">
            <v>Repairs&amp;maintenance-Mach(Spares)</v>
          </cell>
          <cell r="F2008" t="str">
            <v>EARM</v>
          </cell>
          <cell r="G2008">
            <v>0</v>
          </cell>
          <cell r="K2008">
            <v>0</v>
          </cell>
        </row>
        <row r="2009">
          <cell r="C2009">
            <v>50100078</v>
          </cell>
          <cell r="E2009" t="str">
            <v>VEHICLE REPAIR AND MAINTENANCE</v>
          </cell>
          <cell r="F2009" t="str">
            <v>EARM</v>
          </cell>
          <cell r="G2009">
            <v>869732.47</v>
          </cell>
          <cell r="K2009">
            <v>869732.47</v>
          </cell>
        </row>
        <row r="2011">
          <cell r="E2011" t="str">
            <v>ADM. &amp; OTHER EXP. - BUSINESS PROMOTION</v>
          </cell>
        </row>
        <row r="2012">
          <cell r="C2012">
            <v>50100013</v>
          </cell>
          <cell r="D2012" t="str">
            <v>GBUSI</v>
          </cell>
          <cell r="E2012" t="str">
            <v>Business Promotion Expenses</v>
          </cell>
          <cell r="F2012" t="str">
            <v>EABP</v>
          </cell>
          <cell r="G2012">
            <v>648596.82999999996</v>
          </cell>
          <cell r="K2012">
            <v>648596.82999999996</v>
          </cell>
        </row>
        <row r="2013">
          <cell r="C2013">
            <v>50100019</v>
          </cell>
          <cell r="D2013" t="str">
            <v>GSUBS</v>
          </cell>
          <cell r="E2013" t="str">
            <v>Subscription Charges</v>
          </cell>
          <cell r="F2013" t="str">
            <v>EABP</v>
          </cell>
          <cell r="G2013">
            <v>110853</v>
          </cell>
          <cell r="K2013">
            <v>110853</v>
          </cell>
        </row>
        <row r="2014">
          <cell r="C2014">
            <v>50100015</v>
          </cell>
          <cell r="E2014" t="str">
            <v>Conference Expenses</v>
          </cell>
          <cell r="F2014" t="str">
            <v>EABP</v>
          </cell>
          <cell r="G2014">
            <v>0</v>
          </cell>
          <cell r="K2014">
            <v>0</v>
          </cell>
        </row>
        <row r="2015">
          <cell r="C2015">
            <v>58165005</v>
          </cell>
          <cell r="E2015" t="str">
            <v>Egm Expenses</v>
          </cell>
          <cell r="F2015" t="str">
            <v>EABP</v>
          </cell>
          <cell r="G2015">
            <v>8500</v>
          </cell>
          <cell r="K2015">
            <v>8500</v>
          </cell>
        </row>
        <row r="2017">
          <cell r="E2017" t="str">
            <v>ADM. &amp; OTHER EXP. - ADVERTISEMENT</v>
          </cell>
        </row>
        <row r="2018">
          <cell r="C2018">
            <v>58040017</v>
          </cell>
          <cell r="E2018" t="str">
            <v>Advertisement Expenses</v>
          </cell>
          <cell r="F2018" t="str">
            <v>EAAE</v>
          </cell>
          <cell r="G2018">
            <v>17400</v>
          </cell>
          <cell r="K2018">
            <v>17400</v>
          </cell>
        </row>
        <row r="2020">
          <cell r="E2020" t="str">
            <v>ADM. &amp; OTHER EXP. - OFFICE MAINTENANCE</v>
          </cell>
        </row>
        <row r="2021">
          <cell r="C2021">
            <v>58165006</v>
          </cell>
          <cell r="D2021" t="str">
            <v>GOFFI</v>
          </cell>
          <cell r="E2021" t="str">
            <v>Office Maintenance</v>
          </cell>
          <cell r="F2021" t="str">
            <v>EAOM</v>
          </cell>
          <cell r="G2021">
            <v>11046066</v>
          </cell>
          <cell r="K2021">
            <v>11046066</v>
          </cell>
        </row>
        <row r="2022">
          <cell r="C2022">
            <v>50100231</v>
          </cell>
          <cell r="E2022" t="str">
            <v>Security Guard Expenses</v>
          </cell>
          <cell r="F2022" t="str">
            <v>EAOM</v>
          </cell>
          <cell r="G2022">
            <v>4775891.9000000004</v>
          </cell>
          <cell r="K2022">
            <v>4775891.9000000004</v>
          </cell>
        </row>
        <row r="2023">
          <cell r="C2023">
            <v>50100040</v>
          </cell>
          <cell r="D2023" t="str">
            <v>GSHIF</v>
          </cell>
          <cell r="E2023" t="str">
            <v>Shifting Charges</v>
          </cell>
          <cell r="F2023" t="str">
            <v>EAOM</v>
          </cell>
          <cell r="G2023">
            <v>168948</v>
          </cell>
          <cell r="K2023">
            <v>168948</v>
          </cell>
        </row>
        <row r="2024">
          <cell r="C2024">
            <v>50100041</v>
          </cell>
          <cell r="D2024" t="str">
            <v>GSCSE</v>
          </cell>
          <cell r="E2024" t="str">
            <v>Service Charges - Security</v>
          </cell>
          <cell r="F2024" t="str">
            <v>EAOM</v>
          </cell>
          <cell r="G2024">
            <v>0</v>
          </cell>
          <cell r="K2024">
            <v>0</v>
          </cell>
        </row>
        <row r="2025">
          <cell r="C2025">
            <v>50100000</v>
          </cell>
          <cell r="E2025" t="str">
            <v>Semi finished (stock change)</v>
          </cell>
          <cell r="F2025" t="str">
            <v>EAOM</v>
          </cell>
          <cell r="G2025">
            <v>0</v>
          </cell>
          <cell r="K2025">
            <v>0</v>
          </cell>
        </row>
        <row r="2026">
          <cell r="C2026">
            <v>50100039</v>
          </cell>
          <cell r="E2026" t="str">
            <v>Office Shifting Charges</v>
          </cell>
          <cell r="F2026" t="str">
            <v>EAOM</v>
          </cell>
          <cell r="G2026">
            <v>0</v>
          </cell>
          <cell r="K2026">
            <v>0</v>
          </cell>
        </row>
        <row r="2028">
          <cell r="E2028" t="str">
            <v>ADM. &amp; OTHER EXP. - AUDITOR'S REMUNERATION</v>
          </cell>
        </row>
        <row r="2029">
          <cell r="C2029">
            <v>58165008</v>
          </cell>
          <cell r="E2029" t="str">
            <v>Audit Fee</v>
          </cell>
          <cell r="F2029" t="str">
            <v>EAUD</v>
          </cell>
          <cell r="G2029">
            <v>0</v>
          </cell>
          <cell r="K2029">
            <v>0</v>
          </cell>
        </row>
        <row r="2031">
          <cell r="E2031" t="str">
            <v>ADM. &amp; OTHER EXP. - LOSS ON ERRONEOUS TRANSACTIONS</v>
          </cell>
        </row>
        <row r="2034">
          <cell r="E2034" t="str">
            <v>ADM. &amp; OTHER EXP. - LOSS ON SALE OF FIXED ASSETS</v>
          </cell>
        </row>
        <row r="2035">
          <cell r="C2035">
            <v>58190000</v>
          </cell>
          <cell r="D2035" t="str">
            <v>GELOS</v>
          </cell>
          <cell r="E2035" t="str">
            <v>Loss on sale of fixed assets</v>
          </cell>
          <cell r="F2035" t="str">
            <v>EAFA</v>
          </cell>
          <cell r="G2035">
            <v>3895947.85</v>
          </cell>
          <cell r="K2035">
            <v>3895947.85</v>
          </cell>
        </row>
        <row r="2036">
          <cell r="C2036">
            <v>45100000</v>
          </cell>
          <cell r="D2036" t="str">
            <v>GEPOS</v>
          </cell>
          <cell r="E2036" t="str">
            <v>Profit on sale of fixed assets</v>
          </cell>
          <cell r="F2036" t="str">
            <v>EAFA</v>
          </cell>
          <cell r="G2036">
            <v>-550755.28</v>
          </cell>
          <cell r="K2036">
            <v>-550755.28</v>
          </cell>
        </row>
        <row r="2037">
          <cell r="C2037">
            <v>50100137</v>
          </cell>
          <cell r="D2037" t="str">
            <v>GELOS</v>
          </cell>
          <cell r="E2037" t="str">
            <v>Loss on Assets Written off</v>
          </cell>
          <cell r="F2037" t="str">
            <v>EAFA</v>
          </cell>
          <cell r="G2037">
            <v>9878624.4100000001</v>
          </cell>
          <cell r="K2037">
            <v>9878624.4100000001</v>
          </cell>
        </row>
        <row r="2039">
          <cell r="E2039" t="str">
            <v>ADM. &amp; OTHER EXP. - BAD DEBT WRITTEN OFF</v>
          </cell>
        </row>
        <row r="2040">
          <cell r="C2040">
            <v>58210000</v>
          </cell>
          <cell r="D2040" t="str">
            <v>GE0056</v>
          </cell>
          <cell r="E2040" t="str">
            <v>Bad debts</v>
          </cell>
          <cell r="F2040" t="str">
            <v>EBD</v>
          </cell>
          <cell r="G2040">
            <v>682283</v>
          </cell>
          <cell r="K2040">
            <v>682283</v>
          </cell>
        </row>
        <row r="2042">
          <cell r="E2042" t="str">
            <v>ADM. &amp; OTHER EXP. - PROVISION FOR DOUBTFUL DEBTS</v>
          </cell>
        </row>
        <row r="2045">
          <cell r="E2045" t="str">
            <v>ADM. &amp; OTHER EXP. - PROVISION FOR CONTINGENCIES</v>
          </cell>
        </row>
        <row r="2046">
          <cell r="C2046">
            <v>62000017</v>
          </cell>
          <cell r="E2046" t="str">
            <v>Contingency expense provided for</v>
          </cell>
          <cell r="F2046" t="str">
            <v>ECONTI</v>
          </cell>
          <cell r="G2046">
            <v>6364848.5800000001</v>
          </cell>
          <cell r="K2046">
            <v>6364848.5800000001</v>
          </cell>
        </row>
        <row r="2048">
          <cell r="E2048" t="str">
            <v>ADM. &amp; OTHER EXP. - BUYBACK EXPENESES</v>
          </cell>
        </row>
        <row r="2051">
          <cell r="E2051" t="str">
            <v>ADM. &amp; OTHER EXP. - MISCELLANEOUS EXPENSES</v>
          </cell>
        </row>
        <row r="2052">
          <cell r="C2052">
            <v>58040031</v>
          </cell>
          <cell r="E2052" t="str">
            <v>Miscellaneous Expenses</v>
          </cell>
          <cell r="F2052" t="str">
            <v>EAME</v>
          </cell>
          <cell r="G2052">
            <v>72781.440000000002</v>
          </cell>
          <cell r="K2052">
            <v>72781.440000000002</v>
          </cell>
        </row>
        <row r="2053">
          <cell r="C2053">
            <v>58242011</v>
          </cell>
          <cell r="D2053" t="str">
            <v>GNSEP</v>
          </cell>
          <cell r="E2053" t="str">
            <v>NSE PENALTY CHARGES</v>
          </cell>
          <cell r="F2053" t="str">
            <v>EAME</v>
          </cell>
          <cell r="G2053">
            <v>3714.22</v>
          </cell>
          <cell r="K2053">
            <v>3714.22</v>
          </cell>
        </row>
        <row r="2054">
          <cell r="C2054">
            <v>50100081</v>
          </cell>
          <cell r="D2054" t="str">
            <v>GNSE</v>
          </cell>
          <cell r="E2054" t="str">
            <v>NSE Expenses</v>
          </cell>
          <cell r="F2054" t="str">
            <v>EAME</v>
          </cell>
          <cell r="G2054">
            <v>-42795</v>
          </cell>
          <cell r="K2054">
            <v>-42795</v>
          </cell>
        </row>
        <row r="2055">
          <cell r="C2055">
            <v>50100176</v>
          </cell>
          <cell r="E2055" t="str">
            <v>Penalty Charges CDSL</v>
          </cell>
          <cell r="F2055" t="str">
            <v>EAME</v>
          </cell>
          <cell r="G2055">
            <v>0</v>
          </cell>
          <cell r="K2055">
            <v>0</v>
          </cell>
        </row>
        <row r="2056">
          <cell r="C2056">
            <v>50100029</v>
          </cell>
          <cell r="E2056" t="str">
            <v>Other Charges Bse</v>
          </cell>
          <cell r="F2056" t="str">
            <v>EAME</v>
          </cell>
          <cell r="G2056">
            <v>49718.5</v>
          </cell>
          <cell r="K2056">
            <v>49718.5</v>
          </cell>
        </row>
        <row r="2057">
          <cell r="C2057">
            <v>56000073</v>
          </cell>
          <cell r="D2057" t="str">
            <v>GNCFM</v>
          </cell>
          <cell r="E2057" t="str">
            <v>NCFM Exam Fees</v>
          </cell>
          <cell r="F2057" t="str">
            <v>EAME</v>
          </cell>
          <cell r="G2057">
            <v>111300</v>
          </cell>
          <cell r="K2057">
            <v>111300</v>
          </cell>
        </row>
        <row r="2058">
          <cell r="C2058">
            <v>58242004</v>
          </cell>
          <cell r="D2058" t="str">
            <v>GASE</v>
          </cell>
          <cell r="E2058" t="str">
            <v>Shorts &amp; Excess-GASE</v>
          </cell>
          <cell r="F2058" t="str">
            <v>EAME</v>
          </cell>
          <cell r="G2058">
            <v>358.24</v>
          </cell>
          <cell r="K2058">
            <v>358.24</v>
          </cell>
        </row>
        <row r="2059">
          <cell r="C2059">
            <v>46000003</v>
          </cell>
          <cell r="E2059" t="str">
            <v>Short &amp; Excess A/C</v>
          </cell>
          <cell r="F2059" t="str">
            <v>EAME</v>
          </cell>
          <cell r="G2059">
            <v>31.21</v>
          </cell>
          <cell r="K2059">
            <v>31.21</v>
          </cell>
        </row>
        <row r="2060">
          <cell r="C2060">
            <v>45600000</v>
          </cell>
          <cell r="E2060" t="str">
            <v>Other transaction gains</v>
          </cell>
          <cell r="F2060" t="str">
            <v>EAME</v>
          </cell>
          <cell r="G2060">
            <v>-20.71</v>
          </cell>
          <cell r="K2060">
            <v>-20.71</v>
          </cell>
        </row>
        <row r="2061">
          <cell r="C2061">
            <v>58013000</v>
          </cell>
          <cell r="E2061" t="str">
            <v>Other transaction losses</v>
          </cell>
          <cell r="F2061" t="str">
            <v>EAME</v>
          </cell>
          <cell r="G2061">
            <v>9.4</v>
          </cell>
          <cell r="K2061">
            <v>9.4</v>
          </cell>
        </row>
        <row r="2062">
          <cell r="C2062">
            <v>58165000</v>
          </cell>
          <cell r="E2062" t="str">
            <v>Other expenses</v>
          </cell>
          <cell r="F2062" t="str">
            <v>EAME</v>
          </cell>
          <cell r="G2062">
            <v>0</v>
          </cell>
          <cell r="K2062">
            <v>0</v>
          </cell>
        </row>
        <row r="2064">
          <cell r="E2064" t="str">
            <v>INTEREST AND FINANCE CHARGES - BANK CHARGES</v>
          </cell>
        </row>
        <row r="2065">
          <cell r="C2065">
            <v>58165015</v>
          </cell>
          <cell r="D2065" t="str">
            <v>GBGPC</v>
          </cell>
          <cell r="E2065" t="str">
            <v>Bank Guarantee Charges</v>
          </cell>
          <cell r="F2065" t="str">
            <v>EIBC</v>
          </cell>
          <cell r="G2065">
            <v>37731571.530000001</v>
          </cell>
          <cell r="K2065">
            <v>37731571.530000001</v>
          </cell>
        </row>
        <row r="2066">
          <cell r="C2066">
            <v>58165007</v>
          </cell>
          <cell r="D2066" t="str">
            <v>GBANK</v>
          </cell>
          <cell r="E2066" t="str">
            <v>Bank Charges</v>
          </cell>
          <cell r="F2066" t="str">
            <v>EIBC</v>
          </cell>
          <cell r="G2066">
            <v>335352.59999999998</v>
          </cell>
          <cell r="K2066">
            <v>335352.59999999998</v>
          </cell>
        </row>
        <row r="2067">
          <cell r="C2067">
            <v>24710802</v>
          </cell>
          <cell r="E2067" t="str">
            <v>UTI BANK (INTEGRATION CHARGES)</v>
          </cell>
          <cell r="F2067" t="str">
            <v>EIBC</v>
          </cell>
          <cell r="G2067">
            <v>0</v>
          </cell>
          <cell r="K2067">
            <v>0</v>
          </cell>
        </row>
        <row r="2069">
          <cell r="E2069" t="str">
            <v>INTEREST ON INTER CORPORATE DEPOSIT</v>
          </cell>
        </row>
        <row r="2070">
          <cell r="C2070">
            <v>56000003</v>
          </cell>
          <cell r="E2070" t="str">
            <v>Interest On Corporate Deposits</v>
          </cell>
          <cell r="F2070" t="str">
            <v>EIICD</v>
          </cell>
          <cell r="G2070">
            <v>7738735</v>
          </cell>
          <cell r="K2070">
            <v>7738735</v>
          </cell>
        </row>
        <row r="2072">
          <cell r="E2072" t="str">
            <v>INTERETS ON OTHER LOANS</v>
          </cell>
        </row>
        <row r="2073">
          <cell r="C2073">
            <v>50100213</v>
          </cell>
          <cell r="E2073" t="str">
            <v>Interest on CitiCorp Finance Ltd.</v>
          </cell>
          <cell r="F2073" t="str">
            <v>EIOL</v>
          </cell>
          <cell r="G2073">
            <v>0</v>
          </cell>
          <cell r="K2073">
            <v>0</v>
          </cell>
        </row>
        <row r="2076">
          <cell r="E2076" t="str">
            <v>INTEREST ON TAXES</v>
          </cell>
        </row>
        <row r="2077">
          <cell r="C2077">
            <v>56000015</v>
          </cell>
          <cell r="E2077" t="str">
            <v>Interest On Income Tax</v>
          </cell>
          <cell r="F2077" t="str">
            <v>EIIT</v>
          </cell>
          <cell r="G2077">
            <v>0</v>
          </cell>
          <cell r="K2077">
            <v>0</v>
          </cell>
        </row>
        <row r="2078">
          <cell r="C2078">
            <v>56000108</v>
          </cell>
          <cell r="E2078" t="str">
            <v>Interest On FBT</v>
          </cell>
          <cell r="F2078" t="str">
            <v>EIIT</v>
          </cell>
          <cell r="G2078">
            <v>0</v>
          </cell>
          <cell r="K2078">
            <v>0</v>
          </cell>
        </row>
        <row r="2080">
          <cell r="E2080" t="str">
            <v>INTEREST ON BANK OVERDRAFT</v>
          </cell>
        </row>
        <row r="2081">
          <cell r="C2081">
            <v>58242016</v>
          </cell>
          <cell r="E2081" t="str">
            <v>Interest on Bank OD</v>
          </cell>
          <cell r="F2081" t="str">
            <v>EIBOD</v>
          </cell>
          <cell r="G2081">
            <v>3342390.34</v>
          </cell>
          <cell r="K2081">
            <v>3342390.34</v>
          </cell>
        </row>
        <row r="2083">
          <cell r="E2083" t="str">
            <v>INTEREST ON WORKING CAPITAL LOAN</v>
          </cell>
        </row>
        <row r="2084">
          <cell r="C2084">
            <v>56000017</v>
          </cell>
          <cell r="D2084" t="str">
            <v>GE0015</v>
          </cell>
          <cell r="E2084" t="str">
            <v>Interest Paid</v>
          </cell>
          <cell r="F2084" t="str">
            <v>EIWCL</v>
          </cell>
          <cell r="G2084">
            <v>30493446.68</v>
          </cell>
          <cell r="K2084">
            <v>30493446.68</v>
          </cell>
        </row>
        <row r="2086">
          <cell r="E2086" t="str">
            <v>INTEREST ON VEHICLE LOANS</v>
          </cell>
        </row>
        <row r="2087">
          <cell r="C2087">
            <v>56000176</v>
          </cell>
          <cell r="E2087" t="str">
            <v>INTEREST RAJIV RATTAN MERCEDES -S</v>
          </cell>
          <cell r="F2087" t="str">
            <v>EIVL</v>
          </cell>
          <cell r="G2087">
            <v>136140</v>
          </cell>
          <cell r="K2087">
            <v>136140</v>
          </cell>
        </row>
        <row r="2088">
          <cell r="C2088">
            <v>56000187</v>
          </cell>
          <cell r="E2088" t="str">
            <v>INTEREST GURBANS SINGH MERCEDES -C</v>
          </cell>
          <cell r="F2088" t="str">
            <v>EIVL</v>
          </cell>
          <cell r="G2088">
            <v>85138</v>
          </cell>
          <cell r="K2088">
            <v>85138</v>
          </cell>
        </row>
        <row r="2089">
          <cell r="C2089">
            <v>56000169</v>
          </cell>
          <cell r="E2089" t="str">
            <v>INTEREST MERCEDES C TEJINDERPAL SINGH MIGLANI</v>
          </cell>
          <cell r="F2089" t="str">
            <v>EIVL</v>
          </cell>
          <cell r="G2089">
            <v>60173</v>
          </cell>
          <cell r="K2089">
            <v>60173</v>
          </cell>
        </row>
        <row r="2090">
          <cell r="C2090">
            <v>56000154</v>
          </cell>
          <cell r="E2090" t="str">
            <v>INTEREST MERCEDES NEW DIVYESH SHAH</v>
          </cell>
          <cell r="F2090" t="str">
            <v>EIVL</v>
          </cell>
          <cell r="G2090">
            <v>40017</v>
          </cell>
          <cell r="K2090">
            <v>40017</v>
          </cell>
        </row>
        <row r="2091">
          <cell r="C2091">
            <v>50100216</v>
          </cell>
          <cell r="E2091" t="str">
            <v>INTEREST ANURAG OHRI HONDA CIVIC</v>
          </cell>
          <cell r="F2091" t="str">
            <v>EIVL</v>
          </cell>
          <cell r="G2091">
            <v>39724</v>
          </cell>
          <cell r="K2091">
            <v>39724</v>
          </cell>
        </row>
        <row r="2092">
          <cell r="C2092">
            <v>56000041</v>
          </cell>
          <cell r="D2092" t="str">
            <v>GINT06</v>
          </cell>
          <cell r="E2092" t="str">
            <v>Interest Rajiv Rattan Mercedez</v>
          </cell>
          <cell r="F2092" t="str">
            <v>EIVL</v>
          </cell>
          <cell r="G2092">
            <v>30441</v>
          </cell>
          <cell r="K2092">
            <v>30441</v>
          </cell>
        </row>
        <row r="2093">
          <cell r="C2093">
            <v>56000184</v>
          </cell>
          <cell r="E2093" t="str">
            <v>INTEREST RITESH BHARGAVA HONDA CIVIC</v>
          </cell>
          <cell r="F2093" t="str">
            <v>EIVL</v>
          </cell>
          <cell r="G2093">
            <v>34202</v>
          </cell>
          <cell r="K2093">
            <v>34202</v>
          </cell>
        </row>
        <row r="2094">
          <cell r="C2094">
            <v>56000175</v>
          </cell>
          <cell r="E2094" t="str">
            <v>INTEREST MANOJ SRIVASTAVA/HEEMANSU KAMDAR HONDA CI</v>
          </cell>
          <cell r="F2094" t="str">
            <v>EIVL</v>
          </cell>
          <cell r="G2094">
            <v>30762</v>
          </cell>
          <cell r="K2094">
            <v>30762</v>
          </cell>
        </row>
        <row r="2095">
          <cell r="C2095">
            <v>50100124</v>
          </cell>
          <cell r="E2095" t="str">
            <v>INTEREST HONDA CIVIC VIKAS SAXENA</v>
          </cell>
          <cell r="F2095" t="str">
            <v>EIVL</v>
          </cell>
          <cell r="G2095">
            <v>28656</v>
          </cell>
          <cell r="K2095">
            <v>28656</v>
          </cell>
        </row>
        <row r="2096">
          <cell r="C2096">
            <v>56000018</v>
          </cell>
          <cell r="D2096" t="str">
            <v>GINTME</v>
          </cell>
          <cell r="E2096" t="str">
            <v>Interest Divyesh Shah Mercedez</v>
          </cell>
          <cell r="F2096" t="str">
            <v>EIVL</v>
          </cell>
          <cell r="G2096">
            <v>27167</v>
          </cell>
          <cell r="K2096">
            <v>27167</v>
          </cell>
        </row>
        <row r="2097">
          <cell r="C2097">
            <v>56000091</v>
          </cell>
          <cell r="E2097" t="str">
            <v>Interest Ashok Sharma Honda Civic</v>
          </cell>
          <cell r="F2097" t="str">
            <v>EIVL</v>
          </cell>
          <cell r="G2097">
            <v>22640</v>
          </cell>
          <cell r="K2097">
            <v>22640</v>
          </cell>
        </row>
        <row r="2098">
          <cell r="C2098">
            <v>50100225</v>
          </cell>
          <cell r="E2098" t="str">
            <v>INTEREST HONDA CITY TEJINDERPAL SINGH MIGLANI</v>
          </cell>
          <cell r="F2098" t="str">
            <v>EIVL</v>
          </cell>
          <cell r="G2098">
            <v>26055</v>
          </cell>
          <cell r="K2098">
            <v>26055</v>
          </cell>
        </row>
        <row r="2099">
          <cell r="C2099">
            <v>50100188</v>
          </cell>
          <cell r="E2099" t="str">
            <v>INTEREST VIKAS SACHDEVA HONDA CITY</v>
          </cell>
          <cell r="F2099" t="str">
            <v>EIVL</v>
          </cell>
          <cell r="G2099">
            <v>24496</v>
          </cell>
          <cell r="K2099">
            <v>24496</v>
          </cell>
        </row>
        <row r="2100">
          <cell r="C2100">
            <v>50100214</v>
          </cell>
          <cell r="E2100" t="str">
            <v>INTEREST KUNAL NAGPAL HONDA CITY</v>
          </cell>
          <cell r="F2100" t="str">
            <v>EIVL</v>
          </cell>
          <cell r="G2100">
            <v>24901</v>
          </cell>
          <cell r="K2100">
            <v>24901</v>
          </cell>
        </row>
        <row r="2101">
          <cell r="C2101">
            <v>50100186</v>
          </cell>
          <cell r="E2101" t="str">
            <v>INTEREST SANJEEV KASHYAP HONDA CITY</v>
          </cell>
          <cell r="F2101" t="str">
            <v>EIVL</v>
          </cell>
          <cell r="G2101">
            <v>23619</v>
          </cell>
          <cell r="K2101">
            <v>23619</v>
          </cell>
        </row>
        <row r="2102">
          <cell r="C2102">
            <v>50100210</v>
          </cell>
          <cell r="E2102" t="str">
            <v>INTEREST KARTIK BHATT FORD FIESTA</v>
          </cell>
          <cell r="F2102" t="str">
            <v>EIVL</v>
          </cell>
          <cell r="G2102">
            <v>20513</v>
          </cell>
          <cell r="K2102">
            <v>20513</v>
          </cell>
        </row>
        <row r="2103">
          <cell r="C2103">
            <v>58242026</v>
          </cell>
          <cell r="E2103" t="str">
            <v>INTEREST HONDA CITY SHWETA KAJARIA</v>
          </cell>
          <cell r="F2103" t="str">
            <v>EIVL</v>
          </cell>
          <cell r="G2103">
            <v>18251</v>
          </cell>
          <cell r="K2103">
            <v>18251</v>
          </cell>
        </row>
        <row r="2104">
          <cell r="C2104">
            <v>58242028</v>
          </cell>
          <cell r="E2104" t="str">
            <v>INTEREST FORD FIESTA SANJAY GROVER</v>
          </cell>
          <cell r="F2104" t="str">
            <v>EIVL</v>
          </cell>
          <cell r="G2104">
            <v>17183</v>
          </cell>
          <cell r="K2104">
            <v>17183</v>
          </cell>
        </row>
        <row r="2105">
          <cell r="C2105">
            <v>56000161</v>
          </cell>
          <cell r="E2105" t="str">
            <v>INTEREST YASHWINDER SINGH HONDA CITY</v>
          </cell>
          <cell r="F2105" t="str">
            <v>EIVL</v>
          </cell>
          <cell r="G2105">
            <v>5638</v>
          </cell>
          <cell r="K2105">
            <v>5638</v>
          </cell>
        </row>
        <row r="2106">
          <cell r="C2106">
            <v>56000197</v>
          </cell>
          <cell r="E2106" t="str">
            <v>INTEREST HYUNDAI I 10 NIRDOSH GAUR</v>
          </cell>
          <cell r="F2106" t="str">
            <v>EIVL</v>
          </cell>
          <cell r="G2106">
            <v>18536</v>
          </cell>
          <cell r="K2106">
            <v>18536</v>
          </cell>
        </row>
        <row r="2107">
          <cell r="C2107">
            <v>58242005</v>
          </cell>
          <cell r="E2107" t="str">
            <v>Interest Honda City Ashu Khanna</v>
          </cell>
          <cell r="F2107" t="str">
            <v>EIVL</v>
          </cell>
          <cell r="G2107">
            <v>15079</v>
          </cell>
          <cell r="K2107">
            <v>15079</v>
          </cell>
        </row>
        <row r="2108">
          <cell r="C2108">
            <v>56000160</v>
          </cell>
          <cell r="E2108" t="str">
            <v>INTEREST SACHIN JAIN AVEO</v>
          </cell>
          <cell r="F2108" t="str">
            <v>EIVL</v>
          </cell>
          <cell r="G2108">
            <v>12791</v>
          </cell>
          <cell r="K2108">
            <v>12791</v>
          </cell>
        </row>
        <row r="2109">
          <cell r="C2109">
            <v>56000104</v>
          </cell>
          <cell r="D2109" t="str">
            <v>GIN73</v>
          </cell>
          <cell r="E2109" t="str">
            <v>Interest Sonata Parsenjit Mukharjee</v>
          </cell>
          <cell r="F2109" t="str">
            <v>EIVL</v>
          </cell>
          <cell r="G2109">
            <v>7496</v>
          </cell>
          <cell r="K2109">
            <v>7496</v>
          </cell>
        </row>
        <row r="2110">
          <cell r="C2110">
            <v>56000101</v>
          </cell>
          <cell r="D2110" t="str">
            <v>GIN82</v>
          </cell>
          <cell r="E2110" t="str">
            <v>Interest Sudhir Kumar Jha Honda Civic</v>
          </cell>
          <cell r="F2110" t="str">
            <v>EIVL</v>
          </cell>
          <cell r="G2110">
            <v>8130</v>
          </cell>
          <cell r="K2110">
            <v>8130</v>
          </cell>
        </row>
        <row r="2111">
          <cell r="C2111">
            <v>56000142</v>
          </cell>
          <cell r="D2111" t="str">
            <v>GIN91</v>
          </cell>
          <cell r="E2111" t="str">
            <v>INTEREST HONDA CITY MANOJ SRIVASTAVA</v>
          </cell>
          <cell r="F2111" t="str">
            <v>EIVL</v>
          </cell>
          <cell r="G2111">
            <v>8713</v>
          </cell>
          <cell r="K2111">
            <v>8713</v>
          </cell>
        </row>
        <row r="2112">
          <cell r="C2112">
            <v>56000182</v>
          </cell>
          <cell r="E2112" t="str">
            <v>INTEREST JEETENDRA SHARMA SANTRO</v>
          </cell>
          <cell r="F2112" t="str">
            <v>EIVL</v>
          </cell>
          <cell r="G2112">
            <v>9743</v>
          </cell>
          <cell r="K2112">
            <v>9743</v>
          </cell>
        </row>
        <row r="2113">
          <cell r="C2113">
            <v>56000062</v>
          </cell>
          <cell r="D2113" t="str">
            <v>GINT71</v>
          </cell>
          <cell r="E2113" t="str">
            <v>Interest Rajat Sharma Honda Civic</v>
          </cell>
          <cell r="F2113" t="str">
            <v>EIVL</v>
          </cell>
          <cell r="G2113">
            <v>4405</v>
          </cell>
          <cell r="K2113">
            <v>4405</v>
          </cell>
        </row>
        <row r="2114">
          <cell r="C2114">
            <v>56000143</v>
          </cell>
          <cell r="D2114" t="str">
            <v>GINT58</v>
          </cell>
          <cell r="E2114" t="str">
            <v>INTEREST VANESH PANCHAL HONDA CIVIC</v>
          </cell>
          <cell r="F2114" t="str">
            <v>EIVL</v>
          </cell>
          <cell r="G2114">
            <v>4645</v>
          </cell>
          <cell r="K2114">
            <v>4645</v>
          </cell>
        </row>
        <row r="2115">
          <cell r="C2115">
            <v>56000063</v>
          </cell>
          <cell r="D2115" t="str">
            <v>GINT70</v>
          </cell>
          <cell r="E2115" t="str">
            <v>Interest Ravi Ayier Honda Civic</v>
          </cell>
          <cell r="F2115" t="str">
            <v>EIVL</v>
          </cell>
          <cell r="G2115">
            <v>4368</v>
          </cell>
          <cell r="K2115">
            <v>4368</v>
          </cell>
        </row>
        <row r="2116">
          <cell r="C2116">
            <v>56000162</v>
          </cell>
          <cell r="E2116" t="str">
            <v>INTEREST SEEMA SHUKLA WAGON R</v>
          </cell>
          <cell r="F2116" t="str">
            <v>EIVL</v>
          </cell>
          <cell r="G2116">
            <v>7693</v>
          </cell>
          <cell r="K2116">
            <v>7693</v>
          </cell>
        </row>
        <row r="2117">
          <cell r="C2117">
            <v>56000155</v>
          </cell>
          <cell r="E2117" t="str">
            <v>INTEREST FORD ICON ANSHUL AGARWAL</v>
          </cell>
          <cell r="F2117" t="str">
            <v>EIVL</v>
          </cell>
          <cell r="G2117">
            <v>7272</v>
          </cell>
          <cell r="K2117">
            <v>7272</v>
          </cell>
        </row>
        <row r="2118">
          <cell r="C2118">
            <v>56000158</v>
          </cell>
          <cell r="E2118" t="str">
            <v>INTEREST SWIFT SOURAV AGRWAL</v>
          </cell>
          <cell r="F2118" t="str">
            <v>EIVL</v>
          </cell>
          <cell r="G2118">
            <v>7171</v>
          </cell>
          <cell r="K2118">
            <v>7171</v>
          </cell>
        </row>
        <row r="2119">
          <cell r="C2119">
            <v>56000146</v>
          </cell>
          <cell r="D2119" t="str">
            <v>GIN86</v>
          </cell>
          <cell r="E2119" t="str">
            <v>INTEREST FORD ICON BHAVIK SHAH</v>
          </cell>
          <cell r="F2119" t="str">
            <v>EIVL</v>
          </cell>
          <cell r="G2119">
            <v>6379</v>
          </cell>
          <cell r="K2119">
            <v>6379</v>
          </cell>
        </row>
        <row r="2120">
          <cell r="C2120">
            <v>58242006</v>
          </cell>
          <cell r="E2120" t="str">
            <v>Interest Zen Estilo Ajay Nishant</v>
          </cell>
          <cell r="F2120" t="str">
            <v>EIVL</v>
          </cell>
          <cell r="G2120">
            <v>7474</v>
          </cell>
          <cell r="K2120">
            <v>7474</v>
          </cell>
        </row>
        <row r="2121">
          <cell r="C2121">
            <v>56000165</v>
          </cell>
          <cell r="E2121" t="str">
            <v>INTEREST SANTRO RAJESH TALWAR</v>
          </cell>
          <cell r="F2121" t="str">
            <v>EIVL</v>
          </cell>
          <cell r="G2121">
            <v>7357</v>
          </cell>
          <cell r="K2121">
            <v>7357</v>
          </cell>
        </row>
        <row r="2122">
          <cell r="C2122">
            <v>56000100</v>
          </cell>
          <cell r="E2122" t="str">
            <v>Interest Anil Mittal Honda City</v>
          </cell>
          <cell r="F2122" t="str">
            <v>EIVL</v>
          </cell>
          <cell r="G2122">
            <v>5606</v>
          </cell>
          <cell r="K2122">
            <v>5606</v>
          </cell>
        </row>
        <row r="2123">
          <cell r="C2123">
            <v>56000159</v>
          </cell>
          <cell r="E2123" t="str">
            <v>INTEREST WAGON R SACHIN MAHESWARI</v>
          </cell>
          <cell r="F2123" t="str">
            <v>EIVL</v>
          </cell>
          <cell r="G2123">
            <v>6316</v>
          </cell>
          <cell r="K2123">
            <v>6316</v>
          </cell>
        </row>
        <row r="2124">
          <cell r="C2124">
            <v>56000157</v>
          </cell>
          <cell r="E2124" t="str">
            <v>INTEREST ZEN VXI SANJEEV KUMAR CHAUBEY</v>
          </cell>
          <cell r="F2124" t="str">
            <v>EIVL</v>
          </cell>
          <cell r="G2124">
            <v>6211</v>
          </cell>
          <cell r="K2124">
            <v>6211</v>
          </cell>
        </row>
        <row r="2125">
          <cell r="C2125">
            <v>56000153</v>
          </cell>
          <cell r="E2125" t="str">
            <v>INTEREST SWIFT RITESH BUDDHDEV</v>
          </cell>
          <cell r="F2125" t="str">
            <v>EIVL</v>
          </cell>
          <cell r="G2125">
            <v>5443</v>
          </cell>
          <cell r="K2125">
            <v>5443</v>
          </cell>
        </row>
        <row r="2126">
          <cell r="C2126">
            <v>56000150</v>
          </cell>
          <cell r="D2126" t="str">
            <v>GIN95</v>
          </cell>
          <cell r="E2126" t="str">
            <v>INTEREST SWIFT REEMA KAPOOR</v>
          </cell>
          <cell r="F2126" t="str">
            <v>EIVL</v>
          </cell>
          <cell r="G2126">
            <v>5091</v>
          </cell>
          <cell r="K2126">
            <v>5091</v>
          </cell>
        </row>
        <row r="2127">
          <cell r="C2127">
            <v>56000102</v>
          </cell>
          <cell r="D2127" t="str">
            <v>GIN85</v>
          </cell>
          <cell r="E2127" t="str">
            <v>Interest Subhkanta Mohanty Accent</v>
          </cell>
          <cell r="F2127" t="str">
            <v>EIVL</v>
          </cell>
          <cell r="G2127">
            <v>4047</v>
          </cell>
          <cell r="K2127">
            <v>4047</v>
          </cell>
        </row>
        <row r="2128">
          <cell r="C2128">
            <v>56000149</v>
          </cell>
          <cell r="D2128" t="str">
            <v>GIN90</v>
          </cell>
          <cell r="E2128" t="str">
            <v>INTEREST SANTRO PARTH RAJPUT</v>
          </cell>
          <cell r="F2128" t="str">
            <v>EIVL</v>
          </cell>
          <cell r="G2128">
            <v>4560</v>
          </cell>
          <cell r="K2128">
            <v>4560</v>
          </cell>
        </row>
        <row r="2129">
          <cell r="C2129">
            <v>56000148</v>
          </cell>
          <cell r="D2129" t="str">
            <v>GIN87</v>
          </cell>
          <cell r="E2129" t="str">
            <v>INTEREST WAGON R SUJEET RAY CHOWDHURY</v>
          </cell>
          <cell r="F2129" t="str">
            <v>EIVL</v>
          </cell>
          <cell r="G2129">
            <v>4560</v>
          </cell>
          <cell r="K2129">
            <v>4560</v>
          </cell>
        </row>
        <row r="2130">
          <cell r="C2130">
            <v>56000074</v>
          </cell>
          <cell r="D2130" t="str">
            <v>GINT72</v>
          </cell>
          <cell r="E2130" t="str">
            <v>Interest Arjun Mehra Honda City</v>
          </cell>
          <cell r="F2130" t="str">
            <v>EIVL</v>
          </cell>
          <cell r="G2130">
            <v>3087</v>
          </cell>
          <cell r="K2130">
            <v>3087</v>
          </cell>
        </row>
        <row r="2131">
          <cell r="C2131">
            <v>56000145</v>
          </cell>
          <cell r="D2131" t="str">
            <v>GIN88</v>
          </cell>
          <cell r="E2131" t="str">
            <v>INTEREST SANTRO PATHIK CHOKSHI</v>
          </cell>
          <cell r="F2131" t="str">
            <v>EIVL</v>
          </cell>
          <cell r="G2131">
            <v>4508</v>
          </cell>
          <cell r="K2131">
            <v>4508</v>
          </cell>
        </row>
        <row r="2132">
          <cell r="C2132">
            <v>56000037</v>
          </cell>
          <cell r="D2132" t="str">
            <v>GINT02</v>
          </cell>
          <cell r="E2132" t="str">
            <v>Interest Vipul Sharma Optra</v>
          </cell>
          <cell r="F2132" t="str">
            <v>EIVL</v>
          </cell>
          <cell r="G2132">
            <v>4894</v>
          </cell>
          <cell r="K2132">
            <v>4894</v>
          </cell>
        </row>
        <row r="2133">
          <cell r="C2133">
            <v>56000090</v>
          </cell>
          <cell r="D2133" t="str">
            <v>GINT78</v>
          </cell>
          <cell r="E2133" t="str">
            <v>Interest Deepak Singh Ford Icon</v>
          </cell>
          <cell r="F2133" t="str">
            <v>EIVL</v>
          </cell>
          <cell r="G2133">
            <v>3569</v>
          </cell>
          <cell r="K2133">
            <v>3569</v>
          </cell>
        </row>
        <row r="2134">
          <cell r="C2134">
            <v>56000152</v>
          </cell>
          <cell r="D2134" t="str">
            <v>GIN93</v>
          </cell>
          <cell r="E2134" t="str">
            <v>INTEREST TATA INDICA NEERAJ BAJAJ</v>
          </cell>
          <cell r="F2134" t="str">
            <v>EIVL</v>
          </cell>
          <cell r="G2134">
            <v>4318</v>
          </cell>
          <cell r="K2134">
            <v>4318</v>
          </cell>
        </row>
        <row r="2135">
          <cell r="C2135">
            <v>56000042</v>
          </cell>
          <cell r="D2135" t="str">
            <v>GINT07</v>
          </cell>
          <cell r="E2135" t="str">
            <v>Interest Honda City Vijay Babbar</v>
          </cell>
          <cell r="F2135" t="str">
            <v>EIVL</v>
          </cell>
          <cell r="G2135">
            <v>3647</v>
          </cell>
          <cell r="K2135">
            <v>3647</v>
          </cell>
        </row>
        <row r="2136">
          <cell r="C2136">
            <v>56000052</v>
          </cell>
          <cell r="D2136" t="str">
            <v>GINIF</v>
          </cell>
          <cell r="E2136" t="str">
            <v>Interest Sudhir Kumar Ford Icon</v>
          </cell>
          <cell r="F2136" t="str">
            <v>EIVL</v>
          </cell>
          <cell r="G2136">
            <v>4106</v>
          </cell>
          <cell r="K2136">
            <v>4106</v>
          </cell>
        </row>
        <row r="2137">
          <cell r="C2137">
            <v>56000043</v>
          </cell>
          <cell r="D2137" t="str">
            <v>GINT08</v>
          </cell>
          <cell r="E2137" t="str">
            <v>Interest Prasenjeet Mukherjee Honda City</v>
          </cell>
          <cell r="F2137" t="str">
            <v>EIVL</v>
          </cell>
          <cell r="G2137">
            <v>3487</v>
          </cell>
          <cell r="K2137">
            <v>3487</v>
          </cell>
        </row>
        <row r="2138">
          <cell r="C2138">
            <v>56000040</v>
          </cell>
          <cell r="D2138" t="str">
            <v>GINT05</v>
          </cell>
          <cell r="E2138" t="str">
            <v>Interest Nirdosh Gaur Honda City</v>
          </cell>
          <cell r="F2138" t="str">
            <v>EIVL</v>
          </cell>
          <cell r="G2138">
            <v>3002</v>
          </cell>
          <cell r="K2138">
            <v>3002</v>
          </cell>
        </row>
        <row r="2139">
          <cell r="C2139">
            <v>56000038</v>
          </cell>
          <cell r="D2139" t="str">
            <v>GINT03</v>
          </cell>
          <cell r="E2139" t="str">
            <v>Interest Gupta Maruti Esteem</v>
          </cell>
          <cell r="F2139" t="str">
            <v>EIVL</v>
          </cell>
          <cell r="G2139">
            <v>3051</v>
          </cell>
          <cell r="K2139">
            <v>3051</v>
          </cell>
        </row>
        <row r="2140">
          <cell r="C2140">
            <v>56000105</v>
          </cell>
          <cell r="D2140" t="str">
            <v>GIN76</v>
          </cell>
          <cell r="E2140" t="str">
            <v>Interest Wagon R Govind Parjapati</v>
          </cell>
          <cell r="F2140" t="str">
            <v>EIVL</v>
          </cell>
          <cell r="G2140">
            <v>2019</v>
          </cell>
          <cell r="K2140">
            <v>2019</v>
          </cell>
        </row>
        <row r="2141">
          <cell r="C2141">
            <v>56000039</v>
          </cell>
          <cell r="D2141" t="str">
            <v>GINT04</v>
          </cell>
          <cell r="E2141" t="str">
            <v>Interest Heemanshu Kamdar Hyundai Accent</v>
          </cell>
          <cell r="F2141" t="str">
            <v>EIVL</v>
          </cell>
          <cell r="G2141">
            <v>2697</v>
          </cell>
          <cell r="K2141">
            <v>2697</v>
          </cell>
        </row>
        <row r="2142">
          <cell r="C2142">
            <v>56000099</v>
          </cell>
          <cell r="D2142" t="str">
            <v>GIN79</v>
          </cell>
          <cell r="E2142" t="str">
            <v>Interest Dashmeet Bhatia Wagon R</v>
          </cell>
          <cell r="F2142" t="str">
            <v>EIVL</v>
          </cell>
          <cell r="G2142">
            <v>811</v>
          </cell>
          <cell r="K2142">
            <v>811</v>
          </cell>
        </row>
        <row r="2143">
          <cell r="C2143">
            <v>56000144</v>
          </cell>
          <cell r="D2143" t="str">
            <v>GIN74</v>
          </cell>
          <cell r="E2143" t="str">
            <v>INTEREST ALTO LX J.S. DINESH</v>
          </cell>
          <cell r="F2143" t="str">
            <v>EIVL</v>
          </cell>
          <cell r="G2143">
            <v>1520</v>
          </cell>
          <cell r="K2143">
            <v>1520</v>
          </cell>
        </row>
        <row r="2144">
          <cell r="C2144">
            <v>56000055</v>
          </cell>
          <cell r="D2144" t="str">
            <v>GINT47</v>
          </cell>
          <cell r="E2144" t="str">
            <v>Interest Manish Sahijwani Honda City</v>
          </cell>
          <cell r="F2144" t="str">
            <v>EIVL</v>
          </cell>
          <cell r="G2144">
            <v>623</v>
          </cell>
          <cell r="K2144">
            <v>623</v>
          </cell>
        </row>
        <row r="2145">
          <cell r="C2145">
            <v>56000057</v>
          </cell>
          <cell r="D2145" t="str">
            <v>GINT54</v>
          </cell>
          <cell r="E2145" t="str">
            <v>Interest Harshvardhan Honda City</v>
          </cell>
          <cell r="F2145" t="str">
            <v>EIVL</v>
          </cell>
          <cell r="G2145">
            <v>673</v>
          </cell>
          <cell r="K2145">
            <v>673</v>
          </cell>
        </row>
        <row r="2146">
          <cell r="C2146">
            <v>56000058</v>
          </cell>
          <cell r="D2146" t="str">
            <v>GINT55</v>
          </cell>
          <cell r="E2146" t="str">
            <v>Interest Mumbai Office Accent</v>
          </cell>
          <cell r="F2146" t="str">
            <v>EIVL</v>
          </cell>
          <cell r="G2146">
            <v>564</v>
          </cell>
          <cell r="K2146">
            <v>564</v>
          </cell>
        </row>
        <row r="2147">
          <cell r="C2147">
            <v>56000093</v>
          </cell>
          <cell r="D2147" t="str">
            <v>GIOO46</v>
          </cell>
          <cell r="E2147" t="str">
            <v>Interest Malay Shah Accent</v>
          </cell>
          <cell r="F2147" t="str">
            <v>EIVL</v>
          </cell>
          <cell r="G2147">
            <v>170</v>
          </cell>
          <cell r="K2147">
            <v>170</v>
          </cell>
        </row>
        <row r="2148">
          <cell r="C2148">
            <v>56000089</v>
          </cell>
          <cell r="D2148" t="str">
            <v>GINT44</v>
          </cell>
          <cell r="E2148" t="str">
            <v>Interest Mukul Mahajan Tata Safari</v>
          </cell>
          <cell r="F2148" t="str">
            <v>EIVL</v>
          </cell>
          <cell r="G2148">
            <v>66</v>
          </cell>
          <cell r="K2148">
            <v>66</v>
          </cell>
        </row>
        <row r="2149">
          <cell r="C2149">
            <v>56000077</v>
          </cell>
          <cell r="D2149" t="str">
            <v>GINT43</v>
          </cell>
          <cell r="E2149" t="str">
            <v>Interest Ravichandran Accent Gle</v>
          </cell>
          <cell r="F2149" t="str">
            <v>EIVL</v>
          </cell>
          <cell r="G2149">
            <v>44</v>
          </cell>
          <cell r="K2149">
            <v>44</v>
          </cell>
        </row>
        <row r="2150">
          <cell r="C2150">
            <v>56000019</v>
          </cell>
          <cell r="D2150" t="str">
            <v>GI0039</v>
          </cell>
          <cell r="E2150" t="str">
            <v>Interest Joseph P. Abraham Aveo</v>
          </cell>
          <cell r="F2150" t="str">
            <v>EIVL</v>
          </cell>
          <cell r="G2150">
            <v>19</v>
          </cell>
          <cell r="K2150">
            <v>19</v>
          </cell>
        </row>
        <row r="2151">
          <cell r="C2151">
            <v>56000080</v>
          </cell>
          <cell r="D2151" t="str">
            <v>GINT38</v>
          </cell>
          <cell r="E2151" t="str">
            <v>Interest Ujjwal Das Santro Xo</v>
          </cell>
          <cell r="F2151" t="str">
            <v>EIVL</v>
          </cell>
          <cell r="G2151">
            <v>15</v>
          </cell>
          <cell r="K2151">
            <v>15</v>
          </cell>
        </row>
        <row r="2152">
          <cell r="C2152">
            <v>56000075</v>
          </cell>
          <cell r="D2152" t="str">
            <v>GINT51</v>
          </cell>
          <cell r="E2152" t="str">
            <v>Interest Binay Santro Xo</v>
          </cell>
          <cell r="F2152" t="str">
            <v>EIVL</v>
          </cell>
          <cell r="G2152">
            <v>13</v>
          </cell>
          <cell r="K2152">
            <v>13</v>
          </cell>
        </row>
        <row r="2153">
          <cell r="C2153">
            <v>56000072</v>
          </cell>
          <cell r="D2153" t="str">
            <v>GIN37</v>
          </cell>
          <cell r="E2153" t="str">
            <v>Interest Dharmendra Sethia Santro</v>
          </cell>
          <cell r="F2153" t="str">
            <v>EIVL</v>
          </cell>
          <cell r="G2153">
            <v>13</v>
          </cell>
          <cell r="K2153">
            <v>13</v>
          </cell>
        </row>
        <row r="2154">
          <cell r="C2154">
            <v>56000076</v>
          </cell>
          <cell r="D2154" t="str">
            <v>GINT50</v>
          </cell>
          <cell r="E2154" t="str">
            <v>Interest Manoj Bajaj Santro</v>
          </cell>
          <cell r="F2154" t="str">
            <v>EIVL</v>
          </cell>
          <cell r="G2154">
            <v>13</v>
          </cell>
          <cell r="K2154">
            <v>13</v>
          </cell>
        </row>
        <row r="2155">
          <cell r="C2155">
            <v>62100061</v>
          </cell>
          <cell r="E2155" t="str">
            <v>Interest on Car Loans</v>
          </cell>
          <cell r="F2155" t="str">
            <v>EIVL</v>
          </cell>
          <cell r="G2155">
            <v>0</v>
          </cell>
          <cell r="K2155">
            <v>0</v>
          </cell>
        </row>
        <row r="2157">
          <cell r="E2157" t="str">
            <v>DISCOUNT ON COMMERCIAL PAPER</v>
          </cell>
        </row>
        <row r="2158">
          <cell r="C2158">
            <v>56000002</v>
          </cell>
          <cell r="E2158" t="str">
            <v>Interest On Commercial Paper</v>
          </cell>
          <cell r="F2158" t="str">
            <v>EICP</v>
          </cell>
          <cell r="G2158">
            <v>34237936</v>
          </cell>
          <cell r="K2158">
            <v>34237936</v>
          </cell>
        </row>
        <row r="2160">
          <cell r="E2160" t="str">
            <v>BS - DEFERRED TAX</v>
          </cell>
        </row>
        <row r="2161">
          <cell r="C2161">
            <v>14890384</v>
          </cell>
          <cell r="D2161" t="str">
            <v>GA1112</v>
          </cell>
          <cell r="E2161" t="str">
            <v>DEFFERED TAX-Liablities</v>
          </cell>
          <cell r="F2161" t="str">
            <v>DEXP</v>
          </cell>
          <cell r="G2161">
            <v>-11020599</v>
          </cell>
          <cell r="K2161">
            <v>-11020599</v>
          </cell>
        </row>
        <row r="2163">
          <cell r="E2163" t="str">
            <v>P&amp; L - DEPRECIATION</v>
          </cell>
        </row>
        <row r="2164">
          <cell r="C2164">
            <v>57200001</v>
          </cell>
          <cell r="E2164" t="str">
            <v>Depreciation - Computers</v>
          </cell>
          <cell r="F2164" t="str">
            <v>EDEP</v>
          </cell>
          <cell r="G2164">
            <v>40334099.439999998</v>
          </cell>
          <cell r="K2164">
            <v>40334099.439999998</v>
          </cell>
        </row>
        <row r="2165">
          <cell r="C2165">
            <v>57200002</v>
          </cell>
          <cell r="E2165" t="str">
            <v>Depreciation - Office Equipment</v>
          </cell>
          <cell r="F2165" t="str">
            <v>EDEP</v>
          </cell>
          <cell r="G2165">
            <v>7040453.46</v>
          </cell>
          <cell r="K2165">
            <v>7040453.46</v>
          </cell>
        </row>
        <row r="2166">
          <cell r="C2166">
            <v>57200003</v>
          </cell>
          <cell r="E2166" t="str">
            <v>Depreciation - Furnitures &amp; Fixtures</v>
          </cell>
          <cell r="F2166" t="str">
            <v>EDEP</v>
          </cell>
          <cell r="G2166">
            <v>7692080.0099999998</v>
          </cell>
          <cell r="K2166">
            <v>7692080.0099999998</v>
          </cell>
        </row>
        <row r="2167">
          <cell r="C2167">
            <v>57200004</v>
          </cell>
          <cell r="E2167" t="str">
            <v>Depreciation - Vehicles</v>
          </cell>
          <cell r="F2167" t="str">
            <v>EDEP</v>
          </cell>
          <cell r="G2167">
            <v>5202754.99</v>
          </cell>
          <cell r="K2167">
            <v>5202754.99</v>
          </cell>
        </row>
        <row r="2168">
          <cell r="C2168">
            <v>57200010</v>
          </cell>
          <cell r="E2168" t="str">
            <v>Depreciation - Software</v>
          </cell>
          <cell r="F2168" t="str">
            <v>EDEP</v>
          </cell>
          <cell r="G2168">
            <v>66695735.530000001</v>
          </cell>
          <cell r="K2168">
            <v>66695735.530000001</v>
          </cell>
        </row>
        <row r="2169">
          <cell r="C2169">
            <v>57200011</v>
          </cell>
          <cell r="E2169" t="str">
            <v>Depreciation - Membership Rights</v>
          </cell>
          <cell r="F2169" t="str">
            <v>EDEP</v>
          </cell>
          <cell r="G2169">
            <v>352073.97</v>
          </cell>
          <cell r="K2169">
            <v>352073.97</v>
          </cell>
        </row>
        <row r="2171">
          <cell r="E2171" t="str">
            <v>P&amp; L - CURRENT TAX</v>
          </cell>
        </row>
        <row r="2172">
          <cell r="C2172">
            <v>58030006</v>
          </cell>
          <cell r="D2172" t="str">
            <v>GETAX</v>
          </cell>
          <cell r="E2172" t="str">
            <v>Current Tax Exp</v>
          </cell>
          <cell r="F2172" t="str">
            <v>ECTAX</v>
          </cell>
          <cell r="G2172">
            <v>0</v>
          </cell>
          <cell r="K2172">
            <v>0</v>
          </cell>
        </row>
        <row r="2173">
          <cell r="C2173">
            <v>56000185</v>
          </cell>
          <cell r="E2173" t="str">
            <v>Wealth Tax Expenditure FY 2007-08</v>
          </cell>
          <cell r="F2173" t="str">
            <v>ECTAX</v>
          </cell>
          <cell r="G2173">
            <v>0</v>
          </cell>
          <cell r="K2173">
            <v>0</v>
          </cell>
        </row>
        <row r="2175">
          <cell r="E2175" t="str">
            <v>P&amp; L - DEFERRED TAX EXPENSE</v>
          </cell>
        </row>
        <row r="2176">
          <cell r="C2176">
            <v>50100275</v>
          </cell>
          <cell r="D2176" t="str">
            <v>GA1113</v>
          </cell>
          <cell r="E2176" t="str">
            <v>Deffered Tax FY (2008-09)</v>
          </cell>
          <cell r="F2176" t="str">
            <v>DTAX</v>
          </cell>
          <cell r="G2176">
            <v>0</v>
          </cell>
          <cell r="K2176">
            <v>0</v>
          </cell>
        </row>
        <row r="2177">
          <cell r="C2177">
            <v>58030023</v>
          </cell>
          <cell r="D2177" t="str">
            <v>GA1113</v>
          </cell>
          <cell r="E2177" t="str">
            <v>Deffered Tax FY (2007-08)</v>
          </cell>
          <cell r="F2177" t="str">
            <v>DTAX</v>
          </cell>
          <cell r="G2177">
            <v>0</v>
          </cell>
          <cell r="K2177">
            <v>0</v>
          </cell>
        </row>
        <row r="2179">
          <cell r="E2179" t="str">
            <v>P&amp; L - FRINGE BENEFIT TAX</v>
          </cell>
        </row>
        <row r="2180">
          <cell r="C2180">
            <v>50100274</v>
          </cell>
          <cell r="E2180" t="str">
            <v>FBT paid F.Y.08-09</v>
          </cell>
          <cell r="F2180" t="str">
            <v>FBT</v>
          </cell>
          <cell r="G2180">
            <v>0</v>
          </cell>
          <cell r="K2180">
            <v>0</v>
          </cell>
        </row>
        <row r="2181">
          <cell r="C2181">
            <v>58030009</v>
          </cell>
          <cell r="E2181" t="str">
            <v>Fringe Benifit Tax</v>
          </cell>
          <cell r="F2181" t="str">
            <v>FBT</v>
          </cell>
          <cell r="G2181">
            <v>0</v>
          </cell>
          <cell r="K2181">
            <v>0</v>
          </cell>
        </row>
        <row r="2183">
          <cell r="E2183" t="str">
            <v>PRIOR PERIOD ADJ. - TAXATION</v>
          </cell>
        </row>
        <row r="2184">
          <cell r="C2184">
            <v>58030026</v>
          </cell>
          <cell r="E2184" t="str">
            <v>TAX EXPENSES EARLIER YEARS</v>
          </cell>
          <cell r="F2184" t="str">
            <v>PTAXWB</v>
          </cell>
          <cell r="G2184">
            <v>0</v>
          </cell>
          <cell r="K2184">
            <v>0</v>
          </cell>
        </row>
        <row r="2186">
          <cell r="E2186" t="str">
            <v>APPROPRIATION - PREFERENCE DIVIDEND</v>
          </cell>
        </row>
        <row r="2187">
          <cell r="C2187">
            <v>61000001</v>
          </cell>
          <cell r="E2187" t="str">
            <v>Preference Dividend</v>
          </cell>
          <cell r="F2187" t="str">
            <v>EPD</v>
          </cell>
          <cell r="G2187">
            <v>1548328</v>
          </cell>
          <cell r="K2187">
            <v>1548328</v>
          </cell>
        </row>
        <row r="2190">
          <cell r="C2190">
            <v>58030010</v>
          </cell>
          <cell r="D2190" t="str">
            <v>GECDT</v>
          </cell>
          <cell r="E2190" t="str">
            <v>Corporate Dividend Tax</v>
          </cell>
          <cell r="F2190" t="str">
            <v>CDT</v>
          </cell>
          <cell r="G2190">
            <v>263139</v>
          </cell>
          <cell r="K2190">
            <v>263139</v>
          </cell>
        </row>
        <row r="2193">
          <cell r="C2193">
            <v>90000553</v>
          </cell>
          <cell r="E2193" t="str">
            <v>Initial Margin - F&amp;O - PRO</v>
          </cell>
          <cell r="F2193" t="str">
            <v>ADVAN</v>
          </cell>
          <cell r="G2193">
            <v>100000000</v>
          </cell>
          <cell r="K2193">
            <v>100000000</v>
          </cell>
        </row>
        <row r="2194">
          <cell r="C2194">
            <v>90000554</v>
          </cell>
          <cell r="E2194" t="str">
            <v>M to M Margin - ESF - PRO</v>
          </cell>
          <cell r="F2194" t="str">
            <v>ADVAN</v>
          </cell>
          <cell r="G2194">
            <v>890062.54</v>
          </cell>
          <cell r="K2194">
            <v>890062.54</v>
          </cell>
        </row>
        <row r="2195">
          <cell r="C2195">
            <v>24710828</v>
          </cell>
          <cell r="E2195" t="str">
            <v>BED Modvatable 8%</v>
          </cell>
          <cell r="F2195" t="str">
            <v>ADVAN</v>
          </cell>
          <cell r="G2195">
            <v>0</v>
          </cell>
          <cell r="K2195">
            <v>0</v>
          </cell>
        </row>
        <row r="2196">
          <cell r="C2196">
            <v>90000555</v>
          </cell>
          <cell r="E2196" t="str">
            <v>TATA Mutual Fund</v>
          </cell>
          <cell r="F2196" t="str">
            <v>ADEBT</v>
          </cell>
          <cell r="G2196">
            <v>0</v>
          </cell>
          <cell r="K2196">
            <v>0</v>
          </cell>
        </row>
        <row r="2207">
          <cell r="G2207">
            <v>0</v>
          </cell>
          <cell r="K2207">
            <v>1.0216608643531799E-6</v>
          </cell>
        </row>
      </sheetData>
      <sheetData sheetId="9"/>
      <sheetData sheetId="10" refreshError="1">
        <row r="1">
          <cell r="A1" t="str">
            <v>IBHFL - Employees Welfare Trust</v>
          </cell>
          <cell r="B1">
            <v>40155</v>
          </cell>
        </row>
        <row r="2">
          <cell r="A2" t="str">
            <v>Group Code</v>
          </cell>
          <cell r="B2" t="str">
            <v>Amount (Rs.)</v>
          </cell>
        </row>
        <row r="3">
          <cell r="A3" t="str">
            <v>Total</v>
          </cell>
          <cell r="B3">
            <v>1.4007091522216797E-6</v>
          </cell>
        </row>
        <row r="4">
          <cell r="A4"/>
          <cell r="B4"/>
        </row>
        <row r="5">
          <cell r="A5" t="str">
            <v>ABANK</v>
          </cell>
          <cell r="B5">
            <v>-186505910.30999997</v>
          </cell>
        </row>
        <row r="6">
          <cell r="A6" t="str">
            <v>ABANKC</v>
          </cell>
          <cell r="B6">
            <v>767192.8400000073</v>
          </cell>
        </row>
        <row r="7">
          <cell r="A7" t="str">
            <v>ABANKED</v>
          </cell>
          <cell r="B7">
            <v>4824990</v>
          </cell>
        </row>
        <row r="8">
          <cell r="A8" t="str">
            <v>ABANKS</v>
          </cell>
          <cell r="B8">
            <v>73262727.909999996</v>
          </cell>
        </row>
        <row r="9">
          <cell r="A9" t="str">
            <v>ACASH</v>
          </cell>
          <cell r="B9">
            <v>524107.60000000003</v>
          </cell>
        </row>
        <row r="10">
          <cell r="A10" t="str">
            <v>ADEBT</v>
          </cell>
          <cell r="B10">
            <v>-1841905860.2900002</v>
          </cell>
        </row>
        <row r="11">
          <cell r="A11" t="str">
            <v>ADEPO</v>
          </cell>
          <cell r="B11">
            <v>49768463</v>
          </cell>
        </row>
        <row r="12">
          <cell r="A12" t="str">
            <v>ADVAN</v>
          </cell>
          <cell r="B12">
            <v>216573033.78999999</v>
          </cell>
        </row>
        <row r="13">
          <cell r="A13" t="str">
            <v>AFDR</v>
          </cell>
          <cell r="B13">
            <v>4753620941.75</v>
          </cell>
        </row>
        <row r="14">
          <cell r="A14" t="str">
            <v>AINTA</v>
          </cell>
          <cell r="B14">
            <v>55993436.57</v>
          </cell>
        </row>
        <row r="15">
          <cell r="A15" t="str">
            <v>ASECO</v>
          </cell>
          <cell r="B15">
            <v>159478695.75</v>
          </cell>
        </row>
        <row r="16">
          <cell r="A16" t="str">
            <v>ASECUE</v>
          </cell>
          <cell r="B16">
            <v>1436404</v>
          </cell>
        </row>
        <row r="17">
          <cell r="A17" t="str">
            <v>ATDSA</v>
          </cell>
          <cell r="B17">
            <v>2432543783.5799999</v>
          </cell>
        </row>
        <row r="18">
          <cell r="A18" t="str">
            <v>AWIP</v>
          </cell>
          <cell r="B18">
            <v>0</v>
          </cell>
        </row>
        <row r="19">
          <cell r="A19" t="str">
            <v>CEQ</v>
          </cell>
          <cell r="B19">
            <v>-506839436</v>
          </cell>
        </row>
        <row r="20">
          <cell r="A20" t="str">
            <v>CPREF</v>
          </cell>
          <cell r="B20">
            <v>0</v>
          </cell>
        </row>
        <row r="21">
          <cell r="A21" t="str">
            <v>CDT</v>
          </cell>
          <cell r="B21">
            <v>263139</v>
          </cell>
        </row>
        <row r="22">
          <cell r="A22" t="str">
            <v>CRR</v>
          </cell>
          <cell r="B22">
            <v>-313078044</v>
          </cell>
        </row>
        <row r="23">
          <cell r="A23" t="str">
            <v>DEXP</v>
          </cell>
          <cell r="B23">
            <v>-11020599</v>
          </cell>
        </row>
        <row r="24">
          <cell r="A24" t="str">
            <v>DTAX</v>
          </cell>
          <cell r="B24">
            <v>0</v>
          </cell>
        </row>
        <row r="25">
          <cell r="A25" t="str">
            <v>EBD</v>
          </cell>
          <cell r="B25">
            <v>682283</v>
          </cell>
        </row>
        <row r="26">
          <cell r="A26" t="str">
            <v>EAAE</v>
          </cell>
          <cell r="B26">
            <v>17400</v>
          </cell>
        </row>
        <row r="27">
          <cell r="A27" t="str">
            <v>EABP</v>
          </cell>
          <cell r="B27">
            <v>767949.83</v>
          </cell>
        </row>
        <row r="28">
          <cell r="A28" t="str">
            <v>EACE</v>
          </cell>
          <cell r="B28">
            <v>46274767.310000002</v>
          </cell>
        </row>
        <row r="29">
          <cell r="A29" t="str">
            <v>ECONTI</v>
          </cell>
          <cell r="B29">
            <v>6364848.5800000001</v>
          </cell>
        </row>
        <row r="30">
          <cell r="A30" t="str">
            <v>EAEE</v>
          </cell>
          <cell r="B30">
            <v>14650757.34</v>
          </cell>
        </row>
        <row r="31">
          <cell r="A31" t="str">
            <v>EAFA</v>
          </cell>
          <cell r="B31">
            <v>13223816.98</v>
          </cell>
        </row>
        <row r="32">
          <cell r="A32" t="str">
            <v>EAIC</v>
          </cell>
          <cell r="B32">
            <v>352962.02</v>
          </cell>
        </row>
        <row r="33">
          <cell r="A33" t="str">
            <v>EAME</v>
          </cell>
          <cell r="B33">
            <v>195097.3</v>
          </cell>
        </row>
        <row r="34">
          <cell r="A34" t="str">
            <v>EAOM</v>
          </cell>
          <cell r="B34">
            <v>15990905.9</v>
          </cell>
        </row>
        <row r="35">
          <cell r="A35" t="str">
            <v>EAPC</v>
          </cell>
          <cell r="B35">
            <v>36828738.719999999</v>
          </cell>
        </row>
        <row r="36">
          <cell r="A36" t="str">
            <v>EAPS</v>
          </cell>
          <cell r="B36">
            <v>14992860.42</v>
          </cell>
        </row>
        <row r="37">
          <cell r="A37" t="str">
            <v>EARE</v>
          </cell>
          <cell r="B37">
            <v>83466971.50999999</v>
          </cell>
        </row>
        <row r="38">
          <cell r="A38" t="str">
            <v>EAREC</v>
          </cell>
          <cell r="B38">
            <v>156665.16</v>
          </cell>
        </row>
        <row r="39">
          <cell r="A39" t="str">
            <v>EARM</v>
          </cell>
          <cell r="B39">
            <v>25233085.870000001</v>
          </cell>
        </row>
        <row r="40">
          <cell r="A40" t="str">
            <v>EART</v>
          </cell>
          <cell r="B40">
            <v>2983120.98</v>
          </cell>
        </row>
        <row r="41">
          <cell r="A41" t="str">
            <v>EATC</v>
          </cell>
          <cell r="B41">
            <v>7371800.1300000008</v>
          </cell>
        </row>
        <row r="42">
          <cell r="A42" t="str">
            <v>ECTAX</v>
          </cell>
          <cell r="B42">
            <v>0</v>
          </cell>
        </row>
        <row r="43">
          <cell r="A43" t="str">
            <v>EDEP</v>
          </cell>
          <cell r="B43">
            <v>127317197.40000001</v>
          </cell>
        </row>
        <row r="44">
          <cell r="A44" t="str">
            <v>EEPF</v>
          </cell>
          <cell r="B44">
            <v>754023.24</v>
          </cell>
        </row>
        <row r="45">
          <cell r="A45" t="str">
            <v>EESE</v>
          </cell>
          <cell r="B45">
            <v>747138787.63999999</v>
          </cell>
        </row>
        <row r="46">
          <cell r="A46" t="str">
            <v>EESW</v>
          </cell>
          <cell r="B46">
            <v>9010829.3099999987</v>
          </cell>
        </row>
        <row r="47">
          <cell r="A47" t="str">
            <v>EIBC</v>
          </cell>
          <cell r="B47">
            <v>38066924.130000003</v>
          </cell>
        </row>
        <row r="48">
          <cell r="A48" t="str">
            <v>EIBOD</v>
          </cell>
          <cell r="B48">
            <v>3342390.34</v>
          </cell>
        </row>
        <row r="49">
          <cell r="A49" t="str">
            <v>EICP</v>
          </cell>
          <cell r="B49">
            <v>34237936</v>
          </cell>
        </row>
        <row r="50">
          <cell r="A50" t="str">
            <v>EIICD</v>
          </cell>
          <cell r="B50">
            <v>7738735</v>
          </cell>
        </row>
        <row r="51">
          <cell r="A51" t="str">
            <v>EIIT</v>
          </cell>
          <cell r="B51">
            <v>0</v>
          </cell>
        </row>
        <row r="52">
          <cell r="A52" t="str">
            <v>EIOL</v>
          </cell>
          <cell r="B52">
            <v>0</v>
          </cell>
        </row>
        <row r="53">
          <cell r="A53" t="str">
            <v>EIVL</v>
          </cell>
          <cell r="B53">
            <v>921731</v>
          </cell>
        </row>
        <row r="54">
          <cell r="A54" t="str">
            <v>EIWCL</v>
          </cell>
          <cell r="B54">
            <v>30493446.68</v>
          </cell>
        </row>
        <row r="55">
          <cell r="A55" t="str">
            <v>EOCB</v>
          </cell>
          <cell r="B55">
            <v>4082799.05</v>
          </cell>
        </row>
        <row r="56">
          <cell r="A56" t="str">
            <v>EOCE</v>
          </cell>
          <cell r="B56">
            <v>2057264.66</v>
          </cell>
        </row>
        <row r="57">
          <cell r="A57" t="str">
            <v>EODC</v>
          </cell>
          <cell r="B57">
            <v>0</v>
          </cell>
        </row>
        <row r="58">
          <cell r="A58" t="str">
            <v>EOLL</v>
          </cell>
          <cell r="B58">
            <v>20811299.399999999</v>
          </cell>
        </row>
        <row r="59">
          <cell r="A59" t="str">
            <v>EOM</v>
          </cell>
          <cell r="B59">
            <v>1189536.54</v>
          </cell>
        </row>
        <row r="60">
          <cell r="A60" t="str">
            <v>EONS</v>
          </cell>
          <cell r="B60">
            <v>11683741.710000001</v>
          </cell>
        </row>
        <row r="61">
          <cell r="A61" t="str">
            <v>EAUD</v>
          </cell>
          <cell r="B61">
            <v>0</v>
          </cell>
        </row>
        <row r="62">
          <cell r="A62" t="str">
            <v>EOSC</v>
          </cell>
          <cell r="B62">
            <v>3067538.39</v>
          </cell>
        </row>
        <row r="63">
          <cell r="A63" t="str">
            <v>EOSD</v>
          </cell>
          <cell r="B63">
            <v>57928567.299999997</v>
          </cell>
        </row>
        <row r="64">
          <cell r="A64" t="str">
            <v>EOSE</v>
          </cell>
          <cell r="B64">
            <v>3757502.38</v>
          </cell>
        </row>
        <row r="65">
          <cell r="A65" t="str">
            <v>EOTC</v>
          </cell>
          <cell r="B65">
            <v>57539560.170000002</v>
          </cell>
        </row>
        <row r="66">
          <cell r="A66" t="str">
            <v>EOVC</v>
          </cell>
          <cell r="B66">
            <v>3916111.68</v>
          </cell>
        </row>
        <row r="67">
          <cell r="A67" t="str">
            <v>EOW</v>
          </cell>
          <cell r="B67">
            <v>12225558.75</v>
          </cell>
        </row>
        <row r="68">
          <cell r="A68" t="str">
            <v>EPD</v>
          </cell>
          <cell r="B68">
            <v>1548328</v>
          </cell>
        </row>
        <row r="69">
          <cell r="A69" t="str">
            <v>LUDIV</v>
          </cell>
          <cell r="B69">
            <v>-7579460</v>
          </cell>
        </row>
        <row r="70">
          <cell r="A70" t="str">
            <v>FASSET</v>
          </cell>
          <cell r="B70">
            <v>1606276383.8900001</v>
          </cell>
        </row>
        <row r="71">
          <cell r="A71" t="str">
            <v>FBT</v>
          </cell>
          <cell r="B71">
            <v>0</v>
          </cell>
        </row>
        <row r="72">
          <cell r="A72" t="str">
            <v>FDEP</v>
          </cell>
          <cell r="B72">
            <v>-829986035.25999999</v>
          </cell>
        </row>
        <row r="73">
          <cell r="A73" t="str">
            <v>IAI</v>
          </cell>
          <cell r="B73">
            <v>-7500000</v>
          </cell>
        </row>
        <row r="74">
          <cell r="A74" t="str">
            <v>IDV</v>
          </cell>
          <cell r="B74">
            <v>-17784698.489999998</v>
          </cell>
        </row>
        <row r="75">
          <cell r="A75" t="str">
            <v>IGB</v>
          </cell>
          <cell r="B75">
            <v>-1725515857.8800004</v>
          </cell>
        </row>
        <row r="76">
          <cell r="A76" t="str">
            <v>IGD</v>
          </cell>
          <cell r="B76">
            <v>-29530797.710000001</v>
          </cell>
        </row>
        <row r="77">
          <cell r="A77" t="str">
            <v>IGM</v>
          </cell>
          <cell r="B77">
            <v>-152164933.18000001</v>
          </cell>
        </row>
        <row r="78">
          <cell r="A78" t="str">
            <v>IGT</v>
          </cell>
          <cell r="B78">
            <v>-210831207.53999999</v>
          </cell>
        </row>
        <row r="79">
          <cell r="A79" t="str">
            <v>INVES</v>
          </cell>
          <cell r="B79">
            <v>574967884.89999998</v>
          </cell>
        </row>
        <row r="80">
          <cell r="A80" t="str">
            <v>INVESMF</v>
          </cell>
          <cell r="B80">
            <v>0</v>
          </cell>
        </row>
        <row r="81">
          <cell r="A81" t="str">
            <v>INVESSC</v>
          </cell>
          <cell r="B81">
            <v>41500000</v>
          </cell>
        </row>
        <row r="82">
          <cell r="A82" t="str">
            <v>IOI</v>
          </cell>
          <cell r="B82">
            <v>-213574125.28999999</v>
          </cell>
        </row>
        <row r="83">
          <cell r="A83" t="str">
            <v>IOM</v>
          </cell>
          <cell r="B83">
            <v>-61439781.330000006</v>
          </cell>
        </row>
        <row r="84">
          <cell r="A84" t="str">
            <v>IOPS</v>
          </cell>
          <cell r="B84">
            <v>-3061814.7400000016</v>
          </cell>
        </row>
        <row r="85">
          <cell r="A85" t="str">
            <v>IOWB</v>
          </cell>
          <cell r="B85">
            <v>-46880154.890000001</v>
          </cell>
        </row>
        <row r="86">
          <cell r="A86" t="str">
            <v>LDIV</v>
          </cell>
          <cell r="B86">
            <v>21153.67</v>
          </cell>
        </row>
        <row r="87">
          <cell r="A87" t="str">
            <v>LMAR</v>
          </cell>
          <cell r="B87">
            <v>-1361000</v>
          </cell>
        </row>
        <row r="88">
          <cell r="A88" t="str">
            <v>LOLIAB</v>
          </cell>
          <cell r="B88">
            <v>-198319700.37</v>
          </cell>
        </row>
        <row r="89">
          <cell r="A89" t="str">
            <v>LSCRED</v>
          </cell>
          <cell r="B89">
            <v>-33230186.350000005</v>
          </cell>
        </row>
        <row r="90">
          <cell r="A90" t="str">
            <v>PDIV</v>
          </cell>
          <cell r="B90">
            <v>0</v>
          </cell>
        </row>
        <row r="91">
          <cell r="A91" t="str">
            <v>PGL</v>
          </cell>
          <cell r="B91">
            <v>-21118056</v>
          </cell>
        </row>
        <row r="92">
          <cell r="A92" t="str">
            <v>PGP</v>
          </cell>
          <cell r="B92">
            <v>-36999121.539999999</v>
          </cell>
        </row>
        <row r="93">
          <cell r="A93" t="str">
            <v>PPD</v>
          </cell>
          <cell r="B93">
            <v>0</v>
          </cell>
        </row>
        <row r="94">
          <cell r="A94" t="str">
            <v>PREM</v>
          </cell>
          <cell r="B94">
            <v>-40000</v>
          </cell>
        </row>
        <row r="95">
          <cell r="A95" t="str">
            <v>PTAX</v>
          </cell>
          <cell r="B95">
            <v>-1831501984.8399999</v>
          </cell>
        </row>
        <row r="96">
          <cell r="A96" t="str">
            <v>PTAXWB</v>
          </cell>
          <cell r="B96">
            <v>0</v>
          </cell>
        </row>
        <row r="97">
          <cell r="A97" t="str">
            <v>RGRES</v>
          </cell>
          <cell r="B97">
            <v>-498822915.37</v>
          </cell>
        </row>
        <row r="98">
          <cell r="A98" t="str">
            <v>RPLAC</v>
          </cell>
          <cell r="B98">
            <v>-1548130421.6500001</v>
          </cell>
        </row>
        <row r="99">
          <cell r="A99" t="str">
            <v>SLBANK</v>
          </cell>
          <cell r="B99">
            <v>-500000000</v>
          </cell>
        </row>
        <row r="100">
          <cell r="A100" t="str">
            <v>SLBANKVL</v>
          </cell>
          <cell r="B100">
            <v>-7762439</v>
          </cell>
        </row>
        <row r="101">
          <cell r="A101" t="str">
            <v>ULOANICD</v>
          </cell>
          <cell r="B101">
            <v>-350000000</v>
          </cell>
        </row>
        <row r="102">
          <cell r="A102" t="str">
            <v>ULOANCP</v>
          </cell>
          <cell r="B102">
            <v>-500000000</v>
          </cell>
        </row>
        <row r="103">
          <cell r="A103" t="str">
            <v>CR</v>
          </cell>
          <cell r="B103">
            <v>0</v>
          </cell>
        </row>
        <row r="104">
          <cell r="A104" t="str">
            <v>ASECULL</v>
          </cell>
          <cell r="B104">
            <v>4581482</v>
          </cell>
        </row>
        <row r="105">
          <cell r="A105" t="str">
            <v>ASECUR</v>
          </cell>
          <cell r="B105">
            <v>67378477.809999987</v>
          </cell>
        </row>
        <row r="106">
          <cell r="A106" t="str">
            <v>ASECUT</v>
          </cell>
          <cell r="B106">
            <v>543062.77</v>
          </cell>
        </row>
        <row r="107">
          <cell r="A107" t="str">
            <v>ASECUV</v>
          </cell>
          <cell r="B107">
            <v>181666.67</v>
          </cell>
        </row>
        <row r="108">
          <cell r="A108" t="str">
            <v>STOCK</v>
          </cell>
          <cell r="B108">
            <v>199593673.71000001</v>
          </cell>
        </row>
        <row r="109">
          <cell r="A109" t="str">
            <v>EEGC</v>
          </cell>
          <cell r="B109">
            <v>0</v>
          </cell>
        </row>
      </sheetData>
      <sheetData sheetId="11" refreshError="1">
        <row r="1">
          <cell r="C1">
            <v>40155</v>
          </cell>
        </row>
        <row r="2">
          <cell r="B2">
            <v>31</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2"/>
      <sheetName val="Sheet1"/>
      <sheetName val="Sheet3"/>
      <sheetName val="F2ACS"/>
      <sheetName val="F1ACS"/>
      <sheetName val="M1F2"/>
      <sheetName val="M1F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ly"/>
      <sheetName val="Sheet3"/>
      <sheetName val="Aug F1 Stmt"/>
      <sheetName val="Aug F2 Stmt"/>
      <sheetName val="Sep F1 Stmt"/>
      <sheetName val="Sep F1 Stmt (revised TDS on BC)"/>
      <sheetName val="Sep F2 Stmt"/>
      <sheetName val="Oct F1 Stmt "/>
      <sheetName val="Oct F2 Stmt"/>
      <sheetName val="Nov F1 Stmt"/>
      <sheetName val="Nov F2 Stmt"/>
      <sheetName val="Dec F1 Stmt"/>
      <sheetName val="Dec F2 Stmt"/>
      <sheetName val="Jan F1 Stmt"/>
      <sheetName val="Jan F2 Stmt"/>
      <sheetName val="Sheet4"/>
      <sheetName val="Commulative"/>
      <sheetName val="Sheet1"/>
      <sheetName val="Oct F1 (2)"/>
      <sheetName val="Jan F2"/>
      <sheetName val="Jan F1"/>
      <sheetName val="Dec F2"/>
      <sheetName val="Dec F1"/>
      <sheetName val="Nov F2"/>
      <sheetName val="Nov F1"/>
      <sheetName val="Oct F2"/>
      <sheetName val="Oct F1"/>
      <sheetName val="Sheet2"/>
      <sheetName val="Sep F2"/>
      <sheetName val="Sep F1"/>
      <sheetName val="Aug F2"/>
      <sheetName val="Aug f1"/>
      <sheetName val="Jul f2"/>
    </sheetNames>
    <sheetDataSet>
      <sheetData sheetId="0"/>
      <sheetData sheetId="1">
        <row r="1">
          <cell r="A1" t="str">
            <v>JM120630%</v>
          </cell>
          <cell r="B1" t="str">
            <v>Max Mangal, 6 Pay,  12 Year Term</v>
          </cell>
        </row>
        <row r="2">
          <cell r="A2" t="str">
            <v>JM150630%</v>
          </cell>
          <cell r="B2" t="str">
            <v>Max Mangal, 6 Pay 15 Year Term</v>
          </cell>
        </row>
        <row r="3">
          <cell r="A3" t="str">
            <v>JM151232.5%</v>
          </cell>
          <cell r="B3" t="str">
            <v xml:space="preserve">Max Mangal, 12 Pay 15 Year Term </v>
          </cell>
        </row>
        <row r="4">
          <cell r="A4" t="str">
            <v>JV0032.5%</v>
          </cell>
          <cell r="B4" t="str">
            <v>Max Vriksha, 12 Pay, 16 Year Term</v>
          </cell>
        </row>
        <row r="5">
          <cell r="A5" t="str">
            <v>WPLP2035%</v>
          </cell>
          <cell r="B5" t="str">
            <v>Life Partner Plus 20 Pay</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irector Remuneration"/>
      <sheetName val="Copal"/>
      <sheetName val="Provision Working"/>
      <sheetName val="Doubtful"/>
      <sheetName val="Dividend Working"/>
      <sheetName val="Task"/>
      <sheetName val="Reports"/>
      <sheetName val="Sheet1"/>
      <sheetName val="DR"/>
      <sheetName val="Adv Tax (2)"/>
      <sheetName val="CDSL"/>
      <sheetName val="TB - SAP"/>
      <sheetName val="TB - Focus"/>
      <sheetName val="To Tally"/>
      <sheetName val="TB"/>
      <sheetName val="Provisions"/>
      <sheetName val="Qtr -AS"/>
      <sheetName val="Results_Pub"/>
      <sheetName val="Results"/>
      <sheetName val="Segment YTD"/>
      <sheetName val="ARCK"/>
      <sheetName val="Vendor bal."/>
      <sheetName val="BS"/>
      <sheetName val="PL"/>
      <sheetName val="CFS"/>
      <sheetName val="CF-W"/>
      <sheetName val="Note-1"/>
      <sheetName val="Note-B"/>
      <sheetName val="DT"/>
      <sheetName val="Note-FA"/>
      <sheetName val="Note-P"/>
      <sheetName val="Note-2"/>
      <sheetName val="EPS"/>
      <sheetName val="Sheet7"/>
      <sheetName val="Results (2)"/>
      <sheetName val="Div"/>
      <sheetName val="Buy Back"/>
      <sheetName val="Sheet5"/>
      <sheetName val="Sheet4"/>
      <sheetName val="Other TBs"/>
      <sheetName val="Tax Prov."/>
      <sheetName val="Clients"/>
      <sheetName val="Projected"/>
      <sheetName val="Sheet3"/>
      <sheetName val="C &amp; NC"/>
      <sheetName val="Segment Old"/>
      <sheetName val="Sheet2"/>
      <sheetName val="Segment"/>
      <sheetName val="Cap Adv"/>
      <sheetName val="PMS"/>
      <sheetName val="GNW"/>
      <sheetName val="NSDL"/>
      <sheetName val="NSE MT"/>
      <sheetName val="BSE MT"/>
      <sheetName val="LC Gupta "/>
      <sheetName val="Funds Client"/>
      <sheetName val="Funds Position"/>
      <sheetName val="14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ow r="13">
          <cell r="H13">
            <v>522446162</v>
          </cell>
        </row>
      </sheetData>
      <sheetData sheetId="24"/>
      <sheetData sheetId="25" refreshError="1"/>
      <sheetData sheetId="26" refreshError="1"/>
      <sheetData sheetId="27" refreshError="1"/>
      <sheetData sheetId="28" refreshError="1"/>
      <sheetData sheetId="29" refreshError="1"/>
      <sheetData sheetId="30" refreshError="1"/>
      <sheetData sheetId="3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irector Remuneration"/>
      <sheetName val="Copal"/>
      <sheetName val="ARCK"/>
      <sheetName val="Provision Working"/>
      <sheetName val="Doubtful"/>
      <sheetName val="Dividend Working"/>
      <sheetName val="Task"/>
      <sheetName val="Reports"/>
      <sheetName val="Sheet1"/>
      <sheetName val="DR"/>
      <sheetName val="CDSL"/>
      <sheetName val="TB - SAP"/>
      <sheetName val="TB - Focus"/>
      <sheetName val="To Tally"/>
      <sheetName val="Results - Previous Qtrs"/>
      <sheetName val="Results"/>
      <sheetName val="Results_Pub"/>
      <sheetName val="Segment YTD"/>
      <sheetName val="TB"/>
      <sheetName val="Provisions"/>
      <sheetName val="Qtr -AS"/>
      <sheetName val="Vendor bal."/>
      <sheetName val="BS"/>
      <sheetName val="PL"/>
      <sheetName val="CFS"/>
      <sheetName val="Tax Prov."/>
      <sheetName val="Computation"/>
      <sheetName val="Note-1"/>
      <sheetName val="Note-B"/>
      <sheetName val="Note-FA"/>
      <sheetName val="Adv Tax"/>
      <sheetName val="Note-P"/>
      <sheetName val="Note-2"/>
      <sheetName val="DT"/>
      <sheetName val="CF-W"/>
      <sheetName val="EPS"/>
      <sheetName val="Sheet7"/>
      <sheetName val="Results (2)"/>
      <sheetName val="Div"/>
      <sheetName val="Buy Back"/>
      <sheetName val="Sheet5"/>
      <sheetName val="Sheet4"/>
      <sheetName val="Other TBs"/>
      <sheetName val="Clients"/>
      <sheetName val="Projected"/>
      <sheetName val="Sheet3"/>
      <sheetName val="C &amp; NC"/>
      <sheetName val="Segment Old"/>
      <sheetName val="Sheet2"/>
      <sheetName val="Segment"/>
      <sheetName val="Cap Adv"/>
      <sheetName val="PMS"/>
      <sheetName val="GNW"/>
      <sheetName val="NSDL"/>
      <sheetName val="NSE MT"/>
      <sheetName val="BSE MT"/>
      <sheetName val="LC Gupta "/>
      <sheetName val="Funds Client"/>
      <sheetName val="Funds Position"/>
      <sheetName val="14A"/>
    </sheetNames>
    <sheetDataSet>
      <sheetData sheetId="0">
        <row r="22">
          <cell r="C22" t="str">
            <v>Mumbai</v>
          </cell>
        </row>
        <row r="23">
          <cell r="C23" t="str">
            <v>July 21, 2015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13">
          <cell r="H13">
            <v>584326164</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BS"/>
      <sheetName val="Results PL"/>
      <sheetName val="FA Print"/>
      <sheetName val="Invst"/>
      <sheetName val="Notes"/>
      <sheetName val="Notes2"/>
      <sheetName val="Notes 3"/>
      <sheetName val="Notes 4"/>
      <sheetName val="Bal Sheet"/>
      <sheetName val="FA"/>
      <sheetName val="AdInfo"/>
      <sheetName val="Analysis Wo Delhi"/>
      <sheetName val="Analysis withDelhi"/>
      <sheetName val="Sonarpur"/>
      <sheetName val="Summary Assets &lt;5000"/>
      <sheetName val="5000"/>
      <sheetName val="Part 4"/>
      <sheetName val="UP Lease la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BS SCH"/>
      <sheetName val="PL"/>
      <sheetName val="PL SCH"/>
      <sheetName val="FA"/>
      <sheetName val="Seg Report"/>
      <sheetName val="TRIAL"/>
      <sheetName val="S"/>
      <sheetName val="Cash Flow"/>
      <sheetName val="Prov for Tax"/>
      <sheetName val="Defered Tax"/>
      <sheetName val="INV"/>
      <sheetName val="ABSTRACT"/>
      <sheetName val="Bal Sheet 2 Col"/>
      <sheetName val="Part 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 A - GENERAL"/>
      <sheetName val="PARTA-GENERAL (2)"/>
      <sheetName val="PART A - Balance Sheet"/>
      <sheetName val="PART A - PL"/>
      <sheetName val="PART A - PL(2)"/>
      <sheetName val="PART A - PL(3) - OI"/>
      <sheetName val="PART A - OI"/>
      <sheetName val="PART A - OI(2)"/>
      <sheetName val="PART A - QD(1)"/>
      <sheetName val="PART A - QD(2)"/>
      <sheetName val="PART B - TTI"/>
      <sheetName val="PART C"/>
      <sheetName val="Schedule HP BP"/>
      <sheetName val="Schedule BP(2)"/>
      <sheetName val="Schedule DPM - DOA"/>
      <sheetName val="Schedule DOA - DEP"/>
      <sheetName val="Schedule ESR CG"/>
      <sheetName val="FORMULAE"/>
      <sheetName val="Schedule OS CYLA"/>
      <sheetName val="Schedule BFLA CFL 10A"/>
      <sheetName val="Sch 10 B 80G"/>
      <sheetName val="Schedule 80-IA to 80-IC"/>
      <sheetName val="VIA STTR SPI SI "/>
      <sheetName val="Schedule EI AIR IT"/>
      <sheetName val="TDS1 TDS2 TCS"/>
      <sheetName val="FB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 A General"/>
      <sheetName val="Subsidiary Co Details"/>
      <sheetName val="MD, Dir, Co. secy"/>
      <sheetName val="Beneficial_owners"/>
      <sheetName val="Balance Sheet"/>
      <sheetName val="Profit and Loss"/>
      <sheetName val="Other Info"/>
      <sheetName val="Stock details"/>
      <sheetName val="Part B"/>
      <sheetName val="Part C"/>
      <sheetName val="Sch 1 Bus"/>
      <sheetName val="Sch 2 CG"/>
      <sheetName val="Sch 3 Depr"/>
      <sheetName val="Sch 4 HP"/>
      <sheetName val="Sch 5 OS"/>
      <sheetName val="Sch 6 Setoff"/>
      <sheetName val="Sch 7 Bf Setoff"/>
      <sheetName val="Sch 8 Cf Losses"/>
      <sheetName val="Sch 9 Dedns"/>
      <sheetName val="Sch 10 VIA-Sch 11"/>
      <sheetName val="Sch 12-Sch 13"/>
      <sheetName val="Sch 14 88E-Sch 15 115B"/>
      <sheetName val="Sch 16 Div"/>
      <sheetName val="Sch 17 FB"/>
      <sheetName val="Sch 18 Bank"/>
      <sheetName val="Sch 19, 20 Taxes"/>
      <sheetName val="Sch 21 Div Tax"/>
      <sheetName val="Sch 22, 23 FBT"/>
      <sheetName val="Sch 24 TDS"/>
      <sheetName val="Sch 25 TCS"/>
      <sheetName val="VersionI_CD_Z5_ADVANC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List"/>
      <sheetName val="Related Parties - PL"/>
      <sheetName val="Related Parties - BS"/>
      <sheetName val="BS"/>
      <sheetName val="P&amp;L"/>
      <sheetName val="cash flow"/>
      <sheetName val="Note-B"/>
      <sheetName val="Note-P"/>
      <sheetName val="P&amp;L LR"/>
      <sheetName val="Note-P LR"/>
      <sheetName val="Notes - O"/>
      <sheetName val="Notes - 14"/>
      <sheetName val="Monthly P&amp;L"/>
      <sheetName val="GTRIAL"/>
      <sheetName val="Trial"/>
      <sheetName val="Income Tax"/>
      <sheetName val="Related Party"/>
      <sheetName val="PTAX"/>
      <sheetName val="Adv tax vs PT"/>
      <sheetName val="Segment-Main"/>
      <sheetName val="Segment-Working"/>
      <sheetName val="provision"/>
      <sheetName val="EPS"/>
      <sheetName val="PE"/>
      <sheetName val="IDSL"/>
      <sheetName val="Sheet1"/>
    </sheetNames>
    <sheetDataSet>
      <sheetData sheetId="0" refreshError="1"/>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ow r="1">
          <cell r="A1">
            <v>42825</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ization"/>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FRINGE_BENEFITS"/>
      <sheetName val="IT_TDS_TCS_FBT"/>
      <sheetName val="DDT"/>
      <sheetName val="Instructions"/>
      <sheetName val="Verific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Series255"/>
      <sheetName val="Background"/>
      <sheetName val="MAIN"/>
      <sheetName val="Data Base"/>
      <sheetName val="Master Prices"/>
      <sheetName val="Quote"/>
      <sheetName val="Discounts"/>
      <sheetName val="Linkage Quote"/>
      <sheetName val="Int A Pro 6224"/>
      <sheetName val="Int M Pro 6220"/>
      <sheetName val="Int M Pro 6225"/>
      <sheetName val="Int M Pro 6230"/>
      <sheetName val="Int Z Pro 6221"/>
      <sheetName val="Int Z Pro 6223"/>
      <sheetName val="BladeCenter"/>
      <sheetName val="HS20 ~ JS20 Blade"/>
      <sheetName val="HS20 8843 Blade"/>
      <sheetName val="HS40 Blade"/>
      <sheetName val="eServer326"/>
      <sheetName val="eServer325"/>
      <sheetName val="OpenPower 710"/>
      <sheetName val="OpenPower 720"/>
      <sheetName val="xSeries206"/>
      <sheetName val="xSeries226"/>
      <sheetName val="xSeries235"/>
      <sheetName val="xSeries236"/>
      <sheetName val="xSeries306"/>
      <sheetName val="xSeries335"/>
      <sheetName val="xSeries336"/>
      <sheetName val="xSeries343"/>
      <sheetName val="xSeries345"/>
      <sheetName val="xSeries346"/>
      <sheetName val="xSeries365"/>
      <sheetName val="xSeries382"/>
      <sheetName val="xSeries445"/>
      <sheetName val="xSeries445 16w"/>
      <sheetName val="xSeries455"/>
      <sheetName val="xSeries455 8w ~ 16w"/>
      <sheetName val="RXE~100"/>
      <sheetName val="Fibre Options"/>
      <sheetName val="DS4500"/>
      <sheetName val="DS4400"/>
      <sheetName val="DS4300"/>
      <sheetName val="TotalStorage DS300"/>
      <sheetName val="TotalStorage DS400"/>
      <sheetName val="TotalStorage DS4100"/>
      <sheetName val="Racking"/>
      <sheetName val="Price Update"/>
      <sheetName val="ReadMe"/>
      <sheetName val="External Storage Hardware"/>
      <sheetName val="External Storage Options"/>
      <sheetName val="Server Hardware"/>
      <sheetName val="Server Fitment"/>
      <sheetName val="Options"/>
      <sheetName val="Notes"/>
      <sheetName val="CCE-LC3"/>
      <sheetName val="msg"/>
      <sheetName val="Areas"/>
      <sheetName val="Input"/>
      <sheetName val="Balance sheet DCCDL Nov 06"/>
      <sheetName val="Staff Forecast spread"/>
      <sheetName val="worksheet"/>
      <sheetName val="tables"/>
      <sheetName val="Instructions"/>
      <sheetName val="APcfg95"/>
      <sheetName val="Factor"/>
      <sheetName val="XREF"/>
      <sheetName val="hdnSheet"/>
      <sheetName val="ASSETMST"/>
      <sheetName val="Sheet1"/>
      <sheetName val="Extra Sheet"/>
      <sheetName val="RA_markate"/>
      <sheetName val="RA-markate"/>
      <sheetName val="ridgewood"/>
      <sheetName val="Intro"/>
      <sheetName val="CF"/>
      <sheetName val="Assumptions"/>
      <sheetName val="Summ"/>
      <sheetName val="Toil_details"/>
      <sheetName val="Steel Reinforcement Schedule"/>
      <sheetName val="VTC"/>
      <sheetName val="DCF"/>
      <sheetName val="Activity Codes"/>
      <sheetName val="Civil Boq"/>
      <sheetName val="LISTS"/>
      <sheetName val="FORM-16"/>
      <sheetName val="Cashflows"/>
      <sheetName val="Sheet2"/>
      <sheetName val="Grouping"/>
      <sheetName val="List"/>
      <sheetName val="Defined List"/>
      <sheetName val="Hotel Conv. Cntrs"/>
      <sheetName val="Tokyo"/>
      <sheetName val="LAMINATION-NORDMECCANICA"/>
      <sheetName val="SBI(Siliguri)"/>
      <sheetName val="Page1"/>
      <sheetName val="Summary year Plan"/>
      <sheetName val="Ass. &amp; Calculations"/>
      <sheetName val="model"/>
      <sheetName val="RM-Summary"/>
      <sheetName val="labour rates"/>
      <sheetName val="Agra Mall"/>
      <sheetName val="Chennai Mall"/>
      <sheetName val="RR"/>
      <sheetName val="2.Chennai"/>
      <sheetName val="wordsdata"/>
      <sheetName val="Table 9 "/>
      <sheetName val="Section"/>
      <sheetName val="IGAAP"/>
      <sheetName val="RA_EIL"/>
      <sheetName val="RA_MKT_QUOTE"/>
      <sheetName val="Do not delete"/>
      <sheetName val="COMPUTER"/>
      <sheetName val="PRECAST lightconc-II"/>
      <sheetName val="ASSET_99 "/>
    </sheetNames>
    <sheetDataSet>
      <sheetData sheetId="0" refreshError="1">
        <row r="13">
          <cell r="A13" t="str">
            <v>- TopSeller Models (Tower)</v>
          </cell>
          <cell r="M13">
            <v>40</v>
          </cell>
        </row>
        <row r="14">
          <cell r="A14" t="str">
            <v>N/A</v>
          </cell>
          <cell r="B14" t="str">
            <v>8685-7TX</v>
          </cell>
          <cell r="C14" t="str">
            <v>x255 TopSeller, 2xXeon MP 2.0GHz/400MHz, 1MB L3, 2GB, O/Bay U160, 2x370W p/s, Tower</v>
          </cell>
          <cell r="D14">
            <v>0</v>
          </cell>
          <cell r="E14" t="str">
            <v>N/A</v>
          </cell>
          <cell r="F14">
            <v>0</v>
          </cell>
          <cell r="G14">
            <v>0</v>
          </cell>
          <cell r="H14">
            <v>0</v>
          </cell>
          <cell r="I14">
            <v>0</v>
          </cell>
          <cell r="J14">
            <v>0</v>
          </cell>
          <cell r="K14">
            <v>0</v>
          </cell>
          <cell r="L14">
            <v>0</v>
          </cell>
          <cell r="M14">
            <v>50</v>
          </cell>
        </row>
        <row r="15">
          <cell r="A15" t="str">
            <v>N/A</v>
          </cell>
          <cell r="B15" t="str">
            <v>8685-ATX</v>
          </cell>
          <cell r="C15" t="str">
            <v>x255 TopSeller, 2xXeon MP 2.2GHz/400MHz, 2MB L3, 2GB, 220.2GB U160 SRAID 6M, 4x370W p/s, Tower</v>
          </cell>
          <cell r="D15">
            <v>0</v>
          </cell>
          <cell r="E15" t="str">
            <v>N/A</v>
          </cell>
          <cell r="F15">
            <v>0</v>
          </cell>
          <cell r="G15">
            <v>0</v>
          </cell>
          <cell r="H15">
            <v>0</v>
          </cell>
          <cell r="I15">
            <v>0</v>
          </cell>
          <cell r="J15">
            <v>0</v>
          </cell>
          <cell r="K15">
            <v>0</v>
          </cell>
          <cell r="L15">
            <v>0</v>
          </cell>
          <cell r="M15">
            <v>60</v>
          </cell>
        </row>
        <row r="16">
          <cell r="C16">
            <v>0</v>
          </cell>
          <cell r="M16">
            <v>70</v>
          </cell>
        </row>
        <row r="17">
          <cell r="A17" t="str">
            <v>- Express</v>
          </cell>
          <cell r="M17">
            <v>80</v>
          </cell>
        </row>
        <row r="18">
          <cell r="A18" t="str">
            <v>N/A</v>
          </cell>
          <cell r="B18" t="str">
            <v>8685-7EU</v>
          </cell>
          <cell r="C18" t="str">
            <v>Express x255, Xeon MP 2x2.0GHz/400MHz, 1MB L3, 4x1GB, 3x73.4 HS U160, SR-6M, 2x370W p/s, Tower</v>
          </cell>
          <cell r="D18">
            <v>0</v>
          </cell>
          <cell r="E18" t="str">
            <v>N/A</v>
          </cell>
          <cell r="F18">
            <v>0</v>
          </cell>
          <cell r="G18">
            <v>0</v>
          </cell>
          <cell r="H18">
            <v>0</v>
          </cell>
          <cell r="I18">
            <v>0</v>
          </cell>
          <cell r="J18">
            <v>0</v>
          </cell>
          <cell r="K18">
            <v>0</v>
          </cell>
          <cell r="L18">
            <v>0</v>
          </cell>
          <cell r="M18">
            <v>90</v>
          </cell>
        </row>
        <row r="19">
          <cell r="C19">
            <v>0</v>
          </cell>
          <cell r="M19">
            <v>100</v>
          </cell>
        </row>
        <row r="20">
          <cell r="A20" t="str">
            <v>- IXA Compatible Standard Tower Models</v>
          </cell>
          <cell r="M20">
            <v>110</v>
          </cell>
        </row>
        <row r="21">
          <cell r="A21" t="str">
            <v>N/A</v>
          </cell>
          <cell r="B21" t="str">
            <v>8685-A1X</v>
          </cell>
          <cell r="C21" t="str">
            <v>x255, Xeon MP 2.2GHz/400MHz, 2MB, 512MB, Open Bay U160, 2x370W p/s, Tower</v>
          </cell>
          <cell r="D21">
            <v>0</v>
          </cell>
          <cell r="E21" t="str">
            <v>N/A</v>
          </cell>
          <cell r="F21">
            <v>0</v>
          </cell>
          <cell r="G21">
            <v>0</v>
          </cell>
          <cell r="H21">
            <v>0</v>
          </cell>
          <cell r="I21">
            <v>0</v>
          </cell>
          <cell r="J21">
            <v>0</v>
          </cell>
          <cell r="K21">
            <v>0</v>
          </cell>
          <cell r="L21">
            <v>0</v>
          </cell>
          <cell r="M21">
            <v>120</v>
          </cell>
        </row>
        <row r="22">
          <cell r="A22" t="str">
            <v>N/A</v>
          </cell>
          <cell r="B22" t="str">
            <v>8685-B1X</v>
          </cell>
          <cell r="C22" t="str">
            <v>x255, Xeon MP 2.7GHz/400MHz, 2MB, 1GB, Open Bay U160, 2x370W p/s, Tower</v>
          </cell>
          <cell r="D22">
            <v>0</v>
          </cell>
          <cell r="E22" t="str">
            <v>N/A</v>
          </cell>
          <cell r="F22">
            <v>0</v>
          </cell>
          <cell r="G22">
            <v>0</v>
          </cell>
          <cell r="H22">
            <v>0</v>
          </cell>
          <cell r="I22">
            <v>0</v>
          </cell>
          <cell r="J22">
            <v>0</v>
          </cell>
          <cell r="K22">
            <v>0</v>
          </cell>
          <cell r="L22">
            <v>0</v>
          </cell>
          <cell r="M22">
            <v>130</v>
          </cell>
        </row>
        <row r="23">
          <cell r="A23" t="str">
            <v>N/A</v>
          </cell>
          <cell r="B23" t="str">
            <v>8685-C1X</v>
          </cell>
          <cell r="C23" t="str">
            <v>x255, Xeon MP 3.0GHz/400MHz, 4MB, 1GB, Open Bay U160, 2x370W p/s, Tower</v>
          </cell>
          <cell r="D23">
            <v>0</v>
          </cell>
          <cell r="E23" t="str">
            <v>N/A</v>
          </cell>
          <cell r="F23">
            <v>0</v>
          </cell>
          <cell r="G23">
            <v>0</v>
          </cell>
          <cell r="H23">
            <v>0</v>
          </cell>
          <cell r="I23">
            <v>0</v>
          </cell>
          <cell r="J23">
            <v>0</v>
          </cell>
          <cell r="K23">
            <v>0</v>
          </cell>
          <cell r="L23">
            <v>0</v>
          </cell>
          <cell r="M23">
            <v>140</v>
          </cell>
        </row>
        <row r="24">
          <cell r="M24">
            <v>150</v>
          </cell>
        </row>
        <row r="25">
          <cell r="A25" t="str">
            <v>- IXA Compatible Standard Rack Models</v>
          </cell>
          <cell r="M25">
            <v>160</v>
          </cell>
        </row>
        <row r="26">
          <cell r="A26" t="str">
            <v>8685ARX</v>
          </cell>
          <cell r="B26" t="str">
            <v>8685-ARX</v>
          </cell>
          <cell r="C26" t="str">
            <v>x255, Xeon MP 2.2GHz/400MHz, 2MB, 512MB, Open Bay U160, 2x370W p/s,Rack</v>
          </cell>
          <cell r="D26">
            <v>0</v>
          </cell>
          <cell r="E26">
            <v>8299.01</v>
          </cell>
          <cell r="F26">
            <v>0</v>
          </cell>
          <cell r="G26">
            <v>0</v>
          </cell>
          <cell r="H26">
            <v>0</v>
          </cell>
          <cell r="I26">
            <v>0</v>
          </cell>
          <cell r="J26">
            <v>0</v>
          </cell>
          <cell r="K26">
            <v>0</v>
          </cell>
          <cell r="L26">
            <v>0</v>
          </cell>
          <cell r="M26">
            <v>170</v>
          </cell>
        </row>
        <row r="27">
          <cell r="A27" t="str">
            <v>8685BRX</v>
          </cell>
          <cell r="B27" t="str">
            <v>8685-BRX</v>
          </cell>
          <cell r="C27" t="str">
            <v>x255, Xeon MP 2.7GHz/400MHz, 2MB, 1GB, Open Bay U160, 2x370W p/s, Rack</v>
          </cell>
          <cell r="D27">
            <v>0</v>
          </cell>
          <cell r="E27">
            <v>9908.18</v>
          </cell>
          <cell r="F27">
            <v>0</v>
          </cell>
          <cell r="G27">
            <v>0</v>
          </cell>
          <cell r="H27">
            <v>0</v>
          </cell>
          <cell r="I27">
            <v>0</v>
          </cell>
          <cell r="J27">
            <v>0</v>
          </cell>
          <cell r="K27">
            <v>0</v>
          </cell>
          <cell r="L27">
            <v>0</v>
          </cell>
          <cell r="M27">
            <v>180</v>
          </cell>
        </row>
        <row r="28">
          <cell r="A28" t="str">
            <v>8685CRX</v>
          </cell>
          <cell r="B28" t="str">
            <v>8685-CRX</v>
          </cell>
          <cell r="C28" t="str">
            <v>x255, Xeon MP 3.0GHz/400MHz, 4MB, 1GB, Open Bay U160, 2x370W p/s, Rack</v>
          </cell>
          <cell r="D28">
            <v>0</v>
          </cell>
          <cell r="E28">
            <v>13999</v>
          </cell>
          <cell r="F28">
            <v>0</v>
          </cell>
          <cell r="G28">
            <v>0</v>
          </cell>
          <cell r="H28">
            <v>0</v>
          </cell>
          <cell r="I28">
            <v>0</v>
          </cell>
          <cell r="J28">
            <v>0</v>
          </cell>
          <cell r="K28">
            <v>0</v>
          </cell>
          <cell r="L28">
            <v>0</v>
          </cell>
          <cell r="M28">
            <v>190</v>
          </cell>
        </row>
        <row r="29">
          <cell r="C29" t="str">
            <v>SELECT SYSTEM UNIT FIRST</v>
          </cell>
          <cell r="M29">
            <v>200</v>
          </cell>
        </row>
        <row r="30">
          <cell r="C30">
            <v>0</v>
          </cell>
          <cell r="M30">
            <v>210</v>
          </cell>
        </row>
        <row r="31">
          <cell r="A31" t="str">
            <v>Additional Processors</v>
          </cell>
          <cell r="M31">
            <v>220</v>
          </cell>
        </row>
        <row r="32">
          <cell r="C32">
            <v>0</v>
          </cell>
          <cell r="M32">
            <v>230</v>
          </cell>
        </row>
        <row r="33">
          <cell r="A33" t="str">
            <v>73P8805</v>
          </cell>
          <cell r="B33">
            <v>0</v>
          </cell>
          <cell r="C33" t="str">
            <v>2.0GHz/400MHz, 1MB L3 Cache Upgrade with Xeon Processor MP</v>
          </cell>
          <cell r="D33">
            <v>0</v>
          </cell>
          <cell r="E33">
            <v>3299</v>
          </cell>
          <cell r="F33">
            <v>0</v>
          </cell>
          <cell r="G33">
            <v>0</v>
          </cell>
          <cell r="H33">
            <v>0</v>
          </cell>
          <cell r="I33">
            <v>0</v>
          </cell>
          <cell r="J33">
            <v>0</v>
          </cell>
          <cell r="K33">
            <v>0</v>
          </cell>
          <cell r="L33">
            <v>0</v>
          </cell>
          <cell r="M33">
            <v>240</v>
          </cell>
        </row>
        <row r="34">
          <cell r="C34">
            <v>0</v>
          </cell>
          <cell r="M34">
            <v>250</v>
          </cell>
        </row>
        <row r="35">
          <cell r="A35" t="str">
            <v>13N0747</v>
          </cell>
          <cell r="B35">
            <v>0</v>
          </cell>
          <cell r="C35" t="str">
            <v>xSeries 2.2 GHz400MHz, 512KB/2MB L2/L3 Upgrade with Xeon Processor MP</v>
          </cell>
          <cell r="D35">
            <v>0</v>
          </cell>
          <cell r="E35">
            <v>2799.01</v>
          </cell>
          <cell r="F35">
            <v>0</v>
          </cell>
          <cell r="G35">
            <v>0</v>
          </cell>
          <cell r="H35">
            <v>0</v>
          </cell>
          <cell r="I35">
            <v>0</v>
          </cell>
          <cell r="J35">
            <v>0</v>
          </cell>
          <cell r="K35">
            <v>0</v>
          </cell>
          <cell r="L35">
            <v>0</v>
          </cell>
          <cell r="M35">
            <v>260</v>
          </cell>
        </row>
        <row r="36">
          <cell r="C36">
            <v>0</v>
          </cell>
          <cell r="M36">
            <v>270</v>
          </cell>
        </row>
        <row r="37">
          <cell r="A37" t="str">
            <v>13N0746</v>
          </cell>
          <cell r="B37">
            <v>0</v>
          </cell>
          <cell r="C37" t="str">
            <v>xSeries 2.7 GHz400MHz, 512KB/2MB L2/L3 Upgrade with Xeon Processor MP</v>
          </cell>
          <cell r="D37">
            <v>0</v>
          </cell>
          <cell r="E37">
            <v>4659</v>
          </cell>
          <cell r="F37">
            <v>0</v>
          </cell>
          <cell r="G37">
            <v>0</v>
          </cell>
          <cell r="H37">
            <v>0</v>
          </cell>
          <cell r="I37">
            <v>0</v>
          </cell>
          <cell r="J37">
            <v>0</v>
          </cell>
          <cell r="K37">
            <v>0</v>
          </cell>
          <cell r="L37">
            <v>0</v>
          </cell>
          <cell r="M37">
            <v>280</v>
          </cell>
        </row>
        <row r="38">
          <cell r="C38">
            <v>0</v>
          </cell>
          <cell r="M38">
            <v>290</v>
          </cell>
        </row>
        <row r="39">
          <cell r="A39" t="str">
            <v>13N0745</v>
          </cell>
          <cell r="B39">
            <v>0</v>
          </cell>
          <cell r="C39" t="str">
            <v>xSeries 3.0 GHz400MHz, 512KB/4MB L2/L3 Upgrade with Xeon Processor MP</v>
          </cell>
          <cell r="D39">
            <v>0</v>
          </cell>
          <cell r="E39">
            <v>9299</v>
          </cell>
          <cell r="F39">
            <v>0</v>
          </cell>
          <cell r="G39">
            <v>0</v>
          </cell>
          <cell r="H39">
            <v>0</v>
          </cell>
          <cell r="I39">
            <v>0</v>
          </cell>
          <cell r="J39">
            <v>0</v>
          </cell>
          <cell r="K39">
            <v>0</v>
          </cell>
          <cell r="L39">
            <v>0</v>
          </cell>
          <cell r="M39">
            <v>300</v>
          </cell>
        </row>
        <row r="40">
          <cell r="C40">
            <v>0</v>
          </cell>
          <cell r="M40">
            <v>310</v>
          </cell>
        </row>
        <row r="41">
          <cell r="M41">
            <v>320</v>
          </cell>
        </row>
        <row r="42">
          <cell r="A42" t="str">
            <v>Additional Memory</v>
          </cell>
          <cell r="M42">
            <v>330</v>
          </cell>
        </row>
        <row r="45">
          <cell r="B45">
            <v>0</v>
          </cell>
          <cell r="C45">
            <v>0</v>
          </cell>
          <cell r="M45">
            <v>360</v>
          </cell>
        </row>
        <row r="46">
          <cell r="B46" t="b">
            <v>0</v>
          </cell>
          <cell r="C46">
            <v>0</v>
          </cell>
          <cell r="M46">
            <v>370</v>
          </cell>
        </row>
        <row r="47">
          <cell r="A47" t="str">
            <v>33L3281</v>
          </cell>
          <cell r="B47">
            <v>0</v>
          </cell>
          <cell r="C47" t="str">
            <v>256MB PC1600 ECC DDR SDRAM RDIMM</v>
          </cell>
          <cell r="D47">
            <v>0</v>
          </cell>
          <cell r="E47">
            <v>459</v>
          </cell>
          <cell r="F47">
            <v>0</v>
          </cell>
          <cell r="G47">
            <v>0</v>
          </cell>
          <cell r="H47">
            <v>0</v>
          </cell>
          <cell r="I47">
            <v>0</v>
          </cell>
          <cell r="J47">
            <v>0</v>
          </cell>
          <cell r="K47">
            <v>0</v>
          </cell>
          <cell r="L47">
            <v>0</v>
          </cell>
          <cell r="M47">
            <v>380</v>
          </cell>
        </row>
        <row r="48">
          <cell r="A48" t="str">
            <v>33L3283</v>
          </cell>
          <cell r="B48">
            <v>0</v>
          </cell>
          <cell r="C48" t="str">
            <v>512MB PC1600 ECC DDR SDRAM RDIMM</v>
          </cell>
          <cell r="D48">
            <v>0</v>
          </cell>
          <cell r="E48">
            <v>389</v>
          </cell>
          <cell r="F48">
            <v>0</v>
          </cell>
          <cell r="G48">
            <v>0</v>
          </cell>
          <cell r="H48">
            <v>0</v>
          </cell>
          <cell r="I48">
            <v>0</v>
          </cell>
          <cell r="J48">
            <v>0</v>
          </cell>
          <cell r="K48">
            <v>0</v>
          </cell>
          <cell r="L48">
            <v>0</v>
          </cell>
          <cell r="M48">
            <v>390</v>
          </cell>
        </row>
        <row r="49">
          <cell r="A49" t="str">
            <v>33L3285</v>
          </cell>
          <cell r="B49">
            <v>0</v>
          </cell>
          <cell r="C49" t="str">
            <v>1GB PC1600 ECC DDR SDRAM RDIMM</v>
          </cell>
          <cell r="D49">
            <v>0</v>
          </cell>
          <cell r="E49">
            <v>969</v>
          </cell>
          <cell r="F49">
            <v>0</v>
          </cell>
          <cell r="G49">
            <v>0</v>
          </cell>
          <cell r="H49">
            <v>0</v>
          </cell>
          <cell r="I49">
            <v>0</v>
          </cell>
          <cell r="J49">
            <v>0</v>
          </cell>
          <cell r="K49">
            <v>0</v>
          </cell>
          <cell r="L49">
            <v>0</v>
          </cell>
          <cell r="M49">
            <v>400</v>
          </cell>
        </row>
        <row r="50">
          <cell r="A50" t="str">
            <v>33L3287</v>
          </cell>
          <cell r="B50">
            <v>0</v>
          </cell>
          <cell r="C50" t="str">
            <v>2GB PC1600 ECC DDR SDRAM RDIMM</v>
          </cell>
          <cell r="D50">
            <v>0</v>
          </cell>
          <cell r="E50">
            <v>5589</v>
          </cell>
          <cell r="F50">
            <v>0</v>
          </cell>
          <cell r="G50">
            <v>0</v>
          </cell>
          <cell r="H50">
            <v>0</v>
          </cell>
          <cell r="I50">
            <v>0</v>
          </cell>
          <cell r="J50">
            <v>0</v>
          </cell>
          <cell r="K50">
            <v>0</v>
          </cell>
          <cell r="L50">
            <v>0</v>
          </cell>
          <cell r="M50">
            <v>410</v>
          </cell>
        </row>
        <row r="51">
          <cell r="B51" t="str">
            <v>Memory Configuration is Acceptable</v>
          </cell>
          <cell r="C51">
            <v>0</v>
          </cell>
          <cell r="M51">
            <v>420</v>
          </cell>
        </row>
        <row r="52">
          <cell r="C52" t="str">
            <v xml:space="preserve">Installed Memory (MB) is </v>
          </cell>
          <cell r="M52">
            <v>430</v>
          </cell>
        </row>
        <row r="53">
          <cell r="B53">
            <v>0</v>
          </cell>
          <cell r="C53">
            <v>0</v>
          </cell>
          <cell r="M53">
            <v>440</v>
          </cell>
        </row>
        <row r="54">
          <cell r="C54">
            <v>0</v>
          </cell>
          <cell r="M54">
            <v>450</v>
          </cell>
        </row>
        <row r="55">
          <cell r="M55">
            <v>460</v>
          </cell>
        </row>
        <row r="56">
          <cell r="A56" t="str">
            <v>Hardfiles</v>
          </cell>
          <cell r="M56">
            <v>470</v>
          </cell>
        </row>
        <row r="57">
          <cell r="A57" t="str">
            <v>32P8163</v>
          </cell>
          <cell r="B57">
            <v>0</v>
          </cell>
          <cell r="C57" t="str">
            <v>Ultra320 6-Pack Hot Swap Expansion Kit</v>
          </cell>
          <cell r="D57">
            <v>0</v>
          </cell>
          <cell r="E57">
            <v>919</v>
          </cell>
          <cell r="F57">
            <v>0</v>
          </cell>
          <cell r="G57">
            <v>0</v>
          </cell>
          <cell r="H57">
            <v>0</v>
          </cell>
          <cell r="I57">
            <v>0</v>
          </cell>
          <cell r="J57">
            <v>0</v>
          </cell>
          <cell r="K57">
            <v>0</v>
          </cell>
          <cell r="L57">
            <v>0</v>
          </cell>
          <cell r="M57">
            <v>480</v>
          </cell>
        </row>
        <row r="58">
          <cell r="C58">
            <v>0</v>
          </cell>
          <cell r="M58">
            <v>490</v>
          </cell>
        </row>
        <row r="59">
          <cell r="C59">
            <v>0</v>
          </cell>
          <cell r="M59">
            <v>500</v>
          </cell>
        </row>
        <row r="60">
          <cell r="A60" t="str">
            <v>32P0726</v>
          </cell>
          <cell r="C60" t="str">
            <v>WITHDRAWN;IBM 36.4GB 10K-rpm Ultra320 SCSI Hot-Swap SL HDD</v>
          </cell>
          <cell r="D60">
            <v>0</v>
          </cell>
          <cell r="E60" t="str">
            <v>WDFM</v>
          </cell>
          <cell r="F60">
            <v>0</v>
          </cell>
          <cell r="G60">
            <v>0</v>
          </cell>
          <cell r="H60">
            <v>0</v>
          </cell>
          <cell r="I60">
            <v>0</v>
          </cell>
          <cell r="J60">
            <v>0</v>
          </cell>
          <cell r="K60">
            <v>0</v>
          </cell>
          <cell r="L60">
            <v>0</v>
          </cell>
          <cell r="M60">
            <v>510</v>
          </cell>
        </row>
        <row r="61">
          <cell r="A61" t="str">
            <v>32P0734</v>
          </cell>
          <cell r="C61" t="str">
            <v>WITHDRAWN;IBM 36.4GB 15K-rpm Ultra320 SCSI Hot-Swap SL HDD</v>
          </cell>
          <cell r="D61">
            <v>0</v>
          </cell>
          <cell r="E61" t="str">
            <v>WDFM</v>
          </cell>
          <cell r="F61">
            <v>0</v>
          </cell>
          <cell r="G61">
            <v>0</v>
          </cell>
          <cell r="H61">
            <v>0</v>
          </cell>
          <cell r="I61">
            <v>0</v>
          </cell>
          <cell r="J61">
            <v>0</v>
          </cell>
          <cell r="K61">
            <v>0</v>
          </cell>
          <cell r="L61">
            <v>0</v>
          </cell>
          <cell r="M61">
            <v>520</v>
          </cell>
        </row>
        <row r="62">
          <cell r="A62" t="str">
            <v>32P0727</v>
          </cell>
          <cell r="B62">
            <v>0</v>
          </cell>
          <cell r="C62" t="str">
            <v>WITHDRAWN;IBM 73.4GB 10K-rpm Ultra320 SCSI Hot-Swap SL HDD</v>
          </cell>
          <cell r="D62">
            <v>0</v>
          </cell>
          <cell r="E62" t="str">
            <v>WDFM</v>
          </cell>
          <cell r="F62">
            <v>0</v>
          </cell>
          <cell r="G62">
            <v>0</v>
          </cell>
          <cell r="H62">
            <v>0</v>
          </cell>
          <cell r="I62">
            <v>0</v>
          </cell>
          <cell r="J62">
            <v>0</v>
          </cell>
          <cell r="K62">
            <v>0</v>
          </cell>
          <cell r="L62">
            <v>0</v>
          </cell>
          <cell r="M62">
            <v>530</v>
          </cell>
        </row>
        <row r="63">
          <cell r="A63" t="str">
            <v>32P0735</v>
          </cell>
          <cell r="B63">
            <v>0</v>
          </cell>
          <cell r="C63" t="str">
            <v>WITHDRAWN;IBM 73.4GB 15K-rpm Ultra320 SCSI Hot-Swap SL HDD</v>
          </cell>
          <cell r="D63">
            <v>0</v>
          </cell>
          <cell r="E63" t="str">
            <v>WDFM</v>
          </cell>
          <cell r="F63">
            <v>0</v>
          </cell>
          <cell r="G63">
            <v>0</v>
          </cell>
          <cell r="H63">
            <v>0</v>
          </cell>
          <cell r="I63">
            <v>0</v>
          </cell>
          <cell r="J63">
            <v>0</v>
          </cell>
          <cell r="K63">
            <v>0</v>
          </cell>
          <cell r="L63">
            <v>0</v>
          </cell>
          <cell r="M63">
            <v>540</v>
          </cell>
        </row>
        <row r="64">
          <cell r="A64" t="str">
            <v>32P0728</v>
          </cell>
          <cell r="B64">
            <v>0</v>
          </cell>
          <cell r="C64" t="str">
            <v>WITHDRAWN;IBM 146.8GB 10K-rpm Ultra320 SCSI Hot-Swap SL HDD</v>
          </cell>
          <cell r="D64">
            <v>0</v>
          </cell>
          <cell r="E64" t="str">
            <v>WDFM</v>
          </cell>
          <cell r="F64">
            <v>0</v>
          </cell>
          <cell r="G64">
            <v>0</v>
          </cell>
          <cell r="H64">
            <v>0</v>
          </cell>
          <cell r="I64">
            <v>0</v>
          </cell>
          <cell r="J64">
            <v>0</v>
          </cell>
          <cell r="K64">
            <v>0</v>
          </cell>
          <cell r="L64">
            <v>0</v>
          </cell>
          <cell r="M64">
            <v>550</v>
          </cell>
        </row>
        <row r="65">
          <cell r="A65" t="str">
            <v>90P1304</v>
          </cell>
          <cell r="B65">
            <v>0</v>
          </cell>
          <cell r="C65" t="str">
            <v>IBM 36.4 GB Hot-Swap U320 10K SCSI SSL Drive</v>
          </cell>
          <cell r="D65">
            <v>0</v>
          </cell>
          <cell r="E65">
            <v>419</v>
          </cell>
          <cell r="F65">
            <v>0</v>
          </cell>
          <cell r="G65">
            <v>0</v>
          </cell>
          <cell r="H65">
            <v>0</v>
          </cell>
          <cell r="I65">
            <v>0</v>
          </cell>
          <cell r="J65">
            <v>0</v>
          </cell>
          <cell r="K65">
            <v>0</v>
          </cell>
          <cell r="L65">
            <v>0</v>
          </cell>
          <cell r="M65">
            <v>560</v>
          </cell>
        </row>
        <row r="66">
          <cell r="A66" t="str">
            <v>90P1318</v>
          </cell>
          <cell r="B66">
            <v>0</v>
          </cell>
          <cell r="C66" t="str">
            <v>IBM 36.4 GB Hot-Swap U320 15K SCSI SSL Drive</v>
          </cell>
          <cell r="D66">
            <v>0</v>
          </cell>
          <cell r="E66">
            <v>539</v>
          </cell>
          <cell r="F66">
            <v>0</v>
          </cell>
          <cell r="G66">
            <v>0</v>
          </cell>
          <cell r="H66">
            <v>0</v>
          </cell>
          <cell r="I66">
            <v>0</v>
          </cell>
          <cell r="J66">
            <v>0</v>
          </cell>
          <cell r="K66">
            <v>0</v>
          </cell>
          <cell r="L66">
            <v>0</v>
          </cell>
          <cell r="M66">
            <v>570</v>
          </cell>
        </row>
        <row r="67">
          <cell r="A67" t="str">
            <v>90P1305</v>
          </cell>
          <cell r="B67">
            <v>0</v>
          </cell>
          <cell r="C67" t="str">
            <v>IBM 73.4 GB Hot-Swap U320 10K SCSI SSL Drive</v>
          </cell>
          <cell r="D67">
            <v>0</v>
          </cell>
          <cell r="E67">
            <v>659</v>
          </cell>
          <cell r="F67">
            <v>0</v>
          </cell>
          <cell r="G67">
            <v>0</v>
          </cell>
          <cell r="H67">
            <v>0</v>
          </cell>
          <cell r="I67">
            <v>0</v>
          </cell>
          <cell r="J67">
            <v>0</v>
          </cell>
          <cell r="K67">
            <v>0</v>
          </cell>
          <cell r="L67">
            <v>0</v>
          </cell>
          <cell r="M67">
            <v>580</v>
          </cell>
        </row>
        <row r="68">
          <cell r="A68" t="str">
            <v>90P1319</v>
          </cell>
          <cell r="B68">
            <v>0</v>
          </cell>
          <cell r="C68" t="str">
            <v xml:space="preserve">IBM 73.4 GB Hot-Swap U320 15 K SCSI SSL Drive </v>
          </cell>
          <cell r="D68">
            <v>0</v>
          </cell>
          <cell r="E68">
            <v>779</v>
          </cell>
          <cell r="F68">
            <v>0</v>
          </cell>
          <cell r="G68">
            <v>0</v>
          </cell>
          <cell r="H68">
            <v>0</v>
          </cell>
          <cell r="I68">
            <v>0</v>
          </cell>
          <cell r="J68">
            <v>0</v>
          </cell>
          <cell r="K68">
            <v>0</v>
          </cell>
          <cell r="L68">
            <v>0</v>
          </cell>
          <cell r="M68">
            <v>590</v>
          </cell>
        </row>
        <row r="69">
          <cell r="A69" t="str">
            <v>90P1306</v>
          </cell>
          <cell r="B69">
            <v>0</v>
          </cell>
          <cell r="C69" t="str">
            <v>IBM 146.8 GB Hot-Swap U320 10K SCSI SSL Drive</v>
          </cell>
          <cell r="D69">
            <v>0</v>
          </cell>
          <cell r="E69">
            <v>779</v>
          </cell>
          <cell r="F69">
            <v>0</v>
          </cell>
          <cell r="G69">
            <v>0</v>
          </cell>
          <cell r="H69">
            <v>0</v>
          </cell>
          <cell r="I69">
            <v>0</v>
          </cell>
          <cell r="J69">
            <v>0</v>
          </cell>
          <cell r="K69">
            <v>0</v>
          </cell>
          <cell r="L69">
            <v>0</v>
          </cell>
          <cell r="M69">
            <v>600</v>
          </cell>
        </row>
        <row r="70">
          <cell r="A70" t="str">
            <v>N/A</v>
          </cell>
          <cell r="B70">
            <v>0</v>
          </cell>
          <cell r="C70" t="str">
            <v>WITHDRAWN;TopSeller Bundles, 2 x 73.4GB 10K-rpm Ultra320 HDD</v>
          </cell>
          <cell r="D70">
            <v>0</v>
          </cell>
          <cell r="E70" t="str">
            <v>N/A</v>
          </cell>
          <cell r="F70">
            <v>0</v>
          </cell>
          <cell r="G70">
            <v>0</v>
          </cell>
          <cell r="H70">
            <v>0</v>
          </cell>
          <cell r="I70">
            <v>0</v>
          </cell>
          <cell r="J70">
            <v>0</v>
          </cell>
          <cell r="K70">
            <v>0</v>
          </cell>
          <cell r="L70">
            <v>0</v>
          </cell>
          <cell r="M70">
            <v>610</v>
          </cell>
        </row>
        <row r="71">
          <cell r="A71" t="str">
            <v>N/A</v>
          </cell>
          <cell r="B71">
            <v>0</v>
          </cell>
          <cell r="C71" t="str">
            <v>WITHDRAWN;TopSeller Bundles, 2 x 36.4GB 10K Ultra320 SCSI HS HDD</v>
          </cell>
          <cell r="D71">
            <v>0</v>
          </cell>
          <cell r="E71" t="str">
            <v>N/A</v>
          </cell>
          <cell r="F71">
            <v>0</v>
          </cell>
          <cell r="G71">
            <v>0</v>
          </cell>
          <cell r="H71">
            <v>0</v>
          </cell>
          <cell r="I71">
            <v>0</v>
          </cell>
          <cell r="J71">
            <v>0</v>
          </cell>
          <cell r="K71">
            <v>0</v>
          </cell>
          <cell r="L71">
            <v>0</v>
          </cell>
          <cell r="M71">
            <v>620</v>
          </cell>
        </row>
        <row r="72">
          <cell r="A72" t="str">
            <v>N/A</v>
          </cell>
          <cell r="B72">
            <v>0</v>
          </cell>
          <cell r="C72" t="str">
            <v>WITHDRAWN;TopSeller Bundles, 2 x 36.4GB 15K Ultra320 SCSI HS HDD</v>
          </cell>
          <cell r="D72">
            <v>0</v>
          </cell>
          <cell r="E72" t="str">
            <v>N/A</v>
          </cell>
          <cell r="F72">
            <v>0</v>
          </cell>
          <cell r="G72">
            <v>0</v>
          </cell>
          <cell r="H72">
            <v>0</v>
          </cell>
          <cell r="I72">
            <v>0</v>
          </cell>
          <cell r="J72">
            <v>0</v>
          </cell>
          <cell r="K72">
            <v>0</v>
          </cell>
          <cell r="L72">
            <v>0</v>
          </cell>
          <cell r="M72">
            <v>630</v>
          </cell>
        </row>
        <row r="73">
          <cell r="A73" t="str">
            <v>N/A</v>
          </cell>
          <cell r="B73">
            <v>0</v>
          </cell>
          <cell r="C73" t="str">
            <v>WITHDRAWN;TopSeller Bundles, 2 x 73.4GB 15K Ultra320 SCSI HS HDD</v>
          </cell>
          <cell r="D73">
            <v>0</v>
          </cell>
          <cell r="E73" t="str">
            <v>N/A</v>
          </cell>
          <cell r="F73">
            <v>0</v>
          </cell>
          <cell r="G73">
            <v>0</v>
          </cell>
          <cell r="H73">
            <v>0</v>
          </cell>
          <cell r="I73">
            <v>0</v>
          </cell>
          <cell r="J73">
            <v>0</v>
          </cell>
          <cell r="K73">
            <v>0</v>
          </cell>
          <cell r="L73">
            <v>0</v>
          </cell>
          <cell r="M73">
            <v>640</v>
          </cell>
        </row>
        <row r="74">
          <cell r="A74" t="str">
            <v>N/A</v>
          </cell>
          <cell r="B74">
            <v>0</v>
          </cell>
          <cell r="C74" t="str">
            <v>TopSeller IBM 73.4GB 10K  U320 SCSI HS Option</v>
          </cell>
          <cell r="D74">
            <v>0</v>
          </cell>
          <cell r="E74" t="str">
            <v>N/A</v>
          </cell>
          <cell r="F74">
            <v>0</v>
          </cell>
          <cell r="G74">
            <v>0</v>
          </cell>
          <cell r="H74">
            <v>0</v>
          </cell>
          <cell r="I74">
            <v>0</v>
          </cell>
          <cell r="J74">
            <v>0</v>
          </cell>
          <cell r="K74">
            <v>0</v>
          </cell>
          <cell r="L74">
            <v>0</v>
          </cell>
          <cell r="M74">
            <v>650</v>
          </cell>
        </row>
        <row r="75">
          <cell r="A75" t="str">
            <v>N/A</v>
          </cell>
          <cell r="B75">
            <v>0</v>
          </cell>
          <cell r="C75" t="str">
            <v>TopSeller IBM 146.8GB 10K U320 SCSI HS Option</v>
          </cell>
          <cell r="D75">
            <v>0</v>
          </cell>
          <cell r="E75" t="str">
            <v>N/A</v>
          </cell>
          <cell r="F75">
            <v>0</v>
          </cell>
          <cell r="G75">
            <v>0</v>
          </cell>
          <cell r="H75">
            <v>0</v>
          </cell>
          <cell r="I75">
            <v>0</v>
          </cell>
          <cell r="J75">
            <v>0</v>
          </cell>
          <cell r="K75">
            <v>0</v>
          </cell>
          <cell r="L75">
            <v>0</v>
          </cell>
          <cell r="M75">
            <v>660</v>
          </cell>
        </row>
        <row r="76">
          <cell r="A76" t="str">
            <v>N/A</v>
          </cell>
          <cell r="B76">
            <v>0</v>
          </cell>
          <cell r="C76" t="str">
            <v>TopSeller IBM 36.4GB 15K  U320 SCSI HS Option</v>
          </cell>
          <cell r="D76">
            <v>0</v>
          </cell>
          <cell r="E76" t="str">
            <v>N/A</v>
          </cell>
          <cell r="F76">
            <v>0</v>
          </cell>
          <cell r="G76">
            <v>0</v>
          </cell>
          <cell r="H76">
            <v>0</v>
          </cell>
          <cell r="I76">
            <v>0</v>
          </cell>
          <cell r="J76">
            <v>0</v>
          </cell>
          <cell r="K76">
            <v>0</v>
          </cell>
          <cell r="L76">
            <v>0</v>
          </cell>
          <cell r="M76">
            <v>670</v>
          </cell>
        </row>
        <row r="77">
          <cell r="A77" t="str">
            <v>N/A</v>
          </cell>
          <cell r="B77">
            <v>0</v>
          </cell>
          <cell r="C77" t="str">
            <v>TopSeller IBM 73.4GB 15K  U320 SCSI HS Option</v>
          </cell>
          <cell r="D77">
            <v>0</v>
          </cell>
          <cell r="E77" t="str">
            <v>N/A</v>
          </cell>
          <cell r="F77">
            <v>0</v>
          </cell>
          <cell r="G77">
            <v>0</v>
          </cell>
          <cell r="H77">
            <v>0</v>
          </cell>
          <cell r="I77">
            <v>0</v>
          </cell>
          <cell r="J77">
            <v>0</v>
          </cell>
          <cell r="K77">
            <v>0</v>
          </cell>
          <cell r="L77">
            <v>0</v>
          </cell>
          <cell r="M77">
            <v>680</v>
          </cell>
        </row>
        <row r="78">
          <cell r="C78" t="str">
            <v>No Disks Configured</v>
          </cell>
          <cell r="M78">
            <v>690</v>
          </cell>
        </row>
        <row r="79">
          <cell r="C79" t="str">
            <v xml:space="preserve">Installed Disk Capacity (GB) is </v>
          </cell>
          <cell r="M79">
            <v>700</v>
          </cell>
        </row>
        <row r="80">
          <cell r="C80">
            <v>0</v>
          </cell>
          <cell r="M80">
            <v>710</v>
          </cell>
        </row>
        <row r="81">
          <cell r="M81">
            <v>720</v>
          </cell>
        </row>
        <row r="82">
          <cell r="A82" t="str">
            <v>I/O Options</v>
          </cell>
          <cell r="M82">
            <v>730</v>
          </cell>
        </row>
        <row r="83">
          <cell r="C83" t="str">
            <v>System supports up to 7 full length PCI cards</v>
          </cell>
          <cell r="M83">
            <v>740</v>
          </cell>
        </row>
        <row r="84">
          <cell r="A84" t="str">
            <v>- Storage Controllers</v>
          </cell>
          <cell r="M84">
            <v>750</v>
          </cell>
        </row>
        <row r="85">
          <cell r="C85" t="str">
            <v>System comes with a dual-port, dual-channel 64-bit Wide Ultra160 SCSI controller</v>
          </cell>
          <cell r="M85">
            <v>760</v>
          </cell>
        </row>
        <row r="86">
          <cell r="A86" t="str">
            <v>06P5740</v>
          </cell>
          <cell r="B86">
            <v>0</v>
          </cell>
          <cell r="C86" t="str">
            <v>WITHDRAWN;IBM ServeRAID-4Lx Ultra160 SCSI Controller</v>
          </cell>
          <cell r="D86">
            <v>0</v>
          </cell>
          <cell r="E86" t="str">
            <v>WDFM</v>
          </cell>
          <cell r="F86">
            <v>0</v>
          </cell>
          <cell r="G86">
            <v>0</v>
          </cell>
          <cell r="H86">
            <v>0</v>
          </cell>
          <cell r="I86">
            <v>0</v>
          </cell>
          <cell r="J86">
            <v>0</v>
          </cell>
          <cell r="K86">
            <v>0</v>
          </cell>
          <cell r="L86">
            <v>0</v>
          </cell>
          <cell r="M86">
            <v>770</v>
          </cell>
        </row>
        <row r="87">
          <cell r="A87" t="str">
            <v>32P0033</v>
          </cell>
          <cell r="B87">
            <v>0</v>
          </cell>
          <cell r="C87" t="str">
            <v>IBM ServeRAID-6M SCSI Controller (128MB Cache)</v>
          </cell>
          <cell r="D87">
            <v>0</v>
          </cell>
          <cell r="E87">
            <v>1499</v>
          </cell>
          <cell r="F87">
            <v>0</v>
          </cell>
          <cell r="G87">
            <v>0</v>
          </cell>
          <cell r="H87">
            <v>0</v>
          </cell>
          <cell r="I87">
            <v>0</v>
          </cell>
          <cell r="J87">
            <v>0</v>
          </cell>
          <cell r="K87">
            <v>0</v>
          </cell>
          <cell r="L87">
            <v>0</v>
          </cell>
          <cell r="M87">
            <v>780</v>
          </cell>
        </row>
        <row r="88">
          <cell r="A88" t="str">
            <v>02R0988</v>
          </cell>
          <cell r="B88">
            <v>0</v>
          </cell>
          <cell r="C88" t="str">
            <v>IBM ServeRAID-6M SCSI Controller (256MB Cache)</v>
          </cell>
          <cell r="D88">
            <v>0</v>
          </cell>
          <cell r="E88">
            <v>1899</v>
          </cell>
          <cell r="F88">
            <v>0</v>
          </cell>
          <cell r="G88">
            <v>0</v>
          </cell>
          <cell r="H88">
            <v>0</v>
          </cell>
          <cell r="I88">
            <v>0</v>
          </cell>
          <cell r="J88">
            <v>0</v>
          </cell>
          <cell r="K88">
            <v>0</v>
          </cell>
          <cell r="L88">
            <v>0</v>
          </cell>
          <cell r="M88">
            <v>790</v>
          </cell>
        </row>
        <row r="89">
          <cell r="A89" t="str">
            <v>02R2068</v>
          </cell>
          <cell r="B89">
            <v>0</v>
          </cell>
          <cell r="C89" t="str">
            <v>Ultra320 Internal Single-drop 24" LVD SCSI Cable</v>
          </cell>
          <cell r="D89">
            <v>0</v>
          </cell>
          <cell r="E89">
            <v>56</v>
          </cell>
          <cell r="F89">
            <v>0</v>
          </cell>
          <cell r="G89">
            <v>0</v>
          </cell>
          <cell r="H89">
            <v>0</v>
          </cell>
          <cell r="I89">
            <v>0</v>
          </cell>
          <cell r="J89">
            <v>0</v>
          </cell>
          <cell r="K89">
            <v>0</v>
          </cell>
          <cell r="L89">
            <v>0</v>
          </cell>
          <cell r="M89">
            <v>800</v>
          </cell>
        </row>
        <row r="90">
          <cell r="C90">
            <v>0</v>
          </cell>
          <cell r="M90">
            <v>810</v>
          </cell>
        </row>
        <row r="91">
          <cell r="A91" t="str">
            <v>19K4646</v>
          </cell>
          <cell r="B91">
            <v>0</v>
          </cell>
          <cell r="C91" t="str">
            <v>PCI Wide Ultra 160 SCSI Adapter</v>
          </cell>
          <cell r="D91">
            <v>0</v>
          </cell>
          <cell r="E91">
            <v>469</v>
          </cell>
          <cell r="F91">
            <v>0</v>
          </cell>
          <cell r="G91">
            <v>0</v>
          </cell>
          <cell r="H91">
            <v>0</v>
          </cell>
          <cell r="I91">
            <v>0</v>
          </cell>
          <cell r="J91">
            <v>0</v>
          </cell>
          <cell r="K91">
            <v>0</v>
          </cell>
          <cell r="L91">
            <v>0</v>
          </cell>
          <cell r="M91">
            <v>820</v>
          </cell>
        </row>
        <row r="92">
          <cell r="A92" t="str">
            <v>32P8164</v>
          </cell>
          <cell r="B92">
            <v>0</v>
          </cell>
          <cell r="C92" t="str">
            <v>IBM External SCSI Interface Kit</v>
          </cell>
          <cell r="D92">
            <v>0</v>
          </cell>
          <cell r="E92">
            <v>79</v>
          </cell>
          <cell r="F92">
            <v>0</v>
          </cell>
          <cell r="G92">
            <v>0</v>
          </cell>
          <cell r="H92">
            <v>0</v>
          </cell>
          <cell r="I92">
            <v>0</v>
          </cell>
          <cell r="J92">
            <v>0</v>
          </cell>
          <cell r="K92">
            <v>0</v>
          </cell>
          <cell r="L92">
            <v>0</v>
          </cell>
          <cell r="M92">
            <v>830</v>
          </cell>
        </row>
        <row r="93">
          <cell r="C93">
            <v>0</v>
          </cell>
          <cell r="M93">
            <v>840</v>
          </cell>
        </row>
        <row r="94">
          <cell r="A94" t="str">
            <v>- Fibre Storage Controllers</v>
          </cell>
          <cell r="M94">
            <v>850</v>
          </cell>
        </row>
        <row r="95">
          <cell r="A95" t="str">
            <v>24P0960</v>
          </cell>
          <cell r="B95">
            <v>0</v>
          </cell>
          <cell r="C95" t="str">
            <v>IBM Total Storage DS4000 FC2-133 Host Bus Adapter</v>
          </cell>
          <cell r="D95">
            <v>0</v>
          </cell>
          <cell r="E95">
            <v>2299</v>
          </cell>
          <cell r="F95">
            <v>0</v>
          </cell>
          <cell r="G95">
            <v>0</v>
          </cell>
          <cell r="H95">
            <v>0</v>
          </cell>
          <cell r="I95">
            <v>0</v>
          </cell>
          <cell r="J95">
            <v>0</v>
          </cell>
          <cell r="K95">
            <v>0</v>
          </cell>
          <cell r="L95">
            <v>0</v>
          </cell>
          <cell r="M95">
            <v>860</v>
          </cell>
        </row>
        <row r="96">
          <cell r="A96" t="str">
            <v>- LAN Adapter Options</v>
          </cell>
          <cell r="M96">
            <v>870</v>
          </cell>
        </row>
        <row r="97">
          <cell r="C97" t="str">
            <v>System comes with integrated 10/100/1000 Broadcom single-port Ethernet Controller</v>
          </cell>
          <cell r="M97">
            <v>880</v>
          </cell>
        </row>
        <row r="98">
          <cell r="A98" t="str">
            <v>06P3601</v>
          </cell>
          <cell r="B98">
            <v>0</v>
          </cell>
          <cell r="C98" t="str">
            <v>IBM 10/100 Ethernet Server Adapter</v>
          </cell>
          <cell r="D98">
            <v>0</v>
          </cell>
          <cell r="E98">
            <v>159.01</v>
          </cell>
          <cell r="F98">
            <v>0</v>
          </cell>
          <cell r="G98">
            <v>0</v>
          </cell>
          <cell r="H98">
            <v>0</v>
          </cell>
          <cell r="I98">
            <v>0</v>
          </cell>
          <cell r="J98">
            <v>0</v>
          </cell>
          <cell r="K98">
            <v>0</v>
          </cell>
          <cell r="L98">
            <v>0</v>
          </cell>
          <cell r="M98">
            <v>890</v>
          </cell>
        </row>
        <row r="99">
          <cell r="A99" t="str">
            <v>22P7801</v>
          </cell>
          <cell r="B99">
            <v>0</v>
          </cell>
          <cell r="C99" t="str">
            <v>WITHDRAWN;NetXtreme 1000 SX Fiber Ethernet adapter</v>
          </cell>
          <cell r="D99">
            <v>0</v>
          </cell>
          <cell r="E99" t="str">
            <v>WDFM</v>
          </cell>
          <cell r="F99">
            <v>0</v>
          </cell>
          <cell r="G99">
            <v>0</v>
          </cell>
          <cell r="H99">
            <v>0</v>
          </cell>
          <cell r="I99">
            <v>0</v>
          </cell>
          <cell r="J99">
            <v>0</v>
          </cell>
          <cell r="K99">
            <v>0</v>
          </cell>
          <cell r="L99">
            <v>0</v>
          </cell>
          <cell r="M99">
            <v>900</v>
          </cell>
        </row>
        <row r="100">
          <cell r="A100" t="str">
            <v>31P6301</v>
          </cell>
          <cell r="B100">
            <v>0</v>
          </cell>
          <cell r="C100" t="str">
            <v>WITHDRAWN;NetXtreme 1000 T Ethernet Adapter (copper)</v>
          </cell>
          <cell r="D100">
            <v>0</v>
          </cell>
          <cell r="E100" t="str">
            <v>WDFM</v>
          </cell>
          <cell r="F100">
            <v>0</v>
          </cell>
          <cell r="G100">
            <v>0</v>
          </cell>
          <cell r="H100">
            <v>0</v>
          </cell>
          <cell r="I100">
            <v>0</v>
          </cell>
          <cell r="J100">
            <v>0</v>
          </cell>
          <cell r="K100">
            <v>0</v>
          </cell>
          <cell r="L100">
            <v>0</v>
          </cell>
          <cell r="M100">
            <v>910</v>
          </cell>
        </row>
        <row r="101">
          <cell r="A101" t="str">
            <v>31P6401</v>
          </cell>
          <cell r="B101">
            <v>0</v>
          </cell>
          <cell r="C101" t="str">
            <v>WITHDRAWN;NetXtreme 1000 T Dual Port Ethernet Adapter</v>
          </cell>
          <cell r="D101">
            <v>0</v>
          </cell>
          <cell r="E101" t="str">
            <v>WDFM</v>
          </cell>
          <cell r="F101">
            <v>0</v>
          </cell>
          <cell r="G101">
            <v>0</v>
          </cell>
          <cell r="H101">
            <v>0</v>
          </cell>
          <cell r="I101">
            <v>0</v>
          </cell>
          <cell r="J101">
            <v>0</v>
          </cell>
          <cell r="K101">
            <v>0</v>
          </cell>
          <cell r="L101">
            <v>0</v>
          </cell>
          <cell r="M101">
            <v>920</v>
          </cell>
        </row>
        <row r="102">
          <cell r="A102" t="str">
            <v>31P9601</v>
          </cell>
          <cell r="B102">
            <v>0</v>
          </cell>
          <cell r="C102" t="str">
            <v>Intel PRO/1000 MT Server Adapter</v>
          </cell>
          <cell r="D102">
            <v>0</v>
          </cell>
          <cell r="E102">
            <v>219</v>
          </cell>
          <cell r="F102">
            <v>0</v>
          </cell>
          <cell r="G102">
            <v>0</v>
          </cell>
          <cell r="H102">
            <v>0</v>
          </cell>
          <cell r="I102">
            <v>0</v>
          </cell>
          <cell r="J102">
            <v>0</v>
          </cell>
          <cell r="K102">
            <v>0</v>
          </cell>
          <cell r="L102">
            <v>0</v>
          </cell>
          <cell r="M102">
            <v>930</v>
          </cell>
        </row>
        <row r="103">
          <cell r="C103">
            <v>0</v>
          </cell>
          <cell r="M103">
            <v>940</v>
          </cell>
        </row>
        <row r="104">
          <cell r="A104" t="str">
            <v>- Communications Adapters</v>
          </cell>
          <cell r="M104">
            <v>950</v>
          </cell>
        </row>
        <row r="105">
          <cell r="C105" t="str">
            <v>System includes 4 USB ports, 1 external serial port &amp; 2 integrated RS-485 system management interconnect ports</v>
          </cell>
          <cell r="M105">
            <v>960</v>
          </cell>
        </row>
        <row r="106">
          <cell r="A106" t="str">
            <v>33L4618</v>
          </cell>
          <cell r="B106">
            <v>0</v>
          </cell>
          <cell r="C106" t="str">
            <v>IBM V.90 PCI Data/Fax Modem</v>
          </cell>
          <cell r="D106">
            <v>0</v>
          </cell>
          <cell r="E106">
            <v>129</v>
          </cell>
          <cell r="F106">
            <v>0</v>
          </cell>
          <cell r="G106">
            <v>0</v>
          </cell>
          <cell r="H106">
            <v>0</v>
          </cell>
          <cell r="I106">
            <v>0</v>
          </cell>
          <cell r="J106">
            <v>0</v>
          </cell>
          <cell r="K106">
            <v>0</v>
          </cell>
          <cell r="L106">
            <v>0</v>
          </cell>
          <cell r="M106">
            <v>970</v>
          </cell>
        </row>
        <row r="107">
          <cell r="A107" t="str">
            <v>1519100</v>
          </cell>
          <cell r="B107">
            <v>0</v>
          </cell>
          <cell r="C107" t="str">
            <v>Integrated xSeries Adapter for iSeries</v>
          </cell>
          <cell r="D107">
            <v>0</v>
          </cell>
          <cell r="E107" t="str">
            <v>???</v>
          </cell>
          <cell r="F107">
            <v>0</v>
          </cell>
          <cell r="G107">
            <v>0</v>
          </cell>
          <cell r="H107">
            <v>0</v>
          </cell>
          <cell r="I107">
            <v>0</v>
          </cell>
          <cell r="J107">
            <v>0</v>
          </cell>
          <cell r="K107">
            <v>0</v>
          </cell>
          <cell r="L107">
            <v>0</v>
          </cell>
          <cell r="M107">
            <v>980</v>
          </cell>
        </row>
        <row r="108">
          <cell r="A108" t="str">
            <v>- Advanced System Management options</v>
          </cell>
          <cell r="M108">
            <v>990</v>
          </cell>
        </row>
        <row r="109">
          <cell r="C109" t="str">
            <v>System comes with integrated IBM Advanced System Management processor</v>
          </cell>
          <cell r="M109">
            <v>1000</v>
          </cell>
        </row>
        <row r="110">
          <cell r="A110" t="str">
            <v>59P2995</v>
          </cell>
          <cell r="B110">
            <v>0</v>
          </cell>
          <cell r="C110" t="str">
            <v>Remote Supervisor Adapter II</v>
          </cell>
          <cell r="D110">
            <v>0</v>
          </cell>
          <cell r="E110">
            <v>939</v>
          </cell>
          <cell r="F110">
            <v>0</v>
          </cell>
          <cell r="G110">
            <v>0</v>
          </cell>
          <cell r="H110">
            <v>0</v>
          </cell>
          <cell r="I110">
            <v>0</v>
          </cell>
          <cell r="J110">
            <v>0</v>
          </cell>
          <cell r="K110">
            <v>0</v>
          </cell>
          <cell r="L110">
            <v>0</v>
          </cell>
          <cell r="M110">
            <v>1010</v>
          </cell>
        </row>
        <row r="111">
          <cell r="C111" t="str">
            <v>No PCI Cards installed</v>
          </cell>
          <cell r="M111">
            <v>1020</v>
          </cell>
        </row>
        <row r="112">
          <cell r="M112">
            <v>1030</v>
          </cell>
        </row>
        <row r="113">
          <cell r="A113" t="str">
            <v>External Storage Enclosures</v>
          </cell>
          <cell r="M113">
            <v>1040</v>
          </cell>
        </row>
        <row r="114">
          <cell r="C114" t="str">
            <v>Use Fibre Options sheet to order DS4100, FAStT200s, DS4500s, EXP500s or Switches.</v>
          </cell>
          <cell r="M114">
            <v>1050</v>
          </cell>
        </row>
        <row r="115">
          <cell r="M115">
            <v>1060</v>
          </cell>
        </row>
        <row r="116">
          <cell r="A116" t="str">
            <v>Tape Drives</v>
          </cell>
          <cell r="M116">
            <v>1070</v>
          </cell>
        </row>
        <row r="117">
          <cell r="C117" t="str">
            <v>Select 1 FH Tape Drive or up to 2 HH Tape Drives, if required</v>
          </cell>
          <cell r="M117">
            <v>1080</v>
          </cell>
        </row>
        <row r="118">
          <cell r="A118" t="str">
            <v>00N7991</v>
          </cell>
          <cell r="B118">
            <v>0</v>
          </cell>
          <cell r="C118" t="str">
            <v>IBM 20/40GB DDS/4 4mm Internal Tape Drive -SCSI</v>
          </cell>
          <cell r="D118">
            <v>0</v>
          </cell>
          <cell r="E118">
            <v>1099</v>
          </cell>
          <cell r="F118">
            <v>0</v>
          </cell>
          <cell r="G118">
            <v>0</v>
          </cell>
          <cell r="H118">
            <v>0</v>
          </cell>
          <cell r="I118">
            <v>0</v>
          </cell>
          <cell r="J118">
            <v>0</v>
          </cell>
          <cell r="K118">
            <v>0</v>
          </cell>
          <cell r="L118">
            <v>0</v>
          </cell>
          <cell r="M118">
            <v>1090</v>
          </cell>
        </row>
        <row r="119">
          <cell r="A119" t="str">
            <v>00N7992</v>
          </cell>
          <cell r="B119">
            <v>0</v>
          </cell>
          <cell r="C119" t="str">
            <v>IBM 120/240GB DDS/4 Tape Autoloader</v>
          </cell>
          <cell r="D119">
            <v>0</v>
          </cell>
          <cell r="E119">
            <v>4089</v>
          </cell>
          <cell r="F119">
            <v>0</v>
          </cell>
          <cell r="G119">
            <v>0</v>
          </cell>
          <cell r="H119">
            <v>0</v>
          </cell>
          <cell r="I119">
            <v>0</v>
          </cell>
          <cell r="J119">
            <v>0</v>
          </cell>
          <cell r="K119">
            <v>0</v>
          </cell>
          <cell r="L119">
            <v>0</v>
          </cell>
          <cell r="M119">
            <v>1100</v>
          </cell>
        </row>
        <row r="120">
          <cell r="A120" t="str">
            <v>59P6745</v>
          </cell>
          <cell r="B120">
            <v>0</v>
          </cell>
          <cell r="C120" t="str">
            <v>IBM 80/160 GB Half-High VS160 Internal Tape Drive - SCSI</v>
          </cell>
          <cell r="D120">
            <v>0</v>
          </cell>
          <cell r="E120">
            <v>3699</v>
          </cell>
          <cell r="F120">
            <v>0</v>
          </cell>
          <cell r="G120">
            <v>0</v>
          </cell>
          <cell r="H120">
            <v>0</v>
          </cell>
          <cell r="I120">
            <v>0</v>
          </cell>
          <cell r="J120">
            <v>0</v>
          </cell>
          <cell r="K120">
            <v>0</v>
          </cell>
          <cell r="L120">
            <v>0</v>
          </cell>
          <cell r="M120">
            <v>1110</v>
          </cell>
        </row>
        <row r="121">
          <cell r="A121" t="str">
            <v>59P6736</v>
          </cell>
          <cell r="B121">
            <v>0</v>
          </cell>
          <cell r="C121" t="str">
            <v>IBM 160/320GB SDLT Tape Drive</v>
          </cell>
          <cell r="D121">
            <v>0</v>
          </cell>
          <cell r="E121">
            <v>8419</v>
          </cell>
          <cell r="F121">
            <v>0</v>
          </cell>
          <cell r="G121">
            <v>0</v>
          </cell>
          <cell r="H121">
            <v>0</v>
          </cell>
          <cell r="I121">
            <v>0</v>
          </cell>
          <cell r="J121">
            <v>0</v>
          </cell>
          <cell r="K121">
            <v>0</v>
          </cell>
          <cell r="L121">
            <v>0</v>
          </cell>
          <cell r="M121">
            <v>1120</v>
          </cell>
        </row>
        <row r="122">
          <cell r="A122" t="str">
            <v>59P6744</v>
          </cell>
          <cell r="B122">
            <v>0</v>
          </cell>
          <cell r="C122" t="str">
            <v>IBM 200/400GB LTO-Generation 2 Full-High Tape Drive</v>
          </cell>
          <cell r="D122">
            <v>0</v>
          </cell>
          <cell r="E122">
            <v>5999</v>
          </cell>
          <cell r="F122">
            <v>0</v>
          </cell>
          <cell r="G122">
            <v>0</v>
          </cell>
          <cell r="H122">
            <v>0</v>
          </cell>
          <cell r="I122">
            <v>0</v>
          </cell>
          <cell r="J122">
            <v>0</v>
          </cell>
          <cell r="K122">
            <v>0</v>
          </cell>
          <cell r="L122">
            <v>0</v>
          </cell>
          <cell r="M122">
            <v>1130</v>
          </cell>
        </row>
        <row r="123">
          <cell r="A123" t="str">
            <v>N/A</v>
          </cell>
          <cell r="B123" t="str">
            <v>30R5-099</v>
          </cell>
          <cell r="C123" t="str">
            <v>TopSeller IBM 200/400GB Internal LTO Tape Drive</v>
          </cell>
          <cell r="D123">
            <v>0</v>
          </cell>
          <cell r="E123" t="str">
            <v>N/A</v>
          </cell>
          <cell r="F123">
            <v>0</v>
          </cell>
          <cell r="G123">
            <v>0</v>
          </cell>
          <cell r="H123">
            <v>0</v>
          </cell>
          <cell r="I123">
            <v>0</v>
          </cell>
          <cell r="J123">
            <v>0</v>
          </cell>
          <cell r="K123">
            <v>0</v>
          </cell>
          <cell r="L123">
            <v>0</v>
          </cell>
          <cell r="M123">
            <v>1140</v>
          </cell>
        </row>
        <row r="124">
          <cell r="C124" t="str">
            <v>No Tape Drives selected</v>
          </cell>
          <cell r="M124">
            <v>1150</v>
          </cell>
        </row>
        <row r="125">
          <cell r="M125">
            <v>1160</v>
          </cell>
        </row>
        <row r="126">
          <cell r="A126" t="str">
            <v>Tape Cartridges</v>
          </cell>
          <cell r="M126">
            <v>1170</v>
          </cell>
        </row>
        <row r="127">
          <cell r="A127" t="str">
            <v>71P9158</v>
          </cell>
          <cell r="B127">
            <v>0</v>
          </cell>
          <cell r="C127" t="str">
            <v>DDS Gen-5 Tape Media Data Cartridge (5 pack)</v>
          </cell>
          <cell r="D127">
            <v>0</v>
          </cell>
          <cell r="E127">
            <v>220</v>
          </cell>
          <cell r="F127">
            <v>0</v>
          </cell>
          <cell r="G127">
            <v>0</v>
          </cell>
          <cell r="H127">
            <v>0</v>
          </cell>
          <cell r="I127">
            <v>0</v>
          </cell>
          <cell r="J127">
            <v>0</v>
          </cell>
          <cell r="K127">
            <v>0</v>
          </cell>
          <cell r="L127">
            <v>0</v>
          </cell>
          <cell r="M127">
            <v>1180</v>
          </cell>
        </row>
        <row r="128">
          <cell r="A128" t="str">
            <v>71P9152</v>
          </cell>
          <cell r="B128">
            <v>0</v>
          </cell>
          <cell r="C128" t="str">
            <v>LTO Generation 1 Media (5 pack)</v>
          </cell>
          <cell r="D128">
            <v>0</v>
          </cell>
          <cell r="E128">
            <v>719</v>
          </cell>
          <cell r="F128">
            <v>0</v>
          </cell>
          <cell r="G128">
            <v>0</v>
          </cell>
          <cell r="H128">
            <v>0</v>
          </cell>
          <cell r="I128">
            <v>0</v>
          </cell>
          <cell r="J128">
            <v>0</v>
          </cell>
          <cell r="K128">
            <v>0</v>
          </cell>
          <cell r="L128">
            <v>0</v>
          </cell>
          <cell r="M128">
            <v>1190</v>
          </cell>
        </row>
        <row r="129">
          <cell r="A129" t="str">
            <v>71P9153</v>
          </cell>
          <cell r="B129">
            <v>0</v>
          </cell>
          <cell r="C129" t="str">
            <v>SDLT Media (5 pack)</v>
          </cell>
          <cell r="D129">
            <v>0</v>
          </cell>
          <cell r="E129">
            <v>1229</v>
          </cell>
          <cell r="F129">
            <v>0</v>
          </cell>
          <cell r="G129">
            <v>0</v>
          </cell>
          <cell r="H129">
            <v>0</v>
          </cell>
          <cell r="I129">
            <v>0</v>
          </cell>
          <cell r="J129">
            <v>0</v>
          </cell>
          <cell r="K129">
            <v>0</v>
          </cell>
          <cell r="L129">
            <v>0</v>
          </cell>
          <cell r="M129">
            <v>1200</v>
          </cell>
        </row>
        <row r="130">
          <cell r="A130" t="str">
            <v>71P9154</v>
          </cell>
          <cell r="B130">
            <v>0</v>
          </cell>
          <cell r="C130" t="str">
            <v>DLTIV Media (5 pack)</v>
          </cell>
          <cell r="D130">
            <v>0</v>
          </cell>
          <cell r="E130">
            <v>549</v>
          </cell>
          <cell r="F130">
            <v>0</v>
          </cell>
          <cell r="G130">
            <v>0</v>
          </cell>
          <cell r="H130">
            <v>0</v>
          </cell>
          <cell r="I130">
            <v>0</v>
          </cell>
          <cell r="J130">
            <v>0</v>
          </cell>
          <cell r="K130">
            <v>0</v>
          </cell>
          <cell r="L130">
            <v>0</v>
          </cell>
          <cell r="M130">
            <v>1210</v>
          </cell>
        </row>
        <row r="131">
          <cell r="A131" t="str">
            <v>71P9155</v>
          </cell>
          <cell r="B131">
            <v>0</v>
          </cell>
          <cell r="C131" t="str">
            <v>DDS4 Media (5 pack)</v>
          </cell>
          <cell r="D131">
            <v>0</v>
          </cell>
          <cell r="E131">
            <v>169</v>
          </cell>
          <cell r="F131">
            <v>0</v>
          </cell>
          <cell r="G131">
            <v>0</v>
          </cell>
          <cell r="H131">
            <v>0</v>
          </cell>
          <cell r="I131">
            <v>0</v>
          </cell>
          <cell r="J131">
            <v>0</v>
          </cell>
          <cell r="K131">
            <v>0</v>
          </cell>
          <cell r="L131">
            <v>0</v>
          </cell>
          <cell r="M131">
            <v>1220</v>
          </cell>
        </row>
        <row r="132">
          <cell r="A132" t="str">
            <v>71P9159</v>
          </cell>
          <cell r="B132">
            <v>0</v>
          </cell>
          <cell r="C132" t="str">
            <v>LTO Generation 2 Media (5 pack)</v>
          </cell>
          <cell r="D132">
            <v>0</v>
          </cell>
          <cell r="E132">
            <v>1499</v>
          </cell>
          <cell r="F132">
            <v>0</v>
          </cell>
          <cell r="G132">
            <v>0</v>
          </cell>
          <cell r="H132">
            <v>0</v>
          </cell>
          <cell r="I132">
            <v>0</v>
          </cell>
          <cell r="J132">
            <v>0</v>
          </cell>
          <cell r="K132">
            <v>0</v>
          </cell>
          <cell r="L132">
            <v>0</v>
          </cell>
          <cell r="M132">
            <v>1230</v>
          </cell>
        </row>
        <row r="133">
          <cell r="D133">
            <v>0</v>
          </cell>
          <cell r="M133">
            <v>1240</v>
          </cell>
        </row>
        <row r="134">
          <cell r="A134" t="str">
            <v>Tape LTO Options</v>
          </cell>
          <cell r="D134">
            <v>0</v>
          </cell>
          <cell r="M134">
            <v>1250</v>
          </cell>
        </row>
        <row r="135">
          <cell r="A135" t="str">
            <v>N/A</v>
          </cell>
          <cell r="B135">
            <v>0</v>
          </cell>
          <cell r="C135" t="str">
            <v>TopSeller LTO Gen2 Option A</v>
          </cell>
          <cell r="D135">
            <v>0</v>
          </cell>
          <cell r="E135" t="str">
            <v>N/A</v>
          </cell>
          <cell r="F135">
            <v>0</v>
          </cell>
          <cell r="G135">
            <v>0</v>
          </cell>
          <cell r="H135">
            <v>0</v>
          </cell>
          <cell r="I135">
            <v>0</v>
          </cell>
          <cell r="J135">
            <v>0</v>
          </cell>
          <cell r="K135">
            <v>0</v>
          </cell>
          <cell r="L135">
            <v>0</v>
          </cell>
          <cell r="M135">
            <v>1260</v>
          </cell>
        </row>
        <row r="136">
          <cell r="A136" t="str">
            <v>N/A</v>
          </cell>
          <cell r="B136">
            <v>0</v>
          </cell>
          <cell r="C136" t="str">
            <v>TopSeller LTO Gen2 Option B</v>
          </cell>
          <cell r="D136">
            <v>0</v>
          </cell>
          <cell r="E136" t="str">
            <v>N/A</v>
          </cell>
          <cell r="F136">
            <v>0</v>
          </cell>
          <cell r="G136">
            <v>0</v>
          </cell>
          <cell r="H136">
            <v>0</v>
          </cell>
          <cell r="I136">
            <v>0</v>
          </cell>
          <cell r="J136">
            <v>0</v>
          </cell>
          <cell r="K136">
            <v>0</v>
          </cell>
          <cell r="L136">
            <v>0</v>
          </cell>
          <cell r="M136">
            <v>1270</v>
          </cell>
        </row>
        <row r="137">
          <cell r="M137">
            <v>1280</v>
          </cell>
        </row>
        <row r="138">
          <cell r="A138" t="str">
            <v>Optical devices</v>
          </cell>
          <cell r="M138">
            <v>1290</v>
          </cell>
        </row>
        <row r="139">
          <cell r="C139" t="str">
            <v>Selected model contains a 48x-20x CD-ROM drive</v>
          </cell>
          <cell r="M139">
            <v>1300</v>
          </cell>
        </row>
        <row r="140">
          <cell r="A140" t="str">
            <v>22P6950</v>
          </cell>
          <cell r="B140">
            <v>0</v>
          </cell>
          <cell r="C140" t="str">
            <v>IBM 16X Max RAM-Read DVD-ROM Drive</v>
          </cell>
          <cell r="D140">
            <v>0</v>
          </cell>
          <cell r="E140">
            <v>99</v>
          </cell>
          <cell r="F140">
            <v>0</v>
          </cell>
          <cell r="G140">
            <v>0</v>
          </cell>
          <cell r="H140">
            <v>0</v>
          </cell>
          <cell r="I140">
            <v>0</v>
          </cell>
          <cell r="J140">
            <v>0</v>
          </cell>
          <cell r="K140">
            <v>0</v>
          </cell>
          <cell r="L140">
            <v>0</v>
          </cell>
          <cell r="M140">
            <v>1310</v>
          </cell>
        </row>
        <row r="141">
          <cell r="C141">
            <v>0</v>
          </cell>
          <cell r="M141">
            <v>1320</v>
          </cell>
        </row>
        <row r="142">
          <cell r="M142">
            <v>1330</v>
          </cell>
        </row>
        <row r="143">
          <cell r="A143" t="str">
            <v>Additional Options</v>
          </cell>
          <cell r="M143">
            <v>1340</v>
          </cell>
        </row>
        <row r="144">
          <cell r="A144" t="str">
            <v>- Power</v>
          </cell>
          <cell r="C144" t="str">
            <v>System ships with 2 power supplies; order 2 additional power supplies if redundancy required</v>
          </cell>
          <cell r="M144">
            <v>1350</v>
          </cell>
        </row>
        <row r="145">
          <cell r="A145" t="str">
            <v>31P6133</v>
          </cell>
          <cell r="B145">
            <v>0</v>
          </cell>
          <cell r="C145" t="str">
            <v>WITHDRAWN;xSeries 370W Reversed Fan Hot Swap Power Supply</v>
          </cell>
          <cell r="D145">
            <v>0</v>
          </cell>
          <cell r="E145" t="str">
            <v>WDFM</v>
          </cell>
          <cell r="F145">
            <v>0</v>
          </cell>
          <cell r="G145">
            <v>1</v>
          </cell>
          <cell r="H145">
            <v>0</v>
          </cell>
          <cell r="I145">
            <v>1</v>
          </cell>
          <cell r="J145">
            <v>0</v>
          </cell>
          <cell r="K145">
            <v>1</v>
          </cell>
          <cell r="L145">
            <v>0</v>
          </cell>
          <cell r="M145">
            <v>1360</v>
          </cell>
        </row>
        <row r="146">
          <cell r="C146">
            <v>0</v>
          </cell>
          <cell r="M146">
            <v>1370</v>
          </cell>
        </row>
        <row r="147">
          <cell r="A147" t="str">
            <v>- Conversion Kits</v>
          </cell>
          <cell r="M147">
            <v>1380</v>
          </cell>
        </row>
        <row r="148">
          <cell r="A148" t="str">
            <v>32P1474</v>
          </cell>
          <cell r="B148" t="str">
            <v>32P1474</v>
          </cell>
          <cell r="C148" t="str">
            <v xml:space="preserve">IBM 7Ux26D Tower to Rack Conversion Kit </v>
          </cell>
          <cell r="D148">
            <v>0</v>
          </cell>
          <cell r="E148">
            <v>871.82</v>
          </cell>
          <cell r="F148">
            <v>0</v>
          </cell>
          <cell r="G148">
            <v>0</v>
          </cell>
          <cell r="H148">
            <v>0</v>
          </cell>
          <cell r="I148">
            <v>0</v>
          </cell>
          <cell r="J148">
            <v>0</v>
          </cell>
          <cell r="K148">
            <v>0</v>
          </cell>
          <cell r="L148">
            <v>0</v>
          </cell>
          <cell r="M148">
            <v>1390</v>
          </cell>
        </row>
        <row r="149">
          <cell r="M149">
            <v>1400</v>
          </cell>
        </row>
        <row r="150">
          <cell r="A150" t="str">
            <v>- Tower model options</v>
          </cell>
          <cell r="M150">
            <v>1410</v>
          </cell>
        </row>
        <row r="151">
          <cell r="C151">
            <v>0</v>
          </cell>
          <cell r="M151">
            <v>1420</v>
          </cell>
        </row>
        <row r="152">
          <cell r="A152" t="str">
            <v>17331RX</v>
          </cell>
          <cell r="B152" t="str">
            <v>1733-1RX</v>
          </cell>
          <cell r="C152" t="str">
            <v>IBM EXP400 Storage Expansion Unit, One ESM standard (takes 14 drives)</v>
          </cell>
          <cell r="D152">
            <v>0</v>
          </cell>
          <cell r="E152">
            <v>4799</v>
          </cell>
          <cell r="F152">
            <v>0</v>
          </cell>
          <cell r="G152">
            <v>0</v>
          </cell>
          <cell r="H152">
            <v>0</v>
          </cell>
          <cell r="I152">
            <v>0</v>
          </cell>
          <cell r="J152">
            <v>0</v>
          </cell>
          <cell r="K152">
            <v>0</v>
          </cell>
          <cell r="L152">
            <v>0</v>
          </cell>
          <cell r="M152">
            <v>1430</v>
          </cell>
        </row>
        <row r="153">
          <cell r="A153" t="str">
            <v>09N7296</v>
          </cell>
          <cell r="B153">
            <v>0</v>
          </cell>
          <cell r="C153" t="str">
            <v>IBM EXP300 Rack-to-Tower Conversion Kit</v>
          </cell>
          <cell r="D153">
            <v>0</v>
          </cell>
          <cell r="E153">
            <v>659</v>
          </cell>
          <cell r="F153">
            <v>0</v>
          </cell>
          <cell r="G153">
            <v>0</v>
          </cell>
          <cell r="H153">
            <v>0</v>
          </cell>
          <cell r="I153">
            <v>0</v>
          </cell>
          <cell r="J153">
            <v>0</v>
          </cell>
          <cell r="K153">
            <v>0</v>
          </cell>
          <cell r="L153">
            <v>0</v>
          </cell>
          <cell r="M153">
            <v>1440</v>
          </cell>
        </row>
        <row r="154">
          <cell r="C154">
            <v>0</v>
          </cell>
          <cell r="M154">
            <v>1450</v>
          </cell>
        </row>
        <row r="155">
          <cell r="A155" t="str">
            <v>59P5018</v>
          </cell>
          <cell r="B155">
            <v>0</v>
          </cell>
          <cell r="C155" t="str">
            <v>SCSI Bus Expander and Enclosure Services Module (ESM)</v>
          </cell>
          <cell r="D155">
            <v>0</v>
          </cell>
          <cell r="E155">
            <v>1099</v>
          </cell>
          <cell r="F155">
            <v>0</v>
          </cell>
          <cell r="G155">
            <v>0</v>
          </cell>
          <cell r="H155">
            <v>0</v>
          </cell>
          <cell r="I155">
            <v>0</v>
          </cell>
          <cell r="J155">
            <v>0</v>
          </cell>
          <cell r="K155">
            <v>0</v>
          </cell>
          <cell r="L155">
            <v>0</v>
          </cell>
          <cell r="M155">
            <v>1460</v>
          </cell>
        </row>
        <row r="156">
          <cell r="M156">
            <v>1470</v>
          </cell>
        </row>
        <row r="157">
          <cell r="A157" t="str">
            <v>32P0726</v>
          </cell>
          <cell r="B157">
            <v>0</v>
          </cell>
          <cell r="C157" t="str">
            <v>WITHDRAWN;IBM 36.4GB 10K-rpm Ultra320 SCSI Hot-Swap SL HDD</v>
          </cell>
          <cell r="D157">
            <v>0</v>
          </cell>
          <cell r="E157" t="str">
            <v>WDFM</v>
          </cell>
          <cell r="F157">
            <v>0</v>
          </cell>
          <cell r="G157">
            <v>0</v>
          </cell>
          <cell r="H157">
            <v>0</v>
          </cell>
          <cell r="I157">
            <v>0</v>
          </cell>
          <cell r="J157">
            <v>0</v>
          </cell>
          <cell r="K157">
            <v>0</v>
          </cell>
          <cell r="L157">
            <v>0</v>
          </cell>
          <cell r="M157">
            <v>1480</v>
          </cell>
        </row>
        <row r="158">
          <cell r="A158" t="str">
            <v>32P0734</v>
          </cell>
          <cell r="B158">
            <v>0</v>
          </cell>
          <cell r="C158" t="str">
            <v>WITHDRAWN;IBM 36.4GB 15K-rpm Ultra320 SCSI Hot-Swap SL HDD</v>
          </cell>
          <cell r="D158">
            <v>0</v>
          </cell>
          <cell r="E158" t="str">
            <v>WDFM</v>
          </cell>
          <cell r="F158">
            <v>0</v>
          </cell>
          <cell r="G158">
            <v>0</v>
          </cell>
          <cell r="H158">
            <v>0</v>
          </cell>
          <cell r="I158">
            <v>0</v>
          </cell>
          <cell r="J158">
            <v>0</v>
          </cell>
          <cell r="K158">
            <v>0</v>
          </cell>
          <cell r="L158">
            <v>0</v>
          </cell>
          <cell r="M158">
            <v>1490</v>
          </cell>
        </row>
        <row r="159">
          <cell r="A159" t="str">
            <v>32P0727</v>
          </cell>
          <cell r="B159">
            <v>0</v>
          </cell>
          <cell r="C159" t="str">
            <v>WITHDRAWN;IBM 73.4GB 10K-rpm Ultra320 SCSI Hot-Swap SL HDD</v>
          </cell>
          <cell r="D159">
            <v>0</v>
          </cell>
          <cell r="E159" t="str">
            <v>WDFM</v>
          </cell>
          <cell r="F159">
            <v>0</v>
          </cell>
          <cell r="G159">
            <v>0</v>
          </cell>
          <cell r="H159">
            <v>0</v>
          </cell>
          <cell r="I159">
            <v>0</v>
          </cell>
          <cell r="J159">
            <v>0</v>
          </cell>
          <cell r="K159">
            <v>0</v>
          </cell>
          <cell r="L159">
            <v>0</v>
          </cell>
          <cell r="M159">
            <v>1500</v>
          </cell>
        </row>
        <row r="160">
          <cell r="A160" t="str">
            <v>32P0735</v>
          </cell>
          <cell r="B160">
            <v>0</v>
          </cell>
          <cell r="C160" t="str">
            <v>WITHDRAWN;IBM 73.4GB 15K-rpm Ultra320 SCSI Hot-Swap SL HDD</v>
          </cell>
          <cell r="D160">
            <v>0</v>
          </cell>
          <cell r="E160" t="str">
            <v>WDFM</v>
          </cell>
          <cell r="F160">
            <v>0</v>
          </cell>
          <cell r="G160">
            <v>0</v>
          </cell>
          <cell r="H160">
            <v>0</v>
          </cell>
          <cell r="I160">
            <v>0</v>
          </cell>
          <cell r="J160">
            <v>0</v>
          </cell>
          <cell r="K160">
            <v>0</v>
          </cell>
          <cell r="L160">
            <v>0</v>
          </cell>
          <cell r="M160">
            <v>1510</v>
          </cell>
        </row>
        <row r="161">
          <cell r="A161" t="str">
            <v>32P0728</v>
          </cell>
          <cell r="B161">
            <v>0</v>
          </cell>
          <cell r="C161" t="str">
            <v>WITHDRAWN;IBM 146.8GB 10K-rpm Ultra320 SCSI Hot-Swap SL HDD</v>
          </cell>
          <cell r="D161">
            <v>0</v>
          </cell>
          <cell r="E161" t="str">
            <v>WDFM</v>
          </cell>
          <cell r="F161">
            <v>0</v>
          </cell>
          <cell r="G161">
            <v>0</v>
          </cell>
          <cell r="H161">
            <v>0</v>
          </cell>
          <cell r="I161">
            <v>0</v>
          </cell>
          <cell r="J161">
            <v>0</v>
          </cell>
          <cell r="K161">
            <v>0</v>
          </cell>
          <cell r="L161">
            <v>0</v>
          </cell>
          <cell r="M161">
            <v>1520</v>
          </cell>
        </row>
        <row r="162">
          <cell r="C162" t="str">
            <v>No Disks Configured</v>
          </cell>
          <cell r="M162">
            <v>1530</v>
          </cell>
        </row>
        <row r="163">
          <cell r="M163">
            <v>1540</v>
          </cell>
        </row>
        <row r="164">
          <cell r="M164">
            <v>1550</v>
          </cell>
        </row>
        <row r="165">
          <cell r="M165">
            <v>1560</v>
          </cell>
        </row>
        <row r="166">
          <cell r="A166" t="str">
            <v>- Monitors</v>
          </cell>
          <cell r="M166">
            <v>1570</v>
          </cell>
        </row>
        <row r="167">
          <cell r="A167" t="str">
            <v>63314CS</v>
          </cell>
          <cell r="B167" t="str">
            <v>6331-47N</v>
          </cell>
          <cell r="C167" t="str">
            <v>E54 15" Colour Monitor (Stealth Grey)/MPRII</v>
          </cell>
          <cell r="D167">
            <v>0</v>
          </cell>
          <cell r="E167">
            <v>189</v>
          </cell>
          <cell r="F167">
            <v>0</v>
          </cell>
          <cell r="G167">
            <v>0</v>
          </cell>
          <cell r="H167">
            <v>0</v>
          </cell>
          <cell r="I167">
            <v>0</v>
          </cell>
          <cell r="J167">
            <v>0</v>
          </cell>
          <cell r="K167">
            <v>0</v>
          </cell>
          <cell r="L167">
            <v>0</v>
          </cell>
          <cell r="M167">
            <v>1580</v>
          </cell>
        </row>
        <row r="168">
          <cell r="A168" t="str">
            <v>63324HN</v>
          </cell>
          <cell r="B168" t="str">
            <v>6332-4HN</v>
          </cell>
          <cell r="C168" t="str">
            <v xml:space="preserve"> E74 Color Monitor 17in (406mm, 16in viewable image), B Black</v>
          </cell>
          <cell r="D168">
            <v>0</v>
          </cell>
          <cell r="E168" t="str">
            <v>???</v>
          </cell>
          <cell r="F168">
            <v>0</v>
          </cell>
          <cell r="G168">
            <v>0</v>
          </cell>
          <cell r="H168">
            <v>0</v>
          </cell>
          <cell r="I168">
            <v>0</v>
          </cell>
          <cell r="J168">
            <v>0</v>
          </cell>
          <cell r="K168">
            <v>0</v>
          </cell>
          <cell r="L168">
            <v>0</v>
          </cell>
          <cell r="M168">
            <v>1590</v>
          </cell>
        </row>
        <row r="169">
          <cell r="A169" t="str">
            <v>17231UX</v>
          </cell>
          <cell r="B169" t="str">
            <v>1723-1UX</v>
          </cell>
          <cell r="C169" t="str">
            <v>1U 17" Flat Panel Monitor Console Kit (with US Space Travel keyboard)</v>
          </cell>
          <cell r="D169">
            <v>0</v>
          </cell>
          <cell r="E169">
            <v>3399</v>
          </cell>
          <cell r="F169">
            <v>0</v>
          </cell>
          <cell r="G169">
            <v>0</v>
          </cell>
          <cell r="H169">
            <v>0</v>
          </cell>
          <cell r="I169">
            <v>0</v>
          </cell>
          <cell r="J169">
            <v>0</v>
          </cell>
          <cell r="K169">
            <v>0</v>
          </cell>
          <cell r="L169">
            <v>0</v>
          </cell>
          <cell r="M169">
            <v>1600</v>
          </cell>
        </row>
        <row r="170">
          <cell r="A170" t="str">
            <v>17231NX</v>
          </cell>
          <cell r="B170" t="str">
            <v>1723-1NX</v>
          </cell>
          <cell r="C170" t="str">
            <v>1U 17" Flat Panel Monitor Console Kit (without keyboard)</v>
          </cell>
          <cell r="D170">
            <v>0</v>
          </cell>
          <cell r="E170" t="str">
            <v>???</v>
          </cell>
          <cell r="F170">
            <v>0</v>
          </cell>
          <cell r="G170">
            <v>0</v>
          </cell>
          <cell r="H170">
            <v>0</v>
          </cell>
          <cell r="I170">
            <v>0</v>
          </cell>
          <cell r="J170">
            <v>0</v>
          </cell>
          <cell r="K170">
            <v>0</v>
          </cell>
          <cell r="L170">
            <v>0</v>
          </cell>
          <cell r="M170">
            <v>1610</v>
          </cell>
        </row>
        <row r="171">
          <cell r="A171" t="str">
            <v>32P1702</v>
          </cell>
          <cell r="B171" t="str">
            <v>32P1702</v>
          </cell>
          <cell r="C171" t="str">
            <v>WITHDRAWN;NetBAY 2U 15" Flat Panel Monitor Console Kit with US S'Saver K'board (includes 15" monitor)</v>
          </cell>
          <cell r="D171">
            <v>0</v>
          </cell>
          <cell r="E171" t="str">
            <v>WDFM</v>
          </cell>
          <cell r="F171">
            <v>0</v>
          </cell>
          <cell r="G171">
            <v>0</v>
          </cell>
          <cell r="H171">
            <v>0</v>
          </cell>
          <cell r="I171">
            <v>0</v>
          </cell>
          <cell r="J171">
            <v>0</v>
          </cell>
          <cell r="K171">
            <v>0</v>
          </cell>
          <cell r="L171">
            <v>0</v>
          </cell>
          <cell r="M171">
            <v>1620</v>
          </cell>
        </row>
        <row r="172">
          <cell r="A172" t="str">
            <v>N/A</v>
          </cell>
          <cell r="B172" t="str">
            <v>32P1703</v>
          </cell>
          <cell r="C172" t="str">
            <v>NetBAY 2U 15" Flat Panel Monitor Console Kit (includes 15" monitor)</v>
          </cell>
          <cell r="D172">
            <v>0</v>
          </cell>
          <cell r="E172" t="str">
            <v>N/A</v>
          </cell>
          <cell r="F172">
            <v>0</v>
          </cell>
          <cell r="G172">
            <v>0</v>
          </cell>
          <cell r="H172">
            <v>0</v>
          </cell>
          <cell r="I172">
            <v>0</v>
          </cell>
          <cell r="J172">
            <v>0</v>
          </cell>
          <cell r="K172">
            <v>0</v>
          </cell>
          <cell r="L172">
            <v>0</v>
          </cell>
          <cell r="M172">
            <v>1630</v>
          </cell>
        </row>
        <row r="173">
          <cell r="A173" t="str">
            <v>17232UX</v>
          </cell>
          <cell r="B173" t="str">
            <v>1723-2UX</v>
          </cell>
          <cell r="C173" t="str">
            <v>IBM 2U 15" Flat Panel Monitor Console Kit (with PS/2 keyboard)</v>
          </cell>
          <cell r="D173">
            <v>0</v>
          </cell>
          <cell r="E173">
            <v>2399</v>
          </cell>
          <cell r="F173">
            <v>0</v>
          </cell>
          <cell r="G173">
            <v>0</v>
          </cell>
          <cell r="H173">
            <v>0</v>
          </cell>
          <cell r="I173">
            <v>0</v>
          </cell>
          <cell r="J173">
            <v>0</v>
          </cell>
          <cell r="K173">
            <v>0</v>
          </cell>
          <cell r="L173">
            <v>0</v>
          </cell>
          <cell r="M173">
            <v>1640</v>
          </cell>
        </row>
        <row r="174">
          <cell r="A174" t="str">
            <v>17232NX</v>
          </cell>
          <cell r="B174" t="str">
            <v>1723-2NX</v>
          </cell>
          <cell r="C174" t="str">
            <v>IBM 2U 15" Flat Panel Monitor Console Kit (without keyboard)</v>
          </cell>
          <cell r="D174">
            <v>0</v>
          </cell>
          <cell r="E174" t="str">
            <v>???</v>
          </cell>
          <cell r="F174">
            <v>0</v>
          </cell>
          <cell r="G174">
            <v>0</v>
          </cell>
          <cell r="H174">
            <v>0</v>
          </cell>
          <cell r="I174">
            <v>0</v>
          </cell>
          <cell r="J174">
            <v>0</v>
          </cell>
          <cell r="K174">
            <v>0</v>
          </cell>
          <cell r="L174">
            <v>0</v>
          </cell>
          <cell r="M174">
            <v>1650</v>
          </cell>
        </row>
        <row r="175">
          <cell r="A175" t="str">
            <v>6636AB1</v>
          </cell>
          <cell r="B175" t="str">
            <v>6636-AB1</v>
          </cell>
          <cell r="C175" t="str">
            <v>WITHDRAWN;L150 ThinkVision 15in LCD Flat Panel Monitor, B Black</v>
          </cell>
          <cell r="D175">
            <v>0</v>
          </cell>
          <cell r="E175" t="str">
            <v>WDFM</v>
          </cell>
          <cell r="F175">
            <v>0</v>
          </cell>
          <cell r="G175">
            <v>0</v>
          </cell>
          <cell r="H175">
            <v>0</v>
          </cell>
          <cell r="I175">
            <v>0</v>
          </cell>
          <cell r="J175">
            <v>0</v>
          </cell>
          <cell r="K175">
            <v>0</v>
          </cell>
          <cell r="L175">
            <v>0</v>
          </cell>
          <cell r="M175">
            <v>1660</v>
          </cell>
        </row>
        <row r="176">
          <cell r="A176" t="str">
            <v>6636HB1</v>
          </cell>
          <cell r="B176" t="str">
            <v>6636-HB1</v>
          </cell>
          <cell r="C176" t="str">
            <v>L150p ThinkVision 15in LCD Flat Panel Monitor (381mm, 15in viewable image), business black</v>
          </cell>
          <cell r="D176">
            <v>0</v>
          </cell>
          <cell r="E176">
            <v>499</v>
          </cell>
          <cell r="F176">
            <v>0</v>
          </cell>
          <cell r="G176">
            <v>0</v>
          </cell>
          <cell r="H176">
            <v>0</v>
          </cell>
          <cell r="I176">
            <v>0</v>
          </cell>
          <cell r="J176">
            <v>0</v>
          </cell>
          <cell r="K176">
            <v>0</v>
          </cell>
          <cell r="L176">
            <v>0</v>
          </cell>
          <cell r="M176">
            <v>1670</v>
          </cell>
        </row>
        <row r="177">
          <cell r="A177" t="str">
            <v>6734HB0</v>
          </cell>
          <cell r="B177" t="str">
            <v>6734-HB0</v>
          </cell>
          <cell r="C177" t="str">
            <v>L170p ThinkVision 17in LCD Flat Panel Monitor (432mm, 17in viewable image), business black</v>
          </cell>
          <cell r="D177">
            <v>0</v>
          </cell>
          <cell r="E177">
            <v>699</v>
          </cell>
          <cell r="F177">
            <v>0</v>
          </cell>
          <cell r="G177">
            <v>0</v>
          </cell>
          <cell r="H177">
            <v>0</v>
          </cell>
          <cell r="I177">
            <v>0</v>
          </cell>
          <cell r="J177">
            <v>0</v>
          </cell>
          <cell r="K177">
            <v>0</v>
          </cell>
          <cell r="L177">
            <v>0</v>
          </cell>
          <cell r="M177">
            <v>1680</v>
          </cell>
        </row>
        <row r="178">
          <cell r="A178" t="str">
            <v>- Power</v>
          </cell>
          <cell r="M178">
            <v>1690</v>
          </cell>
        </row>
        <row r="179">
          <cell r="A179" t="str">
            <v>N/A</v>
          </cell>
          <cell r="B179" t="str">
            <v>32P1020</v>
          </cell>
          <cell r="C179" t="str">
            <v>APC 2U Smart-UPS 1400 RMB - 120V Rack mounted/black</v>
          </cell>
          <cell r="D179">
            <v>0</v>
          </cell>
          <cell r="E179" t="str">
            <v>N/A</v>
          </cell>
          <cell r="F179">
            <v>0</v>
          </cell>
          <cell r="G179">
            <v>1</v>
          </cell>
          <cell r="H179">
            <v>0</v>
          </cell>
          <cell r="I179">
            <v>1</v>
          </cell>
          <cell r="J179">
            <v>0</v>
          </cell>
          <cell r="K179">
            <v>1</v>
          </cell>
          <cell r="L179">
            <v>0</v>
          </cell>
          <cell r="M179">
            <v>1700</v>
          </cell>
        </row>
        <row r="180">
          <cell r="A180" t="str">
            <v>2130R30</v>
          </cell>
          <cell r="B180" t="str">
            <v>2130-R30</v>
          </cell>
          <cell r="C180" t="str">
            <v>IBM UPS3000XLV - Rack or Tower</v>
          </cell>
          <cell r="D180">
            <v>0</v>
          </cell>
          <cell r="E180" t="str">
            <v>???</v>
          </cell>
          <cell r="F180">
            <v>0</v>
          </cell>
          <cell r="G180">
            <v>1</v>
          </cell>
          <cell r="H180">
            <v>0</v>
          </cell>
          <cell r="I180">
            <v>1</v>
          </cell>
          <cell r="J180">
            <v>0</v>
          </cell>
          <cell r="K180">
            <v>1</v>
          </cell>
          <cell r="L180">
            <v>0</v>
          </cell>
          <cell r="M180">
            <v>1710</v>
          </cell>
        </row>
        <row r="181">
          <cell r="A181" t="str">
            <v>73P5771</v>
          </cell>
          <cell r="B181" t="str">
            <v>2130-R31</v>
          </cell>
          <cell r="C181" t="str">
            <v>IBM UPS3000XHV - Rack or Tower</v>
          </cell>
          <cell r="D181">
            <v>0</v>
          </cell>
          <cell r="E181">
            <v>2799.01</v>
          </cell>
          <cell r="F181">
            <v>0</v>
          </cell>
          <cell r="G181">
            <v>1</v>
          </cell>
          <cell r="H181">
            <v>0</v>
          </cell>
          <cell r="I181">
            <v>1</v>
          </cell>
          <cell r="J181">
            <v>0</v>
          </cell>
          <cell r="K181">
            <v>1</v>
          </cell>
          <cell r="L181">
            <v>0</v>
          </cell>
          <cell r="M181">
            <v>1720</v>
          </cell>
        </row>
        <row r="182">
          <cell r="A182" t="str">
            <v>32P1692</v>
          </cell>
          <cell r="B182" t="str">
            <v>32P1692</v>
          </cell>
          <cell r="C182" t="str">
            <v>IBM UPS Extend Run Battery Pack</v>
          </cell>
          <cell r="D182">
            <v>0</v>
          </cell>
          <cell r="E182">
            <v>1759</v>
          </cell>
          <cell r="F182">
            <v>0</v>
          </cell>
          <cell r="G182">
            <v>1</v>
          </cell>
          <cell r="H182">
            <v>0</v>
          </cell>
          <cell r="I182">
            <v>1</v>
          </cell>
          <cell r="J182">
            <v>0</v>
          </cell>
          <cell r="K182">
            <v>1</v>
          </cell>
          <cell r="L182">
            <v>0</v>
          </cell>
          <cell r="M182">
            <v>1730</v>
          </cell>
        </row>
        <row r="183">
          <cell r="A183" t="str">
            <v>37L7862</v>
          </cell>
          <cell r="B183" t="str">
            <v>37L6862</v>
          </cell>
          <cell r="C183" t="str">
            <v>APC Smart-UPS 5000 RMiB - Rack mounted/black</v>
          </cell>
          <cell r="D183">
            <v>0</v>
          </cell>
          <cell r="E183">
            <v>6989</v>
          </cell>
          <cell r="F183">
            <v>0</v>
          </cell>
          <cell r="G183">
            <v>1</v>
          </cell>
          <cell r="H183">
            <v>0</v>
          </cell>
          <cell r="I183">
            <v>1</v>
          </cell>
          <cell r="J183">
            <v>0</v>
          </cell>
          <cell r="K183">
            <v>1</v>
          </cell>
          <cell r="L183">
            <v>0</v>
          </cell>
          <cell r="M183">
            <v>1740</v>
          </cell>
        </row>
        <row r="184">
          <cell r="A184" t="str">
            <v>21302TX</v>
          </cell>
          <cell r="B184" t="str">
            <v>2130-2TX</v>
          </cell>
          <cell r="C184" t="str">
            <v>IBM UPS750TLV - 500W</v>
          </cell>
          <cell r="D184">
            <v>0</v>
          </cell>
          <cell r="E184">
            <v>469</v>
          </cell>
          <cell r="F184">
            <v>0</v>
          </cell>
          <cell r="G184">
            <v>1</v>
          </cell>
          <cell r="H184">
            <v>0</v>
          </cell>
          <cell r="I184">
            <v>1</v>
          </cell>
          <cell r="J184">
            <v>0</v>
          </cell>
          <cell r="K184">
            <v>1</v>
          </cell>
          <cell r="L184">
            <v>0</v>
          </cell>
          <cell r="M184">
            <v>1750</v>
          </cell>
        </row>
        <row r="185">
          <cell r="A185" t="str">
            <v>21304TX</v>
          </cell>
          <cell r="B185" t="str">
            <v>2130-4TX</v>
          </cell>
          <cell r="C185" t="str">
            <v>IBM UPS1000THV - 700W</v>
          </cell>
          <cell r="D185">
            <v>0</v>
          </cell>
          <cell r="E185">
            <v>719</v>
          </cell>
          <cell r="F185">
            <v>0</v>
          </cell>
          <cell r="G185">
            <v>1</v>
          </cell>
          <cell r="H185">
            <v>0</v>
          </cell>
          <cell r="I185">
            <v>1</v>
          </cell>
          <cell r="J185">
            <v>0</v>
          </cell>
          <cell r="K185">
            <v>1</v>
          </cell>
          <cell r="L185">
            <v>0</v>
          </cell>
          <cell r="M185">
            <v>1760</v>
          </cell>
        </row>
        <row r="186">
          <cell r="A186" t="str">
            <v>21306TX</v>
          </cell>
          <cell r="B186" t="str">
            <v>2130-6TX</v>
          </cell>
          <cell r="C186" t="str">
            <v>IBM UPS1500THV - 1050W</v>
          </cell>
          <cell r="D186">
            <v>0</v>
          </cell>
          <cell r="E186">
            <v>939</v>
          </cell>
          <cell r="F186">
            <v>0</v>
          </cell>
          <cell r="G186">
            <v>1</v>
          </cell>
          <cell r="H186">
            <v>0</v>
          </cell>
          <cell r="I186">
            <v>1</v>
          </cell>
          <cell r="J186">
            <v>0</v>
          </cell>
          <cell r="K186">
            <v>1</v>
          </cell>
          <cell r="L186">
            <v>0</v>
          </cell>
          <cell r="M186">
            <v>1770</v>
          </cell>
        </row>
        <row r="187">
          <cell r="A187" t="str">
            <v>21306RX</v>
          </cell>
          <cell r="B187" t="str">
            <v>2130-6RX</v>
          </cell>
          <cell r="C187" t="str">
            <v>IBM UPS 7500XHV - Rack</v>
          </cell>
          <cell r="D187">
            <v>0</v>
          </cell>
          <cell r="E187" t="str">
            <v>???</v>
          </cell>
          <cell r="F187">
            <v>0</v>
          </cell>
          <cell r="G187">
            <v>1</v>
          </cell>
          <cell r="H187">
            <v>0</v>
          </cell>
          <cell r="I187">
            <v>1</v>
          </cell>
          <cell r="J187">
            <v>0</v>
          </cell>
          <cell r="K187">
            <v>1</v>
          </cell>
          <cell r="L187">
            <v>0</v>
          </cell>
          <cell r="M187">
            <v>1780</v>
          </cell>
        </row>
        <row r="188">
          <cell r="A188" t="str">
            <v>21308RX</v>
          </cell>
          <cell r="B188" t="str">
            <v>2130-8RX</v>
          </cell>
          <cell r="C188" t="str">
            <v>IBM UPS 10000XHV - Rack</v>
          </cell>
          <cell r="D188">
            <v>0</v>
          </cell>
          <cell r="E188" t="str">
            <v>???</v>
          </cell>
          <cell r="F188">
            <v>0</v>
          </cell>
          <cell r="G188">
            <v>1</v>
          </cell>
          <cell r="H188">
            <v>0</v>
          </cell>
          <cell r="I188">
            <v>1</v>
          </cell>
          <cell r="J188">
            <v>0</v>
          </cell>
          <cell r="K188">
            <v>1</v>
          </cell>
          <cell r="L188">
            <v>0</v>
          </cell>
          <cell r="M188">
            <v>1790</v>
          </cell>
        </row>
        <row r="189">
          <cell r="A189" t="str">
            <v>25R5582</v>
          </cell>
          <cell r="B189" t="str">
            <v>25R5582</v>
          </cell>
          <cell r="C189" t="str">
            <v>IBM UPS 3U Run Online Battery Pack</v>
          </cell>
          <cell r="D189">
            <v>0</v>
          </cell>
          <cell r="E189">
            <v>1899</v>
          </cell>
          <cell r="F189">
            <v>0</v>
          </cell>
          <cell r="G189">
            <v>1</v>
          </cell>
          <cell r="H189">
            <v>0</v>
          </cell>
          <cell r="I189">
            <v>1</v>
          </cell>
          <cell r="J189">
            <v>0</v>
          </cell>
          <cell r="K189">
            <v>1</v>
          </cell>
          <cell r="L189">
            <v>0</v>
          </cell>
          <cell r="M189">
            <v>1800</v>
          </cell>
        </row>
        <row r="190">
          <cell r="C190">
            <v>0</v>
          </cell>
          <cell r="M190">
            <v>1810</v>
          </cell>
        </row>
        <row r="191">
          <cell r="C191">
            <v>0</v>
          </cell>
          <cell r="M191">
            <v>1820</v>
          </cell>
        </row>
        <row r="192">
          <cell r="A192" t="str">
            <v>94G7448</v>
          </cell>
          <cell r="B192">
            <v>0</v>
          </cell>
          <cell r="C192" t="str">
            <v>Hi-volt Power Cable (required for server, monitor, console switch, devices)</v>
          </cell>
          <cell r="D192">
            <v>0</v>
          </cell>
          <cell r="E192">
            <v>39</v>
          </cell>
          <cell r="F192">
            <v>0</v>
          </cell>
          <cell r="G192">
            <v>0</v>
          </cell>
          <cell r="H192">
            <v>0</v>
          </cell>
          <cell r="I192">
            <v>0</v>
          </cell>
          <cell r="J192">
            <v>0</v>
          </cell>
          <cell r="K192">
            <v>0</v>
          </cell>
          <cell r="L192">
            <v>0</v>
          </cell>
          <cell r="M192">
            <v>1830</v>
          </cell>
        </row>
        <row r="193">
          <cell r="A193" t="str">
            <v>N/A</v>
          </cell>
          <cell r="B193">
            <v>0</v>
          </cell>
          <cell r="C193" t="str">
            <v>Lo-volt Power Cable (required for server, monitor, console switch, devices)</v>
          </cell>
          <cell r="D193">
            <v>0</v>
          </cell>
          <cell r="E193" t="str">
            <v>N/A</v>
          </cell>
          <cell r="F193">
            <v>0</v>
          </cell>
          <cell r="G193">
            <v>0</v>
          </cell>
          <cell r="H193">
            <v>0</v>
          </cell>
          <cell r="I193">
            <v>0</v>
          </cell>
          <cell r="J193">
            <v>0</v>
          </cell>
          <cell r="K193">
            <v>0</v>
          </cell>
          <cell r="L193">
            <v>0</v>
          </cell>
          <cell r="M193">
            <v>1840</v>
          </cell>
        </row>
        <row r="194">
          <cell r="C194">
            <v>0</v>
          </cell>
          <cell r="M194">
            <v>1850</v>
          </cell>
        </row>
        <row r="195">
          <cell r="M195">
            <v>1860</v>
          </cell>
        </row>
        <row r="196">
          <cell r="A196" t="str">
            <v>VMware ESX Server Software</v>
          </cell>
          <cell r="M196">
            <v>1870</v>
          </cell>
        </row>
        <row r="197">
          <cell r="A197" t="str">
            <v>481722X</v>
          </cell>
          <cell r="B197" t="str">
            <v>4817-22X</v>
          </cell>
          <cell r="C197" t="str">
            <v>VMware ESX Server 2 (1-2 processor License; server purchase required)</v>
          </cell>
          <cell r="D197">
            <v>0</v>
          </cell>
          <cell r="E197">
            <v>6599</v>
          </cell>
          <cell r="F197">
            <v>0</v>
          </cell>
          <cell r="G197">
            <v>0</v>
          </cell>
          <cell r="H197">
            <v>0</v>
          </cell>
          <cell r="I197">
            <v>0</v>
          </cell>
          <cell r="J197">
            <v>0</v>
          </cell>
          <cell r="K197">
            <v>0</v>
          </cell>
          <cell r="L197">
            <v>0</v>
          </cell>
          <cell r="M197">
            <v>1880</v>
          </cell>
        </row>
        <row r="198">
          <cell r="A198" t="str">
            <v>4817223</v>
          </cell>
          <cell r="B198" t="str">
            <v>4817-223</v>
          </cell>
          <cell r="C198" t="str">
            <v>VMware ESX Server (1-2 processors w/ 3 YR software subscription)</v>
          </cell>
          <cell r="D198">
            <v>0</v>
          </cell>
          <cell r="E198" t="str">
            <v>???</v>
          </cell>
          <cell r="F198">
            <v>0</v>
          </cell>
          <cell r="G198">
            <v>0</v>
          </cell>
          <cell r="H198">
            <v>0</v>
          </cell>
          <cell r="I198">
            <v>0</v>
          </cell>
          <cell r="J198">
            <v>0</v>
          </cell>
          <cell r="K198">
            <v>0</v>
          </cell>
          <cell r="L198">
            <v>0</v>
          </cell>
          <cell r="M198">
            <v>1890</v>
          </cell>
        </row>
        <row r="199">
          <cell r="A199" t="str">
            <v>4817225</v>
          </cell>
          <cell r="B199" t="str">
            <v>4817-225</v>
          </cell>
          <cell r="C199" t="str">
            <v>VMware ESX Server (1-2 processors w/ 5 YR software subscription)</v>
          </cell>
          <cell r="D199">
            <v>0</v>
          </cell>
          <cell r="E199" t="str">
            <v>???</v>
          </cell>
          <cell r="F199">
            <v>0</v>
          </cell>
          <cell r="G199">
            <v>0</v>
          </cell>
          <cell r="H199">
            <v>0</v>
          </cell>
          <cell r="I199">
            <v>0</v>
          </cell>
          <cell r="J199">
            <v>0</v>
          </cell>
          <cell r="K199">
            <v>0</v>
          </cell>
          <cell r="L199">
            <v>0</v>
          </cell>
          <cell r="M199">
            <v>1900</v>
          </cell>
        </row>
        <row r="200">
          <cell r="A200" t="str">
            <v>481724X</v>
          </cell>
          <cell r="B200" t="str">
            <v>4817-24X</v>
          </cell>
          <cell r="C200" t="str">
            <v>VMware ESX Server 2 (3-4 processor License; server purchase required)</v>
          </cell>
          <cell r="D200">
            <v>0</v>
          </cell>
          <cell r="E200">
            <v>13544.55</v>
          </cell>
          <cell r="F200">
            <v>0</v>
          </cell>
          <cell r="G200">
            <v>0</v>
          </cell>
          <cell r="H200">
            <v>0</v>
          </cell>
          <cell r="I200">
            <v>0</v>
          </cell>
          <cell r="J200">
            <v>0</v>
          </cell>
          <cell r="K200">
            <v>0</v>
          </cell>
          <cell r="L200">
            <v>0</v>
          </cell>
          <cell r="M200">
            <v>1910</v>
          </cell>
        </row>
        <row r="201">
          <cell r="A201" t="str">
            <v>4817243</v>
          </cell>
          <cell r="B201" t="str">
            <v>4817-243</v>
          </cell>
          <cell r="C201" t="str">
            <v>VMware ESX Server (3-4 processors w/ 3 YR software subscription)</v>
          </cell>
          <cell r="D201">
            <v>0</v>
          </cell>
          <cell r="E201" t="str">
            <v>???</v>
          </cell>
          <cell r="F201">
            <v>0</v>
          </cell>
          <cell r="G201">
            <v>0</v>
          </cell>
          <cell r="H201">
            <v>0</v>
          </cell>
          <cell r="I201">
            <v>0</v>
          </cell>
          <cell r="J201">
            <v>0</v>
          </cell>
          <cell r="K201">
            <v>0</v>
          </cell>
          <cell r="L201">
            <v>0</v>
          </cell>
          <cell r="M201">
            <v>1920</v>
          </cell>
        </row>
        <row r="202">
          <cell r="A202" t="str">
            <v>4817245</v>
          </cell>
          <cell r="B202" t="str">
            <v>4817-245</v>
          </cell>
          <cell r="C202" t="str">
            <v>VMware ESX Server (3-4 processors w/ 5 YR software subscription)</v>
          </cell>
          <cell r="D202">
            <v>0</v>
          </cell>
          <cell r="E202" t="str">
            <v>???</v>
          </cell>
          <cell r="F202">
            <v>0</v>
          </cell>
          <cell r="G202">
            <v>0</v>
          </cell>
          <cell r="H202">
            <v>0</v>
          </cell>
          <cell r="I202">
            <v>0</v>
          </cell>
          <cell r="J202">
            <v>0</v>
          </cell>
          <cell r="K202">
            <v>0</v>
          </cell>
          <cell r="L202">
            <v>0</v>
          </cell>
          <cell r="M202">
            <v>1930</v>
          </cell>
        </row>
        <row r="203">
          <cell r="C203">
            <v>0</v>
          </cell>
          <cell r="M203">
            <v>1940</v>
          </cell>
        </row>
        <row r="204">
          <cell r="A204" t="str">
            <v>48173CX</v>
          </cell>
          <cell r="B204" t="str">
            <v>4817-3CX</v>
          </cell>
          <cell r="C204" t="str">
            <v>VMware ESX Virtual SMP (1-2 processor License; server purchase required)</v>
          </cell>
          <cell r="D204">
            <v>0</v>
          </cell>
          <cell r="E204">
            <v>2229</v>
          </cell>
          <cell r="F204">
            <v>0</v>
          </cell>
          <cell r="G204">
            <v>0</v>
          </cell>
          <cell r="H204">
            <v>0</v>
          </cell>
          <cell r="I204">
            <v>0</v>
          </cell>
          <cell r="J204">
            <v>0</v>
          </cell>
          <cell r="K204">
            <v>0</v>
          </cell>
          <cell r="L204">
            <v>0</v>
          </cell>
          <cell r="M204">
            <v>1950</v>
          </cell>
        </row>
        <row r="205">
          <cell r="A205" t="str">
            <v>48173DX</v>
          </cell>
          <cell r="B205" t="str">
            <v>4817-3DX</v>
          </cell>
          <cell r="C205" t="str">
            <v>VMware ESX Virtual SMP (3-4 processor License; server purchase required)</v>
          </cell>
          <cell r="D205">
            <v>0</v>
          </cell>
          <cell r="E205">
            <v>4439</v>
          </cell>
          <cell r="F205">
            <v>0</v>
          </cell>
          <cell r="G205">
            <v>0</v>
          </cell>
          <cell r="H205">
            <v>0</v>
          </cell>
          <cell r="I205">
            <v>0</v>
          </cell>
          <cell r="J205">
            <v>0</v>
          </cell>
          <cell r="K205">
            <v>0</v>
          </cell>
          <cell r="L205">
            <v>0</v>
          </cell>
          <cell r="M205">
            <v>1960</v>
          </cell>
        </row>
        <row r="206">
          <cell r="A206" t="str">
            <v>4817U1X</v>
          </cell>
          <cell r="B206" t="str">
            <v>4817-U1X</v>
          </cell>
          <cell r="C206" t="str">
            <v>VMware ESX Virtual SMP Upgrade (from 2-4 processors; server purchase required)</v>
          </cell>
          <cell r="D206">
            <v>0</v>
          </cell>
          <cell r="E206">
            <v>2459</v>
          </cell>
          <cell r="F206">
            <v>0</v>
          </cell>
          <cell r="G206">
            <v>0</v>
          </cell>
          <cell r="H206">
            <v>0</v>
          </cell>
          <cell r="I206">
            <v>0</v>
          </cell>
          <cell r="J206">
            <v>0</v>
          </cell>
          <cell r="K206">
            <v>0</v>
          </cell>
          <cell r="L206">
            <v>0</v>
          </cell>
          <cell r="M206">
            <v>1970</v>
          </cell>
        </row>
        <row r="207">
          <cell r="A207" t="str">
            <v>481739X</v>
          </cell>
          <cell r="B207" t="str">
            <v>4817-39X</v>
          </cell>
          <cell r="C207" t="str">
            <v>VMware ESX Server 2 Upgrade (from 2-4 processors; server purchase required)</v>
          </cell>
          <cell r="D207">
            <v>0</v>
          </cell>
          <cell r="E207">
            <v>7259</v>
          </cell>
          <cell r="F207">
            <v>0</v>
          </cell>
          <cell r="G207">
            <v>0</v>
          </cell>
          <cell r="H207">
            <v>0</v>
          </cell>
          <cell r="I207">
            <v>0</v>
          </cell>
          <cell r="J207">
            <v>0</v>
          </cell>
          <cell r="K207">
            <v>0</v>
          </cell>
          <cell r="L207">
            <v>0</v>
          </cell>
          <cell r="M207">
            <v>1980</v>
          </cell>
        </row>
        <row r="208">
          <cell r="A208" t="str">
            <v>4817M1X</v>
          </cell>
          <cell r="B208" t="str">
            <v>4817-M1X</v>
          </cell>
          <cell r="C208" t="str">
            <v>VMware VirtualCenter Management Server (server purchase required)</v>
          </cell>
          <cell r="D208">
            <v>0</v>
          </cell>
          <cell r="E208">
            <v>8899</v>
          </cell>
          <cell r="F208">
            <v>0</v>
          </cell>
          <cell r="G208">
            <v>0</v>
          </cell>
          <cell r="H208">
            <v>0</v>
          </cell>
          <cell r="I208">
            <v>0</v>
          </cell>
          <cell r="J208">
            <v>0</v>
          </cell>
          <cell r="K208">
            <v>0</v>
          </cell>
          <cell r="L208">
            <v>0</v>
          </cell>
          <cell r="M208">
            <v>1990</v>
          </cell>
        </row>
        <row r="209">
          <cell r="A209" t="str">
            <v>4817M2X</v>
          </cell>
          <cell r="B209" t="str">
            <v>4817-M2X</v>
          </cell>
          <cell r="C209" t="str">
            <v>VMware VirtualCenter Agent (2 processor License; server purchase required)</v>
          </cell>
          <cell r="D209">
            <v>0</v>
          </cell>
          <cell r="E209">
            <v>1069</v>
          </cell>
          <cell r="F209">
            <v>0</v>
          </cell>
          <cell r="G209">
            <v>0</v>
          </cell>
          <cell r="H209">
            <v>0</v>
          </cell>
          <cell r="I209">
            <v>0</v>
          </cell>
          <cell r="J209">
            <v>0</v>
          </cell>
          <cell r="K209">
            <v>0</v>
          </cell>
          <cell r="L209">
            <v>0</v>
          </cell>
          <cell r="M209">
            <v>2000</v>
          </cell>
        </row>
        <row r="210">
          <cell r="A210" t="str">
            <v>4817M3X</v>
          </cell>
          <cell r="B210" t="str">
            <v>4817-M3X</v>
          </cell>
          <cell r="C210" t="str">
            <v>VMware VirtualCenter Agent (4 processor License; server purchase required)</v>
          </cell>
          <cell r="D210">
            <v>0</v>
          </cell>
          <cell r="E210">
            <v>2139.0100000000002</v>
          </cell>
          <cell r="F210">
            <v>0</v>
          </cell>
          <cell r="G210">
            <v>0</v>
          </cell>
          <cell r="H210">
            <v>0</v>
          </cell>
          <cell r="I210">
            <v>0</v>
          </cell>
          <cell r="J210">
            <v>0</v>
          </cell>
          <cell r="K210">
            <v>0</v>
          </cell>
          <cell r="L210">
            <v>0</v>
          </cell>
          <cell r="M210">
            <v>2010</v>
          </cell>
        </row>
        <row r="211">
          <cell r="A211" t="str">
            <v>4817M6X</v>
          </cell>
          <cell r="B211" t="str">
            <v>4817-M6X</v>
          </cell>
          <cell r="C211" t="str">
            <v>VMware Vmotion (2 processor License; server purchase required)</v>
          </cell>
          <cell r="D211">
            <v>0</v>
          </cell>
          <cell r="E211">
            <v>2499</v>
          </cell>
          <cell r="F211">
            <v>0</v>
          </cell>
          <cell r="G211">
            <v>0</v>
          </cell>
          <cell r="H211">
            <v>0</v>
          </cell>
          <cell r="I211">
            <v>0</v>
          </cell>
          <cell r="J211">
            <v>0</v>
          </cell>
          <cell r="K211">
            <v>0</v>
          </cell>
          <cell r="L211">
            <v>0</v>
          </cell>
          <cell r="M211">
            <v>2020</v>
          </cell>
        </row>
        <row r="212">
          <cell r="A212" t="str">
            <v>4817M7X</v>
          </cell>
          <cell r="B212" t="str">
            <v>4817-M7X</v>
          </cell>
          <cell r="C212" t="str">
            <v>VMware Vmotion (4 processor License; server purchase required)</v>
          </cell>
          <cell r="D212">
            <v>0</v>
          </cell>
          <cell r="E212">
            <v>4999.01</v>
          </cell>
          <cell r="F212">
            <v>0</v>
          </cell>
          <cell r="G212">
            <v>0</v>
          </cell>
          <cell r="H212">
            <v>0</v>
          </cell>
          <cell r="I212">
            <v>0</v>
          </cell>
          <cell r="J212">
            <v>0</v>
          </cell>
          <cell r="K212">
            <v>0</v>
          </cell>
          <cell r="L212">
            <v>0</v>
          </cell>
          <cell r="M212">
            <v>2030</v>
          </cell>
        </row>
        <row r="213">
          <cell r="A213" t="str">
            <v>4817MAX</v>
          </cell>
          <cell r="B213" t="str">
            <v>4817-MAX</v>
          </cell>
          <cell r="C213" t="str">
            <v>VMware Virtual Infrastructure Node (1-2 processor License; server purchase required)</v>
          </cell>
          <cell r="D213">
            <v>0</v>
          </cell>
          <cell r="E213">
            <v>9299</v>
          </cell>
          <cell r="F213">
            <v>0</v>
          </cell>
          <cell r="G213">
            <v>0</v>
          </cell>
          <cell r="H213">
            <v>0</v>
          </cell>
          <cell r="I213">
            <v>0</v>
          </cell>
          <cell r="J213">
            <v>0</v>
          </cell>
          <cell r="K213">
            <v>0</v>
          </cell>
          <cell r="L213">
            <v>0</v>
          </cell>
          <cell r="M213">
            <v>2040</v>
          </cell>
        </row>
        <row r="214">
          <cell r="A214" t="str">
            <v>4817MBX</v>
          </cell>
          <cell r="B214" t="str">
            <v>4817-MBX</v>
          </cell>
          <cell r="C214" t="str">
            <v>VMware Virtual Infrastructure Node (3-4 processor License; server purchase required)</v>
          </cell>
          <cell r="D214">
            <v>0</v>
          </cell>
          <cell r="E214">
            <v>18699</v>
          </cell>
          <cell r="F214">
            <v>0</v>
          </cell>
          <cell r="G214">
            <v>0</v>
          </cell>
          <cell r="H214">
            <v>0</v>
          </cell>
          <cell r="I214">
            <v>0</v>
          </cell>
          <cell r="J214">
            <v>0</v>
          </cell>
          <cell r="K214">
            <v>0</v>
          </cell>
          <cell r="L214">
            <v>0</v>
          </cell>
          <cell r="M214">
            <v>2050</v>
          </cell>
        </row>
        <row r="215">
          <cell r="A215" t="str">
            <v>N/A</v>
          </cell>
          <cell r="B215" t="str">
            <v>4817-MEX</v>
          </cell>
          <cell r="C215" t="str">
            <v>VMware VirtualCenter Media Kit (server purchase required)</v>
          </cell>
          <cell r="D215">
            <v>0</v>
          </cell>
          <cell r="E215" t="str">
            <v>N/A</v>
          </cell>
          <cell r="F215">
            <v>0</v>
          </cell>
          <cell r="G215">
            <v>0</v>
          </cell>
          <cell r="H215">
            <v>0</v>
          </cell>
          <cell r="I215">
            <v>0</v>
          </cell>
          <cell r="J215">
            <v>0</v>
          </cell>
          <cell r="K215">
            <v>0</v>
          </cell>
          <cell r="L215">
            <v>0</v>
          </cell>
          <cell r="M215">
            <v>2060</v>
          </cell>
        </row>
        <row r="216">
          <cell r="A216" t="str">
            <v>N/A</v>
          </cell>
          <cell r="B216" t="str">
            <v>4817-21X</v>
          </cell>
          <cell r="C216" t="str">
            <v>VMware ESX Server 2 Media Kit (server purchase required)</v>
          </cell>
          <cell r="D216">
            <v>0</v>
          </cell>
          <cell r="E216" t="str">
            <v>N/A</v>
          </cell>
          <cell r="F216">
            <v>0</v>
          </cell>
          <cell r="G216">
            <v>0</v>
          </cell>
          <cell r="H216">
            <v>0</v>
          </cell>
          <cell r="I216">
            <v>0</v>
          </cell>
          <cell r="J216">
            <v>0</v>
          </cell>
          <cell r="K216">
            <v>0</v>
          </cell>
          <cell r="L216">
            <v>0</v>
          </cell>
          <cell r="M216">
            <v>2070</v>
          </cell>
        </row>
        <row r="217">
          <cell r="M217">
            <v>2080</v>
          </cell>
        </row>
        <row r="218">
          <cell r="A218" t="str">
            <v>4817MA3</v>
          </cell>
          <cell r="B218" t="str">
            <v>4817-MA3</v>
          </cell>
          <cell r="C218" t="str">
            <v>VMware Virtual Infrastrucuture Node (1-2 processors w/ 3 YR software subscription)</v>
          </cell>
          <cell r="D218">
            <v>0</v>
          </cell>
          <cell r="E218" t="str">
            <v>???</v>
          </cell>
          <cell r="F218">
            <v>0</v>
          </cell>
          <cell r="G218">
            <v>0</v>
          </cell>
          <cell r="H218">
            <v>0</v>
          </cell>
          <cell r="I218">
            <v>0</v>
          </cell>
          <cell r="J218">
            <v>0</v>
          </cell>
          <cell r="K218">
            <v>0</v>
          </cell>
          <cell r="L218">
            <v>0</v>
          </cell>
          <cell r="M218">
            <v>2090</v>
          </cell>
        </row>
        <row r="219">
          <cell r="A219" t="str">
            <v>4817MA5</v>
          </cell>
          <cell r="B219" t="str">
            <v>4817-MA5</v>
          </cell>
          <cell r="C219" t="str">
            <v>VMware Virtual Infrastrucuture Node (1-2 processors w/ 5 YR software subscription)</v>
          </cell>
          <cell r="D219">
            <v>0</v>
          </cell>
          <cell r="E219" t="str">
            <v>???</v>
          </cell>
          <cell r="F219">
            <v>0</v>
          </cell>
          <cell r="G219">
            <v>0</v>
          </cell>
          <cell r="H219">
            <v>0</v>
          </cell>
          <cell r="I219">
            <v>0</v>
          </cell>
          <cell r="J219">
            <v>0</v>
          </cell>
          <cell r="K219">
            <v>0</v>
          </cell>
          <cell r="L219">
            <v>0</v>
          </cell>
          <cell r="M219">
            <v>2100</v>
          </cell>
        </row>
        <row r="220">
          <cell r="A220" t="str">
            <v>4817MB3</v>
          </cell>
          <cell r="B220" t="str">
            <v>4817-MB3</v>
          </cell>
          <cell r="C220" t="str">
            <v>VMware Virtual Infrastrucuture Node (3-4 processors w/ 3 YR software subscription)</v>
          </cell>
          <cell r="D220">
            <v>0</v>
          </cell>
          <cell r="E220" t="str">
            <v>???</v>
          </cell>
          <cell r="F220">
            <v>0</v>
          </cell>
          <cell r="G220">
            <v>0</v>
          </cell>
          <cell r="H220">
            <v>0</v>
          </cell>
          <cell r="I220">
            <v>0</v>
          </cell>
          <cell r="J220">
            <v>0</v>
          </cell>
          <cell r="K220">
            <v>0</v>
          </cell>
          <cell r="L220">
            <v>0</v>
          </cell>
          <cell r="M220">
            <v>2110</v>
          </cell>
        </row>
        <row r="221">
          <cell r="A221" t="str">
            <v>4817MB5</v>
          </cell>
          <cell r="B221" t="str">
            <v>4817-MB5</v>
          </cell>
          <cell r="C221" t="str">
            <v>VMware Virtual Infrastrucuture Node (3-4 processors w/ 5 YR software subscription)</v>
          </cell>
          <cell r="D221">
            <v>0</v>
          </cell>
          <cell r="E221" t="str">
            <v>???</v>
          </cell>
          <cell r="F221">
            <v>0</v>
          </cell>
          <cell r="G221">
            <v>0</v>
          </cell>
          <cell r="H221">
            <v>0</v>
          </cell>
          <cell r="I221">
            <v>0</v>
          </cell>
          <cell r="J221">
            <v>0</v>
          </cell>
          <cell r="K221">
            <v>0</v>
          </cell>
          <cell r="L221">
            <v>0</v>
          </cell>
          <cell r="M221">
            <v>2120</v>
          </cell>
        </row>
        <row r="222">
          <cell r="M222">
            <v>2130</v>
          </cell>
        </row>
        <row r="223">
          <cell r="A223" t="str">
            <v>4817M13</v>
          </cell>
          <cell r="B223" t="str">
            <v>4817-M13</v>
          </cell>
          <cell r="C223" t="str">
            <v>Vmware VirtualCenter Management Server w/ 3 YR subscription</v>
          </cell>
          <cell r="D223">
            <v>0</v>
          </cell>
          <cell r="E223" t="str">
            <v>???</v>
          </cell>
          <cell r="F223">
            <v>0</v>
          </cell>
          <cell r="G223">
            <v>0</v>
          </cell>
          <cell r="H223">
            <v>0</v>
          </cell>
          <cell r="I223">
            <v>0</v>
          </cell>
          <cell r="J223">
            <v>0</v>
          </cell>
          <cell r="K223">
            <v>0</v>
          </cell>
          <cell r="L223">
            <v>0</v>
          </cell>
          <cell r="M223">
            <v>2140</v>
          </cell>
        </row>
        <row r="224">
          <cell r="A224" t="str">
            <v>4817M15</v>
          </cell>
          <cell r="B224" t="str">
            <v>4817-M15</v>
          </cell>
          <cell r="C224" t="str">
            <v>Vmware VirtualCenter Management Server w/ 5 YR subscription</v>
          </cell>
          <cell r="D224">
            <v>0</v>
          </cell>
          <cell r="E224" t="str">
            <v>???</v>
          </cell>
          <cell r="F224">
            <v>0</v>
          </cell>
          <cell r="G224">
            <v>0</v>
          </cell>
          <cell r="H224">
            <v>0</v>
          </cell>
          <cell r="I224">
            <v>0</v>
          </cell>
          <cell r="J224">
            <v>0</v>
          </cell>
          <cell r="K224">
            <v>0</v>
          </cell>
          <cell r="L224">
            <v>0</v>
          </cell>
          <cell r="M224">
            <v>2150</v>
          </cell>
        </row>
        <row r="225">
          <cell r="M225">
            <v>2160</v>
          </cell>
        </row>
        <row r="226">
          <cell r="A226" t="str">
            <v>Software</v>
          </cell>
          <cell r="M226">
            <v>2170</v>
          </cell>
        </row>
        <row r="227">
          <cell r="M227">
            <v>2180</v>
          </cell>
        </row>
        <row r="228">
          <cell r="A228" t="str">
            <v>24R9459</v>
          </cell>
          <cell r="B228">
            <v>0</v>
          </cell>
          <cell r="C228" t="str">
            <v>LifeKeeper for mySAP / MAX DB Solution on Linux</v>
          </cell>
          <cell r="D228">
            <v>0</v>
          </cell>
          <cell r="E228">
            <v>8699</v>
          </cell>
          <cell r="F228">
            <v>0</v>
          </cell>
          <cell r="G228">
            <v>0</v>
          </cell>
          <cell r="H228">
            <v>0</v>
          </cell>
          <cell r="I228">
            <v>0</v>
          </cell>
          <cell r="J228">
            <v>0</v>
          </cell>
          <cell r="K228">
            <v>0</v>
          </cell>
          <cell r="L228">
            <v>0</v>
          </cell>
          <cell r="M228">
            <v>2190</v>
          </cell>
        </row>
        <row r="229">
          <cell r="A229" t="str">
            <v>24R9460</v>
          </cell>
          <cell r="B229">
            <v>0</v>
          </cell>
          <cell r="C229" t="str">
            <v xml:space="preserve">LifeKeeper for mySAP / DB2 Solution on Linux   </v>
          </cell>
          <cell r="D229">
            <v>0</v>
          </cell>
          <cell r="E229">
            <v>8699</v>
          </cell>
          <cell r="F229">
            <v>0</v>
          </cell>
          <cell r="G229">
            <v>0</v>
          </cell>
          <cell r="H229">
            <v>0</v>
          </cell>
          <cell r="I229">
            <v>0</v>
          </cell>
          <cell r="J229">
            <v>0</v>
          </cell>
          <cell r="K229">
            <v>0</v>
          </cell>
          <cell r="L229">
            <v>0</v>
          </cell>
          <cell r="M229">
            <v>2200</v>
          </cell>
        </row>
        <row r="230">
          <cell r="A230" t="str">
            <v>24R9461</v>
          </cell>
          <cell r="B230">
            <v>0</v>
          </cell>
          <cell r="C230" t="str">
            <v xml:space="preserve">LifeKeeper for Sendmail SAMS Solution on Linux          </v>
          </cell>
          <cell r="D230">
            <v>0</v>
          </cell>
          <cell r="E230">
            <v>8699</v>
          </cell>
          <cell r="F230">
            <v>0</v>
          </cell>
          <cell r="G230">
            <v>0</v>
          </cell>
          <cell r="H230">
            <v>0</v>
          </cell>
          <cell r="I230">
            <v>0</v>
          </cell>
          <cell r="J230">
            <v>0</v>
          </cell>
          <cell r="K230">
            <v>0</v>
          </cell>
          <cell r="L230">
            <v>0</v>
          </cell>
          <cell r="M230">
            <v>2210</v>
          </cell>
        </row>
        <row r="231">
          <cell r="A231" t="str">
            <v>24R9463</v>
          </cell>
          <cell r="B231">
            <v>0</v>
          </cell>
          <cell r="C231" t="str">
            <v>LifeKeeper for Linux</v>
          </cell>
          <cell r="D231">
            <v>0</v>
          </cell>
          <cell r="E231">
            <v>2899</v>
          </cell>
          <cell r="F231">
            <v>0</v>
          </cell>
          <cell r="G231">
            <v>0</v>
          </cell>
          <cell r="H231">
            <v>0</v>
          </cell>
          <cell r="I231">
            <v>0</v>
          </cell>
          <cell r="J231">
            <v>0</v>
          </cell>
          <cell r="K231">
            <v>0</v>
          </cell>
          <cell r="L231">
            <v>0</v>
          </cell>
          <cell r="M231">
            <v>2220</v>
          </cell>
        </row>
        <row r="232">
          <cell r="A232" t="str">
            <v>24R9464</v>
          </cell>
          <cell r="B232">
            <v>0</v>
          </cell>
          <cell r="C232" t="str">
            <v>LifeKeeper Data Replication for Linux</v>
          </cell>
          <cell r="D232">
            <v>0</v>
          </cell>
          <cell r="E232">
            <v>859</v>
          </cell>
          <cell r="F232">
            <v>0</v>
          </cell>
          <cell r="G232">
            <v>0</v>
          </cell>
          <cell r="H232">
            <v>0</v>
          </cell>
          <cell r="I232">
            <v>0</v>
          </cell>
          <cell r="J232">
            <v>0</v>
          </cell>
          <cell r="K232">
            <v>0</v>
          </cell>
          <cell r="L232">
            <v>0</v>
          </cell>
          <cell r="M232">
            <v>2230</v>
          </cell>
        </row>
        <row r="233">
          <cell r="A233" t="str">
            <v>24R9465</v>
          </cell>
          <cell r="B233">
            <v>0</v>
          </cell>
          <cell r="C233" t="str">
            <v>LifeKeeper Data Replication for Linux -WAN</v>
          </cell>
          <cell r="D233">
            <v>0</v>
          </cell>
          <cell r="E233">
            <v>2699</v>
          </cell>
          <cell r="F233">
            <v>0</v>
          </cell>
          <cell r="G233">
            <v>0</v>
          </cell>
          <cell r="H233">
            <v>0</v>
          </cell>
          <cell r="I233">
            <v>0</v>
          </cell>
          <cell r="J233">
            <v>0</v>
          </cell>
          <cell r="K233">
            <v>0</v>
          </cell>
          <cell r="L233">
            <v>0</v>
          </cell>
          <cell r="M233">
            <v>2240</v>
          </cell>
        </row>
        <row r="234">
          <cell r="M234">
            <v>2250</v>
          </cell>
        </row>
        <row r="235">
          <cell r="A235" t="str">
            <v>24R9479</v>
          </cell>
          <cell r="B235">
            <v>0</v>
          </cell>
          <cell r="C235" t="str">
            <v>LifeKeeper for Linux Software Development Kit</v>
          </cell>
          <cell r="D235">
            <v>0</v>
          </cell>
          <cell r="E235">
            <v>289</v>
          </cell>
          <cell r="F235">
            <v>0</v>
          </cell>
          <cell r="G235">
            <v>0</v>
          </cell>
          <cell r="H235">
            <v>0</v>
          </cell>
          <cell r="I235">
            <v>0</v>
          </cell>
          <cell r="J235">
            <v>0</v>
          </cell>
          <cell r="K235">
            <v>0</v>
          </cell>
          <cell r="L235">
            <v>0</v>
          </cell>
          <cell r="M235">
            <v>2260</v>
          </cell>
        </row>
        <row r="236">
          <cell r="A236" t="str">
            <v>24R9480</v>
          </cell>
          <cell r="B236">
            <v>0</v>
          </cell>
          <cell r="C236" t="str">
            <v>LifeKeeper for LAN-based Exchange Solution</v>
          </cell>
          <cell r="D236">
            <v>0</v>
          </cell>
          <cell r="E236">
            <v>5199</v>
          </cell>
          <cell r="F236">
            <v>0</v>
          </cell>
          <cell r="G236">
            <v>0</v>
          </cell>
          <cell r="H236">
            <v>0</v>
          </cell>
          <cell r="I236">
            <v>0</v>
          </cell>
          <cell r="J236">
            <v>0</v>
          </cell>
          <cell r="K236">
            <v>0</v>
          </cell>
          <cell r="L236">
            <v>0</v>
          </cell>
          <cell r="M236">
            <v>2270</v>
          </cell>
        </row>
        <row r="237">
          <cell r="A237" t="str">
            <v>24R9481</v>
          </cell>
          <cell r="B237">
            <v>0</v>
          </cell>
          <cell r="C237" t="str">
            <v>LifeKeeper for WAN-based Exchange Solution</v>
          </cell>
          <cell r="D237">
            <v>0</v>
          </cell>
          <cell r="E237">
            <v>9999</v>
          </cell>
          <cell r="F237">
            <v>0</v>
          </cell>
          <cell r="G237">
            <v>0</v>
          </cell>
          <cell r="H237">
            <v>0</v>
          </cell>
          <cell r="I237">
            <v>0</v>
          </cell>
          <cell r="J237">
            <v>0</v>
          </cell>
          <cell r="K237">
            <v>0</v>
          </cell>
          <cell r="L237">
            <v>0</v>
          </cell>
          <cell r="M237">
            <v>2280</v>
          </cell>
        </row>
        <row r="238">
          <cell r="A238" t="str">
            <v>24R9482</v>
          </cell>
          <cell r="B238">
            <v>0</v>
          </cell>
          <cell r="C238" t="str">
            <v>LifeKeeper for Windows</v>
          </cell>
          <cell r="D238">
            <v>0</v>
          </cell>
          <cell r="E238">
            <v>4799</v>
          </cell>
          <cell r="F238">
            <v>0</v>
          </cell>
          <cell r="G238">
            <v>0</v>
          </cell>
          <cell r="H238">
            <v>0</v>
          </cell>
          <cell r="I238">
            <v>0</v>
          </cell>
          <cell r="J238">
            <v>0</v>
          </cell>
          <cell r="K238">
            <v>0</v>
          </cell>
          <cell r="L238">
            <v>0</v>
          </cell>
          <cell r="M238">
            <v>2290</v>
          </cell>
        </row>
        <row r="239">
          <cell r="A239" t="str">
            <v>24R9483</v>
          </cell>
          <cell r="B239">
            <v>0</v>
          </cell>
          <cell r="C239" t="str">
            <v>LifeKeeper Data Replication for Windows</v>
          </cell>
          <cell r="D239">
            <v>0</v>
          </cell>
          <cell r="E239">
            <v>2699</v>
          </cell>
          <cell r="F239">
            <v>0</v>
          </cell>
          <cell r="G239">
            <v>0</v>
          </cell>
          <cell r="H239">
            <v>0</v>
          </cell>
          <cell r="I239">
            <v>0</v>
          </cell>
          <cell r="J239">
            <v>0</v>
          </cell>
          <cell r="K239">
            <v>0</v>
          </cell>
          <cell r="L239">
            <v>0</v>
          </cell>
          <cell r="M239">
            <v>2300</v>
          </cell>
        </row>
        <row r="240">
          <cell r="M240">
            <v>2310</v>
          </cell>
        </row>
        <row r="241">
          <cell r="A241" t="str">
            <v>24R9466</v>
          </cell>
          <cell r="B241">
            <v>0</v>
          </cell>
          <cell r="C241" t="str">
            <v>Apache Web Server Module  (includes SSL support)</v>
          </cell>
          <cell r="D241">
            <v>0</v>
          </cell>
          <cell r="E241">
            <v>499</v>
          </cell>
          <cell r="F241">
            <v>0</v>
          </cell>
          <cell r="G241">
            <v>0</v>
          </cell>
          <cell r="H241">
            <v>0</v>
          </cell>
          <cell r="I241">
            <v>0</v>
          </cell>
          <cell r="J241">
            <v>0</v>
          </cell>
          <cell r="K241">
            <v>0</v>
          </cell>
          <cell r="L241">
            <v>0</v>
          </cell>
          <cell r="M241">
            <v>2320</v>
          </cell>
        </row>
        <row r="242">
          <cell r="A242" t="str">
            <v>24R9467</v>
          </cell>
          <cell r="B242">
            <v>0</v>
          </cell>
          <cell r="C242" t="str">
            <v>Sendmail Module  (Open Source Sendmail)</v>
          </cell>
          <cell r="D242">
            <v>0</v>
          </cell>
          <cell r="E242">
            <v>143</v>
          </cell>
          <cell r="F242">
            <v>0</v>
          </cell>
          <cell r="G242">
            <v>0</v>
          </cell>
          <cell r="H242">
            <v>0</v>
          </cell>
          <cell r="I242">
            <v>0</v>
          </cell>
          <cell r="J242">
            <v>0</v>
          </cell>
          <cell r="K242">
            <v>0</v>
          </cell>
          <cell r="L242">
            <v>0</v>
          </cell>
          <cell r="M242">
            <v>2330</v>
          </cell>
        </row>
        <row r="243">
          <cell r="A243" t="str">
            <v>24R9468</v>
          </cell>
          <cell r="B243">
            <v>0</v>
          </cell>
          <cell r="C243" t="str">
            <v>Informix Module</v>
          </cell>
          <cell r="D243">
            <v>0</v>
          </cell>
          <cell r="E243">
            <v>1449</v>
          </cell>
          <cell r="F243">
            <v>0</v>
          </cell>
          <cell r="G243">
            <v>0</v>
          </cell>
          <cell r="H243">
            <v>0</v>
          </cell>
          <cell r="I243">
            <v>0</v>
          </cell>
          <cell r="J243">
            <v>0</v>
          </cell>
          <cell r="K243">
            <v>0</v>
          </cell>
          <cell r="L243">
            <v>0</v>
          </cell>
          <cell r="M243">
            <v>2340</v>
          </cell>
        </row>
        <row r="244">
          <cell r="A244" t="str">
            <v>24R9469</v>
          </cell>
          <cell r="B244">
            <v>0</v>
          </cell>
          <cell r="C244" t="str">
            <v>Oracle Module</v>
          </cell>
          <cell r="D244">
            <v>0</v>
          </cell>
          <cell r="E244">
            <v>1449</v>
          </cell>
          <cell r="F244">
            <v>0</v>
          </cell>
          <cell r="G244">
            <v>0</v>
          </cell>
          <cell r="H244">
            <v>0</v>
          </cell>
          <cell r="I244">
            <v>0</v>
          </cell>
          <cell r="J244">
            <v>0</v>
          </cell>
          <cell r="K244">
            <v>0</v>
          </cell>
          <cell r="L244">
            <v>0</v>
          </cell>
          <cell r="M244">
            <v>2350</v>
          </cell>
        </row>
        <row r="245">
          <cell r="A245" t="str">
            <v>24R9470</v>
          </cell>
          <cell r="B245">
            <v>0</v>
          </cell>
          <cell r="C245" t="str">
            <v>DB2 WE, EE, EEE, ESE Module</v>
          </cell>
          <cell r="D245">
            <v>0</v>
          </cell>
          <cell r="E245">
            <v>1449</v>
          </cell>
          <cell r="F245">
            <v>0</v>
          </cell>
          <cell r="G245">
            <v>0</v>
          </cell>
          <cell r="H245">
            <v>0</v>
          </cell>
          <cell r="I245">
            <v>0</v>
          </cell>
          <cell r="J245">
            <v>0</v>
          </cell>
          <cell r="K245">
            <v>0</v>
          </cell>
          <cell r="L245">
            <v>0</v>
          </cell>
          <cell r="M245">
            <v>2360</v>
          </cell>
        </row>
        <row r="246">
          <cell r="A246" t="str">
            <v>24R9471</v>
          </cell>
          <cell r="B246">
            <v>0</v>
          </cell>
          <cell r="C246" t="str">
            <v>MySQL Module</v>
          </cell>
          <cell r="D246">
            <v>0</v>
          </cell>
          <cell r="E246">
            <v>769</v>
          </cell>
          <cell r="F246">
            <v>0</v>
          </cell>
          <cell r="G246">
            <v>0</v>
          </cell>
          <cell r="H246">
            <v>0</v>
          </cell>
          <cell r="I246">
            <v>0</v>
          </cell>
          <cell r="J246">
            <v>0</v>
          </cell>
          <cell r="K246">
            <v>0</v>
          </cell>
          <cell r="L246">
            <v>0</v>
          </cell>
          <cell r="M246">
            <v>2370</v>
          </cell>
        </row>
        <row r="247">
          <cell r="A247" t="str">
            <v>24R9472</v>
          </cell>
          <cell r="B247">
            <v>0</v>
          </cell>
          <cell r="C247" t="str">
            <v>PostgreSQL Module</v>
          </cell>
          <cell r="D247">
            <v>0</v>
          </cell>
          <cell r="E247">
            <v>769</v>
          </cell>
          <cell r="F247">
            <v>0</v>
          </cell>
          <cell r="G247">
            <v>0</v>
          </cell>
          <cell r="H247">
            <v>0</v>
          </cell>
          <cell r="I247">
            <v>0</v>
          </cell>
          <cell r="J247">
            <v>0</v>
          </cell>
          <cell r="K247">
            <v>0</v>
          </cell>
          <cell r="L247">
            <v>0</v>
          </cell>
          <cell r="M247">
            <v>2380</v>
          </cell>
        </row>
        <row r="248">
          <cell r="A248" t="str">
            <v>24R9473</v>
          </cell>
          <cell r="B248">
            <v>0</v>
          </cell>
          <cell r="C248" t="str">
            <v>Sybase Module</v>
          </cell>
          <cell r="D248">
            <v>0</v>
          </cell>
          <cell r="E248">
            <v>1449</v>
          </cell>
          <cell r="F248">
            <v>0</v>
          </cell>
          <cell r="G248">
            <v>0</v>
          </cell>
          <cell r="H248">
            <v>0</v>
          </cell>
          <cell r="I248">
            <v>0</v>
          </cell>
          <cell r="J248">
            <v>0</v>
          </cell>
          <cell r="K248">
            <v>0</v>
          </cell>
          <cell r="L248">
            <v>0</v>
          </cell>
          <cell r="M248">
            <v>2390</v>
          </cell>
        </row>
        <row r="249">
          <cell r="A249" t="str">
            <v>24R9474</v>
          </cell>
          <cell r="B249">
            <v>0</v>
          </cell>
          <cell r="C249" t="str">
            <v>NFS Server Module</v>
          </cell>
          <cell r="D249">
            <v>0</v>
          </cell>
          <cell r="E249">
            <v>379.01</v>
          </cell>
          <cell r="F249">
            <v>0</v>
          </cell>
          <cell r="G249">
            <v>0</v>
          </cell>
          <cell r="H249">
            <v>0</v>
          </cell>
          <cell r="I249">
            <v>0</v>
          </cell>
          <cell r="J249">
            <v>0</v>
          </cell>
          <cell r="K249">
            <v>0</v>
          </cell>
          <cell r="L249">
            <v>0</v>
          </cell>
          <cell r="M249">
            <v>2400</v>
          </cell>
        </row>
        <row r="250">
          <cell r="A250" t="str">
            <v>24R9475</v>
          </cell>
          <cell r="B250">
            <v>0</v>
          </cell>
          <cell r="C250" t="str">
            <v>Print Services Module</v>
          </cell>
          <cell r="D250">
            <v>0</v>
          </cell>
          <cell r="E250">
            <v>379.01</v>
          </cell>
          <cell r="F250">
            <v>0</v>
          </cell>
          <cell r="G250">
            <v>0</v>
          </cell>
          <cell r="H250">
            <v>0</v>
          </cell>
          <cell r="I250">
            <v>0</v>
          </cell>
          <cell r="J250">
            <v>0</v>
          </cell>
          <cell r="K250">
            <v>0</v>
          </cell>
          <cell r="L250">
            <v>0</v>
          </cell>
          <cell r="M250">
            <v>2410</v>
          </cell>
        </row>
        <row r="251">
          <cell r="A251" t="str">
            <v>24R9476</v>
          </cell>
          <cell r="B251">
            <v>0</v>
          </cell>
          <cell r="C251" t="str">
            <v>Samba Module</v>
          </cell>
          <cell r="D251">
            <v>0</v>
          </cell>
          <cell r="E251">
            <v>769</v>
          </cell>
          <cell r="F251">
            <v>0</v>
          </cell>
          <cell r="G251">
            <v>0</v>
          </cell>
          <cell r="H251">
            <v>0</v>
          </cell>
          <cell r="I251">
            <v>0</v>
          </cell>
          <cell r="J251">
            <v>0</v>
          </cell>
          <cell r="K251">
            <v>0</v>
          </cell>
          <cell r="L251">
            <v>0</v>
          </cell>
          <cell r="M251">
            <v>2420</v>
          </cell>
        </row>
        <row r="252">
          <cell r="A252" t="str">
            <v>24R9477</v>
          </cell>
          <cell r="B252">
            <v>0</v>
          </cell>
          <cell r="C252" t="str">
            <v>Network Attached Storage Recovery Kit</v>
          </cell>
          <cell r="D252">
            <v>0</v>
          </cell>
          <cell r="E252">
            <v>859</v>
          </cell>
          <cell r="F252">
            <v>0</v>
          </cell>
          <cell r="G252">
            <v>0</v>
          </cell>
          <cell r="H252">
            <v>0</v>
          </cell>
          <cell r="I252">
            <v>0</v>
          </cell>
          <cell r="J252">
            <v>0</v>
          </cell>
          <cell r="K252">
            <v>0</v>
          </cell>
          <cell r="L252">
            <v>0</v>
          </cell>
          <cell r="M252">
            <v>2430</v>
          </cell>
        </row>
        <row r="253">
          <cell r="A253" t="str">
            <v>24R9478</v>
          </cell>
          <cell r="B253">
            <v>0</v>
          </cell>
          <cell r="C253" t="str">
            <v>Logical Volume Manager Module</v>
          </cell>
          <cell r="D253">
            <v>0</v>
          </cell>
          <cell r="E253">
            <v>769</v>
          </cell>
          <cell r="F253">
            <v>0</v>
          </cell>
          <cell r="G253">
            <v>0</v>
          </cell>
          <cell r="H253">
            <v>0</v>
          </cell>
          <cell r="I253">
            <v>0</v>
          </cell>
          <cell r="J253">
            <v>0</v>
          </cell>
          <cell r="K253">
            <v>0</v>
          </cell>
          <cell r="L253">
            <v>0</v>
          </cell>
          <cell r="M253">
            <v>2440</v>
          </cell>
        </row>
        <row r="254">
          <cell r="M254">
            <v>2450</v>
          </cell>
        </row>
        <row r="255">
          <cell r="A255" t="str">
            <v>24R9484</v>
          </cell>
          <cell r="B255">
            <v>0</v>
          </cell>
          <cell r="C255" t="str">
            <v>MS IIS 5.0 Web Server Module</v>
          </cell>
          <cell r="D255">
            <v>0</v>
          </cell>
          <cell r="E255">
            <v>1449</v>
          </cell>
          <cell r="F255">
            <v>0</v>
          </cell>
          <cell r="G255">
            <v>0</v>
          </cell>
          <cell r="H255">
            <v>0</v>
          </cell>
          <cell r="I255">
            <v>0</v>
          </cell>
          <cell r="J255">
            <v>0</v>
          </cell>
          <cell r="K255">
            <v>0</v>
          </cell>
          <cell r="L255">
            <v>0</v>
          </cell>
          <cell r="M255">
            <v>2460</v>
          </cell>
        </row>
        <row r="256">
          <cell r="A256" t="str">
            <v>24R9485</v>
          </cell>
          <cell r="B256">
            <v>0</v>
          </cell>
          <cell r="C256" t="str">
            <v>SQL Server Module</v>
          </cell>
          <cell r="D256">
            <v>0</v>
          </cell>
          <cell r="E256">
            <v>1539</v>
          </cell>
          <cell r="F256">
            <v>0</v>
          </cell>
          <cell r="G256">
            <v>0</v>
          </cell>
          <cell r="H256">
            <v>0</v>
          </cell>
          <cell r="I256">
            <v>0</v>
          </cell>
          <cell r="J256">
            <v>0</v>
          </cell>
          <cell r="K256">
            <v>0</v>
          </cell>
          <cell r="L256">
            <v>0</v>
          </cell>
          <cell r="M256">
            <v>2470</v>
          </cell>
        </row>
        <row r="257">
          <cell r="A257" t="str">
            <v>24R9486</v>
          </cell>
          <cell r="B257">
            <v>0</v>
          </cell>
          <cell r="C257" t="str">
            <v>DB2 WE, EE, EEE, ESE Module</v>
          </cell>
          <cell r="D257">
            <v>0</v>
          </cell>
          <cell r="E257">
            <v>1449</v>
          </cell>
          <cell r="F257">
            <v>0</v>
          </cell>
          <cell r="G257">
            <v>0</v>
          </cell>
          <cell r="H257">
            <v>0</v>
          </cell>
          <cell r="I257">
            <v>0</v>
          </cell>
          <cell r="J257">
            <v>0</v>
          </cell>
          <cell r="K257">
            <v>0</v>
          </cell>
          <cell r="L257">
            <v>0</v>
          </cell>
          <cell r="M257">
            <v>2480</v>
          </cell>
        </row>
        <row r="258">
          <cell r="A258" t="str">
            <v>24R9487</v>
          </cell>
          <cell r="B258">
            <v>0</v>
          </cell>
          <cell r="C258" t="str">
            <v>Oracle 8i &amp; 9i Module</v>
          </cell>
          <cell r="D258">
            <v>0</v>
          </cell>
          <cell r="E258">
            <v>2119</v>
          </cell>
          <cell r="F258">
            <v>0</v>
          </cell>
          <cell r="G258">
            <v>0</v>
          </cell>
          <cell r="H258">
            <v>0</v>
          </cell>
          <cell r="I258">
            <v>0</v>
          </cell>
          <cell r="J258">
            <v>0</v>
          </cell>
          <cell r="K258">
            <v>0</v>
          </cell>
          <cell r="L258">
            <v>0</v>
          </cell>
          <cell r="M258">
            <v>2490</v>
          </cell>
        </row>
        <row r="259">
          <cell r="M259">
            <v>2500</v>
          </cell>
        </row>
        <row r="260">
          <cell r="A260" t="str">
            <v>24R9488</v>
          </cell>
          <cell r="B260">
            <v>0</v>
          </cell>
          <cell r="C260" t="str">
            <v>SteelEye Support Package 1</v>
          </cell>
          <cell r="D260">
            <v>0</v>
          </cell>
          <cell r="E260">
            <v>239</v>
          </cell>
          <cell r="F260">
            <v>0</v>
          </cell>
          <cell r="G260">
            <v>0</v>
          </cell>
          <cell r="H260">
            <v>0</v>
          </cell>
          <cell r="I260">
            <v>0</v>
          </cell>
          <cell r="J260">
            <v>0</v>
          </cell>
          <cell r="K260">
            <v>0</v>
          </cell>
          <cell r="L260">
            <v>0</v>
          </cell>
          <cell r="M260">
            <v>2510</v>
          </cell>
        </row>
        <row r="261">
          <cell r="A261" t="str">
            <v>24R9489</v>
          </cell>
          <cell r="B261">
            <v>0</v>
          </cell>
          <cell r="C261" t="str">
            <v>SteelEye Support Package 2</v>
          </cell>
          <cell r="D261">
            <v>0</v>
          </cell>
          <cell r="E261">
            <v>399</v>
          </cell>
          <cell r="F261">
            <v>0</v>
          </cell>
          <cell r="G261">
            <v>0</v>
          </cell>
          <cell r="H261">
            <v>0</v>
          </cell>
          <cell r="I261">
            <v>0</v>
          </cell>
          <cell r="J261">
            <v>0</v>
          </cell>
          <cell r="K261">
            <v>0</v>
          </cell>
          <cell r="L261">
            <v>0</v>
          </cell>
          <cell r="M261">
            <v>2520</v>
          </cell>
        </row>
        <row r="262">
          <cell r="A262" t="str">
            <v>24R9490</v>
          </cell>
          <cell r="B262">
            <v>0</v>
          </cell>
          <cell r="C262" t="str">
            <v>SteelEye Support Package 3</v>
          </cell>
          <cell r="D262">
            <v>0</v>
          </cell>
          <cell r="E262">
            <v>653.64</v>
          </cell>
          <cell r="F262">
            <v>0</v>
          </cell>
          <cell r="G262">
            <v>0</v>
          </cell>
          <cell r="H262">
            <v>0</v>
          </cell>
          <cell r="I262">
            <v>0</v>
          </cell>
          <cell r="J262">
            <v>0</v>
          </cell>
          <cell r="K262">
            <v>0</v>
          </cell>
          <cell r="L262">
            <v>0</v>
          </cell>
          <cell r="M262">
            <v>2530</v>
          </cell>
        </row>
        <row r="263">
          <cell r="A263" t="str">
            <v>24R9491</v>
          </cell>
          <cell r="B263">
            <v>0</v>
          </cell>
          <cell r="C263" t="str">
            <v>SteelEye Support Package 4</v>
          </cell>
          <cell r="D263">
            <v>0</v>
          </cell>
          <cell r="E263">
            <v>1199</v>
          </cell>
          <cell r="F263">
            <v>0</v>
          </cell>
          <cell r="G263">
            <v>0</v>
          </cell>
          <cell r="H263">
            <v>0</v>
          </cell>
          <cell r="I263">
            <v>0</v>
          </cell>
          <cell r="J263">
            <v>0</v>
          </cell>
          <cell r="K263">
            <v>0</v>
          </cell>
          <cell r="L263">
            <v>0</v>
          </cell>
          <cell r="M263">
            <v>2540</v>
          </cell>
        </row>
        <row r="264">
          <cell r="A264" t="str">
            <v>24R9492</v>
          </cell>
          <cell r="B264">
            <v>0</v>
          </cell>
          <cell r="C264" t="str">
            <v>SteelEye Support Package 5</v>
          </cell>
          <cell r="D264">
            <v>0</v>
          </cell>
          <cell r="E264">
            <v>2159</v>
          </cell>
          <cell r="F264">
            <v>0</v>
          </cell>
          <cell r="G264">
            <v>0</v>
          </cell>
          <cell r="H264">
            <v>0</v>
          </cell>
          <cell r="I264">
            <v>0</v>
          </cell>
          <cell r="J264">
            <v>0</v>
          </cell>
          <cell r="K264">
            <v>0</v>
          </cell>
          <cell r="L264">
            <v>0</v>
          </cell>
          <cell r="M264">
            <v>2550</v>
          </cell>
        </row>
        <row r="265">
          <cell r="M265">
            <v>2560</v>
          </cell>
        </row>
        <row r="266">
          <cell r="C266" t="str">
            <v>IBM Director 4.1 ships free of charge with server; and FOC for 5000 IBM client licenses</v>
          </cell>
          <cell r="M266">
            <v>2570</v>
          </cell>
        </row>
        <row r="267">
          <cell r="A267" t="str">
            <v>71P7627</v>
          </cell>
          <cell r="B267">
            <v>0</v>
          </cell>
          <cell r="C267" t="str">
            <v>WITHDRAWN;IBM Director 4.1 xSeries All, Server Plus Pack, Single License Proof of Entitlement</v>
          </cell>
          <cell r="D267">
            <v>0</v>
          </cell>
          <cell r="E267" t="str">
            <v>WDFM</v>
          </cell>
          <cell r="F267">
            <v>0</v>
          </cell>
          <cell r="G267">
            <v>0</v>
          </cell>
          <cell r="H267">
            <v>0</v>
          </cell>
          <cell r="I267">
            <v>0</v>
          </cell>
          <cell r="J267">
            <v>0</v>
          </cell>
          <cell r="K267">
            <v>0</v>
          </cell>
          <cell r="L267">
            <v>0</v>
          </cell>
          <cell r="M267">
            <v>2580</v>
          </cell>
        </row>
        <row r="268">
          <cell r="A268" t="str">
            <v>71P7618</v>
          </cell>
          <cell r="B268">
            <v>0</v>
          </cell>
          <cell r="C268" t="str">
            <v>WITHDRAWN;IBM Director 4.1 xSeries All, Server Plus Pack CD, Single License Proof of Entitlement</v>
          </cell>
          <cell r="D268">
            <v>0</v>
          </cell>
          <cell r="E268" t="str">
            <v>WDFM</v>
          </cell>
          <cell r="F268">
            <v>0</v>
          </cell>
          <cell r="G268">
            <v>0</v>
          </cell>
          <cell r="H268">
            <v>0</v>
          </cell>
          <cell r="I268">
            <v>0</v>
          </cell>
          <cell r="J268">
            <v>0</v>
          </cell>
          <cell r="K268">
            <v>0</v>
          </cell>
          <cell r="L268">
            <v>0</v>
          </cell>
          <cell r="M268">
            <v>2590</v>
          </cell>
        </row>
        <row r="269">
          <cell r="A269" t="str">
            <v>71P7619</v>
          </cell>
          <cell r="B269">
            <v>0</v>
          </cell>
          <cell r="C269" t="str">
            <v>WITHDRAWN;IBM Director 4.1 xSeries All, Server Plus Pack , 20 Additional License Proof of Entitlement</v>
          </cell>
          <cell r="D269">
            <v>0</v>
          </cell>
          <cell r="E269" t="str">
            <v>WDFM</v>
          </cell>
          <cell r="F269">
            <v>0</v>
          </cell>
          <cell r="G269">
            <v>0</v>
          </cell>
          <cell r="H269">
            <v>0</v>
          </cell>
          <cell r="I269">
            <v>0</v>
          </cell>
          <cell r="J269">
            <v>0</v>
          </cell>
          <cell r="K269">
            <v>0</v>
          </cell>
          <cell r="L269">
            <v>0</v>
          </cell>
          <cell r="M269">
            <v>2600</v>
          </cell>
        </row>
        <row r="270">
          <cell r="A270" t="str">
            <v>71P7620</v>
          </cell>
          <cell r="B270">
            <v>0</v>
          </cell>
          <cell r="C270" t="str">
            <v>WITHDRAWN;IBM Director 4.1 xSeries All, Server Plus Pack , 50 Additional License Proof of Entitlement</v>
          </cell>
          <cell r="D270">
            <v>0</v>
          </cell>
          <cell r="E270" t="str">
            <v>WDFM</v>
          </cell>
          <cell r="F270">
            <v>0</v>
          </cell>
          <cell r="G270">
            <v>0</v>
          </cell>
          <cell r="H270">
            <v>0</v>
          </cell>
          <cell r="I270">
            <v>0</v>
          </cell>
          <cell r="J270">
            <v>0</v>
          </cell>
          <cell r="K270">
            <v>0</v>
          </cell>
          <cell r="L270">
            <v>0</v>
          </cell>
          <cell r="M270">
            <v>2610</v>
          </cell>
        </row>
        <row r="271">
          <cell r="A271" t="str">
            <v>71P7621</v>
          </cell>
          <cell r="B271">
            <v>0</v>
          </cell>
          <cell r="C271" t="str">
            <v>WITHDRAWN;IBM Director 4.1 xSeries All, Server Plus Pack , 100 Additional License Proof of Entitlement</v>
          </cell>
          <cell r="D271">
            <v>0</v>
          </cell>
          <cell r="E271" t="str">
            <v>WDFM</v>
          </cell>
          <cell r="F271">
            <v>0</v>
          </cell>
          <cell r="G271">
            <v>0</v>
          </cell>
          <cell r="H271">
            <v>0</v>
          </cell>
          <cell r="I271">
            <v>0</v>
          </cell>
          <cell r="J271">
            <v>0</v>
          </cell>
          <cell r="K271">
            <v>0</v>
          </cell>
          <cell r="L271">
            <v>0</v>
          </cell>
          <cell r="M271">
            <v>2620</v>
          </cell>
        </row>
        <row r="272">
          <cell r="A272" t="str">
            <v>71P7613</v>
          </cell>
          <cell r="B272">
            <v>0</v>
          </cell>
          <cell r="C272" t="str">
            <v>WITHDRAWN;IBM Director 4.1 CD with 20 Client License</v>
          </cell>
          <cell r="D272">
            <v>0</v>
          </cell>
          <cell r="E272" t="str">
            <v>WDFM</v>
          </cell>
          <cell r="F272">
            <v>0</v>
          </cell>
          <cell r="G272">
            <v>0</v>
          </cell>
          <cell r="H272">
            <v>0</v>
          </cell>
          <cell r="I272">
            <v>0</v>
          </cell>
          <cell r="J272">
            <v>0</v>
          </cell>
          <cell r="K272">
            <v>0</v>
          </cell>
          <cell r="L272">
            <v>0</v>
          </cell>
          <cell r="M272">
            <v>2630</v>
          </cell>
        </row>
        <row r="273">
          <cell r="A273" t="str">
            <v>71P7614</v>
          </cell>
          <cell r="B273">
            <v>0</v>
          </cell>
          <cell r="C273" t="str">
            <v>WITHDRAWN;IBM Director 4.1 Single Server License Proof of Entitlement</v>
          </cell>
          <cell r="D273">
            <v>0</v>
          </cell>
          <cell r="E273" t="str">
            <v>WDFM</v>
          </cell>
          <cell r="F273">
            <v>0</v>
          </cell>
          <cell r="G273">
            <v>0</v>
          </cell>
          <cell r="H273">
            <v>0</v>
          </cell>
          <cell r="I273">
            <v>0</v>
          </cell>
          <cell r="J273">
            <v>0</v>
          </cell>
          <cell r="K273">
            <v>0</v>
          </cell>
          <cell r="L273">
            <v>0</v>
          </cell>
          <cell r="M273">
            <v>2640</v>
          </cell>
        </row>
        <row r="274">
          <cell r="A274" t="str">
            <v>71P7626</v>
          </cell>
          <cell r="B274">
            <v>0</v>
          </cell>
          <cell r="C274" t="str">
            <v>WITHDRAWN;IBM Director 4.1 Single Client License Proof of Entitlement</v>
          </cell>
          <cell r="D274">
            <v>0</v>
          </cell>
          <cell r="E274" t="str">
            <v>WDFM</v>
          </cell>
          <cell r="F274">
            <v>0</v>
          </cell>
          <cell r="G274">
            <v>0</v>
          </cell>
          <cell r="H274">
            <v>0</v>
          </cell>
          <cell r="I274">
            <v>0</v>
          </cell>
          <cell r="J274">
            <v>0</v>
          </cell>
          <cell r="K274">
            <v>0</v>
          </cell>
          <cell r="L274">
            <v>0</v>
          </cell>
          <cell r="M274">
            <v>2650</v>
          </cell>
        </row>
        <row r="275">
          <cell r="A275" t="str">
            <v>71P7615</v>
          </cell>
          <cell r="B275">
            <v>0</v>
          </cell>
          <cell r="C275" t="str">
            <v>WITHDRAWN;IBM Director 4.1 20 Additional Client License Proof of Entitlement</v>
          </cell>
          <cell r="D275">
            <v>0</v>
          </cell>
          <cell r="E275" t="str">
            <v>WDFM</v>
          </cell>
          <cell r="F275">
            <v>0</v>
          </cell>
          <cell r="G275">
            <v>0</v>
          </cell>
          <cell r="H275">
            <v>0</v>
          </cell>
          <cell r="I275">
            <v>0</v>
          </cell>
          <cell r="J275">
            <v>0</v>
          </cell>
          <cell r="K275">
            <v>0</v>
          </cell>
          <cell r="L275">
            <v>0</v>
          </cell>
          <cell r="M275">
            <v>2660</v>
          </cell>
        </row>
        <row r="276">
          <cell r="A276" t="str">
            <v>71P7616</v>
          </cell>
          <cell r="B276">
            <v>0</v>
          </cell>
          <cell r="C276" t="str">
            <v>WITHDRAWN;IBM Director 4.1 50 Additional Client License Proof of Entitlement</v>
          </cell>
          <cell r="D276">
            <v>0</v>
          </cell>
          <cell r="E276" t="str">
            <v>WDFM</v>
          </cell>
          <cell r="F276">
            <v>0</v>
          </cell>
          <cell r="G276">
            <v>0</v>
          </cell>
          <cell r="H276">
            <v>0</v>
          </cell>
          <cell r="I276">
            <v>0</v>
          </cell>
          <cell r="J276">
            <v>0</v>
          </cell>
          <cell r="K276">
            <v>0</v>
          </cell>
          <cell r="L276">
            <v>0</v>
          </cell>
          <cell r="M276">
            <v>2670</v>
          </cell>
        </row>
        <row r="277">
          <cell r="A277" t="str">
            <v>71P7617</v>
          </cell>
          <cell r="B277">
            <v>0</v>
          </cell>
          <cell r="C277" t="str">
            <v>WITHDRAWN;IBM Director 4.1 100 Additional Client License Proof of Entitlement</v>
          </cell>
          <cell r="D277">
            <v>0</v>
          </cell>
          <cell r="E277" t="str">
            <v>WDFM</v>
          </cell>
          <cell r="F277">
            <v>0</v>
          </cell>
          <cell r="G277">
            <v>0</v>
          </cell>
          <cell r="H277">
            <v>0</v>
          </cell>
          <cell r="I277">
            <v>0</v>
          </cell>
          <cell r="J277">
            <v>0</v>
          </cell>
          <cell r="K277">
            <v>0</v>
          </cell>
          <cell r="L277">
            <v>0</v>
          </cell>
          <cell r="M277">
            <v>2680</v>
          </cell>
        </row>
        <row r="278">
          <cell r="A278" t="str">
            <v>25K8531</v>
          </cell>
          <cell r="B278">
            <v>0</v>
          </cell>
          <cell r="C278" t="str">
            <v>IBM Director v4.20 Media Package, Separate Proof of Entitlement required</v>
          </cell>
          <cell r="D278">
            <v>0</v>
          </cell>
          <cell r="E278">
            <v>83</v>
          </cell>
          <cell r="F278">
            <v>0</v>
          </cell>
          <cell r="G278">
            <v>0</v>
          </cell>
          <cell r="H278">
            <v>0</v>
          </cell>
          <cell r="I278">
            <v>0</v>
          </cell>
          <cell r="J278">
            <v>0</v>
          </cell>
          <cell r="K278">
            <v>0</v>
          </cell>
          <cell r="L278">
            <v>0</v>
          </cell>
          <cell r="M278">
            <v>2690</v>
          </cell>
        </row>
        <row r="279">
          <cell r="A279" t="str">
            <v>25K8627</v>
          </cell>
          <cell r="B279">
            <v>0</v>
          </cell>
          <cell r="C279" t="str">
            <v>IBM Director v4.20 Server: License + 1 YR Subscription, Separate Proof of Entitlement only</v>
          </cell>
          <cell r="D279">
            <v>0</v>
          </cell>
          <cell r="E279">
            <v>1019</v>
          </cell>
          <cell r="F279">
            <v>0</v>
          </cell>
          <cell r="G279">
            <v>0</v>
          </cell>
          <cell r="H279">
            <v>0</v>
          </cell>
          <cell r="I279">
            <v>0</v>
          </cell>
          <cell r="J279">
            <v>0</v>
          </cell>
          <cell r="K279">
            <v>0</v>
          </cell>
          <cell r="L279">
            <v>0</v>
          </cell>
          <cell r="M279">
            <v>2700</v>
          </cell>
        </row>
        <row r="280">
          <cell r="A280" t="str">
            <v>25K8628</v>
          </cell>
          <cell r="B280">
            <v>0</v>
          </cell>
          <cell r="C280" t="str">
            <v>IBM Director v4.20 Agent: License + 1 YR Subscription, Separate Proof of Entitlement only</v>
          </cell>
          <cell r="D280">
            <v>0</v>
          </cell>
          <cell r="E280">
            <v>99</v>
          </cell>
          <cell r="F280">
            <v>0</v>
          </cell>
          <cell r="G280">
            <v>0</v>
          </cell>
          <cell r="H280">
            <v>0</v>
          </cell>
          <cell r="I280">
            <v>0</v>
          </cell>
          <cell r="J280">
            <v>0</v>
          </cell>
          <cell r="K280">
            <v>0</v>
          </cell>
          <cell r="L280">
            <v>0</v>
          </cell>
          <cell r="M280">
            <v>2710</v>
          </cell>
        </row>
        <row r="281">
          <cell r="A281" t="str">
            <v>24R9451</v>
          </cell>
          <cell r="B281">
            <v>0</v>
          </cell>
          <cell r="C281" t="str">
            <v>IBM Director v4.20 SW Distribution Media Package, Separate Proof of Entitlement required</v>
          </cell>
          <cell r="D281">
            <v>0</v>
          </cell>
          <cell r="E281">
            <v>83</v>
          </cell>
          <cell r="F281">
            <v>0</v>
          </cell>
          <cell r="G281">
            <v>0</v>
          </cell>
          <cell r="H281">
            <v>0</v>
          </cell>
          <cell r="I281">
            <v>0</v>
          </cell>
          <cell r="J281">
            <v>0</v>
          </cell>
          <cell r="K281">
            <v>0</v>
          </cell>
          <cell r="L281">
            <v>0</v>
          </cell>
          <cell r="M281">
            <v>2720</v>
          </cell>
        </row>
        <row r="282">
          <cell r="A282" t="str">
            <v>24R9437</v>
          </cell>
          <cell r="B282">
            <v>0</v>
          </cell>
          <cell r="C282" t="str">
            <v>IBM Director v4.20 SW Distribution Premium Edition: License + 1 YR Subscription Proof of Entitlement</v>
          </cell>
          <cell r="D282">
            <v>0</v>
          </cell>
          <cell r="E282">
            <v>49.01</v>
          </cell>
          <cell r="F282">
            <v>0</v>
          </cell>
          <cell r="G282">
            <v>0</v>
          </cell>
          <cell r="H282">
            <v>0</v>
          </cell>
          <cell r="I282">
            <v>0</v>
          </cell>
          <cell r="J282">
            <v>0</v>
          </cell>
          <cell r="K282">
            <v>0</v>
          </cell>
          <cell r="L282">
            <v>0</v>
          </cell>
          <cell r="M282">
            <v>2730</v>
          </cell>
        </row>
        <row r="283">
          <cell r="A283" t="str">
            <v>25K8532</v>
          </cell>
          <cell r="B283">
            <v>0</v>
          </cell>
          <cell r="C283" t="str">
            <v>Server Plus Pack v4.20, Media Package Only, Separate Proof of Entitlement required</v>
          </cell>
          <cell r="D283">
            <v>0</v>
          </cell>
          <cell r="E283">
            <v>83</v>
          </cell>
          <cell r="F283">
            <v>0</v>
          </cell>
          <cell r="G283">
            <v>0</v>
          </cell>
          <cell r="H283">
            <v>0</v>
          </cell>
          <cell r="I283">
            <v>0</v>
          </cell>
          <cell r="J283">
            <v>0</v>
          </cell>
          <cell r="K283">
            <v>0</v>
          </cell>
          <cell r="L283">
            <v>0</v>
          </cell>
          <cell r="M283">
            <v>2740</v>
          </cell>
        </row>
        <row r="284">
          <cell r="A284" t="str">
            <v>25K8629</v>
          </cell>
          <cell r="B284">
            <v>0</v>
          </cell>
          <cell r="C284" t="str">
            <v>Server Plus Pack v4.20, License + 1 YR Subscription, Separate Proof of Entitlement only</v>
          </cell>
          <cell r="D284">
            <v>0</v>
          </cell>
          <cell r="E284">
            <v>679</v>
          </cell>
          <cell r="F284">
            <v>0</v>
          </cell>
          <cell r="G284">
            <v>0</v>
          </cell>
          <cell r="H284">
            <v>0</v>
          </cell>
          <cell r="I284">
            <v>0</v>
          </cell>
          <cell r="J284">
            <v>0</v>
          </cell>
          <cell r="K284">
            <v>0</v>
          </cell>
          <cell r="L284">
            <v>0</v>
          </cell>
          <cell r="M284">
            <v>2750</v>
          </cell>
        </row>
        <row r="285">
          <cell r="A285" t="str">
            <v>4836DCX</v>
          </cell>
          <cell r="B285" t="str">
            <v>4836-DCX</v>
          </cell>
          <cell r="C285" t="str">
            <v>WITHDRAWN;IBM Remote Deployment Manager V4.11 100 Managed IBM Server Licenses PoE</v>
          </cell>
          <cell r="D285">
            <v>0</v>
          </cell>
          <cell r="E285" t="str">
            <v>WDFM</v>
          </cell>
          <cell r="F285">
            <v>0</v>
          </cell>
          <cell r="G285">
            <v>0</v>
          </cell>
          <cell r="H285">
            <v>0</v>
          </cell>
          <cell r="I285">
            <v>0</v>
          </cell>
          <cell r="J285">
            <v>0</v>
          </cell>
          <cell r="K285">
            <v>0</v>
          </cell>
          <cell r="L285">
            <v>0</v>
          </cell>
          <cell r="M285">
            <v>2760</v>
          </cell>
        </row>
        <row r="286">
          <cell r="A286" t="str">
            <v>4836D2X</v>
          </cell>
          <cell r="B286" t="str">
            <v>4836-D2X</v>
          </cell>
          <cell r="C286" t="str">
            <v>WITHDRAWN;IBM Remote Deployment Manager V4.11 20 Managed IBM Server Licenses PoE</v>
          </cell>
          <cell r="D286">
            <v>0</v>
          </cell>
          <cell r="E286" t="str">
            <v>WDFM</v>
          </cell>
          <cell r="F286">
            <v>0</v>
          </cell>
          <cell r="G286">
            <v>0</v>
          </cell>
          <cell r="H286">
            <v>0</v>
          </cell>
          <cell r="I286">
            <v>0</v>
          </cell>
          <cell r="J286">
            <v>0</v>
          </cell>
          <cell r="K286">
            <v>0</v>
          </cell>
          <cell r="L286">
            <v>0</v>
          </cell>
          <cell r="M286">
            <v>2770</v>
          </cell>
        </row>
        <row r="287">
          <cell r="A287" t="str">
            <v>4836DMX</v>
          </cell>
          <cell r="B287" t="str">
            <v>4836-DMX</v>
          </cell>
          <cell r="C287" t="str">
            <v>WITHDRAWN;IBM Remote Deployment Manager V4.11 Single Managed IBM Server Licenses PoE</v>
          </cell>
          <cell r="D287">
            <v>0</v>
          </cell>
          <cell r="E287" t="str">
            <v>WDFM</v>
          </cell>
          <cell r="F287">
            <v>0</v>
          </cell>
          <cell r="G287">
            <v>0</v>
          </cell>
          <cell r="H287">
            <v>0</v>
          </cell>
          <cell r="I287">
            <v>0</v>
          </cell>
          <cell r="J287">
            <v>0</v>
          </cell>
          <cell r="K287">
            <v>0</v>
          </cell>
          <cell r="L287">
            <v>0</v>
          </cell>
          <cell r="M287">
            <v>2780</v>
          </cell>
        </row>
        <row r="288">
          <cell r="A288" t="str">
            <v>4836ECX</v>
          </cell>
          <cell r="B288" t="str">
            <v>4836-ECX</v>
          </cell>
          <cell r="C288" t="str">
            <v>WITHDRAWN;IBM Remote Deployment Manager V4.11 100 Managed non-IBM Server Licenses PoE</v>
          </cell>
          <cell r="D288">
            <v>0</v>
          </cell>
          <cell r="E288" t="str">
            <v>WDFM</v>
          </cell>
          <cell r="F288">
            <v>0</v>
          </cell>
          <cell r="G288">
            <v>0</v>
          </cell>
          <cell r="H288">
            <v>0</v>
          </cell>
          <cell r="I288">
            <v>0</v>
          </cell>
          <cell r="J288">
            <v>0</v>
          </cell>
          <cell r="K288">
            <v>0</v>
          </cell>
          <cell r="L288">
            <v>0</v>
          </cell>
          <cell r="M288">
            <v>2790</v>
          </cell>
        </row>
        <row r="289">
          <cell r="A289" t="str">
            <v>4836E2X</v>
          </cell>
          <cell r="B289" t="str">
            <v>4836-E2X</v>
          </cell>
          <cell r="C289" t="str">
            <v>WITHDRAWN;IBM Remote Deployment Manager V4.11 20 Managed non-IBM Server Licenses PoE</v>
          </cell>
          <cell r="D289">
            <v>0</v>
          </cell>
          <cell r="E289" t="str">
            <v>WDFM</v>
          </cell>
          <cell r="F289">
            <v>0</v>
          </cell>
          <cell r="G289">
            <v>0</v>
          </cell>
          <cell r="H289">
            <v>0</v>
          </cell>
          <cell r="I289">
            <v>0</v>
          </cell>
          <cell r="J289">
            <v>0</v>
          </cell>
          <cell r="K289">
            <v>0</v>
          </cell>
          <cell r="L289">
            <v>0</v>
          </cell>
          <cell r="M289">
            <v>2800</v>
          </cell>
        </row>
        <row r="290">
          <cell r="A290" t="str">
            <v>4836EMX</v>
          </cell>
          <cell r="B290" t="str">
            <v>4836-EMX</v>
          </cell>
          <cell r="C290" t="str">
            <v>WITHDRAWN;IBM Remote Deployment Manager V4.11 Single Managed non-IBM Server Licenses PoE</v>
          </cell>
          <cell r="D290">
            <v>0</v>
          </cell>
          <cell r="E290" t="str">
            <v>WDFM</v>
          </cell>
          <cell r="F290">
            <v>0</v>
          </cell>
          <cell r="G290">
            <v>0</v>
          </cell>
          <cell r="H290">
            <v>0</v>
          </cell>
          <cell r="I290">
            <v>0</v>
          </cell>
          <cell r="J290">
            <v>0</v>
          </cell>
          <cell r="K290">
            <v>0</v>
          </cell>
          <cell r="L290">
            <v>0</v>
          </cell>
          <cell r="M290">
            <v>2810</v>
          </cell>
        </row>
        <row r="291">
          <cell r="A291" t="str">
            <v>4836F1X</v>
          </cell>
          <cell r="B291" t="str">
            <v>4836-F1X</v>
          </cell>
          <cell r="C291" t="str">
            <v>WITHDRAWN;IBM Remote Deployment Manager V4.11 Single Managed IBM Workstation  License PoE</v>
          </cell>
          <cell r="D291">
            <v>0</v>
          </cell>
          <cell r="E291" t="str">
            <v>WDFM</v>
          </cell>
          <cell r="F291">
            <v>0</v>
          </cell>
          <cell r="G291">
            <v>0</v>
          </cell>
          <cell r="H291">
            <v>0</v>
          </cell>
          <cell r="I291">
            <v>0</v>
          </cell>
          <cell r="J291">
            <v>0</v>
          </cell>
          <cell r="K291">
            <v>0</v>
          </cell>
          <cell r="L291">
            <v>0</v>
          </cell>
          <cell r="M291">
            <v>2820</v>
          </cell>
        </row>
        <row r="292">
          <cell r="A292" t="str">
            <v>4836F2X</v>
          </cell>
          <cell r="B292" t="str">
            <v>4836-F2X</v>
          </cell>
          <cell r="C292" t="str">
            <v>WITHDRAWN;IBM Remote Deployment Manager V4.11 20 Managed IBM Workstation  License PoE</v>
          </cell>
          <cell r="D292">
            <v>0</v>
          </cell>
          <cell r="E292" t="str">
            <v>WDFM</v>
          </cell>
          <cell r="F292">
            <v>0</v>
          </cell>
          <cell r="G292">
            <v>0</v>
          </cell>
          <cell r="H292">
            <v>0</v>
          </cell>
          <cell r="I292">
            <v>0</v>
          </cell>
          <cell r="J292">
            <v>0</v>
          </cell>
          <cell r="K292">
            <v>0</v>
          </cell>
          <cell r="L292">
            <v>0</v>
          </cell>
          <cell r="M292">
            <v>2830</v>
          </cell>
        </row>
        <row r="293">
          <cell r="A293" t="str">
            <v>4836FCX</v>
          </cell>
          <cell r="B293" t="str">
            <v>4836-FCX</v>
          </cell>
          <cell r="C293" t="str">
            <v>WITHDRAWN;IBM Remote Deployment Manager V4.11 100 Managed IBM Workstation  License PoE</v>
          </cell>
          <cell r="D293">
            <v>0</v>
          </cell>
          <cell r="E293" t="str">
            <v>WDFM</v>
          </cell>
          <cell r="F293">
            <v>0</v>
          </cell>
          <cell r="G293">
            <v>0</v>
          </cell>
          <cell r="H293">
            <v>0</v>
          </cell>
          <cell r="I293">
            <v>0</v>
          </cell>
          <cell r="J293">
            <v>0</v>
          </cell>
          <cell r="K293">
            <v>0</v>
          </cell>
          <cell r="L293">
            <v>0</v>
          </cell>
          <cell r="M293">
            <v>2840</v>
          </cell>
        </row>
        <row r="294">
          <cell r="A294" t="str">
            <v>4836G1X</v>
          </cell>
          <cell r="B294" t="str">
            <v>4836-G1X</v>
          </cell>
          <cell r="C294" t="str">
            <v>WITHDRAWN;IBM Remote Deployment Manager V4.11 Single Managed non-IBM Workstation  License PoE</v>
          </cell>
          <cell r="D294">
            <v>0</v>
          </cell>
          <cell r="E294" t="str">
            <v>WDFM</v>
          </cell>
          <cell r="F294">
            <v>0</v>
          </cell>
          <cell r="G294">
            <v>0</v>
          </cell>
          <cell r="H294">
            <v>0</v>
          </cell>
          <cell r="I294">
            <v>0</v>
          </cell>
          <cell r="J294">
            <v>0</v>
          </cell>
          <cell r="K294">
            <v>0</v>
          </cell>
          <cell r="L294">
            <v>0</v>
          </cell>
          <cell r="M294">
            <v>2850</v>
          </cell>
        </row>
        <row r="295">
          <cell r="A295" t="str">
            <v>4836G2X</v>
          </cell>
          <cell r="B295" t="str">
            <v>4836-G2X</v>
          </cell>
          <cell r="C295" t="str">
            <v>WITHDRAWN;IBM Remote Deployment Manager V4.11 20 Managed non-IBM Workstation  License PoE</v>
          </cell>
          <cell r="D295">
            <v>0</v>
          </cell>
          <cell r="E295" t="str">
            <v>WDFM</v>
          </cell>
          <cell r="F295">
            <v>0</v>
          </cell>
          <cell r="G295">
            <v>0</v>
          </cell>
          <cell r="H295">
            <v>0</v>
          </cell>
          <cell r="I295">
            <v>0</v>
          </cell>
          <cell r="J295">
            <v>0</v>
          </cell>
          <cell r="K295">
            <v>0</v>
          </cell>
          <cell r="L295">
            <v>0</v>
          </cell>
          <cell r="M295">
            <v>2860</v>
          </cell>
        </row>
        <row r="296">
          <cell r="A296" t="str">
            <v>4836GCX</v>
          </cell>
          <cell r="B296" t="str">
            <v>4836-GCX</v>
          </cell>
          <cell r="C296" t="str">
            <v>WITHDRAWN;IBM Remote Deployment Manager V4.11 100 Managed non-IBM Workstation  License PoE</v>
          </cell>
          <cell r="D296">
            <v>0</v>
          </cell>
          <cell r="E296" t="str">
            <v>WDFM</v>
          </cell>
          <cell r="F296">
            <v>0</v>
          </cell>
          <cell r="G296">
            <v>0</v>
          </cell>
          <cell r="H296">
            <v>0</v>
          </cell>
          <cell r="I296">
            <v>0</v>
          </cell>
          <cell r="J296">
            <v>0</v>
          </cell>
          <cell r="K296">
            <v>0</v>
          </cell>
          <cell r="L296">
            <v>0</v>
          </cell>
          <cell r="M296">
            <v>2870</v>
          </cell>
        </row>
        <row r="297">
          <cell r="A297" t="str">
            <v>4836MED</v>
          </cell>
          <cell r="B297" t="str">
            <v>4836-MED</v>
          </cell>
          <cell r="C297" t="str">
            <v>WITHDRAWN;IBM Remote Deployment Manager V4.11 Media Package</v>
          </cell>
          <cell r="D297">
            <v>0</v>
          </cell>
          <cell r="E297" t="str">
            <v>WDFM</v>
          </cell>
          <cell r="F297">
            <v>0</v>
          </cell>
          <cell r="G297">
            <v>0</v>
          </cell>
          <cell r="H297">
            <v>0</v>
          </cell>
          <cell r="I297">
            <v>0</v>
          </cell>
          <cell r="J297">
            <v>0</v>
          </cell>
          <cell r="K297">
            <v>0</v>
          </cell>
          <cell r="L297">
            <v>0</v>
          </cell>
          <cell r="M297">
            <v>2880</v>
          </cell>
        </row>
        <row r="298">
          <cell r="C298" t="str">
            <v>Required ONCE with each order of accompanying license PoE purchase</v>
          </cell>
          <cell r="M298">
            <v>2890</v>
          </cell>
        </row>
        <row r="299">
          <cell r="M299">
            <v>2900</v>
          </cell>
        </row>
        <row r="300">
          <cell r="A300" t="str">
            <v>73P8603</v>
          </cell>
          <cell r="B300">
            <v>0</v>
          </cell>
          <cell r="C300" t="str">
            <v>Application Workload Manager for IBM Director - Media Pack, Single License Proof of Entitlement</v>
          </cell>
          <cell r="D300">
            <v>0</v>
          </cell>
          <cell r="E300">
            <v>3499</v>
          </cell>
          <cell r="F300">
            <v>0</v>
          </cell>
          <cell r="G300">
            <v>0</v>
          </cell>
          <cell r="H300">
            <v>0</v>
          </cell>
          <cell r="I300">
            <v>0</v>
          </cell>
          <cell r="J300">
            <v>0</v>
          </cell>
          <cell r="K300">
            <v>0</v>
          </cell>
          <cell r="L300">
            <v>0</v>
          </cell>
          <cell r="M300">
            <v>2910</v>
          </cell>
        </row>
        <row r="301">
          <cell r="A301" t="str">
            <v>73P8604</v>
          </cell>
          <cell r="B301">
            <v>0</v>
          </cell>
          <cell r="C301" t="str">
            <v>Application Workload Manager for IBM Director, Single License Proof of Entitlement</v>
          </cell>
          <cell r="D301">
            <v>0</v>
          </cell>
          <cell r="E301">
            <v>3499</v>
          </cell>
          <cell r="F301">
            <v>0</v>
          </cell>
          <cell r="G301">
            <v>0</v>
          </cell>
          <cell r="H301">
            <v>0</v>
          </cell>
          <cell r="I301">
            <v>0</v>
          </cell>
          <cell r="J301">
            <v>0</v>
          </cell>
          <cell r="K301">
            <v>0</v>
          </cell>
          <cell r="L301">
            <v>0</v>
          </cell>
          <cell r="M301">
            <v>2920</v>
          </cell>
        </row>
        <row r="302">
          <cell r="A302" t="str">
            <v>73P8605</v>
          </cell>
          <cell r="B302">
            <v>0</v>
          </cell>
          <cell r="C302" t="str">
            <v>Application Workload Manager for IBM Director, 20 License Proof of Entitlement</v>
          </cell>
          <cell r="D302">
            <v>0</v>
          </cell>
          <cell r="E302">
            <v>62949</v>
          </cell>
          <cell r="F302">
            <v>0</v>
          </cell>
          <cell r="G302">
            <v>0</v>
          </cell>
          <cell r="H302">
            <v>0</v>
          </cell>
          <cell r="I302">
            <v>0</v>
          </cell>
          <cell r="J302">
            <v>0</v>
          </cell>
          <cell r="K302">
            <v>0</v>
          </cell>
          <cell r="L302">
            <v>0</v>
          </cell>
          <cell r="M302">
            <v>2930</v>
          </cell>
        </row>
        <row r="303">
          <cell r="A303" t="str">
            <v>73P8606</v>
          </cell>
          <cell r="B303">
            <v>0</v>
          </cell>
          <cell r="C303" t="str">
            <v>Application Workload Manager for IBM Director, 50 License Proof of Entitlement</v>
          </cell>
          <cell r="D303">
            <v>0</v>
          </cell>
          <cell r="E303">
            <v>148699</v>
          </cell>
          <cell r="F303">
            <v>0</v>
          </cell>
          <cell r="G303">
            <v>0</v>
          </cell>
          <cell r="H303">
            <v>0</v>
          </cell>
          <cell r="I303">
            <v>0</v>
          </cell>
          <cell r="J303">
            <v>0</v>
          </cell>
          <cell r="K303">
            <v>0</v>
          </cell>
          <cell r="L303">
            <v>0</v>
          </cell>
          <cell r="M303">
            <v>2940</v>
          </cell>
        </row>
        <row r="304">
          <cell r="A304" t="str">
            <v>73P8607</v>
          </cell>
          <cell r="B304">
            <v>0</v>
          </cell>
          <cell r="C304" t="str">
            <v>Application Workload Manager for IBM Director, 100 License Proof of Entitlement</v>
          </cell>
          <cell r="D304">
            <v>0</v>
          </cell>
          <cell r="E304">
            <v>279899</v>
          </cell>
          <cell r="F304">
            <v>0</v>
          </cell>
          <cell r="G304">
            <v>0</v>
          </cell>
          <cell r="H304">
            <v>0</v>
          </cell>
          <cell r="I304">
            <v>0</v>
          </cell>
          <cell r="J304">
            <v>0</v>
          </cell>
          <cell r="K304">
            <v>0</v>
          </cell>
          <cell r="L304">
            <v>0</v>
          </cell>
          <cell r="M304">
            <v>2950</v>
          </cell>
        </row>
        <row r="305">
          <cell r="A305" t="str">
            <v>73P8563</v>
          </cell>
          <cell r="B305">
            <v>0</v>
          </cell>
          <cell r="C305" t="str">
            <v>WITHDRAWN;Software Distribution Premium Edition Media Package + Single Agent License POE</v>
          </cell>
          <cell r="D305">
            <v>0</v>
          </cell>
          <cell r="E305" t="str">
            <v>WDFM</v>
          </cell>
          <cell r="F305">
            <v>0</v>
          </cell>
          <cell r="G305">
            <v>0</v>
          </cell>
          <cell r="H305">
            <v>0</v>
          </cell>
          <cell r="I305">
            <v>0</v>
          </cell>
          <cell r="J305">
            <v>0</v>
          </cell>
          <cell r="K305">
            <v>0</v>
          </cell>
          <cell r="L305">
            <v>0</v>
          </cell>
          <cell r="M305">
            <v>2960</v>
          </cell>
        </row>
        <row r="306">
          <cell r="A306" t="str">
            <v>73P8582</v>
          </cell>
          <cell r="B306">
            <v>0</v>
          </cell>
          <cell r="C306" t="str">
            <v>WITHDRAWN;Software Distribution Premium Edition Single Agent License POE</v>
          </cell>
          <cell r="D306">
            <v>0</v>
          </cell>
          <cell r="E306" t="str">
            <v>WDFM</v>
          </cell>
          <cell r="F306">
            <v>0</v>
          </cell>
          <cell r="G306">
            <v>0</v>
          </cell>
          <cell r="H306">
            <v>0</v>
          </cell>
          <cell r="I306">
            <v>0</v>
          </cell>
          <cell r="J306">
            <v>0</v>
          </cell>
          <cell r="K306">
            <v>0</v>
          </cell>
          <cell r="L306">
            <v>0</v>
          </cell>
          <cell r="M306">
            <v>2970</v>
          </cell>
        </row>
        <row r="307">
          <cell r="A307" t="str">
            <v>73P8566</v>
          </cell>
          <cell r="B307">
            <v>0</v>
          </cell>
          <cell r="C307" t="str">
            <v>WITHDRAWN;Software Distribution Premium Edition 20 Agent License POE</v>
          </cell>
          <cell r="D307">
            <v>0</v>
          </cell>
          <cell r="E307" t="str">
            <v>WDFM</v>
          </cell>
          <cell r="F307">
            <v>0</v>
          </cell>
          <cell r="G307">
            <v>0</v>
          </cell>
          <cell r="H307">
            <v>0</v>
          </cell>
          <cell r="I307">
            <v>0</v>
          </cell>
          <cell r="J307">
            <v>0</v>
          </cell>
          <cell r="K307">
            <v>0</v>
          </cell>
          <cell r="L307">
            <v>0</v>
          </cell>
          <cell r="M307">
            <v>2980</v>
          </cell>
        </row>
        <row r="308">
          <cell r="A308" t="str">
            <v>73P8568</v>
          </cell>
          <cell r="B308">
            <v>0</v>
          </cell>
          <cell r="C308" t="str">
            <v>WITHDRAWN;Software Distribution Premium Edition 50 Agent License POE</v>
          </cell>
          <cell r="D308">
            <v>0</v>
          </cell>
          <cell r="E308" t="str">
            <v>WDFM</v>
          </cell>
          <cell r="F308">
            <v>0</v>
          </cell>
          <cell r="G308">
            <v>0</v>
          </cell>
          <cell r="H308">
            <v>0</v>
          </cell>
          <cell r="I308">
            <v>0</v>
          </cell>
          <cell r="J308">
            <v>0</v>
          </cell>
          <cell r="K308">
            <v>0</v>
          </cell>
          <cell r="L308">
            <v>0</v>
          </cell>
          <cell r="M308">
            <v>2990</v>
          </cell>
        </row>
        <row r="309">
          <cell r="A309" t="str">
            <v>73P8570</v>
          </cell>
          <cell r="B309">
            <v>0</v>
          </cell>
          <cell r="C309" t="str">
            <v>WITHDRAWN;Software Distribution Premium Edition 100 Agent License POE</v>
          </cell>
          <cell r="D309">
            <v>0</v>
          </cell>
          <cell r="E309" t="str">
            <v>WDFM</v>
          </cell>
          <cell r="F309">
            <v>0</v>
          </cell>
          <cell r="G309">
            <v>0</v>
          </cell>
          <cell r="H309">
            <v>0</v>
          </cell>
          <cell r="I309">
            <v>0</v>
          </cell>
          <cell r="J309">
            <v>0</v>
          </cell>
          <cell r="K309">
            <v>0</v>
          </cell>
          <cell r="L309">
            <v>0</v>
          </cell>
          <cell r="M309">
            <v>3000</v>
          </cell>
        </row>
        <row r="310">
          <cell r="A310" t="str">
            <v>90P0350</v>
          </cell>
          <cell r="B310">
            <v>0</v>
          </cell>
          <cell r="C310" t="str">
            <v>ARMTech Active Resource Management v2.x for Windows (1 CPU)</v>
          </cell>
          <cell r="D310">
            <v>0</v>
          </cell>
          <cell r="E310">
            <v>1059</v>
          </cell>
          <cell r="F310">
            <v>0</v>
          </cell>
          <cell r="G310">
            <v>0</v>
          </cell>
          <cell r="H310">
            <v>0</v>
          </cell>
          <cell r="I310">
            <v>0</v>
          </cell>
          <cell r="J310">
            <v>0</v>
          </cell>
          <cell r="K310">
            <v>0</v>
          </cell>
          <cell r="L310">
            <v>0</v>
          </cell>
          <cell r="M310">
            <v>3010</v>
          </cell>
        </row>
        <row r="311">
          <cell r="A311" t="str">
            <v>90P0291</v>
          </cell>
          <cell r="B311">
            <v>0</v>
          </cell>
          <cell r="C311" t="str">
            <v>ARMTech Active Resource Management v2.x for Windows (2 CPU)</v>
          </cell>
          <cell r="D311">
            <v>0</v>
          </cell>
          <cell r="E311" t="str">
            <v>???</v>
          </cell>
          <cell r="F311">
            <v>0</v>
          </cell>
          <cell r="G311">
            <v>0</v>
          </cell>
          <cell r="H311">
            <v>0</v>
          </cell>
          <cell r="I311">
            <v>0</v>
          </cell>
          <cell r="J311">
            <v>0</v>
          </cell>
          <cell r="K311">
            <v>0</v>
          </cell>
          <cell r="L311">
            <v>0</v>
          </cell>
          <cell r="M311">
            <v>3020</v>
          </cell>
        </row>
        <row r="312">
          <cell r="A312" t="str">
            <v>90P0292</v>
          </cell>
          <cell r="B312">
            <v>0</v>
          </cell>
          <cell r="C312" t="str">
            <v>ARMTech Active Resource Management v2.x for Windows (4 CPU)</v>
          </cell>
          <cell r="D312">
            <v>0</v>
          </cell>
          <cell r="E312" t="str">
            <v>???</v>
          </cell>
          <cell r="F312">
            <v>0</v>
          </cell>
          <cell r="G312">
            <v>0</v>
          </cell>
          <cell r="H312">
            <v>0</v>
          </cell>
          <cell r="I312">
            <v>0</v>
          </cell>
          <cell r="J312">
            <v>0</v>
          </cell>
          <cell r="K312">
            <v>0</v>
          </cell>
          <cell r="L312">
            <v>0</v>
          </cell>
          <cell r="M312">
            <v>3030</v>
          </cell>
        </row>
        <row r="313">
          <cell r="A313" t="str">
            <v>90P0349</v>
          </cell>
          <cell r="B313">
            <v>0</v>
          </cell>
          <cell r="C313" t="str">
            <v>ARMTech Active Resource Management v2.x for Windows (Media Pack)</v>
          </cell>
          <cell r="D313">
            <v>0</v>
          </cell>
          <cell r="E313">
            <v>35</v>
          </cell>
          <cell r="F313">
            <v>0</v>
          </cell>
          <cell r="G313">
            <v>0</v>
          </cell>
          <cell r="H313">
            <v>0</v>
          </cell>
          <cell r="I313">
            <v>0</v>
          </cell>
          <cell r="J313">
            <v>0</v>
          </cell>
          <cell r="K313">
            <v>0</v>
          </cell>
          <cell r="L313">
            <v>0</v>
          </cell>
          <cell r="M313">
            <v>3040</v>
          </cell>
        </row>
        <row r="314">
          <cell r="M314">
            <v>3050</v>
          </cell>
        </row>
        <row r="315">
          <cell r="A315" t="str">
            <v>- Services Offerings</v>
          </cell>
          <cell r="M315">
            <v>3060</v>
          </cell>
        </row>
        <row r="316">
          <cell r="M316">
            <v>3070</v>
          </cell>
        </row>
        <row r="317">
          <cell r="A317" t="str">
            <v>N/A</v>
          </cell>
          <cell r="B317">
            <v>0</v>
          </cell>
          <cell r="C317" t="str">
            <v>Server Hardware Config - 1-3 Options</v>
          </cell>
          <cell r="D317">
            <v>0</v>
          </cell>
          <cell r="E317" t="str">
            <v>N/A</v>
          </cell>
          <cell r="F317">
            <v>0</v>
          </cell>
          <cell r="G317">
            <v>0</v>
          </cell>
          <cell r="H317">
            <v>0</v>
          </cell>
          <cell r="I317">
            <v>0</v>
          </cell>
          <cell r="J317">
            <v>0</v>
          </cell>
          <cell r="K317">
            <v>0</v>
          </cell>
          <cell r="L317">
            <v>0</v>
          </cell>
          <cell r="M317">
            <v>3080</v>
          </cell>
        </row>
        <row r="318">
          <cell r="A318" t="str">
            <v>N/A</v>
          </cell>
          <cell r="B318">
            <v>0</v>
          </cell>
          <cell r="C318" t="str">
            <v>Server Hardware Config - 4 or more Options</v>
          </cell>
          <cell r="D318">
            <v>0</v>
          </cell>
          <cell r="E318" t="str">
            <v>N/A</v>
          </cell>
          <cell r="F318">
            <v>0</v>
          </cell>
          <cell r="G318">
            <v>0</v>
          </cell>
          <cell r="H318">
            <v>0</v>
          </cell>
          <cell r="I318">
            <v>0</v>
          </cell>
          <cell r="J318">
            <v>0</v>
          </cell>
          <cell r="K318">
            <v>0</v>
          </cell>
          <cell r="L318">
            <v>0</v>
          </cell>
          <cell r="M318">
            <v>3090</v>
          </cell>
        </row>
        <row r="319">
          <cell r="A319" t="str">
            <v>N/A</v>
          </cell>
          <cell r="B319">
            <v>0</v>
          </cell>
          <cell r="C319" t="str">
            <v>Customer Choice xSeries Integration Fee</v>
          </cell>
          <cell r="D319">
            <v>0</v>
          </cell>
          <cell r="E319" t="str">
            <v>N/A</v>
          </cell>
          <cell r="F319">
            <v>0</v>
          </cell>
          <cell r="G319">
            <v>0</v>
          </cell>
          <cell r="H319">
            <v>0</v>
          </cell>
          <cell r="I319">
            <v>0</v>
          </cell>
          <cell r="J319">
            <v>0</v>
          </cell>
          <cell r="K319">
            <v>0</v>
          </cell>
          <cell r="L319">
            <v>0</v>
          </cell>
          <cell r="M319">
            <v>3100</v>
          </cell>
        </row>
        <row r="320">
          <cell r="A320" t="str">
            <v>31P4361</v>
          </cell>
          <cell r="B320">
            <v>0</v>
          </cell>
          <cell r="C320" t="str">
            <v>Simple Asset Tagging - Server</v>
          </cell>
          <cell r="D320">
            <v>0</v>
          </cell>
          <cell r="E320">
            <v>16.010000000000002</v>
          </cell>
          <cell r="F320">
            <v>0</v>
          </cell>
          <cell r="G320">
            <v>0</v>
          </cell>
          <cell r="H320">
            <v>0</v>
          </cell>
          <cell r="I320">
            <v>0</v>
          </cell>
          <cell r="J320">
            <v>0</v>
          </cell>
          <cell r="K320">
            <v>0</v>
          </cell>
          <cell r="L320">
            <v>0</v>
          </cell>
          <cell r="M320">
            <v>3110</v>
          </cell>
        </row>
        <row r="321">
          <cell r="A321" t="str">
            <v>N/A</v>
          </cell>
          <cell r="B321">
            <v>0</v>
          </cell>
          <cell r="C321" t="str">
            <v>Complex Asset Tagging - Server</v>
          </cell>
          <cell r="D321">
            <v>0</v>
          </cell>
          <cell r="E321" t="str">
            <v>N/A</v>
          </cell>
          <cell r="F321">
            <v>0</v>
          </cell>
          <cell r="G321">
            <v>0</v>
          </cell>
          <cell r="H321">
            <v>0</v>
          </cell>
          <cell r="I321">
            <v>0</v>
          </cell>
          <cell r="J321">
            <v>0</v>
          </cell>
          <cell r="K321">
            <v>0</v>
          </cell>
          <cell r="L321">
            <v>0</v>
          </cell>
          <cell r="M321">
            <v>3120</v>
          </cell>
        </row>
        <row r="322">
          <cell r="A322" t="str">
            <v>N/A</v>
          </cell>
          <cell r="B322">
            <v>0</v>
          </cell>
          <cell r="C322" t="str">
            <v>Firmware/Hardware Settings - Standard - Server</v>
          </cell>
          <cell r="D322">
            <v>0</v>
          </cell>
          <cell r="E322" t="str">
            <v>N/A</v>
          </cell>
          <cell r="F322">
            <v>0</v>
          </cell>
          <cell r="G322">
            <v>0</v>
          </cell>
          <cell r="H322">
            <v>0</v>
          </cell>
          <cell r="I322">
            <v>0</v>
          </cell>
          <cell r="J322">
            <v>0</v>
          </cell>
          <cell r="K322">
            <v>0</v>
          </cell>
          <cell r="L322">
            <v>0</v>
          </cell>
          <cell r="M322">
            <v>3130</v>
          </cell>
        </row>
        <row r="323">
          <cell r="A323" t="str">
            <v>31P4367</v>
          </cell>
          <cell r="B323">
            <v>0</v>
          </cell>
          <cell r="C323" t="str">
            <v>Firmware/Hardware Settings - Enhanced - Server</v>
          </cell>
          <cell r="D323">
            <v>0</v>
          </cell>
          <cell r="E323">
            <v>32</v>
          </cell>
          <cell r="F323">
            <v>0</v>
          </cell>
          <cell r="G323">
            <v>0</v>
          </cell>
          <cell r="H323">
            <v>0</v>
          </cell>
          <cell r="I323">
            <v>0</v>
          </cell>
          <cell r="J323">
            <v>0</v>
          </cell>
          <cell r="K323">
            <v>0</v>
          </cell>
          <cell r="L323">
            <v>0</v>
          </cell>
          <cell r="M323">
            <v>3140</v>
          </cell>
        </row>
        <row r="324">
          <cell r="A324" t="str">
            <v>06P7505</v>
          </cell>
          <cell r="B324">
            <v>0</v>
          </cell>
          <cell r="C324" t="str">
            <v>Load Non-Image Custom Ultra Image - Server</v>
          </cell>
          <cell r="D324">
            <v>0</v>
          </cell>
          <cell r="E324">
            <v>75</v>
          </cell>
          <cell r="F324">
            <v>0</v>
          </cell>
          <cell r="G324">
            <v>0</v>
          </cell>
          <cell r="H324">
            <v>0</v>
          </cell>
          <cell r="I324">
            <v>0</v>
          </cell>
          <cell r="J324">
            <v>0</v>
          </cell>
          <cell r="K324">
            <v>0</v>
          </cell>
          <cell r="L324">
            <v>0</v>
          </cell>
          <cell r="M324">
            <v>3150</v>
          </cell>
        </row>
        <row r="325">
          <cell r="A325" t="str">
            <v>N/A</v>
          </cell>
          <cell r="B325">
            <v>0</v>
          </cell>
          <cell r="C325" t="str">
            <v>Modify Custom Software Image</v>
          </cell>
          <cell r="D325">
            <v>0</v>
          </cell>
          <cell r="E325" t="str">
            <v>N/A</v>
          </cell>
          <cell r="F325">
            <v>0</v>
          </cell>
          <cell r="G325">
            <v>0</v>
          </cell>
          <cell r="H325">
            <v>0</v>
          </cell>
          <cell r="I325">
            <v>0</v>
          </cell>
          <cell r="J325">
            <v>0</v>
          </cell>
          <cell r="K325">
            <v>0</v>
          </cell>
          <cell r="L325">
            <v>0</v>
          </cell>
          <cell r="M325">
            <v>3160</v>
          </cell>
        </row>
        <row r="326">
          <cell r="A326" t="str">
            <v>N/A</v>
          </cell>
          <cell r="B326">
            <v>0</v>
          </cell>
          <cell r="C326" t="str">
            <v>Certify Custom Sotware Image</v>
          </cell>
          <cell r="D326">
            <v>0</v>
          </cell>
          <cell r="E326" t="str">
            <v>N/A</v>
          </cell>
          <cell r="F326">
            <v>0</v>
          </cell>
          <cell r="G326">
            <v>0</v>
          </cell>
          <cell r="H326">
            <v>0</v>
          </cell>
          <cell r="I326">
            <v>0</v>
          </cell>
          <cell r="J326">
            <v>0</v>
          </cell>
          <cell r="K326">
            <v>0</v>
          </cell>
          <cell r="L326">
            <v>0</v>
          </cell>
          <cell r="M326">
            <v>3170</v>
          </cell>
        </row>
        <row r="327">
          <cell r="A327" t="str">
            <v>N/A</v>
          </cell>
          <cell r="B327">
            <v>0</v>
          </cell>
          <cell r="C327" t="str">
            <v>Create Custom Software Image</v>
          </cell>
          <cell r="D327">
            <v>0</v>
          </cell>
          <cell r="E327" t="str">
            <v>N/A</v>
          </cell>
          <cell r="F327">
            <v>0</v>
          </cell>
          <cell r="G327">
            <v>0</v>
          </cell>
          <cell r="H327">
            <v>0</v>
          </cell>
          <cell r="I327">
            <v>0</v>
          </cell>
          <cell r="J327">
            <v>0</v>
          </cell>
          <cell r="K327">
            <v>0</v>
          </cell>
          <cell r="L327">
            <v>0</v>
          </cell>
          <cell r="M327">
            <v>3180</v>
          </cell>
        </row>
        <row r="328">
          <cell r="A328" t="str">
            <v>N/A</v>
          </cell>
          <cell r="B328">
            <v>0</v>
          </cell>
          <cell r="C328" t="str">
            <v>Create Custom Software Image with Additional Languages</v>
          </cell>
          <cell r="D328">
            <v>0</v>
          </cell>
          <cell r="E328" t="str">
            <v>N/A</v>
          </cell>
          <cell r="F328">
            <v>0</v>
          </cell>
          <cell r="G328">
            <v>0</v>
          </cell>
          <cell r="H328">
            <v>0</v>
          </cell>
          <cell r="I328">
            <v>0</v>
          </cell>
          <cell r="J328">
            <v>0</v>
          </cell>
          <cell r="K328">
            <v>0</v>
          </cell>
          <cell r="L328">
            <v>0</v>
          </cell>
          <cell r="M328">
            <v>3190</v>
          </cell>
        </row>
        <row r="329">
          <cell r="A329" t="str">
            <v>N/A</v>
          </cell>
          <cell r="B329">
            <v>0</v>
          </cell>
          <cell r="C329" t="str">
            <v>Create Custom Software Image DBCS</v>
          </cell>
          <cell r="D329">
            <v>0</v>
          </cell>
          <cell r="E329" t="str">
            <v>N/A</v>
          </cell>
          <cell r="F329">
            <v>0</v>
          </cell>
          <cell r="G329">
            <v>0</v>
          </cell>
          <cell r="H329">
            <v>0</v>
          </cell>
          <cell r="I329">
            <v>0</v>
          </cell>
          <cell r="J329">
            <v>0</v>
          </cell>
          <cell r="K329">
            <v>0</v>
          </cell>
          <cell r="L329">
            <v>0</v>
          </cell>
          <cell r="M329">
            <v>3200</v>
          </cell>
        </row>
        <row r="330">
          <cell r="A330" t="str">
            <v>N/A</v>
          </cell>
          <cell r="B330">
            <v>0</v>
          </cell>
          <cell r="C330" t="str">
            <v>Customer Supplied Image &lt; 2000</v>
          </cell>
          <cell r="D330">
            <v>0</v>
          </cell>
          <cell r="E330" t="str">
            <v>N/A</v>
          </cell>
          <cell r="F330">
            <v>0</v>
          </cell>
          <cell r="G330">
            <v>0</v>
          </cell>
          <cell r="H330">
            <v>0</v>
          </cell>
          <cell r="I330">
            <v>0</v>
          </cell>
          <cell r="J330">
            <v>0</v>
          </cell>
          <cell r="K330">
            <v>0</v>
          </cell>
          <cell r="L330">
            <v>0</v>
          </cell>
          <cell r="M330">
            <v>3210</v>
          </cell>
        </row>
        <row r="331">
          <cell r="A331" t="str">
            <v>N/A</v>
          </cell>
          <cell r="B331">
            <v>0</v>
          </cell>
          <cell r="C331" t="str">
            <v>IBM Supplied Image &lt; 2000</v>
          </cell>
          <cell r="D331">
            <v>0</v>
          </cell>
          <cell r="E331" t="str">
            <v>N/A</v>
          </cell>
          <cell r="F331">
            <v>0</v>
          </cell>
          <cell r="G331">
            <v>0</v>
          </cell>
          <cell r="H331">
            <v>0</v>
          </cell>
          <cell r="I331">
            <v>0</v>
          </cell>
          <cell r="J331">
            <v>0</v>
          </cell>
          <cell r="K331">
            <v>0</v>
          </cell>
          <cell r="L331">
            <v>0</v>
          </cell>
          <cell r="M331">
            <v>3220</v>
          </cell>
        </row>
        <row r="332">
          <cell r="A332" t="str">
            <v>N/A</v>
          </cell>
          <cell r="B332">
            <v>0</v>
          </cell>
          <cell r="C332" t="str">
            <v>Customer Supplied Image &gt; 10k</v>
          </cell>
          <cell r="D332">
            <v>0</v>
          </cell>
          <cell r="E332" t="str">
            <v>N/A</v>
          </cell>
          <cell r="F332">
            <v>0</v>
          </cell>
          <cell r="G332">
            <v>0</v>
          </cell>
          <cell r="H332">
            <v>0</v>
          </cell>
          <cell r="I332">
            <v>0</v>
          </cell>
          <cell r="J332">
            <v>0</v>
          </cell>
          <cell r="K332">
            <v>0</v>
          </cell>
          <cell r="L332">
            <v>0</v>
          </cell>
          <cell r="M332">
            <v>3230</v>
          </cell>
        </row>
        <row r="333">
          <cell r="A333" t="str">
            <v>N/A</v>
          </cell>
          <cell r="B333">
            <v>0</v>
          </cell>
          <cell r="C333" t="str">
            <v>IBM Supplied Image &gt; 10k</v>
          </cell>
          <cell r="D333">
            <v>0</v>
          </cell>
          <cell r="E333" t="str">
            <v>N/A</v>
          </cell>
          <cell r="F333">
            <v>0</v>
          </cell>
          <cell r="G333">
            <v>0</v>
          </cell>
          <cell r="H333">
            <v>0</v>
          </cell>
          <cell r="I333">
            <v>0</v>
          </cell>
          <cell r="J333">
            <v>0</v>
          </cell>
          <cell r="K333">
            <v>0</v>
          </cell>
          <cell r="L333">
            <v>0</v>
          </cell>
          <cell r="M333">
            <v>3240</v>
          </cell>
        </row>
        <row r="334">
          <cell r="A334" t="str">
            <v>N/A</v>
          </cell>
          <cell r="B334">
            <v>0</v>
          </cell>
          <cell r="C334" t="str">
            <v>Custom Image - Image Prep for Manufacturing</v>
          </cell>
          <cell r="D334">
            <v>0</v>
          </cell>
          <cell r="E334" t="str">
            <v>N/A</v>
          </cell>
          <cell r="F334">
            <v>0</v>
          </cell>
          <cell r="G334">
            <v>0</v>
          </cell>
          <cell r="H334">
            <v>0</v>
          </cell>
          <cell r="I334">
            <v>0</v>
          </cell>
          <cell r="J334">
            <v>0</v>
          </cell>
          <cell r="K334">
            <v>0</v>
          </cell>
          <cell r="L334">
            <v>0</v>
          </cell>
          <cell r="M334">
            <v>3250</v>
          </cell>
        </row>
        <row r="335">
          <cell r="A335" t="str">
            <v>N/A</v>
          </cell>
          <cell r="B335">
            <v>0</v>
          </cell>
          <cell r="C335" t="str">
            <v>Custom Image - Additional Device Drivers</v>
          </cell>
          <cell r="D335">
            <v>0</v>
          </cell>
          <cell r="E335" t="str">
            <v>N/A</v>
          </cell>
          <cell r="F335">
            <v>0</v>
          </cell>
          <cell r="G335">
            <v>0</v>
          </cell>
          <cell r="H335">
            <v>0</v>
          </cell>
          <cell r="I335">
            <v>0</v>
          </cell>
          <cell r="J335">
            <v>0</v>
          </cell>
          <cell r="K335">
            <v>0</v>
          </cell>
          <cell r="L335">
            <v>0</v>
          </cell>
          <cell r="M335">
            <v>3260</v>
          </cell>
        </row>
        <row r="336">
          <cell r="A336" t="str">
            <v>N/A</v>
          </cell>
          <cell r="B336">
            <v>0</v>
          </cell>
          <cell r="C336" t="str">
            <v>xSeries Enterpise Rack Setup</v>
          </cell>
          <cell r="D336">
            <v>0</v>
          </cell>
          <cell r="E336" t="str">
            <v>N/A</v>
          </cell>
          <cell r="F336">
            <v>0</v>
          </cell>
          <cell r="G336">
            <v>0</v>
          </cell>
          <cell r="H336">
            <v>0</v>
          </cell>
          <cell r="I336">
            <v>0</v>
          </cell>
          <cell r="J336">
            <v>0</v>
          </cell>
          <cell r="K336">
            <v>0</v>
          </cell>
          <cell r="L336">
            <v>0</v>
          </cell>
          <cell r="M336">
            <v>3270</v>
          </cell>
        </row>
        <row r="337">
          <cell r="A337" t="str">
            <v>N/A</v>
          </cell>
          <cell r="B337">
            <v>0</v>
          </cell>
          <cell r="C337" t="str">
            <v>xSeries Enterprise Rack Config</v>
          </cell>
          <cell r="D337">
            <v>0</v>
          </cell>
          <cell r="E337" t="str">
            <v>N/A</v>
          </cell>
          <cell r="F337">
            <v>0</v>
          </cell>
          <cell r="G337">
            <v>0</v>
          </cell>
          <cell r="H337">
            <v>0</v>
          </cell>
          <cell r="I337">
            <v>0</v>
          </cell>
          <cell r="J337">
            <v>0</v>
          </cell>
          <cell r="K337">
            <v>0</v>
          </cell>
          <cell r="L337">
            <v>0</v>
          </cell>
          <cell r="M337">
            <v>3280</v>
          </cell>
        </row>
        <row r="338">
          <cell r="A338" t="str">
            <v>06P7516</v>
          </cell>
          <cell r="B338">
            <v>0</v>
          </cell>
          <cell r="C338" t="str">
            <v>xSeries RAID Configuration Simple</v>
          </cell>
          <cell r="D338">
            <v>0</v>
          </cell>
          <cell r="E338">
            <v>240</v>
          </cell>
          <cell r="F338">
            <v>0</v>
          </cell>
          <cell r="G338">
            <v>0</v>
          </cell>
          <cell r="H338">
            <v>0</v>
          </cell>
          <cell r="I338">
            <v>0</v>
          </cell>
          <cell r="J338">
            <v>0</v>
          </cell>
          <cell r="K338">
            <v>0</v>
          </cell>
          <cell r="L338">
            <v>0</v>
          </cell>
          <cell r="M338">
            <v>3290</v>
          </cell>
        </row>
        <row r="339">
          <cell r="A339" t="str">
            <v>N/A</v>
          </cell>
          <cell r="B339">
            <v>0</v>
          </cell>
          <cell r="C339" t="str">
            <v>xSeries NOS Customization</v>
          </cell>
          <cell r="D339">
            <v>0</v>
          </cell>
          <cell r="E339" t="str">
            <v>N/A</v>
          </cell>
          <cell r="F339">
            <v>0</v>
          </cell>
          <cell r="G339">
            <v>0</v>
          </cell>
          <cell r="H339">
            <v>0</v>
          </cell>
          <cell r="I339">
            <v>0</v>
          </cell>
          <cell r="J339">
            <v>0</v>
          </cell>
          <cell r="K339">
            <v>0</v>
          </cell>
          <cell r="L339">
            <v>0</v>
          </cell>
          <cell r="M339">
            <v>3300</v>
          </cell>
        </row>
        <row r="340">
          <cell r="A340" t="str">
            <v>24P0238</v>
          </cell>
          <cell r="B340">
            <v>0</v>
          </cell>
          <cell r="C340" t="str">
            <v>xSeries RAID Configuration Complex</v>
          </cell>
          <cell r="D340">
            <v>0</v>
          </cell>
          <cell r="E340">
            <v>401.01</v>
          </cell>
          <cell r="F340">
            <v>0</v>
          </cell>
          <cell r="G340">
            <v>0</v>
          </cell>
          <cell r="H340">
            <v>0</v>
          </cell>
          <cell r="I340">
            <v>0</v>
          </cell>
          <cell r="J340">
            <v>0</v>
          </cell>
          <cell r="K340">
            <v>0</v>
          </cell>
          <cell r="L340">
            <v>0</v>
          </cell>
          <cell r="M340">
            <v>3310</v>
          </cell>
        </row>
        <row r="341">
          <cell r="A341" t="str">
            <v>N/A</v>
          </cell>
          <cell r="B341">
            <v>0</v>
          </cell>
          <cell r="C341" t="str">
            <v>Config &amp; Install xSeries Server 1U</v>
          </cell>
          <cell r="D341">
            <v>0</v>
          </cell>
          <cell r="E341" t="str">
            <v>N/A</v>
          </cell>
          <cell r="F341">
            <v>0</v>
          </cell>
          <cell r="G341">
            <v>0</v>
          </cell>
          <cell r="H341">
            <v>0</v>
          </cell>
          <cell r="I341">
            <v>0</v>
          </cell>
          <cell r="J341">
            <v>0</v>
          </cell>
          <cell r="K341">
            <v>0</v>
          </cell>
          <cell r="L341">
            <v>0</v>
          </cell>
          <cell r="M341">
            <v>3320</v>
          </cell>
        </row>
        <row r="342">
          <cell r="A342" t="str">
            <v>N/A</v>
          </cell>
          <cell r="B342">
            <v>0</v>
          </cell>
          <cell r="C342" t="str">
            <v>IBM Custom Shipping Label - Server</v>
          </cell>
          <cell r="D342">
            <v>0</v>
          </cell>
          <cell r="E342" t="str">
            <v>N/A</v>
          </cell>
          <cell r="F342">
            <v>0</v>
          </cell>
          <cell r="G342">
            <v>0</v>
          </cell>
          <cell r="H342">
            <v>0</v>
          </cell>
          <cell r="I342">
            <v>0</v>
          </cell>
          <cell r="J342">
            <v>0</v>
          </cell>
          <cell r="K342">
            <v>0</v>
          </cell>
          <cell r="L342">
            <v>0</v>
          </cell>
          <cell r="M342">
            <v>3330</v>
          </cell>
        </row>
        <row r="343">
          <cell r="A343" t="str">
            <v>N/A</v>
          </cell>
          <cell r="B343">
            <v>0</v>
          </cell>
          <cell r="C343" t="str">
            <v>IBM Custom Palletization - Server</v>
          </cell>
          <cell r="D343">
            <v>0</v>
          </cell>
          <cell r="E343" t="str">
            <v>N/A</v>
          </cell>
          <cell r="F343">
            <v>0</v>
          </cell>
          <cell r="G343">
            <v>0</v>
          </cell>
          <cell r="H343">
            <v>0</v>
          </cell>
          <cell r="I343">
            <v>0</v>
          </cell>
          <cell r="J343">
            <v>0</v>
          </cell>
          <cell r="K343">
            <v>0</v>
          </cell>
          <cell r="L343">
            <v>0</v>
          </cell>
          <cell r="M343">
            <v>3340</v>
          </cell>
        </row>
        <row r="344">
          <cell r="A344" t="str">
            <v>N/A</v>
          </cell>
          <cell r="B344">
            <v>0</v>
          </cell>
          <cell r="C344" t="str">
            <v>Odyssey Asset Tag - Server</v>
          </cell>
          <cell r="D344">
            <v>0</v>
          </cell>
          <cell r="E344" t="str">
            <v>N/A</v>
          </cell>
          <cell r="F344">
            <v>0</v>
          </cell>
          <cell r="G344">
            <v>0</v>
          </cell>
          <cell r="H344">
            <v>0</v>
          </cell>
          <cell r="I344">
            <v>0</v>
          </cell>
          <cell r="J344">
            <v>0</v>
          </cell>
          <cell r="K344">
            <v>0</v>
          </cell>
          <cell r="L344">
            <v>0</v>
          </cell>
          <cell r="M344">
            <v>3350</v>
          </cell>
        </row>
        <row r="345">
          <cell r="M345">
            <v>3360</v>
          </cell>
        </row>
        <row r="346">
          <cell r="A346" t="str">
            <v>ServicePacs</v>
          </cell>
          <cell r="M346">
            <v>3370</v>
          </cell>
        </row>
        <row r="347">
          <cell r="C347" t="str">
            <v>NOTE THAT PRICES FOR SERVICEPACS ARE IBM LIST PRICE (DISCOUNTS MAY APPLY)</v>
          </cell>
          <cell r="M347">
            <v>3380</v>
          </cell>
        </row>
        <row r="348">
          <cell r="A348" t="str">
            <v>N/A</v>
          </cell>
          <cell r="B348">
            <v>0</v>
          </cell>
          <cell r="C348" t="str">
            <v>180 days of Business Hours software support for a single xSeries server</v>
          </cell>
          <cell r="D348">
            <v>0</v>
          </cell>
          <cell r="E348" t="str">
            <v>N/A</v>
          </cell>
          <cell r="F348">
            <v>0</v>
          </cell>
          <cell r="G348">
            <v>0</v>
          </cell>
          <cell r="H348">
            <v>0</v>
          </cell>
          <cell r="I348">
            <v>0</v>
          </cell>
          <cell r="J348">
            <v>0</v>
          </cell>
          <cell r="K348">
            <v>0</v>
          </cell>
          <cell r="L348">
            <v>0</v>
          </cell>
          <cell r="M348">
            <v>3390</v>
          </cell>
        </row>
        <row r="349">
          <cell r="M349">
            <v>3400</v>
          </cell>
        </row>
        <row r="350">
          <cell r="A350" t="str">
            <v>N/A</v>
          </cell>
          <cell r="B350">
            <v>0</v>
          </cell>
          <cell r="C350" t="str">
            <v>1 YR Support Line (x255)</v>
          </cell>
          <cell r="D350">
            <v>0</v>
          </cell>
          <cell r="E350" t="str">
            <v>N/A</v>
          </cell>
          <cell r="F350">
            <v>0</v>
          </cell>
          <cell r="G350">
            <v>0</v>
          </cell>
          <cell r="H350">
            <v>0</v>
          </cell>
          <cell r="I350">
            <v>0</v>
          </cell>
          <cell r="J350">
            <v>0</v>
          </cell>
          <cell r="K350">
            <v>0</v>
          </cell>
          <cell r="L350">
            <v>0</v>
          </cell>
          <cell r="M350">
            <v>3410</v>
          </cell>
        </row>
        <row r="351">
          <cell r="A351" t="str">
            <v>N/A</v>
          </cell>
          <cell r="B351">
            <v>0</v>
          </cell>
          <cell r="C351" t="str">
            <v>1 YR IOR NBD (x255)</v>
          </cell>
          <cell r="D351">
            <v>0</v>
          </cell>
          <cell r="E351" t="str">
            <v>N/A</v>
          </cell>
          <cell r="F351">
            <v>0</v>
          </cell>
          <cell r="G351">
            <v>0</v>
          </cell>
          <cell r="H351">
            <v>0</v>
          </cell>
          <cell r="I351">
            <v>0</v>
          </cell>
          <cell r="J351">
            <v>0</v>
          </cell>
          <cell r="K351">
            <v>0</v>
          </cell>
          <cell r="L351">
            <v>0</v>
          </cell>
          <cell r="M351">
            <v>3420</v>
          </cell>
        </row>
        <row r="352">
          <cell r="A352" t="str">
            <v>N/A</v>
          </cell>
          <cell r="B352">
            <v>0</v>
          </cell>
          <cell r="C352" t="str">
            <v>1 YR IOR 9x5/next day (x255)</v>
          </cell>
          <cell r="D352">
            <v>0</v>
          </cell>
          <cell r="E352" t="str">
            <v>N/A</v>
          </cell>
          <cell r="F352">
            <v>0</v>
          </cell>
          <cell r="G352">
            <v>0</v>
          </cell>
          <cell r="H352">
            <v>0</v>
          </cell>
          <cell r="I352">
            <v>0</v>
          </cell>
          <cell r="J352">
            <v>0</v>
          </cell>
          <cell r="K352">
            <v>0</v>
          </cell>
          <cell r="L352">
            <v>0</v>
          </cell>
          <cell r="M352">
            <v>3430</v>
          </cell>
        </row>
        <row r="353">
          <cell r="A353" t="str">
            <v>N/A</v>
          </cell>
          <cell r="B353">
            <v>0</v>
          </cell>
          <cell r="C353" t="str">
            <v>1 YR IOR 9x5x4 (x255)</v>
          </cell>
          <cell r="D353">
            <v>0</v>
          </cell>
          <cell r="E353" t="str">
            <v>N/A</v>
          </cell>
          <cell r="F353">
            <v>0</v>
          </cell>
          <cell r="G353">
            <v>0</v>
          </cell>
          <cell r="H353">
            <v>0</v>
          </cell>
          <cell r="I353">
            <v>0</v>
          </cell>
          <cell r="J353">
            <v>0</v>
          </cell>
          <cell r="K353">
            <v>0</v>
          </cell>
          <cell r="L353">
            <v>0</v>
          </cell>
          <cell r="M353">
            <v>3440</v>
          </cell>
        </row>
        <row r="354">
          <cell r="A354" t="str">
            <v>N/A</v>
          </cell>
          <cell r="B354">
            <v>0</v>
          </cell>
          <cell r="C354" t="str">
            <v>1 YR IOR 24x7x4 (x255)</v>
          </cell>
          <cell r="D354">
            <v>0</v>
          </cell>
          <cell r="E354" t="str">
            <v>N/A</v>
          </cell>
          <cell r="F354">
            <v>0</v>
          </cell>
          <cell r="G354">
            <v>0</v>
          </cell>
          <cell r="H354">
            <v>0</v>
          </cell>
          <cell r="I354">
            <v>0</v>
          </cell>
          <cell r="J354">
            <v>0</v>
          </cell>
          <cell r="K354">
            <v>0</v>
          </cell>
          <cell r="L354">
            <v>0</v>
          </cell>
          <cell r="M354">
            <v>3450</v>
          </cell>
        </row>
        <row r="355">
          <cell r="A355" t="str">
            <v>N/A</v>
          </cell>
          <cell r="B355">
            <v>0</v>
          </cell>
          <cell r="C355" t="str">
            <v>1 YR IOR 24x7x2 hour  (x255)</v>
          </cell>
          <cell r="D355">
            <v>0</v>
          </cell>
          <cell r="E355" t="str">
            <v>N/A</v>
          </cell>
          <cell r="F355">
            <v>0</v>
          </cell>
          <cell r="G355">
            <v>0</v>
          </cell>
          <cell r="H355">
            <v>0</v>
          </cell>
          <cell r="I355">
            <v>0</v>
          </cell>
          <cell r="J355">
            <v>0</v>
          </cell>
          <cell r="K355">
            <v>0</v>
          </cell>
          <cell r="L355">
            <v>0</v>
          </cell>
          <cell r="M355">
            <v>3460</v>
          </cell>
        </row>
        <row r="356">
          <cell r="A356" t="str">
            <v>N/A</v>
          </cell>
          <cell r="B356">
            <v>0</v>
          </cell>
          <cell r="C356" t="str">
            <v>2 YR IOR NBD (x255)</v>
          </cell>
          <cell r="D356">
            <v>0</v>
          </cell>
          <cell r="E356" t="str">
            <v>N/A</v>
          </cell>
          <cell r="F356">
            <v>0</v>
          </cell>
          <cell r="G356">
            <v>0</v>
          </cell>
          <cell r="H356">
            <v>0</v>
          </cell>
          <cell r="I356">
            <v>0</v>
          </cell>
          <cell r="J356">
            <v>0</v>
          </cell>
          <cell r="K356">
            <v>0</v>
          </cell>
          <cell r="L356">
            <v>0</v>
          </cell>
          <cell r="M356">
            <v>3470</v>
          </cell>
        </row>
        <row r="357">
          <cell r="A357" t="str">
            <v>N/A</v>
          </cell>
          <cell r="B357">
            <v>0</v>
          </cell>
          <cell r="C357" t="str">
            <v>2 YR IOR 9x5/next day (x255)</v>
          </cell>
          <cell r="D357">
            <v>0</v>
          </cell>
          <cell r="E357" t="str">
            <v>N/A</v>
          </cell>
          <cell r="F357">
            <v>0</v>
          </cell>
          <cell r="G357">
            <v>0</v>
          </cell>
          <cell r="H357">
            <v>0</v>
          </cell>
          <cell r="I357">
            <v>0</v>
          </cell>
          <cell r="J357">
            <v>0</v>
          </cell>
          <cell r="K357">
            <v>0</v>
          </cell>
          <cell r="L357">
            <v>0</v>
          </cell>
          <cell r="M357">
            <v>3480</v>
          </cell>
        </row>
        <row r="358">
          <cell r="A358" t="str">
            <v>N/A</v>
          </cell>
          <cell r="B358">
            <v>0</v>
          </cell>
          <cell r="C358" t="str">
            <v>2 YR IOR 9x5x4  (x255)</v>
          </cell>
          <cell r="D358">
            <v>0</v>
          </cell>
          <cell r="E358" t="str">
            <v>N/A</v>
          </cell>
          <cell r="F358">
            <v>0</v>
          </cell>
          <cell r="G358">
            <v>0</v>
          </cell>
          <cell r="H358">
            <v>0</v>
          </cell>
          <cell r="I358">
            <v>0</v>
          </cell>
          <cell r="J358">
            <v>0</v>
          </cell>
          <cell r="K358">
            <v>0</v>
          </cell>
          <cell r="L358">
            <v>0</v>
          </cell>
          <cell r="M358">
            <v>3490</v>
          </cell>
        </row>
        <row r="359">
          <cell r="A359" t="str">
            <v>N/A</v>
          </cell>
          <cell r="B359">
            <v>0</v>
          </cell>
          <cell r="C359" t="str">
            <v>2 YR IOR 24x7x4 (x255)</v>
          </cell>
          <cell r="D359">
            <v>0</v>
          </cell>
          <cell r="E359" t="str">
            <v>N/A</v>
          </cell>
          <cell r="F359">
            <v>0</v>
          </cell>
          <cell r="G359">
            <v>0</v>
          </cell>
          <cell r="H359">
            <v>0</v>
          </cell>
          <cell r="I359">
            <v>0</v>
          </cell>
          <cell r="J359">
            <v>0</v>
          </cell>
          <cell r="K359">
            <v>0</v>
          </cell>
          <cell r="L359">
            <v>0</v>
          </cell>
          <cell r="M359">
            <v>3500</v>
          </cell>
        </row>
        <row r="360">
          <cell r="A360" t="str">
            <v>N/A</v>
          </cell>
          <cell r="B360">
            <v>0</v>
          </cell>
          <cell r="C360" t="str">
            <v>2 YR IOR 24x7x2 hour  (x255)</v>
          </cell>
          <cell r="D360">
            <v>0</v>
          </cell>
          <cell r="E360" t="str">
            <v>N/A</v>
          </cell>
          <cell r="F360">
            <v>0</v>
          </cell>
          <cell r="G360">
            <v>0</v>
          </cell>
          <cell r="H360">
            <v>0</v>
          </cell>
          <cell r="I360">
            <v>0</v>
          </cell>
          <cell r="J360">
            <v>0</v>
          </cell>
          <cell r="K360">
            <v>0</v>
          </cell>
          <cell r="L360">
            <v>0</v>
          </cell>
          <cell r="M360">
            <v>3510</v>
          </cell>
        </row>
        <row r="361">
          <cell r="A361" t="str">
            <v>N/A</v>
          </cell>
          <cell r="B361">
            <v>0</v>
          </cell>
          <cell r="C361" t="str">
            <v>3 YR IOR/24x7x4 BKK  Only (x255)</v>
          </cell>
          <cell r="D361">
            <v>0</v>
          </cell>
          <cell r="E361" t="str">
            <v>N/A</v>
          </cell>
          <cell r="F361">
            <v>0</v>
          </cell>
          <cell r="G361">
            <v>0</v>
          </cell>
          <cell r="H361">
            <v>0</v>
          </cell>
          <cell r="I361">
            <v>0</v>
          </cell>
          <cell r="J361">
            <v>0</v>
          </cell>
          <cell r="K361">
            <v>0</v>
          </cell>
          <cell r="L361">
            <v>0</v>
          </cell>
          <cell r="M361">
            <v>3520</v>
          </cell>
        </row>
        <row r="362">
          <cell r="A362" t="str">
            <v>N/A</v>
          </cell>
          <cell r="B362">
            <v>0</v>
          </cell>
          <cell r="C362" t="str">
            <v>3 YR IOR /24x7( 3YR NBD Warrany ) (x255)</v>
          </cell>
          <cell r="D362">
            <v>0</v>
          </cell>
          <cell r="E362" t="str">
            <v>N/A</v>
          </cell>
          <cell r="F362">
            <v>0</v>
          </cell>
          <cell r="G362">
            <v>0</v>
          </cell>
          <cell r="H362">
            <v>0</v>
          </cell>
          <cell r="I362">
            <v>0</v>
          </cell>
          <cell r="J362">
            <v>0</v>
          </cell>
          <cell r="K362">
            <v>0</v>
          </cell>
          <cell r="L362">
            <v>0</v>
          </cell>
          <cell r="M362">
            <v>3530</v>
          </cell>
        </row>
        <row r="363">
          <cell r="A363" t="str">
            <v>N/A</v>
          </cell>
          <cell r="B363">
            <v>0</v>
          </cell>
          <cell r="C363" t="str">
            <v>3 YR IOR /24x7( 3YR Parts 1YR Laber Warranty ) (x255)</v>
          </cell>
          <cell r="D363">
            <v>0</v>
          </cell>
          <cell r="E363" t="str">
            <v>N/A</v>
          </cell>
          <cell r="F363">
            <v>0</v>
          </cell>
          <cell r="G363">
            <v>0</v>
          </cell>
          <cell r="H363">
            <v>0</v>
          </cell>
          <cell r="I363">
            <v>0</v>
          </cell>
          <cell r="J363">
            <v>0</v>
          </cell>
          <cell r="K363">
            <v>0</v>
          </cell>
          <cell r="L363">
            <v>0</v>
          </cell>
          <cell r="M363">
            <v>3540</v>
          </cell>
        </row>
        <row r="364">
          <cell r="A364" t="str">
            <v>N/A</v>
          </cell>
          <cell r="B364">
            <v>0</v>
          </cell>
          <cell r="C364" t="str">
            <v>3 YR OS/Config/Driver Support/9x5/NBD Respons (x255)</v>
          </cell>
          <cell r="D364">
            <v>0</v>
          </cell>
          <cell r="E364" t="str">
            <v>N/A</v>
          </cell>
          <cell r="F364">
            <v>0</v>
          </cell>
          <cell r="G364">
            <v>0</v>
          </cell>
          <cell r="H364">
            <v>0</v>
          </cell>
          <cell r="I364">
            <v>0</v>
          </cell>
          <cell r="J364">
            <v>0</v>
          </cell>
          <cell r="K364">
            <v>0</v>
          </cell>
          <cell r="L364">
            <v>0</v>
          </cell>
          <cell r="M364">
            <v>3550</v>
          </cell>
        </row>
        <row r="365">
          <cell r="A365" t="str">
            <v>N/A</v>
          </cell>
          <cell r="B365">
            <v>0</v>
          </cell>
          <cell r="C365" t="str">
            <v>3 YR Parts &amp; Labour/IOR/9x5/4 hrs Response (x255)</v>
          </cell>
          <cell r="D365">
            <v>0</v>
          </cell>
          <cell r="E365" t="str">
            <v>N/A</v>
          </cell>
          <cell r="F365">
            <v>0</v>
          </cell>
          <cell r="G365">
            <v>0</v>
          </cell>
          <cell r="H365">
            <v>0</v>
          </cell>
          <cell r="I365">
            <v>0</v>
          </cell>
          <cell r="J365">
            <v>0</v>
          </cell>
          <cell r="K365">
            <v>0</v>
          </cell>
          <cell r="L365">
            <v>0</v>
          </cell>
          <cell r="M365">
            <v>3560</v>
          </cell>
        </row>
        <row r="366">
          <cell r="A366" t="str">
            <v>N/A</v>
          </cell>
          <cell r="B366">
            <v>0</v>
          </cell>
          <cell r="C366" t="str">
            <v>3 YR Parts &amp; Labour/IOR/24x7/4hrs Response (x255)</v>
          </cell>
          <cell r="D366">
            <v>0</v>
          </cell>
          <cell r="E366" t="str">
            <v>N/A</v>
          </cell>
          <cell r="F366">
            <v>0</v>
          </cell>
          <cell r="G366">
            <v>0</v>
          </cell>
          <cell r="H366">
            <v>0</v>
          </cell>
          <cell r="I366">
            <v>0</v>
          </cell>
          <cell r="J366">
            <v>0</v>
          </cell>
          <cell r="K366">
            <v>0</v>
          </cell>
          <cell r="L366">
            <v>0</v>
          </cell>
          <cell r="M366">
            <v>3570</v>
          </cell>
        </row>
        <row r="367">
          <cell r="A367" t="str">
            <v>N/A</v>
          </cell>
          <cell r="B367">
            <v>0</v>
          </cell>
          <cell r="C367" t="str">
            <v>3 YR IOR 24x7x4 + 1 YR Support Line (x255)</v>
          </cell>
          <cell r="D367">
            <v>0</v>
          </cell>
          <cell r="E367" t="str">
            <v>N/A</v>
          </cell>
          <cell r="F367">
            <v>0</v>
          </cell>
          <cell r="G367">
            <v>0</v>
          </cell>
          <cell r="H367">
            <v>0</v>
          </cell>
          <cell r="I367">
            <v>0</v>
          </cell>
          <cell r="J367">
            <v>0</v>
          </cell>
          <cell r="K367">
            <v>0</v>
          </cell>
          <cell r="L367">
            <v>0</v>
          </cell>
          <cell r="M367">
            <v>3580</v>
          </cell>
        </row>
        <row r="368">
          <cell r="A368" t="str">
            <v>N/A</v>
          </cell>
          <cell r="B368">
            <v>0</v>
          </cell>
          <cell r="C368" t="str">
            <v>3 YR IOR 9x5x4 + 1 YR Support Line (x255)</v>
          </cell>
          <cell r="D368">
            <v>0</v>
          </cell>
          <cell r="E368" t="str">
            <v>N/A</v>
          </cell>
          <cell r="F368">
            <v>0</v>
          </cell>
          <cell r="G368">
            <v>0</v>
          </cell>
          <cell r="H368">
            <v>0</v>
          </cell>
          <cell r="I368">
            <v>0</v>
          </cell>
          <cell r="J368">
            <v>0</v>
          </cell>
          <cell r="K368">
            <v>0</v>
          </cell>
          <cell r="L368">
            <v>0</v>
          </cell>
          <cell r="M368">
            <v>3590</v>
          </cell>
        </row>
        <row r="369">
          <cell r="A369" t="str">
            <v>N/A</v>
          </cell>
          <cell r="B369">
            <v>0</v>
          </cell>
          <cell r="C369" t="str">
            <v>3 YR IOR /24x7x4x6 (x255)</v>
          </cell>
          <cell r="D369">
            <v>0</v>
          </cell>
          <cell r="E369" t="str">
            <v>N/A</v>
          </cell>
          <cell r="F369">
            <v>0</v>
          </cell>
          <cell r="G369">
            <v>0</v>
          </cell>
          <cell r="H369">
            <v>0</v>
          </cell>
          <cell r="I369">
            <v>0</v>
          </cell>
          <cell r="J369">
            <v>0</v>
          </cell>
          <cell r="K369">
            <v>0</v>
          </cell>
          <cell r="L369">
            <v>0</v>
          </cell>
          <cell r="M369">
            <v>3600</v>
          </cell>
        </row>
        <row r="370">
          <cell r="A370" t="str">
            <v>N/A</v>
          </cell>
          <cell r="B370">
            <v>0</v>
          </cell>
          <cell r="C370" t="str">
            <v>3 YR IOR /24x7x8x24 (x255)</v>
          </cell>
          <cell r="D370">
            <v>0</v>
          </cell>
          <cell r="E370" t="str">
            <v>N/A</v>
          </cell>
          <cell r="F370">
            <v>0</v>
          </cell>
          <cell r="G370">
            <v>0</v>
          </cell>
          <cell r="H370">
            <v>0</v>
          </cell>
          <cell r="I370">
            <v>0</v>
          </cell>
          <cell r="J370">
            <v>0</v>
          </cell>
          <cell r="K370">
            <v>0</v>
          </cell>
          <cell r="L370">
            <v>0</v>
          </cell>
          <cell r="M370">
            <v>3610</v>
          </cell>
        </row>
        <row r="371">
          <cell r="A371" t="str">
            <v>N/A</v>
          </cell>
          <cell r="B371">
            <v>0</v>
          </cell>
          <cell r="C371" t="str">
            <v>3 YR IOR /24x7x8 (x255)</v>
          </cell>
          <cell r="D371">
            <v>0</v>
          </cell>
          <cell r="E371" t="str">
            <v>N/A</v>
          </cell>
          <cell r="F371">
            <v>0</v>
          </cell>
          <cell r="G371">
            <v>0</v>
          </cell>
          <cell r="H371">
            <v>0</v>
          </cell>
          <cell r="I371">
            <v>0</v>
          </cell>
          <cell r="J371">
            <v>0</v>
          </cell>
          <cell r="K371">
            <v>0</v>
          </cell>
          <cell r="L371">
            <v>0</v>
          </cell>
          <cell r="M371">
            <v>3620</v>
          </cell>
        </row>
        <row r="372">
          <cell r="A372" t="str">
            <v>N/A</v>
          </cell>
          <cell r="B372">
            <v>0</v>
          </cell>
          <cell r="C372" t="str">
            <v>3 YR 12x6x2 (x255)</v>
          </cell>
          <cell r="D372">
            <v>0</v>
          </cell>
          <cell r="E372" t="str">
            <v>N/A</v>
          </cell>
          <cell r="F372">
            <v>0</v>
          </cell>
          <cell r="G372">
            <v>0</v>
          </cell>
          <cell r="H372">
            <v>0</v>
          </cell>
          <cell r="I372">
            <v>0</v>
          </cell>
          <cell r="J372">
            <v>0</v>
          </cell>
          <cell r="K372">
            <v>0</v>
          </cell>
          <cell r="L372">
            <v>0</v>
          </cell>
          <cell r="M372">
            <v>3630</v>
          </cell>
        </row>
        <row r="373">
          <cell r="A373" t="str">
            <v>96P2967</v>
          </cell>
          <cell r="B373">
            <v>0</v>
          </cell>
          <cell r="C373" t="str">
            <v>3 YR IOR /8x5x4 (x255)</v>
          </cell>
          <cell r="D373">
            <v>0</v>
          </cell>
          <cell r="E373">
            <v>837</v>
          </cell>
          <cell r="F373">
            <v>0</v>
          </cell>
          <cell r="G373">
            <v>0</v>
          </cell>
          <cell r="H373">
            <v>0</v>
          </cell>
          <cell r="I373">
            <v>0</v>
          </cell>
          <cell r="J373">
            <v>0</v>
          </cell>
          <cell r="K373">
            <v>0</v>
          </cell>
          <cell r="L373">
            <v>0</v>
          </cell>
          <cell r="M373">
            <v>3640</v>
          </cell>
        </row>
        <row r="374">
          <cell r="A374" t="str">
            <v>N/A</v>
          </cell>
          <cell r="B374">
            <v>0</v>
          </cell>
          <cell r="C374" t="str">
            <v>3 YR IOR 9x5x4 (x255)</v>
          </cell>
          <cell r="D374">
            <v>0</v>
          </cell>
          <cell r="E374" t="str">
            <v>N/A</v>
          </cell>
          <cell r="F374">
            <v>0</v>
          </cell>
          <cell r="G374">
            <v>0</v>
          </cell>
          <cell r="H374">
            <v>0</v>
          </cell>
          <cell r="I374">
            <v>0</v>
          </cell>
          <cell r="J374">
            <v>0</v>
          </cell>
          <cell r="K374">
            <v>0</v>
          </cell>
          <cell r="L374">
            <v>0</v>
          </cell>
          <cell r="M374">
            <v>3650</v>
          </cell>
        </row>
        <row r="375">
          <cell r="A375" t="str">
            <v>96P2968</v>
          </cell>
          <cell r="B375">
            <v>0</v>
          </cell>
          <cell r="C375" t="str">
            <v>3 YR IOR /24x7x4 (x255)</v>
          </cell>
          <cell r="D375">
            <v>0</v>
          </cell>
          <cell r="E375">
            <v>2100</v>
          </cell>
          <cell r="F375">
            <v>0</v>
          </cell>
          <cell r="G375">
            <v>0</v>
          </cell>
          <cell r="H375">
            <v>0</v>
          </cell>
          <cell r="I375">
            <v>0</v>
          </cell>
          <cell r="J375">
            <v>0</v>
          </cell>
          <cell r="K375">
            <v>0</v>
          </cell>
          <cell r="L375">
            <v>0</v>
          </cell>
          <cell r="M375">
            <v>3660</v>
          </cell>
        </row>
        <row r="376">
          <cell r="A376" t="str">
            <v>96P2969</v>
          </cell>
          <cell r="B376">
            <v>0</v>
          </cell>
          <cell r="C376" t="str">
            <v>3 YR IOR /24x7x2 (x255)</v>
          </cell>
          <cell r="D376">
            <v>0</v>
          </cell>
          <cell r="E376">
            <v>2970</v>
          </cell>
          <cell r="F376">
            <v>0</v>
          </cell>
          <cell r="G376">
            <v>0</v>
          </cell>
          <cell r="H376">
            <v>0</v>
          </cell>
          <cell r="I376">
            <v>0</v>
          </cell>
          <cell r="J376">
            <v>0</v>
          </cell>
          <cell r="K376">
            <v>0</v>
          </cell>
          <cell r="L376">
            <v>0</v>
          </cell>
          <cell r="M376">
            <v>3670</v>
          </cell>
        </row>
        <row r="377">
          <cell r="A377" t="str">
            <v>N/A</v>
          </cell>
          <cell r="B377">
            <v>0</v>
          </cell>
          <cell r="C377" t="str">
            <v>4 YR IOR/24x7x4 BKK  Only (x255)</v>
          </cell>
          <cell r="D377">
            <v>0</v>
          </cell>
          <cell r="E377" t="str">
            <v>N/A</v>
          </cell>
          <cell r="F377">
            <v>0</v>
          </cell>
          <cell r="G377">
            <v>0</v>
          </cell>
          <cell r="H377">
            <v>0</v>
          </cell>
          <cell r="I377">
            <v>0</v>
          </cell>
          <cell r="J377">
            <v>0</v>
          </cell>
          <cell r="K377">
            <v>0</v>
          </cell>
          <cell r="L377">
            <v>0</v>
          </cell>
          <cell r="M377">
            <v>3680</v>
          </cell>
        </row>
        <row r="378">
          <cell r="A378" t="str">
            <v>N/A</v>
          </cell>
          <cell r="B378">
            <v>0</v>
          </cell>
          <cell r="C378" t="str">
            <v>4 YR IOR  9x5/next day  (x255)</v>
          </cell>
          <cell r="D378">
            <v>0</v>
          </cell>
          <cell r="E378" t="str">
            <v>N/A</v>
          </cell>
          <cell r="F378">
            <v>0</v>
          </cell>
          <cell r="G378">
            <v>0</v>
          </cell>
          <cell r="H378">
            <v>0</v>
          </cell>
          <cell r="I378">
            <v>0</v>
          </cell>
          <cell r="J378">
            <v>0</v>
          </cell>
          <cell r="K378">
            <v>0</v>
          </cell>
          <cell r="L378">
            <v>0</v>
          </cell>
          <cell r="M378">
            <v>3690</v>
          </cell>
        </row>
        <row r="379">
          <cell r="A379" t="str">
            <v>N/A</v>
          </cell>
          <cell r="B379">
            <v>0</v>
          </cell>
          <cell r="C379" t="str">
            <v>4 YR IOR 9x5x4 (x255)</v>
          </cell>
          <cell r="D379">
            <v>0</v>
          </cell>
          <cell r="E379" t="str">
            <v>N/A</v>
          </cell>
          <cell r="F379">
            <v>0</v>
          </cell>
          <cell r="G379">
            <v>0</v>
          </cell>
          <cell r="H379">
            <v>0</v>
          </cell>
          <cell r="I379">
            <v>0</v>
          </cell>
          <cell r="J379">
            <v>0</v>
          </cell>
          <cell r="K379">
            <v>0</v>
          </cell>
          <cell r="L379">
            <v>0</v>
          </cell>
          <cell r="M379">
            <v>3700</v>
          </cell>
        </row>
        <row r="380">
          <cell r="A380" t="str">
            <v>N/A</v>
          </cell>
          <cell r="B380">
            <v>0</v>
          </cell>
          <cell r="C380" t="str">
            <v>4 YR IOR /24x7x4 (x255)</v>
          </cell>
          <cell r="D380">
            <v>0</v>
          </cell>
          <cell r="E380" t="str">
            <v>N/A</v>
          </cell>
          <cell r="F380">
            <v>0</v>
          </cell>
          <cell r="G380">
            <v>0</v>
          </cell>
          <cell r="H380">
            <v>0</v>
          </cell>
          <cell r="I380">
            <v>0</v>
          </cell>
          <cell r="J380">
            <v>0</v>
          </cell>
          <cell r="K380">
            <v>0</v>
          </cell>
          <cell r="L380">
            <v>0</v>
          </cell>
          <cell r="M380">
            <v>3710</v>
          </cell>
        </row>
        <row r="381">
          <cell r="A381" t="str">
            <v>N/A</v>
          </cell>
          <cell r="B381">
            <v>0</v>
          </cell>
          <cell r="C381" t="str">
            <v>4 YR IOR/24x7x2 (x255)</v>
          </cell>
          <cell r="D381">
            <v>0</v>
          </cell>
          <cell r="E381" t="str">
            <v>N/A</v>
          </cell>
          <cell r="F381">
            <v>0</v>
          </cell>
          <cell r="G381">
            <v>0</v>
          </cell>
          <cell r="H381">
            <v>0</v>
          </cell>
          <cell r="I381">
            <v>0</v>
          </cell>
          <cell r="J381">
            <v>0</v>
          </cell>
          <cell r="K381">
            <v>0</v>
          </cell>
          <cell r="L381">
            <v>0</v>
          </cell>
          <cell r="M381">
            <v>3720</v>
          </cell>
        </row>
        <row r="382">
          <cell r="A382" t="str">
            <v>N/A</v>
          </cell>
          <cell r="B382">
            <v>0</v>
          </cell>
          <cell r="C382" t="str">
            <v>5 YR IOR/24x7x4 BKK  Only (x255)</v>
          </cell>
          <cell r="D382">
            <v>0</v>
          </cell>
          <cell r="E382" t="str">
            <v>N/A</v>
          </cell>
          <cell r="F382">
            <v>0</v>
          </cell>
          <cell r="G382">
            <v>0</v>
          </cell>
          <cell r="H382">
            <v>0</v>
          </cell>
          <cell r="I382">
            <v>0</v>
          </cell>
          <cell r="J382">
            <v>0</v>
          </cell>
          <cell r="K382">
            <v>0</v>
          </cell>
          <cell r="L382">
            <v>0</v>
          </cell>
          <cell r="M382">
            <v>3730</v>
          </cell>
        </row>
        <row r="383">
          <cell r="A383" t="str">
            <v>96P2972</v>
          </cell>
          <cell r="B383">
            <v>0</v>
          </cell>
          <cell r="C383" t="str">
            <v>5 YR IOR /8x5x4 (x255)</v>
          </cell>
          <cell r="D383">
            <v>0</v>
          </cell>
          <cell r="E383">
            <v>2519</v>
          </cell>
          <cell r="F383">
            <v>0</v>
          </cell>
          <cell r="G383">
            <v>0</v>
          </cell>
          <cell r="H383">
            <v>0</v>
          </cell>
          <cell r="I383">
            <v>0</v>
          </cell>
          <cell r="J383">
            <v>0</v>
          </cell>
          <cell r="K383">
            <v>0</v>
          </cell>
          <cell r="L383">
            <v>0</v>
          </cell>
          <cell r="M383">
            <v>3740</v>
          </cell>
        </row>
        <row r="384">
          <cell r="A384" t="str">
            <v>N/A</v>
          </cell>
          <cell r="B384">
            <v>0</v>
          </cell>
          <cell r="C384" t="str">
            <v>5 YR IOR  9x5/next day  (x255)</v>
          </cell>
          <cell r="D384">
            <v>0</v>
          </cell>
          <cell r="E384" t="str">
            <v>N/A</v>
          </cell>
          <cell r="F384">
            <v>0</v>
          </cell>
          <cell r="G384">
            <v>0</v>
          </cell>
          <cell r="H384">
            <v>0</v>
          </cell>
          <cell r="I384">
            <v>0</v>
          </cell>
          <cell r="J384">
            <v>0</v>
          </cell>
          <cell r="K384">
            <v>0</v>
          </cell>
          <cell r="L384">
            <v>0</v>
          </cell>
          <cell r="M384">
            <v>3750</v>
          </cell>
        </row>
        <row r="385">
          <cell r="A385" t="str">
            <v>N/A</v>
          </cell>
          <cell r="B385">
            <v>0</v>
          </cell>
          <cell r="C385" t="str">
            <v>5 YR IOR /9x5x4 (x255)</v>
          </cell>
          <cell r="D385">
            <v>0</v>
          </cell>
          <cell r="E385" t="str">
            <v>N/A</v>
          </cell>
          <cell r="F385">
            <v>0</v>
          </cell>
          <cell r="G385">
            <v>0</v>
          </cell>
          <cell r="H385">
            <v>0</v>
          </cell>
          <cell r="I385">
            <v>0</v>
          </cell>
          <cell r="J385">
            <v>0</v>
          </cell>
          <cell r="K385">
            <v>0</v>
          </cell>
          <cell r="L385">
            <v>0</v>
          </cell>
          <cell r="M385">
            <v>3760</v>
          </cell>
        </row>
        <row r="386">
          <cell r="A386" t="str">
            <v>96P2973</v>
          </cell>
          <cell r="B386">
            <v>0</v>
          </cell>
          <cell r="C386" t="str">
            <v>5 YR IOR /24x7x4 (x255)</v>
          </cell>
          <cell r="D386">
            <v>0</v>
          </cell>
          <cell r="E386">
            <v>4620</v>
          </cell>
          <cell r="F386">
            <v>0</v>
          </cell>
          <cell r="G386">
            <v>0</v>
          </cell>
          <cell r="H386">
            <v>0</v>
          </cell>
          <cell r="I386">
            <v>0</v>
          </cell>
          <cell r="J386">
            <v>0</v>
          </cell>
          <cell r="K386">
            <v>0</v>
          </cell>
          <cell r="L386">
            <v>0</v>
          </cell>
          <cell r="M386">
            <v>3770</v>
          </cell>
        </row>
        <row r="387">
          <cell r="A387" t="str">
            <v>96P2974</v>
          </cell>
          <cell r="B387">
            <v>0</v>
          </cell>
          <cell r="C387" t="str">
            <v>5 YR IOR /24x7x2 (x255)</v>
          </cell>
          <cell r="D387">
            <v>0</v>
          </cell>
          <cell r="E387">
            <v>6600</v>
          </cell>
          <cell r="F387">
            <v>0</v>
          </cell>
          <cell r="G387">
            <v>0</v>
          </cell>
          <cell r="H387">
            <v>0</v>
          </cell>
          <cell r="I387">
            <v>0</v>
          </cell>
          <cell r="J387">
            <v>0</v>
          </cell>
          <cell r="K387">
            <v>0</v>
          </cell>
          <cell r="L387">
            <v>0</v>
          </cell>
          <cell r="M387">
            <v>3780</v>
          </cell>
        </row>
        <row r="388">
          <cell r="A388" t="str">
            <v>N/A</v>
          </cell>
          <cell r="B388">
            <v>0</v>
          </cell>
          <cell r="C388" t="str">
            <v>6 YR IOR/24x7x4 (x255)</v>
          </cell>
          <cell r="D388">
            <v>0</v>
          </cell>
          <cell r="E388" t="str">
            <v>N/A</v>
          </cell>
          <cell r="F388">
            <v>0</v>
          </cell>
          <cell r="G388">
            <v>0</v>
          </cell>
          <cell r="H388">
            <v>0</v>
          </cell>
          <cell r="I388">
            <v>0</v>
          </cell>
          <cell r="J388">
            <v>0</v>
          </cell>
          <cell r="K388">
            <v>0</v>
          </cell>
          <cell r="L388">
            <v>0</v>
          </cell>
          <cell r="M388">
            <v>3790</v>
          </cell>
        </row>
        <row r="389">
          <cell r="A389" t="str">
            <v>N/A</v>
          </cell>
          <cell r="B389">
            <v>0</v>
          </cell>
          <cell r="C389" t="str">
            <v>6 YR IOR/9x5x4 (x255)</v>
          </cell>
          <cell r="D389">
            <v>0</v>
          </cell>
          <cell r="E389" t="str">
            <v>N/A</v>
          </cell>
          <cell r="F389">
            <v>0</v>
          </cell>
          <cell r="G389">
            <v>0</v>
          </cell>
          <cell r="H389">
            <v>0</v>
          </cell>
          <cell r="I389">
            <v>0</v>
          </cell>
          <cell r="J389">
            <v>0</v>
          </cell>
          <cell r="K389">
            <v>0</v>
          </cell>
          <cell r="L389">
            <v>0</v>
          </cell>
          <cell r="M389">
            <v>3800</v>
          </cell>
        </row>
        <row r="390">
          <cell r="M390">
            <v>3810</v>
          </cell>
        </row>
        <row r="391">
          <cell r="A391" t="str">
            <v>96P2975</v>
          </cell>
          <cell r="B391">
            <v>0</v>
          </cell>
          <cell r="C391" t="str">
            <v>Extend to YR 4&amp;5 IOR /8x5x4 (x255)</v>
          </cell>
          <cell r="D391">
            <v>0</v>
          </cell>
          <cell r="E391">
            <v>1954</v>
          </cell>
          <cell r="F391">
            <v>0</v>
          </cell>
          <cell r="G391">
            <v>0</v>
          </cell>
          <cell r="H391">
            <v>0</v>
          </cell>
          <cell r="I391">
            <v>0</v>
          </cell>
          <cell r="J391">
            <v>0</v>
          </cell>
          <cell r="K391">
            <v>0</v>
          </cell>
          <cell r="L391">
            <v>0</v>
          </cell>
          <cell r="M391">
            <v>3820</v>
          </cell>
        </row>
        <row r="392">
          <cell r="A392" t="str">
            <v>96P2976</v>
          </cell>
          <cell r="B392">
            <v>0</v>
          </cell>
          <cell r="C392" t="str">
            <v>Extend to YR 4&amp;5 IOR /24x7x4 (x255)</v>
          </cell>
          <cell r="D392">
            <v>0</v>
          </cell>
          <cell r="E392">
            <v>2963</v>
          </cell>
          <cell r="F392">
            <v>0</v>
          </cell>
          <cell r="G392">
            <v>0</v>
          </cell>
          <cell r="H392">
            <v>0</v>
          </cell>
          <cell r="I392">
            <v>0</v>
          </cell>
          <cell r="J392">
            <v>0</v>
          </cell>
          <cell r="K392">
            <v>0</v>
          </cell>
          <cell r="L392">
            <v>0</v>
          </cell>
          <cell r="M392">
            <v>3830</v>
          </cell>
        </row>
        <row r="393">
          <cell r="A393" t="str">
            <v>96P2977</v>
          </cell>
          <cell r="B393">
            <v>0</v>
          </cell>
          <cell r="C393" t="str">
            <v>Extend to YR 4&amp;5 IOR /24x7x2 (x255)</v>
          </cell>
          <cell r="D393">
            <v>0</v>
          </cell>
          <cell r="E393">
            <v>3764</v>
          </cell>
          <cell r="F393">
            <v>0</v>
          </cell>
          <cell r="G393">
            <v>0</v>
          </cell>
          <cell r="H393">
            <v>0</v>
          </cell>
          <cell r="I393">
            <v>0</v>
          </cell>
          <cell r="J393">
            <v>0</v>
          </cell>
          <cell r="K393">
            <v>0</v>
          </cell>
          <cell r="L393">
            <v>0</v>
          </cell>
          <cell r="M393">
            <v>3840</v>
          </cell>
        </row>
        <row r="394">
          <cell r="M394">
            <v>3850</v>
          </cell>
        </row>
        <row r="395">
          <cell r="A395" t="str">
            <v>N/A</v>
          </cell>
          <cell r="B395">
            <v>0</v>
          </cell>
          <cell r="C395" t="str">
            <v>1 YR RTS for xSeries, IntelliStation, IBM Director, Windows, Linux (x255)</v>
          </cell>
          <cell r="D395">
            <v>0</v>
          </cell>
          <cell r="E395" t="str">
            <v>N/A</v>
          </cell>
          <cell r="F395">
            <v>0</v>
          </cell>
          <cell r="G395">
            <v>0</v>
          </cell>
          <cell r="H395">
            <v>0</v>
          </cell>
          <cell r="I395">
            <v>0</v>
          </cell>
          <cell r="J395">
            <v>0</v>
          </cell>
          <cell r="K395">
            <v>0</v>
          </cell>
          <cell r="L395">
            <v>0</v>
          </cell>
          <cell r="M395">
            <v>3860</v>
          </cell>
        </row>
        <row r="396">
          <cell r="A396" t="str">
            <v>N/A</v>
          </cell>
          <cell r="B396">
            <v>0</v>
          </cell>
          <cell r="C396" t="str">
            <v>1 YR RTS for xSeries, IntelliStation, IBM Director, Windows, Linux, plus Vmware (x255)</v>
          </cell>
          <cell r="D396">
            <v>0</v>
          </cell>
          <cell r="E396" t="str">
            <v>N/A</v>
          </cell>
          <cell r="F396">
            <v>0</v>
          </cell>
          <cell r="G396">
            <v>0</v>
          </cell>
          <cell r="H396">
            <v>0</v>
          </cell>
          <cell r="I396">
            <v>0</v>
          </cell>
          <cell r="J396">
            <v>0</v>
          </cell>
          <cell r="K396">
            <v>0</v>
          </cell>
          <cell r="L396">
            <v>0</v>
          </cell>
          <cell r="M396">
            <v>3870</v>
          </cell>
        </row>
        <row r="397">
          <cell r="A397" t="str">
            <v>N/A</v>
          </cell>
          <cell r="B397">
            <v>0</v>
          </cell>
          <cell r="C397" t="str">
            <v>3 YR RTS for xSeries, IBM Director, Windows and Linux (x255)</v>
          </cell>
          <cell r="D397">
            <v>0</v>
          </cell>
          <cell r="E397" t="str">
            <v>N/A</v>
          </cell>
          <cell r="F397">
            <v>0</v>
          </cell>
          <cell r="G397">
            <v>0</v>
          </cell>
          <cell r="H397">
            <v>0</v>
          </cell>
          <cell r="I397">
            <v>0</v>
          </cell>
          <cell r="J397">
            <v>0</v>
          </cell>
          <cell r="K397">
            <v>0</v>
          </cell>
          <cell r="L397">
            <v>0</v>
          </cell>
          <cell r="M397">
            <v>3880</v>
          </cell>
        </row>
        <row r="398">
          <cell r="A398" t="str">
            <v>N/A</v>
          </cell>
          <cell r="B398">
            <v>0</v>
          </cell>
          <cell r="C398" t="str">
            <v>3 YR RTS for xSeries, IBM Director, Windows and Linux with Vmware (x255)</v>
          </cell>
          <cell r="D398">
            <v>0</v>
          </cell>
          <cell r="E398" t="str">
            <v>N/A</v>
          </cell>
          <cell r="F398">
            <v>0</v>
          </cell>
          <cell r="G398">
            <v>0</v>
          </cell>
          <cell r="H398">
            <v>0</v>
          </cell>
          <cell r="I398">
            <v>0</v>
          </cell>
          <cell r="J398">
            <v>0</v>
          </cell>
          <cell r="K398">
            <v>0</v>
          </cell>
          <cell r="L398">
            <v>0</v>
          </cell>
          <cell r="M398">
            <v>3890</v>
          </cell>
        </row>
        <row r="399">
          <cell r="M399">
            <v>3900</v>
          </cell>
        </row>
        <row r="400">
          <cell r="A400" t="str">
            <v>N/A</v>
          </cell>
          <cell r="B400">
            <v>0</v>
          </cell>
          <cell r="C400" t="str">
            <v>ServicePac for Inst. Services - Inst. of a floor-standing / tower model server(x255)</v>
          </cell>
          <cell r="D400">
            <v>0</v>
          </cell>
          <cell r="E400" t="str">
            <v>N/A</v>
          </cell>
          <cell r="F400">
            <v>0</v>
          </cell>
          <cell r="G400">
            <v>0</v>
          </cell>
          <cell r="H400">
            <v>0</v>
          </cell>
          <cell r="I400">
            <v>0</v>
          </cell>
          <cell r="J400">
            <v>0</v>
          </cell>
          <cell r="K400">
            <v>0</v>
          </cell>
          <cell r="L400">
            <v>0</v>
          </cell>
          <cell r="M400">
            <v>3910</v>
          </cell>
        </row>
        <row r="401">
          <cell r="A401" t="str">
            <v>N/A</v>
          </cell>
          <cell r="B401">
            <v>0</v>
          </cell>
          <cell r="C401" t="str">
            <v>ServicePac for Inst. Services - Inst. of a floor-standing / tower model server and the network operating system(x255)</v>
          </cell>
          <cell r="D401">
            <v>0</v>
          </cell>
          <cell r="E401" t="str">
            <v>N/A</v>
          </cell>
          <cell r="F401">
            <v>0</v>
          </cell>
          <cell r="G401">
            <v>0</v>
          </cell>
          <cell r="H401">
            <v>0</v>
          </cell>
          <cell r="I401">
            <v>0</v>
          </cell>
          <cell r="J401">
            <v>0</v>
          </cell>
          <cell r="K401">
            <v>0</v>
          </cell>
          <cell r="L401">
            <v>0</v>
          </cell>
          <cell r="M401">
            <v>3920</v>
          </cell>
        </row>
        <row r="402">
          <cell r="M402">
            <v>3930</v>
          </cell>
        </row>
        <row r="403">
          <cell r="A403" t="str">
            <v>N/A</v>
          </cell>
          <cell r="B403">
            <v>0</v>
          </cell>
          <cell r="C403" t="str">
            <v>Unpack server, install IBM additional HW in Rack, OS (Windows NT, Windows 2000, Novell Netware or Linux ) Inst., verify Inst..(x255)</v>
          </cell>
          <cell r="D403">
            <v>0</v>
          </cell>
          <cell r="E403" t="str">
            <v>N/A</v>
          </cell>
          <cell r="F403">
            <v>0</v>
          </cell>
          <cell r="G403">
            <v>0</v>
          </cell>
          <cell r="H403">
            <v>0</v>
          </cell>
          <cell r="I403">
            <v>0</v>
          </cell>
          <cell r="J403">
            <v>0</v>
          </cell>
          <cell r="K403">
            <v>0</v>
          </cell>
          <cell r="L403">
            <v>0</v>
          </cell>
          <cell r="M403">
            <v>3940</v>
          </cell>
        </row>
        <row r="404">
          <cell r="A404" t="str">
            <v>N/A</v>
          </cell>
          <cell r="B404">
            <v>0</v>
          </cell>
          <cell r="C404" t="str">
            <v>H/W &amp; Windows OS Inst.(x255)</v>
          </cell>
          <cell r="D404">
            <v>0</v>
          </cell>
          <cell r="E404" t="str">
            <v>N/A</v>
          </cell>
          <cell r="F404">
            <v>0</v>
          </cell>
          <cell r="G404">
            <v>0</v>
          </cell>
          <cell r="H404">
            <v>0</v>
          </cell>
          <cell r="I404">
            <v>0</v>
          </cell>
          <cell r="J404">
            <v>0</v>
          </cell>
          <cell r="K404">
            <v>0</v>
          </cell>
          <cell r="L404">
            <v>0</v>
          </cell>
          <cell r="M404">
            <v>3950</v>
          </cell>
        </row>
        <row r="405">
          <cell r="A405" t="str">
            <v>N/A</v>
          </cell>
          <cell r="B405">
            <v>0</v>
          </cell>
          <cell r="C405" t="str">
            <v>IOR Hardware Inst./OS Config (x255)</v>
          </cell>
          <cell r="D405">
            <v>0</v>
          </cell>
          <cell r="E405" t="str">
            <v>N/A</v>
          </cell>
          <cell r="F405">
            <v>0</v>
          </cell>
          <cell r="G405">
            <v>0</v>
          </cell>
          <cell r="H405">
            <v>0</v>
          </cell>
          <cell r="I405">
            <v>0</v>
          </cell>
          <cell r="J405">
            <v>0</v>
          </cell>
          <cell r="K405">
            <v>0</v>
          </cell>
          <cell r="L405">
            <v>0</v>
          </cell>
          <cell r="M405">
            <v>3960</v>
          </cell>
        </row>
        <row r="406">
          <cell r="M406">
            <v>3970</v>
          </cell>
        </row>
        <row r="407">
          <cell r="A407" t="str">
            <v>N/A</v>
          </cell>
          <cell r="B407">
            <v>0</v>
          </cell>
          <cell r="C407" t="str">
            <v>ServicePac for Inst. Services - Inst. of an expansion storage unit (EXP300)</v>
          </cell>
          <cell r="D407">
            <v>0</v>
          </cell>
          <cell r="E407" t="str">
            <v>N/A</v>
          </cell>
          <cell r="F407">
            <v>0</v>
          </cell>
          <cell r="G407">
            <v>0</v>
          </cell>
          <cell r="H407">
            <v>0</v>
          </cell>
          <cell r="I407">
            <v>0</v>
          </cell>
          <cell r="J407">
            <v>0</v>
          </cell>
          <cell r="K407">
            <v>0</v>
          </cell>
          <cell r="L407">
            <v>0</v>
          </cell>
          <cell r="M407">
            <v>3980</v>
          </cell>
        </row>
        <row r="408">
          <cell r="A408" t="str">
            <v>N/A</v>
          </cell>
          <cell r="B408">
            <v>0</v>
          </cell>
          <cell r="C408" t="str">
            <v>1 yr IOR 9x5x4 - Post Warranty (EXP300)</v>
          </cell>
          <cell r="D408">
            <v>0</v>
          </cell>
          <cell r="E408" t="str">
            <v>N/A</v>
          </cell>
          <cell r="F408">
            <v>0</v>
          </cell>
          <cell r="G408">
            <v>0</v>
          </cell>
          <cell r="H408">
            <v>0</v>
          </cell>
          <cell r="I408">
            <v>0</v>
          </cell>
          <cell r="J408">
            <v>0</v>
          </cell>
          <cell r="K408">
            <v>0</v>
          </cell>
          <cell r="L408">
            <v>0</v>
          </cell>
          <cell r="M408">
            <v>3990</v>
          </cell>
        </row>
        <row r="409">
          <cell r="A409" t="str">
            <v>N/A</v>
          </cell>
          <cell r="B409">
            <v>0</v>
          </cell>
          <cell r="C409" t="str">
            <v>1 yr IOR 24x7x4 - Post Warranty (EXP300)</v>
          </cell>
          <cell r="D409">
            <v>0</v>
          </cell>
          <cell r="E409" t="str">
            <v>N/A</v>
          </cell>
          <cell r="F409">
            <v>0</v>
          </cell>
          <cell r="G409">
            <v>0</v>
          </cell>
          <cell r="H409">
            <v>0</v>
          </cell>
          <cell r="I409">
            <v>0</v>
          </cell>
          <cell r="J409">
            <v>0</v>
          </cell>
          <cell r="K409">
            <v>0</v>
          </cell>
          <cell r="L409">
            <v>0</v>
          </cell>
          <cell r="M409">
            <v>4000</v>
          </cell>
        </row>
        <row r="410">
          <cell r="A410" t="str">
            <v>N/A</v>
          </cell>
          <cell r="B410">
            <v>0</v>
          </cell>
          <cell r="C410" t="str">
            <v>1 YR IOR 9x5x4 (EXP300)</v>
          </cell>
          <cell r="D410">
            <v>0</v>
          </cell>
          <cell r="E410" t="str">
            <v>N/A</v>
          </cell>
          <cell r="F410">
            <v>0</v>
          </cell>
          <cell r="G410">
            <v>0</v>
          </cell>
          <cell r="H410">
            <v>0</v>
          </cell>
          <cell r="I410">
            <v>0</v>
          </cell>
          <cell r="J410">
            <v>0</v>
          </cell>
          <cell r="K410">
            <v>0</v>
          </cell>
          <cell r="L410">
            <v>0</v>
          </cell>
          <cell r="M410">
            <v>4010</v>
          </cell>
        </row>
        <row r="411">
          <cell r="A411" t="str">
            <v>N/A</v>
          </cell>
          <cell r="B411">
            <v>0</v>
          </cell>
          <cell r="C411" t="str">
            <v>2 YR IOR 9x5x4 (EXP300)</v>
          </cell>
          <cell r="D411">
            <v>0</v>
          </cell>
          <cell r="E411" t="str">
            <v>N/A</v>
          </cell>
          <cell r="F411">
            <v>0</v>
          </cell>
          <cell r="G411">
            <v>0</v>
          </cell>
          <cell r="H411">
            <v>0</v>
          </cell>
          <cell r="I411">
            <v>0</v>
          </cell>
          <cell r="J411">
            <v>0</v>
          </cell>
          <cell r="K411">
            <v>0</v>
          </cell>
          <cell r="L411">
            <v>0</v>
          </cell>
          <cell r="M411">
            <v>4020</v>
          </cell>
        </row>
        <row r="412">
          <cell r="A412" t="str">
            <v>N/A</v>
          </cell>
          <cell r="B412">
            <v>0</v>
          </cell>
          <cell r="C412" t="str">
            <v>1 YR IOR 24x7x4 (EXP300)</v>
          </cell>
          <cell r="D412">
            <v>0</v>
          </cell>
          <cell r="E412" t="str">
            <v>N/A</v>
          </cell>
          <cell r="F412">
            <v>0</v>
          </cell>
          <cell r="G412">
            <v>0</v>
          </cell>
          <cell r="H412">
            <v>0</v>
          </cell>
          <cell r="I412">
            <v>0</v>
          </cell>
          <cell r="J412">
            <v>0</v>
          </cell>
          <cell r="K412">
            <v>0</v>
          </cell>
          <cell r="L412">
            <v>0</v>
          </cell>
          <cell r="M412">
            <v>4030</v>
          </cell>
        </row>
        <row r="413">
          <cell r="A413" t="str">
            <v>N/A</v>
          </cell>
          <cell r="B413">
            <v>0</v>
          </cell>
          <cell r="C413" t="str">
            <v>2 YR IOR 24x7x4 (EXP300)</v>
          </cell>
          <cell r="D413">
            <v>0</v>
          </cell>
          <cell r="E413" t="str">
            <v>N/A</v>
          </cell>
          <cell r="F413">
            <v>0</v>
          </cell>
          <cell r="G413">
            <v>0</v>
          </cell>
          <cell r="H413">
            <v>0</v>
          </cell>
          <cell r="I413">
            <v>0</v>
          </cell>
          <cell r="J413">
            <v>0</v>
          </cell>
          <cell r="K413">
            <v>0</v>
          </cell>
          <cell r="L413">
            <v>0</v>
          </cell>
          <cell r="M413">
            <v>4040</v>
          </cell>
        </row>
        <row r="414">
          <cell r="A414" t="str">
            <v>14R1635</v>
          </cell>
          <cell r="B414">
            <v>0</v>
          </cell>
          <cell r="C414" t="str">
            <v>3 YR IOR /8x5x4 (EXP300)</v>
          </cell>
          <cell r="D414">
            <v>0</v>
          </cell>
          <cell r="E414">
            <v>345</v>
          </cell>
          <cell r="F414">
            <v>0</v>
          </cell>
          <cell r="G414">
            <v>0</v>
          </cell>
          <cell r="H414">
            <v>0</v>
          </cell>
          <cell r="I414">
            <v>0</v>
          </cell>
          <cell r="J414">
            <v>0</v>
          </cell>
          <cell r="K414">
            <v>0</v>
          </cell>
          <cell r="L414">
            <v>0</v>
          </cell>
          <cell r="M414">
            <v>4050</v>
          </cell>
        </row>
        <row r="415">
          <cell r="A415" t="str">
            <v>N/A</v>
          </cell>
          <cell r="B415">
            <v>0</v>
          </cell>
          <cell r="C415" t="str">
            <v>3 YR IOR  9x5x4 hour (EXP300)</v>
          </cell>
          <cell r="D415">
            <v>0</v>
          </cell>
          <cell r="E415" t="str">
            <v>N/A</v>
          </cell>
          <cell r="F415">
            <v>0</v>
          </cell>
          <cell r="G415">
            <v>0</v>
          </cell>
          <cell r="H415">
            <v>0</v>
          </cell>
          <cell r="I415">
            <v>0</v>
          </cell>
          <cell r="J415">
            <v>0</v>
          </cell>
          <cell r="K415">
            <v>0</v>
          </cell>
          <cell r="L415">
            <v>0</v>
          </cell>
          <cell r="M415">
            <v>4060</v>
          </cell>
        </row>
        <row r="416">
          <cell r="A416" t="str">
            <v>14R1636</v>
          </cell>
          <cell r="B416">
            <v>0</v>
          </cell>
          <cell r="C416" t="str">
            <v>3 YR IOR /24x7x4 (EXP300)</v>
          </cell>
          <cell r="D416">
            <v>0</v>
          </cell>
          <cell r="E416">
            <v>1019</v>
          </cell>
          <cell r="F416">
            <v>0</v>
          </cell>
          <cell r="G416">
            <v>0</v>
          </cell>
          <cell r="H416">
            <v>0</v>
          </cell>
          <cell r="I416">
            <v>0</v>
          </cell>
          <cell r="J416">
            <v>0</v>
          </cell>
          <cell r="K416">
            <v>0</v>
          </cell>
          <cell r="L416">
            <v>0</v>
          </cell>
          <cell r="M416">
            <v>4070</v>
          </cell>
        </row>
        <row r="417">
          <cell r="A417" t="str">
            <v>14R1637</v>
          </cell>
          <cell r="B417">
            <v>0</v>
          </cell>
          <cell r="C417" t="str">
            <v>3 YR IOR /24x7x2 (EXP300)</v>
          </cell>
          <cell r="D417">
            <v>0</v>
          </cell>
          <cell r="E417">
            <v>1531</v>
          </cell>
          <cell r="F417">
            <v>0</v>
          </cell>
          <cell r="G417">
            <v>0</v>
          </cell>
          <cell r="H417">
            <v>0</v>
          </cell>
          <cell r="I417">
            <v>0</v>
          </cell>
          <cell r="J417">
            <v>0</v>
          </cell>
          <cell r="K417">
            <v>0</v>
          </cell>
          <cell r="L417">
            <v>0</v>
          </cell>
          <cell r="M417">
            <v>4080</v>
          </cell>
        </row>
        <row r="418">
          <cell r="A418" t="str">
            <v>N/A</v>
          </cell>
          <cell r="B418">
            <v>0</v>
          </cell>
          <cell r="C418" t="str">
            <v>5 YR IOR  24x7x4 hour (EXP300)</v>
          </cell>
          <cell r="D418">
            <v>0</v>
          </cell>
          <cell r="E418" t="str">
            <v>N/A</v>
          </cell>
          <cell r="F418">
            <v>0</v>
          </cell>
          <cell r="G418">
            <v>0</v>
          </cell>
          <cell r="H418">
            <v>0</v>
          </cell>
          <cell r="I418">
            <v>0</v>
          </cell>
          <cell r="J418">
            <v>0</v>
          </cell>
          <cell r="K418">
            <v>0</v>
          </cell>
          <cell r="L418">
            <v>0</v>
          </cell>
          <cell r="M418">
            <v>4090</v>
          </cell>
        </row>
        <row r="419">
          <cell r="A419" t="str">
            <v>N/A</v>
          </cell>
          <cell r="B419">
            <v>0</v>
          </cell>
          <cell r="C419" t="str">
            <v>5 YR IOR  24x7x2 hour (EXP300)</v>
          </cell>
          <cell r="D419">
            <v>0</v>
          </cell>
          <cell r="E419" t="str">
            <v>N/A</v>
          </cell>
          <cell r="F419">
            <v>0</v>
          </cell>
          <cell r="G419">
            <v>0</v>
          </cell>
          <cell r="H419">
            <v>0</v>
          </cell>
          <cell r="I419">
            <v>0</v>
          </cell>
          <cell r="J419">
            <v>0</v>
          </cell>
          <cell r="K419">
            <v>0</v>
          </cell>
          <cell r="L419">
            <v>0</v>
          </cell>
          <cell r="M419">
            <v>4100</v>
          </cell>
        </row>
        <row r="420">
          <cell r="A420" t="str">
            <v>N/A</v>
          </cell>
          <cell r="B420">
            <v>0</v>
          </cell>
          <cell r="C420" t="str">
            <v>3 YR IOR /24x7( 3 YR Parts 1 YR Laber Warranty )(EXP400)</v>
          </cell>
          <cell r="D420">
            <v>0</v>
          </cell>
          <cell r="E420" t="str">
            <v>N/A</v>
          </cell>
          <cell r="F420">
            <v>0</v>
          </cell>
          <cell r="G420">
            <v>0</v>
          </cell>
          <cell r="H420">
            <v>0</v>
          </cell>
          <cell r="I420">
            <v>0</v>
          </cell>
          <cell r="J420">
            <v>0</v>
          </cell>
          <cell r="K420">
            <v>0</v>
          </cell>
          <cell r="L420">
            <v>0</v>
          </cell>
          <cell r="M420">
            <v>4110</v>
          </cell>
        </row>
        <row r="421">
          <cell r="A421" t="str">
            <v>N/A</v>
          </cell>
          <cell r="B421">
            <v>0</v>
          </cell>
          <cell r="C421" t="str">
            <v>1 YR IOR 9x5/next day (EXP400)</v>
          </cell>
          <cell r="D421">
            <v>0</v>
          </cell>
          <cell r="E421" t="str">
            <v>N/A</v>
          </cell>
          <cell r="F421">
            <v>0</v>
          </cell>
          <cell r="G421">
            <v>0</v>
          </cell>
          <cell r="H421">
            <v>0</v>
          </cell>
          <cell r="I421">
            <v>0</v>
          </cell>
          <cell r="J421">
            <v>0</v>
          </cell>
          <cell r="K421">
            <v>0</v>
          </cell>
          <cell r="L421">
            <v>0</v>
          </cell>
          <cell r="M421">
            <v>4120</v>
          </cell>
        </row>
        <row r="422">
          <cell r="A422" t="str">
            <v>N/A</v>
          </cell>
          <cell r="B422">
            <v>0</v>
          </cell>
          <cell r="C422" t="str">
            <v>1 YR IOR 9x5x4 (EXP400)</v>
          </cell>
          <cell r="D422">
            <v>0</v>
          </cell>
          <cell r="E422" t="str">
            <v>N/A</v>
          </cell>
          <cell r="F422">
            <v>0</v>
          </cell>
          <cell r="G422">
            <v>0</v>
          </cell>
          <cell r="H422">
            <v>0</v>
          </cell>
          <cell r="I422">
            <v>0</v>
          </cell>
          <cell r="J422">
            <v>0</v>
          </cell>
          <cell r="K422">
            <v>0</v>
          </cell>
          <cell r="L422">
            <v>0</v>
          </cell>
          <cell r="M422">
            <v>4130</v>
          </cell>
        </row>
        <row r="423">
          <cell r="A423" t="str">
            <v>N/A</v>
          </cell>
          <cell r="B423">
            <v>0</v>
          </cell>
          <cell r="C423" t="str">
            <v>1 YR IOR 24x7x4 hour (EXP400)</v>
          </cell>
          <cell r="D423">
            <v>0</v>
          </cell>
          <cell r="E423" t="str">
            <v>N/A</v>
          </cell>
          <cell r="F423">
            <v>0</v>
          </cell>
          <cell r="G423">
            <v>0</v>
          </cell>
          <cell r="H423">
            <v>0</v>
          </cell>
          <cell r="I423">
            <v>0</v>
          </cell>
          <cell r="J423">
            <v>0</v>
          </cell>
          <cell r="K423">
            <v>0</v>
          </cell>
          <cell r="L423">
            <v>0</v>
          </cell>
          <cell r="M423">
            <v>4140</v>
          </cell>
        </row>
        <row r="424">
          <cell r="A424" t="str">
            <v>N/A</v>
          </cell>
          <cell r="B424">
            <v>0</v>
          </cell>
          <cell r="C424" t="str">
            <v>1 YR IOR 24x7x2 hour (EXP400)</v>
          </cell>
          <cell r="D424">
            <v>0</v>
          </cell>
          <cell r="E424" t="str">
            <v>N/A</v>
          </cell>
          <cell r="F424">
            <v>0</v>
          </cell>
          <cell r="G424">
            <v>0</v>
          </cell>
          <cell r="H424">
            <v>0</v>
          </cell>
          <cell r="I424">
            <v>0</v>
          </cell>
          <cell r="J424">
            <v>0</v>
          </cell>
          <cell r="K424">
            <v>0</v>
          </cell>
          <cell r="L424">
            <v>0</v>
          </cell>
          <cell r="M424">
            <v>4150</v>
          </cell>
        </row>
        <row r="425">
          <cell r="A425" t="str">
            <v>N/A</v>
          </cell>
          <cell r="B425">
            <v>0</v>
          </cell>
          <cell r="C425" t="str">
            <v>2 YR IOR 9x5/next day(EXP400)</v>
          </cell>
          <cell r="D425">
            <v>0</v>
          </cell>
          <cell r="E425" t="str">
            <v>N/A</v>
          </cell>
          <cell r="F425">
            <v>0</v>
          </cell>
          <cell r="G425">
            <v>0</v>
          </cell>
          <cell r="H425">
            <v>0</v>
          </cell>
          <cell r="I425">
            <v>0</v>
          </cell>
          <cell r="J425">
            <v>0</v>
          </cell>
          <cell r="K425">
            <v>0</v>
          </cell>
          <cell r="L425">
            <v>0</v>
          </cell>
          <cell r="M425">
            <v>4160</v>
          </cell>
        </row>
        <row r="426">
          <cell r="A426" t="str">
            <v>N/A</v>
          </cell>
          <cell r="B426">
            <v>0</v>
          </cell>
          <cell r="C426" t="str">
            <v>2 YR IOR 9x5x4 (EXP400)</v>
          </cell>
          <cell r="D426">
            <v>0</v>
          </cell>
          <cell r="E426" t="str">
            <v>N/A</v>
          </cell>
          <cell r="F426">
            <v>0</v>
          </cell>
          <cell r="G426">
            <v>0</v>
          </cell>
          <cell r="H426">
            <v>0</v>
          </cell>
          <cell r="I426">
            <v>0</v>
          </cell>
          <cell r="J426">
            <v>0</v>
          </cell>
          <cell r="K426">
            <v>0</v>
          </cell>
          <cell r="L426">
            <v>0</v>
          </cell>
          <cell r="M426">
            <v>4170</v>
          </cell>
        </row>
        <row r="427">
          <cell r="A427" t="str">
            <v>N/A</v>
          </cell>
          <cell r="B427">
            <v>0</v>
          </cell>
          <cell r="C427" t="str">
            <v>2 YR IOR 24x7x4 hour (EXP400)</v>
          </cell>
          <cell r="D427">
            <v>0</v>
          </cell>
          <cell r="E427" t="str">
            <v>N/A</v>
          </cell>
          <cell r="F427">
            <v>0</v>
          </cell>
          <cell r="G427">
            <v>0</v>
          </cell>
          <cell r="H427">
            <v>0</v>
          </cell>
          <cell r="I427">
            <v>0</v>
          </cell>
          <cell r="J427">
            <v>0</v>
          </cell>
          <cell r="K427">
            <v>0</v>
          </cell>
          <cell r="L427">
            <v>0</v>
          </cell>
          <cell r="M427">
            <v>4180</v>
          </cell>
        </row>
        <row r="428">
          <cell r="A428" t="str">
            <v>N/A</v>
          </cell>
          <cell r="B428">
            <v>0</v>
          </cell>
          <cell r="C428" t="str">
            <v>2 YR IOR 24x7x2 hour(EXP400)</v>
          </cell>
          <cell r="D428">
            <v>0</v>
          </cell>
          <cell r="E428" t="str">
            <v>N/A</v>
          </cell>
          <cell r="F428">
            <v>0</v>
          </cell>
          <cell r="G428">
            <v>0</v>
          </cell>
          <cell r="H428">
            <v>0</v>
          </cell>
          <cell r="I428">
            <v>0</v>
          </cell>
          <cell r="J428">
            <v>0</v>
          </cell>
          <cell r="K428">
            <v>0</v>
          </cell>
          <cell r="L428">
            <v>0</v>
          </cell>
          <cell r="M428">
            <v>4190</v>
          </cell>
        </row>
        <row r="429">
          <cell r="A429" t="str">
            <v>N/A</v>
          </cell>
          <cell r="B429">
            <v>0</v>
          </cell>
          <cell r="C429" t="str">
            <v>3 YR IOR  9x5x4 hour (EXP400)</v>
          </cell>
          <cell r="D429">
            <v>0</v>
          </cell>
          <cell r="E429" t="str">
            <v>N/A</v>
          </cell>
          <cell r="F429">
            <v>0</v>
          </cell>
          <cell r="G429">
            <v>0</v>
          </cell>
          <cell r="H429">
            <v>0</v>
          </cell>
          <cell r="I429">
            <v>0</v>
          </cell>
          <cell r="J429">
            <v>0</v>
          </cell>
          <cell r="K429">
            <v>0</v>
          </cell>
          <cell r="L429">
            <v>0</v>
          </cell>
          <cell r="M429">
            <v>4200</v>
          </cell>
        </row>
        <row r="430">
          <cell r="A430" t="str">
            <v>N/A</v>
          </cell>
          <cell r="B430">
            <v>0</v>
          </cell>
          <cell r="C430" t="str">
            <v>3 YR IOR  24x7x4 hour (EXP400)</v>
          </cell>
          <cell r="D430">
            <v>0</v>
          </cell>
          <cell r="E430" t="str">
            <v>N/A</v>
          </cell>
          <cell r="F430">
            <v>0</v>
          </cell>
          <cell r="G430">
            <v>0</v>
          </cell>
          <cell r="H430">
            <v>0</v>
          </cell>
          <cell r="I430">
            <v>0</v>
          </cell>
          <cell r="J430">
            <v>0</v>
          </cell>
          <cell r="K430">
            <v>0</v>
          </cell>
          <cell r="L430">
            <v>0</v>
          </cell>
          <cell r="M430">
            <v>4210</v>
          </cell>
        </row>
        <row r="431">
          <cell r="A431" t="str">
            <v>N/A</v>
          </cell>
          <cell r="B431">
            <v>0</v>
          </cell>
          <cell r="C431" t="str">
            <v>3 YR IOR  24x7x2 hour (EXP400)</v>
          </cell>
          <cell r="D431">
            <v>0</v>
          </cell>
          <cell r="E431" t="str">
            <v>N/A</v>
          </cell>
          <cell r="F431">
            <v>0</v>
          </cell>
          <cell r="G431">
            <v>0</v>
          </cell>
          <cell r="H431">
            <v>0</v>
          </cell>
          <cell r="I431">
            <v>0</v>
          </cell>
          <cell r="J431">
            <v>0</v>
          </cell>
          <cell r="K431">
            <v>0</v>
          </cell>
          <cell r="L431">
            <v>0</v>
          </cell>
          <cell r="M431">
            <v>4220</v>
          </cell>
        </row>
        <row r="432">
          <cell r="A432" t="str">
            <v>N/A</v>
          </cell>
          <cell r="B432">
            <v>0</v>
          </cell>
          <cell r="C432" t="str">
            <v>5 YR IOR  24x7x4 hour (EXP400)</v>
          </cell>
          <cell r="D432">
            <v>0</v>
          </cell>
          <cell r="E432" t="str">
            <v>N/A</v>
          </cell>
          <cell r="F432">
            <v>0</v>
          </cell>
          <cell r="G432">
            <v>0</v>
          </cell>
          <cell r="H432">
            <v>0</v>
          </cell>
          <cell r="I432">
            <v>0</v>
          </cell>
          <cell r="J432">
            <v>0</v>
          </cell>
          <cell r="K432">
            <v>0</v>
          </cell>
          <cell r="L432">
            <v>0</v>
          </cell>
          <cell r="M432">
            <v>4230</v>
          </cell>
        </row>
        <row r="433">
          <cell r="A433" t="str">
            <v>N/A</v>
          </cell>
          <cell r="B433">
            <v>0</v>
          </cell>
          <cell r="C433" t="str">
            <v>5 YR IOR  24x7x2 hour (EXP400)</v>
          </cell>
          <cell r="D433">
            <v>0</v>
          </cell>
          <cell r="E433" t="str">
            <v>N/A</v>
          </cell>
          <cell r="F433">
            <v>0</v>
          </cell>
          <cell r="G433">
            <v>0</v>
          </cell>
          <cell r="H433">
            <v>0</v>
          </cell>
          <cell r="I433">
            <v>0</v>
          </cell>
          <cell r="J433">
            <v>0</v>
          </cell>
          <cell r="K433">
            <v>0</v>
          </cell>
          <cell r="L433">
            <v>0</v>
          </cell>
          <cell r="M433">
            <v>4240</v>
          </cell>
        </row>
        <row r="434">
          <cell r="A434" t="str">
            <v>29R5029</v>
          </cell>
          <cell r="B434">
            <v>0</v>
          </cell>
          <cell r="C434" t="str">
            <v>xSeries SW 1yr, Remote dual processor</v>
          </cell>
          <cell r="D434">
            <v>0</v>
          </cell>
          <cell r="E434">
            <v>880</v>
          </cell>
          <cell r="F434">
            <v>0</v>
          </cell>
          <cell r="G434">
            <v>0</v>
          </cell>
          <cell r="H434">
            <v>0</v>
          </cell>
          <cell r="I434">
            <v>0</v>
          </cell>
          <cell r="J434">
            <v>0</v>
          </cell>
          <cell r="K434">
            <v>0</v>
          </cell>
          <cell r="L434">
            <v>0</v>
          </cell>
          <cell r="M434">
            <v>4250</v>
          </cell>
        </row>
        <row r="435">
          <cell r="M435">
            <v>4260</v>
          </cell>
        </row>
        <row r="436">
          <cell r="A436" t="str">
            <v>Smoothstart Services</v>
          </cell>
          <cell r="M436">
            <v>4270</v>
          </cell>
        </row>
        <row r="437">
          <cell r="M437">
            <v>4280</v>
          </cell>
        </row>
        <row r="438">
          <cell r="A438" t="str">
            <v>SPAC253</v>
          </cell>
          <cell r="B438">
            <v>0</v>
          </cell>
          <cell r="C438" t="str">
            <v>Server Option 3 - Basic Install (unpacking of a preconfigured system, install and test)</v>
          </cell>
          <cell r="D438">
            <v>0</v>
          </cell>
          <cell r="E438">
            <v>1726</v>
          </cell>
          <cell r="F438">
            <v>0</v>
          </cell>
          <cell r="G438">
            <v>0</v>
          </cell>
          <cell r="H438">
            <v>0</v>
          </cell>
          <cell r="I438">
            <v>0</v>
          </cell>
          <cell r="J438">
            <v>0</v>
          </cell>
          <cell r="K438">
            <v>0</v>
          </cell>
          <cell r="L438">
            <v>0</v>
          </cell>
          <cell r="M438">
            <v>4290</v>
          </cell>
        </row>
        <row r="439">
          <cell r="A439" t="str">
            <v>SPAC293</v>
          </cell>
          <cell r="B439">
            <v>0</v>
          </cell>
          <cell r="C439" t="str">
            <v>Server Option 3 - Enhanced (unpacking of a preconfigured system, install/NOS and test)</v>
          </cell>
          <cell r="D439">
            <v>0</v>
          </cell>
          <cell r="E439">
            <v>2632</v>
          </cell>
          <cell r="F439">
            <v>0</v>
          </cell>
          <cell r="G439">
            <v>0</v>
          </cell>
          <cell r="H439">
            <v>0</v>
          </cell>
          <cell r="I439">
            <v>0</v>
          </cell>
          <cell r="J439">
            <v>0</v>
          </cell>
          <cell r="K439">
            <v>0</v>
          </cell>
          <cell r="L439">
            <v>0</v>
          </cell>
          <cell r="M439">
            <v>4300</v>
          </cell>
        </row>
        <row r="440">
          <cell r="A440" t="str">
            <v>SPAC254</v>
          </cell>
          <cell r="B440">
            <v>0</v>
          </cell>
          <cell r="C440" t="str">
            <v>Server Rack Assembly Includes installing an IBM certified rack.</v>
          </cell>
          <cell r="D440">
            <v>0</v>
          </cell>
          <cell r="E440">
            <v>395</v>
          </cell>
          <cell r="F440">
            <v>0</v>
          </cell>
          <cell r="G440">
            <v>0</v>
          </cell>
          <cell r="H440">
            <v>0</v>
          </cell>
          <cell r="I440">
            <v>0</v>
          </cell>
          <cell r="J440">
            <v>0</v>
          </cell>
          <cell r="K440">
            <v>0</v>
          </cell>
          <cell r="L440">
            <v>0</v>
          </cell>
          <cell r="M440">
            <v>4310</v>
          </cell>
        </row>
        <row r="441">
          <cell r="A441" t="str">
            <v>SPAC388</v>
          </cell>
          <cell r="B441">
            <v>0</v>
          </cell>
          <cell r="C441" t="str">
            <v>Install 1 FastT &amp; 1 EXP (unpack, install, basic configure, NOS install and test)</v>
          </cell>
          <cell r="D441">
            <v>0</v>
          </cell>
          <cell r="E441">
            <v>1169</v>
          </cell>
          <cell r="F441">
            <v>0</v>
          </cell>
          <cell r="G441">
            <v>0</v>
          </cell>
          <cell r="H441">
            <v>0</v>
          </cell>
          <cell r="I441">
            <v>0</v>
          </cell>
          <cell r="J441">
            <v>0</v>
          </cell>
          <cell r="K441">
            <v>0</v>
          </cell>
          <cell r="L441">
            <v>0</v>
          </cell>
          <cell r="M441">
            <v>4320</v>
          </cell>
        </row>
        <row r="442">
          <cell r="A442" t="str">
            <v>SPAC389</v>
          </cell>
          <cell r="B442">
            <v>0</v>
          </cell>
          <cell r="C442" t="str">
            <v>Install 1 FastT &amp; 1 EXP &amp; 1 additional server (unpack, install, basic configure, NOS install and test)</v>
          </cell>
          <cell r="D442">
            <v>0</v>
          </cell>
          <cell r="E442">
            <v>1749</v>
          </cell>
          <cell r="F442">
            <v>0</v>
          </cell>
          <cell r="G442">
            <v>0</v>
          </cell>
          <cell r="H442">
            <v>0</v>
          </cell>
          <cell r="I442">
            <v>0</v>
          </cell>
          <cell r="J442">
            <v>0</v>
          </cell>
          <cell r="K442">
            <v>0</v>
          </cell>
          <cell r="L442">
            <v>0</v>
          </cell>
          <cell r="M442">
            <v>4330</v>
          </cell>
        </row>
        <row r="443">
          <cell r="A443" t="str">
            <v>SPAC390</v>
          </cell>
          <cell r="B443">
            <v>0</v>
          </cell>
          <cell r="C443" t="str">
            <v>Install 1 FastT &amp; 1 EXP &amp; up to 4 additional servers (unpack, install, basic configure, NOS install and test)</v>
          </cell>
          <cell r="D443">
            <v>0</v>
          </cell>
          <cell r="E443">
            <v>5227</v>
          </cell>
          <cell r="F443">
            <v>0</v>
          </cell>
          <cell r="G443">
            <v>0</v>
          </cell>
          <cell r="H443">
            <v>0</v>
          </cell>
          <cell r="I443">
            <v>0</v>
          </cell>
          <cell r="J443">
            <v>0</v>
          </cell>
          <cell r="K443">
            <v>0</v>
          </cell>
          <cell r="L443">
            <v>0</v>
          </cell>
          <cell r="M443">
            <v>4340</v>
          </cell>
        </row>
        <row r="444">
          <cell r="A444" t="str">
            <v>SPAC393</v>
          </cell>
          <cell r="B444">
            <v>0</v>
          </cell>
          <cell r="C444" t="str">
            <v>Install 1additional server with SPAC389 or SPAC390</v>
          </cell>
          <cell r="D444">
            <v>0</v>
          </cell>
          <cell r="E444">
            <v>850</v>
          </cell>
          <cell r="F444">
            <v>0</v>
          </cell>
          <cell r="G444">
            <v>0</v>
          </cell>
          <cell r="H444">
            <v>0</v>
          </cell>
          <cell r="I444">
            <v>0</v>
          </cell>
          <cell r="J444">
            <v>0</v>
          </cell>
          <cell r="K444">
            <v>0</v>
          </cell>
          <cell r="L444">
            <v>0</v>
          </cell>
          <cell r="M444">
            <v>4350</v>
          </cell>
        </row>
        <row r="445">
          <cell r="A445" t="str">
            <v>SPAC394</v>
          </cell>
          <cell r="B445">
            <v>0</v>
          </cell>
          <cell r="C445" t="str">
            <v>Install 1 additional EXP with SPAC388, SPAC389 or SPAC390</v>
          </cell>
          <cell r="D445">
            <v>0</v>
          </cell>
          <cell r="E445">
            <v>319</v>
          </cell>
          <cell r="F445">
            <v>0</v>
          </cell>
          <cell r="G445">
            <v>0</v>
          </cell>
          <cell r="H445">
            <v>0</v>
          </cell>
          <cell r="I445">
            <v>0</v>
          </cell>
          <cell r="J445">
            <v>0</v>
          </cell>
          <cell r="K445">
            <v>0</v>
          </cell>
          <cell r="L445">
            <v>0</v>
          </cell>
          <cell r="M445">
            <v>4360</v>
          </cell>
        </row>
        <row r="446">
          <cell r="M446">
            <v>4370</v>
          </cell>
        </row>
        <row r="447">
          <cell r="A447" t="str">
            <v>ContactIBM</v>
          </cell>
          <cell r="B447">
            <v>0</v>
          </cell>
          <cell r="C447" t="str">
            <v>VMware software support on 2-way (licence purchase required)</v>
          </cell>
          <cell r="D447">
            <v>0</v>
          </cell>
          <cell r="E447" t="str">
            <v>N/A</v>
          </cell>
          <cell r="F447">
            <v>0</v>
          </cell>
          <cell r="G447">
            <v>0</v>
          </cell>
          <cell r="H447">
            <v>0</v>
          </cell>
          <cell r="I447">
            <v>0</v>
          </cell>
          <cell r="J447">
            <v>0</v>
          </cell>
          <cell r="K447">
            <v>0</v>
          </cell>
          <cell r="L447">
            <v>0</v>
          </cell>
          <cell r="M447">
            <v>4380</v>
          </cell>
        </row>
        <row r="448">
          <cell r="M448">
            <v>4390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rocess"/>
      <sheetName val="Director Remuneration"/>
      <sheetName val="Copal"/>
      <sheetName val="TB - Focus"/>
      <sheetName val="To Tally"/>
      <sheetName val="Provision Working"/>
      <sheetName val="Adv Tax"/>
      <sheetName val="Summary"/>
      <sheetName val="Provisions"/>
      <sheetName val="Adv Woff"/>
      <sheetName val="Doubtful"/>
      <sheetName val="Bad Debt"/>
      <sheetName val="Monthly P&amp;L"/>
      <sheetName val="TB - SAP"/>
      <sheetName val="Dividend Working"/>
      <sheetName val="Publish"/>
      <sheetName val="Reports"/>
      <sheetName val="BS Diff"/>
      <sheetName val="BS (2)"/>
      <sheetName val="DR"/>
      <sheetName val="PL Diff"/>
      <sheetName val="PL (2)"/>
      <sheetName val="Results"/>
      <sheetName val="Note-FA"/>
      <sheetName val="Other TBs"/>
      <sheetName val="BS"/>
      <sheetName val="PL"/>
      <sheetName val="CFS"/>
      <sheetName val="CF-W"/>
      <sheetName val="Note-1"/>
      <sheetName val="Result Diff"/>
      <sheetName val="Results Final"/>
      <sheetName val="TB"/>
      <sheetName val="Note-B"/>
      <sheetName val="DT"/>
      <sheetName val="Note-P"/>
      <sheetName val="Note-2"/>
      <sheetName val="C &amp; NC"/>
      <sheetName val="Segment"/>
      <sheetName val="Segment YTD"/>
      <sheetName val="Clients"/>
      <sheetName val="Tax Prov."/>
      <sheetName val="Segment Old"/>
      <sheetName val="Vendor bal."/>
      <sheetName val="ARCK"/>
      <sheetName val="ITax"/>
      <sheetName val="Seg Cur Qtr"/>
      <sheetName val="Seg Q3 YTD"/>
      <sheetName val="Seg Q2 YTD"/>
      <sheetName val="Seg Q3"/>
      <sheetName val="Seg Q2"/>
      <sheetName val="Seg Q1"/>
      <sheetName val="EPS"/>
      <sheetName val="Cap Adv"/>
      <sheetName val="PMS"/>
      <sheetName val="SEBI"/>
      <sheetName val="GNW"/>
      <sheetName val="NSE MT"/>
      <sheetName val="BSE MT"/>
      <sheetName val="LC Gupta "/>
      <sheetName val="NSDL"/>
      <sheetName val="CDSL"/>
      <sheetName val="Funds Client"/>
      <sheetName val="Funds Position"/>
      <sheetName val="14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C1">
            <v>1.4776705938857049E-6</v>
          </cell>
        </row>
        <row r="2">
          <cell r="A2" t="str">
            <v>G/L Account</v>
          </cell>
          <cell r="B2" t="str">
            <v>G/L Acct Long Text</v>
          </cell>
          <cell r="C2" t="str">
            <v>BIW Balance</v>
          </cell>
          <cell r="D2" t="str">
            <v>Back Date</v>
          </cell>
          <cell r="E2" t="str">
            <v>Final Balance</v>
          </cell>
        </row>
        <row r="3">
          <cell r="A3">
            <v>10100015</v>
          </cell>
          <cell r="B3" t="str">
            <v>Equity Share Capital Face Value Rs.2</v>
          </cell>
          <cell r="C3">
            <v>-462225022</v>
          </cell>
          <cell r="D3">
            <v>0</v>
          </cell>
          <cell r="E3">
            <v>-462225022</v>
          </cell>
        </row>
        <row r="4">
          <cell r="A4">
            <v>11000001</v>
          </cell>
          <cell r="B4" t="str">
            <v>Capital Redemption Reserve</v>
          </cell>
          <cell r="C4">
            <v>-360036184</v>
          </cell>
          <cell r="D4">
            <v>0</v>
          </cell>
          <cell r="E4">
            <v>-360036184</v>
          </cell>
        </row>
        <row r="5">
          <cell r="A5">
            <v>11000003</v>
          </cell>
          <cell r="B5" t="str">
            <v>Foreign Currency Translation Reserve Account</v>
          </cell>
          <cell r="C5">
            <v>-7294807</v>
          </cell>
          <cell r="D5">
            <v>0</v>
          </cell>
          <cell r="E5">
            <v>-7294807</v>
          </cell>
        </row>
        <row r="6">
          <cell r="A6">
            <v>11100000</v>
          </cell>
          <cell r="B6" t="str">
            <v>Share Premium Account</v>
          </cell>
          <cell r="C6">
            <v>-18046690.199999999</v>
          </cell>
          <cell r="D6">
            <v>0</v>
          </cell>
          <cell r="E6">
            <v>-18046690.199999999</v>
          </cell>
        </row>
        <row r="7">
          <cell r="A7">
            <v>11400000</v>
          </cell>
          <cell r="B7" t="str">
            <v>General Reserve</v>
          </cell>
          <cell r="C7">
            <v>-154535527</v>
          </cell>
          <cell r="D7">
            <v>0</v>
          </cell>
          <cell r="E7">
            <v>-154535527</v>
          </cell>
        </row>
        <row r="8">
          <cell r="A8">
            <v>11600000</v>
          </cell>
          <cell r="B8" t="str">
            <v>Balance in Profit &amp; Loss Account</v>
          </cell>
          <cell r="C8">
            <v>-1866858745.1700001</v>
          </cell>
          <cell r="D8">
            <v>0</v>
          </cell>
          <cell r="E8">
            <v>-1866858745.1700001</v>
          </cell>
        </row>
        <row r="9">
          <cell r="A9">
            <v>11610000</v>
          </cell>
          <cell r="B9" t="str">
            <v>Unappropriated Retained Earnings Prev yr</v>
          </cell>
          <cell r="C9">
            <v>903002436.50999999</v>
          </cell>
          <cell r="D9">
            <v>0</v>
          </cell>
          <cell r="E9">
            <v>903002436.50999999</v>
          </cell>
        </row>
        <row r="10">
          <cell r="A10">
            <v>12140032</v>
          </cell>
          <cell r="B10" t="str">
            <v>Auto Loan Honda City Vikas Sachdeva (Legal)</v>
          </cell>
          <cell r="C10">
            <v>-81280.899999999994</v>
          </cell>
          <cell r="D10">
            <v>0</v>
          </cell>
          <cell r="E10">
            <v>-81280.899999999994</v>
          </cell>
        </row>
        <row r="11">
          <cell r="A11">
            <v>12140154</v>
          </cell>
          <cell r="B11" t="str">
            <v>AUTO LOAN</v>
          </cell>
          <cell r="C11">
            <v>-3329942.27</v>
          </cell>
          <cell r="D11">
            <v>0</v>
          </cell>
          <cell r="E11">
            <v>-3329942.27</v>
          </cell>
        </row>
        <row r="12">
          <cell r="A12">
            <v>12160051</v>
          </cell>
          <cell r="B12" t="str">
            <v>Oriental Bank of Commerce A/c 04195011000692 O/D</v>
          </cell>
          <cell r="C12">
            <v>83361</v>
          </cell>
          <cell r="D12">
            <v>0</v>
          </cell>
          <cell r="E12">
            <v>83361</v>
          </cell>
        </row>
        <row r="13">
          <cell r="A13">
            <v>12211007</v>
          </cell>
          <cell r="B13" t="str">
            <v>Commercial Paper - Reliance</v>
          </cell>
          <cell r="C13">
            <v>-250000000</v>
          </cell>
          <cell r="D13">
            <v>0</v>
          </cell>
          <cell r="E13">
            <v>-250000000</v>
          </cell>
        </row>
        <row r="14">
          <cell r="A14">
            <v>12211010</v>
          </cell>
          <cell r="B14" t="str">
            <v>Commercial Paper - Peerless Mutual Fund</v>
          </cell>
          <cell r="C14">
            <v>-250000000</v>
          </cell>
          <cell r="D14">
            <v>0</v>
          </cell>
          <cell r="E14">
            <v>-250000000</v>
          </cell>
        </row>
        <row r="15">
          <cell r="A15">
            <v>13110100</v>
          </cell>
          <cell r="B15" t="str">
            <v>GR/IR-clearing - ext procurement - Dom</v>
          </cell>
          <cell r="C15">
            <v>-801882.24</v>
          </cell>
          <cell r="D15">
            <v>0</v>
          </cell>
          <cell r="E15">
            <v>-801882.24</v>
          </cell>
        </row>
        <row r="16">
          <cell r="A16">
            <v>13113000</v>
          </cell>
          <cell r="B16" t="str">
            <v>Salary, wages payable</v>
          </cell>
          <cell r="C16">
            <v>-7728800.5999999996</v>
          </cell>
          <cell r="D16">
            <v>0</v>
          </cell>
          <cell r="E16">
            <v>-7728800.5999999996</v>
          </cell>
        </row>
        <row r="17">
          <cell r="A17">
            <v>13113001</v>
          </cell>
          <cell r="B17" t="str">
            <v>Salary Payable</v>
          </cell>
          <cell r="C17">
            <v>0</v>
          </cell>
          <cell r="D17">
            <v>0</v>
          </cell>
          <cell r="E17">
            <v>0</v>
          </cell>
        </row>
        <row r="18">
          <cell r="A18">
            <v>13113004</v>
          </cell>
          <cell r="B18" t="str">
            <v>Incentive Payable</v>
          </cell>
          <cell r="C18">
            <v>-29003000</v>
          </cell>
          <cell r="D18">
            <v>0</v>
          </cell>
          <cell r="E18">
            <v>-29003000</v>
          </cell>
        </row>
        <row r="19">
          <cell r="A19">
            <v>13113008</v>
          </cell>
          <cell r="B19" t="str">
            <v>Other Payable</v>
          </cell>
          <cell r="C19">
            <v>-99786643.680000007</v>
          </cell>
          <cell r="D19">
            <v>0</v>
          </cell>
          <cell r="E19">
            <v>-99786643.680000007</v>
          </cell>
        </row>
        <row r="20">
          <cell r="A20">
            <v>13113012</v>
          </cell>
          <cell r="B20" t="str">
            <v>Labour Welfare Fund Payable</v>
          </cell>
          <cell r="C20">
            <v>-5028</v>
          </cell>
          <cell r="D20">
            <v>0</v>
          </cell>
          <cell r="E20">
            <v>-5028</v>
          </cell>
        </row>
        <row r="21">
          <cell r="A21">
            <v>13113350</v>
          </cell>
          <cell r="B21" t="str">
            <v>Other salary deductions - Non Statutory</v>
          </cell>
          <cell r="C21">
            <v>-14804.68</v>
          </cell>
          <cell r="D21">
            <v>0</v>
          </cell>
          <cell r="E21">
            <v>-14804.68</v>
          </cell>
        </row>
        <row r="22">
          <cell r="A22">
            <v>13113799</v>
          </cell>
          <cell r="B22" t="str">
            <v>Advance  from Customers</v>
          </cell>
          <cell r="C22">
            <v>-2446303</v>
          </cell>
          <cell r="D22">
            <v>0</v>
          </cell>
          <cell r="E22">
            <v>-2446303</v>
          </cell>
        </row>
        <row r="23">
          <cell r="A23">
            <v>13113802</v>
          </cell>
          <cell r="B23" t="str">
            <v>Deposit Received From Clients</v>
          </cell>
          <cell r="C23">
            <v>-5600000</v>
          </cell>
          <cell r="D23">
            <v>0</v>
          </cell>
          <cell r="E23">
            <v>-5600000</v>
          </cell>
        </row>
        <row r="24">
          <cell r="A24">
            <v>13113940</v>
          </cell>
          <cell r="B24" t="str">
            <v>Withholding Tax (TDS) SALARY payable</v>
          </cell>
          <cell r="C24">
            <v>-13800346.75</v>
          </cell>
          <cell r="D24">
            <v>0</v>
          </cell>
          <cell r="E24">
            <v>-13800346.75</v>
          </cell>
        </row>
        <row r="25">
          <cell r="A25">
            <v>13113941</v>
          </cell>
          <cell r="B25" t="str">
            <v>Withholding Tax (Tds) Rent Payable</v>
          </cell>
          <cell r="C25">
            <v>-468854</v>
          </cell>
          <cell r="D25">
            <v>0</v>
          </cell>
          <cell r="E25">
            <v>-468854</v>
          </cell>
        </row>
        <row r="26">
          <cell r="A26">
            <v>13113942</v>
          </cell>
          <cell r="B26" t="str">
            <v>Withholding Tax (Tds) Contractor Payable</v>
          </cell>
          <cell r="C26">
            <v>-20518</v>
          </cell>
          <cell r="D26">
            <v>0</v>
          </cell>
          <cell r="E26">
            <v>-20518</v>
          </cell>
        </row>
        <row r="27">
          <cell r="A27">
            <v>13113943</v>
          </cell>
          <cell r="B27" t="str">
            <v>Withholding Tax (Tds) Professional  Payable</v>
          </cell>
          <cell r="C27">
            <v>-325583</v>
          </cell>
          <cell r="D27">
            <v>0</v>
          </cell>
          <cell r="E27">
            <v>-325583</v>
          </cell>
        </row>
        <row r="28">
          <cell r="A28">
            <v>13113944</v>
          </cell>
          <cell r="B28" t="str">
            <v>Withholding Tax (Tds) Commission  Payable</v>
          </cell>
          <cell r="C28">
            <v>0</v>
          </cell>
          <cell r="D28">
            <v>0</v>
          </cell>
          <cell r="E28">
            <v>0</v>
          </cell>
        </row>
        <row r="29">
          <cell r="A29">
            <v>13113958</v>
          </cell>
          <cell r="B29" t="str">
            <v>Gratuity Payable</v>
          </cell>
          <cell r="C29">
            <v>-34649758.189999998</v>
          </cell>
          <cell r="D29">
            <v>0</v>
          </cell>
          <cell r="E29">
            <v>-34649758.189999998</v>
          </cell>
        </row>
        <row r="30">
          <cell r="A30">
            <v>13113961</v>
          </cell>
          <cell r="B30" t="str">
            <v>EPF Payable</v>
          </cell>
          <cell r="C30">
            <v>-71579.95</v>
          </cell>
          <cell r="D30">
            <v>0</v>
          </cell>
          <cell r="E30">
            <v>-71579.95</v>
          </cell>
        </row>
        <row r="31">
          <cell r="A31">
            <v>13113991</v>
          </cell>
          <cell r="B31" t="str">
            <v>Provision For Wealth Tax</v>
          </cell>
          <cell r="C31">
            <v>-263368</v>
          </cell>
          <cell r="D31">
            <v>0</v>
          </cell>
          <cell r="E31">
            <v>-263368</v>
          </cell>
        </row>
        <row r="32">
          <cell r="A32">
            <v>13114004</v>
          </cell>
          <cell r="B32" t="str">
            <v>Dividend Clients Payable</v>
          </cell>
          <cell r="C32">
            <v>-3865</v>
          </cell>
          <cell r="D32">
            <v>0</v>
          </cell>
          <cell r="E32">
            <v>-3865</v>
          </cell>
        </row>
        <row r="33">
          <cell r="A33">
            <v>13114020</v>
          </cell>
          <cell r="B33" t="str">
            <v>Laptop Deduction</v>
          </cell>
          <cell r="C33">
            <v>-972750</v>
          </cell>
          <cell r="D33">
            <v>0</v>
          </cell>
          <cell r="E33">
            <v>-972750</v>
          </cell>
        </row>
        <row r="34">
          <cell r="A34">
            <v>13114097</v>
          </cell>
          <cell r="B34" t="str">
            <v>CDS Service Tax</v>
          </cell>
          <cell r="C34">
            <v>-323442.90000000002</v>
          </cell>
          <cell r="D34">
            <v>0</v>
          </cell>
          <cell r="E34">
            <v>-323442.90000000002</v>
          </cell>
        </row>
        <row r="35">
          <cell r="A35">
            <v>13114102</v>
          </cell>
          <cell r="B35" t="str">
            <v>Salary Payable (C.Y.)</v>
          </cell>
          <cell r="C35">
            <v>-8900326</v>
          </cell>
          <cell r="D35">
            <v>0</v>
          </cell>
          <cell r="E35">
            <v>-8900326</v>
          </cell>
        </row>
        <row r="36">
          <cell r="A36">
            <v>13114111</v>
          </cell>
          <cell r="B36" t="str">
            <v>Provision Of Lease Rent (AS-19)</v>
          </cell>
          <cell r="C36">
            <v>-12693876.51</v>
          </cell>
          <cell r="D36">
            <v>0</v>
          </cell>
          <cell r="E36">
            <v>-12693876.51</v>
          </cell>
        </row>
        <row r="37">
          <cell r="A37">
            <v>13114411</v>
          </cell>
          <cell r="B37" t="str">
            <v>Advance  from Customers - DP</v>
          </cell>
          <cell r="C37">
            <v>-2301693.2999999998</v>
          </cell>
          <cell r="D37">
            <v>0</v>
          </cell>
          <cell r="E37">
            <v>-2301693.2999999998</v>
          </cell>
        </row>
        <row r="38">
          <cell r="A38">
            <v>14400000</v>
          </cell>
          <cell r="B38" t="str">
            <v>Prov-dimunition in value-long term investm</v>
          </cell>
          <cell r="C38">
            <v>-500000</v>
          </cell>
          <cell r="D38">
            <v>0</v>
          </cell>
          <cell r="E38">
            <v>-500000</v>
          </cell>
        </row>
        <row r="39">
          <cell r="A39">
            <v>14700000</v>
          </cell>
          <cell r="B39" t="str">
            <v>Provision-leave encashment at retirement</v>
          </cell>
          <cell r="C39">
            <v>-10358775</v>
          </cell>
          <cell r="D39">
            <v>0</v>
          </cell>
          <cell r="E39">
            <v>-10358775</v>
          </cell>
        </row>
        <row r="40">
          <cell r="A40">
            <v>14880002</v>
          </cell>
          <cell r="B40" t="str">
            <v>Corporate Dividend Tax Payable</v>
          </cell>
          <cell r="C40">
            <v>-39277571</v>
          </cell>
          <cell r="D40">
            <v>0</v>
          </cell>
          <cell r="E40">
            <v>-39277571</v>
          </cell>
        </row>
        <row r="41">
          <cell r="A41">
            <v>14890011</v>
          </cell>
          <cell r="B41" t="str">
            <v>Provision For Telephone Exp.</v>
          </cell>
          <cell r="C41">
            <v>-3752036.04</v>
          </cell>
          <cell r="D41">
            <v>0</v>
          </cell>
          <cell r="E41">
            <v>-3752036.04</v>
          </cell>
        </row>
        <row r="42">
          <cell r="A42">
            <v>14890013</v>
          </cell>
          <cell r="B42" t="str">
            <v>Provision For Doubtful Debts</v>
          </cell>
          <cell r="C42">
            <v>-92999999.629999995</v>
          </cell>
          <cell r="D42">
            <v>0</v>
          </cell>
          <cell r="E42">
            <v>-92999999.629999995</v>
          </cell>
        </row>
        <row r="43">
          <cell r="A43">
            <v>14890020</v>
          </cell>
          <cell r="B43" t="str">
            <v>Stale Cheque Account</v>
          </cell>
          <cell r="C43">
            <v>-4100557.24</v>
          </cell>
          <cell r="D43">
            <v>0</v>
          </cell>
          <cell r="E43">
            <v>-4100557.24</v>
          </cell>
        </row>
        <row r="44">
          <cell r="A44">
            <v>14890023</v>
          </cell>
          <cell r="B44" t="str">
            <v>Other Processing Charges Payable</v>
          </cell>
          <cell r="C44">
            <v>37667.5</v>
          </cell>
          <cell r="D44">
            <v>0</v>
          </cell>
          <cell r="E44">
            <v>37667.5</v>
          </cell>
        </row>
        <row r="45">
          <cell r="A45">
            <v>14890030</v>
          </cell>
          <cell r="B45" t="str">
            <v>Service Tax Payable Nse CM</v>
          </cell>
          <cell r="C45">
            <v>366817.82</v>
          </cell>
          <cell r="D45">
            <v>0</v>
          </cell>
          <cell r="E45">
            <v>366817.82</v>
          </cell>
        </row>
        <row r="46">
          <cell r="A46">
            <v>14890031</v>
          </cell>
          <cell r="B46" t="str">
            <v>Service Tax Payable Nse F&amp;O</v>
          </cell>
          <cell r="C46">
            <v>-2650166.9900000002</v>
          </cell>
          <cell r="D46">
            <v>0</v>
          </cell>
          <cell r="E46">
            <v>-2650166.9900000002</v>
          </cell>
        </row>
        <row r="47">
          <cell r="A47">
            <v>14890032</v>
          </cell>
          <cell r="B47" t="str">
            <v>Service Tax Payable Bse CM</v>
          </cell>
          <cell r="C47">
            <v>-102080.69</v>
          </cell>
          <cell r="D47">
            <v>0</v>
          </cell>
          <cell r="E47">
            <v>-102080.69</v>
          </cell>
        </row>
        <row r="48">
          <cell r="A48">
            <v>14890034</v>
          </cell>
          <cell r="B48" t="str">
            <v>Service Tax Payable Account Opening</v>
          </cell>
          <cell r="C48">
            <v>-13365</v>
          </cell>
          <cell r="D48">
            <v>0</v>
          </cell>
          <cell r="E48">
            <v>-13365</v>
          </cell>
        </row>
        <row r="49">
          <cell r="A49">
            <v>14890036</v>
          </cell>
          <cell r="B49" t="str">
            <v>Service Tax Payable Other</v>
          </cell>
          <cell r="C49">
            <v>-6406.36</v>
          </cell>
          <cell r="D49">
            <v>0</v>
          </cell>
          <cell r="E49">
            <v>-6406.36</v>
          </cell>
        </row>
        <row r="50">
          <cell r="A50">
            <v>14890051</v>
          </cell>
          <cell r="B50" t="str">
            <v>Turnover Tax Payable</v>
          </cell>
          <cell r="C50">
            <v>329822.99</v>
          </cell>
          <cell r="D50">
            <v>0</v>
          </cell>
          <cell r="E50">
            <v>329822.99</v>
          </cell>
        </row>
        <row r="51">
          <cell r="A51">
            <v>14890060</v>
          </cell>
          <cell r="B51" t="str">
            <v>Sundry Creditors- Vendors Balances Advertisement</v>
          </cell>
          <cell r="C51">
            <v>-21331</v>
          </cell>
          <cell r="D51">
            <v>0</v>
          </cell>
          <cell r="E51">
            <v>-21331</v>
          </cell>
        </row>
        <row r="52">
          <cell r="A52">
            <v>14890063</v>
          </cell>
          <cell r="B52" t="str">
            <v>Sundry Creditors- Vendors Communication</v>
          </cell>
          <cell r="C52">
            <v>-5011424.91</v>
          </cell>
          <cell r="D52">
            <v>0</v>
          </cell>
          <cell r="E52">
            <v>-5011424.91</v>
          </cell>
        </row>
        <row r="53">
          <cell r="A53">
            <v>14890070</v>
          </cell>
          <cell r="B53" t="str">
            <v>Sundry Creditors- Vendors Housekeeping</v>
          </cell>
          <cell r="C53">
            <v>0</v>
          </cell>
          <cell r="D53">
            <v>0</v>
          </cell>
          <cell r="E53">
            <v>0</v>
          </cell>
        </row>
        <row r="54">
          <cell r="A54">
            <v>14890071</v>
          </cell>
          <cell r="B54" t="str">
            <v>Sundry Creditors- Vendors Legal &amp; Professional</v>
          </cell>
          <cell r="C54">
            <v>-659217.85</v>
          </cell>
          <cell r="D54">
            <v>0</v>
          </cell>
          <cell r="E54">
            <v>-659217.85</v>
          </cell>
        </row>
        <row r="55">
          <cell r="A55">
            <v>14890072</v>
          </cell>
          <cell r="B55" t="str">
            <v>Sundry Creditors- Vendors Marketing Associates/DSA</v>
          </cell>
          <cell r="C55">
            <v>-157500</v>
          </cell>
          <cell r="D55">
            <v>0</v>
          </cell>
          <cell r="E55">
            <v>-157500</v>
          </cell>
        </row>
        <row r="56">
          <cell r="A56">
            <v>14890073</v>
          </cell>
          <cell r="B56" t="str">
            <v>Sundry Creditors- Vendors Materials</v>
          </cell>
          <cell r="C56">
            <v>-0.25</v>
          </cell>
          <cell r="D56">
            <v>0</v>
          </cell>
          <cell r="E56">
            <v>-0.25</v>
          </cell>
        </row>
        <row r="57">
          <cell r="A57">
            <v>14890077</v>
          </cell>
          <cell r="B57" t="str">
            <v>Sundry Creditors- Vendors Services</v>
          </cell>
          <cell r="C57">
            <v>-4437843.74</v>
          </cell>
          <cell r="D57">
            <v>0</v>
          </cell>
          <cell r="E57">
            <v>-4437843.74</v>
          </cell>
        </row>
        <row r="58">
          <cell r="A58">
            <v>14890078</v>
          </cell>
          <cell r="B58" t="str">
            <v>Sundry Creditors- Vendors Subbroker Distribution</v>
          </cell>
          <cell r="C58">
            <v>-930</v>
          </cell>
          <cell r="D58">
            <v>0</v>
          </cell>
          <cell r="E58">
            <v>-930</v>
          </cell>
        </row>
        <row r="59">
          <cell r="A59">
            <v>14890082</v>
          </cell>
          <cell r="B59" t="str">
            <v>Sundry Creditors-Vendors Travelling</v>
          </cell>
          <cell r="C59">
            <v>0</v>
          </cell>
          <cell r="D59">
            <v>0</v>
          </cell>
          <cell r="E59">
            <v>0</v>
          </cell>
        </row>
        <row r="60">
          <cell r="A60">
            <v>14890085</v>
          </cell>
          <cell r="B60" t="str">
            <v>Dividend Payable(Indiabulls)</v>
          </cell>
          <cell r="C60">
            <v>-231112511</v>
          </cell>
          <cell r="D60">
            <v>0</v>
          </cell>
          <cell r="E60">
            <v>-231112511</v>
          </cell>
        </row>
        <row r="61">
          <cell r="A61">
            <v>14890123</v>
          </cell>
          <cell r="B61" t="str">
            <v>Avinash Kumar</v>
          </cell>
          <cell r="C61">
            <v>-50000</v>
          </cell>
          <cell r="D61">
            <v>0</v>
          </cell>
          <cell r="E61">
            <v>-50000</v>
          </cell>
        </row>
        <row r="62">
          <cell r="A62">
            <v>14890124</v>
          </cell>
          <cell r="B62" t="str">
            <v>Gurmeet Singh Oberoi</v>
          </cell>
          <cell r="C62">
            <v>-50000</v>
          </cell>
          <cell r="D62">
            <v>0</v>
          </cell>
          <cell r="E62">
            <v>-50000</v>
          </cell>
        </row>
        <row r="63">
          <cell r="A63">
            <v>14890127</v>
          </cell>
          <cell r="B63" t="str">
            <v>Mitul Ashwin Adhiya</v>
          </cell>
          <cell r="C63">
            <v>-50000</v>
          </cell>
          <cell r="D63">
            <v>0</v>
          </cell>
          <cell r="E63">
            <v>-50000</v>
          </cell>
        </row>
        <row r="64">
          <cell r="A64">
            <v>14890148</v>
          </cell>
          <cell r="B64" t="str">
            <v>S K Singhal</v>
          </cell>
          <cell r="C64">
            <v>-10000</v>
          </cell>
          <cell r="D64">
            <v>0</v>
          </cell>
          <cell r="E64">
            <v>-10000</v>
          </cell>
        </row>
        <row r="65">
          <cell r="A65">
            <v>14890149</v>
          </cell>
          <cell r="B65" t="str">
            <v>Surinder Madhavan</v>
          </cell>
          <cell r="C65">
            <v>-1000</v>
          </cell>
          <cell r="D65">
            <v>0</v>
          </cell>
          <cell r="E65">
            <v>-1000</v>
          </cell>
        </row>
        <row r="66">
          <cell r="A66">
            <v>14890183</v>
          </cell>
          <cell r="B66" t="str">
            <v>Indiabulls DP</v>
          </cell>
          <cell r="C66">
            <v>54285335.5</v>
          </cell>
          <cell r="D66">
            <v>0</v>
          </cell>
          <cell r="E66">
            <v>54285335.5</v>
          </cell>
        </row>
        <row r="67">
          <cell r="A67">
            <v>14890185</v>
          </cell>
          <cell r="B67" t="str">
            <v>Ch Cleared In Bank</v>
          </cell>
          <cell r="C67">
            <v>-2712953.01</v>
          </cell>
          <cell r="D67">
            <v>0</v>
          </cell>
          <cell r="E67">
            <v>-2712953.01</v>
          </cell>
        </row>
        <row r="68">
          <cell r="A68">
            <v>14890186</v>
          </cell>
          <cell r="B68" t="str">
            <v>Nse Penalty Charges Payable</v>
          </cell>
          <cell r="C68">
            <v>-8317.49</v>
          </cell>
          <cell r="D68">
            <v>0</v>
          </cell>
          <cell r="E68">
            <v>-8317.49</v>
          </cell>
        </row>
        <row r="69">
          <cell r="A69">
            <v>14890367</v>
          </cell>
          <cell r="B69" t="str">
            <v>Cheque Cleared In Bank</v>
          </cell>
          <cell r="C69">
            <v>-62264</v>
          </cell>
          <cell r="D69">
            <v>0</v>
          </cell>
          <cell r="E69">
            <v>-62264</v>
          </cell>
        </row>
        <row r="70">
          <cell r="A70">
            <v>14890368</v>
          </cell>
          <cell r="B70" t="str">
            <v>Chq Cleared In Bank</v>
          </cell>
          <cell r="C70">
            <v>-372465.12</v>
          </cell>
          <cell r="D70">
            <v>0</v>
          </cell>
          <cell r="E70">
            <v>-372465.12</v>
          </cell>
        </row>
        <row r="71">
          <cell r="A71">
            <v>14890369</v>
          </cell>
          <cell r="B71" t="str">
            <v>Professional Tax  Payable</v>
          </cell>
          <cell r="C71">
            <v>-55670</v>
          </cell>
          <cell r="D71">
            <v>0</v>
          </cell>
          <cell r="E71">
            <v>-55670</v>
          </cell>
        </row>
        <row r="72">
          <cell r="A72">
            <v>14890371</v>
          </cell>
          <cell r="B72" t="str">
            <v>Service Tax  Payable -GSTAX</v>
          </cell>
          <cell r="C72">
            <v>-1134770.55</v>
          </cell>
          <cell r="D72">
            <v>0</v>
          </cell>
          <cell r="E72">
            <v>-1134770.55</v>
          </cell>
        </row>
        <row r="73">
          <cell r="A73">
            <v>14890373</v>
          </cell>
          <cell r="B73" t="str">
            <v>Advance Against Sale Of Car</v>
          </cell>
          <cell r="C73">
            <v>-2916632</v>
          </cell>
          <cell r="D73">
            <v>0</v>
          </cell>
          <cell r="E73">
            <v>-2916632</v>
          </cell>
        </row>
        <row r="74">
          <cell r="A74">
            <v>14890377</v>
          </cell>
          <cell r="B74" t="str">
            <v>Provision For Repair &amp; Maint. Expenses</v>
          </cell>
          <cell r="C74">
            <v>-458075</v>
          </cell>
          <cell r="D74">
            <v>0</v>
          </cell>
          <cell r="E74">
            <v>-458075</v>
          </cell>
        </row>
        <row r="75">
          <cell r="A75">
            <v>14890378</v>
          </cell>
          <cell r="B75" t="str">
            <v>Unpaid Equity Dividend Account 2007-08</v>
          </cell>
          <cell r="C75">
            <v>-4172453</v>
          </cell>
          <cell r="D75">
            <v>0</v>
          </cell>
          <cell r="E75">
            <v>-4172453</v>
          </cell>
        </row>
        <row r="76">
          <cell r="A76">
            <v>14890383</v>
          </cell>
          <cell r="B76" t="str">
            <v>Prov For Doubtful Advance</v>
          </cell>
          <cell r="C76">
            <v>-2677301.59</v>
          </cell>
          <cell r="D76">
            <v>0</v>
          </cell>
          <cell r="E76">
            <v>-2677301.59</v>
          </cell>
        </row>
        <row r="77">
          <cell r="A77">
            <v>14890384</v>
          </cell>
          <cell r="B77" t="str">
            <v>Deffered Tax-Liablities</v>
          </cell>
          <cell r="C77">
            <v>55520450</v>
          </cell>
          <cell r="D77">
            <v>0</v>
          </cell>
          <cell r="E77">
            <v>55520450</v>
          </cell>
        </row>
        <row r="78">
          <cell r="A78">
            <v>14890410</v>
          </cell>
          <cell r="B78" t="str">
            <v>Provision For Income Tax - 2007-08</v>
          </cell>
          <cell r="C78">
            <v>-1220860580.75</v>
          </cell>
          <cell r="D78">
            <v>0</v>
          </cell>
          <cell r="E78">
            <v>-1220860580.75</v>
          </cell>
        </row>
        <row r="79">
          <cell r="A79">
            <v>14890509</v>
          </cell>
          <cell r="B79" t="str">
            <v>Prov For Postage &amp; Couirer (C.Y.)</v>
          </cell>
          <cell r="C79">
            <v>-1778959.77</v>
          </cell>
          <cell r="D79">
            <v>0</v>
          </cell>
          <cell r="E79">
            <v>-1778959.77</v>
          </cell>
        </row>
        <row r="80">
          <cell r="A80">
            <v>14890513</v>
          </cell>
          <cell r="B80" t="str">
            <v>Prov For Electricity Expenses (C.Y.)</v>
          </cell>
          <cell r="C80">
            <v>-2728362</v>
          </cell>
          <cell r="D80">
            <v>0</v>
          </cell>
          <cell r="E80">
            <v>-2728362</v>
          </cell>
        </row>
        <row r="81">
          <cell r="A81">
            <v>14890514</v>
          </cell>
          <cell r="B81" t="str">
            <v>Prov For Repairs &amp; Maintenance (C.Y.)</v>
          </cell>
          <cell r="C81">
            <v>-1146028.1499999999</v>
          </cell>
          <cell r="D81">
            <v>0</v>
          </cell>
          <cell r="E81">
            <v>-1146028.1499999999</v>
          </cell>
        </row>
        <row r="82">
          <cell r="A82">
            <v>14890517</v>
          </cell>
          <cell r="B82" t="str">
            <v>Prov For Printing &amp; Stationary Expenses (C.Y.)</v>
          </cell>
          <cell r="C82">
            <v>-1195263.48</v>
          </cell>
          <cell r="D82">
            <v>0</v>
          </cell>
          <cell r="E82">
            <v>-1195263.48</v>
          </cell>
        </row>
        <row r="83">
          <cell r="A83">
            <v>14890521</v>
          </cell>
          <cell r="B83" t="str">
            <v>Prov For Travelling Expenses (C.Y.)</v>
          </cell>
          <cell r="C83">
            <v>-717258</v>
          </cell>
          <cell r="D83">
            <v>0</v>
          </cell>
          <cell r="E83">
            <v>-717258</v>
          </cell>
        </row>
        <row r="84">
          <cell r="A84">
            <v>14890533</v>
          </cell>
          <cell r="B84" t="str">
            <v>Provision For Fbt F.Y(08-09)</v>
          </cell>
          <cell r="C84">
            <v>0.4</v>
          </cell>
          <cell r="D84">
            <v>0</v>
          </cell>
          <cell r="E84">
            <v>0.4</v>
          </cell>
        </row>
        <row r="85">
          <cell r="A85">
            <v>14890534</v>
          </cell>
          <cell r="B85" t="str">
            <v>Prov For Office Maintenance (C.Y.)</v>
          </cell>
          <cell r="C85">
            <v>-1641029.26</v>
          </cell>
          <cell r="D85">
            <v>0</v>
          </cell>
          <cell r="E85">
            <v>-1641029.26</v>
          </cell>
        </row>
        <row r="86">
          <cell r="A86">
            <v>14890538</v>
          </cell>
          <cell r="B86" t="str">
            <v>Service tax on Manpower Deployment</v>
          </cell>
          <cell r="C86">
            <v>124307.2</v>
          </cell>
          <cell r="D86">
            <v>0</v>
          </cell>
          <cell r="E86">
            <v>124307.2</v>
          </cell>
        </row>
        <row r="87">
          <cell r="A87">
            <v>14890556</v>
          </cell>
          <cell r="B87" t="str">
            <v>Rates &amp; Tax Payable</v>
          </cell>
          <cell r="C87">
            <v>-376716</v>
          </cell>
          <cell r="D87">
            <v>0</v>
          </cell>
          <cell r="E87">
            <v>-376716</v>
          </cell>
        </row>
        <row r="88">
          <cell r="A88">
            <v>14890592</v>
          </cell>
          <cell r="B88" t="str">
            <v>Service Tax On Scheme Charges</v>
          </cell>
          <cell r="C88">
            <v>-89786.240000000005</v>
          </cell>
          <cell r="D88">
            <v>0</v>
          </cell>
          <cell r="E88">
            <v>-89786.240000000005</v>
          </cell>
        </row>
        <row r="89">
          <cell r="A89">
            <v>14890597</v>
          </cell>
          <cell r="B89" t="str">
            <v>Amc Charges Hardware (C.Y.) Payable</v>
          </cell>
          <cell r="C89">
            <v>-2020811.77</v>
          </cell>
          <cell r="D89">
            <v>0</v>
          </cell>
          <cell r="E89">
            <v>-2020811.77</v>
          </cell>
        </row>
        <row r="90">
          <cell r="A90">
            <v>14890598</v>
          </cell>
          <cell r="B90" t="str">
            <v>Amc Charges Software (C.Y.) Payable</v>
          </cell>
          <cell r="C90">
            <v>-778336.42</v>
          </cell>
          <cell r="D90">
            <v>0</v>
          </cell>
          <cell r="E90">
            <v>-778336.42</v>
          </cell>
        </row>
        <row r="91">
          <cell r="A91">
            <v>14890600</v>
          </cell>
          <cell r="B91" t="str">
            <v>Business Promotion Expenses (C.Y.) Payable</v>
          </cell>
          <cell r="C91">
            <v>-896194</v>
          </cell>
          <cell r="D91">
            <v>0</v>
          </cell>
          <cell r="E91">
            <v>-896194</v>
          </cell>
        </row>
        <row r="92">
          <cell r="A92">
            <v>14890602</v>
          </cell>
          <cell r="B92" t="str">
            <v>Commission (C.Y.) Payable</v>
          </cell>
          <cell r="C92">
            <v>-988153</v>
          </cell>
          <cell r="D92">
            <v>0</v>
          </cell>
          <cell r="E92">
            <v>-988153</v>
          </cell>
        </row>
        <row r="93">
          <cell r="A93">
            <v>14890603</v>
          </cell>
          <cell r="B93" t="str">
            <v>Content Expenses (C.Y.) Payable</v>
          </cell>
          <cell r="C93">
            <v>-500836</v>
          </cell>
          <cell r="D93">
            <v>0</v>
          </cell>
          <cell r="E93">
            <v>-500836</v>
          </cell>
        </row>
        <row r="94">
          <cell r="A94">
            <v>14890604</v>
          </cell>
          <cell r="B94" t="str">
            <v>Depository Charges (C.Y.) Payable</v>
          </cell>
          <cell r="C94">
            <v>-422148.06</v>
          </cell>
          <cell r="D94">
            <v>0</v>
          </cell>
          <cell r="E94">
            <v>-422148.06</v>
          </cell>
        </row>
        <row r="95">
          <cell r="A95">
            <v>14890608</v>
          </cell>
          <cell r="B95" t="str">
            <v>Interest On Car Loans (C.Y.) Payable</v>
          </cell>
          <cell r="C95">
            <v>0</v>
          </cell>
          <cell r="D95">
            <v>0</v>
          </cell>
          <cell r="E95">
            <v>0</v>
          </cell>
        </row>
        <row r="96">
          <cell r="A96">
            <v>14890610</v>
          </cell>
          <cell r="B96" t="str">
            <v>Lease line Charges (C.Y.) Payable</v>
          </cell>
          <cell r="C96">
            <v>-1886000</v>
          </cell>
          <cell r="D96">
            <v>0</v>
          </cell>
          <cell r="E96">
            <v>-1886000</v>
          </cell>
        </row>
        <row r="97">
          <cell r="A97">
            <v>14890611</v>
          </cell>
          <cell r="B97" t="str">
            <v>Legal &amp; Professional Expenses (C.Y.) Payable</v>
          </cell>
          <cell r="C97">
            <v>-3395406.44</v>
          </cell>
          <cell r="D97">
            <v>0</v>
          </cell>
          <cell r="E97">
            <v>-3395406.44</v>
          </cell>
        </row>
        <row r="98">
          <cell r="A98">
            <v>14890622</v>
          </cell>
          <cell r="B98" t="str">
            <v>Software Charges (C.Y.) Payable</v>
          </cell>
          <cell r="C98">
            <v>-461257</v>
          </cell>
          <cell r="D98">
            <v>0</v>
          </cell>
          <cell r="E98">
            <v>-461257</v>
          </cell>
        </row>
        <row r="99">
          <cell r="A99">
            <v>14890623</v>
          </cell>
          <cell r="B99" t="str">
            <v>Staff Welfare Expenses (C.Y.) Payable</v>
          </cell>
          <cell r="C99">
            <v>-449583</v>
          </cell>
          <cell r="D99">
            <v>0</v>
          </cell>
          <cell r="E99">
            <v>-449583</v>
          </cell>
        </row>
        <row r="100">
          <cell r="A100">
            <v>14890624</v>
          </cell>
          <cell r="B100" t="str">
            <v>Telephone Expense (C.Y.) Payable</v>
          </cell>
          <cell r="C100">
            <v>-3315927.14</v>
          </cell>
          <cell r="D100">
            <v>0</v>
          </cell>
          <cell r="E100">
            <v>-3315927.14</v>
          </cell>
        </row>
        <row r="101">
          <cell r="A101">
            <v>14890625</v>
          </cell>
          <cell r="B101" t="str">
            <v>Transaction Charges (C.Y.) Payable</v>
          </cell>
          <cell r="C101">
            <v>0</v>
          </cell>
          <cell r="D101">
            <v>0</v>
          </cell>
          <cell r="E101">
            <v>0</v>
          </cell>
        </row>
        <row r="102">
          <cell r="A102">
            <v>14890627</v>
          </cell>
          <cell r="B102" t="str">
            <v>V Sat Charges (C.Y.) Payable</v>
          </cell>
          <cell r="C102">
            <v>-798000.54</v>
          </cell>
          <cell r="D102">
            <v>0</v>
          </cell>
          <cell r="E102">
            <v>-798000.54</v>
          </cell>
        </row>
        <row r="103">
          <cell r="A103">
            <v>14890628</v>
          </cell>
          <cell r="B103" t="str">
            <v>Web Hosting Charges (C.Y.) Payable</v>
          </cell>
          <cell r="C103">
            <v>-1507000</v>
          </cell>
          <cell r="D103">
            <v>0</v>
          </cell>
          <cell r="E103">
            <v>-1507000</v>
          </cell>
        </row>
        <row r="104">
          <cell r="A104">
            <v>14890640</v>
          </cell>
          <cell r="B104" t="str">
            <v>Prov. For Membership &amp; Subscription Fee (C.Y.)</v>
          </cell>
          <cell r="C104">
            <v>-400000</v>
          </cell>
          <cell r="D104">
            <v>0</v>
          </cell>
          <cell r="E104">
            <v>-400000</v>
          </cell>
        </row>
        <row r="105">
          <cell r="A105">
            <v>14890643</v>
          </cell>
          <cell r="B105" t="str">
            <v>Prov. For Statutory Fee (C.Y.)</v>
          </cell>
          <cell r="C105">
            <v>-5250000</v>
          </cell>
          <cell r="D105">
            <v>0</v>
          </cell>
          <cell r="E105">
            <v>-5250000</v>
          </cell>
        </row>
        <row r="106">
          <cell r="A106">
            <v>14890671</v>
          </cell>
          <cell r="B106" t="str">
            <v>Provision For Doubtful Security Deposits</v>
          </cell>
          <cell r="C106">
            <v>-16903402.91</v>
          </cell>
          <cell r="D106">
            <v>0</v>
          </cell>
          <cell r="E106">
            <v>-16903402.91</v>
          </cell>
        </row>
        <row r="107">
          <cell r="A107">
            <v>14890687</v>
          </cell>
          <cell r="B107" t="str">
            <v>ISL Unpaid Equity Dividend Account 2008-09</v>
          </cell>
          <cell r="C107">
            <v>-2008790</v>
          </cell>
          <cell r="D107">
            <v>0</v>
          </cell>
          <cell r="E107">
            <v>-2008790</v>
          </cell>
        </row>
        <row r="108">
          <cell r="A108">
            <v>14890697</v>
          </cell>
          <cell r="B108" t="str">
            <v>Client To Client Auction</v>
          </cell>
          <cell r="C108">
            <v>-6190033.6200000001</v>
          </cell>
          <cell r="D108">
            <v>0</v>
          </cell>
          <cell r="E108">
            <v>-6190033.6200000001</v>
          </cell>
        </row>
        <row r="109">
          <cell r="A109">
            <v>14890730</v>
          </cell>
          <cell r="B109" t="str">
            <v>ISL Unpaid Equity Dividend Account 2009-10</v>
          </cell>
          <cell r="C109">
            <v>-2487704</v>
          </cell>
          <cell r="D109">
            <v>0</v>
          </cell>
          <cell r="E109">
            <v>-2487704</v>
          </cell>
        </row>
        <row r="110">
          <cell r="A110">
            <v>14890731</v>
          </cell>
          <cell r="B110" t="str">
            <v>Security Deposit from Authorised Persons</v>
          </cell>
          <cell r="C110">
            <v>-1410669</v>
          </cell>
          <cell r="D110">
            <v>0</v>
          </cell>
          <cell r="E110">
            <v>-1410669</v>
          </cell>
        </row>
        <row r="111">
          <cell r="A111">
            <v>14890732</v>
          </cell>
          <cell r="B111" t="str">
            <v>Provision For Income Tax F.Y(2010-11)</v>
          </cell>
          <cell r="C111">
            <v>-240943552</v>
          </cell>
          <cell r="D111">
            <v>0</v>
          </cell>
          <cell r="E111">
            <v>-240943552</v>
          </cell>
        </row>
        <row r="112">
          <cell r="A112">
            <v>14890736</v>
          </cell>
          <cell r="B112" t="str">
            <v>Security Deposit - Vehicle</v>
          </cell>
          <cell r="C112">
            <v>-894991</v>
          </cell>
          <cell r="D112">
            <v>0</v>
          </cell>
          <cell r="E112">
            <v>-894991</v>
          </cell>
        </row>
        <row r="113">
          <cell r="A113">
            <v>14890751</v>
          </cell>
          <cell r="B113" t="str">
            <v>Unpaid Interim Dividend a/c 10-11</v>
          </cell>
          <cell r="C113">
            <v>-1879551</v>
          </cell>
          <cell r="D113">
            <v>0</v>
          </cell>
          <cell r="E113">
            <v>-1879551</v>
          </cell>
        </row>
        <row r="114">
          <cell r="A114">
            <v>14890772</v>
          </cell>
          <cell r="B114" t="str">
            <v>Provison for Stamp Duty (C.Y)</v>
          </cell>
          <cell r="C114">
            <v>0</v>
          </cell>
          <cell r="D114">
            <v>0</v>
          </cell>
          <cell r="E114">
            <v>0</v>
          </cell>
        </row>
        <row r="115">
          <cell r="A115">
            <v>14890777</v>
          </cell>
          <cell r="B115" t="str">
            <v>AP- DIVIDEND PAYABLE</v>
          </cell>
          <cell r="C115">
            <v>-31714.6</v>
          </cell>
          <cell r="D115">
            <v>0</v>
          </cell>
          <cell r="E115">
            <v>-31714.6</v>
          </cell>
        </row>
        <row r="116">
          <cell r="A116">
            <v>14890789</v>
          </cell>
          <cell r="B116" t="str">
            <v>Provision For Income Tax F.Y(2011-12)</v>
          </cell>
          <cell r="C116">
            <v>-50610000</v>
          </cell>
          <cell r="D116">
            <v>0</v>
          </cell>
          <cell r="E116">
            <v>-50610000</v>
          </cell>
        </row>
        <row r="117">
          <cell r="A117">
            <v>14890825</v>
          </cell>
          <cell r="B117" t="str">
            <v>Interest Payable - Custodial FD</v>
          </cell>
          <cell r="C117">
            <v>-85507205.819999993</v>
          </cell>
          <cell r="D117">
            <v>0</v>
          </cell>
          <cell r="E117">
            <v>-85507205.819999993</v>
          </cell>
        </row>
        <row r="118">
          <cell r="A118">
            <v>14890853</v>
          </cell>
          <cell r="B118" t="str">
            <v>Other Liabilities</v>
          </cell>
          <cell r="C118">
            <v>-10871546.039999999</v>
          </cell>
          <cell r="D118">
            <v>0</v>
          </cell>
          <cell r="E118">
            <v>-10871546.039999999</v>
          </cell>
        </row>
        <row r="119">
          <cell r="A119">
            <v>14890857</v>
          </cell>
          <cell r="B119" t="str">
            <v>Income Tax Refund FY 2010-11</v>
          </cell>
          <cell r="C119">
            <v>-36375187</v>
          </cell>
          <cell r="D119">
            <v>0</v>
          </cell>
          <cell r="E119">
            <v>-36375187</v>
          </cell>
        </row>
        <row r="120">
          <cell r="A120">
            <v>14890858</v>
          </cell>
          <cell r="B120" t="str">
            <v>MANOHARMMA HOTEL INVEST PVT LTD DIVIDEND SUNTV</v>
          </cell>
          <cell r="C120">
            <v>-59108</v>
          </cell>
          <cell r="D120">
            <v>0</v>
          </cell>
          <cell r="E120">
            <v>-59108</v>
          </cell>
        </row>
        <row r="121">
          <cell r="A121">
            <v>14890891</v>
          </cell>
          <cell r="B121" t="str">
            <v>Provision For Income Tax F.Y(2012-13)</v>
          </cell>
          <cell r="C121">
            <v>-136600000</v>
          </cell>
          <cell r="D121">
            <v>0</v>
          </cell>
          <cell r="E121">
            <v>-136600000</v>
          </cell>
        </row>
        <row r="122">
          <cell r="A122">
            <v>14890893</v>
          </cell>
          <cell r="B122" t="str">
            <v>ST Pay-Receiver-GTA</v>
          </cell>
          <cell r="C122">
            <v>15.4</v>
          </cell>
          <cell r="D122">
            <v>0</v>
          </cell>
          <cell r="E122">
            <v>15.4</v>
          </cell>
        </row>
        <row r="123">
          <cell r="A123">
            <v>14890894</v>
          </cell>
          <cell r="B123" t="str">
            <v>ST Pay-Receiver-Legal Services</v>
          </cell>
          <cell r="C123">
            <v>-103811.64</v>
          </cell>
          <cell r="D123">
            <v>0</v>
          </cell>
          <cell r="E123">
            <v>-103811.64</v>
          </cell>
        </row>
        <row r="124">
          <cell r="A124">
            <v>14890896</v>
          </cell>
          <cell r="B124" t="str">
            <v>ST Pay-Receiver-Car Hire</v>
          </cell>
          <cell r="C124">
            <v>17.489999999999998</v>
          </cell>
          <cell r="D124">
            <v>0</v>
          </cell>
          <cell r="E124">
            <v>17.489999999999998</v>
          </cell>
        </row>
        <row r="125">
          <cell r="A125">
            <v>14890897</v>
          </cell>
          <cell r="B125" t="str">
            <v>ST Pay-Receiver-Manpower/Security Service</v>
          </cell>
          <cell r="C125">
            <v>-12008.92</v>
          </cell>
          <cell r="D125">
            <v>0</v>
          </cell>
          <cell r="E125">
            <v>-12008.92</v>
          </cell>
        </row>
        <row r="126">
          <cell r="A126">
            <v>14890898</v>
          </cell>
          <cell r="B126" t="str">
            <v>ST Pay-Receiver-Work Contract</v>
          </cell>
          <cell r="C126">
            <v>12.1</v>
          </cell>
          <cell r="D126">
            <v>0</v>
          </cell>
          <cell r="E126">
            <v>12.1</v>
          </cell>
        </row>
        <row r="127">
          <cell r="A127">
            <v>14890909</v>
          </cell>
          <cell r="B127" t="str">
            <v>Unpaid Interim Dividend a/c FY 2012-13</v>
          </cell>
          <cell r="C127">
            <v>-2771435</v>
          </cell>
          <cell r="D127">
            <v>0</v>
          </cell>
          <cell r="E127">
            <v>-2771435</v>
          </cell>
        </row>
        <row r="128">
          <cell r="A128">
            <v>14890916</v>
          </cell>
          <cell r="B128" t="str">
            <v>Unpaid Interim Dividend a/c 12-13 -II</v>
          </cell>
          <cell r="C128">
            <v>-2749319</v>
          </cell>
          <cell r="D128">
            <v>0</v>
          </cell>
          <cell r="E128">
            <v>-2749319</v>
          </cell>
        </row>
        <row r="129">
          <cell r="A129">
            <v>15000011</v>
          </cell>
          <cell r="B129" t="str">
            <v>Sundry Creditors Vendors Fixed Assets &amp; Other</v>
          </cell>
          <cell r="C129">
            <v>-12804404.060000001</v>
          </cell>
          <cell r="D129">
            <v>0</v>
          </cell>
          <cell r="E129">
            <v>-12804404.060000001</v>
          </cell>
        </row>
        <row r="130">
          <cell r="A130">
            <v>15000018</v>
          </cell>
          <cell r="B130" t="str">
            <v>Sundry Creditors Vendors Emp (Other Than Salary)</v>
          </cell>
          <cell r="C130">
            <v>122784.66</v>
          </cell>
          <cell r="D130">
            <v>0</v>
          </cell>
          <cell r="E130">
            <v>122784.66</v>
          </cell>
        </row>
        <row r="131">
          <cell r="A131">
            <v>15000024</v>
          </cell>
          <cell r="B131" t="str">
            <v>Sundry Creditors- Vendors Misc</v>
          </cell>
          <cell r="C131">
            <v>-2487881.38</v>
          </cell>
          <cell r="D131">
            <v>0</v>
          </cell>
          <cell r="E131">
            <v>-2487881.38</v>
          </cell>
        </row>
        <row r="132">
          <cell r="A132">
            <v>15000025</v>
          </cell>
          <cell r="B132" t="str">
            <v>Sundry Creditors -Vendors (Landlord)</v>
          </cell>
          <cell r="C132">
            <v>-2069720.25</v>
          </cell>
          <cell r="D132">
            <v>0</v>
          </cell>
          <cell r="E132">
            <v>-2069720.25</v>
          </cell>
        </row>
        <row r="133">
          <cell r="A133">
            <v>15000026</v>
          </cell>
          <cell r="B133" t="str">
            <v>Sundry Creditors- Vendors Security Services</v>
          </cell>
          <cell r="C133">
            <v>-9911</v>
          </cell>
          <cell r="D133">
            <v>0</v>
          </cell>
          <cell r="E133">
            <v>-9911</v>
          </cell>
        </row>
        <row r="134">
          <cell r="A134">
            <v>20500000</v>
          </cell>
          <cell r="B134" t="str">
            <v>Computers and peripherals - Cost</v>
          </cell>
          <cell r="C134">
            <v>435517836.99000001</v>
          </cell>
          <cell r="D134">
            <v>0</v>
          </cell>
          <cell r="E134">
            <v>435517836.99000001</v>
          </cell>
        </row>
        <row r="135">
          <cell r="A135">
            <v>20510000</v>
          </cell>
          <cell r="B135" t="str">
            <v>Computers and peripherals -Acc dep</v>
          </cell>
          <cell r="C135">
            <v>-397566370.31</v>
          </cell>
          <cell r="D135">
            <v>0</v>
          </cell>
          <cell r="E135">
            <v>-397566370.31</v>
          </cell>
        </row>
        <row r="136">
          <cell r="A136">
            <v>20600000</v>
          </cell>
          <cell r="B136" t="str">
            <v>Furnitures - Cost</v>
          </cell>
          <cell r="C136">
            <v>140149717.40000001</v>
          </cell>
          <cell r="D136">
            <v>0</v>
          </cell>
          <cell r="E136">
            <v>140149717.40000001</v>
          </cell>
        </row>
        <row r="137">
          <cell r="A137">
            <v>20602000</v>
          </cell>
          <cell r="B137" t="str">
            <v>Office equipment - Cost</v>
          </cell>
          <cell r="C137">
            <v>221286227.58000001</v>
          </cell>
          <cell r="D137">
            <v>0</v>
          </cell>
          <cell r="E137">
            <v>221286227.58000001</v>
          </cell>
        </row>
        <row r="138">
          <cell r="A138">
            <v>20610000</v>
          </cell>
          <cell r="B138" t="str">
            <v>Acc dep - Furnitures</v>
          </cell>
          <cell r="C138">
            <v>-64333755.890000001</v>
          </cell>
          <cell r="D138">
            <v>0</v>
          </cell>
          <cell r="E138">
            <v>-64333755.890000001</v>
          </cell>
        </row>
        <row r="139">
          <cell r="A139">
            <v>20612000</v>
          </cell>
          <cell r="B139" t="str">
            <v>Acc dep-Office equipment</v>
          </cell>
          <cell r="C139">
            <v>-73981757.269999996</v>
          </cell>
          <cell r="D139">
            <v>0</v>
          </cell>
          <cell r="E139">
            <v>-73981757.269999996</v>
          </cell>
        </row>
        <row r="140">
          <cell r="A140">
            <v>20700000</v>
          </cell>
          <cell r="B140" t="str">
            <v>Vehicles - Cost</v>
          </cell>
          <cell r="C140">
            <v>75959727</v>
          </cell>
          <cell r="D140">
            <v>0</v>
          </cell>
          <cell r="E140">
            <v>75959727</v>
          </cell>
        </row>
        <row r="141">
          <cell r="A141">
            <v>20710000</v>
          </cell>
          <cell r="B141" t="str">
            <v>Vehicles -Acc dep</v>
          </cell>
          <cell r="C141">
            <v>-43611616.770000003</v>
          </cell>
          <cell r="D141">
            <v>0</v>
          </cell>
          <cell r="E141">
            <v>-43611616.770000003</v>
          </cell>
        </row>
        <row r="142">
          <cell r="A142">
            <v>20810001</v>
          </cell>
          <cell r="B142" t="str">
            <v>Software-Cost</v>
          </cell>
          <cell r="C142">
            <v>596860049.74000001</v>
          </cell>
          <cell r="D142">
            <v>0</v>
          </cell>
          <cell r="E142">
            <v>596860049.74000001</v>
          </cell>
        </row>
        <row r="143">
          <cell r="A143">
            <v>20810002</v>
          </cell>
          <cell r="B143" t="str">
            <v>Software-Acc dep</v>
          </cell>
          <cell r="C143">
            <v>-593235495.19000006</v>
          </cell>
          <cell r="D143">
            <v>0</v>
          </cell>
          <cell r="E143">
            <v>-593235495.19000006</v>
          </cell>
        </row>
        <row r="144">
          <cell r="A144">
            <v>20810003</v>
          </cell>
          <cell r="B144" t="str">
            <v>BSE-Membership Rights</v>
          </cell>
          <cell r="C144">
            <v>7005000</v>
          </cell>
          <cell r="D144">
            <v>0</v>
          </cell>
          <cell r="E144">
            <v>7005000</v>
          </cell>
        </row>
        <row r="145">
          <cell r="A145">
            <v>20810004</v>
          </cell>
          <cell r="B145" t="str">
            <v>BSE-Membership Rights-Acc dep</v>
          </cell>
          <cell r="C145">
            <v>-7005000</v>
          </cell>
          <cell r="D145">
            <v>0</v>
          </cell>
          <cell r="E145">
            <v>-7005000</v>
          </cell>
        </row>
        <row r="146">
          <cell r="A146">
            <v>22001002</v>
          </cell>
          <cell r="B146" t="str">
            <v>Investment In Bse</v>
          </cell>
          <cell r="C146">
            <v>10000</v>
          </cell>
          <cell r="D146">
            <v>0</v>
          </cell>
          <cell r="E146">
            <v>10000</v>
          </cell>
        </row>
        <row r="147">
          <cell r="A147">
            <v>22010158</v>
          </cell>
          <cell r="B147" t="str">
            <v>Investment in Copal Partners Limited</v>
          </cell>
          <cell r="C147">
            <v>125332487.87</v>
          </cell>
          <cell r="D147">
            <v>0</v>
          </cell>
          <cell r="E147">
            <v>125332487.87</v>
          </cell>
        </row>
        <row r="148">
          <cell r="A148">
            <v>22011131</v>
          </cell>
          <cell r="B148" t="str">
            <v>Investment in Subsidiary</v>
          </cell>
          <cell r="C148">
            <v>62500000</v>
          </cell>
          <cell r="D148">
            <v>0</v>
          </cell>
          <cell r="E148">
            <v>62500000</v>
          </cell>
        </row>
        <row r="149">
          <cell r="A149">
            <v>22401079</v>
          </cell>
          <cell r="B149" t="str">
            <v>Investment in Indiabulls Mutual Fund</v>
          </cell>
          <cell r="C149">
            <v>-0.37</v>
          </cell>
          <cell r="D149">
            <v>0</v>
          </cell>
          <cell r="E149">
            <v>-0.37</v>
          </cell>
        </row>
        <row r="150">
          <cell r="A150">
            <v>23500090</v>
          </cell>
          <cell r="B150" t="str">
            <v>Hdfc Bank (Brokers) 10340005474</v>
          </cell>
          <cell r="C150">
            <v>54843.88</v>
          </cell>
          <cell r="D150">
            <v>0</v>
          </cell>
          <cell r="E150">
            <v>54843.88</v>
          </cell>
        </row>
        <row r="151">
          <cell r="A151">
            <v>23500190</v>
          </cell>
          <cell r="B151" t="str">
            <v>Icici Bank  &lt;Delhi&gt; 05/22 705000229</v>
          </cell>
          <cell r="C151">
            <v>-9928337.2699999996</v>
          </cell>
          <cell r="D151">
            <v>0</v>
          </cell>
          <cell r="E151">
            <v>-9928337.2699999996</v>
          </cell>
        </row>
        <row r="152">
          <cell r="A152">
            <v>23500270</v>
          </cell>
          <cell r="B152" t="str">
            <v>Ing Vysya Bank 503011007955</v>
          </cell>
          <cell r="C152">
            <v>986172.96</v>
          </cell>
          <cell r="D152">
            <v>0</v>
          </cell>
          <cell r="E152">
            <v>986172.96</v>
          </cell>
        </row>
        <row r="153">
          <cell r="A153">
            <v>23500380</v>
          </cell>
          <cell r="B153" t="str">
            <v>ISL A/c No-02612340000011 HDFC BANK LTD</v>
          </cell>
          <cell r="C153">
            <v>20911.75</v>
          </cell>
          <cell r="D153">
            <v>0</v>
          </cell>
          <cell r="E153">
            <v>20911.75</v>
          </cell>
        </row>
        <row r="154">
          <cell r="A154">
            <v>23500400</v>
          </cell>
          <cell r="B154" t="str">
            <v>ISL A/c No-01270340002975 HDFC BANK LTD</v>
          </cell>
          <cell r="C154">
            <v>-223.94</v>
          </cell>
          <cell r="D154">
            <v>0</v>
          </cell>
          <cell r="E154">
            <v>-223.94</v>
          </cell>
        </row>
        <row r="155">
          <cell r="A155">
            <v>23500410</v>
          </cell>
          <cell r="B155" t="str">
            <v>ISL A/c No-00880340000064 HDFC BANK LTD</v>
          </cell>
          <cell r="C155">
            <v>14849.02</v>
          </cell>
          <cell r="D155">
            <v>0</v>
          </cell>
          <cell r="E155">
            <v>14849.02</v>
          </cell>
        </row>
        <row r="156">
          <cell r="A156">
            <v>23500470</v>
          </cell>
          <cell r="B156" t="str">
            <v>ISL -ICICI-HO -000705001615</v>
          </cell>
          <cell r="C156">
            <v>307622.17</v>
          </cell>
          <cell r="D156">
            <v>0</v>
          </cell>
          <cell r="E156">
            <v>307622.17</v>
          </cell>
        </row>
        <row r="157">
          <cell r="A157">
            <v>23500490</v>
          </cell>
          <cell r="B157" t="str">
            <v>Standard Chartered Bank-52505051059</v>
          </cell>
          <cell r="C157">
            <v>57846.559999999998</v>
          </cell>
          <cell r="D157">
            <v>0</v>
          </cell>
          <cell r="E157">
            <v>57846.559999999998</v>
          </cell>
        </row>
        <row r="158">
          <cell r="A158">
            <v>23500560</v>
          </cell>
          <cell r="B158" t="str">
            <v>0030340018472-HDFC ISL</v>
          </cell>
          <cell r="C158">
            <v>-1202409.26</v>
          </cell>
          <cell r="D158">
            <v>0</v>
          </cell>
          <cell r="E158">
            <v>-1202409.26</v>
          </cell>
        </row>
        <row r="159">
          <cell r="A159">
            <v>23500570</v>
          </cell>
          <cell r="B159" t="str">
            <v>Dena Bank a/c no116211001016</v>
          </cell>
          <cell r="C159">
            <v>6651.7</v>
          </cell>
          <cell r="D159">
            <v>0</v>
          </cell>
          <cell r="E159">
            <v>6651.7</v>
          </cell>
        </row>
        <row r="160">
          <cell r="A160">
            <v>23500640</v>
          </cell>
          <cell r="B160" t="str">
            <v>Union Bank Of India Mumbai 317901010025136</v>
          </cell>
          <cell r="C160">
            <v>12688.8</v>
          </cell>
          <cell r="D160">
            <v>0</v>
          </cell>
          <cell r="E160">
            <v>12688.8</v>
          </cell>
        </row>
        <row r="161">
          <cell r="A161">
            <v>23500660</v>
          </cell>
          <cell r="B161" t="str">
            <v>Royal Bank of Scotland (ABN) 6523927</v>
          </cell>
          <cell r="C161">
            <v>95095.79</v>
          </cell>
          <cell r="D161">
            <v>0</v>
          </cell>
          <cell r="E161">
            <v>95095.79</v>
          </cell>
        </row>
        <row r="162">
          <cell r="A162">
            <v>23500670</v>
          </cell>
          <cell r="B162" t="str">
            <v>Hdfc Bank A/C - Nri Product (5982340002925)</v>
          </cell>
          <cell r="C162">
            <v>9102.1200000000008</v>
          </cell>
          <cell r="D162">
            <v>0</v>
          </cell>
          <cell r="E162">
            <v>9102.1200000000008</v>
          </cell>
        </row>
        <row r="163">
          <cell r="A163">
            <v>23500840</v>
          </cell>
          <cell r="B163" t="str">
            <v>ISL A/c No-00030340022261 HDFC BANK LTD</v>
          </cell>
          <cell r="C163">
            <v>1244.23</v>
          </cell>
          <cell r="D163">
            <v>0</v>
          </cell>
          <cell r="E163">
            <v>1244.23</v>
          </cell>
        </row>
        <row r="164">
          <cell r="A164">
            <v>23500890</v>
          </cell>
          <cell r="B164" t="str">
            <v>ICICI Bank ( Mumbai) A/C 000405015895</v>
          </cell>
          <cell r="C164">
            <v>5422373.6699999999</v>
          </cell>
          <cell r="D164">
            <v>0</v>
          </cell>
          <cell r="E164">
            <v>5422373.6699999999</v>
          </cell>
        </row>
        <row r="165">
          <cell r="A165">
            <v>23500900</v>
          </cell>
          <cell r="B165" t="str">
            <v>ISL A/c No-00780340000853 HDFC BANK LTD</v>
          </cell>
          <cell r="C165">
            <v>99466.55</v>
          </cell>
          <cell r="D165">
            <v>0</v>
          </cell>
          <cell r="E165">
            <v>99466.55</v>
          </cell>
        </row>
        <row r="166">
          <cell r="A166">
            <v>23500940</v>
          </cell>
          <cell r="B166" t="str">
            <v>Karnataka Bank-Mumbai A/c 1012000100615201</v>
          </cell>
          <cell r="C166">
            <v>9451.5</v>
          </cell>
          <cell r="D166">
            <v>0</v>
          </cell>
          <cell r="E166">
            <v>9451.5</v>
          </cell>
        </row>
        <row r="167">
          <cell r="A167">
            <v>23501000</v>
          </cell>
          <cell r="B167" t="str">
            <v>ISL A/c No-00040340002766 HDFC BANK LTD</v>
          </cell>
          <cell r="C167">
            <v>110546.63</v>
          </cell>
          <cell r="D167">
            <v>0</v>
          </cell>
          <cell r="E167">
            <v>110546.63</v>
          </cell>
        </row>
        <row r="168">
          <cell r="A168">
            <v>23501330</v>
          </cell>
          <cell r="B168" t="str">
            <v>Royal Bank of Scotland (Dividend A/C04-05) 6528414</v>
          </cell>
          <cell r="C168">
            <v>807.03</v>
          </cell>
          <cell r="D168">
            <v>0</v>
          </cell>
          <cell r="E168">
            <v>807.03</v>
          </cell>
        </row>
        <row r="169">
          <cell r="A169">
            <v>23501360</v>
          </cell>
          <cell r="B169" t="str">
            <v>ISL A/c No-00500340000185 HDFC BANK LTD</v>
          </cell>
          <cell r="C169">
            <v>143717.66</v>
          </cell>
          <cell r="D169">
            <v>0</v>
          </cell>
          <cell r="E169">
            <v>143717.66</v>
          </cell>
        </row>
        <row r="170">
          <cell r="A170">
            <v>23501370</v>
          </cell>
          <cell r="B170" t="str">
            <v>ISL A/c No-00590340000047 HDFC BANK LTD</v>
          </cell>
          <cell r="C170">
            <v>55724.21</v>
          </cell>
          <cell r="D170">
            <v>0</v>
          </cell>
          <cell r="E170">
            <v>55724.21</v>
          </cell>
        </row>
        <row r="171">
          <cell r="A171">
            <v>23501400</v>
          </cell>
          <cell r="B171" t="str">
            <v>ISL A/c No-00540340000958 HDFC BANK LTD</v>
          </cell>
          <cell r="C171">
            <v>1359.85</v>
          </cell>
          <cell r="D171">
            <v>0</v>
          </cell>
          <cell r="E171">
            <v>1359.85</v>
          </cell>
        </row>
        <row r="172">
          <cell r="A172">
            <v>23501420</v>
          </cell>
          <cell r="B172" t="str">
            <v>ISL A/c No-01010340000329 HDFC BANK LTD</v>
          </cell>
          <cell r="C172">
            <v>24734.28</v>
          </cell>
          <cell r="D172">
            <v>0</v>
          </cell>
          <cell r="E172">
            <v>24734.28</v>
          </cell>
        </row>
        <row r="173">
          <cell r="A173">
            <v>23501470</v>
          </cell>
          <cell r="B173" t="str">
            <v>Hdfc Bank - Mumbai 0032340000395</v>
          </cell>
          <cell r="C173">
            <v>12873.45</v>
          </cell>
          <cell r="D173">
            <v>0</v>
          </cell>
          <cell r="E173">
            <v>12873.45</v>
          </cell>
        </row>
        <row r="174">
          <cell r="A174">
            <v>23501510</v>
          </cell>
          <cell r="B174" t="str">
            <v>Indusind Bank 200003174252 (old 0033-567046-050)</v>
          </cell>
          <cell r="C174">
            <v>20770.98</v>
          </cell>
          <cell r="D174">
            <v>0</v>
          </cell>
          <cell r="E174">
            <v>20770.98</v>
          </cell>
        </row>
        <row r="175">
          <cell r="A175">
            <v>23501570</v>
          </cell>
          <cell r="B175" t="str">
            <v>Hdfc Bank Ltd. - 0030340015511</v>
          </cell>
          <cell r="C175">
            <v>6601133.8700000001</v>
          </cell>
          <cell r="D175">
            <v>0</v>
          </cell>
          <cell r="E175">
            <v>6601133.8700000001</v>
          </cell>
        </row>
        <row r="176">
          <cell r="A176">
            <v>23501590</v>
          </cell>
          <cell r="B176" t="str">
            <v>HSBC Account 51-895951-002</v>
          </cell>
          <cell r="C176">
            <v>25905.84</v>
          </cell>
          <cell r="D176">
            <v>0</v>
          </cell>
          <cell r="E176">
            <v>25905.84</v>
          </cell>
        </row>
        <row r="177">
          <cell r="A177">
            <v>23501690</v>
          </cell>
          <cell r="B177" t="str">
            <v>Punjab National Bank - 0061002101604825</v>
          </cell>
          <cell r="C177">
            <v>21980</v>
          </cell>
          <cell r="D177">
            <v>0</v>
          </cell>
          <cell r="E177">
            <v>21980</v>
          </cell>
        </row>
        <row r="178">
          <cell r="A178">
            <v>23501750</v>
          </cell>
          <cell r="B178" t="str">
            <v>0600340006963 Hdfc Bank</v>
          </cell>
          <cell r="C178">
            <v>44894.55</v>
          </cell>
          <cell r="D178">
            <v>0</v>
          </cell>
          <cell r="E178">
            <v>44894.55</v>
          </cell>
        </row>
        <row r="179">
          <cell r="A179">
            <v>23501930</v>
          </cell>
          <cell r="B179" t="str">
            <v>4290340000281  Hdfc Bank Ltd.</v>
          </cell>
          <cell r="C179">
            <v>44938.99</v>
          </cell>
          <cell r="D179">
            <v>0</v>
          </cell>
          <cell r="E179">
            <v>44938.99</v>
          </cell>
        </row>
        <row r="180">
          <cell r="A180">
            <v>23502020</v>
          </cell>
          <cell r="B180" t="str">
            <v>ISL A/c No-00200340000425 HDFC BANK LTD</v>
          </cell>
          <cell r="C180">
            <v>0</v>
          </cell>
          <cell r="D180">
            <v>0</v>
          </cell>
          <cell r="E180">
            <v>0</v>
          </cell>
        </row>
        <row r="181">
          <cell r="A181">
            <v>23502040</v>
          </cell>
          <cell r="B181" t="str">
            <v>Canara Bank- Mumbai A/C No.2426201040957</v>
          </cell>
          <cell r="C181">
            <v>89308</v>
          </cell>
          <cell r="D181">
            <v>0</v>
          </cell>
          <cell r="E181">
            <v>89308</v>
          </cell>
        </row>
        <row r="182">
          <cell r="A182">
            <v>23502050</v>
          </cell>
          <cell r="B182" t="str">
            <v>ISL A/c No-01150340000107 HDFC BANK LTD</v>
          </cell>
          <cell r="C182">
            <v>10388.23</v>
          </cell>
          <cell r="D182">
            <v>0</v>
          </cell>
          <cell r="E182">
            <v>10388.23</v>
          </cell>
        </row>
        <row r="183">
          <cell r="A183">
            <v>23502080</v>
          </cell>
          <cell r="B183" t="str">
            <v>ISL A/c No-00310340000354 HDFC BANK LTD</v>
          </cell>
          <cell r="C183">
            <v>-7031.08</v>
          </cell>
          <cell r="D183">
            <v>0</v>
          </cell>
          <cell r="E183">
            <v>-7031.08</v>
          </cell>
        </row>
        <row r="184">
          <cell r="A184">
            <v>23502580</v>
          </cell>
          <cell r="B184" t="str">
            <v>ISL-HDFC Bank Ltd. 0030340018143</v>
          </cell>
          <cell r="C184">
            <v>284381.06</v>
          </cell>
          <cell r="D184">
            <v>0</v>
          </cell>
          <cell r="E184">
            <v>284381.06</v>
          </cell>
        </row>
        <row r="185">
          <cell r="A185">
            <v>23502610</v>
          </cell>
          <cell r="B185" t="str">
            <v>ISL A/c No-00350340000712 HDFC BANK LTD</v>
          </cell>
          <cell r="C185">
            <v>21609.55</v>
          </cell>
          <cell r="D185">
            <v>0</v>
          </cell>
          <cell r="E185">
            <v>21609.55</v>
          </cell>
        </row>
        <row r="186">
          <cell r="A186">
            <v>23502620</v>
          </cell>
          <cell r="B186" t="str">
            <v>ISL- Axis bank Ltd. For Ho-007010200039622</v>
          </cell>
          <cell r="C186">
            <v>503710.67</v>
          </cell>
          <cell r="D186">
            <v>0</v>
          </cell>
          <cell r="E186">
            <v>503710.67</v>
          </cell>
        </row>
        <row r="187">
          <cell r="A187">
            <v>23502780</v>
          </cell>
          <cell r="B187" t="str">
            <v>HDFC Bank  A/C 00030340000640 (Old No. 08)</v>
          </cell>
          <cell r="C187">
            <v>-16095733.359999999</v>
          </cell>
          <cell r="D187">
            <v>0</v>
          </cell>
          <cell r="E187">
            <v>-16095733.359999999</v>
          </cell>
        </row>
        <row r="188">
          <cell r="A188">
            <v>23502800</v>
          </cell>
          <cell r="B188" t="str">
            <v>ISL A/c No-00140340002609 HDFC BANK LTD</v>
          </cell>
          <cell r="C188">
            <v>30982.29</v>
          </cell>
          <cell r="D188">
            <v>0</v>
          </cell>
          <cell r="E188">
            <v>30982.29</v>
          </cell>
        </row>
        <row r="189">
          <cell r="A189">
            <v>23502810</v>
          </cell>
          <cell r="B189" t="str">
            <v>ISL A/c No-00062340000381 HDFC BANK LTD</v>
          </cell>
          <cell r="C189">
            <v>21279.68</v>
          </cell>
          <cell r="D189">
            <v>0</v>
          </cell>
          <cell r="E189">
            <v>21279.68</v>
          </cell>
        </row>
        <row r="190">
          <cell r="A190">
            <v>23502820</v>
          </cell>
          <cell r="B190" t="str">
            <v>ISL A/c No-00090340000292 HDFC BANK LTD</v>
          </cell>
          <cell r="C190">
            <v>108.14</v>
          </cell>
          <cell r="D190">
            <v>0</v>
          </cell>
          <cell r="E190">
            <v>108.14</v>
          </cell>
        </row>
        <row r="191">
          <cell r="A191">
            <v>23502830</v>
          </cell>
          <cell r="B191" t="str">
            <v>ISL A/c No-00040340001021 HDFC BANK LTD</v>
          </cell>
          <cell r="C191">
            <v>44208.97</v>
          </cell>
          <cell r="D191">
            <v>0</v>
          </cell>
          <cell r="E191">
            <v>44208.97</v>
          </cell>
        </row>
        <row r="192">
          <cell r="A192">
            <v>23502850</v>
          </cell>
          <cell r="B192" t="str">
            <v>0012320000871 Hdfc Bank</v>
          </cell>
          <cell r="C192">
            <v>255129.8</v>
          </cell>
          <cell r="D192">
            <v>0</v>
          </cell>
          <cell r="E192">
            <v>255129.8</v>
          </cell>
        </row>
        <row r="193">
          <cell r="A193">
            <v>23502890</v>
          </cell>
          <cell r="B193" t="str">
            <v>Oriental Bank of Commerce(GTB 1940) 10481010053100</v>
          </cell>
          <cell r="C193">
            <v>9285</v>
          </cell>
          <cell r="D193">
            <v>0</v>
          </cell>
          <cell r="E193">
            <v>9285</v>
          </cell>
        </row>
        <row r="194">
          <cell r="A194">
            <v>23502930</v>
          </cell>
          <cell r="B194" t="str">
            <v>Hdfc (Wdm00030340000667)</v>
          </cell>
          <cell r="C194">
            <v>-779668613.07000005</v>
          </cell>
          <cell r="D194">
            <v>0</v>
          </cell>
          <cell r="E194">
            <v>-779668613.07000005</v>
          </cell>
        </row>
        <row r="195">
          <cell r="A195">
            <v>23503160</v>
          </cell>
          <cell r="B195" t="str">
            <v>ISL A/c No-00930340000022 HDFC BANK LTD</v>
          </cell>
          <cell r="C195">
            <v>68866.259999999995</v>
          </cell>
          <cell r="D195">
            <v>0</v>
          </cell>
          <cell r="E195">
            <v>68866.259999999995</v>
          </cell>
        </row>
        <row r="196">
          <cell r="A196">
            <v>23503180</v>
          </cell>
          <cell r="B196" t="str">
            <v>ISL A/c No-02260340000039 HDFC BANK LTD</v>
          </cell>
          <cell r="C196">
            <v>132054.47</v>
          </cell>
          <cell r="D196">
            <v>0</v>
          </cell>
          <cell r="E196">
            <v>132054.47</v>
          </cell>
        </row>
        <row r="197">
          <cell r="A197">
            <v>23503680</v>
          </cell>
          <cell r="B197" t="str">
            <v>ISL A/c No-00080340011214 HDFC BANK LTD</v>
          </cell>
          <cell r="C197">
            <v>29282.3</v>
          </cell>
          <cell r="D197">
            <v>0</v>
          </cell>
          <cell r="E197">
            <v>29282.3</v>
          </cell>
        </row>
        <row r="198">
          <cell r="A198">
            <v>23503720</v>
          </cell>
          <cell r="B198" t="str">
            <v>Axis Bank Ltd. 004010200559638</v>
          </cell>
          <cell r="C198">
            <v>15536.14</v>
          </cell>
          <cell r="D198">
            <v>0</v>
          </cell>
          <cell r="E198">
            <v>15536.14</v>
          </cell>
        </row>
        <row r="199">
          <cell r="A199">
            <v>23503800</v>
          </cell>
          <cell r="B199" t="str">
            <v xml:space="preserve"> Bank of Maharastra 20007603128</v>
          </cell>
          <cell r="C199">
            <v>17538</v>
          </cell>
          <cell r="D199">
            <v>0</v>
          </cell>
          <cell r="E199">
            <v>17538</v>
          </cell>
        </row>
        <row r="200">
          <cell r="A200">
            <v>23503920</v>
          </cell>
          <cell r="B200" t="str">
            <v>0430002101005835 Pnb</v>
          </cell>
          <cell r="C200">
            <v>26231</v>
          </cell>
          <cell r="D200">
            <v>0</v>
          </cell>
          <cell r="E200">
            <v>26231</v>
          </cell>
        </row>
        <row r="201">
          <cell r="A201">
            <v>23503980</v>
          </cell>
          <cell r="B201" t="str">
            <v>0540340003004 Hdfc Bank Ltd</v>
          </cell>
          <cell r="C201">
            <v>3531016.27</v>
          </cell>
          <cell r="D201">
            <v>0</v>
          </cell>
          <cell r="E201">
            <v>3531016.27</v>
          </cell>
        </row>
        <row r="202">
          <cell r="A202">
            <v>23504170</v>
          </cell>
          <cell r="B202" t="str">
            <v>ISL A/c No-00070340000819 HDFC BANK LTD</v>
          </cell>
          <cell r="C202">
            <v>92581.68</v>
          </cell>
          <cell r="D202">
            <v>0</v>
          </cell>
          <cell r="E202">
            <v>92581.68</v>
          </cell>
        </row>
        <row r="203">
          <cell r="A203">
            <v>23504480</v>
          </cell>
          <cell r="B203" t="str">
            <v>ISL A/c No-00540340002936 HDFC BANK LTD</v>
          </cell>
          <cell r="C203">
            <v>986</v>
          </cell>
          <cell r="D203">
            <v>0</v>
          </cell>
          <cell r="E203">
            <v>986</v>
          </cell>
        </row>
        <row r="204">
          <cell r="A204">
            <v>23505120</v>
          </cell>
          <cell r="B204" t="str">
            <v>Allahabad Bank a/c no 20015744423</v>
          </cell>
          <cell r="C204">
            <v>76073</v>
          </cell>
          <cell r="D204">
            <v>0</v>
          </cell>
          <cell r="E204">
            <v>76073</v>
          </cell>
        </row>
        <row r="205">
          <cell r="A205">
            <v>23505190</v>
          </cell>
          <cell r="B205" t="str">
            <v>Citi Bank (Delhi) 421751226</v>
          </cell>
          <cell r="C205">
            <v>-764648.85</v>
          </cell>
          <cell r="D205">
            <v>0</v>
          </cell>
          <cell r="E205">
            <v>-764648.85</v>
          </cell>
        </row>
        <row r="206">
          <cell r="A206">
            <v>23505210</v>
          </cell>
          <cell r="B206" t="str">
            <v>Axis Bank Ltd. (Delhi) 7010200009867</v>
          </cell>
          <cell r="C206">
            <v>1108436.45</v>
          </cell>
          <cell r="D206">
            <v>0</v>
          </cell>
          <cell r="E206">
            <v>1108436.45</v>
          </cell>
        </row>
        <row r="207">
          <cell r="A207">
            <v>23505230</v>
          </cell>
          <cell r="B207" t="str">
            <v>HSBC Account 51-895951-001</v>
          </cell>
          <cell r="C207">
            <v>126185.63</v>
          </cell>
          <cell r="D207">
            <v>0</v>
          </cell>
          <cell r="E207">
            <v>126185.63</v>
          </cell>
        </row>
        <row r="208">
          <cell r="A208">
            <v>23505240</v>
          </cell>
          <cell r="B208" t="str">
            <v>Royal Bank of Scotland (ABN) A/C 6518796</v>
          </cell>
          <cell r="C208">
            <v>1571010.13</v>
          </cell>
          <cell r="D208">
            <v>0</v>
          </cell>
          <cell r="E208">
            <v>1571010.13</v>
          </cell>
        </row>
        <row r="209">
          <cell r="A209">
            <v>23505250</v>
          </cell>
          <cell r="B209" t="str">
            <v>Canara Bank A/c Shimoga -0524201002309</v>
          </cell>
          <cell r="C209">
            <v>648609.22</v>
          </cell>
          <cell r="D209">
            <v>0</v>
          </cell>
          <cell r="E209">
            <v>648609.22</v>
          </cell>
        </row>
        <row r="210">
          <cell r="A210">
            <v>23505260</v>
          </cell>
          <cell r="B210" t="str">
            <v>Idbi 102000015075</v>
          </cell>
          <cell r="C210">
            <v>1347851.14</v>
          </cell>
          <cell r="D210">
            <v>0</v>
          </cell>
          <cell r="E210">
            <v>1347851.14</v>
          </cell>
        </row>
        <row r="211">
          <cell r="A211">
            <v>23505270</v>
          </cell>
          <cell r="B211" t="str">
            <v>Indusland Bank 200000620358 (old 5109794060)</v>
          </cell>
          <cell r="C211">
            <v>1219012.6599999999</v>
          </cell>
          <cell r="D211">
            <v>0</v>
          </cell>
          <cell r="E211">
            <v>1219012.6599999999</v>
          </cell>
        </row>
        <row r="212">
          <cell r="A212">
            <v>23505280</v>
          </cell>
          <cell r="B212" t="str">
            <v>Karur Vysya Bank 410112700000020</v>
          </cell>
          <cell r="C212">
            <v>1679413.43</v>
          </cell>
          <cell r="D212">
            <v>0</v>
          </cell>
          <cell r="E212">
            <v>1679413.43</v>
          </cell>
        </row>
        <row r="213">
          <cell r="A213">
            <v>23505300</v>
          </cell>
          <cell r="B213" t="str">
            <v>Union Bank Of India - Client A/C 307801010917312</v>
          </cell>
          <cell r="C213">
            <v>441484.42</v>
          </cell>
          <cell r="D213">
            <v>0</v>
          </cell>
          <cell r="E213">
            <v>441484.42</v>
          </cell>
        </row>
        <row r="214">
          <cell r="A214">
            <v>23505320</v>
          </cell>
          <cell r="B214" t="str">
            <v>Hdfc Bank - 0030340020740</v>
          </cell>
          <cell r="C214">
            <v>-104512730.06</v>
          </cell>
          <cell r="D214">
            <v>0</v>
          </cell>
          <cell r="E214">
            <v>-104512730.06</v>
          </cell>
        </row>
        <row r="215">
          <cell r="A215">
            <v>23505330</v>
          </cell>
          <cell r="B215" t="str">
            <v>Andhra Bank - Client A/c  8411011093286</v>
          </cell>
          <cell r="C215">
            <v>291956.33</v>
          </cell>
          <cell r="D215">
            <v>0</v>
          </cell>
          <cell r="E215">
            <v>291956.33</v>
          </cell>
        </row>
        <row r="216">
          <cell r="A216">
            <v>23505350</v>
          </cell>
          <cell r="B216" t="str">
            <v>Syndicate Bank 90363050000067</v>
          </cell>
          <cell r="C216">
            <v>258182.21</v>
          </cell>
          <cell r="D216">
            <v>0</v>
          </cell>
          <cell r="E216">
            <v>258182.21</v>
          </cell>
        </row>
        <row r="217">
          <cell r="A217">
            <v>23505360</v>
          </cell>
          <cell r="B217" t="str">
            <v>Pnb A/C No.   1988002100183894</v>
          </cell>
          <cell r="C217">
            <v>1418907.75</v>
          </cell>
          <cell r="D217">
            <v>0</v>
          </cell>
          <cell r="E217">
            <v>1418907.75</v>
          </cell>
        </row>
        <row r="218">
          <cell r="A218">
            <v>23505370</v>
          </cell>
          <cell r="B218" t="str">
            <v>0030130000080-HDFC ACCOUNT ISL</v>
          </cell>
          <cell r="C218">
            <v>-5415795.0999999996</v>
          </cell>
          <cell r="D218">
            <v>0</v>
          </cell>
          <cell r="E218">
            <v>-5415795.0999999996</v>
          </cell>
        </row>
        <row r="219">
          <cell r="A219">
            <v>23505380</v>
          </cell>
          <cell r="B219" t="str">
            <v>Standard Charter (Vasant) 523-0-513377-9</v>
          </cell>
          <cell r="C219">
            <v>354467.88</v>
          </cell>
          <cell r="D219">
            <v>0</v>
          </cell>
          <cell r="E219">
            <v>354467.88</v>
          </cell>
        </row>
        <row r="220">
          <cell r="A220">
            <v>23505400</v>
          </cell>
          <cell r="B220" t="str">
            <v>Hdfc (Delhi)- 00030340000657</v>
          </cell>
          <cell r="C220">
            <v>-6581133.8499999996</v>
          </cell>
          <cell r="D220">
            <v>0</v>
          </cell>
          <cell r="E220">
            <v>-6581133.8499999996</v>
          </cell>
        </row>
        <row r="221">
          <cell r="A221">
            <v>23505420</v>
          </cell>
          <cell r="B221" t="str">
            <v>0032340000015 Hdfc Isl Client A/C</v>
          </cell>
          <cell r="C221">
            <v>-7972113.3600000003</v>
          </cell>
          <cell r="D221">
            <v>0</v>
          </cell>
          <cell r="E221">
            <v>-7972113.3600000003</v>
          </cell>
        </row>
        <row r="222">
          <cell r="A222">
            <v>23505430</v>
          </cell>
          <cell r="B222" t="str">
            <v>Hdfc Bank Ltd.</v>
          </cell>
          <cell r="C222">
            <v>-46181840.829999998</v>
          </cell>
          <cell r="D222">
            <v>0</v>
          </cell>
          <cell r="E222">
            <v>-46181840.829999998</v>
          </cell>
        </row>
        <row r="223">
          <cell r="A223">
            <v>23505450</v>
          </cell>
          <cell r="B223" t="str">
            <v>Citi Bank 325250003</v>
          </cell>
          <cell r="C223">
            <v>-20523513.609999999</v>
          </cell>
          <cell r="D223">
            <v>0</v>
          </cell>
          <cell r="E223">
            <v>-20523513.609999999</v>
          </cell>
        </row>
        <row r="224">
          <cell r="A224">
            <v>23505470</v>
          </cell>
          <cell r="B224" t="str">
            <v>0990650000155  Hdfc  Bank</v>
          </cell>
          <cell r="C224">
            <v>218726.82</v>
          </cell>
          <cell r="D224">
            <v>0</v>
          </cell>
          <cell r="E224">
            <v>218726.82</v>
          </cell>
        </row>
        <row r="225">
          <cell r="A225">
            <v>23505480</v>
          </cell>
          <cell r="B225" t="str">
            <v>Hdfc F&amp;O Clearing (0990630001246)</v>
          </cell>
          <cell r="C225">
            <v>88764</v>
          </cell>
          <cell r="D225">
            <v>0</v>
          </cell>
          <cell r="E225">
            <v>88764</v>
          </cell>
        </row>
        <row r="226">
          <cell r="A226">
            <v>23505490</v>
          </cell>
          <cell r="B226" t="str">
            <v>Icici Bank - Bse Clearing Account 000405019074</v>
          </cell>
          <cell r="C226">
            <v>281.39</v>
          </cell>
          <cell r="D226">
            <v>0</v>
          </cell>
          <cell r="E226">
            <v>281.39</v>
          </cell>
        </row>
        <row r="227">
          <cell r="A227">
            <v>23505500</v>
          </cell>
          <cell r="B227" t="str">
            <v>Hdfc Bank (246 Clearing A/C 02) 990610000246</v>
          </cell>
          <cell r="C227">
            <v>100000</v>
          </cell>
          <cell r="D227">
            <v>0</v>
          </cell>
          <cell r="E227">
            <v>100000</v>
          </cell>
        </row>
        <row r="228">
          <cell r="A228">
            <v>23505690</v>
          </cell>
          <cell r="B228" t="str">
            <v>ISL A/c No-01530340000103 HDFC BANK LTD</v>
          </cell>
          <cell r="C228">
            <v>0</v>
          </cell>
          <cell r="D228">
            <v>0</v>
          </cell>
          <cell r="E228">
            <v>0</v>
          </cell>
        </row>
        <row r="229">
          <cell r="A229">
            <v>23509780</v>
          </cell>
          <cell r="B229" t="str">
            <v>State Bank Of Patiala 65016496315 -ISL</v>
          </cell>
          <cell r="C229">
            <v>26860</v>
          </cell>
          <cell r="D229">
            <v>0</v>
          </cell>
          <cell r="E229">
            <v>26860</v>
          </cell>
        </row>
        <row r="230">
          <cell r="A230">
            <v>23510470</v>
          </cell>
          <cell r="B230" t="str">
            <v>Indian Bank  a/c no 723815435</v>
          </cell>
          <cell r="C230">
            <v>5991</v>
          </cell>
          <cell r="D230">
            <v>0</v>
          </cell>
          <cell r="E230">
            <v>5991</v>
          </cell>
        </row>
        <row r="231">
          <cell r="A231">
            <v>23510510</v>
          </cell>
          <cell r="B231" t="str">
            <v>Bank Of India-Client A/c 600320110000136</v>
          </cell>
          <cell r="C231">
            <v>1048907.3999999999</v>
          </cell>
          <cell r="D231">
            <v>0</v>
          </cell>
          <cell r="E231">
            <v>1048907.3999999999</v>
          </cell>
        </row>
        <row r="232">
          <cell r="A232">
            <v>23510570</v>
          </cell>
          <cell r="B232" t="str">
            <v>FDR General</v>
          </cell>
          <cell r="C232">
            <v>2340357532.7800002</v>
          </cell>
          <cell r="D232">
            <v>0</v>
          </cell>
          <cell r="E232">
            <v>2340357532.7800002</v>
          </cell>
        </row>
        <row r="233">
          <cell r="A233">
            <v>23511750</v>
          </cell>
          <cell r="B233" t="str">
            <v>AXIS Bank 007010200049799</v>
          </cell>
          <cell r="C233">
            <v>1181121.6000000001</v>
          </cell>
          <cell r="D233">
            <v>0</v>
          </cell>
          <cell r="E233">
            <v>1181121.6000000001</v>
          </cell>
        </row>
        <row r="234">
          <cell r="A234">
            <v>23512480</v>
          </cell>
          <cell r="B234" t="str">
            <v>ISL A/c No-00670340000865 HDFC BANK LTD</v>
          </cell>
          <cell r="C234">
            <v>2285.5300000000002</v>
          </cell>
          <cell r="D234">
            <v>0</v>
          </cell>
          <cell r="E234">
            <v>2285.5300000000002</v>
          </cell>
        </row>
        <row r="235">
          <cell r="A235">
            <v>23513090</v>
          </cell>
          <cell r="B235" t="str">
            <v>Punjab and Sind bank a/c no. 105742</v>
          </cell>
          <cell r="C235">
            <v>9446</v>
          </cell>
          <cell r="D235">
            <v>0</v>
          </cell>
          <cell r="E235">
            <v>9446</v>
          </cell>
        </row>
        <row r="236">
          <cell r="A236">
            <v>23513140</v>
          </cell>
          <cell r="B236" t="str">
            <v>Vijaya Bank A/C 500600301000135</v>
          </cell>
          <cell r="C236">
            <v>23155</v>
          </cell>
          <cell r="D236">
            <v>0</v>
          </cell>
          <cell r="E236">
            <v>23155</v>
          </cell>
        </row>
        <row r="237">
          <cell r="A237">
            <v>23514070</v>
          </cell>
          <cell r="B237" t="str">
            <v>HDFC Bank Ltd. 05988510000240 ISL DIVIDEND 07-08</v>
          </cell>
          <cell r="C237">
            <v>4172453</v>
          </cell>
          <cell r="D237">
            <v>0</v>
          </cell>
          <cell r="E237">
            <v>4172453</v>
          </cell>
        </row>
        <row r="238">
          <cell r="A238">
            <v>23514750</v>
          </cell>
          <cell r="B238" t="str">
            <v>IDBI A/C 038102000015543(F/D A/C, GURGAON)</v>
          </cell>
          <cell r="C238">
            <v>12033.24</v>
          </cell>
          <cell r="D238">
            <v>0</v>
          </cell>
          <cell r="E238">
            <v>12033.24</v>
          </cell>
        </row>
        <row r="239">
          <cell r="A239">
            <v>23515110</v>
          </cell>
          <cell r="B239" t="str">
            <v>Indusind Bank  200007929041 (0148AZ0161050 Client)</v>
          </cell>
          <cell r="C239">
            <v>-613817.16</v>
          </cell>
          <cell r="D239">
            <v>0</v>
          </cell>
          <cell r="E239">
            <v>-613817.16</v>
          </cell>
        </row>
        <row r="240">
          <cell r="A240">
            <v>23515140</v>
          </cell>
          <cell r="B240" t="str">
            <v>ISL A/c No-03632340000019 HDFC BANK LTD</v>
          </cell>
          <cell r="C240">
            <v>70855.25</v>
          </cell>
          <cell r="D240">
            <v>0</v>
          </cell>
          <cell r="E240">
            <v>70855.25</v>
          </cell>
        </row>
        <row r="241">
          <cell r="A241">
            <v>23515220</v>
          </cell>
          <cell r="B241" t="str">
            <v>ISL A/c No. 910020000663449 Axis Bank Ltd</v>
          </cell>
          <cell r="C241">
            <v>952946.34</v>
          </cell>
          <cell r="D241">
            <v>0</v>
          </cell>
          <cell r="E241">
            <v>952946.34</v>
          </cell>
        </row>
        <row r="242">
          <cell r="A242">
            <v>23515230</v>
          </cell>
          <cell r="B242" t="str">
            <v>ISL A/c No. 910020000584265 Axis Bank Ltd</v>
          </cell>
          <cell r="C242">
            <v>10000</v>
          </cell>
          <cell r="D242">
            <v>0</v>
          </cell>
          <cell r="E242">
            <v>10000</v>
          </cell>
        </row>
        <row r="243">
          <cell r="A243">
            <v>23515240</v>
          </cell>
          <cell r="B243" t="str">
            <v>ISL A/c No. 910020000572673 Axis Bank Ltd</v>
          </cell>
          <cell r="C243">
            <v>10000</v>
          </cell>
          <cell r="D243">
            <v>0</v>
          </cell>
          <cell r="E243">
            <v>10000</v>
          </cell>
        </row>
        <row r="244">
          <cell r="A244">
            <v>23515250</v>
          </cell>
          <cell r="B244" t="str">
            <v>MFSS - IndusInd 200003174261 (old0033-567046-051)</v>
          </cell>
          <cell r="C244">
            <v>-253.42</v>
          </cell>
          <cell r="D244">
            <v>0</v>
          </cell>
          <cell r="E244">
            <v>-253.42</v>
          </cell>
        </row>
        <row r="245">
          <cell r="A245">
            <v>23515310</v>
          </cell>
          <cell r="B245" t="str">
            <v>ISL SBI A/C NO - 31023077002</v>
          </cell>
          <cell r="C245">
            <v>64392.35</v>
          </cell>
          <cell r="D245">
            <v>0</v>
          </cell>
          <cell r="E245">
            <v>64392.35</v>
          </cell>
        </row>
        <row r="246">
          <cell r="A246">
            <v>23515510</v>
          </cell>
          <cell r="B246" t="str">
            <v>ISL BSE F&amp;O Settla/c ICICI Bank Ltd 000405058620</v>
          </cell>
          <cell r="C246">
            <v>191491.95</v>
          </cell>
          <cell r="D246">
            <v>0</v>
          </cell>
          <cell r="E246">
            <v>191491.95</v>
          </cell>
        </row>
        <row r="247">
          <cell r="A247">
            <v>23515740</v>
          </cell>
          <cell r="B247" t="str">
            <v>HDFC BANK LTD. A/C no- 13300340000017</v>
          </cell>
          <cell r="C247">
            <v>0</v>
          </cell>
          <cell r="D247">
            <v>0</v>
          </cell>
          <cell r="E247">
            <v>0</v>
          </cell>
        </row>
        <row r="248">
          <cell r="A248">
            <v>23515770</v>
          </cell>
          <cell r="B248" t="str">
            <v>BANK OF BRODA Client 00950200000776</v>
          </cell>
          <cell r="C248">
            <v>357368.07</v>
          </cell>
          <cell r="D248">
            <v>0</v>
          </cell>
          <cell r="E248">
            <v>357368.07</v>
          </cell>
        </row>
        <row r="249">
          <cell r="A249">
            <v>23515830</v>
          </cell>
          <cell r="B249" t="str">
            <v>Axis Bank 910020018494420 Dividend A/c</v>
          </cell>
          <cell r="C249">
            <v>2487704</v>
          </cell>
          <cell r="D249">
            <v>0</v>
          </cell>
          <cell r="E249">
            <v>2487704</v>
          </cell>
        </row>
        <row r="250">
          <cell r="A250">
            <v>23515860</v>
          </cell>
          <cell r="B250" t="str">
            <v>Citi Bank A/c 29232229 Client A/c</v>
          </cell>
          <cell r="C250">
            <v>1122.2</v>
          </cell>
          <cell r="D250">
            <v>0</v>
          </cell>
          <cell r="E250">
            <v>1122.2</v>
          </cell>
        </row>
        <row r="251">
          <cell r="A251">
            <v>23515950</v>
          </cell>
          <cell r="B251" t="str">
            <v>ISL A/c No. 06340340000097 HDFC Bank Ltd.</v>
          </cell>
          <cell r="C251">
            <v>6251.23</v>
          </cell>
          <cell r="D251">
            <v>0</v>
          </cell>
          <cell r="E251">
            <v>6251.23</v>
          </cell>
        </row>
        <row r="252">
          <cell r="A252">
            <v>23515990</v>
          </cell>
          <cell r="B252" t="str">
            <v>ICICI BANK, 000705034254 Client A/c</v>
          </cell>
          <cell r="C252">
            <v>-1010000</v>
          </cell>
          <cell r="D252">
            <v>0</v>
          </cell>
          <cell r="E252">
            <v>-1010000</v>
          </cell>
        </row>
        <row r="253">
          <cell r="A253">
            <v>23516000</v>
          </cell>
          <cell r="B253" t="str">
            <v>STATE BANK OF INDIA 31269652734 Client A/C</v>
          </cell>
          <cell r="C253">
            <v>1958031.73</v>
          </cell>
          <cell r="D253">
            <v>0</v>
          </cell>
          <cell r="E253">
            <v>1958031.73</v>
          </cell>
        </row>
        <row r="254">
          <cell r="A254">
            <v>23516010</v>
          </cell>
          <cell r="B254" t="str">
            <v>Indusind Bank 200007929056 (0148AZ0161051 Client)</v>
          </cell>
          <cell r="C254">
            <v>838035</v>
          </cell>
          <cell r="D254">
            <v>0</v>
          </cell>
          <cell r="E254">
            <v>838035</v>
          </cell>
        </row>
        <row r="255">
          <cell r="A255">
            <v>23516020</v>
          </cell>
          <cell r="B255" t="str">
            <v>Karur Vysya Bank A/c Mumbai- 2119135000000014</v>
          </cell>
          <cell r="C255">
            <v>50000.3</v>
          </cell>
          <cell r="D255">
            <v>0</v>
          </cell>
          <cell r="E255">
            <v>50000.3</v>
          </cell>
        </row>
        <row r="256">
          <cell r="A256">
            <v>23516260</v>
          </cell>
          <cell r="B256" t="str">
            <v>HDFC Bank Ltd. A/c 00030340047441 - MCX SX Client</v>
          </cell>
          <cell r="C256">
            <v>10000</v>
          </cell>
          <cell r="D256">
            <v>0</v>
          </cell>
          <cell r="E256">
            <v>10000</v>
          </cell>
        </row>
        <row r="257">
          <cell r="A257">
            <v>23516270</v>
          </cell>
          <cell r="B257" t="str">
            <v>HDFC Bank Ltd. A/c 00030340047431 MCX SX Business</v>
          </cell>
          <cell r="C257">
            <v>10000</v>
          </cell>
          <cell r="D257">
            <v>0</v>
          </cell>
          <cell r="E257">
            <v>10000</v>
          </cell>
        </row>
        <row r="258">
          <cell r="A258">
            <v>23516290</v>
          </cell>
          <cell r="B258" t="str">
            <v>HDFC Bank 05988510000586 DIVIDEND A/C 2010-2011</v>
          </cell>
          <cell r="C258">
            <v>1879551</v>
          </cell>
          <cell r="D258">
            <v>0</v>
          </cell>
          <cell r="E258">
            <v>1879551</v>
          </cell>
        </row>
        <row r="259">
          <cell r="A259">
            <v>23516530</v>
          </cell>
          <cell r="B259" t="str">
            <v>IDBI Bank Ltd. A/c 171102000006385</v>
          </cell>
          <cell r="C259">
            <v>138175.60999999999</v>
          </cell>
          <cell r="D259">
            <v>0</v>
          </cell>
          <cell r="E259">
            <v>138175.60999999999</v>
          </cell>
        </row>
        <row r="260">
          <cell r="A260">
            <v>23517090</v>
          </cell>
          <cell r="B260" t="str">
            <v>YES BANK '010585700000020</v>
          </cell>
          <cell r="C260">
            <v>381003.28</v>
          </cell>
          <cell r="D260">
            <v>0</v>
          </cell>
          <cell r="E260">
            <v>381003.28</v>
          </cell>
        </row>
        <row r="261">
          <cell r="A261">
            <v>23517520</v>
          </cell>
          <cell r="B261" t="str">
            <v>HDFC Bank Ltd. A/c 05982340006657</v>
          </cell>
          <cell r="C261">
            <v>14329.7</v>
          </cell>
          <cell r="D261">
            <v>0</v>
          </cell>
          <cell r="E261">
            <v>14329.7</v>
          </cell>
        </row>
        <row r="262">
          <cell r="A262">
            <v>23517590</v>
          </cell>
          <cell r="B262" t="str">
            <v>SBI A/c No. 31748946887 Indiabulls Securities Ltd.</v>
          </cell>
          <cell r="C262">
            <v>133426</v>
          </cell>
          <cell r="D262">
            <v>0</v>
          </cell>
          <cell r="E262">
            <v>133426</v>
          </cell>
        </row>
        <row r="263">
          <cell r="A263">
            <v>23517990</v>
          </cell>
          <cell r="B263" t="str">
            <v>HDFC Bank Ltd. A/c 00030340052965 Client A/c</v>
          </cell>
          <cell r="C263">
            <v>265283.07</v>
          </cell>
          <cell r="D263">
            <v>0</v>
          </cell>
          <cell r="E263">
            <v>265283.07</v>
          </cell>
        </row>
        <row r="264">
          <cell r="A264">
            <v>23518150</v>
          </cell>
          <cell r="B264" t="str">
            <v>ISL A/c No-12280340000018 HDFC BANK LTD</v>
          </cell>
          <cell r="C264">
            <v>17581.919999999998</v>
          </cell>
          <cell r="D264">
            <v>0</v>
          </cell>
          <cell r="E264">
            <v>17581.919999999998</v>
          </cell>
        </row>
        <row r="265">
          <cell r="A265">
            <v>23518200</v>
          </cell>
          <cell r="B265" t="str">
            <v>UCO Bank A/c '01200210001080 Salary A/c</v>
          </cell>
          <cell r="C265">
            <v>9518</v>
          </cell>
          <cell r="D265">
            <v>0</v>
          </cell>
          <cell r="E265">
            <v>9518</v>
          </cell>
        </row>
        <row r="266">
          <cell r="A266">
            <v>23518570</v>
          </cell>
          <cell r="B266" t="str">
            <v>ISL A/c No. 02802340000031 HDFC Bank Ltd.</v>
          </cell>
          <cell r="C266">
            <v>19530.59</v>
          </cell>
          <cell r="D266">
            <v>0</v>
          </cell>
          <cell r="E266">
            <v>19530.59</v>
          </cell>
        </row>
        <row r="267">
          <cell r="A267">
            <v>23519820</v>
          </cell>
          <cell r="B267" t="str">
            <v>Yes Bank Ltd 000284000001354 OTS A/c</v>
          </cell>
          <cell r="C267">
            <v>1153710.3500000001</v>
          </cell>
          <cell r="D267">
            <v>0</v>
          </cell>
          <cell r="E267">
            <v>1153710.3500000001</v>
          </cell>
        </row>
        <row r="268">
          <cell r="A268">
            <v>23520009</v>
          </cell>
          <cell r="B268" t="str">
            <v>Ahmedabad Offline Petty Cash</v>
          </cell>
          <cell r="C268">
            <v>3740</v>
          </cell>
          <cell r="D268">
            <v>0</v>
          </cell>
          <cell r="E268">
            <v>3740</v>
          </cell>
        </row>
        <row r="269">
          <cell r="A269">
            <v>23520020</v>
          </cell>
          <cell r="B269" t="str">
            <v>Allahabad Offline Petty Cash</v>
          </cell>
          <cell r="C269">
            <v>6</v>
          </cell>
          <cell r="D269">
            <v>0</v>
          </cell>
          <cell r="E269">
            <v>6</v>
          </cell>
        </row>
        <row r="270">
          <cell r="A270">
            <v>23520029</v>
          </cell>
          <cell r="B270" t="str">
            <v>Amritsar Offline Petty Cash</v>
          </cell>
          <cell r="C270">
            <v>2072</v>
          </cell>
          <cell r="D270">
            <v>0</v>
          </cell>
          <cell r="E270">
            <v>2072</v>
          </cell>
        </row>
        <row r="271">
          <cell r="A271">
            <v>23520047</v>
          </cell>
          <cell r="B271" t="str">
            <v>Banglore M.G. Road Petty Cash</v>
          </cell>
          <cell r="C271">
            <v>47</v>
          </cell>
          <cell r="D271">
            <v>0</v>
          </cell>
          <cell r="E271">
            <v>47</v>
          </cell>
        </row>
        <row r="272">
          <cell r="A272">
            <v>23520052</v>
          </cell>
          <cell r="B272" t="str">
            <v>Baroda Online Petty Cash</v>
          </cell>
          <cell r="C272">
            <v>860</v>
          </cell>
          <cell r="D272">
            <v>0</v>
          </cell>
          <cell r="E272">
            <v>860</v>
          </cell>
        </row>
        <row r="273">
          <cell r="A273">
            <v>23520081</v>
          </cell>
          <cell r="B273" t="str">
            <v>Calcutta Lee Road Petty Cash</v>
          </cell>
          <cell r="C273">
            <v>0</v>
          </cell>
          <cell r="D273">
            <v>0</v>
          </cell>
          <cell r="E273">
            <v>0</v>
          </cell>
        </row>
        <row r="274">
          <cell r="A274">
            <v>23520085</v>
          </cell>
          <cell r="B274" t="str">
            <v>Chandigarh Sector-35 Online Petty Cash</v>
          </cell>
          <cell r="C274">
            <v>576</v>
          </cell>
          <cell r="D274">
            <v>0</v>
          </cell>
          <cell r="E274">
            <v>576</v>
          </cell>
        </row>
        <row r="275">
          <cell r="A275">
            <v>23520096</v>
          </cell>
          <cell r="B275" t="str">
            <v>Chennai T Nagar Online Petty Cash</v>
          </cell>
          <cell r="C275">
            <v>3776</v>
          </cell>
          <cell r="D275">
            <v>0</v>
          </cell>
          <cell r="E275">
            <v>3776</v>
          </cell>
        </row>
        <row r="276">
          <cell r="A276">
            <v>23520098</v>
          </cell>
          <cell r="B276" t="str">
            <v>Chennai Offline Petty Cash</v>
          </cell>
          <cell r="C276">
            <v>15268</v>
          </cell>
          <cell r="D276">
            <v>0</v>
          </cell>
          <cell r="E276">
            <v>15268</v>
          </cell>
        </row>
        <row r="277">
          <cell r="A277">
            <v>23520106</v>
          </cell>
          <cell r="B277" t="str">
            <v>Cochin Petty Cash</v>
          </cell>
          <cell r="C277">
            <v>0</v>
          </cell>
          <cell r="D277">
            <v>0</v>
          </cell>
          <cell r="E277">
            <v>0</v>
          </cell>
        </row>
        <row r="278">
          <cell r="A278">
            <v>23520108</v>
          </cell>
          <cell r="B278" t="str">
            <v>Coimbatore Offline Petty Cash</v>
          </cell>
          <cell r="C278">
            <v>418</v>
          </cell>
          <cell r="D278">
            <v>0</v>
          </cell>
          <cell r="E278">
            <v>418</v>
          </cell>
        </row>
        <row r="279">
          <cell r="A279">
            <v>23520114</v>
          </cell>
          <cell r="B279" t="str">
            <v>Calcutta Dalhousie Petty Cash</v>
          </cell>
          <cell r="C279">
            <v>0</v>
          </cell>
          <cell r="D279">
            <v>0</v>
          </cell>
          <cell r="E279">
            <v>0</v>
          </cell>
        </row>
        <row r="280">
          <cell r="A280">
            <v>23520127</v>
          </cell>
          <cell r="B280" t="str">
            <v>ISL-DIVIDEND A/C-08-09 -HDFC 05988510000422</v>
          </cell>
          <cell r="C280">
            <v>2008790</v>
          </cell>
          <cell r="D280">
            <v>0</v>
          </cell>
          <cell r="E280">
            <v>2008790</v>
          </cell>
        </row>
        <row r="281">
          <cell r="A281">
            <v>23520134</v>
          </cell>
          <cell r="B281" t="str">
            <v>Delhi F Block Offline Petty Cash</v>
          </cell>
          <cell r="C281">
            <v>0</v>
          </cell>
          <cell r="D281">
            <v>0</v>
          </cell>
          <cell r="E281">
            <v>0</v>
          </cell>
        </row>
        <row r="282">
          <cell r="A282">
            <v>23520139</v>
          </cell>
          <cell r="B282" t="str">
            <v>Faridabad Sector-15 Online Petty Cash</v>
          </cell>
          <cell r="C282">
            <v>16779</v>
          </cell>
          <cell r="D282">
            <v>0</v>
          </cell>
          <cell r="E282">
            <v>16779</v>
          </cell>
        </row>
        <row r="283">
          <cell r="A283">
            <v>23520150</v>
          </cell>
          <cell r="B283" t="str">
            <v>HDFC Bank Ltd. Ltd. A/c No. 00030340037616</v>
          </cell>
          <cell r="C283">
            <v>-60571828.280000001</v>
          </cell>
          <cell r="D283">
            <v>0</v>
          </cell>
          <cell r="E283">
            <v>-60571828.280000001</v>
          </cell>
        </row>
        <row r="284">
          <cell r="A284">
            <v>23520152</v>
          </cell>
          <cell r="B284" t="str">
            <v>GOA PETTY CASH</v>
          </cell>
          <cell r="C284">
            <v>9817</v>
          </cell>
          <cell r="D284">
            <v>0</v>
          </cell>
          <cell r="E284">
            <v>9817</v>
          </cell>
        </row>
        <row r="285">
          <cell r="A285">
            <v>23520197</v>
          </cell>
          <cell r="B285" t="str">
            <v>Jaipur Raja Park Online Petty Cash</v>
          </cell>
          <cell r="C285">
            <v>1376</v>
          </cell>
          <cell r="D285">
            <v>0</v>
          </cell>
          <cell r="E285">
            <v>1376</v>
          </cell>
        </row>
        <row r="286">
          <cell r="A286">
            <v>23520199</v>
          </cell>
          <cell r="B286" t="str">
            <v>Jaipur Offline Petty Cash</v>
          </cell>
          <cell r="C286">
            <v>187</v>
          </cell>
          <cell r="D286">
            <v>0</v>
          </cell>
          <cell r="E286">
            <v>187</v>
          </cell>
        </row>
        <row r="287">
          <cell r="A287">
            <v>23520212</v>
          </cell>
          <cell r="B287" t="str">
            <v>Banglore Jayanagar Petty Cash</v>
          </cell>
          <cell r="C287">
            <v>2621</v>
          </cell>
          <cell r="D287">
            <v>0</v>
          </cell>
          <cell r="E287">
            <v>2621</v>
          </cell>
        </row>
        <row r="288">
          <cell r="A288">
            <v>23520231</v>
          </cell>
          <cell r="B288" t="str">
            <v>Petty Cash Kanpur Online  Krishna Tower</v>
          </cell>
          <cell r="C288">
            <v>39</v>
          </cell>
          <cell r="D288">
            <v>0</v>
          </cell>
          <cell r="E288">
            <v>39</v>
          </cell>
        </row>
        <row r="289">
          <cell r="A289">
            <v>23520262</v>
          </cell>
          <cell r="B289" t="str">
            <v>Lucknow Online Petty Cash</v>
          </cell>
          <cell r="C289">
            <v>470</v>
          </cell>
          <cell r="D289">
            <v>0</v>
          </cell>
          <cell r="E289">
            <v>470</v>
          </cell>
        </row>
        <row r="290">
          <cell r="A290">
            <v>23520310</v>
          </cell>
          <cell r="B290" t="str">
            <v>Delhi Kirti Nagar Offline Petty Cash A/c</v>
          </cell>
          <cell r="C290">
            <v>0</v>
          </cell>
          <cell r="D290">
            <v>0</v>
          </cell>
          <cell r="E290">
            <v>0</v>
          </cell>
        </row>
        <row r="291">
          <cell r="A291">
            <v>23520314</v>
          </cell>
          <cell r="B291" t="str">
            <v>Noida Online Petty Cash</v>
          </cell>
          <cell r="C291">
            <v>2603</v>
          </cell>
          <cell r="D291">
            <v>0</v>
          </cell>
          <cell r="E291">
            <v>2603</v>
          </cell>
        </row>
        <row r="292">
          <cell r="A292">
            <v>23520358</v>
          </cell>
          <cell r="B292" t="str">
            <v>Rajkot Offline Petty Cash</v>
          </cell>
          <cell r="C292">
            <v>144</v>
          </cell>
          <cell r="D292">
            <v>0</v>
          </cell>
          <cell r="E292">
            <v>144</v>
          </cell>
        </row>
        <row r="293">
          <cell r="A293">
            <v>23520420</v>
          </cell>
          <cell r="B293" t="str">
            <v>Surat Online Petty Cash</v>
          </cell>
          <cell r="C293">
            <v>0</v>
          </cell>
          <cell r="D293">
            <v>0</v>
          </cell>
          <cell r="E293">
            <v>0</v>
          </cell>
        </row>
        <row r="294">
          <cell r="A294">
            <v>23520462</v>
          </cell>
          <cell r="B294" t="str">
            <v>Vizag Offline Petty Cash</v>
          </cell>
          <cell r="C294">
            <v>1192</v>
          </cell>
          <cell r="D294">
            <v>0</v>
          </cell>
          <cell r="E294">
            <v>1192</v>
          </cell>
        </row>
        <row r="295">
          <cell r="A295">
            <v>23520492</v>
          </cell>
          <cell r="B295" t="str">
            <v>Chennai Franking Petty Cash</v>
          </cell>
          <cell r="C295">
            <v>0</v>
          </cell>
          <cell r="D295">
            <v>0</v>
          </cell>
          <cell r="E295">
            <v>0</v>
          </cell>
        </row>
        <row r="296">
          <cell r="A296">
            <v>23520600</v>
          </cell>
          <cell r="B296" t="str">
            <v>United Bank of India Delhi 0276050413756</v>
          </cell>
          <cell r="C296">
            <v>321540.36</v>
          </cell>
          <cell r="D296">
            <v>0</v>
          </cell>
          <cell r="E296">
            <v>321540.36</v>
          </cell>
        </row>
        <row r="297">
          <cell r="A297">
            <v>23520788</v>
          </cell>
          <cell r="B297" t="str">
            <v>Hydrabad Banajara Hills Petty Cash</v>
          </cell>
          <cell r="C297">
            <v>3391</v>
          </cell>
          <cell r="D297">
            <v>0</v>
          </cell>
          <cell r="E297">
            <v>3391</v>
          </cell>
        </row>
        <row r="298">
          <cell r="A298">
            <v>23520849</v>
          </cell>
          <cell r="B298" t="str">
            <v>Gurgaon Cyber City Petty Cash</v>
          </cell>
          <cell r="C298">
            <v>0</v>
          </cell>
          <cell r="D298">
            <v>0</v>
          </cell>
          <cell r="E298">
            <v>0</v>
          </cell>
        </row>
        <row r="299">
          <cell r="A299">
            <v>23520850</v>
          </cell>
          <cell r="B299" t="str">
            <v>00990630003199 (Settlement a\c ) HDFC BANK A\C</v>
          </cell>
          <cell r="C299">
            <v>104224.22</v>
          </cell>
          <cell r="D299">
            <v>0</v>
          </cell>
          <cell r="E299">
            <v>104224.22</v>
          </cell>
        </row>
        <row r="300">
          <cell r="A300">
            <v>23520880</v>
          </cell>
          <cell r="B300" t="str">
            <v>HDFC BANK 5982340005073</v>
          </cell>
          <cell r="C300">
            <v>10000</v>
          </cell>
          <cell r="D300">
            <v>0</v>
          </cell>
          <cell r="E300">
            <v>10000</v>
          </cell>
        </row>
        <row r="301">
          <cell r="A301">
            <v>23520890</v>
          </cell>
          <cell r="B301" t="str">
            <v>HDFC BANK '0030340025525</v>
          </cell>
          <cell r="C301">
            <v>13644.28</v>
          </cell>
          <cell r="D301">
            <v>0</v>
          </cell>
          <cell r="E301">
            <v>13644.28</v>
          </cell>
        </row>
        <row r="302">
          <cell r="A302">
            <v>23520910</v>
          </cell>
          <cell r="B302" t="str">
            <v>IDBI BANK 038102000010779</v>
          </cell>
          <cell r="C302">
            <v>10000</v>
          </cell>
          <cell r="D302">
            <v>0</v>
          </cell>
          <cell r="E302">
            <v>10000</v>
          </cell>
        </row>
        <row r="303">
          <cell r="A303">
            <v>23521159</v>
          </cell>
          <cell r="B303" t="str">
            <v>Pune Kasturba Marg Online Petty Cash</v>
          </cell>
          <cell r="C303">
            <v>228</v>
          </cell>
          <cell r="D303">
            <v>0</v>
          </cell>
          <cell r="E303">
            <v>228</v>
          </cell>
        </row>
        <row r="304">
          <cell r="A304">
            <v>23521320</v>
          </cell>
          <cell r="B304" t="str">
            <v>Canara Bank A/c 2577201017424 (ISL)</v>
          </cell>
          <cell r="C304">
            <v>2431304.9300000002</v>
          </cell>
          <cell r="D304">
            <v>0</v>
          </cell>
          <cell r="E304">
            <v>2431304.9300000002</v>
          </cell>
        </row>
        <row r="305">
          <cell r="A305">
            <v>23521700</v>
          </cell>
          <cell r="B305" t="str">
            <v>Karnataka Bank 1012000100631101 Client A/c</v>
          </cell>
          <cell r="C305">
            <v>209831</v>
          </cell>
          <cell r="D305">
            <v>0</v>
          </cell>
          <cell r="E305">
            <v>209831</v>
          </cell>
        </row>
        <row r="306">
          <cell r="A306">
            <v>23522600</v>
          </cell>
          <cell r="B306" t="str">
            <v>Yes Bank 000184400003981- Interim Dividend 2012-13</v>
          </cell>
          <cell r="C306">
            <v>2771435</v>
          </cell>
          <cell r="D306">
            <v>0</v>
          </cell>
          <cell r="E306">
            <v>2771435</v>
          </cell>
        </row>
        <row r="307">
          <cell r="A307">
            <v>23522690</v>
          </cell>
          <cell r="B307" t="str">
            <v>ISL A/c No-02790340000013 HDFC BANK LTD</v>
          </cell>
          <cell r="C307">
            <v>14403</v>
          </cell>
          <cell r="D307">
            <v>0</v>
          </cell>
          <cell r="E307">
            <v>14403</v>
          </cell>
        </row>
        <row r="308">
          <cell r="A308">
            <v>23522730</v>
          </cell>
          <cell r="B308" t="str">
            <v>Axis bank Ltd A/c no 912020056404872</v>
          </cell>
          <cell r="C308">
            <v>12471497.550000001</v>
          </cell>
          <cell r="D308">
            <v>0</v>
          </cell>
          <cell r="E308">
            <v>12471497.550000001</v>
          </cell>
        </row>
        <row r="309">
          <cell r="A309">
            <v>23524710</v>
          </cell>
          <cell r="B309" t="str">
            <v>Axis Bank Ltd 912020066513908 Client A/c</v>
          </cell>
          <cell r="C309">
            <v>105000</v>
          </cell>
          <cell r="D309">
            <v>0</v>
          </cell>
          <cell r="E309">
            <v>105000</v>
          </cell>
        </row>
        <row r="310">
          <cell r="A310">
            <v>23525700</v>
          </cell>
          <cell r="B310" t="str">
            <v>Axis 913020004572245 Interim Divid 2012-13 -II</v>
          </cell>
          <cell r="C310">
            <v>2687092</v>
          </cell>
          <cell r="D310">
            <v>0</v>
          </cell>
          <cell r="E310">
            <v>2687092</v>
          </cell>
        </row>
        <row r="311">
          <cell r="A311">
            <v>23525730</v>
          </cell>
          <cell r="B311" t="str">
            <v>Axis Bank 913020004572520 Interim Div A/c 2012-13</v>
          </cell>
          <cell r="C311">
            <v>62227</v>
          </cell>
          <cell r="D311">
            <v>0</v>
          </cell>
          <cell r="E311">
            <v>62227</v>
          </cell>
        </row>
        <row r="312">
          <cell r="A312">
            <v>23526010</v>
          </cell>
          <cell r="B312" t="str">
            <v>Axis Bank 913020020658570 Inte Divid III A/c 12-13</v>
          </cell>
          <cell r="C312">
            <v>231112511</v>
          </cell>
          <cell r="D312">
            <v>0</v>
          </cell>
          <cell r="E312">
            <v>231112511</v>
          </cell>
        </row>
        <row r="313">
          <cell r="A313">
            <v>24500000</v>
          </cell>
          <cell r="B313" t="str">
            <v>Cash in hand</v>
          </cell>
          <cell r="C313">
            <v>19117</v>
          </cell>
          <cell r="D313">
            <v>0</v>
          </cell>
          <cell r="E313">
            <v>19117</v>
          </cell>
        </row>
        <row r="314">
          <cell r="A314">
            <v>24500001</v>
          </cell>
          <cell r="B314" t="str">
            <v>Mumbai Cash</v>
          </cell>
          <cell r="C314">
            <v>29862</v>
          </cell>
          <cell r="D314">
            <v>0</v>
          </cell>
          <cell r="E314">
            <v>29862</v>
          </cell>
        </row>
        <row r="315">
          <cell r="A315">
            <v>24500004</v>
          </cell>
          <cell r="B315" t="str">
            <v>Faridabad Online Petty Cash</v>
          </cell>
          <cell r="C315">
            <v>2056</v>
          </cell>
          <cell r="D315">
            <v>0</v>
          </cell>
          <cell r="E315">
            <v>2056</v>
          </cell>
        </row>
        <row r="316">
          <cell r="A316">
            <v>24532030</v>
          </cell>
          <cell r="B316" t="str">
            <v>Oriental Bank of Commerce a/c no 01791011001474</v>
          </cell>
          <cell r="C316">
            <v>17660</v>
          </cell>
          <cell r="D316">
            <v>0</v>
          </cell>
          <cell r="E316">
            <v>17660</v>
          </cell>
        </row>
        <row r="317">
          <cell r="A317">
            <v>24532050</v>
          </cell>
          <cell r="B317" t="str">
            <v>CITI BANK A/C NO 325250046.</v>
          </cell>
          <cell r="C317">
            <v>36398.06</v>
          </cell>
          <cell r="D317">
            <v>0</v>
          </cell>
          <cell r="E317">
            <v>36398.06</v>
          </cell>
        </row>
        <row r="318">
          <cell r="A318">
            <v>24532140</v>
          </cell>
          <cell r="B318" t="str">
            <v>UNION BANK OF INDIA 317901011012025</v>
          </cell>
          <cell r="C318">
            <v>362.76</v>
          </cell>
          <cell r="D318">
            <v>0</v>
          </cell>
          <cell r="E318">
            <v>362.76</v>
          </cell>
        </row>
        <row r="319">
          <cell r="A319">
            <v>24532331</v>
          </cell>
          <cell r="B319" t="str">
            <v>Ghaziabad Online Petty Cash</v>
          </cell>
          <cell r="C319">
            <v>19</v>
          </cell>
          <cell r="D319">
            <v>0</v>
          </cell>
          <cell r="E319">
            <v>19</v>
          </cell>
        </row>
        <row r="320">
          <cell r="A320">
            <v>24700005</v>
          </cell>
          <cell r="B320" t="str">
            <v>Brokerage Charges Receivable</v>
          </cell>
          <cell r="C320">
            <v>3257310.86</v>
          </cell>
          <cell r="D320">
            <v>0</v>
          </cell>
          <cell r="E320">
            <v>3257310.86</v>
          </cell>
        </row>
        <row r="321">
          <cell r="A321">
            <v>24700010</v>
          </cell>
          <cell r="B321" t="str">
            <v>TDS BSE -GBSE</v>
          </cell>
          <cell r="C321">
            <v>112785</v>
          </cell>
          <cell r="D321">
            <v>0</v>
          </cell>
          <cell r="E321">
            <v>112785</v>
          </cell>
        </row>
        <row r="322">
          <cell r="A322">
            <v>24700011</v>
          </cell>
          <cell r="B322" t="str">
            <v>TDS - NSE GSNSE</v>
          </cell>
          <cell r="C322">
            <v>1827408</v>
          </cell>
          <cell r="D322">
            <v>0</v>
          </cell>
          <cell r="E322">
            <v>1827408</v>
          </cell>
        </row>
        <row r="323">
          <cell r="A323">
            <v>24700013</v>
          </cell>
          <cell r="B323" t="str">
            <v>Security Deposit With Bse</v>
          </cell>
          <cell r="C323">
            <v>500000</v>
          </cell>
          <cell r="D323">
            <v>0</v>
          </cell>
          <cell r="E323">
            <v>500000</v>
          </cell>
        </row>
        <row r="324">
          <cell r="A324">
            <v>24700036</v>
          </cell>
          <cell r="B324" t="str">
            <v>Vendors Balances-Against Advance for fixed assets</v>
          </cell>
          <cell r="C324">
            <v>5971149.7999999998</v>
          </cell>
          <cell r="D324">
            <v>0</v>
          </cell>
          <cell r="E324">
            <v>5971149.7999999998</v>
          </cell>
        </row>
        <row r="325">
          <cell r="A325">
            <v>24700037</v>
          </cell>
          <cell r="B325" t="str">
            <v>Vendors Balances-Against Advance for Interior</v>
          </cell>
          <cell r="C325">
            <v>277612</v>
          </cell>
          <cell r="D325">
            <v>0</v>
          </cell>
          <cell r="E325">
            <v>277612</v>
          </cell>
        </row>
        <row r="326">
          <cell r="A326">
            <v>24700038</v>
          </cell>
          <cell r="B326" t="str">
            <v>Security Deposit Paid</v>
          </cell>
          <cell r="C326">
            <v>86659809.780000001</v>
          </cell>
          <cell r="D326">
            <v>0</v>
          </cell>
          <cell r="E326">
            <v>86659809.780000001</v>
          </cell>
        </row>
        <row r="327">
          <cell r="A327">
            <v>24700040</v>
          </cell>
          <cell r="B327" t="str">
            <v>Vendors BalancesSecurity Deposit-Others</v>
          </cell>
          <cell r="C327">
            <v>10000</v>
          </cell>
          <cell r="D327">
            <v>0</v>
          </cell>
          <cell r="E327">
            <v>10000</v>
          </cell>
        </row>
        <row r="328">
          <cell r="A328">
            <v>24700041</v>
          </cell>
          <cell r="B328" t="str">
            <v>Vendors Balances-Other Vendor Advances</v>
          </cell>
          <cell r="C328">
            <v>32589784.690000001</v>
          </cell>
          <cell r="D328">
            <v>0</v>
          </cell>
          <cell r="E328">
            <v>32589784.690000001</v>
          </cell>
        </row>
        <row r="329">
          <cell r="A329">
            <v>24700043</v>
          </cell>
          <cell r="B329" t="str">
            <v>Vendors Balances - Advance Against Salary</v>
          </cell>
          <cell r="C329">
            <v>156536</v>
          </cell>
          <cell r="D329">
            <v>0</v>
          </cell>
          <cell r="E329">
            <v>156536</v>
          </cell>
        </row>
        <row r="330">
          <cell r="A330">
            <v>24700046</v>
          </cell>
          <cell r="B330" t="str">
            <v>Vendors Balances - Others Advances to Employees</v>
          </cell>
          <cell r="C330">
            <v>40900</v>
          </cell>
          <cell r="D330">
            <v>0</v>
          </cell>
          <cell r="E330">
            <v>40900</v>
          </cell>
        </row>
        <row r="331">
          <cell r="A331">
            <v>24700055</v>
          </cell>
          <cell r="B331" t="str">
            <v>Tax Deducted at Source 2007-08</v>
          </cell>
          <cell r="C331">
            <v>16088886.99</v>
          </cell>
          <cell r="D331">
            <v>0</v>
          </cell>
          <cell r="E331">
            <v>16088886.99</v>
          </cell>
        </row>
        <row r="332">
          <cell r="A332">
            <v>24700060</v>
          </cell>
          <cell r="B332" t="str">
            <v>TDS DEDUCTED FIXED DEPOSIT 2007-2008</v>
          </cell>
          <cell r="C332">
            <v>69436108.640000001</v>
          </cell>
          <cell r="D332">
            <v>0</v>
          </cell>
          <cell r="E332">
            <v>69436108.640000001</v>
          </cell>
        </row>
        <row r="333">
          <cell r="A333">
            <v>24700112</v>
          </cell>
          <cell r="B333" t="str">
            <v>Security Deposit with BSE for SLBS Registration</v>
          </cell>
          <cell r="C333">
            <v>1000000</v>
          </cell>
          <cell r="D333">
            <v>0</v>
          </cell>
          <cell r="E333">
            <v>1000000</v>
          </cell>
        </row>
        <row r="334">
          <cell r="A334">
            <v>24700131</v>
          </cell>
          <cell r="B334" t="str">
            <v>Tds Deducted FY10-11</v>
          </cell>
          <cell r="C334">
            <v>886887.84</v>
          </cell>
          <cell r="D334">
            <v>0</v>
          </cell>
          <cell r="E334">
            <v>886887.84</v>
          </cell>
        </row>
        <row r="335">
          <cell r="A335">
            <v>24710060</v>
          </cell>
          <cell r="B335" t="str">
            <v>Loan and Advances-  ICD Given</v>
          </cell>
          <cell r="C335">
            <v>1717500000</v>
          </cell>
          <cell r="D335">
            <v>0</v>
          </cell>
          <cell r="E335">
            <v>1717500000</v>
          </cell>
        </row>
        <row r="336">
          <cell r="A336">
            <v>24710072</v>
          </cell>
          <cell r="B336" t="str">
            <v>Modvatable Input Service Tax Clearing 12.36%</v>
          </cell>
          <cell r="C336">
            <v>5475653.9199999999</v>
          </cell>
          <cell r="D336">
            <v>0</v>
          </cell>
          <cell r="E336">
            <v>5475653.9199999999</v>
          </cell>
        </row>
        <row r="337">
          <cell r="A337">
            <v>24710091</v>
          </cell>
          <cell r="B337" t="str">
            <v>TDS DEDUCTED FIXED DEPOSIT 2008-2009</v>
          </cell>
          <cell r="C337">
            <v>-0.32</v>
          </cell>
          <cell r="D337">
            <v>0</v>
          </cell>
          <cell r="E337">
            <v>-0.32</v>
          </cell>
        </row>
        <row r="338">
          <cell r="A338">
            <v>24710095</v>
          </cell>
          <cell r="B338" t="str">
            <v>Inter Co.Vendor-Advance for land Given</v>
          </cell>
          <cell r="C338">
            <v>100000000</v>
          </cell>
          <cell r="D338">
            <v>0</v>
          </cell>
          <cell r="E338">
            <v>100000000</v>
          </cell>
        </row>
        <row r="339">
          <cell r="A339">
            <v>24710108</v>
          </cell>
          <cell r="B339" t="str">
            <v>Service Tax Refund Claim Manual</v>
          </cell>
          <cell r="C339">
            <v>37648.9</v>
          </cell>
          <cell r="D339">
            <v>0</v>
          </cell>
          <cell r="E339">
            <v>37648.9</v>
          </cell>
        </row>
        <row r="340">
          <cell r="A340">
            <v>24710110</v>
          </cell>
          <cell r="B340" t="str">
            <v>Prepaid Expenses</v>
          </cell>
          <cell r="C340">
            <v>19297664.699999999</v>
          </cell>
          <cell r="D340">
            <v>0</v>
          </cell>
          <cell r="E340">
            <v>19297664.699999999</v>
          </cell>
        </row>
        <row r="341">
          <cell r="A341">
            <v>24710114</v>
          </cell>
          <cell r="B341" t="str">
            <v>SALARY ADVANCE</v>
          </cell>
          <cell r="C341">
            <v>154639.20000000001</v>
          </cell>
          <cell r="D341">
            <v>0</v>
          </cell>
          <cell r="E341">
            <v>154639.20000000001</v>
          </cell>
        </row>
        <row r="342">
          <cell r="A342">
            <v>24710123</v>
          </cell>
          <cell r="B342" t="str">
            <v>Advance For Expense</v>
          </cell>
          <cell r="C342">
            <v>152500</v>
          </cell>
          <cell r="D342">
            <v>0</v>
          </cell>
          <cell r="E342">
            <v>152500</v>
          </cell>
        </row>
        <row r="343">
          <cell r="A343">
            <v>24710126</v>
          </cell>
          <cell r="B343" t="str">
            <v>AMITABH MISHRA LOAN A/C</v>
          </cell>
          <cell r="C343">
            <v>100000</v>
          </cell>
          <cell r="D343">
            <v>0</v>
          </cell>
          <cell r="E343">
            <v>100000</v>
          </cell>
        </row>
        <row r="344">
          <cell r="A344">
            <v>24710130</v>
          </cell>
          <cell r="B344" t="str">
            <v>D.P INCOME RECEIVABLE</v>
          </cell>
          <cell r="C344">
            <v>0</v>
          </cell>
          <cell r="D344">
            <v>0</v>
          </cell>
          <cell r="E344">
            <v>0</v>
          </cell>
        </row>
        <row r="345">
          <cell r="A345">
            <v>24710131</v>
          </cell>
          <cell r="B345" t="str">
            <v>CENVAT REFUND RECEIVABLE</v>
          </cell>
          <cell r="C345">
            <v>70782.899999999994</v>
          </cell>
          <cell r="D345">
            <v>0</v>
          </cell>
          <cell r="E345">
            <v>70782.899999999994</v>
          </cell>
        </row>
        <row r="346">
          <cell r="A346">
            <v>24710158</v>
          </cell>
          <cell r="B346" t="str">
            <v>BSE COLLATERAL -TRADE GUARANTEE FEE</v>
          </cell>
          <cell r="C346">
            <v>1000000</v>
          </cell>
          <cell r="D346">
            <v>0</v>
          </cell>
          <cell r="E346">
            <v>1000000</v>
          </cell>
        </row>
        <row r="347">
          <cell r="A347">
            <v>24710159</v>
          </cell>
          <cell r="B347" t="str">
            <v>BSE COLLATERAL DEPOSIT (BASE CAPITAL)</v>
          </cell>
          <cell r="C347">
            <v>1000000</v>
          </cell>
          <cell r="D347">
            <v>0</v>
          </cell>
          <cell r="E347">
            <v>1000000</v>
          </cell>
        </row>
        <row r="348">
          <cell r="A348">
            <v>24710160</v>
          </cell>
          <cell r="B348" t="str">
            <v>NSE DEPOSITS</v>
          </cell>
          <cell r="C348">
            <v>6600000</v>
          </cell>
          <cell r="D348">
            <v>0</v>
          </cell>
          <cell r="E348">
            <v>6600000</v>
          </cell>
        </row>
        <row r="349">
          <cell r="A349">
            <v>24710161</v>
          </cell>
          <cell r="B349" t="str">
            <v>NSE FUTURES SEGMENT MARGI</v>
          </cell>
          <cell r="C349">
            <v>200000</v>
          </cell>
          <cell r="D349">
            <v>0</v>
          </cell>
          <cell r="E349">
            <v>200000</v>
          </cell>
        </row>
        <row r="350">
          <cell r="A350">
            <v>24710162</v>
          </cell>
          <cell r="B350" t="str">
            <v>NSE SECURITY FOR WHOLESAL</v>
          </cell>
          <cell r="C350">
            <v>5000000</v>
          </cell>
          <cell r="D350">
            <v>0</v>
          </cell>
          <cell r="E350">
            <v>5000000</v>
          </cell>
        </row>
        <row r="351">
          <cell r="A351">
            <v>24710163</v>
          </cell>
          <cell r="B351" t="str">
            <v>IFSD- Retail Debt Market (RDM)</v>
          </cell>
          <cell r="C351">
            <v>500000</v>
          </cell>
          <cell r="D351">
            <v>0</v>
          </cell>
          <cell r="E351">
            <v>500000</v>
          </cell>
        </row>
        <row r="352">
          <cell r="A352">
            <v>24710164</v>
          </cell>
          <cell r="B352" t="str">
            <v>SECURITY DEPOSIT WITH CDS</v>
          </cell>
          <cell r="C352">
            <v>250000</v>
          </cell>
          <cell r="D352">
            <v>0</v>
          </cell>
          <cell r="E352">
            <v>250000</v>
          </cell>
        </row>
        <row r="353">
          <cell r="A353">
            <v>24710165</v>
          </cell>
          <cell r="B353" t="str">
            <v>SECURITY DEPOSIT WITH MCX</v>
          </cell>
          <cell r="C353">
            <v>500000</v>
          </cell>
          <cell r="D353">
            <v>0</v>
          </cell>
          <cell r="E353">
            <v>500000</v>
          </cell>
        </row>
        <row r="354">
          <cell r="A354">
            <v>24710166</v>
          </cell>
          <cell r="B354" t="str">
            <v>SECURITY FOR FUTURE SEGME</v>
          </cell>
          <cell r="C354">
            <v>600000</v>
          </cell>
          <cell r="D354">
            <v>0</v>
          </cell>
          <cell r="E354">
            <v>600000</v>
          </cell>
        </row>
        <row r="355">
          <cell r="A355">
            <v>24710167</v>
          </cell>
          <cell r="B355" t="str">
            <v>IFSD- Future &amp; Option (F&amp;O)</v>
          </cell>
          <cell r="C355">
            <v>2500000</v>
          </cell>
          <cell r="D355">
            <v>0</v>
          </cell>
          <cell r="E355">
            <v>2500000</v>
          </cell>
        </row>
        <row r="356">
          <cell r="A356">
            <v>24710168</v>
          </cell>
          <cell r="B356" t="str">
            <v>SECURITY WITH NSDL</v>
          </cell>
          <cell r="C356">
            <v>1000000</v>
          </cell>
          <cell r="D356">
            <v>0</v>
          </cell>
          <cell r="E356">
            <v>1000000</v>
          </cell>
        </row>
        <row r="357">
          <cell r="A357">
            <v>24710169</v>
          </cell>
          <cell r="B357" t="str">
            <v>IFSD- Cash Market (CM)</v>
          </cell>
          <cell r="C357">
            <v>900000</v>
          </cell>
          <cell r="D357">
            <v>0</v>
          </cell>
          <cell r="E357">
            <v>900000</v>
          </cell>
        </row>
        <row r="358">
          <cell r="A358">
            <v>24710170</v>
          </cell>
          <cell r="B358" t="str">
            <v>Security Deposit -VSAT</v>
          </cell>
          <cell r="C358">
            <v>3699002.78</v>
          </cell>
          <cell r="D358">
            <v>0</v>
          </cell>
          <cell r="E358">
            <v>3699002.78</v>
          </cell>
        </row>
        <row r="359">
          <cell r="A359">
            <v>24710171</v>
          </cell>
          <cell r="B359" t="str">
            <v>VSAT DEPOSIT (BSE)</v>
          </cell>
          <cell r="C359">
            <v>4230000</v>
          </cell>
          <cell r="D359">
            <v>0</v>
          </cell>
          <cell r="E359">
            <v>4230000</v>
          </cell>
        </row>
        <row r="360">
          <cell r="A360">
            <v>24710172</v>
          </cell>
          <cell r="B360" t="str">
            <v>LEASE LINE DEPOSIT</v>
          </cell>
          <cell r="C360">
            <v>531482</v>
          </cell>
          <cell r="D360">
            <v>0</v>
          </cell>
          <cell r="E360">
            <v>531482</v>
          </cell>
        </row>
        <row r="361">
          <cell r="A361">
            <v>24710180</v>
          </cell>
          <cell r="B361" t="str">
            <v>SECURITY DEPOSIT ELECTRICITY - BARODA</v>
          </cell>
          <cell r="C361">
            <v>155860</v>
          </cell>
          <cell r="D361">
            <v>0</v>
          </cell>
          <cell r="E361">
            <v>155860</v>
          </cell>
        </row>
        <row r="362">
          <cell r="A362">
            <v>24710183</v>
          </cell>
          <cell r="B362" t="str">
            <v>SECURITY DEPOSIT OF VSAT FOR DWARKA OFFLINE (N</v>
          </cell>
          <cell r="C362">
            <v>12666.67</v>
          </cell>
          <cell r="D362">
            <v>0</v>
          </cell>
          <cell r="E362">
            <v>12666.67</v>
          </cell>
        </row>
        <row r="363">
          <cell r="A363">
            <v>24710191</v>
          </cell>
          <cell r="B363" t="str">
            <v>SECURITY DEPOSIT VSAT - CALCUTTA</v>
          </cell>
          <cell r="C363">
            <v>9000</v>
          </cell>
          <cell r="D363">
            <v>0</v>
          </cell>
          <cell r="E363">
            <v>9000</v>
          </cell>
        </row>
        <row r="364">
          <cell r="A364">
            <v>24710198</v>
          </cell>
          <cell r="B364" t="str">
            <v>SECURITY DEPOSITE FOR ELECTRICITY</v>
          </cell>
          <cell r="C364">
            <v>253726</v>
          </cell>
          <cell r="D364">
            <v>0</v>
          </cell>
          <cell r="E364">
            <v>253726</v>
          </cell>
        </row>
        <row r="365">
          <cell r="A365">
            <v>24710201</v>
          </cell>
          <cell r="B365" t="str">
            <v>SECURITY FOR LEASE LINE -MUMBAI</v>
          </cell>
          <cell r="C365">
            <v>100000</v>
          </cell>
          <cell r="D365">
            <v>0</v>
          </cell>
          <cell r="E365">
            <v>100000</v>
          </cell>
        </row>
        <row r="366">
          <cell r="A366">
            <v>24710202</v>
          </cell>
          <cell r="B366" t="str">
            <v>SECURITY FOR LEASELINE - DELHI</v>
          </cell>
          <cell r="C366">
            <v>150000</v>
          </cell>
          <cell r="D366">
            <v>0</v>
          </cell>
          <cell r="E366">
            <v>150000</v>
          </cell>
        </row>
        <row r="367">
          <cell r="A367">
            <v>24710204</v>
          </cell>
          <cell r="B367" t="str">
            <v>SECURITY FOR VSAT TO CEPCO</v>
          </cell>
          <cell r="C367">
            <v>75000</v>
          </cell>
          <cell r="D367">
            <v>0</v>
          </cell>
          <cell r="E367">
            <v>75000</v>
          </cell>
        </row>
        <row r="368">
          <cell r="A368">
            <v>24710212</v>
          </cell>
          <cell r="B368" t="str">
            <v>SECURITY  DEPOSIT NOIDA ONLINE</v>
          </cell>
          <cell r="C368">
            <v>26903.26</v>
          </cell>
          <cell r="D368">
            <v>0</v>
          </cell>
          <cell r="E368">
            <v>26903.26</v>
          </cell>
        </row>
        <row r="369">
          <cell r="A369">
            <v>24710215</v>
          </cell>
          <cell r="B369" t="str">
            <v>SECURITY DEPOSIT - AHMEDABAD</v>
          </cell>
          <cell r="C369">
            <v>87167</v>
          </cell>
          <cell r="D369">
            <v>0</v>
          </cell>
          <cell r="E369">
            <v>87167</v>
          </cell>
        </row>
        <row r="370">
          <cell r="A370">
            <v>24710235</v>
          </cell>
          <cell r="B370" t="str">
            <v>SECURITY DEPOSIT CHENNAI (T NAGAR)</v>
          </cell>
          <cell r="C370">
            <v>184524</v>
          </cell>
          <cell r="D370">
            <v>0</v>
          </cell>
          <cell r="E370">
            <v>184524</v>
          </cell>
        </row>
        <row r="371">
          <cell r="A371">
            <v>24710236</v>
          </cell>
          <cell r="B371" t="str">
            <v>SECURITY DEPOSIT CHENNAI - MYLAPORE</v>
          </cell>
          <cell r="C371">
            <v>791901</v>
          </cell>
          <cell r="D371">
            <v>0</v>
          </cell>
          <cell r="E371">
            <v>791901</v>
          </cell>
        </row>
        <row r="372">
          <cell r="A372">
            <v>24710250</v>
          </cell>
          <cell r="B372" t="str">
            <v>SECURITY DEPOSIT FOR BANDRA ONLINE</v>
          </cell>
          <cell r="C372">
            <v>500000</v>
          </cell>
          <cell r="D372">
            <v>0</v>
          </cell>
          <cell r="E372">
            <v>500000</v>
          </cell>
        </row>
        <row r="373">
          <cell r="A373">
            <v>24710261</v>
          </cell>
          <cell r="B373" t="str">
            <v>SECURITY DEPOSIT FOR GHATKOPAR BRANCH</v>
          </cell>
          <cell r="C373">
            <v>1170000</v>
          </cell>
          <cell r="D373">
            <v>0</v>
          </cell>
          <cell r="E373">
            <v>1170000</v>
          </cell>
        </row>
        <row r="374">
          <cell r="A374">
            <v>24710272</v>
          </cell>
          <cell r="B374" t="str">
            <v>SECURITY DEPOSIT FOR MAHIM OFFLINE</v>
          </cell>
          <cell r="C374">
            <v>414129</v>
          </cell>
          <cell r="D374">
            <v>0</v>
          </cell>
          <cell r="E374">
            <v>414129</v>
          </cell>
        </row>
        <row r="375">
          <cell r="A375">
            <v>24710307</v>
          </cell>
          <cell r="B375" t="str">
            <v>SECURITY DEPOSIT JAIPUR</v>
          </cell>
          <cell r="C375">
            <v>45906.37</v>
          </cell>
          <cell r="D375">
            <v>0</v>
          </cell>
          <cell r="E375">
            <v>45906.37</v>
          </cell>
        </row>
        <row r="376">
          <cell r="A376">
            <v>24710319</v>
          </cell>
          <cell r="B376" t="str">
            <v>SECURITY DEPOSIT LUDHIANA</v>
          </cell>
          <cell r="C376">
            <v>166157</v>
          </cell>
          <cell r="D376">
            <v>0</v>
          </cell>
          <cell r="E376">
            <v>166157</v>
          </cell>
        </row>
        <row r="377">
          <cell r="A377">
            <v>24710332</v>
          </cell>
          <cell r="B377" t="str">
            <v>SECURITY DEPOSIT NASIK</v>
          </cell>
          <cell r="C377">
            <v>624271.80000000005</v>
          </cell>
          <cell r="D377">
            <v>0</v>
          </cell>
          <cell r="E377">
            <v>624271.80000000005</v>
          </cell>
        </row>
        <row r="378">
          <cell r="A378">
            <v>24710384</v>
          </cell>
          <cell r="B378" t="str">
            <v>SECURITY DEPOSIT OF CENTRAL PARK TIRUPATI BRANCH</v>
          </cell>
          <cell r="C378">
            <v>59771</v>
          </cell>
          <cell r="D378">
            <v>0</v>
          </cell>
          <cell r="E378">
            <v>59771</v>
          </cell>
        </row>
        <row r="379">
          <cell r="A379">
            <v>24710402</v>
          </cell>
          <cell r="B379" t="str">
            <v>SECURITY DEPOSIT OF EAST OF KAILASH NEW DELHI</v>
          </cell>
          <cell r="C379">
            <v>401370.68</v>
          </cell>
          <cell r="D379">
            <v>0</v>
          </cell>
          <cell r="E379">
            <v>401370.68</v>
          </cell>
        </row>
        <row r="380">
          <cell r="A380">
            <v>24710411</v>
          </cell>
          <cell r="B380" t="str">
            <v>SECURITY DEPOSIT OF GEORGE TOWN NSC ROAD CHENNAI</v>
          </cell>
          <cell r="C380">
            <v>781419.67</v>
          </cell>
          <cell r="D380">
            <v>0</v>
          </cell>
          <cell r="E380">
            <v>781419.67</v>
          </cell>
        </row>
        <row r="381">
          <cell r="A381">
            <v>24710413</v>
          </cell>
          <cell r="B381" t="str">
            <v>SECURITY DEPOSIT OF GHAZIABAD RDC RAJ NAGAR</v>
          </cell>
          <cell r="C381">
            <v>6637.22</v>
          </cell>
          <cell r="D381">
            <v>0</v>
          </cell>
          <cell r="E381">
            <v>6637.22</v>
          </cell>
        </row>
        <row r="382">
          <cell r="A382">
            <v>24710584</v>
          </cell>
          <cell r="B382" t="str">
            <v>SECURITY DEPOSIT OF YUVRAJ SINGH CHOUDHARY</v>
          </cell>
          <cell r="C382">
            <v>100000</v>
          </cell>
          <cell r="D382">
            <v>0</v>
          </cell>
          <cell r="E382">
            <v>100000</v>
          </cell>
        </row>
        <row r="383">
          <cell r="A383">
            <v>24710597</v>
          </cell>
          <cell r="B383" t="str">
            <v>SECURITY DEPOSIT RAJKOT</v>
          </cell>
          <cell r="C383">
            <v>76395.87</v>
          </cell>
          <cell r="D383">
            <v>0</v>
          </cell>
          <cell r="E383">
            <v>76395.87</v>
          </cell>
        </row>
        <row r="384">
          <cell r="A384">
            <v>24710599</v>
          </cell>
          <cell r="B384" t="str">
            <v>SECURITY DEPOSIT RENT (PATIALA)</v>
          </cell>
          <cell r="C384">
            <v>30900</v>
          </cell>
          <cell r="D384">
            <v>0</v>
          </cell>
          <cell r="E384">
            <v>30900</v>
          </cell>
        </row>
        <row r="385">
          <cell r="A385">
            <v>24710612</v>
          </cell>
          <cell r="B385" t="str">
            <v>SECURITY DEPOSIT TOLLYGUNJ (KOLKATA)</v>
          </cell>
          <cell r="C385">
            <v>390937.7</v>
          </cell>
          <cell r="D385">
            <v>0</v>
          </cell>
          <cell r="E385">
            <v>390937.7</v>
          </cell>
        </row>
        <row r="386">
          <cell r="A386">
            <v>24710627</v>
          </cell>
          <cell r="B386" t="str">
            <v>SECURITY DEPOSIT VIZAG</v>
          </cell>
          <cell r="C386">
            <v>42000</v>
          </cell>
          <cell r="D386">
            <v>0</v>
          </cell>
          <cell r="E386">
            <v>42000</v>
          </cell>
        </row>
        <row r="387">
          <cell r="A387">
            <v>24710637</v>
          </cell>
          <cell r="B387" t="str">
            <v>SECURITY FOR AMRITSAR PREMISES</v>
          </cell>
          <cell r="C387">
            <v>87000</v>
          </cell>
          <cell r="D387">
            <v>0</v>
          </cell>
          <cell r="E387">
            <v>87000</v>
          </cell>
        </row>
        <row r="388">
          <cell r="A388">
            <v>24710644</v>
          </cell>
          <cell r="B388" t="str">
            <v>SECURITY FOR FARIDABAD PR</v>
          </cell>
          <cell r="C388">
            <v>14000</v>
          </cell>
          <cell r="D388">
            <v>0</v>
          </cell>
          <cell r="E388">
            <v>14000</v>
          </cell>
        </row>
        <row r="389">
          <cell r="A389">
            <v>24710646</v>
          </cell>
          <cell r="B389" t="str">
            <v>SECURITY FOR FURNITURE - LUCKNOW</v>
          </cell>
          <cell r="C389">
            <v>3000</v>
          </cell>
          <cell r="D389">
            <v>0</v>
          </cell>
          <cell r="E389">
            <v>3000</v>
          </cell>
        </row>
        <row r="390">
          <cell r="A390">
            <v>24710647</v>
          </cell>
          <cell r="B390" t="str">
            <v>SECURITY FOR GHATKOPAR PREMISES</v>
          </cell>
          <cell r="C390">
            <v>425000</v>
          </cell>
          <cell r="D390">
            <v>0</v>
          </cell>
          <cell r="E390">
            <v>425000</v>
          </cell>
        </row>
        <row r="391">
          <cell r="A391">
            <v>24710661</v>
          </cell>
          <cell r="B391" t="str">
            <v>SECURITY FOR KANPUR PREMISES - NEW</v>
          </cell>
          <cell r="C391">
            <v>37500</v>
          </cell>
          <cell r="D391">
            <v>0</v>
          </cell>
          <cell r="E391">
            <v>37500</v>
          </cell>
        </row>
        <row r="392">
          <cell r="A392">
            <v>24710664</v>
          </cell>
          <cell r="B392" t="str">
            <v>SECURITY FOR LOKHANDWALA</v>
          </cell>
          <cell r="C392">
            <v>749653.4</v>
          </cell>
          <cell r="D392">
            <v>0</v>
          </cell>
          <cell r="E392">
            <v>749653.4</v>
          </cell>
        </row>
        <row r="393">
          <cell r="A393">
            <v>24710665</v>
          </cell>
          <cell r="B393" t="str">
            <v>SECURITY FOR LUCKNOW PREMISES</v>
          </cell>
          <cell r="C393">
            <v>29850</v>
          </cell>
          <cell r="D393">
            <v>0</v>
          </cell>
          <cell r="E393">
            <v>29850</v>
          </cell>
        </row>
        <row r="394">
          <cell r="A394">
            <v>24710672</v>
          </cell>
          <cell r="B394" t="str">
            <v>SECURITY FOR MUMBAI BORIWALI</v>
          </cell>
          <cell r="C394">
            <v>111273.54</v>
          </cell>
          <cell r="D394">
            <v>0</v>
          </cell>
          <cell r="E394">
            <v>111273.54</v>
          </cell>
        </row>
        <row r="395">
          <cell r="A395">
            <v>24710687</v>
          </cell>
          <cell r="B395" t="str">
            <v>SECURITY RENT CALCUTTA</v>
          </cell>
          <cell r="C395">
            <v>324720</v>
          </cell>
          <cell r="D395">
            <v>0</v>
          </cell>
          <cell r="E395">
            <v>324720</v>
          </cell>
        </row>
        <row r="396">
          <cell r="A396">
            <v>24710689</v>
          </cell>
          <cell r="B396" t="str">
            <v>SECURITY RENT HYDRABAD</v>
          </cell>
          <cell r="C396">
            <v>96490</v>
          </cell>
          <cell r="D396">
            <v>0</v>
          </cell>
          <cell r="E396">
            <v>96490</v>
          </cell>
        </row>
        <row r="397">
          <cell r="A397">
            <v>24710691</v>
          </cell>
          <cell r="B397" t="str">
            <v>SECURITY RENT MUMBAI</v>
          </cell>
          <cell r="C397">
            <v>570000</v>
          </cell>
          <cell r="D397">
            <v>0</v>
          </cell>
          <cell r="E397">
            <v>570000</v>
          </cell>
        </row>
        <row r="398">
          <cell r="A398">
            <v>24710693</v>
          </cell>
          <cell r="B398" t="str">
            <v>SECURITY RENT OF PUNE</v>
          </cell>
          <cell r="C398">
            <v>348000</v>
          </cell>
          <cell r="D398">
            <v>0</v>
          </cell>
          <cell r="E398">
            <v>348000</v>
          </cell>
        </row>
        <row r="399">
          <cell r="A399">
            <v>24710694</v>
          </cell>
          <cell r="B399" t="str">
            <v>SECURITY RENT SJE GH</v>
          </cell>
          <cell r="C399">
            <v>44000</v>
          </cell>
          <cell r="D399">
            <v>0</v>
          </cell>
          <cell r="E399">
            <v>44000</v>
          </cell>
        </row>
        <row r="400">
          <cell r="A400">
            <v>24710697</v>
          </cell>
          <cell r="B400" t="str">
            <v>SECUTIRY DEPOSIT JAMSHEDPUR</v>
          </cell>
          <cell r="C400">
            <v>529565.14</v>
          </cell>
          <cell r="D400">
            <v>0</v>
          </cell>
          <cell r="E400">
            <v>529565.14</v>
          </cell>
        </row>
        <row r="401">
          <cell r="A401">
            <v>24710705</v>
          </cell>
          <cell r="B401" t="str">
            <v>SECURITY DEPOSIT(ELECTRCITY DALHOUSIE)</v>
          </cell>
          <cell r="C401">
            <v>431720</v>
          </cell>
          <cell r="D401">
            <v>0</v>
          </cell>
          <cell r="E401">
            <v>431720</v>
          </cell>
        </row>
        <row r="402">
          <cell r="A402">
            <v>24710706</v>
          </cell>
          <cell r="B402" t="str">
            <v>SECURITY DEPOSIT-ELECTRICITY(HOWRAH)</v>
          </cell>
          <cell r="C402">
            <v>80000</v>
          </cell>
          <cell r="D402">
            <v>0</v>
          </cell>
          <cell r="E402">
            <v>80000</v>
          </cell>
        </row>
        <row r="403">
          <cell r="A403">
            <v>24710721</v>
          </cell>
          <cell r="B403" t="str">
            <v>AMT RECOVERABLE FROM AMITESHWAR CHOUDHARY</v>
          </cell>
          <cell r="C403">
            <v>-10500</v>
          </cell>
          <cell r="D403">
            <v>0</v>
          </cell>
          <cell r="E403">
            <v>-10500</v>
          </cell>
        </row>
        <row r="404">
          <cell r="A404">
            <v>24710723</v>
          </cell>
          <cell r="B404" t="str">
            <v>EMPANALMENT OF DP WITH NCDEX</v>
          </cell>
          <cell r="C404">
            <v>500000</v>
          </cell>
          <cell r="D404">
            <v>0</v>
          </cell>
          <cell r="E404">
            <v>500000</v>
          </cell>
        </row>
        <row r="405">
          <cell r="A405">
            <v>24710726</v>
          </cell>
          <cell r="B405" t="str">
            <v>MAHESH  SEHGAL</v>
          </cell>
          <cell r="C405">
            <v>-5000</v>
          </cell>
          <cell r="D405">
            <v>0</v>
          </cell>
          <cell r="E405">
            <v>-5000</v>
          </cell>
        </row>
        <row r="406">
          <cell r="A406">
            <v>24710776</v>
          </cell>
          <cell r="B406" t="str">
            <v>Vendors Inter Company Receivables</v>
          </cell>
          <cell r="C406">
            <v>0.8</v>
          </cell>
          <cell r="D406">
            <v>0</v>
          </cell>
          <cell r="E406">
            <v>0.8</v>
          </cell>
        </row>
        <row r="407">
          <cell r="A407">
            <v>24710789</v>
          </cell>
          <cell r="B407" t="str">
            <v>Education Cess BED / ST 2%</v>
          </cell>
          <cell r="C407">
            <v>26595.58</v>
          </cell>
          <cell r="D407">
            <v>0</v>
          </cell>
          <cell r="E407">
            <v>26595.58</v>
          </cell>
        </row>
        <row r="408">
          <cell r="A408">
            <v>24710790</v>
          </cell>
          <cell r="B408" t="str">
            <v>Higher &amp; Secondory Education Cess BED / ST 1%</v>
          </cell>
          <cell r="C408">
            <v>13300.06</v>
          </cell>
          <cell r="D408">
            <v>0</v>
          </cell>
          <cell r="E408">
            <v>13300.06</v>
          </cell>
        </row>
        <row r="409">
          <cell r="A409">
            <v>24710792</v>
          </cell>
          <cell r="B409" t="str">
            <v>Input Service Tax Clearing 4.12% and 8% VAT(NonM)</v>
          </cell>
          <cell r="C409">
            <v>1434057</v>
          </cell>
          <cell r="D409">
            <v>0</v>
          </cell>
          <cell r="E409">
            <v>1434057</v>
          </cell>
        </row>
        <row r="410">
          <cell r="A410">
            <v>24710800</v>
          </cell>
          <cell r="B410" t="str">
            <v>Advance Tax A.Y. 2008-09</v>
          </cell>
          <cell r="C410">
            <v>1110000000</v>
          </cell>
          <cell r="D410">
            <v>0</v>
          </cell>
          <cell r="E410">
            <v>1110000000</v>
          </cell>
        </row>
        <row r="411">
          <cell r="A411">
            <v>24710801</v>
          </cell>
          <cell r="B411" t="str">
            <v>Additional Margin with BSE</v>
          </cell>
          <cell r="C411">
            <v>500000</v>
          </cell>
          <cell r="D411">
            <v>0</v>
          </cell>
          <cell r="E411">
            <v>500000</v>
          </cell>
        </row>
        <row r="412">
          <cell r="A412">
            <v>24710827</v>
          </cell>
          <cell r="B412" t="str">
            <v>Modvatable Input Service Tax Clearing 10.30%</v>
          </cell>
          <cell r="C412">
            <v>92.7</v>
          </cell>
          <cell r="D412">
            <v>0</v>
          </cell>
          <cell r="E412">
            <v>92.7</v>
          </cell>
        </row>
        <row r="413">
          <cell r="A413">
            <v>24710832</v>
          </cell>
          <cell r="B413" t="str">
            <v>Mod Input Service Tax Clng 8.65%(70 % of 12.36)</v>
          </cell>
          <cell r="C413">
            <v>5990.8</v>
          </cell>
          <cell r="D413">
            <v>0</v>
          </cell>
          <cell r="E413">
            <v>5990.8</v>
          </cell>
        </row>
        <row r="414">
          <cell r="A414">
            <v>24710856</v>
          </cell>
          <cell r="B414" t="str">
            <v>Security Deposit - Lease Line</v>
          </cell>
          <cell r="C414">
            <v>1200000</v>
          </cell>
          <cell r="D414">
            <v>0</v>
          </cell>
          <cell r="E414">
            <v>1200000</v>
          </cell>
        </row>
        <row r="415">
          <cell r="A415">
            <v>24710909</v>
          </cell>
          <cell r="B415" t="str">
            <v>TDS Deducted Group Co. 2007-08</v>
          </cell>
          <cell r="C415">
            <v>19713366.120000001</v>
          </cell>
          <cell r="D415">
            <v>0</v>
          </cell>
          <cell r="E415">
            <v>19713366.120000001</v>
          </cell>
        </row>
        <row r="416">
          <cell r="A416">
            <v>24710913</v>
          </cell>
          <cell r="B416" t="str">
            <v>MAT Credit Entitlement A/c.</v>
          </cell>
          <cell r="C416">
            <v>75856015.719999999</v>
          </cell>
          <cell r="D416">
            <v>0</v>
          </cell>
          <cell r="E416">
            <v>75856015.719999999</v>
          </cell>
        </row>
        <row r="417">
          <cell r="A417">
            <v>24710921</v>
          </cell>
          <cell r="B417" t="str">
            <v>IFSD- Stock Lending &amp; Borrowings (SLB)</v>
          </cell>
          <cell r="C417">
            <v>1000000</v>
          </cell>
          <cell r="D417">
            <v>0</v>
          </cell>
          <cell r="E417">
            <v>1000000</v>
          </cell>
        </row>
        <row r="418">
          <cell r="A418">
            <v>24710967</v>
          </cell>
          <cell r="B418" t="str">
            <v>Self Assessment Tax AY 2008 - 09(FY2007-08)</v>
          </cell>
          <cell r="C418">
            <v>4803750</v>
          </cell>
          <cell r="D418">
            <v>0</v>
          </cell>
          <cell r="E418">
            <v>4803750</v>
          </cell>
        </row>
        <row r="419">
          <cell r="A419">
            <v>24711013</v>
          </cell>
          <cell r="B419" t="str">
            <v>SECURITY DEPOSIT WITH MCX - SX</v>
          </cell>
          <cell r="C419">
            <v>200000</v>
          </cell>
          <cell r="D419">
            <v>0</v>
          </cell>
          <cell r="E419">
            <v>200000</v>
          </cell>
        </row>
        <row r="420">
          <cell r="A420">
            <v>24711015</v>
          </cell>
          <cell r="B420" t="str">
            <v>Employee -Temporary Loan</v>
          </cell>
          <cell r="C420">
            <v>863883.16</v>
          </cell>
          <cell r="D420">
            <v>0</v>
          </cell>
          <cell r="E420">
            <v>863883.16</v>
          </cell>
        </row>
        <row r="421">
          <cell r="A421">
            <v>24711024</v>
          </cell>
          <cell r="B421" t="str">
            <v>TDS Ded. FDR 10-11</v>
          </cell>
          <cell r="C421">
            <v>35346405.439999998</v>
          </cell>
          <cell r="D421">
            <v>0</v>
          </cell>
          <cell r="E421">
            <v>35346405.439999998</v>
          </cell>
        </row>
        <row r="422">
          <cell r="A422">
            <v>24711025</v>
          </cell>
          <cell r="B422" t="str">
            <v>TDS Deducted Others 2010-11</v>
          </cell>
          <cell r="C422">
            <v>10001792</v>
          </cell>
          <cell r="D422">
            <v>0</v>
          </cell>
          <cell r="E422">
            <v>10001792</v>
          </cell>
        </row>
        <row r="423">
          <cell r="A423">
            <v>24711026</v>
          </cell>
          <cell r="B423" t="str">
            <v>IFSD - Leased LINE (NSE)</v>
          </cell>
          <cell r="C423">
            <v>2900000</v>
          </cell>
          <cell r="D423">
            <v>0</v>
          </cell>
          <cell r="E423">
            <v>2900000</v>
          </cell>
        </row>
        <row r="424">
          <cell r="A424">
            <v>24711033</v>
          </cell>
          <cell r="B424" t="str">
            <v>Advance Tax A.Y.2011-12</v>
          </cell>
          <cell r="C424">
            <v>150000000</v>
          </cell>
          <cell r="D424">
            <v>0</v>
          </cell>
          <cell r="E424">
            <v>150000000</v>
          </cell>
        </row>
        <row r="425">
          <cell r="A425">
            <v>24711034</v>
          </cell>
          <cell r="B425" t="str">
            <v>TDS Deducted Group Co. 2010-11</v>
          </cell>
          <cell r="C425">
            <v>5227638</v>
          </cell>
          <cell r="D425">
            <v>0</v>
          </cell>
          <cell r="E425">
            <v>5227638</v>
          </cell>
        </row>
        <row r="426">
          <cell r="A426">
            <v>24711055</v>
          </cell>
          <cell r="B426" t="str">
            <v>TDS Ded. FDR 11-12</v>
          </cell>
          <cell r="C426">
            <v>30853398.690000001</v>
          </cell>
          <cell r="D426">
            <v>0</v>
          </cell>
          <cell r="E426">
            <v>30853398.690000001</v>
          </cell>
        </row>
        <row r="427">
          <cell r="A427">
            <v>24711056</v>
          </cell>
          <cell r="B427" t="str">
            <v>TDS Deducted Others 2011-12</v>
          </cell>
          <cell r="C427">
            <v>15441108</v>
          </cell>
          <cell r="D427">
            <v>0</v>
          </cell>
          <cell r="E427">
            <v>15441108</v>
          </cell>
        </row>
        <row r="428">
          <cell r="A428">
            <v>24711057</v>
          </cell>
          <cell r="B428" t="str">
            <v>NSE DEPOSITS -ARBITRATION</v>
          </cell>
          <cell r="C428">
            <v>1657679</v>
          </cell>
          <cell r="D428">
            <v>0</v>
          </cell>
          <cell r="E428">
            <v>1657679</v>
          </cell>
        </row>
        <row r="429">
          <cell r="A429">
            <v>24711064</v>
          </cell>
          <cell r="B429" t="str">
            <v>TDS Deducted – Clients FY 2011-12</v>
          </cell>
          <cell r="C429">
            <v>393580</v>
          </cell>
          <cell r="D429">
            <v>0</v>
          </cell>
          <cell r="E429">
            <v>393580</v>
          </cell>
        </row>
        <row r="430">
          <cell r="A430">
            <v>24711085</v>
          </cell>
          <cell r="B430" t="str">
            <v>TDS Deducted Others FY 2012-13</v>
          </cell>
          <cell r="C430">
            <v>32652355</v>
          </cell>
          <cell r="D430">
            <v>0</v>
          </cell>
          <cell r="E430">
            <v>32652355</v>
          </cell>
        </row>
        <row r="431">
          <cell r="A431">
            <v>24711089</v>
          </cell>
          <cell r="B431" t="str">
            <v>TDS Ded. FDR FY 2012-13</v>
          </cell>
          <cell r="C431">
            <v>21099761.620000001</v>
          </cell>
          <cell r="D431">
            <v>0</v>
          </cell>
          <cell r="E431">
            <v>21099761.620000001</v>
          </cell>
        </row>
        <row r="432">
          <cell r="A432">
            <v>24711091</v>
          </cell>
          <cell r="B432" t="str">
            <v>TDS Cert.Rece.FY 2012-13</v>
          </cell>
          <cell r="C432">
            <v>405807</v>
          </cell>
          <cell r="D432">
            <v>0</v>
          </cell>
          <cell r="E432">
            <v>405807</v>
          </cell>
        </row>
        <row r="433">
          <cell r="A433">
            <v>24711094</v>
          </cell>
          <cell r="B433" t="str">
            <v>Modvatable Input Service Tax Clearing 4.33%</v>
          </cell>
          <cell r="C433">
            <v>6809.41</v>
          </cell>
          <cell r="D433">
            <v>0</v>
          </cell>
          <cell r="E433">
            <v>6809.41</v>
          </cell>
        </row>
        <row r="434">
          <cell r="A434">
            <v>24711096</v>
          </cell>
          <cell r="B434" t="str">
            <v>Advance Tax A.Y.2013-14</v>
          </cell>
          <cell r="C434">
            <v>60000000</v>
          </cell>
          <cell r="D434">
            <v>0</v>
          </cell>
          <cell r="E434">
            <v>60000000</v>
          </cell>
        </row>
        <row r="435">
          <cell r="A435">
            <v>24711098</v>
          </cell>
          <cell r="B435" t="str">
            <v>Input ST Modvat Claim Clearing(RC)</v>
          </cell>
          <cell r="C435">
            <v>115820.56</v>
          </cell>
          <cell r="D435">
            <v>0</v>
          </cell>
          <cell r="E435">
            <v>115820.56</v>
          </cell>
        </row>
        <row r="436">
          <cell r="A436">
            <v>24711112</v>
          </cell>
          <cell r="B436" t="str">
            <v>NSE COLLATERAL DEPOSIT (BASE CAPITAL)</v>
          </cell>
          <cell r="C436">
            <v>2500000</v>
          </cell>
          <cell r="D436">
            <v>0</v>
          </cell>
          <cell r="E436">
            <v>2500000</v>
          </cell>
        </row>
        <row r="437">
          <cell r="A437">
            <v>24790014</v>
          </cell>
          <cell r="B437" t="str">
            <v>Escrow A/c - Sale of Investments</v>
          </cell>
          <cell r="C437">
            <v>48333319.399999999</v>
          </cell>
          <cell r="D437">
            <v>0</v>
          </cell>
          <cell r="E437">
            <v>48333319.399999999</v>
          </cell>
        </row>
        <row r="438">
          <cell r="A438">
            <v>24790015</v>
          </cell>
          <cell r="B438" t="str">
            <v>Loan Notes - Sale of Investments</v>
          </cell>
          <cell r="C438">
            <v>38044281.780000001</v>
          </cell>
          <cell r="D438">
            <v>0</v>
          </cell>
          <cell r="E438">
            <v>38044281.780000001</v>
          </cell>
        </row>
        <row r="439">
          <cell r="A439">
            <v>24790016</v>
          </cell>
          <cell r="B439" t="str">
            <v>Income Tax Demand Paid FY 2007-08</v>
          </cell>
          <cell r="C439">
            <v>818469</v>
          </cell>
          <cell r="D439">
            <v>0</v>
          </cell>
          <cell r="E439">
            <v>818469</v>
          </cell>
        </row>
        <row r="440">
          <cell r="A440">
            <v>43500002</v>
          </cell>
          <cell r="B440" t="str">
            <v>Brokerage Curreny Derivate</v>
          </cell>
          <cell r="C440">
            <v>-2623221.9</v>
          </cell>
          <cell r="D440">
            <v>0</v>
          </cell>
          <cell r="E440">
            <v>-2623221.9</v>
          </cell>
        </row>
        <row r="441">
          <cell r="A441">
            <v>44020002</v>
          </cell>
          <cell r="B441" t="str">
            <v>Interest</v>
          </cell>
          <cell r="C441">
            <v>-3028046.84</v>
          </cell>
          <cell r="D441">
            <v>0</v>
          </cell>
          <cell r="E441">
            <v>-3028046.84</v>
          </cell>
        </row>
        <row r="442">
          <cell r="A442">
            <v>44020014</v>
          </cell>
          <cell r="B442" t="str">
            <v>Income from Account Opening Charges</v>
          </cell>
          <cell r="C442">
            <v>-105835</v>
          </cell>
          <cell r="D442">
            <v>0</v>
          </cell>
          <cell r="E442">
            <v>-105835</v>
          </cell>
        </row>
        <row r="443">
          <cell r="A443">
            <v>44020018</v>
          </cell>
          <cell r="B443" t="str">
            <v>Brokerage Income</v>
          </cell>
          <cell r="C443">
            <v>-10042570.060000001</v>
          </cell>
          <cell r="D443">
            <v>0</v>
          </cell>
          <cell r="E443">
            <v>-10042570.060000001</v>
          </cell>
        </row>
        <row r="444">
          <cell r="A444">
            <v>44020019</v>
          </cell>
          <cell r="B444" t="str">
            <v>Brokerage Income Bse</v>
          </cell>
          <cell r="C444">
            <v>-827221.72</v>
          </cell>
          <cell r="D444">
            <v>0</v>
          </cell>
          <cell r="E444">
            <v>-827221.72</v>
          </cell>
        </row>
        <row r="445">
          <cell r="A445">
            <v>44020020</v>
          </cell>
          <cell r="B445" t="str">
            <v>Brokerage Income F&amp;O</v>
          </cell>
          <cell r="C445">
            <v>-21450816.68</v>
          </cell>
          <cell r="D445">
            <v>0</v>
          </cell>
          <cell r="E445">
            <v>-21450816.68</v>
          </cell>
        </row>
        <row r="446">
          <cell r="A446">
            <v>44020032</v>
          </cell>
          <cell r="B446" t="str">
            <v>Other Charges (including transaction Charges)</v>
          </cell>
          <cell r="C446">
            <v>-704807.16</v>
          </cell>
          <cell r="D446">
            <v>0</v>
          </cell>
          <cell r="E446">
            <v>-704807.16</v>
          </cell>
        </row>
        <row r="447">
          <cell r="A447">
            <v>44020034</v>
          </cell>
          <cell r="B447" t="str">
            <v>Other Charges (including transaction Charges) BSE</v>
          </cell>
          <cell r="C447">
            <v>-18169.37</v>
          </cell>
          <cell r="D447">
            <v>0</v>
          </cell>
          <cell r="E447">
            <v>-18169.37</v>
          </cell>
        </row>
        <row r="448">
          <cell r="A448">
            <v>44020035</v>
          </cell>
          <cell r="B448" t="str">
            <v>Other Charges (including transaction Charges) F&amp;O</v>
          </cell>
          <cell r="C448">
            <v>-1255690.92</v>
          </cell>
          <cell r="D448">
            <v>0</v>
          </cell>
          <cell r="E448">
            <v>-1255690.92</v>
          </cell>
        </row>
        <row r="449">
          <cell r="A449">
            <v>44020038</v>
          </cell>
          <cell r="B449" t="str">
            <v>Ipo Commission Recd</v>
          </cell>
          <cell r="C449">
            <v>-9111.52</v>
          </cell>
          <cell r="D449">
            <v>0</v>
          </cell>
          <cell r="E449">
            <v>-9111.52</v>
          </cell>
        </row>
        <row r="450">
          <cell r="A450">
            <v>44020041</v>
          </cell>
          <cell r="B450" t="str">
            <v>Power Activation Charges</v>
          </cell>
          <cell r="C450">
            <v>-42720</v>
          </cell>
          <cell r="D450">
            <v>0</v>
          </cell>
          <cell r="E450">
            <v>-42720</v>
          </cell>
        </row>
        <row r="451">
          <cell r="A451">
            <v>44020125</v>
          </cell>
          <cell r="B451" t="str">
            <v>BROKERAGE &amp; SERVICE CHARGES-SCHEME</v>
          </cell>
          <cell r="C451">
            <v>-726426.01</v>
          </cell>
          <cell r="D451">
            <v>0</v>
          </cell>
          <cell r="E451">
            <v>-726426.01</v>
          </cell>
        </row>
        <row r="452">
          <cell r="A452">
            <v>44020133</v>
          </cell>
          <cell r="B452" t="str">
            <v>Notice Period Deduction</v>
          </cell>
          <cell r="C452">
            <v>-18000</v>
          </cell>
          <cell r="D452">
            <v>0</v>
          </cell>
          <cell r="E452">
            <v>-18000</v>
          </cell>
        </row>
        <row r="453">
          <cell r="A453">
            <v>44020193</v>
          </cell>
          <cell r="B453" t="str">
            <v>Other Charges (including transaction Charges) CDS</v>
          </cell>
          <cell r="C453">
            <v>-81463</v>
          </cell>
          <cell r="D453">
            <v>0</v>
          </cell>
          <cell r="E453">
            <v>-81463</v>
          </cell>
        </row>
        <row r="454">
          <cell r="A454">
            <v>44100014</v>
          </cell>
          <cell r="B454" t="str">
            <v>Dividend Copal Partners Ltd</v>
          </cell>
          <cell r="C454">
            <v>-4398847.1500000004</v>
          </cell>
          <cell r="D454">
            <v>0</v>
          </cell>
          <cell r="E454">
            <v>-4398847.1500000004</v>
          </cell>
        </row>
        <row r="455">
          <cell r="A455">
            <v>45100000</v>
          </cell>
          <cell r="B455" t="str">
            <v>Profit on sale of fixed assets</v>
          </cell>
          <cell r="C455">
            <v>-3995</v>
          </cell>
          <cell r="D455">
            <v>0</v>
          </cell>
          <cell r="E455">
            <v>-3995</v>
          </cell>
        </row>
        <row r="456">
          <cell r="A456">
            <v>46000044</v>
          </cell>
          <cell r="B456" t="str">
            <v>Other Charges(includ transaction Charges)-GTRXNCG</v>
          </cell>
          <cell r="C456">
            <v>-1218460.72</v>
          </cell>
          <cell r="D456">
            <v>0</v>
          </cell>
          <cell r="E456">
            <v>-1218460.72</v>
          </cell>
        </row>
        <row r="457">
          <cell r="A457">
            <v>46000045</v>
          </cell>
          <cell r="B457" t="str">
            <v>Other Charges(includ transaction Charges)-GLO1002</v>
          </cell>
          <cell r="C457">
            <v>1298119.54</v>
          </cell>
          <cell r="D457">
            <v>0</v>
          </cell>
          <cell r="E457">
            <v>1298119.54</v>
          </cell>
        </row>
        <row r="458">
          <cell r="A458">
            <v>46000136</v>
          </cell>
          <cell r="B458" t="str">
            <v>Other Processing Charges - BSE</v>
          </cell>
          <cell r="C458">
            <v>-37430.699999999997</v>
          </cell>
          <cell r="D458">
            <v>0</v>
          </cell>
          <cell r="E458">
            <v>-37430.699999999997</v>
          </cell>
        </row>
        <row r="459">
          <cell r="A459">
            <v>46000137</v>
          </cell>
          <cell r="B459" t="str">
            <v>Other Processing Charges - NSE</v>
          </cell>
          <cell r="C459">
            <v>-1667902.65</v>
          </cell>
          <cell r="D459">
            <v>0</v>
          </cell>
          <cell r="E459">
            <v>-1667902.65</v>
          </cell>
        </row>
        <row r="460">
          <cell r="A460">
            <v>50100002</v>
          </cell>
          <cell r="B460" t="str">
            <v>Incentive Expenses</v>
          </cell>
          <cell r="C460">
            <v>28663650</v>
          </cell>
          <cell r="D460">
            <v>0</v>
          </cell>
          <cell r="E460">
            <v>28663650</v>
          </cell>
        </row>
        <row r="461">
          <cell r="A461">
            <v>50100004</v>
          </cell>
          <cell r="B461" t="str">
            <v>Salary Expenses</v>
          </cell>
          <cell r="C461">
            <v>29242514.710000001</v>
          </cell>
          <cell r="D461">
            <v>0</v>
          </cell>
          <cell r="E461">
            <v>29242514.710000001</v>
          </cell>
        </row>
        <row r="462">
          <cell r="A462">
            <v>50100010</v>
          </cell>
          <cell r="B462" t="str">
            <v>Vsat Charges</v>
          </cell>
          <cell r="C462">
            <v>0</v>
          </cell>
          <cell r="D462">
            <v>0</v>
          </cell>
          <cell r="E462">
            <v>0</v>
          </cell>
        </row>
        <row r="463">
          <cell r="A463">
            <v>50100011</v>
          </cell>
          <cell r="B463" t="str">
            <v>Nse Transaction Charges  (Exp. )</v>
          </cell>
          <cell r="C463">
            <v>250000</v>
          </cell>
          <cell r="D463">
            <v>0</v>
          </cell>
          <cell r="E463">
            <v>250000</v>
          </cell>
        </row>
        <row r="464">
          <cell r="A464">
            <v>50100013</v>
          </cell>
          <cell r="B464" t="str">
            <v>Business Promotion Expenses</v>
          </cell>
          <cell r="C464">
            <v>33186</v>
          </cell>
          <cell r="D464">
            <v>0</v>
          </cell>
          <cell r="E464">
            <v>33186</v>
          </cell>
        </row>
        <row r="465">
          <cell r="A465">
            <v>50100019</v>
          </cell>
          <cell r="B465" t="str">
            <v>Subscription Charges</v>
          </cell>
          <cell r="C465">
            <v>26675.71</v>
          </cell>
          <cell r="D465">
            <v>0</v>
          </cell>
          <cell r="E465">
            <v>26675.71</v>
          </cell>
        </row>
        <row r="466">
          <cell r="A466">
            <v>50100020</v>
          </cell>
          <cell r="B466" t="str">
            <v>Membership Fees</v>
          </cell>
          <cell r="C466">
            <v>46377.919999999998</v>
          </cell>
          <cell r="D466">
            <v>0</v>
          </cell>
          <cell r="E466">
            <v>46377.919999999998</v>
          </cell>
        </row>
        <row r="467">
          <cell r="A467">
            <v>50100023</v>
          </cell>
          <cell r="B467" t="str">
            <v>Stamp Paper Expenses</v>
          </cell>
          <cell r="C467">
            <v>6364</v>
          </cell>
          <cell r="D467">
            <v>0</v>
          </cell>
          <cell r="E467">
            <v>6364</v>
          </cell>
        </row>
        <row r="468">
          <cell r="A468">
            <v>50100024</v>
          </cell>
          <cell r="B468" t="str">
            <v>Stamp Duty Charges</v>
          </cell>
          <cell r="C468">
            <v>0</v>
          </cell>
          <cell r="D468">
            <v>0</v>
          </cell>
          <cell r="E468">
            <v>0</v>
          </cell>
        </row>
        <row r="469">
          <cell r="A469">
            <v>50100025</v>
          </cell>
          <cell r="B469" t="str">
            <v>Software Charges</v>
          </cell>
          <cell r="C469">
            <v>25057.11</v>
          </cell>
          <cell r="D469">
            <v>0</v>
          </cell>
          <cell r="E469">
            <v>25057.11</v>
          </cell>
        </row>
        <row r="470">
          <cell r="A470">
            <v>50100026</v>
          </cell>
          <cell r="B470" t="str">
            <v>Bse Transaction Charges (Exp)</v>
          </cell>
          <cell r="C470">
            <v>14147</v>
          </cell>
          <cell r="D470">
            <v>0</v>
          </cell>
          <cell r="E470">
            <v>14147</v>
          </cell>
        </row>
        <row r="471">
          <cell r="A471">
            <v>50100029</v>
          </cell>
          <cell r="B471" t="str">
            <v>Other Charges Bse</v>
          </cell>
          <cell r="C471">
            <v>242.08</v>
          </cell>
          <cell r="D471">
            <v>0</v>
          </cell>
          <cell r="E471">
            <v>242.08</v>
          </cell>
        </row>
        <row r="472">
          <cell r="A472">
            <v>50100032</v>
          </cell>
          <cell r="B472" t="str">
            <v>Staff Welfare Expenses</v>
          </cell>
          <cell r="C472">
            <v>350200.83</v>
          </cell>
          <cell r="D472">
            <v>0</v>
          </cell>
          <cell r="E472">
            <v>350200.83</v>
          </cell>
        </row>
        <row r="473">
          <cell r="A473">
            <v>50100038</v>
          </cell>
          <cell r="B473" t="str">
            <v>Service Charges</v>
          </cell>
          <cell r="C473">
            <v>806570.5</v>
          </cell>
          <cell r="D473">
            <v>0</v>
          </cell>
          <cell r="E473">
            <v>806570.5</v>
          </cell>
        </row>
        <row r="474">
          <cell r="A474">
            <v>50100040</v>
          </cell>
          <cell r="B474" t="str">
            <v>Shifting Charges</v>
          </cell>
          <cell r="C474">
            <v>453</v>
          </cell>
          <cell r="D474">
            <v>0</v>
          </cell>
          <cell r="E474">
            <v>453</v>
          </cell>
        </row>
        <row r="475">
          <cell r="A475">
            <v>50100043</v>
          </cell>
          <cell r="B475" t="str">
            <v>Amc Hardware Expenses</v>
          </cell>
          <cell r="C475">
            <v>3822.48</v>
          </cell>
          <cell r="D475">
            <v>0</v>
          </cell>
          <cell r="E475">
            <v>3822.48</v>
          </cell>
        </row>
        <row r="476">
          <cell r="A476">
            <v>50100044</v>
          </cell>
          <cell r="B476" t="str">
            <v>Amc Software Expenses</v>
          </cell>
          <cell r="C476">
            <v>182672.03</v>
          </cell>
          <cell r="D476">
            <v>0</v>
          </cell>
          <cell r="E476">
            <v>182672.03</v>
          </cell>
        </row>
        <row r="477">
          <cell r="A477">
            <v>50100045</v>
          </cell>
          <cell r="B477" t="str">
            <v>Amc Hardware Computer</v>
          </cell>
          <cell r="C477">
            <v>68282.850000000006</v>
          </cell>
          <cell r="D477">
            <v>0</v>
          </cell>
          <cell r="E477">
            <v>68282.850000000006</v>
          </cell>
        </row>
        <row r="478">
          <cell r="A478">
            <v>50100047</v>
          </cell>
          <cell r="B478" t="str">
            <v>Amc Hardware Generators</v>
          </cell>
          <cell r="C478">
            <v>8984.19</v>
          </cell>
          <cell r="D478">
            <v>0</v>
          </cell>
          <cell r="E478">
            <v>8984.19</v>
          </cell>
        </row>
        <row r="479">
          <cell r="A479">
            <v>50100048</v>
          </cell>
          <cell r="B479" t="str">
            <v>Amc Air Conditioners</v>
          </cell>
          <cell r="C479">
            <v>0</v>
          </cell>
          <cell r="D479">
            <v>0</v>
          </cell>
          <cell r="E479">
            <v>0</v>
          </cell>
        </row>
        <row r="480">
          <cell r="A480">
            <v>50100049</v>
          </cell>
          <cell r="B480" t="str">
            <v>Generator Expenses</v>
          </cell>
          <cell r="C480">
            <v>50339</v>
          </cell>
          <cell r="D480">
            <v>0</v>
          </cell>
          <cell r="E480">
            <v>50339</v>
          </cell>
        </row>
        <row r="481">
          <cell r="A481">
            <v>50100051</v>
          </cell>
          <cell r="B481" t="str">
            <v>Repair &amp; Maintenance</v>
          </cell>
          <cell r="C481">
            <v>11980.68</v>
          </cell>
          <cell r="D481">
            <v>0</v>
          </cell>
          <cell r="E481">
            <v>11980.68</v>
          </cell>
        </row>
        <row r="482">
          <cell r="A482">
            <v>50100054</v>
          </cell>
          <cell r="B482" t="str">
            <v>Sebi Charges</v>
          </cell>
          <cell r="C482">
            <v>1725.08</v>
          </cell>
          <cell r="D482">
            <v>0</v>
          </cell>
          <cell r="E482">
            <v>1725.08</v>
          </cell>
        </row>
        <row r="483">
          <cell r="A483">
            <v>50100057</v>
          </cell>
          <cell r="B483" t="str">
            <v>Postage &amp; Courier Charges</v>
          </cell>
          <cell r="C483">
            <v>2539.87</v>
          </cell>
          <cell r="D483">
            <v>0</v>
          </cell>
          <cell r="E483">
            <v>2539.87</v>
          </cell>
        </row>
        <row r="484">
          <cell r="A484">
            <v>50100058</v>
          </cell>
          <cell r="B484" t="str">
            <v>Insurance Expenses Vehicles</v>
          </cell>
          <cell r="C484">
            <v>20602.7</v>
          </cell>
          <cell r="D484">
            <v>0</v>
          </cell>
          <cell r="E484">
            <v>20602.7</v>
          </cell>
        </row>
        <row r="485">
          <cell r="A485">
            <v>50100061</v>
          </cell>
          <cell r="B485" t="str">
            <v>Insurance Expenses Stock Broker Policy</v>
          </cell>
          <cell r="C485">
            <v>20428.41</v>
          </cell>
          <cell r="D485">
            <v>0</v>
          </cell>
          <cell r="E485">
            <v>20428.41</v>
          </cell>
        </row>
        <row r="486">
          <cell r="A486">
            <v>50100063</v>
          </cell>
          <cell r="B486" t="str">
            <v>Books &amp; Periodical</v>
          </cell>
          <cell r="C486">
            <v>494</v>
          </cell>
          <cell r="D486">
            <v>0</v>
          </cell>
          <cell r="E486">
            <v>494</v>
          </cell>
        </row>
        <row r="487">
          <cell r="A487">
            <v>50100065</v>
          </cell>
          <cell r="B487" t="str">
            <v>Commision</v>
          </cell>
          <cell r="C487">
            <v>0</v>
          </cell>
          <cell r="D487">
            <v>0</v>
          </cell>
          <cell r="E487">
            <v>0</v>
          </cell>
        </row>
        <row r="488">
          <cell r="A488">
            <v>50100068</v>
          </cell>
          <cell r="B488" t="str">
            <v>SEBI Fees for Renewal of Reg. as Merchant Banker</v>
          </cell>
          <cell r="C488">
            <v>13686.14</v>
          </cell>
          <cell r="D488">
            <v>0</v>
          </cell>
          <cell r="E488">
            <v>13686.14</v>
          </cell>
        </row>
        <row r="489">
          <cell r="A489">
            <v>50100078</v>
          </cell>
          <cell r="B489" t="str">
            <v>VEHICLE REPAIR AND MAINTENANCE</v>
          </cell>
          <cell r="C489">
            <v>122574.8</v>
          </cell>
          <cell r="D489">
            <v>0</v>
          </cell>
          <cell r="E489">
            <v>122574.8</v>
          </cell>
        </row>
        <row r="490">
          <cell r="A490">
            <v>50100081</v>
          </cell>
          <cell r="B490" t="str">
            <v>NSE Expenses</v>
          </cell>
          <cell r="C490">
            <v>11123</v>
          </cell>
          <cell r="D490">
            <v>0</v>
          </cell>
          <cell r="E490">
            <v>11123</v>
          </cell>
        </row>
        <row r="491">
          <cell r="A491">
            <v>50100101</v>
          </cell>
          <cell r="B491" t="str">
            <v>Computer Hardware Expense</v>
          </cell>
          <cell r="C491">
            <v>1249.99</v>
          </cell>
          <cell r="D491">
            <v>0</v>
          </cell>
          <cell r="E491">
            <v>1249.99</v>
          </cell>
        </row>
        <row r="492">
          <cell r="A492">
            <v>50100102</v>
          </cell>
          <cell r="B492" t="str">
            <v>Exgratia Expense</v>
          </cell>
          <cell r="C492">
            <v>-75963.539999999994</v>
          </cell>
          <cell r="D492">
            <v>0</v>
          </cell>
          <cell r="E492">
            <v>-75963.539999999994</v>
          </cell>
        </row>
        <row r="493">
          <cell r="A493">
            <v>50100111</v>
          </cell>
          <cell r="B493" t="str">
            <v>Web Hosting Charges</v>
          </cell>
          <cell r="C493">
            <v>0</v>
          </cell>
          <cell r="D493">
            <v>0</v>
          </cell>
          <cell r="E493">
            <v>0</v>
          </cell>
        </row>
        <row r="494">
          <cell r="A494">
            <v>50100172</v>
          </cell>
          <cell r="B494" t="str">
            <v>Travelling-Lodging &amp; Boarding</v>
          </cell>
          <cell r="C494">
            <v>2316</v>
          </cell>
          <cell r="D494">
            <v>0</v>
          </cell>
          <cell r="E494">
            <v>2316</v>
          </cell>
        </row>
        <row r="495">
          <cell r="A495">
            <v>50100208</v>
          </cell>
          <cell r="B495" t="str">
            <v>Labour Welfare Fund expenses</v>
          </cell>
          <cell r="C495">
            <v>3237</v>
          </cell>
          <cell r="D495">
            <v>0</v>
          </cell>
          <cell r="E495">
            <v>3237</v>
          </cell>
        </row>
        <row r="496">
          <cell r="A496">
            <v>50100318</v>
          </cell>
          <cell r="B496" t="str">
            <v>Pooja Expenses</v>
          </cell>
          <cell r="C496">
            <v>540</v>
          </cell>
          <cell r="D496">
            <v>0</v>
          </cell>
          <cell r="E496">
            <v>540</v>
          </cell>
        </row>
        <row r="497">
          <cell r="A497">
            <v>50100387</v>
          </cell>
          <cell r="B497" t="str">
            <v>Interest Vikas Sachdeva Honda City (Legal)</v>
          </cell>
          <cell r="C497">
            <v>906</v>
          </cell>
          <cell r="D497">
            <v>0</v>
          </cell>
          <cell r="E497">
            <v>906</v>
          </cell>
        </row>
        <row r="498">
          <cell r="A498">
            <v>50100420</v>
          </cell>
          <cell r="B498" t="str">
            <v>AMC - Lift &amp; Others</v>
          </cell>
          <cell r="C498">
            <v>84311.9</v>
          </cell>
          <cell r="D498">
            <v>0</v>
          </cell>
          <cell r="E498">
            <v>84311.9</v>
          </cell>
        </row>
        <row r="499">
          <cell r="A499">
            <v>56000002</v>
          </cell>
          <cell r="B499" t="str">
            <v>Interest On Commercial Paper</v>
          </cell>
          <cell r="C499">
            <v>3964556.47</v>
          </cell>
          <cell r="D499">
            <v>0</v>
          </cell>
          <cell r="E499">
            <v>3964556.47</v>
          </cell>
        </row>
        <row r="500">
          <cell r="A500">
            <v>56000164</v>
          </cell>
          <cell r="B500" t="str">
            <v>Depository Charges</v>
          </cell>
          <cell r="C500">
            <v>0</v>
          </cell>
          <cell r="D500">
            <v>0</v>
          </cell>
          <cell r="E500">
            <v>0</v>
          </cell>
        </row>
        <row r="501">
          <cell r="A501">
            <v>56000166</v>
          </cell>
          <cell r="B501" t="str">
            <v>SEBI FEES FOR PORTFLIO MANAGEMENT</v>
          </cell>
          <cell r="C501">
            <v>13686.16</v>
          </cell>
          <cell r="D501">
            <v>0</v>
          </cell>
          <cell r="E501">
            <v>13686.16</v>
          </cell>
        </row>
        <row r="502">
          <cell r="A502">
            <v>57200001</v>
          </cell>
          <cell r="B502" t="str">
            <v>Depreciation - Computers</v>
          </cell>
          <cell r="C502">
            <v>1940991.65</v>
          </cell>
          <cell r="D502">
            <v>0</v>
          </cell>
          <cell r="E502">
            <v>1940991.65</v>
          </cell>
        </row>
        <row r="503">
          <cell r="A503">
            <v>57200002</v>
          </cell>
          <cell r="B503" t="str">
            <v>Depreciation - Office Equipment</v>
          </cell>
          <cell r="C503">
            <v>836314.95</v>
          </cell>
          <cell r="D503">
            <v>0</v>
          </cell>
          <cell r="E503">
            <v>836314.95</v>
          </cell>
        </row>
        <row r="504">
          <cell r="A504">
            <v>57200003</v>
          </cell>
          <cell r="B504" t="str">
            <v>Depreciation - Furnitures &amp; Fixtures</v>
          </cell>
          <cell r="C504">
            <v>629880.89</v>
          </cell>
          <cell r="D504">
            <v>0</v>
          </cell>
          <cell r="E504">
            <v>629880.89</v>
          </cell>
        </row>
        <row r="505">
          <cell r="A505">
            <v>57200004</v>
          </cell>
          <cell r="B505" t="str">
            <v>Depreciation - Vehicles</v>
          </cell>
          <cell r="C505">
            <v>592978.59</v>
          </cell>
          <cell r="D505">
            <v>0</v>
          </cell>
          <cell r="E505">
            <v>592978.59</v>
          </cell>
        </row>
        <row r="506">
          <cell r="A506">
            <v>57200010</v>
          </cell>
          <cell r="B506" t="str">
            <v>Depreciation - Software</v>
          </cell>
          <cell r="C506">
            <v>161133.9</v>
          </cell>
          <cell r="D506">
            <v>0</v>
          </cell>
          <cell r="E506">
            <v>161133.9</v>
          </cell>
        </row>
        <row r="507">
          <cell r="A507">
            <v>58013000</v>
          </cell>
          <cell r="B507" t="str">
            <v>Other transaction losses</v>
          </cell>
          <cell r="C507">
            <v>0.08</v>
          </cell>
          <cell r="D507">
            <v>0</v>
          </cell>
          <cell r="E507">
            <v>0.08</v>
          </cell>
        </row>
        <row r="508">
          <cell r="A508">
            <v>58030001</v>
          </cell>
          <cell r="B508" t="str">
            <v>Annual Listing Fees</v>
          </cell>
          <cell r="C508">
            <v>8630</v>
          </cell>
          <cell r="D508">
            <v>0</v>
          </cell>
          <cell r="E508">
            <v>8630</v>
          </cell>
        </row>
        <row r="509">
          <cell r="A509">
            <v>58030004</v>
          </cell>
          <cell r="B509" t="str">
            <v>Rates &amp; Taxes</v>
          </cell>
          <cell r="C509">
            <v>27000</v>
          </cell>
          <cell r="D509">
            <v>0</v>
          </cell>
          <cell r="E509">
            <v>27000</v>
          </cell>
        </row>
        <row r="510">
          <cell r="A510">
            <v>58030016</v>
          </cell>
          <cell r="B510" t="str">
            <v>Electricity Expenses</v>
          </cell>
          <cell r="C510">
            <v>55136</v>
          </cell>
          <cell r="D510">
            <v>0</v>
          </cell>
          <cell r="E510">
            <v>55136</v>
          </cell>
        </row>
        <row r="511">
          <cell r="A511">
            <v>58030018</v>
          </cell>
          <cell r="B511" t="str">
            <v>EPF Expenses Employer Contribution</v>
          </cell>
          <cell r="C511">
            <v>33540</v>
          </cell>
          <cell r="D511">
            <v>0</v>
          </cell>
          <cell r="E511">
            <v>33540</v>
          </cell>
        </row>
        <row r="512">
          <cell r="A512">
            <v>58030063</v>
          </cell>
          <cell r="B512" t="str">
            <v>Web Site Development Expenses</v>
          </cell>
          <cell r="C512">
            <v>51.7</v>
          </cell>
          <cell r="D512">
            <v>0</v>
          </cell>
          <cell r="E512">
            <v>51.7</v>
          </cell>
        </row>
        <row r="513">
          <cell r="A513">
            <v>58040002</v>
          </cell>
          <cell r="B513" t="str">
            <v>Rent Expenses</v>
          </cell>
          <cell r="C513">
            <v>4487971.62</v>
          </cell>
          <cell r="D513">
            <v>0</v>
          </cell>
          <cell r="E513">
            <v>4487971.62</v>
          </cell>
        </row>
        <row r="514">
          <cell r="A514">
            <v>58040003</v>
          </cell>
          <cell r="B514" t="str">
            <v>Conveyance Expenses</v>
          </cell>
          <cell r="C514">
            <v>57164</v>
          </cell>
          <cell r="D514">
            <v>0</v>
          </cell>
          <cell r="E514">
            <v>57164</v>
          </cell>
        </row>
        <row r="515">
          <cell r="A515">
            <v>58040004</v>
          </cell>
          <cell r="B515" t="str">
            <v>Travelling Expenses</v>
          </cell>
          <cell r="C515">
            <v>124791</v>
          </cell>
          <cell r="D515">
            <v>0</v>
          </cell>
          <cell r="E515">
            <v>124791</v>
          </cell>
        </row>
        <row r="516">
          <cell r="A516">
            <v>58040006</v>
          </cell>
          <cell r="B516" t="str">
            <v>Telephone Exp.(Mobile)</v>
          </cell>
          <cell r="C516">
            <v>2550</v>
          </cell>
          <cell r="D516">
            <v>0</v>
          </cell>
          <cell r="E516">
            <v>2550</v>
          </cell>
        </row>
        <row r="517">
          <cell r="A517">
            <v>58040007</v>
          </cell>
          <cell r="B517" t="str">
            <v>Telephone Expenses(Fixed Line)</v>
          </cell>
          <cell r="C517">
            <v>675.27</v>
          </cell>
          <cell r="D517">
            <v>0</v>
          </cell>
          <cell r="E517">
            <v>675.27</v>
          </cell>
        </row>
        <row r="518">
          <cell r="A518">
            <v>58040008</v>
          </cell>
          <cell r="B518" t="str">
            <v>Internet Band Width Cost</v>
          </cell>
          <cell r="C518">
            <v>2392.64</v>
          </cell>
          <cell r="D518">
            <v>0</v>
          </cell>
          <cell r="E518">
            <v>2392.64</v>
          </cell>
        </row>
        <row r="519">
          <cell r="A519">
            <v>58040009</v>
          </cell>
          <cell r="B519" t="str">
            <v>Lease Line Charges</v>
          </cell>
          <cell r="C519">
            <v>79783.38</v>
          </cell>
          <cell r="D519">
            <v>0</v>
          </cell>
          <cell r="E519">
            <v>79783.38</v>
          </cell>
        </row>
        <row r="520">
          <cell r="A520">
            <v>58040011</v>
          </cell>
          <cell r="B520" t="str">
            <v>Printing &amp; Stationery</v>
          </cell>
          <cell r="C520">
            <v>102986.24000000001</v>
          </cell>
          <cell r="D520">
            <v>0</v>
          </cell>
          <cell r="E520">
            <v>102986.24000000001</v>
          </cell>
        </row>
        <row r="521">
          <cell r="A521">
            <v>58040013</v>
          </cell>
          <cell r="B521" t="str">
            <v>Legal Expenses</v>
          </cell>
          <cell r="C521">
            <v>451000</v>
          </cell>
          <cell r="D521">
            <v>0</v>
          </cell>
          <cell r="E521">
            <v>451000</v>
          </cell>
        </row>
        <row r="522">
          <cell r="A522">
            <v>58040016</v>
          </cell>
          <cell r="B522" t="str">
            <v>Professional &amp; Consultancy Charges</v>
          </cell>
          <cell r="C522">
            <v>562</v>
          </cell>
          <cell r="D522">
            <v>0</v>
          </cell>
          <cell r="E522">
            <v>562</v>
          </cell>
        </row>
        <row r="523">
          <cell r="A523">
            <v>58040032</v>
          </cell>
          <cell r="B523" t="str">
            <v>House Keeping Charges</v>
          </cell>
          <cell r="C523">
            <v>493.17</v>
          </cell>
          <cell r="D523">
            <v>0</v>
          </cell>
          <cell r="E523">
            <v>493.17</v>
          </cell>
        </row>
        <row r="524">
          <cell r="A524">
            <v>58040130</v>
          </cell>
          <cell r="B524" t="str">
            <v>Annual Custody Fee A/c</v>
          </cell>
          <cell r="C524">
            <v>49300.66</v>
          </cell>
          <cell r="D524">
            <v>0</v>
          </cell>
          <cell r="E524">
            <v>49300.66</v>
          </cell>
        </row>
        <row r="525">
          <cell r="A525">
            <v>58040131</v>
          </cell>
          <cell r="B525" t="str">
            <v>Annual Issuer Fee A/c</v>
          </cell>
          <cell r="C525">
            <v>32553.439999999999</v>
          </cell>
          <cell r="D525">
            <v>0</v>
          </cell>
          <cell r="E525">
            <v>32553.439999999999</v>
          </cell>
        </row>
        <row r="526">
          <cell r="A526">
            <v>58040138</v>
          </cell>
          <cell r="B526" t="str">
            <v>Recovery from Bus fare</v>
          </cell>
          <cell r="C526">
            <v>-35113</v>
          </cell>
          <cell r="D526">
            <v>0</v>
          </cell>
          <cell r="E526">
            <v>-35113</v>
          </cell>
        </row>
        <row r="527">
          <cell r="A527">
            <v>58040139</v>
          </cell>
          <cell r="B527" t="str">
            <v>Recovery from Mobile/Blackberry Deduction</v>
          </cell>
          <cell r="C527">
            <v>-3240</v>
          </cell>
          <cell r="D527">
            <v>0</v>
          </cell>
          <cell r="E527">
            <v>-3240</v>
          </cell>
        </row>
        <row r="528">
          <cell r="A528">
            <v>58165006</v>
          </cell>
          <cell r="B528" t="str">
            <v>Office Maintenance</v>
          </cell>
          <cell r="C528">
            <v>89630.1</v>
          </cell>
          <cell r="D528">
            <v>0</v>
          </cell>
          <cell r="E528">
            <v>89630.1</v>
          </cell>
        </row>
        <row r="529">
          <cell r="A529">
            <v>58165007</v>
          </cell>
          <cell r="B529" t="str">
            <v>Bank Charges</v>
          </cell>
          <cell r="C529">
            <v>9280.27</v>
          </cell>
          <cell r="D529">
            <v>0</v>
          </cell>
          <cell r="E529">
            <v>9280.27</v>
          </cell>
        </row>
        <row r="530">
          <cell r="A530">
            <v>58165008</v>
          </cell>
          <cell r="B530" t="str">
            <v>Audit Fee</v>
          </cell>
          <cell r="C530">
            <v>0</v>
          </cell>
          <cell r="D530">
            <v>0</v>
          </cell>
          <cell r="E530">
            <v>0</v>
          </cell>
        </row>
        <row r="531">
          <cell r="A531">
            <v>58165012</v>
          </cell>
          <cell r="B531" t="str">
            <v>Stamp Paper/Franking Charges</v>
          </cell>
          <cell r="C531">
            <v>34490</v>
          </cell>
          <cell r="D531">
            <v>0</v>
          </cell>
          <cell r="E531">
            <v>34490</v>
          </cell>
        </row>
        <row r="532">
          <cell r="A532">
            <v>58165015</v>
          </cell>
          <cell r="B532" t="str">
            <v>Bank Guarantee Charges</v>
          </cell>
          <cell r="C532">
            <v>975576.55</v>
          </cell>
          <cell r="D532">
            <v>0</v>
          </cell>
          <cell r="E532">
            <v>975576.55</v>
          </cell>
        </row>
        <row r="533">
          <cell r="A533">
            <v>58190000</v>
          </cell>
          <cell r="B533" t="str">
            <v>Loss on sale of fixed assets</v>
          </cell>
          <cell r="C533">
            <v>5934.32</v>
          </cell>
          <cell r="D533">
            <v>0</v>
          </cell>
          <cell r="E533">
            <v>5934.32</v>
          </cell>
        </row>
        <row r="534">
          <cell r="A534">
            <v>58210000</v>
          </cell>
          <cell r="B534" t="str">
            <v>Bad debts</v>
          </cell>
          <cell r="C534">
            <v>-1098.73</v>
          </cell>
          <cell r="D534">
            <v>0</v>
          </cell>
          <cell r="E534">
            <v>-1098.73</v>
          </cell>
        </row>
        <row r="535">
          <cell r="A535">
            <v>58241023</v>
          </cell>
          <cell r="B535" t="str">
            <v>Technical Support Expense</v>
          </cell>
          <cell r="C535">
            <v>1726</v>
          </cell>
          <cell r="D535">
            <v>0</v>
          </cell>
          <cell r="E535">
            <v>1726</v>
          </cell>
        </row>
        <row r="536">
          <cell r="A536">
            <v>58242004</v>
          </cell>
          <cell r="B536" t="str">
            <v>Shorts &amp; Excess-GASE</v>
          </cell>
          <cell r="C536">
            <v>11.1</v>
          </cell>
          <cell r="D536">
            <v>0</v>
          </cell>
          <cell r="E536">
            <v>11.1</v>
          </cell>
        </row>
        <row r="537">
          <cell r="A537">
            <v>58242011</v>
          </cell>
          <cell r="B537" t="str">
            <v>NSE PENALTY CHARGES</v>
          </cell>
          <cell r="C537">
            <v>-2003.5</v>
          </cell>
          <cell r="D537">
            <v>0</v>
          </cell>
          <cell r="E537">
            <v>-2003.5</v>
          </cell>
        </row>
        <row r="538">
          <cell r="A538">
            <v>58242016</v>
          </cell>
          <cell r="B538" t="str">
            <v>Interest on Bank OD</v>
          </cell>
          <cell r="C538">
            <v>5172210.79</v>
          </cell>
          <cell r="D538">
            <v>0</v>
          </cell>
          <cell r="E538">
            <v>5172210.79</v>
          </cell>
        </row>
        <row r="539">
          <cell r="A539">
            <v>58242032</v>
          </cell>
          <cell r="B539" t="str">
            <v>EPF Admin &amp; EDLI Charges</v>
          </cell>
          <cell r="C539">
            <v>4499.95</v>
          </cell>
          <cell r="D539">
            <v>0</v>
          </cell>
          <cell r="E539">
            <v>4499.95</v>
          </cell>
        </row>
        <row r="540">
          <cell r="A540">
            <v>58242072</v>
          </cell>
          <cell r="B540" t="str">
            <v>Enhanced Benefit Plan</v>
          </cell>
          <cell r="C540">
            <v>0</v>
          </cell>
          <cell r="D540">
            <v>0</v>
          </cell>
          <cell r="E540">
            <v>0</v>
          </cell>
        </row>
        <row r="541">
          <cell r="A541">
            <v>62100010</v>
          </cell>
          <cell r="B541" t="str">
            <v>Content Expenses</v>
          </cell>
          <cell r="C541">
            <v>210381.03</v>
          </cell>
          <cell r="D541">
            <v>0</v>
          </cell>
          <cell r="E541">
            <v>210381.03</v>
          </cell>
        </row>
        <row r="542">
          <cell r="A542">
            <v>62100061</v>
          </cell>
          <cell r="B542" t="str">
            <v>Interest on Car Loans</v>
          </cell>
          <cell r="C542">
            <v>-3654</v>
          </cell>
          <cell r="D542">
            <v>0</v>
          </cell>
          <cell r="E542">
            <v>-3654</v>
          </cell>
        </row>
        <row r="543">
          <cell r="A543">
            <v>90000003</v>
          </cell>
          <cell r="B543" t="str">
            <v>Balancing Account</v>
          </cell>
          <cell r="C543">
            <v>6350842.2599999998</v>
          </cell>
          <cell r="D543">
            <v>0</v>
          </cell>
          <cell r="E543">
            <v>6350842.2599999998</v>
          </cell>
        </row>
        <row r="544">
          <cell r="A544">
            <v>90000005</v>
          </cell>
          <cell r="B544" t="str">
            <v>Cleared Ch. In Hdfc Bank</v>
          </cell>
          <cell r="C544">
            <v>-537514.72</v>
          </cell>
          <cell r="D544">
            <v>0</v>
          </cell>
          <cell r="E544">
            <v>-537514.72</v>
          </cell>
        </row>
        <row r="545">
          <cell r="A545">
            <v>90000011</v>
          </cell>
          <cell r="B545" t="str">
            <v>Sundry Debtors A/C.Customers Direct</v>
          </cell>
          <cell r="C545">
            <v>-524.01</v>
          </cell>
          <cell r="D545">
            <v>0</v>
          </cell>
          <cell r="E545">
            <v>-524.01</v>
          </cell>
        </row>
        <row r="546">
          <cell r="A546">
            <v>90000058</v>
          </cell>
          <cell r="B546" t="str">
            <v>BANK OF BARODA CAPITALMARKETS(WDM)</v>
          </cell>
          <cell r="C546">
            <v>-5250</v>
          </cell>
          <cell r="D546">
            <v>0</v>
          </cell>
          <cell r="E546">
            <v>-5250</v>
          </cell>
        </row>
        <row r="547">
          <cell r="A547">
            <v>90000063</v>
          </cell>
          <cell r="B547" t="str">
            <v>BHARAT CO-OP BANK LTD. (WDM)</v>
          </cell>
          <cell r="C547">
            <v>-3200</v>
          </cell>
          <cell r="D547">
            <v>0</v>
          </cell>
          <cell r="E547">
            <v>-3200</v>
          </cell>
        </row>
        <row r="548">
          <cell r="A548">
            <v>90000066</v>
          </cell>
          <cell r="B548" t="str">
            <v>CANARA BANK(WDM)</v>
          </cell>
          <cell r="C548">
            <v>-6000</v>
          </cell>
          <cell r="D548">
            <v>0</v>
          </cell>
          <cell r="E548">
            <v>-6000</v>
          </cell>
        </row>
        <row r="549">
          <cell r="A549">
            <v>90000072</v>
          </cell>
          <cell r="B549" t="str">
            <v>FEDERAL BANK(WDM)</v>
          </cell>
          <cell r="C549">
            <v>-1750</v>
          </cell>
          <cell r="D549">
            <v>0</v>
          </cell>
          <cell r="E549">
            <v>-1750</v>
          </cell>
        </row>
        <row r="550">
          <cell r="A550">
            <v>90000074</v>
          </cell>
          <cell r="B550" t="str">
            <v>ICHALKARANJI JANTA SAHAKARI BANK(WDM)</v>
          </cell>
          <cell r="C550">
            <v>-491</v>
          </cell>
          <cell r="D550">
            <v>0</v>
          </cell>
          <cell r="E550">
            <v>-491</v>
          </cell>
        </row>
        <row r="551">
          <cell r="A551">
            <v>90000082</v>
          </cell>
          <cell r="B551" t="str">
            <v>JANTA SAHAKARI BANK(WDM)</v>
          </cell>
          <cell r="C551">
            <v>-7000</v>
          </cell>
          <cell r="D551">
            <v>0</v>
          </cell>
          <cell r="E551">
            <v>-7000</v>
          </cell>
        </row>
        <row r="552">
          <cell r="A552">
            <v>90000088</v>
          </cell>
          <cell r="B552" t="str">
            <v>NAGPUR NAGRIK SAHAKARI B</v>
          </cell>
          <cell r="C552">
            <v>-7264</v>
          </cell>
          <cell r="D552">
            <v>0</v>
          </cell>
          <cell r="E552">
            <v>-7264</v>
          </cell>
        </row>
        <row r="553">
          <cell r="A553">
            <v>90000092</v>
          </cell>
          <cell r="B553" t="str">
            <v>ORIENTAL BANK OF COMM. (WDM)</v>
          </cell>
          <cell r="C553">
            <v>-19500</v>
          </cell>
          <cell r="D553">
            <v>0</v>
          </cell>
          <cell r="E553">
            <v>-19500</v>
          </cell>
        </row>
        <row r="554">
          <cell r="A554">
            <v>90000099</v>
          </cell>
          <cell r="B554" t="str">
            <v>SBI MUTUAL FUND (WDM)</v>
          </cell>
          <cell r="C554">
            <v>-3500</v>
          </cell>
          <cell r="D554">
            <v>0</v>
          </cell>
          <cell r="E554">
            <v>-3500</v>
          </cell>
        </row>
        <row r="555">
          <cell r="A555">
            <v>90000104</v>
          </cell>
          <cell r="B555" t="str">
            <v>STATE BANK OF INDIA (WDM)</v>
          </cell>
          <cell r="C555">
            <v>-11500</v>
          </cell>
          <cell r="D555">
            <v>0</v>
          </cell>
          <cell r="E555">
            <v>-11500</v>
          </cell>
        </row>
        <row r="556">
          <cell r="A556">
            <v>90000106</v>
          </cell>
          <cell r="B556" t="str">
            <v>STATE BANK OF SHAURASHTR</v>
          </cell>
          <cell r="C556">
            <v>-500</v>
          </cell>
          <cell r="D556">
            <v>0</v>
          </cell>
          <cell r="E556">
            <v>-500</v>
          </cell>
        </row>
        <row r="557">
          <cell r="A557">
            <v>90000109</v>
          </cell>
          <cell r="B557" t="str">
            <v>THE SANGLI BANK (WDM)</v>
          </cell>
          <cell r="C557">
            <v>-3500</v>
          </cell>
          <cell r="D557">
            <v>0</v>
          </cell>
          <cell r="E557">
            <v>-3500</v>
          </cell>
        </row>
        <row r="558">
          <cell r="A558">
            <v>90000111</v>
          </cell>
          <cell r="B558" t="str">
            <v>UCO BANK</v>
          </cell>
          <cell r="C558">
            <v>-2250</v>
          </cell>
          <cell r="D558">
            <v>0</v>
          </cell>
          <cell r="E558">
            <v>-2250</v>
          </cell>
        </row>
        <row r="559">
          <cell r="A559">
            <v>90000183</v>
          </cell>
          <cell r="B559" t="str">
            <v>Bombay Stock Exchange Limited</v>
          </cell>
          <cell r="C559">
            <v>-15586977.32</v>
          </cell>
          <cell r="D559">
            <v>0</v>
          </cell>
          <cell r="E559">
            <v>-15586977.32</v>
          </cell>
        </row>
        <row r="560">
          <cell r="A560">
            <v>90000184</v>
          </cell>
          <cell r="B560" t="str">
            <v>Bombay Stock Exchange Limited - STT A/C</v>
          </cell>
          <cell r="C560">
            <v>39217.910000000003</v>
          </cell>
          <cell r="D560">
            <v>0</v>
          </cell>
          <cell r="E560">
            <v>39217.910000000003</v>
          </cell>
        </row>
        <row r="561">
          <cell r="A561">
            <v>90000186</v>
          </cell>
          <cell r="B561" t="str">
            <v>National Stock Exchange</v>
          </cell>
          <cell r="C561">
            <v>-9977567.75</v>
          </cell>
          <cell r="D561">
            <v>0</v>
          </cell>
          <cell r="E561">
            <v>-9977567.75</v>
          </cell>
        </row>
        <row r="562">
          <cell r="A562">
            <v>90000187</v>
          </cell>
          <cell r="B562" t="str">
            <v>National Stock Exchange - STT A/C</v>
          </cell>
          <cell r="C562">
            <v>95692.92</v>
          </cell>
          <cell r="D562">
            <v>0</v>
          </cell>
          <cell r="E562">
            <v>95692.92</v>
          </cell>
        </row>
        <row r="563">
          <cell r="A563">
            <v>90000188</v>
          </cell>
          <cell r="B563" t="str">
            <v>National Stock Exchange - Short Sale A/c</v>
          </cell>
          <cell r="C563">
            <v>-134976.03</v>
          </cell>
          <cell r="D563">
            <v>0</v>
          </cell>
          <cell r="E563">
            <v>-134976.03</v>
          </cell>
        </row>
        <row r="564">
          <cell r="A564">
            <v>90000189</v>
          </cell>
          <cell r="B564" t="str">
            <v>Bombay Stock Exchange Limited - Auction A/C</v>
          </cell>
          <cell r="C564">
            <v>0</v>
          </cell>
          <cell r="D564">
            <v>0</v>
          </cell>
          <cell r="E564">
            <v>0</v>
          </cell>
        </row>
        <row r="565">
          <cell r="A565">
            <v>90000192</v>
          </cell>
          <cell r="B565" t="str">
            <v>Sundry Debtors A/C</v>
          </cell>
          <cell r="C565">
            <v>-1007378689.87</v>
          </cell>
          <cell r="D565">
            <v>0</v>
          </cell>
          <cell r="E565">
            <v>-1007378689.87</v>
          </cell>
        </row>
        <row r="566">
          <cell r="A566">
            <v>90000200</v>
          </cell>
          <cell r="B566" t="str">
            <v>AHMEDNAGAR SAHAR SAHAKARI BANK (WDM)</v>
          </cell>
          <cell r="C566">
            <v>-2000</v>
          </cell>
          <cell r="D566">
            <v>0</v>
          </cell>
          <cell r="E566">
            <v>-2000</v>
          </cell>
        </row>
        <row r="567">
          <cell r="A567">
            <v>90000265</v>
          </cell>
          <cell r="B567" t="str">
            <v>INTEREST RECEIVABLE ON FDR</v>
          </cell>
          <cell r="C567">
            <v>8841440.4399999995</v>
          </cell>
          <cell r="D567">
            <v>0</v>
          </cell>
          <cell r="E567">
            <v>8841440.4399999995</v>
          </cell>
        </row>
        <row r="568">
          <cell r="A568">
            <v>90000309</v>
          </cell>
          <cell r="B568" t="str">
            <v>Sundry Debtrors -Customers (Others)</v>
          </cell>
          <cell r="C568">
            <v>-14305</v>
          </cell>
          <cell r="D568">
            <v>0</v>
          </cell>
          <cell r="E568">
            <v>-14305</v>
          </cell>
        </row>
        <row r="569">
          <cell r="A569">
            <v>90000335</v>
          </cell>
          <cell r="B569" t="str">
            <v>ALLAHABAD BANK (WDM)</v>
          </cell>
          <cell r="C569">
            <v>-8500</v>
          </cell>
          <cell r="D569">
            <v>0</v>
          </cell>
          <cell r="E569">
            <v>-8500</v>
          </cell>
        </row>
        <row r="570">
          <cell r="A570">
            <v>90000379</v>
          </cell>
          <cell r="B570" t="str">
            <v>NSE MARGIN A/C</v>
          </cell>
          <cell r="C570">
            <v>0</v>
          </cell>
          <cell r="D570">
            <v>0</v>
          </cell>
          <cell r="E570">
            <v>0</v>
          </cell>
        </row>
        <row r="571">
          <cell r="A571">
            <v>90000480</v>
          </cell>
          <cell r="B571" t="str">
            <v>Bank of Rajasthan (wdm)</v>
          </cell>
          <cell r="C571">
            <v>-2000</v>
          </cell>
          <cell r="D571">
            <v>0</v>
          </cell>
          <cell r="E571">
            <v>-2000</v>
          </cell>
        </row>
        <row r="572">
          <cell r="A572">
            <v>90000498</v>
          </cell>
          <cell r="B572" t="str">
            <v>Deposits of Trading Membership Currency Derivative</v>
          </cell>
          <cell r="C572">
            <v>1000000</v>
          </cell>
          <cell r="D572">
            <v>0</v>
          </cell>
          <cell r="E572">
            <v>1000000</v>
          </cell>
        </row>
        <row r="573">
          <cell r="A573">
            <v>90000499</v>
          </cell>
          <cell r="B573" t="str">
            <v>IFSD- Currency Derivative Segment (CDS)</v>
          </cell>
          <cell r="C573">
            <v>2500000</v>
          </cell>
          <cell r="D573">
            <v>0</v>
          </cell>
          <cell r="E573">
            <v>2500000</v>
          </cell>
        </row>
        <row r="574">
          <cell r="A574">
            <v>90000509</v>
          </cell>
          <cell r="B574" t="str">
            <v>ABC MARGIN - NSE (SLB)</v>
          </cell>
          <cell r="C574">
            <v>500000</v>
          </cell>
          <cell r="D574">
            <v>0</v>
          </cell>
          <cell r="E574">
            <v>500000</v>
          </cell>
        </row>
        <row r="575">
          <cell r="A575">
            <v>90000622</v>
          </cell>
          <cell r="B575" t="str">
            <v>Sundry Debitors-Customer IPO Commission</v>
          </cell>
          <cell r="C575">
            <v>217.34</v>
          </cell>
          <cell r="D575">
            <v>0</v>
          </cell>
          <cell r="E575">
            <v>217.34</v>
          </cell>
        </row>
        <row r="576">
          <cell r="A576">
            <v>90000625</v>
          </cell>
          <cell r="B576" t="str">
            <v>Cenvat Receivable on reverse charge A/C</v>
          </cell>
          <cell r="C576">
            <v>103542</v>
          </cell>
          <cell r="D576">
            <v>0</v>
          </cell>
          <cell r="E576">
            <v>103542</v>
          </cell>
        </row>
        <row r="577">
          <cell r="A577">
            <v>90000793</v>
          </cell>
          <cell r="B577" t="str">
            <v>Sundry Debtors A/C - Mutual Fund Brokerage</v>
          </cell>
          <cell r="C577">
            <v>21165.27</v>
          </cell>
          <cell r="D577">
            <v>0</v>
          </cell>
          <cell r="E577">
            <v>21165.27</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38.xml.rels><?xml version="1.0" encoding="UTF-8" standalone="yes"?>
<Relationships xmlns="http://schemas.openxmlformats.org/package/2006/relationships"><Relationship Id="rId3" Type="http://schemas.openxmlformats.org/officeDocument/2006/relationships/hyperlink" Target="https://incometaxindia.gov.in/forms/income-tax%20rules/103120000000007766.pdf" TargetMode="External"/><Relationship Id="rId7" Type="http://schemas.openxmlformats.org/officeDocument/2006/relationships/hyperlink" Target="https://www.icai.org/post/19704" TargetMode="External"/><Relationship Id="rId2" Type="http://schemas.openxmlformats.org/officeDocument/2006/relationships/hyperlink" Target="https://incometaxindia.gov.in/forms/income-tax%20rules/103120000000007765.pdf" TargetMode="External"/><Relationship Id="rId1" Type="http://schemas.openxmlformats.org/officeDocument/2006/relationships/hyperlink" Target="https://incometaxindia.gov.in/Pages/downloads/most-used-forms.aspx" TargetMode="External"/><Relationship Id="rId6" Type="http://schemas.openxmlformats.org/officeDocument/2006/relationships/hyperlink" Target="https://www.mca.gov.in/Ministry/pdf/CompaniesSecondAmdtOrder_22122020.pdf" TargetMode="External"/><Relationship Id="rId5" Type="http://schemas.openxmlformats.org/officeDocument/2006/relationships/hyperlink" Target="https://www.mca.gov.in/Ministry/pdf/AuditAuditorsSecondAmendmentRules_13042021.pdf" TargetMode="External"/><Relationship Id="rId4" Type="http://schemas.openxmlformats.org/officeDocument/2006/relationships/hyperlink" Target="https://incometaxindia.gov.in/Forms/Income-Tax%20Rules/103120000000007767.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pageSetUpPr fitToPage="1"/>
  </sheetPr>
  <dimension ref="A1:H27"/>
  <sheetViews>
    <sheetView showGridLines="0" view="pageBreakPreview" topLeftCell="A14" zoomScale="90" zoomScaleNormal="100" zoomScaleSheetLayoutView="90" workbookViewId="0">
      <selection activeCell="E9" sqref="E9:G9"/>
    </sheetView>
  </sheetViews>
  <sheetFormatPr defaultRowHeight="15"/>
  <cols>
    <col min="1" max="1" width="3" customWidth="1"/>
    <col min="2" max="7" width="18" customWidth="1"/>
    <col min="8" max="8" width="3" customWidth="1"/>
  </cols>
  <sheetData>
    <row r="1" spans="1:8" ht="28.15" customHeight="1">
      <c r="A1" s="833" t="s">
        <v>971</v>
      </c>
      <c r="B1" s="834"/>
      <c r="C1" s="834"/>
      <c r="D1" s="834"/>
      <c r="E1" s="834"/>
      <c r="F1" s="834"/>
      <c r="G1" s="834"/>
      <c r="H1" s="834"/>
    </row>
    <row r="2" spans="1:8" ht="19.899999999999999" customHeight="1">
      <c r="A2" s="847" t="s">
        <v>0</v>
      </c>
      <c r="B2" s="848"/>
      <c r="C2" s="848"/>
      <c r="D2" s="848"/>
      <c r="E2" s="848"/>
      <c r="F2" s="848"/>
      <c r="G2" s="848"/>
      <c r="H2" s="848"/>
    </row>
    <row r="3" spans="1:8" ht="4.9000000000000004" customHeight="1">
      <c r="A3" s="845"/>
      <c r="B3" s="846"/>
      <c r="C3" s="846"/>
      <c r="D3" s="846"/>
      <c r="E3" s="846"/>
      <c r="F3" s="846"/>
      <c r="G3" s="846"/>
      <c r="H3" s="846"/>
    </row>
    <row r="5" spans="1:8" ht="22.15" customHeight="1">
      <c r="B5" s="844" t="s">
        <v>1</v>
      </c>
      <c r="C5" s="836"/>
      <c r="D5" s="836"/>
      <c r="E5" s="835" t="s">
        <v>2</v>
      </c>
      <c r="F5" s="836"/>
      <c r="G5" s="836"/>
    </row>
    <row r="6" spans="1:8" ht="19.899999999999999" customHeight="1">
      <c r="B6" s="849" t="s">
        <v>3</v>
      </c>
      <c r="C6" s="850"/>
      <c r="D6" s="851"/>
      <c r="E6" s="841" t="s">
        <v>4</v>
      </c>
      <c r="F6" s="842"/>
      <c r="G6" s="843"/>
    </row>
    <row r="7" spans="1:8" ht="19.899999999999999" customHeight="1">
      <c r="B7" s="837" t="s">
        <v>5</v>
      </c>
      <c r="C7" s="838"/>
      <c r="D7" s="839"/>
      <c r="E7" s="840" t="s">
        <v>6</v>
      </c>
      <c r="F7" s="838"/>
      <c r="G7" s="839"/>
    </row>
    <row r="8" spans="1:8" ht="19.899999999999999" customHeight="1">
      <c r="B8" s="837" t="s">
        <v>7</v>
      </c>
      <c r="C8" s="838"/>
      <c r="D8" s="839"/>
      <c r="E8" s="840" t="s">
        <v>8</v>
      </c>
      <c r="F8" s="838"/>
      <c r="G8" s="839"/>
    </row>
    <row r="9" spans="1:8" ht="30" customHeight="1">
      <c r="B9" s="837" t="s">
        <v>9</v>
      </c>
      <c r="C9" s="838"/>
      <c r="D9" s="839"/>
      <c r="E9" s="840" t="s">
        <v>10</v>
      </c>
      <c r="F9" s="838"/>
      <c r="G9" s="839"/>
    </row>
    <row r="10" spans="1:8" ht="30" customHeight="1">
      <c r="B10" s="837" t="s">
        <v>11</v>
      </c>
      <c r="C10" s="838"/>
      <c r="D10" s="839"/>
      <c r="E10" s="840" t="s">
        <v>12</v>
      </c>
      <c r="F10" s="838"/>
      <c r="G10" s="839"/>
    </row>
    <row r="11" spans="1:8" ht="19.899999999999999" customHeight="1">
      <c r="B11" s="837" t="s">
        <v>13</v>
      </c>
      <c r="C11" s="838"/>
      <c r="D11" s="839"/>
      <c r="E11" s="840" t="s">
        <v>14</v>
      </c>
      <c r="F11" s="838"/>
      <c r="G11" s="839"/>
    </row>
    <row r="12" spans="1:8" ht="19.899999999999999" customHeight="1">
      <c r="B12" s="856" t="s">
        <v>15</v>
      </c>
      <c r="C12" s="854"/>
      <c r="D12" s="855"/>
      <c r="E12" s="853" t="s">
        <v>16</v>
      </c>
      <c r="F12" s="854"/>
      <c r="G12" s="855"/>
    </row>
    <row r="15" spans="1:8" ht="22.15" customHeight="1">
      <c r="B15" s="857" t="s">
        <v>17</v>
      </c>
      <c r="C15" s="857"/>
      <c r="D15" s="857"/>
      <c r="E15" s="857"/>
      <c r="F15" s="857"/>
      <c r="G15" s="857"/>
    </row>
    <row r="16" spans="1:8" ht="15" customHeight="1">
      <c r="B16" s="852" t="s">
        <v>18</v>
      </c>
      <c r="C16" s="852"/>
      <c r="D16" s="852"/>
      <c r="E16" s="858" t="s">
        <v>972</v>
      </c>
      <c r="F16" s="858"/>
      <c r="G16" s="858"/>
    </row>
    <row r="17" spans="2:7" ht="15" customHeight="1">
      <c r="B17" s="852" t="s">
        <v>19</v>
      </c>
      <c r="C17" s="852"/>
      <c r="D17" s="852"/>
      <c r="E17" s="858" t="s">
        <v>973</v>
      </c>
      <c r="F17" s="858"/>
      <c r="G17" s="858"/>
    </row>
    <row r="18" spans="2:7" ht="15" customHeight="1">
      <c r="B18" s="852" t="s">
        <v>21</v>
      </c>
      <c r="C18" s="852"/>
      <c r="D18" s="852"/>
      <c r="E18" s="858" t="s">
        <v>22</v>
      </c>
      <c r="F18" s="858"/>
      <c r="G18" s="858"/>
    </row>
    <row r="19" spans="2:7" ht="15" customHeight="1">
      <c r="B19" s="852" t="s">
        <v>25</v>
      </c>
      <c r="C19" s="852"/>
      <c r="D19" s="852"/>
      <c r="E19" s="858" t="s">
        <v>26</v>
      </c>
      <c r="F19" s="858"/>
      <c r="G19" s="858"/>
    </row>
    <row r="20" spans="2:7" ht="15" customHeight="1">
      <c r="B20" s="852" t="s">
        <v>32</v>
      </c>
      <c r="C20" s="852"/>
      <c r="D20" s="852"/>
      <c r="E20" s="858" t="s">
        <v>974</v>
      </c>
      <c r="F20" s="858"/>
      <c r="G20" s="858"/>
    </row>
    <row r="21" spans="2:7" ht="15" customHeight="1">
      <c r="B21" s="852" t="s">
        <v>773</v>
      </c>
      <c r="C21" s="852"/>
      <c r="D21" s="852"/>
      <c r="E21" s="858" t="s">
        <v>975</v>
      </c>
      <c r="F21" s="858"/>
      <c r="G21" s="858"/>
    </row>
    <row r="22" spans="2:7" ht="15" customHeight="1">
      <c r="B22" s="852" t="s">
        <v>976</v>
      </c>
      <c r="C22" s="852"/>
      <c r="D22" s="852"/>
      <c r="E22" s="858" t="s">
        <v>977</v>
      </c>
      <c r="F22" s="858"/>
      <c r="G22" s="858"/>
    </row>
    <row r="23" spans="2:7">
      <c r="B23" s="852" t="s">
        <v>20</v>
      </c>
      <c r="C23" s="852"/>
      <c r="D23" s="852"/>
      <c r="E23" s="858" t="s">
        <v>978</v>
      </c>
      <c r="F23" s="858"/>
      <c r="G23" s="858"/>
    </row>
    <row r="24" spans="2:7" ht="15" customHeight="1">
      <c r="B24" s="852" t="s">
        <v>23</v>
      </c>
      <c r="C24" s="852"/>
      <c r="D24" s="852"/>
      <c r="E24" s="858" t="s">
        <v>24</v>
      </c>
      <c r="F24" s="858"/>
      <c r="G24" s="858"/>
    </row>
    <row r="25" spans="2:7" ht="25.9" customHeight="1">
      <c r="B25" s="852" t="s">
        <v>979</v>
      </c>
      <c r="C25" s="852"/>
      <c r="D25" s="852"/>
      <c r="E25" s="858" t="s">
        <v>27</v>
      </c>
      <c r="F25" s="858"/>
      <c r="G25" s="858"/>
    </row>
    <row r="26" spans="2:7">
      <c r="B26" s="852" t="s">
        <v>980</v>
      </c>
      <c r="C26" s="852"/>
      <c r="D26" s="852"/>
      <c r="E26" s="858" t="s">
        <v>27</v>
      </c>
      <c r="F26" s="858"/>
      <c r="G26" s="858"/>
    </row>
    <row r="27" spans="2:7">
      <c r="B27" s="852" t="s">
        <v>46</v>
      </c>
      <c r="C27" s="852"/>
      <c r="D27" s="852"/>
      <c r="E27" s="858" t="s">
        <v>27</v>
      </c>
      <c r="F27" s="858"/>
      <c r="G27" s="858"/>
    </row>
  </sheetData>
  <mergeCells count="44">
    <mergeCell ref="E27:G27"/>
    <mergeCell ref="B27:D27"/>
    <mergeCell ref="E16:G16"/>
    <mergeCell ref="E17:G17"/>
    <mergeCell ref="E18:G18"/>
    <mergeCell ref="E19:G19"/>
    <mergeCell ref="E20:G20"/>
    <mergeCell ref="E21:G21"/>
    <mergeCell ref="E22:G22"/>
    <mergeCell ref="E23:G23"/>
    <mergeCell ref="B24:D24"/>
    <mergeCell ref="B25:D25"/>
    <mergeCell ref="B26:D26"/>
    <mergeCell ref="E24:G24"/>
    <mergeCell ref="E25:G25"/>
    <mergeCell ref="E26:G26"/>
    <mergeCell ref="B21:D21"/>
    <mergeCell ref="B22:D22"/>
    <mergeCell ref="B23:D23"/>
    <mergeCell ref="B18:D18"/>
    <mergeCell ref="B19:D19"/>
    <mergeCell ref="B20:D20"/>
    <mergeCell ref="B16:D16"/>
    <mergeCell ref="B17:D17"/>
    <mergeCell ref="E9:G9"/>
    <mergeCell ref="E12:G12"/>
    <mergeCell ref="B7:D7"/>
    <mergeCell ref="B12:D12"/>
    <mergeCell ref="E8:G8"/>
    <mergeCell ref="E11:G11"/>
    <mergeCell ref="B15:G15"/>
    <mergeCell ref="E7:G7"/>
    <mergeCell ref="B11:D11"/>
    <mergeCell ref="A1:H1"/>
    <mergeCell ref="E5:G5"/>
    <mergeCell ref="B9:D9"/>
    <mergeCell ref="E10:G10"/>
    <mergeCell ref="B8:D8"/>
    <mergeCell ref="E6:G6"/>
    <mergeCell ref="B5:D5"/>
    <mergeCell ref="A3:H3"/>
    <mergeCell ref="A2:H2"/>
    <mergeCell ref="B6:D6"/>
    <mergeCell ref="B10:D10"/>
  </mergeCells>
  <printOptions horizontalCentered="1"/>
  <pageMargins left="0.35" right="0.35" top="0.55000000000000004" bottom="0.55000000000000004" header="0.2" footer="0.2"/>
  <pageSetup paperSize="9" scale="86" fitToHeight="0" orientation="portrait" r:id="rId1"/>
  <headerFooter>
    <oddFooter>&amp;LCAFlow template&amp;RPage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9A227"/>
    <pageSetUpPr fitToPage="1"/>
  </sheetPr>
  <dimension ref="A2:K32"/>
  <sheetViews>
    <sheetView showGridLines="0" workbookViewId="0">
      <pane ySplit="3" topLeftCell="A4" activePane="bottomLeft" state="frozen"/>
      <selection pane="bottomLeft" activeCell="M15" sqref="M15"/>
    </sheetView>
  </sheetViews>
  <sheetFormatPr defaultRowHeight="14.25"/>
  <cols>
    <col min="1" max="1" width="1.85546875" style="652" customWidth="1"/>
    <col min="2" max="2" width="4.42578125" style="652" customWidth="1"/>
    <col min="3" max="3" width="9.7109375" style="652" customWidth="1"/>
    <col min="4" max="4" width="8.5703125" style="652" customWidth="1"/>
    <col min="5" max="5" width="9.7109375" style="652" customWidth="1"/>
    <col min="6" max="6" width="10.140625" style="652" customWidth="1"/>
    <col min="7" max="7" width="4.28515625" style="652" customWidth="1"/>
    <col min="8" max="8" width="18.140625" style="652" customWidth="1"/>
    <col min="9" max="9" width="20.7109375" style="652" customWidth="1"/>
    <col min="10" max="10" width="2.140625" style="652" customWidth="1"/>
    <col min="11" max="16384" width="9.140625" style="652"/>
  </cols>
  <sheetData>
    <row r="2" spans="1:10" ht="29.25" customHeight="1">
      <c r="A2" s="864" t="s">
        <v>28</v>
      </c>
      <c r="B2" s="865"/>
      <c r="C2" s="865"/>
      <c r="D2" s="865"/>
      <c r="E2" s="865"/>
      <c r="F2" s="865"/>
      <c r="G2" s="865"/>
      <c r="H2" s="865"/>
      <c r="I2" s="865"/>
      <c r="J2" s="866"/>
    </row>
    <row r="3" spans="1:10" ht="22.15" customHeight="1">
      <c r="A3" s="867" t="s">
        <v>993</v>
      </c>
      <c r="B3" s="868"/>
      <c r="C3" s="868"/>
      <c r="D3" s="868"/>
      <c r="E3" s="868"/>
      <c r="F3" s="868"/>
      <c r="G3" s="868"/>
      <c r="H3" s="868"/>
      <c r="I3" s="868"/>
      <c r="J3" s="869"/>
    </row>
    <row r="4" spans="1:10" ht="15">
      <c r="A4" s="870"/>
      <c r="B4" s="871"/>
      <c r="C4" s="871"/>
      <c r="D4" s="871"/>
      <c r="E4" s="871"/>
      <c r="F4" s="871"/>
      <c r="G4" s="871"/>
      <c r="H4" s="871"/>
      <c r="I4" s="871"/>
      <c r="J4" s="872"/>
    </row>
    <row r="5" spans="1:10" ht="15">
      <c r="A5" s="873" t="s">
        <v>29</v>
      </c>
      <c r="B5" s="874"/>
      <c r="C5" s="874"/>
      <c r="D5" s="874"/>
      <c r="E5" s="874"/>
      <c r="F5" s="874"/>
      <c r="G5" s="874"/>
      <c r="H5" s="874"/>
      <c r="I5" s="874"/>
      <c r="J5" s="875"/>
    </row>
    <row r="6" spans="1:10">
      <c r="A6" s="653"/>
      <c r="B6" s="876" t="s">
        <v>18</v>
      </c>
      <c r="C6" s="876"/>
      <c r="D6" s="876"/>
      <c r="E6" s="877"/>
      <c r="F6" s="878" t="s">
        <v>981</v>
      </c>
      <c r="G6" s="879"/>
      <c r="H6" s="879"/>
      <c r="I6" s="879"/>
      <c r="J6" s="880"/>
    </row>
    <row r="7" spans="1:10">
      <c r="A7" s="654"/>
      <c r="B7" s="859" t="s">
        <v>31</v>
      </c>
      <c r="C7" s="859"/>
      <c r="D7" s="859"/>
      <c r="E7" s="860"/>
      <c r="F7" s="861" t="s">
        <v>982</v>
      </c>
      <c r="G7" s="862"/>
      <c r="H7" s="862"/>
      <c r="I7" s="862"/>
      <c r="J7" s="863"/>
    </row>
    <row r="8" spans="1:10">
      <c r="A8" s="654"/>
      <c r="B8" s="859" t="s">
        <v>983</v>
      </c>
      <c r="C8" s="859"/>
      <c r="D8" s="859"/>
      <c r="E8" s="860"/>
      <c r="F8" s="861" t="s">
        <v>984</v>
      </c>
      <c r="G8" s="862"/>
      <c r="H8" s="862"/>
      <c r="I8" s="862"/>
      <c r="J8" s="863"/>
    </row>
    <row r="9" spans="1:10">
      <c r="A9" s="654"/>
      <c r="B9" s="859" t="s">
        <v>985</v>
      </c>
      <c r="C9" s="859"/>
      <c r="D9" s="859"/>
      <c r="E9" s="860"/>
      <c r="F9" s="861" t="s">
        <v>986</v>
      </c>
      <c r="G9" s="862"/>
      <c r="H9" s="862"/>
      <c r="I9" s="862"/>
      <c r="J9" s="863"/>
    </row>
    <row r="10" spans="1:10" ht="22.15" customHeight="1">
      <c r="A10" s="654"/>
      <c r="B10" s="859" t="s">
        <v>987</v>
      </c>
      <c r="C10" s="859"/>
      <c r="D10" s="859"/>
      <c r="E10" s="860"/>
      <c r="F10" s="861" t="s">
        <v>988</v>
      </c>
      <c r="G10" s="862"/>
      <c r="H10" s="862"/>
      <c r="I10" s="862"/>
      <c r="J10" s="863"/>
    </row>
    <row r="11" spans="1:10">
      <c r="A11" s="654"/>
      <c r="B11" s="859" t="s">
        <v>30</v>
      </c>
      <c r="C11" s="859"/>
      <c r="D11" s="859"/>
      <c r="E11" s="860"/>
      <c r="F11" s="861" t="s">
        <v>994</v>
      </c>
      <c r="G11" s="862"/>
      <c r="H11" s="862"/>
      <c r="I11" s="862"/>
      <c r="J11" s="863"/>
    </row>
    <row r="12" spans="1:10">
      <c r="A12" s="654"/>
      <c r="B12" s="859" t="s">
        <v>33</v>
      </c>
      <c r="C12" s="859"/>
      <c r="D12" s="859"/>
      <c r="E12" s="860"/>
      <c r="F12" s="861" t="s">
        <v>34</v>
      </c>
      <c r="G12" s="862"/>
      <c r="H12" s="862"/>
      <c r="I12" s="862"/>
      <c r="J12" s="863"/>
    </row>
    <row r="13" spans="1:10">
      <c r="A13" s="654"/>
      <c r="B13" s="859" t="s">
        <v>36</v>
      </c>
      <c r="C13" s="859"/>
      <c r="D13" s="859"/>
      <c r="E13" s="860"/>
      <c r="F13" s="861" t="s">
        <v>989</v>
      </c>
      <c r="G13" s="862"/>
      <c r="H13" s="862"/>
      <c r="I13" s="862"/>
      <c r="J13" s="863"/>
    </row>
    <row r="14" spans="1:10">
      <c r="A14" s="654"/>
      <c r="B14" s="859" t="s">
        <v>20</v>
      </c>
      <c r="C14" s="859"/>
      <c r="D14" s="859"/>
      <c r="E14" s="860"/>
      <c r="F14" s="861" t="s">
        <v>990</v>
      </c>
      <c r="G14" s="862"/>
      <c r="H14" s="862"/>
      <c r="I14" s="862"/>
      <c r="J14" s="863"/>
    </row>
    <row r="15" spans="1:10" ht="22.15" customHeight="1">
      <c r="A15" s="654"/>
      <c r="B15" s="859" t="s">
        <v>37</v>
      </c>
      <c r="C15" s="859"/>
      <c r="D15" s="859"/>
      <c r="E15" s="860"/>
      <c r="F15" s="682" t="s">
        <v>991</v>
      </c>
      <c r="G15" s="683" t="s">
        <v>992</v>
      </c>
      <c r="H15" s="684"/>
      <c r="I15" s="684"/>
      <c r="J15" s="685"/>
    </row>
    <row r="16" spans="1:10" ht="25.9" customHeight="1">
      <c r="A16" s="654"/>
      <c r="B16" s="859" t="s">
        <v>38</v>
      </c>
      <c r="C16" s="859"/>
      <c r="D16" s="859"/>
      <c r="E16" s="860"/>
      <c r="F16" s="682" t="s">
        <v>991</v>
      </c>
      <c r="G16" s="683" t="s">
        <v>992</v>
      </c>
      <c r="H16" s="684"/>
      <c r="I16" s="684"/>
      <c r="J16" s="685"/>
    </row>
    <row r="17" spans="1:11" ht="25.9" customHeight="1">
      <c r="A17" s="655"/>
      <c r="B17" s="881" t="s">
        <v>35</v>
      </c>
      <c r="C17" s="881"/>
      <c r="D17" s="881"/>
      <c r="E17" s="882"/>
      <c r="F17" s="883" t="s">
        <v>995</v>
      </c>
      <c r="G17" s="884"/>
      <c r="H17" s="884"/>
      <c r="I17" s="884"/>
      <c r="J17" s="885"/>
    </row>
    <row r="18" spans="1:11" ht="25.9" customHeight="1">
      <c r="A18" s="873" t="s">
        <v>39</v>
      </c>
      <c r="B18" s="874"/>
      <c r="C18" s="874"/>
      <c r="D18" s="874"/>
      <c r="E18" s="874"/>
      <c r="F18" s="874"/>
      <c r="G18" s="874"/>
      <c r="H18" s="874"/>
      <c r="I18" s="874"/>
      <c r="J18" s="875"/>
    </row>
    <row r="19" spans="1:11" ht="25.9" customHeight="1">
      <c r="A19" s="653"/>
      <c r="B19" s="876" t="s">
        <v>40</v>
      </c>
      <c r="C19" s="876"/>
      <c r="D19" s="876"/>
      <c r="E19" s="877"/>
      <c r="F19" s="886" t="s">
        <v>26</v>
      </c>
      <c r="G19" s="887"/>
      <c r="H19" s="887"/>
      <c r="I19" s="887"/>
      <c r="J19" s="888"/>
      <c r="K19" s="686"/>
    </row>
    <row r="20" spans="1:11">
      <c r="A20" s="654"/>
      <c r="B20" s="859" t="s">
        <v>43</v>
      </c>
      <c r="C20" s="859"/>
      <c r="D20" s="859"/>
      <c r="E20" s="860"/>
      <c r="F20" s="889" t="s">
        <v>24</v>
      </c>
      <c r="G20" s="890"/>
      <c r="H20" s="890"/>
      <c r="I20" s="890"/>
      <c r="J20" s="891"/>
      <c r="K20" s="686"/>
    </row>
    <row r="21" spans="1:11">
      <c r="A21" s="654"/>
      <c r="B21" s="859" t="s">
        <v>41</v>
      </c>
      <c r="C21" s="859"/>
      <c r="D21" s="859"/>
      <c r="E21" s="860"/>
      <c r="F21" s="889" t="s">
        <v>42</v>
      </c>
      <c r="G21" s="890"/>
      <c r="H21" s="890"/>
      <c r="I21" s="890"/>
      <c r="J21" s="891"/>
      <c r="K21" s="686"/>
    </row>
    <row r="22" spans="1:11">
      <c r="A22" s="654"/>
      <c r="B22" s="859" t="s">
        <v>44</v>
      </c>
      <c r="C22" s="859"/>
      <c r="D22" s="859"/>
      <c r="E22" s="860"/>
      <c r="F22" s="889" t="s">
        <v>45</v>
      </c>
      <c r="G22" s="890"/>
      <c r="H22" s="890"/>
      <c r="I22" s="890"/>
      <c r="J22" s="891"/>
      <c r="K22" s="686"/>
    </row>
    <row r="23" spans="1:11">
      <c r="A23" s="654"/>
      <c r="B23" s="859" t="s">
        <v>46</v>
      </c>
      <c r="C23" s="859"/>
      <c r="D23" s="859"/>
      <c r="E23" s="860"/>
      <c r="F23" s="889" t="s">
        <v>47</v>
      </c>
      <c r="G23" s="890"/>
      <c r="H23" s="890"/>
      <c r="I23" s="890"/>
      <c r="J23" s="891"/>
      <c r="K23" s="686"/>
    </row>
    <row r="24" spans="1:11">
      <c r="A24" s="654"/>
      <c r="B24" s="859" t="s">
        <v>21</v>
      </c>
      <c r="C24" s="859"/>
      <c r="D24" s="859"/>
      <c r="E24" s="860"/>
      <c r="F24" s="889" t="s">
        <v>50</v>
      </c>
      <c r="G24" s="890"/>
      <c r="H24" s="890"/>
      <c r="I24" s="890"/>
      <c r="J24" s="891"/>
      <c r="K24" s="686"/>
    </row>
    <row r="25" spans="1:11">
      <c r="A25" s="654"/>
      <c r="B25" s="859" t="s">
        <v>48</v>
      </c>
      <c r="C25" s="859"/>
      <c r="D25" s="859"/>
      <c r="E25" s="860"/>
      <c r="F25" s="889" t="s">
        <v>49</v>
      </c>
      <c r="G25" s="890"/>
      <c r="H25" s="890"/>
      <c r="I25" s="890"/>
      <c r="J25" s="891"/>
      <c r="K25" s="686"/>
    </row>
    <row r="26" spans="1:11">
      <c r="A26" s="655"/>
      <c r="B26" s="881" t="s">
        <v>51</v>
      </c>
      <c r="C26" s="881"/>
      <c r="D26" s="881"/>
      <c r="E26" s="882"/>
      <c r="F26" s="894" t="s">
        <v>50</v>
      </c>
      <c r="G26" s="895"/>
      <c r="H26" s="895"/>
      <c r="I26" s="895"/>
      <c r="J26" s="896"/>
      <c r="K26" s="686"/>
    </row>
    <row r="27" spans="1:11" ht="15">
      <c r="A27" s="873" t="s">
        <v>52</v>
      </c>
      <c r="B27" s="874"/>
      <c r="C27" s="874"/>
      <c r="D27" s="874"/>
      <c r="E27" s="874"/>
      <c r="F27" s="874"/>
      <c r="G27" s="874"/>
      <c r="H27" s="874"/>
      <c r="I27" s="874"/>
      <c r="J27" s="875"/>
    </row>
    <row r="28" spans="1:11">
      <c r="A28" s="656"/>
      <c r="B28" s="892" t="s">
        <v>53</v>
      </c>
      <c r="C28" s="892"/>
      <c r="D28" s="892"/>
      <c r="E28" s="892"/>
      <c r="F28" s="892"/>
      <c r="G28" s="892"/>
      <c r="H28" s="892"/>
      <c r="I28" s="892"/>
      <c r="J28" s="657"/>
    </row>
    <row r="29" spans="1:11">
      <c r="A29" s="658"/>
      <c r="B29" s="893" t="s">
        <v>54</v>
      </c>
      <c r="C29" s="893"/>
      <c r="D29" s="893"/>
      <c r="E29" s="893"/>
      <c r="F29" s="893"/>
      <c r="G29" s="893"/>
      <c r="H29" s="893"/>
      <c r="I29" s="893"/>
      <c r="J29" s="659"/>
    </row>
    <row r="30" spans="1:11">
      <c r="A30" s="658"/>
      <c r="B30" s="893" t="s">
        <v>55</v>
      </c>
      <c r="C30" s="893"/>
      <c r="D30" s="893"/>
      <c r="E30" s="893"/>
      <c r="F30" s="893"/>
      <c r="G30" s="893"/>
      <c r="H30" s="893"/>
      <c r="I30" s="893"/>
      <c r="J30" s="659"/>
    </row>
    <row r="31" spans="1:11">
      <c r="A31" s="658"/>
      <c r="B31" s="893" t="s">
        <v>56</v>
      </c>
      <c r="C31" s="893"/>
      <c r="D31" s="893"/>
      <c r="E31" s="893"/>
      <c r="F31" s="893"/>
      <c r="G31" s="893"/>
      <c r="H31" s="893"/>
      <c r="I31" s="893"/>
      <c r="J31" s="659"/>
    </row>
    <row r="32" spans="1:11">
      <c r="A32" s="660"/>
      <c r="B32" s="661"/>
      <c r="C32" s="661"/>
      <c r="D32" s="661"/>
      <c r="E32" s="661"/>
      <c r="F32" s="661"/>
      <c r="G32" s="661"/>
      <c r="H32" s="661"/>
      <c r="I32" s="661"/>
      <c r="J32" s="662"/>
    </row>
  </sheetData>
  <mergeCells count="48">
    <mergeCell ref="B28:I28"/>
    <mergeCell ref="B29:I29"/>
    <mergeCell ref="B30:I30"/>
    <mergeCell ref="B31:I31"/>
    <mergeCell ref="B25:E25"/>
    <mergeCell ref="F25:J25"/>
    <mergeCell ref="B26:E26"/>
    <mergeCell ref="F26:J26"/>
    <mergeCell ref="A27:J27"/>
    <mergeCell ref="B22:E22"/>
    <mergeCell ref="F22:J22"/>
    <mergeCell ref="B23:E23"/>
    <mergeCell ref="F23:J23"/>
    <mergeCell ref="B24:E24"/>
    <mergeCell ref="F24:J24"/>
    <mergeCell ref="B19:E19"/>
    <mergeCell ref="F19:J19"/>
    <mergeCell ref="B20:E20"/>
    <mergeCell ref="F20:J20"/>
    <mergeCell ref="B21:E21"/>
    <mergeCell ref="F21:J21"/>
    <mergeCell ref="B15:E15"/>
    <mergeCell ref="B16:E16"/>
    <mergeCell ref="B17:E17"/>
    <mergeCell ref="F17:J17"/>
    <mergeCell ref="A18:J18"/>
    <mergeCell ref="A2:J2"/>
    <mergeCell ref="A3:J3"/>
    <mergeCell ref="A4:J4"/>
    <mergeCell ref="A5:J5"/>
    <mergeCell ref="B6:E6"/>
    <mergeCell ref="F6:J6"/>
    <mergeCell ref="B7:E7"/>
    <mergeCell ref="F7:J7"/>
    <mergeCell ref="B8:E8"/>
    <mergeCell ref="F8:J8"/>
    <mergeCell ref="B9:E9"/>
    <mergeCell ref="F9:J9"/>
    <mergeCell ref="B13:E13"/>
    <mergeCell ref="F13:J13"/>
    <mergeCell ref="B14:E14"/>
    <mergeCell ref="F14:J14"/>
    <mergeCell ref="B10:E10"/>
    <mergeCell ref="F10:J10"/>
    <mergeCell ref="B11:E11"/>
    <mergeCell ref="F11:J11"/>
    <mergeCell ref="B12:E12"/>
    <mergeCell ref="F12:J12"/>
  </mergeCells>
  <printOptions horizontalCentered="1"/>
  <pageMargins left="0.35" right="0.35" top="0.55000000000000004" bottom="0.55000000000000004" header="0.2" footer="0.2"/>
  <pageSetup paperSize="9" fitToHeight="0" orientation="portrait"/>
  <headerFooter>
    <oddFooter>&amp;LCAFlow template&amp;RPage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7A8C"/>
    <pageSetUpPr fitToPage="1"/>
  </sheetPr>
  <dimension ref="A1:E42"/>
  <sheetViews>
    <sheetView showGridLines="0" workbookViewId="0">
      <selection activeCell="D10" sqref="D10"/>
    </sheetView>
  </sheetViews>
  <sheetFormatPr defaultRowHeight="15"/>
  <cols>
    <col min="1" max="1" width="6" customWidth="1"/>
    <col min="2" max="2" width="28" customWidth="1"/>
    <col min="3" max="3" width="22" customWidth="1"/>
    <col min="4" max="4" width="42" customWidth="1"/>
    <col min="5" max="5" width="16" customWidth="1"/>
  </cols>
  <sheetData>
    <row r="1" spans="1:5" ht="28.15" customHeight="1">
      <c r="A1" s="899" t="s">
        <v>57</v>
      </c>
      <c r="B1" s="898"/>
      <c r="C1" s="898"/>
      <c r="D1" s="898"/>
      <c r="E1" s="898"/>
    </row>
    <row r="2" spans="1:5" ht="19.899999999999999" customHeight="1">
      <c r="A2" s="897" t="s">
        <v>58</v>
      </c>
      <c r="B2" s="898"/>
      <c r="C2" s="898"/>
      <c r="D2" s="898"/>
      <c r="E2" s="898"/>
    </row>
    <row r="3" spans="1:5" ht="4.9000000000000004" customHeight="1">
      <c r="A3" s="902"/>
      <c r="B3" s="903"/>
      <c r="C3" s="903"/>
      <c r="D3" s="903"/>
      <c r="E3" s="903"/>
    </row>
    <row r="4" spans="1:5">
      <c r="A4" s="184" t="s">
        <v>59</v>
      </c>
      <c r="B4" s="184" t="s">
        <v>60</v>
      </c>
      <c r="C4" s="184" t="s">
        <v>61</v>
      </c>
      <c r="D4" s="184" t="s">
        <v>62</v>
      </c>
      <c r="E4" s="184" t="s">
        <v>63</v>
      </c>
    </row>
    <row r="5" spans="1:5">
      <c r="A5" s="185">
        <v>1</v>
      </c>
      <c r="B5" s="183" t="s">
        <v>64</v>
      </c>
      <c r="C5" s="186" t="s">
        <v>65</v>
      </c>
      <c r="D5" s="181" t="s">
        <v>66</v>
      </c>
      <c r="E5" s="187" t="s">
        <v>67</v>
      </c>
    </row>
    <row r="6" spans="1:5">
      <c r="A6" s="185">
        <v>2</v>
      </c>
      <c r="B6" s="183" t="s">
        <v>68</v>
      </c>
      <c r="C6" s="186" t="s">
        <v>65</v>
      </c>
      <c r="D6" s="181" t="s">
        <v>66</v>
      </c>
      <c r="E6" s="187" t="s">
        <v>67</v>
      </c>
    </row>
    <row r="7" spans="1:5">
      <c r="A7" s="185">
        <v>3</v>
      </c>
      <c r="B7" s="183" t="s">
        <v>69</v>
      </c>
      <c r="C7" s="186" t="s">
        <v>70</v>
      </c>
      <c r="D7" s="181" t="s">
        <v>66</v>
      </c>
      <c r="E7" s="187" t="s">
        <v>67</v>
      </c>
    </row>
    <row r="8" spans="1:5">
      <c r="A8" s="185">
        <v>4</v>
      </c>
      <c r="B8" s="183" t="s">
        <v>71</v>
      </c>
      <c r="C8" s="186" t="s">
        <v>70</v>
      </c>
      <c r="D8" s="181" t="s">
        <v>66</v>
      </c>
      <c r="E8" s="187" t="s">
        <v>67</v>
      </c>
    </row>
    <row r="9" spans="1:5">
      <c r="A9" s="185">
        <v>5</v>
      </c>
      <c r="B9" s="183" t="s">
        <v>72</v>
      </c>
      <c r="C9" s="186" t="s">
        <v>70</v>
      </c>
      <c r="D9" s="181" t="s">
        <v>66</v>
      </c>
      <c r="E9" s="187" t="s">
        <v>67</v>
      </c>
    </row>
    <row r="10" spans="1:5">
      <c r="A10" s="185">
        <v>6</v>
      </c>
      <c r="B10" s="183" t="s">
        <v>73</v>
      </c>
      <c r="C10" s="186" t="s">
        <v>70</v>
      </c>
      <c r="D10" s="181" t="s">
        <v>66</v>
      </c>
      <c r="E10" s="187" t="s">
        <v>67</v>
      </c>
    </row>
    <row r="11" spans="1:5">
      <c r="A11" s="185">
        <v>7</v>
      </c>
      <c r="B11" s="183" t="s">
        <v>74</v>
      </c>
      <c r="C11" s="186" t="s">
        <v>70</v>
      </c>
      <c r="D11" s="181" t="s">
        <v>66</v>
      </c>
      <c r="E11" s="187" t="s">
        <v>67</v>
      </c>
    </row>
    <row r="12" spans="1:5">
      <c r="A12" s="185">
        <v>8</v>
      </c>
      <c r="B12" s="183" t="s">
        <v>75</v>
      </c>
      <c r="C12" s="186" t="s">
        <v>70</v>
      </c>
      <c r="D12" s="181" t="s">
        <v>66</v>
      </c>
      <c r="E12" s="187" t="s">
        <v>67</v>
      </c>
    </row>
    <row r="13" spans="1:5">
      <c r="A13" s="185">
        <v>9</v>
      </c>
      <c r="B13" s="183" t="s">
        <v>76</v>
      </c>
      <c r="C13" s="186" t="s">
        <v>70</v>
      </c>
      <c r="D13" s="181" t="s">
        <v>66</v>
      </c>
      <c r="E13" s="187" t="s">
        <v>67</v>
      </c>
    </row>
    <row r="14" spans="1:5">
      <c r="A14" s="185">
        <v>10</v>
      </c>
      <c r="B14" s="183" t="s">
        <v>77</v>
      </c>
      <c r="C14" s="186" t="s">
        <v>70</v>
      </c>
      <c r="D14" s="181" t="s">
        <v>66</v>
      </c>
      <c r="E14" s="187" t="s">
        <v>67</v>
      </c>
    </row>
    <row r="15" spans="1:5">
      <c r="A15" s="185">
        <v>11</v>
      </c>
      <c r="B15" s="183" t="s">
        <v>78</v>
      </c>
      <c r="C15" s="186" t="s">
        <v>70</v>
      </c>
      <c r="D15" s="181" t="s">
        <v>66</v>
      </c>
      <c r="E15" s="187" t="s">
        <v>67</v>
      </c>
    </row>
    <row r="16" spans="1:5">
      <c r="A16" s="185">
        <v>12</v>
      </c>
      <c r="B16" s="183" t="s">
        <v>79</v>
      </c>
      <c r="C16" s="186" t="s">
        <v>70</v>
      </c>
      <c r="D16" s="181" t="s">
        <v>66</v>
      </c>
      <c r="E16" s="187" t="s">
        <v>67</v>
      </c>
    </row>
    <row r="17" spans="1:5">
      <c r="A17" s="185">
        <v>13</v>
      </c>
      <c r="B17" s="183" t="s">
        <v>80</v>
      </c>
      <c r="C17" s="186" t="s">
        <v>70</v>
      </c>
      <c r="D17" s="181" t="s">
        <v>66</v>
      </c>
      <c r="E17" s="187" t="s">
        <v>67</v>
      </c>
    </row>
    <row r="18" spans="1:5">
      <c r="A18" s="185">
        <v>14</v>
      </c>
      <c r="B18" s="183" t="s">
        <v>81</v>
      </c>
      <c r="C18" s="186" t="s">
        <v>70</v>
      </c>
      <c r="D18" s="181" t="s">
        <v>66</v>
      </c>
      <c r="E18" s="187" t="s">
        <v>67</v>
      </c>
    </row>
    <row r="19" spans="1:5">
      <c r="A19" s="185">
        <v>15</v>
      </c>
      <c r="B19" s="183" t="s">
        <v>82</v>
      </c>
      <c r="C19" s="186" t="s">
        <v>83</v>
      </c>
      <c r="D19" s="181" t="s">
        <v>66</v>
      </c>
      <c r="E19" s="187" t="s">
        <v>67</v>
      </c>
    </row>
    <row r="20" spans="1:5">
      <c r="A20" s="185">
        <v>16</v>
      </c>
      <c r="B20" s="183" t="s">
        <v>84</v>
      </c>
      <c r="C20" s="186" t="s">
        <v>83</v>
      </c>
      <c r="D20" s="181" t="s">
        <v>66</v>
      </c>
      <c r="E20" s="187" t="s">
        <v>67</v>
      </c>
    </row>
    <row r="21" spans="1:5">
      <c r="A21" s="185">
        <v>17</v>
      </c>
      <c r="B21" s="183" t="s">
        <v>85</v>
      </c>
      <c r="C21" s="186" t="s">
        <v>83</v>
      </c>
      <c r="D21" s="181" t="s">
        <v>66</v>
      </c>
      <c r="E21" s="187" t="s">
        <v>67</v>
      </c>
    </row>
    <row r="22" spans="1:5">
      <c r="A22" s="185">
        <v>18</v>
      </c>
      <c r="B22" s="183" t="s">
        <v>86</v>
      </c>
      <c r="C22" s="186" t="s">
        <v>87</v>
      </c>
      <c r="D22" s="181" t="s">
        <v>66</v>
      </c>
      <c r="E22" s="187" t="s">
        <v>67</v>
      </c>
    </row>
    <row r="23" spans="1:5">
      <c r="A23" s="185">
        <v>19</v>
      </c>
      <c r="B23" s="183" t="s">
        <v>88</v>
      </c>
      <c r="C23" s="186" t="s">
        <v>87</v>
      </c>
      <c r="D23" s="181" t="s">
        <v>66</v>
      </c>
      <c r="E23" s="187" t="s">
        <v>67</v>
      </c>
    </row>
    <row r="24" spans="1:5">
      <c r="A24" s="185">
        <v>20</v>
      </c>
      <c r="B24" s="183" t="s">
        <v>89</v>
      </c>
      <c r="C24" s="186" t="s">
        <v>87</v>
      </c>
      <c r="D24" s="181" t="s">
        <v>66</v>
      </c>
      <c r="E24" s="187" t="s">
        <v>67</v>
      </c>
    </row>
    <row r="25" spans="1:5">
      <c r="A25" s="185">
        <v>21</v>
      </c>
      <c r="B25" s="183" t="s">
        <v>90</v>
      </c>
      <c r="C25" s="186" t="s">
        <v>87</v>
      </c>
      <c r="D25" s="181" t="s">
        <v>66</v>
      </c>
      <c r="E25" s="187" t="s">
        <v>67</v>
      </c>
    </row>
    <row r="26" spans="1:5">
      <c r="A26" s="185">
        <v>22</v>
      </c>
      <c r="B26" s="183" t="s">
        <v>91</v>
      </c>
      <c r="C26" s="186" t="s">
        <v>87</v>
      </c>
      <c r="D26" s="181" t="s">
        <v>66</v>
      </c>
      <c r="E26" s="187" t="s">
        <v>67</v>
      </c>
    </row>
    <row r="27" spans="1:5">
      <c r="A27" s="185">
        <v>23</v>
      </c>
      <c r="B27" s="183" t="s">
        <v>92</v>
      </c>
      <c r="C27" s="186" t="s">
        <v>87</v>
      </c>
      <c r="D27" s="181" t="s">
        <v>66</v>
      </c>
      <c r="E27" s="187" t="s">
        <v>67</v>
      </c>
    </row>
    <row r="28" spans="1:5">
      <c r="A28" s="185">
        <v>24</v>
      </c>
      <c r="B28" s="183" t="s">
        <v>93</v>
      </c>
      <c r="C28" s="186" t="s">
        <v>87</v>
      </c>
      <c r="D28" s="181" t="s">
        <v>66</v>
      </c>
      <c r="E28" s="187" t="s">
        <v>67</v>
      </c>
    </row>
    <row r="29" spans="1:5">
      <c r="A29" s="185">
        <v>25</v>
      </c>
      <c r="B29" s="183" t="s">
        <v>94</v>
      </c>
      <c r="C29" s="186" t="s">
        <v>87</v>
      </c>
      <c r="D29" s="181" t="s">
        <v>66</v>
      </c>
      <c r="E29" s="187" t="s">
        <v>67</v>
      </c>
    </row>
    <row r="30" spans="1:5">
      <c r="A30" s="185">
        <v>26</v>
      </c>
      <c r="B30" s="183" t="s">
        <v>95</v>
      </c>
      <c r="C30" s="186" t="s">
        <v>87</v>
      </c>
      <c r="D30" s="181" t="s">
        <v>66</v>
      </c>
      <c r="E30" s="187" t="s">
        <v>67</v>
      </c>
    </row>
    <row r="31" spans="1:5">
      <c r="A31" s="185">
        <v>27</v>
      </c>
      <c r="B31" s="183" t="s">
        <v>96</v>
      </c>
      <c r="C31" s="186" t="s">
        <v>87</v>
      </c>
      <c r="D31" s="181" t="s">
        <v>66</v>
      </c>
      <c r="E31" s="187" t="s">
        <v>67</v>
      </c>
    </row>
    <row r="32" spans="1:5">
      <c r="A32" s="185">
        <v>28</v>
      </c>
      <c r="B32" s="183" t="s">
        <v>97</v>
      </c>
      <c r="C32" s="186" t="s">
        <v>87</v>
      </c>
      <c r="D32" s="181" t="s">
        <v>66</v>
      </c>
      <c r="E32" s="187" t="s">
        <v>67</v>
      </c>
    </row>
    <row r="33" spans="1:5">
      <c r="A33" s="185">
        <v>29</v>
      </c>
      <c r="B33" s="183" t="s">
        <v>98</v>
      </c>
      <c r="C33" s="186" t="s">
        <v>87</v>
      </c>
      <c r="D33" s="181" t="s">
        <v>66</v>
      </c>
      <c r="E33" s="187" t="s">
        <v>67</v>
      </c>
    </row>
    <row r="34" spans="1:5">
      <c r="A34" s="185">
        <v>30</v>
      </c>
      <c r="B34" s="183" t="s">
        <v>99</v>
      </c>
      <c r="C34" s="186" t="s">
        <v>87</v>
      </c>
      <c r="D34" s="181" t="s">
        <v>66</v>
      </c>
      <c r="E34" s="187" t="s">
        <v>67</v>
      </c>
    </row>
    <row r="35" spans="1:5">
      <c r="A35" s="185">
        <v>31</v>
      </c>
      <c r="B35" s="183" t="s">
        <v>100</v>
      </c>
      <c r="C35" s="186" t="s">
        <v>87</v>
      </c>
      <c r="D35" s="181" t="s">
        <v>66</v>
      </c>
      <c r="E35" s="187" t="s">
        <v>67</v>
      </c>
    </row>
    <row r="36" spans="1:5">
      <c r="A36" s="185">
        <v>32</v>
      </c>
      <c r="B36" s="183" t="s">
        <v>101</v>
      </c>
      <c r="C36" s="186" t="s">
        <v>70</v>
      </c>
      <c r="D36" s="181" t="s">
        <v>66</v>
      </c>
      <c r="E36" s="187" t="s">
        <v>67</v>
      </c>
    </row>
    <row r="37" spans="1:5">
      <c r="A37" s="185">
        <v>33</v>
      </c>
      <c r="B37" s="183" t="s">
        <v>102</v>
      </c>
      <c r="C37" s="186" t="s">
        <v>70</v>
      </c>
      <c r="D37" s="181" t="s">
        <v>66</v>
      </c>
      <c r="E37" s="187" t="s">
        <v>67</v>
      </c>
    </row>
    <row r="38" spans="1:5">
      <c r="A38" s="185">
        <v>34</v>
      </c>
      <c r="B38" s="183" t="s">
        <v>103</v>
      </c>
      <c r="C38" s="186" t="s">
        <v>70</v>
      </c>
      <c r="D38" s="181" t="s">
        <v>66</v>
      </c>
      <c r="E38" s="187" t="s">
        <v>67</v>
      </c>
    </row>
    <row r="39" spans="1:5">
      <c r="A39" s="185">
        <v>35</v>
      </c>
      <c r="B39" s="183" t="s">
        <v>104</v>
      </c>
      <c r="C39" s="186" t="s">
        <v>87</v>
      </c>
      <c r="D39" s="181" t="s">
        <v>66</v>
      </c>
      <c r="E39" s="187" t="s">
        <v>67</v>
      </c>
    </row>
    <row r="40" spans="1:5">
      <c r="A40" s="185">
        <v>36</v>
      </c>
      <c r="B40" s="183" t="s">
        <v>105</v>
      </c>
      <c r="C40" s="186" t="s">
        <v>106</v>
      </c>
      <c r="D40" s="181" t="s">
        <v>66</v>
      </c>
      <c r="E40" s="187" t="s">
        <v>67</v>
      </c>
    </row>
    <row r="42" spans="1:5" ht="25.9" customHeight="1">
      <c r="A42" s="900" t="s">
        <v>107</v>
      </c>
      <c r="B42" s="901"/>
      <c r="C42" s="901"/>
      <c r="D42" s="901"/>
      <c r="E42" s="901"/>
    </row>
  </sheetData>
  <mergeCells count="4">
    <mergeCell ref="A2:E2"/>
    <mergeCell ref="A1:E1"/>
    <mergeCell ref="A42:E42"/>
    <mergeCell ref="A3:E3"/>
  </mergeCells>
  <hyperlinks>
    <hyperlink ref="E5" location="'00_Cover'!A1" display="Open" xr:uid="{00000000-0004-0000-0200-000000000000}"/>
    <hyperlink ref="E6" location="'01_Control'!A1" display="Open" xr:uid="{00000000-0004-0000-0200-000001000000}"/>
    <hyperlink ref="E7" location="'BS'!A1" display="Open" xr:uid="{00000000-0004-0000-0200-000002000000}"/>
    <hyperlink ref="E8" location="'PL'!A1" display="Open" xr:uid="{00000000-0004-0000-0200-000003000000}"/>
    <hyperlink ref="E9" location="'CFS'!A1" display="Open" xr:uid="{00000000-0004-0000-0200-000004000000}"/>
    <hyperlink ref="E10" location="'Note BS-Liab'!A1" display="Open" xr:uid="{00000000-0004-0000-0200-000005000000}"/>
    <hyperlink ref="E11" location="'FA'!A1" display="Open" xr:uid="{00000000-0004-0000-0200-000006000000}"/>
    <hyperlink ref="E12" location="'Note BS-Asset'!A1" display="Open" xr:uid="{00000000-0004-0000-0200-000007000000}"/>
    <hyperlink ref="E13" location="'Note PL'!A1" display="Open" xr:uid="{00000000-0004-0000-0200-000008000000}"/>
    <hyperlink ref="E14" location="'31-36'!A1" display="Open" xr:uid="{00000000-0004-0000-0200-000009000000}"/>
    <hyperlink ref="E15" location="'37-47'!A1" display="Open" xr:uid="{00000000-0004-0000-0200-00000A000000}"/>
    <hyperlink ref="E16" location="'FA - IT Act'!A1" display="Open" xr:uid="{00000000-0004-0000-0200-00000B000000}"/>
    <hyperlink ref="E17" location="'DT'!A1" display="Open" xr:uid="{00000000-0004-0000-0200-00000C000000}"/>
    <hyperlink ref="E18" location="'Sheet1'!A1" display="Open" xr:uid="{00000000-0004-0000-0200-00000D000000}"/>
    <hyperlink ref="E19" location="'03_Independent_Auditors_Report'!A1" display="Open" xr:uid="{00000000-0004-0000-0200-00000E000000}"/>
    <hyperlink ref="E20" location="'04_Annexure_A_CARO_2020'!A1" display="Open" xr:uid="{00000000-0004-0000-0200-00000F000000}"/>
    <hyperlink ref="E21" location="'05_Annexure_B_IFC'!A1" display="Open" xr:uid="{00000000-0004-0000-0200-000010000000}"/>
    <hyperlink ref="E22" location="'06_Form_3CA'!A1" display="Open" xr:uid="{00000000-0004-0000-0200-000011000000}"/>
    <hyperlink ref="E23" location="'07_Form_3CD_Part_A'!A1" display="Open" xr:uid="{00000000-0004-0000-0200-000012000000}"/>
    <hyperlink ref="E24" location="'08_Form_3CD_09_to_20'!A1" display="Open" xr:uid="{00000000-0004-0000-0200-000013000000}"/>
    <hyperlink ref="E25" location="'09_Form_3CD_21_to_30C'!A1" display="Open" xr:uid="{00000000-0004-0000-0200-000014000000}"/>
    <hyperlink ref="E26" location="'10_Form_3CD_31_to_44'!A1" display="Open" xr:uid="{00000000-0004-0000-0200-000015000000}"/>
    <hyperlink ref="E27" location="'11_3CD_Annx_Partners_9'!A1" display="Open" xr:uid="{00000000-0004-0000-0200-000016000000}"/>
    <hyperlink ref="E28" location="'12_3CD_Annx_Depn_18'!A1" display="Open" xr:uid="{00000000-0004-0000-0200-000017000000}"/>
    <hyperlink ref="E29" location="'13_3CD_Annx_Disallow_21_26'!A1" display="Open" xr:uid="{00000000-0004-0000-0200-000018000000}"/>
    <hyperlink ref="E30" location="'14_3CD_Annx_MSME_22_23'!A1" display="Open" xr:uid="{00000000-0004-0000-0200-000019000000}"/>
    <hyperlink ref="E31" location="'15_3CD_Annx_43B_26'!A1" display="Open" xr:uid="{00000000-0004-0000-0200-00001A000000}"/>
    <hyperlink ref="E32" location="'16_3CD_Annx_Loans_31'!A1" display="Open" xr:uid="{00000000-0004-0000-0200-00001B000000}"/>
    <hyperlink ref="E33" location="'17_3CD_Annx_BF_Loss_32'!A1" display="Open" xr:uid="{00000000-0004-0000-0200-00001C000000}"/>
    <hyperlink ref="E34" location="'18_3CD_Annx_Deduction_19_33'!A1" display="Open" xr:uid="{00000000-0004-0000-0200-00001D000000}"/>
    <hyperlink ref="E35" location="'19_3CD_Annx_TDS_34'!A1" display="Open" xr:uid="{00000000-0004-0000-0200-00001E000000}"/>
    <hyperlink ref="E36" location="'20_3CD_Annx_Quant_35'!A1" display="Open" xr:uid="{00000000-0004-0000-0200-00001F000000}"/>
    <hyperlink ref="E37" location="'21_3CD_Annx_GP_40'!A1" display="Open" xr:uid="{00000000-0004-0000-0200-000020000000}"/>
    <hyperlink ref="E38" location="'22_3CD_Annx_GST_44'!A1" display="Open" xr:uid="{00000000-0004-0000-0200-000021000000}"/>
    <hyperlink ref="E39" location="'19_Sample_Narrative_Notes'!A1" display="Open" xr:uid="{00000000-0004-0000-0200-000022000000}"/>
    <hyperlink ref="E40" location="'99_Legal_Sources'!A1" display="Open" xr:uid="{00000000-0004-0000-0200-000023000000}"/>
  </hyperlinks>
  <printOptions horizontalCentered="1"/>
  <pageMargins left="0.35" right="0.35" top="0.55000000000000004" bottom="0.55000000000000004" header="0.2" footer="0.2"/>
  <pageSetup paperSize="9" fitToHeight="0" orientation="portrait"/>
  <headerFooter>
    <oddFooter>&amp;LCAFlow template&amp;RPage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2:G223"/>
  <sheetViews>
    <sheetView showGridLines="0" view="pageBreakPreview" topLeftCell="A44" zoomScaleNormal="100" zoomScaleSheetLayoutView="100" workbookViewId="0">
      <selection activeCell="E37" sqref="E37"/>
    </sheetView>
  </sheetViews>
  <sheetFormatPr defaultRowHeight="12"/>
  <cols>
    <col min="1" max="1" width="2.28515625" style="1" customWidth="1"/>
    <col min="2" max="2" width="2.5703125" style="1" customWidth="1"/>
    <col min="3" max="3" width="40.5703125" style="1" customWidth="1"/>
    <col min="4" max="4" width="7.140625" style="1" customWidth="1"/>
    <col min="5" max="5" width="16" style="3" customWidth="1"/>
    <col min="6" max="6" width="16" style="2" customWidth="1"/>
    <col min="7" max="16384" width="9.140625" style="1"/>
  </cols>
  <sheetData>
    <row r="2" spans="1:7" ht="22.5" customHeight="1">
      <c r="A2"/>
      <c r="B2" s="904" t="s">
        <v>108</v>
      </c>
      <c r="C2" s="905"/>
      <c r="D2" s="905"/>
      <c r="E2" s="905"/>
      <c r="F2" s="905"/>
    </row>
    <row r="3" spans="1:7" ht="6" customHeight="1">
      <c r="A3"/>
      <c r="B3" s="689"/>
      <c r="C3" s="690"/>
      <c r="D3" s="690"/>
      <c r="E3" s="690"/>
      <c r="F3" s="690"/>
    </row>
    <row r="4" spans="1:7" ht="13.5" customHeight="1">
      <c r="A4"/>
      <c r="B4" s="910" t="s">
        <v>970</v>
      </c>
      <c r="C4" s="911"/>
      <c r="D4" s="911"/>
      <c r="E4" s="911"/>
      <c r="F4" s="911"/>
    </row>
    <row r="5" spans="1:7" ht="15.75" customHeight="1">
      <c r="A5"/>
      <c r="B5" s="4"/>
      <c r="C5" s="5"/>
      <c r="D5" s="5"/>
      <c r="E5" s="912" t="s">
        <v>883</v>
      </c>
      <c r="F5" s="913"/>
    </row>
    <row r="6" spans="1:7" ht="13.5" customHeight="1">
      <c r="A6"/>
      <c r="B6" s="914" t="s">
        <v>110</v>
      </c>
      <c r="C6" s="915"/>
      <c r="D6" s="915" t="s">
        <v>111</v>
      </c>
      <c r="E6" s="692" t="s">
        <v>999</v>
      </c>
      <c r="F6" s="692" t="s">
        <v>999</v>
      </c>
    </row>
    <row r="7" spans="1:7" ht="15" customHeight="1">
      <c r="A7"/>
      <c r="B7" s="916"/>
      <c r="C7" s="916"/>
      <c r="D7" s="915"/>
      <c r="E7" s="693" t="s">
        <v>1006</v>
      </c>
      <c r="F7" s="693" t="s">
        <v>1006</v>
      </c>
    </row>
    <row r="8" spans="1:7" ht="6" customHeight="1">
      <c r="B8" s="694"/>
      <c r="C8" s="695"/>
      <c r="D8" s="696"/>
      <c r="E8" s="697"/>
      <c r="F8" s="698"/>
    </row>
    <row r="9" spans="1:7" ht="12.75">
      <c r="B9" s="323" t="s">
        <v>921</v>
      </c>
      <c r="C9" s="324"/>
      <c r="D9" s="344"/>
      <c r="E9" s="347"/>
      <c r="F9" s="352"/>
    </row>
    <row r="10" spans="1:7" ht="6" customHeight="1">
      <c r="B10" s="325"/>
      <c r="C10" s="324"/>
      <c r="D10" s="345"/>
      <c r="E10" s="348"/>
      <c r="F10" s="353"/>
    </row>
    <row r="11" spans="1:7">
      <c r="B11" s="326" t="s">
        <v>112</v>
      </c>
      <c r="C11" s="324"/>
      <c r="D11" s="345"/>
      <c r="E11" s="349"/>
      <c r="F11" s="349"/>
    </row>
    <row r="12" spans="1:7">
      <c r="B12" s="327" t="s">
        <v>113</v>
      </c>
      <c r="C12" s="328"/>
      <c r="D12" s="278" t="s">
        <v>996</v>
      </c>
      <c r="E12" s="240">
        <f>'Note BS-Liab'!G12</f>
        <v>0</v>
      </c>
      <c r="F12" s="240">
        <f>'Note BS-Liab'!H12</f>
        <v>0</v>
      </c>
    </row>
    <row r="13" spans="1:7">
      <c r="B13" s="327" t="s">
        <v>114</v>
      </c>
      <c r="C13" s="328"/>
      <c r="D13" s="279" t="s">
        <v>996</v>
      </c>
      <c r="E13" s="240">
        <f>'Note BS-Liab'!G54</f>
        <v>0</v>
      </c>
      <c r="F13" s="240">
        <f>'Note BS-Liab'!H54</f>
        <v>0</v>
      </c>
    </row>
    <row r="14" spans="1:7" ht="8.1" customHeight="1">
      <c r="B14" s="327"/>
      <c r="C14" s="328"/>
      <c r="D14" s="279"/>
      <c r="E14" s="240"/>
      <c r="F14" s="240"/>
    </row>
    <row r="15" spans="1:7">
      <c r="B15" s="816" t="s">
        <v>115</v>
      </c>
      <c r="C15" s="328"/>
      <c r="D15" s="278"/>
      <c r="E15" s="815">
        <v>0</v>
      </c>
      <c r="F15" s="815">
        <v>0</v>
      </c>
      <c r="G15" s="536" t="s">
        <v>923</v>
      </c>
    </row>
    <row r="16" spans="1:7" ht="8.1" customHeight="1">
      <c r="B16" s="329"/>
      <c r="C16" s="328"/>
      <c r="D16" s="278"/>
      <c r="E16" s="350"/>
      <c r="F16" s="350"/>
    </row>
    <row r="17" spans="2:7" ht="12.75">
      <c r="B17" s="330" t="s">
        <v>116</v>
      </c>
      <c r="C17" s="328"/>
      <c r="D17" s="278"/>
      <c r="E17" s="350"/>
      <c r="F17" s="350"/>
    </row>
    <row r="18" spans="2:7">
      <c r="B18" s="327" t="s">
        <v>117</v>
      </c>
      <c r="C18" s="328"/>
      <c r="D18" s="279" t="s">
        <v>996</v>
      </c>
      <c r="E18" s="240">
        <f>'Note BS-Liab'!G70</f>
        <v>0</v>
      </c>
      <c r="F18" s="240">
        <f>'Note BS-Liab'!H70</f>
        <v>0</v>
      </c>
    </row>
    <row r="19" spans="2:7">
      <c r="B19" s="327" t="s">
        <v>118</v>
      </c>
      <c r="C19" s="328"/>
      <c r="D19" s="278"/>
      <c r="E19" s="240">
        <v>0</v>
      </c>
      <c r="F19" s="240">
        <v>0</v>
      </c>
      <c r="G19" s="536" t="s">
        <v>901</v>
      </c>
    </row>
    <row r="20" spans="2:7">
      <c r="B20" s="634" t="s">
        <v>958</v>
      </c>
      <c r="C20" s="328"/>
      <c r="D20" s="279" t="s">
        <v>996</v>
      </c>
      <c r="E20" s="651">
        <f>'Note BS-Liab'!G79</f>
        <v>0</v>
      </c>
      <c r="F20" s="651">
        <f>'Note BS-Liab'!H79</f>
        <v>0</v>
      </c>
    </row>
    <row r="21" spans="2:7">
      <c r="B21" s="327" t="s">
        <v>119</v>
      </c>
      <c r="C21" s="328"/>
      <c r="D21" s="279" t="s">
        <v>996</v>
      </c>
      <c r="E21" s="240">
        <f>'Note BS-Liab'!G87</f>
        <v>0</v>
      </c>
      <c r="F21" s="240">
        <f>'Note BS-Liab'!H87</f>
        <v>0</v>
      </c>
    </row>
    <row r="22" spans="2:7" ht="8.1" customHeight="1">
      <c r="B22" s="329"/>
      <c r="C22" s="328"/>
      <c r="D22" s="278"/>
      <c r="E22" s="350"/>
      <c r="F22" s="350"/>
    </row>
    <row r="23" spans="2:7" ht="12.75">
      <c r="B23" s="331" t="s">
        <v>120</v>
      </c>
      <c r="C23" s="328"/>
      <c r="D23" s="278"/>
      <c r="E23" s="349"/>
      <c r="F23" s="349"/>
    </row>
    <row r="24" spans="2:7">
      <c r="B24" s="327" t="s">
        <v>121</v>
      </c>
      <c r="C24" s="328"/>
      <c r="D24" s="279" t="s">
        <v>996</v>
      </c>
      <c r="E24" s="240">
        <f>'Note BS-Liab'!G100</f>
        <v>0</v>
      </c>
      <c r="F24" s="240">
        <f>'Note BS-Liab'!H100</f>
        <v>0</v>
      </c>
    </row>
    <row r="25" spans="2:7">
      <c r="B25" s="223" t="s">
        <v>122</v>
      </c>
      <c r="C25" s="332"/>
      <c r="D25" s="909" t="s">
        <v>996</v>
      </c>
      <c r="E25" s="349"/>
      <c r="F25" s="349"/>
    </row>
    <row r="26" spans="2:7" ht="12" customHeight="1">
      <c r="B26" s="908" t="s">
        <v>884</v>
      </c>
      <c r="C26" s="907"/>
      <c r="D26" s="903"/>
      <c r="E26" s="240">
        <f>'Note BS-Liab'!G106</f>
        <v>0</v>
      </c>
      <c r="F26" s="240">
        <f>'Note BS-Liab'!H106</f>
        <v>0</v>
      </c>
    </row>
    <row r="27" spans="2:7" ht="12" customHeight="1">
      <c r="B27" s="906" t="s">
        <v>885</v>
      </c>
      <c r="C27" s="907"/>
      <c r="D27" s="903"/>
      <c r="E27" s="240">
        <f>'Note BS-Liab'!G105</f>
        <v>0</v>
      </c>
      <c r="F27" s="240">
        <f>'Note BS-Liab'!H105</f>
        <v>0</v>
      </c>
    </row>
    <row r="28" spans="2:7" ht="12.75">
      <c r="B28" s="334" t="s">
        <v>123</v>
      </c>
      <c r="C28" s="332"/>
      <c r="D28" s="346" t="s">
        <v>996</v>
      </c>
      <c r="E28" s="351">
        <f>'Note BS-Liab'!G147</f>
        <v>0</v>
      </c>
      <c r="F28" s="351">
        <f>'Note BS-Liab'!H147</f>
        <v>0</v>
      </c>
    </row>
    <row r="29" spans="2:7">
      <c r="B29" s="223" t="s">
        <v>124</v>
      </c>
      <c r="C29" s="328"/>
      <c r="D29" s="279" t="s">
        <v>996</v>
      </c>
      <c r="E29" s="240">
        <f>'Note BS-Liab'!G159</f>
        <v>0</v>
      </c>
      <c r="F29" s="240">
        <f>'Note BS-Liab'!H159</f>
        <v>0</v>
      </c>
    </row>
    <row r="30" spans="2:7" ht="8.1" customHeight="1">
      <c r="B30" s="335"/>
      <c r="C30" s="336"/>
      <c r="D30" s="279"/>
      <c r="E30" s="349"/>
      <c r="F30" s="349"/>
    </row>
    <row r="31" spans="2:7" ht="12" customHeight="1" thickBot="1">
      <c r="B31" s="335"/>
      <c r="C31" s="699" t="s">
        <v>997</v>
      </c>
      <c r="D31" s="279"/>
      <c r="E31" s="700">
        <f>SUM(E10:E30)</f>
        <v>0</v>
      </c>
      <c r="F31" s="700">
        <f>SUM(F10:F30)</f>
        <v>0</v>
      </c>
    </row>
    <row r="32" spans="2:7" ht="6" customHeight="1" thickTop="1">
      <c r="B32" s="337"/>
      <c r="C32" s="328"/>
      <c r="D32" s="278"/>
      <c r="E32" s="350"/>
      <c r="F32" s="350"/>
    </row>
    <row r="33" spans="2:6" ht="12.75">
      <c r="B33" s="331" t="s">
        <v>922</v>
      </c>
      <c r="C33" s="328"/>
      <c r="D33" s="278"/>
      <c r="E33" s="349"/>
      <c r="F33" s="349"/>
    </row>
    <row r="34" spans="2:6" ht="8.1" customHeight="1">
      <c r="B34" s="337"/>
      <c r="C34" s="328"/>
      <c r="D34" s="278"/>
      <c r="E34" s="349"/>
      <c r="F34" s="349"/>
    </row>
    <row r="35" spans="2:6" ht="12.75">
      <c r="B35" s="331" t="s">
        <v>125</v>
      </c>
      <c r="C35" s="328"/>
      <c r="D35" s="278"/>
      <c r="E35" s="349"/>
      <c r="F35" s="349"/>
    </row>
    <row r="36" spans="2:6" ht="12.75">
      <c r="B36" s="338" t="s">
        <v>126</v>
      </c>
      <c r="C36" s="328"/>
      <c r="D36" s="9"/>
      <c r="E36" s="349"/>
      <c r="F36" s="349"/>
    </row>
    <row r="37" spans="2:6">
      <c r="B37" s="714" t="s">
        <v>127</v>
      </c>
      <c r="C37" s="328"/>
      <c r="D37" s="278" t="s">
        <v>996</v>
      </c>
      <c r="E37" s="349">
        <f>FA!L22</f>
        <v>0</v>
      </c>
      <c r="F37" s="349">
        <f>FA!M22</f>
        <v>0</v>
      </c>
    </row>
    <row r="38" spans="2:6">
      <c r="B38" s="714" t="s">
        <v>128</v>
      </c>
      <c r="C38" s="328"/>
      <c r="D38" s="278"/>
      <c r="E38" s="349"/>
      <c r="F38" s="349"/>
    </row>
    <row r="39" spans="2:6">
      <c r="B39" s="714" t="s">
        <v>129</v>
      </c>
      <c r="C39" s="328"/>
      <c r="D39" s="278"/>
      <c r="E39" s="349"/>
      <c r="F39" s="349"/>
    </row>
    <row r="40" spans="2:6" ht="12.75">
      <c r="B40" s="338" t="s">
        <v>130</v>
      </c>
      <c r="C40" s="328"/>
      <c r="D40" s="346" t="s">
        <v>996</v>
      </c>
      <c r="E40" s="351">
        <f>'Note BS-Asset'!G12</f>
        <v>0</v>
      </c>
      <c r="F40" s="351">
        <f>'Note BS-Asset'!H12</f>
        <v>0</v>
      </c>
    </row>
    <row r="41" spans="2:6" ht="12.75">
      <c r="B41" s="334" t="s">
        <v>131</v>
      </c>
      <c r="C41" s="328"/>
      <c r="D41" s="346" t="s">
        <v>996</v>
      </c>
      <c r="E41" s="351">
        <f>'Note BS-Asset'!G19</f>
        <v>0</v>
      </c>
      <c r="F41" s="351">
        <f>'Note BS-Asset'!H19</f>
        <v>0</v>
      </c>
    </row>
    <row r="42" spans="2:6">
      <c r="B42" s="339" t="s">
        <v>132</v>
      </c>
      <c r="C42" s="328"/>
      <c r="D42" s="278" t="s">
        <v>996</v>
      </c>
      <c r="E42" s="349">
        <f>'Note BS-Asset'!G27</f>
        <v>0</v>
      </c>
      <c r="F42" s="349">
        <f>'Note BS-Asset'!H27</f>
        <v>0</v>
      </c>
    </row>
    <row r="43" spans="2:6" ht="12.75">
      <c r="B43" s="334" t="s">
        <v>133</v>
      </c>
      <c r="C43" s="341"/>
      <c r="D43" s="346" t="s">
        <v>996</v>
      </c>
      <c r="E43" s="351">
        <f>'Note BS-Asset'!G35</f>
        <v>0</v>
      </c>
      <c r="F43" s="351">
        <f>'Note BS-Asset'!H35</f>
        <v>0</v>
      </c>
    </row>
    <row r="44" spans="2:6" ht="8.1" customHeight="1">
      <c r="B44" s="334"/>
      <c r="C44" s="715"/>
      <c r="D44" s="346"/>
      <c r="E44" s="351"/>
      <c r="F44" s="351"/>
    </row>
    <row r="45" spans="2:6" ht="12.75">
      <c r="B45" s="331" t="s">
        <v>134</v>
      </c>
      <c r="C45" s="328"/>
      <c r="D45" s="278"/>
      <c r="E45" s="349"/>
      <c r="F45" s="349"/>
    </row>
    <row r="46" spans="2:6">
      <c r="B46" s="327" t="s">
        <v>135</v>
      </c>
      <c r="C46" s="328"/>
      <c r="D46" s="279" t="s">
        <v>996</v>
      </c>
      <c r="E46" s="240">
        <f>'Note BS-Asset'!G44</f>
        <v>0</v>
      </c>
      <c r="F46" s="240">
        <f>'Note BS-Asset'!H44</f>
        <v>0</v>
      </c>
    </row>
    <row r="47" spans="2:6">
      <c r="B47" s="327" t="s">
        <v>136</v>
      </c>
      <c r="C47" s="328"/>
      <c r="D47" s="279" t="s">
        <v>996</v>
      </c>
      <c r="E47" s="240">
        <f>'Note BS-Asset'!G50</f>
        <v>0</v>
      </c>
      <c r="F47" s="240">
        <f>'Note BS-Asset'!H50</f>
        <v>0</v>
      </c>
    </row>
    <row r="48" spans="2:6">
      <c r="B48" s="223" t="s">
        <v>137</v>
      </c>
      <c r="C48" s="328"/>
      <c r="D48" s="279" t="s">
        <v>996</v>
      </c>
      <c r="E48" s="240">
        <f>'Note BS-Asset'!G62</f>
        <v>0</v>
      </c>
      <c r="F48" s="240">
        <f>'Note BS-Asset'!H62</f>
        <v>0</v>
      </c>
    </row>
    <row r="49" spans="2:6">
      <c r="B49" s="501" t="s">
        <v>956</v>
      </c>
      <c r="C49" s="328"/>
      <c r="D49" s="279" t="s">
        <v>996</v>
      </c>
      <c r="E49" s="240">
        <f>'Note BS-Asset'!G89</f>
        <v>0</v>
      </c>
      <c r="F49" s="240">
        <f>'Note BS-Asset'!H89</f>
        <v>0</v>
      </c>
    </row>
    <row r="50" spans="2:6">
      <c r="B50" s="342" t="s">
        <v>138</v>
      </c>
      <c r="C50" s="328"/>
      <c r="D50" s="279" t="s">
        <v>996</v>
      </c>
      <c r="E50" s="240">
        <f>'Note BS-Asset'!G97</f>
        <v>0</v>
      </c>
      <c r="F50" s="240">
        <f>'Note BS-Asset'!H97</f>
        <v>0</v>
      </c>
    </row>
    <row r="51" spans="2:6">
      <c r="B51" s="342" t="s">
        <v>139</v>
      </c>
      <c r="C51" s="328"/>
      <c r="D51" s="279" t="s">
        <v>996</v>
      </c>
      <c r="E51" s="240">
        <f>'Note BS-Asset'!G113</f>
        <v>0</v>
      </c>
      <c r="F51" s="240">
        <f>'Note BS-Asset'!H113</f>
        <v>0</v>
      </c>
    </row>
    <row r="52" spans="2:6" ht="8.1" customHeight="1">
      <c r="B52" s="343"/>
      <c r="C52" s="336"/>
      <c r="D52" s="279"/>
      <c r="E52" s="349"/>
      <c r="F52" s="349"/>
    </row>
    <row r="53" spans="2:6" ht="12" customHeight="1" thickBot="1">
      <c r="B53" s="712"/>
      <c r="C53" s="699" t="s">
        <v>998</v>
      </c>
      <c r="D53" s="713"/>
      <c r="E53" s="700">
        <f>SUM(E35:E52)</f>
        <v>0</v>
      </c>
      <c r="F53" s="700">
        <f>SUM(F35:F52)</f>
        <v>0</v>
      </c>
    </row>
    <row r="54" spans="2:6" ht="12" customHeight="1" thickTop="1">
      <c r="B54" s="8" t="s">
        <v>924</v>
      </c>
      <c r="C54" s="9"/>
      <c r="D54" s="279" t="s">
        <v>996</v>
      </c>
      <c r="E54" s="280"/>
      <c r="F54" s="280"/>
    </row>
    <row r="55" spans="2:6">
      <c r="B55" s="8" t="s">
        <v>140</v>
      </c>
      <c r="C55" s="290"/>
      <c r="D55" s="282"/>
      <c r="E55" s="283"/>
      <c r="F55" s="283"/>
    </row>
    <row r="56" spans="2:6" ht="5.0999999999999996" customHeight="1">
      <c r="B56" s="8"/>
      <c r="C56" s="290"/>
      <c r="D56" s="282"/>
      <c r="E56" s="283"/>
      <c r="F56" s="283"/>
    </row>
    <row r="57" spans="2:6">
      <c r="B57" s="9" t="s">
        <v>141</v>
      </c>
      <c r="C57" s="290"/>
      <c r="D57" s="282"/>
      <c r="E57" s="282"/>
      <c r="F57" s="283"/>
    </row>
    <row r="58" spans="2:6" ht="5.0999999999999996" customHeight="1">
      <c r="B58" s="9"/>
      <c r="C58" s="290"/>
      <c r="D58" s="282"/>
      <c r="E58" s="282"/>
      <c r="F58" s="283"/>
    </row>
    <row r="59" spans="2:6">
      <c r="B59" s="8" t="s">
        <v>886</v>
      </c>
      <c r="C59" s="8"/>
      <c r="D59" s="61" t="s">
        <v>142</v>
      </c>
      <c r="E59" s="292"/>
      <c r="F59" s="293"/>
    </row>
    <row r="60" spans="2:6">
      <c r="B60" s="61" t="s">
        <v>143</v>
      </c>
      <c r="C60" s="8"/>
      <c r="D60" s="291" t="str">
        <f>B2</f>
        <v>[NAME OF THE COMPANY]</v>
      </c>
      <c r="E60" s="292"/>
      <c r="F60" s="293"/>
    </row>
    <row r="61" spans="2:6">
      <c r="B61" s="61" t="s">
        <v>144</v>
      </c>
      <c r="C61" s="292"/>
      <c r="D61" s="292"/>
      <c r="E61" s="292"/>
      <c r="F61" s="293"/>
    </row>
    <row r="62" spans="2:6">
      <c r="B62" s="291"/>
      <c r="C62" s="292"/>
      <c r="D62" s="292"/>
      <c r="E62" s="292"/>
      <c r="F62" s="293"/>
    </row>
    <row r="63" spans="2:6">
      <c r="B63" s="291"/>
      <c r="C63" s="292"/>
      <c r="D63" s="292"/>
      <c r="E63" s="292"/>
      <c r="F63" s="293"/>
    </row>
    <row r="64" spans="2:6">
      <c r="B64" s="8"/>
      <c r="C64" s="292"/>
      <c r="D64" s="292"/>
      <c r="E64" s="292"/>
      <c r="F64" s="293"/>
    </row>
    <row r="65" spans="2:6">
      <c r="B65" s="291" t="s">
        <v>145</v>
      </c>
      <c r="C65" s="8"/>
      <c r="D65" s="8" t="s">
        <v>146</v>
      </c>
      <c r="E65" s="292"/>
      <c r="F65" s="293" t="s">
        <v>146</v>
      </c>
    </row>
    <row r="66" spans="2:6">
      <c r="B66" s="61" t="s">
        <v>147</v>
      </c>
      <c r="C66" s="9"/>
      <c r="D66" s="61" t="s">
        <v>148</v>
      </c>
      <c r="E66" s="62"/>
      <c r="F66" s="36" t="s">
        <v>148</v>
      </c>
    </row>
    <row r="67" spans="2:6">
      <c r="B67" s="61" t="s">
        <v>149</v>
      </c>
      <c r="C67" s="61"/>
      <c r="D67" s="61" t="s">
        <v>150</v>
      </c>
      <c r="E67" s="62"/>
      <c r="F67" s="36" t="s">
        <v>150</v>
      </c>
    </row>
    <row r="68" spans="2:6" ht="3.95" customHeight="1">
      <c r="B68" s="61"/>
      <c r="C68" s="61"/>
      <c r="D68" s="9"/>
      <c r="E68" s="62"/>
      <c r="F68" s="36"/>
    </row>
    <row r="69" spans="2:6">
      <c r="B69" s="287" t="s">
        <v>151</v>
      </c>
      <c r="C69" s="287"/>
      <c r="D69" s="287" t="s">
        <v>151</v>
      </c>
      <c r="E69" s="62"/>
      <c r="F69" s="36" t="s">
        <v>151</v>
      </c>
    </row>
    <row r="70" spans="2:6">
      <c r="B70" s="287" t="s">
        <v>152</v>
      </c>
      <c r="C70" s="289"/>
      <c r="D70" s="287" t="str">
        <f>B70</f>
        <v>Date:</v>
      </c>
      <c r="E70" s="62"/>
      <c r="F70" s="294" t="str">
        <f>D70</f>
        <v>Date:</v>
      </c>
    </row>
    <row r="71" spans="2:6" hidden="1">
      <c r="B71" s="61"/>
      <c r="C71" s="63"/>
      <c r="D71" s="9"/>
      <c r="E71" s="62"/>
      <c r="F71" s="36"/>
    </row>
    <row r="72" spans="2:6" hidden="1">
      <c r="B72" s="5"/>
      <c r="C72" s="5"/>
      <c r="D72" s="5"/>
    </row>
    <row r="73" spans="2:6" hidden="1"/>
    <row r="74" spans="2:6" hidden="1"/>
    <row r="75" spans="2:6" hidden="1"/>
    <row r="76" spans="2:6" hidden="1"/>
    <row r="77" spans="2:6" hidden="1"/>
    <row r="78" spans="2:6" hidden="1"/>
    <row r="79" spans="2:6" hidden="1"/>
    <row r="80" spans="2:6"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sheetData>
  <mergeCells count="8">
    <mergeCell ref="B2:F2"/>
    <mergeCell ref="B27:C27"/>
    <mergeCell ref="B26:C26"/>
    <mergeCell ref="D25:D27"/>
    <mergeCell ref="B4:F4"/>
    <mergeCell ref="E5:F5"/>
    <mergeCell ref="B6:C7"/>
    <mergeCell ref="D6:D7"/>
  </mergeCells>
  <conditionalFormatting sqref="E52:F52">
    <cfRule type="cellIs" dxfId="36" priority="5" stopIfTrue="1" operator="notEqual">
      <formula>0</formula>
    </cfRule>
    <cfRule type="cellIs" dxfId="35" priority="6" stopIfTrue="1" operator="equal">
      <formula>0</formula>
    </cfRule>
  </conditionalFormatting>
  <printOptions horizontalCentered="1"/>
  <pageMargins left="0.35" right="0.35" top="0.55000000000000004" bottom="0.55000000000000004" header="0.2" footer="0.2"/>
  <pageSetup paperSize="9" fitToHeight="0" orientation="portrait" r:id="rId1"/>
  <headerFooter>
    <oddFooter>&amp;LCAFlow template&amp;RPage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Y213"/>
  <sheetViews>
    <sheetView showGridLines="0" view="pageBreakPreview" topLeftCell="A10" zoomScaleNormal="100" zoomScaleSheetLayoutView="100" workbookViewId="0">
      <selection activeCell="G20" sqref="G20"/>
    </sheetView>
  </sheetViews>
  <sheetFormatPr defaultRowHeight="15"/>
  <cols>
    <col min="1" max="1" width="2.28515625" style="13" customWidth="1"/>
    <col min="2" max="2" width="4.28515625" style="13" customWidth="1"/>
    <col min="3" max="3" width="4.5703125" style="13" customWidth="1"/>
    <col min="4" max="4" width="27.42578125" style="13" customWidth="1"/>
    <col min="5" max="5" width="14.42578125" style="13" customWidth="1"/>
    <col min="6" max="6" width="9.28515625" style="13" customWidth="1"/>
    <col min="7" max="7" width="15.5703125" style="20" customWidth="1"/>
    <col min="8" max="8" width="15.28515625" style="16" customWidth="1"/>
    <col min="9" max="9" width="17.42578125" style="13" hidden="1" customWidth="1"/>
    <col min="10" max="15" width="13" hidden="1" customWidth="1"/>
    <col min="16" max="16" width="12.42578125" style="13" hidden="1" customWidth="1"/>
    <col min="17" max="17" width="12.7109375" style="13" hidden="1" customWidth="1"/>
    <col min="18" max="18" width="10.28515625" style="13" hidden="1" customWidth="1"/>
    <col min="19" max="19" width="9.28515625" style="13" hidden="1" customWidth="1"/>
    <col min="20" max="20" width="13" hidden="1" customWidth="1"/>
    <col min="21" max="21" width="13.5703125" style="13" hidden="1" bestFit="1" customWidth="1"/>
    <col min="22" max="22" width="9.28515625" style="13" hidden="1" bestFit="1" customWidth="1"/>
    <col min="23" max="23" width="15.42578125" style="13" hidden="1" bestFit="1" customWidth="1"/>
    <col min="24" max="24" width="10.5703125" style="13" hidden="1" bestFit="1" customWidth="1"/>
    <col min="25" max="25" width="11.7109375" style="13" hidden="1" bestFit="1" customWidth="1"/>
    <col min="26" max="266" width="9.28515625" style="13" customWidth="1"/>
    <col min="267" max="267" width="4.7109375" style="13" customWidth="1"/>
    <col min="268" max="268" width="64.7109375" style="13" customWidth="1"/>
    <col min="269" max="269" width="9.7109375" style="13" customWidth="1"/>
    <col min="270" max="270" width="11.7109375" style="13" customWidth="1"/>
    <col min="271" max="271" width="18.7109375" style="13" customWidth="1"/>
    <col min="272" max="522" width="9.28515625" style="13" customWidth="1"/>
    <col min="523" max="523" width="4.7109375" style="13" customWidth="1"/>
    <col min="524" max="524" width="64.7109375" style="13" customWidth="1"/>
    <col min="525" max="525" width="9.7109375" style="13" customWidth="1"/>
    <col min="526" max="526" width="11.7109375" style="13" customWidth="1"/>
    <col min="527" max="527" width="18.7109375" style="13" customWidth="1"/>
    <col min="528" max="778" width="9.28515625" style="13" customWidth="1"/>
    <col min="779" max="779" width="4.7109375" style="13" customWidth="1"/>
    <col min="780" max="780" width="64.7109375" style="13" customWidth="1"/>
    <col min="781" max="781" width="9.7109375" style="13" customWidth="1"/>
    <col min="782" max="782" width="11.7109375" style="13" customWidth="1"/>
    <col min="783" max="783" width="18.7109375" style="13" customWidth="1"/>
    <col min="784" max="1034" width="9.28515625" style="13" customWidth="1"/>
    <col min="1035" max="1035" width="4.7109375" style="13" customWidth="1"/>
    <col min="1036" max="1036" width="64.7109375" style="13" customWidth="1"/>
    <col min="1037" max="1037" width="9.7109375" style="13" customWidth="1"/>
    <col min="1038" max="1038" width="11.7109375" style="13" customWidth="1"/>
    <col min="1039" max="1039" width="18.7109375" style="13" customWidth="1"/>
    <col min="1040" max="1290" width="9.28515625" style="13" customWidth="1"/>
    <col min="1291" max="1291" width="4.7109375" style="13" customWidth="1"/>
    <col min="1292" max="1292" width="64.7109375" style="13" customWidth="1"/>
    <col min="1293" max="1293" width="9.7109375" style="13" customWidth="1"/>
    <col min="1294" max="1294" width="11.7109375" style="13" customWidth="1"/>
    <col min="1295" max="1295" width="18.7109375" style="13" customWidth="1"/>
    <col min="1296" max="1546" width="9.28515625" style="13" customWidth="1"/>
    <col min="1547" max="1547" width="4.7109375" style="13" customWidth="1"/>
    <col min="1548" max="1548" width="64.7109375" style="13" customWidth="1"/>
    <col min="1549" max="1549" width="9.7109375" style="13" customWidth="1"/>
    <col min="1550" max="1550" width="11.7109375" style="13" customWidth="1"/>
    <col min="1551" max="1551" width="18.7109375" style="13" customWidth="1"/>
    <col min="1552" max="1802" width="9.28515625" style="13" customWidth="1"/>
    <col min="1803" max="1803" width="4.7109375" style="13" customWidth="1"/>
    <col min="1804" max="1804" width="64.7109375" style="13" customWidth="1"/>
    <col min="1805" max="1805" width="9.7109375" style="13" customWidth="1"/>
    <col min="1806" max="1806" width="11.7109375" style="13" customWidth="1"/>
    <col min="1807" max="1807" width="18.7109375" style="13" customWidth="1"/>
    <col min="1808" max="2058" width="9.28515625" style="13" customWidth="1"/>
    <col min="2059" max="2059" width="4.7109375" style="13" customWidth="1"/>
    <col min="2060" max="2060" width="64.7109375" style="13" customWidth="1"/>
    <col min="2061" max="2061" width="9.7109375" style="13" customWidth="1"/>
    <col min="2062" max="2062" width="11.7109375" style="13" customWidth="1"/>
    <col min="2063" max="2063" width="18.7109375" style="13" customWidth="1"/>
    <col min="2064" max="2314" width="9.28515625" style="13" customWidth="1"/>
    <col min="2315" max="2315" width="4.7109375" style="13" customWidth="1"/>
    <col min="2316" max="2316" width="64.7109375" style="13" customWidth="1"/>
    <col min="2317" max="2317" width="9.7109375" style="13" customWidth="1"/>
    <col min="2318" max="2318" width="11.7109375" style="13" customWidth="1"/>
    <col min="2319" max="2319" width="18.7109375" style="13" customWidth="1"/>
    <col min="2320" max="2570" width="9.28515625" style="13" customWidth="1"/>
    <col min="2571" max="2571" width="4.7109375" style="13" customWidth="1"/>
    <col min="2572" max="2572" width="64.7109375" style="13" customWidth="1"/>
    <col min="2573" max="2573" width="9.7109375" style="13" customWidth="1"/>
    <col min="2574" max="2574" width="11.7109375" style="13" customWidth="1"/>
    <col min="2575" max="2575" width="18.7109375" style="13" customWidth="1"/>
    <col min="2576" max="2826" width="9.28515625" style="13" customWidth="1"/>
    <col min="2827" max="2827" width="4.7109375" style="13" customWidth="1"/>
    <col min="2828" max="2828" width="64.7109375" style="13" customWidth="1"/>
    <col min="2829" max="2829" width="9.7109375" style="13" customWidth="1"/>
    <col min="2830" max="2830" width="11.7109375" style="13" customWidth="1"/>
    <col min="2831" max="2831" width="18.7109375" style="13" customWidth="1"/>
    <col min="2832" max="3082" width="9.28515625" style="13" customWidth="1"/>
    <col min="3083" max="3083" width="4.7109375" style="13" customWidth="1"/>
    <col min="3084" max="3084" width="64.7109375" style="13" customWidth="1"/>
    <col min="3085" max="3085" width="9.7109375" style="13" customWidth="1"/>
    <col min="3086" max="3086" width="11.7109375" style="13" customWidth="1"/>
    <col min="3087" max="3087" width="18.7109375" style="13" customWidth="1"/>
    <col min="3088" max="3338" width="9.28515625" style="13" customWidth="1"/>
    <col min="3339" max="3339" width="4.7109375" style="13" customWidth="1"/>
    <col min="3340" max="3340" width="64.7109375" style="13" customWidth="1"/>
    <col min="3341" max="3341" width="9.7109375" style="13" customWidth="1"/>
    <col min="3342" max="3342" width="11.7109375" style="13" customWidth="1"/>
    <col min="3343" max="3343" width="18.7109375" style="13" customWidth="1"/>
    <col min="3344" max="3594" width="9.28515625" style="13" customWidth="1"/>
    <col min="3595" max="3595" width="4.7109375" style="13" customWidth="1"/>
    <col min="3596" max="3596" width="64.7109375" style="13" customWidth="1"/>
    <col min="3597" max="3597" width="9.7109375" style="13" customWidth="1"/>
    <col min="3598" max="3598" width="11.7109375" style="13" customWidth="1"/>
    <col min="3599" max="3599" width="18.7109375" style="13" customWidth="1"/>
    <col min="3600" max="3850" width="9.28515625" style="13" customWidth="1"/>
    <col min="3851" max="3851" width="4.7109375" style="13" customWidth="1"/>
    <col min="3852" max="3852" width="64.7109375" style="13" customWidth="1"/>
    <col min="3853" max="3853" width="9.7109375" style="13" customWidth="1"/>
    <col min="3854" max="3854" width="11.7109375" style="13" customWidth="1"/>
    <col min="3855" max="3855" width="18.7109375" style="13" customWidth="1"/>
    <col min="3856" max="4106" width="9.28515625" style="13" customWidth="1"/>
    <col min="4107" max="4107" width="4.7109375" style="13" customWidth="1"/>
    <col min="4108" max="4108" width="64.7109375" style="13" customWidth="1"/>
    <col min="4109" max="4109" width="9.7109375" style="13" customWidth="1"/>
    <col min="4110" max="4110" width="11.7109375" style="13" customWidth="1"/>
    <col min="4111" max="4111" width="18.7109375" style="13" customWidth="1"/>
    <col min="4112" max="4362" width="9.28515625" style="13" customWidth="1"/>
    <col min="4363" max="4363" width="4.7109375" style="13" customWidth="1"/>
    <col min="4364" max="4364" width="64.7109375" style="13" customWidth="1"/>
    <col min="4365" max="4365" width="9.7109375" style="13" customWidth="1"/>
    <col min="4366" max="4366" width="11.7109375" style="13" customWidth="1"/>
    <col min="4367" max="4367" width="18.7109375" style="13" customWidth="1"/>
    <col min="4368" max="4618" width="9.28515625" style="13" customWidth="1"/>
    <col min="4619" max="4619" width="4.7109375" style="13" customWidth="1"/>
    <col min="4620" max="4620" width="64.7109375" style="13" customWidth="1"/>
    <col min="4621" max="4621" width="9.7109375" style="13" customWidth="1"/>
    <col min="4622" max="4622" width="11.7109375" style="13" customWidth="1"/>
    <col min="4623" max="4623" width="18.7109375" style="13" customWidth="1"/>
    <col min="4624" max="4874" width="9.28515625" style="13" customWidth="1"/>
    <col min="4875" max="4875" width="4.7109375" style="13" customWidth="1"/>
    <col min="4876" max="4876" width="64.7109375" style="13" customWidth="1"/>
    <col min="4877" max="4877" width="9.7109375" style="13" customWidth="1"/>
    <col min="4878" max="4878" width="11.7109375" style="13" customWidth="1"/>
    <col min="4879" max="4879" width="18.7109375" style="13" customWidth="1"/>
    <col min="4880" max="5130" width="9.28515625" style="13" customWidth="1"/>
    <col min="5131" max="5131" width="4.7109375" style="13" customWidth="1"/>
    <col min="5132" max="5132" width="64.7109375" style="13" customWidth="1"/>
    <col min="5133" max="5133" width="9.7109375" style="13" customWidth="1"/>
    <col min="5134" max="5134" width="11.7109375" style="13" customWidth="1"/>
    <col min="5135" max="5135" width="18.7109375" style="13" customWidth="1"/>
    <col min="5136" max="5386" width="9.28515625" style="13" customWidth="1"/>
    <col min="5387" max="5387" width="4.7109375" style="13" customWidth="1"/>
    <col min="5388" max="5388" width="64.7109375" style="13" customWidth="1"/>
    <col min="5389" max="5389" width="9.7109375" style="13" customWidth="1"/>
    <col min="5390" max="5390" width="11.7109375" style="13" customWidth="1"/>
    <col min="5391" max="5391" width="18.7109375" style="13" customWidth="1"/>
    <col min="5392" max="5642" width="9.28515625" style="13" customWidth="1"/>
    <col min="5643" max="5643" width="4.7109375" style="13" customWidth="1"/>
    <col min="5644" max="5644" width="64.7109375" style="13" customWidth="1"/>
    <col min="5645" max="5645" width="9.7109375" style="13" customWidth="1"/>
    <col min="5646" max="5646" width="11.7109375" style="13" customWidth="1"/>
    <col min="5647" max="5647" width="18.7109375" style="13" customWidth="1"/>
    <col min="5648" max="5898" width="9.28515625" style="13" customWidth="1"/>
    <col min="5899" max="5899" width="4.7109375" style="13" customWidth="1"/>
    <col min="5900" max="5900" width="64.7109375" style="13" customWidth="1"/>
    <col min="5901" max="5901" width="9.7109375" style="13" customWidth="1"/>
    <col min="5902" max="5902" width="11.7109375" style="13" customWidth="1"/>
    <col min="5903" max="5903" width="18.7109375" style="13" customWidth="1"/>
    <col min="5904" max="6154" width="9.28515625" style="13" customWidth="1"/>
    <col min="6155" max="6155" width="4.7109375" style="13" customWidth="1"/>
    <col min="6156" max="6156" width="64.7109375" style="13" customWidth="1"/>
    <col min="6157" max="6157" width="9.7109375" style="13" customWidth="1"/>
    <col min="6158" max="6158" width="11.7109375" style="13" customWidth="1"/>
    <col min="6159" max="6159" width="18.7109375" style="13" customWidth="1"/>
    <col min="6160" max="6410" width="9.28515625" style="13" customWidth="1"/>
    <col min="6411" max="6411" width="4.7109375" style="13" customWidth="1"/>
    <col min="6412" max="6412" width="64.7109375" style="13" customWidth="1"/>
    <col min="6413" max="6413" width="9.7109375" style="13" customWidth="1"/>
    <col min="6414" max="6414" width="11.7109375" style="13" customWidth="1"/>
    <col min="6415" max="6415" width="18.7109375" style="13" customWidth="1"/>
    <col min="6416" max="6666" width="9.28515625" style="13" customWidth="1"/>
    <col min="6667" max="6667" width="4.7109375" style="13" customWidth="1"/>
    <col min="6668" max="6668" width="64.7109375" style="13" customWidth="1"/>
    <col min="6669" max="6669" width="9.7109375" style="13" customWidth="1"/>
    <col min="6670" max="6670" width="11.7109375" style="13" customWidth="1"/>
    <col min="6671" max="6671" width="18.7109375" style="13" customWidth="1"/>
    <col min="6672" max="6922" width="9.28515625" style="13" customWidth="1"/>
    <col min="6923" max="6923" width="4.7109375" style="13" customWidth="1"/>
    <col min="6924" max="6924" width="64.7109375" style="13" customWidth="1"/>
    <col min="6925" max="6925" width="9.7109375" style="13" customWidth="1"/>
    <col min="6926" max="6926" width="11.7109375" style="13" customWidth="1"/>
    <col min="6927" max="6927" width="18.7109375" style="13" customWidth="1"/>
    <col min="6928" max="7178" width="9.28515625" style="13" customWidth="1"/>
    <col min="7179" max="7179" width="4.7109375" style="13" customWidth="1"/>
    <col min="7180" max="7180" width="64.7109375" style="13" customWidth="1"/>
    <col min="7181" max="7181" width="9.7109375" style="13" customWidth="1"/>
    <col min="7182" max="7182" width="11.7109375" style="13" customWidth="1"/>
    <col min="7183" max="7183" width="18.7109375" style="13" customWidth="1"/>
    <col min="7184" max="7434" width="9.28515625" style="13" customWidth="1"/>
    <col min="7435" max="7435" width="4.7109375" style="13" customWidth="1"/>
    <col min="7436" max="7436" width="64.7109375" style="13" customWidth="1"/>
    <col min="7437" max="7437" width="9.7109375" style="13" customWidth="1"/>
    <col min="7438" max="7438" width="11.7109375" style="13" customWidth="1"/>
    <col min="7439" max="7439" width="18.7109375" style="13" customWidth="1"/>
    <col min="7440" max="7690" width="9.28515625" style="13" customWidth="1"/>
    <col min="7691" max="7691" width="4.7109375" style="13" customWidth="1"/>
    <col min="7692" max="7692" width="64.7109375" style="13" customWidth="1"/>
    <col min="7693" max="7693" width="9.7109375" style="13" customWidth="1"/>
    <col min="7694" max="7694" width="11.7109375" style="13" customWidth="1"/>
    <col min="7695" max="7695" width="18.7109375" style="13" customWidth="1"/>
    <col min="7696" max="7946" width="9.28515625" style="13" customWidth="1"/>
    <col min="7947" max="7947" width="4.7109375" style="13" customWidth="1"/>
    <col min="7948" max="7948" width="64.7109375" style="13" customWidth="1"/>
    <col min="7949" max="7949" width="9.7109375" style="13" customWidth="1"/>
    <col min="7950" max="7950" width="11.7109375" style="13" customWidth="1"/>
    <col min="7951" max="7951" width="18.7109375" style="13" customWidth="1"/>
    <col min="7952" max="8202" width="9.28515625" style="13" customWidth="1"/>
    <col min="8203" max="8203" width="4.7109375" style="13" customWidth="1"/>
    <col min="8204" max="8204" width="64.7109375" style="13" customWidth="1"/>
    <col min="8205" max="8205" width="9.7109375" style="13" customWidth="1"/>
    <col min="8206" max="8206" width="11.7109375" style="13" customWidth="1"/>
    <col min="8207" max="8207" width="18.7109375" style="13" customWidth="1"/>
    <col min="8208" max="8458" width="9.28515625" style="13" customWidth="1"/>
    <col min="8459" max="8459" width="4.7109375" style="13" customWidth="1"/>
    <col min="8460" max="8460" width="64.7109375" style="13" customWidth="1"/>
    <col min="8461" max="8461" width="9.7109375" style="13" customWidth="1"/>
    <col min="8462" max="8462" width="11.7109375" style="13" customWidth="1"/>
    <col min="8463" max="8463" width="18.7109375" style="13" customWidth="1"/>
    <col min="8464" max="8714" width="9.28515625" style="13" customWidth="1"/>
    <col min="8715" max="8715" width="4.7109375" style="13" customWidth="1"/>
    <col min="8716" max="8716" width="64.7109375" style="13" customWidth="1"/>
    <col min="8717" max="8717" width="9.7109375" style="13" customWidth="1"/>
    <col min="8718" max="8718" width="11.7109375" style="13" customWidth="1"/>
    <col min="8719" max="8719" width="18.7109375" style="13" customWidth="1"/>
    <col min="8720" max="8970" width="9.28515625" style="13" customWidth="1"/>
    <col min="8971" max="8971" width="4.7109375" style="13" customWidth="1"/>
    <col min="8972" max="8972" width="64.7109375" style="13" customWidth="1"/>
    <col min="8973" max="8973" width="9.7109375" style="13" customWidth="1"/>
    <col min="8974" max="8974" width="11.7109375" style="13" customWidth="1"/>
    <col min="8975" max="8975" width="18.7109375" style="13" customWidth="1"/>
    <col min="8976" max="9226" width="9.28515625" style="13" customWidth="1"/>
    <col min="9227" max="9227" width="4.7109375" style="13" customWidth="1"/>
    <col min="9228" max="9228" width="64.7109375" style="13" customWidth="1"/>
    <col min="9229" max="9229" width="9.7109375" style="13" customWidth="1"/>
    <col min="9230" max="9230" width="11.7109375" style="13" customWidth="1"/>
    <col min="9231" max="9231" width="18.7109375" style="13" customWidth="1"/>
    <col min="9232" max="9482" width="9.28515625" style="13" customWidth="1"/>
    <col min="9483" max="9483" width="4.7109375" style="13" customWidth="1"/>
    <col min="9484" max="9484" width="64.7109375" style="13" customWidth="1"/>
    <col min="9485" max="9485" width="9.7109375" style="13" customWidth="1"/>
    <col min="9486" max="9486" width="11.7109375" style="13" customWidth="1"/>
    <col min="9487" max="9487" width="18.7109375" style="13" customWidth="1"/>
    <col min="9488" max="9738" width="9.28515625" style="13" customWidth="1"/>
    <col min="9739" max="9739" width="4.7109375" style="13" customWidth="1"/>
    <col min="9740" max="9740" width="64.7109375" style="13" customWidth="1"/>
    <col min="9741" max="9741" width="9.7109375" style="13" customWidth="1"/>
    <col min="9742" max="9742" width="11.7109375" style="13" customWidth="1"/>
    <col min="9743" max="9743" width="18.7109375" style="13" customWidth="1"/>
    <col min="9744" max="9994" width="9.28515625" style="13" customWidth="1"/>
    <col min="9995" max="9995" width="4.7109375" style="13" customWidth="1"/>
    <col min="9996" max="9996" width="64.7109375" style="13" customWidth="1"/>
    <col min="9997" max="9997" width="9.7109375" style="13" customWidth="1"/>
    <col min="9998" max="9998" width="11.7109375" style="13" customWidth="1"/>
    <col min="9999" max="9999" width="18.7109375" style="13" customWidth="1"/>
    <col min="10000" max="10250" width="9.28515625" style="13" customWidth="1"/>
    <col min="10251" max="10251" width="4.7109375" style="13" customWidth="1"/>
    <col min="10252" max="10252" width="64.7109375" style="13" customWidth="1"/>
    <col min="10253" max="10253" width="9.7109375" style="13" customWidth="1"/>
    <col min="10254" max="10254" width="11.7109375" style="13" customWidth="1"/>
    <col min="10255" max="10255" width="18.7109375" style="13" customWidth="1"/>
    <col min="10256" max="10506" width="9.28515625" style="13" customWidth="1"/>
    <col min="10507" max="10507" width="4.7109375" style="13" customWidth="1"/>
    <col min="10508" max="10508" width="64.7109375" style="13" customWidth="1"/>
    <col min="10509" max="10509" width="9.7109375" style="13" customWidth="1"/>
    <col min="10510" max="10510" width="11.7109375" style="13" customWidth="1"/>
    <col min="10511" max="10511" width="18.7109375" style="13" customWidth="1"/>
    <col min="10512" max="10762" width="9.28515625" style="13" customWidth="1"/>
    <col min="10763" max="10763" width="4.7109375" style="13" customWidth="1"/>
    <col min="10764" max="10764" width="64.7109375" style="13" customWidth="1"/>
    <col min="10765" max="10765" width="9.7109375" style="13" customWidth="1"/>
    <col min="10766" max="10766" width="11.7109375" style="13" customWidth="1"/>
    <col min="10767" max="10767" width="18.7109375" style="13" customWidth="1"/>
    <col min="10768" max="11018" width="9.28515625" style="13" customWidth="1"/>
    <col min="11019" max="11019" width="4.7109375" style="13" customWidth="1"/>
    <col min="11020" max="11020" width="64.7109375" style="13" customWidth="1"/>
    <col min="11021" max="11021" width="9.7109375" style="13" customWidth="1"/>
    <col min="11022" max="11022" width="11.7109375" style="13" customWidth="1"/>
    <col min="11023" max="11023" width="18.7109375" style="13" customWidth="1"/>
    <col min="11024" max="11274" width="9.28515625" style="13" customWidth="1"/>
    <col min="11275" max="11275" width="4.7109375" style="13" customWidth="1"/>
    <col min="11276" max="11276" width="64.7109375" style="13" customWidth="1"/>
    <col min="11277" max="11277" width="9.7109375" style="13" customWidth="1"/>
    <col min="11278" max="11278" width="11.7109375" style="13" customWidth="1"/>
    <col min="11279" max="11279" width="18.7109375" style="13" customWidth="1"/>
    <col min="11280" max="11530" width="9.28515625" style="13" customWidth="1"/>
    <col min="11531" max="11531" width="4.7109375" style="13" customWidth="1"/>
    <col min="11532" max="11532" width="64.7109375" style="13" customWidth="1"/>
    <col min="11533" max="11533" width="9.7109375" style="13" customWidth="1"/>
    <col min="11534" max="11534" width="11.7109375" style="13" customWidth="1"/>
    <col min="11535" max="11535" width="18.7109375" style="13" customWidth="1"/>
    <col min="11536" max="11786" width="9.28515625" style="13" customWidth="1"/>
    <col min="11787" max="11787" width="4.7109375" style="13" customWidth="1"/>
    <col min="11788" max="11788" width="64.7109375" style="13" customWidth="1"/>
    <col min="11789" max="11789" width="9.7109375" style="13" customWidth="1"/>
    <col min="11790" max="11790" width="11.7109375" style="13" customWidth="1"/>
    <col min="11791" max="11791" width="18.7109375" style="13" customWidth="1"/>
    <col min="11792" max="12042" width="9.28515625" style="13" customWidth="1"/>
    <col min="12043" max="12043" width="4.7109375" style="13" customWidth="1"/>
    <col min="12044" max="12044" width="64.7109375" style="13" customWidth="1"/>
    <col min="12045" max="12045" width="9.7109375" style="13" customWidth="1"/>
    <col min="12046" max="12046" width="11.7109375" style="13" customWidth="1"/>
    <col min="12047" max="12047" width="18.7109375" style="13" customWidth="1"/>
    <col min="12048" max="12298" width="9.28515625" style="13" customWidth="1"/>
    <col min="12299" max="12299" width="4.7109375" style="13" customWidth="1"/>
    <col min="12300" max="12300" width="64.7109375" style="13" customWidth="1"/>
    <col min="12301" max="12301" width="9.7109375" style="13" customWidth="1"/>
    <col min="12302" max="12302" width="11.7109375" style="13" customWidth="1"/>
    <col min="12303" max="12303" width="18.7109375" style="13" customWidth="1"/>
    <col min="12304" max="12554" width="9.28515625" style="13" customWidth="1"/>
    <col min="12555" max="12555" width="4.7109375" style="13" customWidth="1"/>
    <col min="12556" max="12556" width="64.7109375" style="13" customWidth="1"/>
    <col min="12557" max="12557" width="9.7109375" style="13" customWidth="1"/>
    <col min="12558" max="12558" width="11.7109375" style="13" customWidth="1"/>
    <col min="12559" max="12559" width="18.7109375" style="13" customWidth="1"/>
    <col min="12560" max="12810" width="9.28515625" style="13" customWidth="1"/>
    <col min="12811" max="12811" width="4.7109375" style="13" customWidth="1"/>
    <col min="12812" max="12812" width="64.7109375" style="13" customWidth="1"/>
    <col min="12813" max="12813" width="9.7109375" style="13" customWidth="1"/>
    <col min="12814" max="12814" width="11.7109375" style="13" customWidth="1"/>
    <col min="12815" max="12815" width="18.7109375" style="13" customWidth="1"/>
    <col min="12816" max="13066" width="9.28515625" style="13" customWidth="1"/>
    <col min="13067" max="13067" width="4.7109375" style="13" customWidth="1"/>
    <col min="13068" max="13068" width="64.7109375" style="13" customWidth="1"/>
    <col min="13069" max="13069" width="9.7109375" style="13" customWidth="1"/>
    <col min="13070" max="13070" width="11.7109375" style="13" customWidth="1"/>
    <col min="13071" max="13071" width="18.7109375" style="13" customWidth="1"/>
    <col min="13072" max="13322" width="9.28515625" style="13" customWidth="1"/>
    <col min="13323" max="13323" width="4.7109375" style="13" customWidth="1"/>
    <col min="13324" max="13324" width="64.7109375" style="13" customWidth="1"/>
    <col min="13325" max="13325" width="9.7109375" style="13" customWidth="1"/>
    <col min="13326" max="13326" width="11.7109375" style="13" customWidth="1"/>
    <col min="13327" max="13327" width="18.7109375" style="13" customWidth="1"/>
    <col min="13328" max="13578" width="9.28515625" style="13" customWidth="1"/>
    <col min="13579" max="13579" width="4.7109375" style="13" customWidth="1"/>
    <col min="13580" max="13580" width="64.7109375" style="13" customWidth="1"/>
    <col min="13581" max="13581" width="9.7109375" style="13" customWidth="1"/>
    <col min="13582" max="13582" width="11.7109375" style="13" customWidth="1"/>
    <col min="13583" max="13583" width="18.7109375" style="13" customWidth="1"/>
    <col min="13584" max="13834" width="9.28515625" style="13" customWidth="1"/>
    <col min="13835" max="13835" width="4.7109375" style="13" customWidth="1"/>
    <col min="13836" max="13836" width="64.7109375" style="13" customWidth="1"/>
    <col min="13837" max="13837" width="9.7109375" style="13" customWidth="1"/>
    <col min="13838" max="13838" width="11.7109375" style="13" customWidth="1"/>
    <col min="13839" max="13839" width="18.7109375" style="13" customWidth="1"/>
    <col min="13840" max="14090" width="9.28515625" style="13" customWidth="1"/>
    <col min="14091" max="14091" width="4.7109375" style="13" customWidth="1"/>
    <col min="14092" max="14092" width="64.7109375" style="13" customWidth="1"/>
    <col min="14093" max="14093" width="9.7109375" style="13" customWidth="1"/>
    <col min="14094" max="14094" width="11.7109375" style="13" customWidth="1"/>
    <col min="14095" max="14095" width="18.7109375" style="13" customWidth="1"/>
    <col min="14096" max="14346" width="9.28515625" style="13" customWidth="1"/>
    <col min="14347" max="14347" width="4.7109375" style="13" customWidth="1"/>
    <col min="14348" max="14348" width="64.7109375" style="13" customWidth="1"/>
    <col min="14349" max="14349" width="9.7109375" style="13" customWidth="1"/>
    <col min="14350" max="14350" width="11.7109375" style="13" customWidth="1"/>
    <col min="14351" max="14351" width="18.7109375" style="13" customWidth="1"/>
    <col min="14352" max="14602" width="9.28515625" style="13" customWidth="1"/>
    <col min="14603" max="14603" width="4.7109375" style="13" customWidth="1"/>
    <col min="14604" max="14604" width="64.7109375" style="13" customWidth="1"/>
    <col min="14605" max="14605" width="9.7109375" style="13" customWidth="1"/>
    <col min="14606" max="14606" width="11.7109375" style="13" customWidth="1"/>
    <col min="14607" max="14607" width="18.7109375" style="13" customWidth="1"/>
    <col min="14608" max="14858" width="9.28515625" style="13" customWidth="1"/>
    <col min="14859" max="14859" width="4.7109375" style="13" customWidth="1"/>
    <col min="14860" max="14860" width="64.7109375" style="13" customWidth="1"/>
    <col min="14861" max="14861" width="9.7109375" style="13" customWidth="1"/>
    <col min="14862" max="14862" width="11.7109375" style="13" customWidth="1"/>
    <col min="14863" max="14863" width="18.7109375" style="13" customWidth="1"/>
    <col min="14864" max="15114" width="9.28515625" style="13" customWidth="1"/>
    <col min="15115" max="15115" width="4.7109375" style="13" customWidth="1"/>
    <col min="15116" max="15116" width="64.7109375" style="13" customWidth="1"/>
    <col min="15117" max="15117" width="9.7109375" style="13" customWidth="1"/>
    <col min="15118" max="15118" width="11.7109375" style="13" customWidth="1"/>
    <col min="15119" max="15119" width="18.7109375" style="13" customWidth="1"/>
    <col min="15120" max="15370" width="9.28515625" style="13" customWidth="1"/>
    <col min="15371" max="15371" width="4.7109375" style="13" customWidth="1"/>
    <col min="15372" max="15372" width="64.7109375" style="13" customWidth="1"/>
    <col min="15373" max="15373" width="9.7109375" style="13" customWidth="1"/>
    <col min="15374" max="15374" width="11.7109375" style="13" customWidth="1"/>
    <col min="15375" max="15375" width="18.7109375" style="13" customWidth="1"/>
    <col min="15376" max="15626" width="9.28515625" style="13" customWidth="1"/>
    <col min="15627" max="15627" width="4.7109375" style="13" customWidth="1"/>
    <col min="15628" max="15628" width="64.7109375" style="13" customWidth="1"/>
    <col min="15629" max="15629" width="9.7109375" style="13" customWidth="1"/>
    <col min="15630" max="15630" width="11.7109375" style="13" customWidth="1"/>
    <col min="15631" max="15631" width="18.7109375" style="13" customWidth="1"/>
    <col min="15632" max="15882" width="9.28515625" style="13" customWidth="1"/>
    <col min="15883" max="15883" width="4.7109375" style="13" customWidth="1"/>
    <col min="15884" max="15884" width="64.7109375" style="13" customWidth="1"/>
    <col min="15885" max="15885" width="9.7109375" style="13" customWidth="1"/>
    <col min="15886" max="15886" width="11.7109375" style="13" customWidth="1"/>
    <col min="15887" max="15887" width="18.7109375" style="13" customWidth="1"/>
    <col min="15888" max="16138" width="9.28515625" style="13" customWidth="1"/>
    <col min="16139" max="16139" width="4.7109375" style="13" customWidth="1"/>
    <col min="16140" max="16140" width="64.7109375" style="13" customWidth="1"/>
    <col min="16141" max="16141" width="9.7109375" style="13" customWidth="1"/>
    <col min="16142" max="16142" width="11.7109375" style="13" customWidth="1"/>
    <col min="16143" max="16143" width="18.7109375" style="13" customWidth="1"/>
    <col min="16144" max="16384" width="9.28515625" style="13" customWidth="1"/>
  </cols>
  <sheetData>
    <row r="1" spans="1:25">
      <c r="A1"/>
      <c r="C1" s="10"/>
      <c r="D1" s="10"/>
      <c r="E1" s="10"/>
      <c r="F1" s="10"/>
      <c r="G1" s="11"/>
      <c r="H1" s="12"/>
    </row>
    <row r="2" spans="1:25" s="1" customFormat="1" ht="18" customHeight="1">
      <c r="A2" s="688"/>
      <c r="B2" s="904" t="s">
        <v>108</v>
      </c>
      <c r="C2" s="904"/>
      <c r="D2" s="904"/>
      <c r="E2" s="904"/>
      <c r="F2" s="904"/>
      <c r="G2" s="904"/>
      <c r="H2" s="904"/>
      <c r="J2" s="688"/>
      <c r="K2" s="688"/>
      <c r="L2" s="688"/>
      <c r="M2" s="688"/>
      <c r="N2" s="688"/>
      <c r="O2" s="688"/>
      <c r="T2" s="688"/>
    </row>
    <row r="3" spans="1:25" s="1" customFormat="1" ht="6" customHeight="1">
      <c r="A3" s="688"/>
      <c r="B3" s="689"/>
      <c r="C3" s="689"/>
      <c r="D3" s="689"/>
      <c r="E3" s="689"/>
      <c r="F3" s="689"/>
      <c r="G3" s="689"/>
      <c r="H3" s="689"/>
      <c r="J3" s="688"/>
      <c r="K3" s="688"/>
      <c r="L3" s="688"/>
      <c r="M3" s="688"/>
      <c r="N3" s="688"/>
      <c r="O3" s="688"/>
      <c r="T3" s="688"/>
    </row>
    <row r="4" spans="1:25" s="1" customFormat="1" ht="15" customHeight="1">
      <c r="A4" s="688"/>
      <c r="B4" s="920" t="s">
        <v>1007</v>
      </c>
      <c r="C4" s="920"/>
      <c r="D4" s="920"/>
      <c r="E4" s="920"/>
      <c r="F4" s="920"/>
      <c r="G4" s="920"/>
      <c r="H4" s="920"/>
      <c r="I4" s="691"/>
      <c r="J4" s="691"/>
      <c r="K4" s="691"/>
      <c r="L4" s="691"/>
      <c r="M4" s="691"/>
      <c r="N4" s="691"/>
      <c r="O4" s="691"/>
      <c r="P4" s="477">
        <f>1261304</f>
        <v>1261304</v>
      </c>
      <c r="Q4" s="691"/>
      <c r="R4" s="691"/>
      <c r="S4" s="477">
        <v>15206817.99</v>
      </c>
      <c r="T4" s="688"/>
    </row>
    <row r="5" spans="1:25" s="1" customFormat="1" ht="15.75" customHeight="1">
      <c r="A5" s="688"/>
      <c r="D5" s="701"/>
      <c r="E5" s="701"/>
      <c r="F5" s="701"/>
      <c r="G5" s="912" t="s">
        <v>883</v>
      </c>
      <c r="H5" s="913"/>
      <c r="J5" s="688"/>
      <c r="K5" s="688"/>
      <c r="L5" s="688"/>
      <c r="M5" s="688"/>
      <c r="N5" s="688"/>
      <c r="O5" s="688"/>
      <c r="P5" s="400" t="e">
        <f>P4/BS!E12</f>
        <v>#DIV/0!</v>
      </c>
      <c r="S5" s="400">
        <f>(S4-H15-H16)/S4</f>
        <v>1</v>
      </c>
      <c r="T5" s="688"/>
    </row>
    <row r="6" spans="1:25" ht="22.15" customHeight="1">
      <c r="A6"/>
      <c r="B6" s="914" t="s">
        <v>110</v>
      </c>
      <c r="C6" s="914"/>
      <c r="D6" s="914"/>
      <c r="E6" s="914"/>
      <c r="F6" s="914" t="s">
        <v>111</v>
      </c>
      <c r="G6" s="914" t="s">
        <v>1008</v>
      </c>
      <c r="H6" s="914" t="s">
        <v>1008</v>
      </c>
      <c r="I6" s="702"/>
      <c r="J6" s="703"/>
      <c r="K6" s="703"/>
      <c r="L6" s="703"/>
      <c r="M6" s="703"/>
      <c r="N6" s="703"/>
      <c r="O6" s="703"/>
      <c r="P6" s="703" t="e">
        <f>P5*10</f>
        <v>#DIV/0!</v>
      </c>
    </row>
    <row r="7" spans="1:25" ht="16.5" customHeight="1">
      <c r="A7"/>
      <c r="B7" s="914"/>
      <c r="C7" s="914"/>
      <c r="D7" s="914"/>
      <c r="E7" s="914"/>
      <c r="F7" s="916"/>
      <c r="G7" s="916"/>
      <c r="H7" s="916"/>
      <c r="R7" s="189">
        <v>23366245.879999999</v>
      </c>
    </row>
    <row r="8" spans="1:25" ht="1.5" hidden="1" customHeight="1">
      <c r="B8" s="304"/>
      <c r="C8" s="354"/>
      <c r="D8" s="354"/>
      <c r="E8" s="355"/>
      <c r="F8" s="295"/>
      <c r="G8" s="296"/>
      <c r="H8" s="297"/>
      <c r="I8" s="179"/>
    </row>
    <row r="9" spans="1:25">
      <c r="B9" s="663" t="s">
        <v>153</v>
      </c>
      <c r="C9" s="356" t="s">
        <v>154</v>
      </c>
      <c r="D9" s="357"/>
      <c r="E9" s="358"/>
      <c r="F9" s="384" t="s">
        <v>996</v>
      </c>
      <c r="G9" s="378">
        <f>'Note PL'!F11</f>
        <v>0</v>
      </c>
      <c r="H9" s="378">
        <f>'Note PL'!G11</f>
        <v>0</v>
      </c>
      <c r="J9" s="14"/>
      <c r="K9" s="14"/>
      <c r="L9" s="14"/>
      <c r="M9" s="14"/>
      <c r="N9" s="14"/>
      <c r="O9" s="14"/>
      <c r="P9" s="190">
        <f>H9*1%</f>
        <v>0</v>
      </c>
      <c r="V9" s="16"/>
    </row>
    <row r="10" spans="1:25" ht="15" customHeight="1">
      <c r="B10" s="704" t="s">
        <v>155</v>
      </c>
      <c r="C10" s="705" t="s">
        <v>156</v>
      </c>
      <c r="D10" s="25"/>
      <c r="E10" s="66"/>
      <c r="F10" s="385" t="s">
        <v>996</v>
      </c>
      <c r="G10" s="351">
        <f>'Note PL'!F19</f>
        <v>0</v>
      </c>
      <c r="H10" s="351">
        <f>'Note PL'!G19</f>
        <v>0</v>
      </c>
      <c r="J10" s="14"/>
      <c r="K10" s="14"/>
      <c r="L10" s="14"/>
      <c r="M10" s="14"/>
      <c r="N10" s="14"/>
      <c r="O10" s="14"/>
      <c r="V10" s="17"/>
    </row>
    <row r="11" spans="1:25">
      <c r="B11" s="359" t="s">
        <v>157</v>
      </c>
      <c r="C11" s="360" t="s">
        <v>158</v>
      </c>
      <c r="D11" s="25"/>
      <c r="E11" s="66"/>
      <c r="F11" s="386"/>
      <c r="G11" s="706">
        <f>SUM(G9:G10)</f>
        <v>0</v>
      </c>
      <c r="H11" s="706">
        <f>SUM(H9:H10)</f>
        <v>0</v>
      </c>
      <c r="J11" s="14"/>
      <c r="K11" s="707"/>
      <c r="L11" s="707"/>
      <c r="M11" s="707"/>
      <c r="N11" s="707"/>
      <c r="O11" s="707"/>
    </row>
    <row r="12" spans="1:25" ht="9.9499999999999993" customHeight="1">
      <c r="B12" s="361"/>
      <c r="C12" s="362"/>
      <c r="D12" s="25"/>
      <c r="E12" s="66"/>
      <c r="F12" s="386"/>
      <c r="G12" s="379"/>
      <c r="H12" s="379"/>
    </row>
    <row r="13" spans="1:25">
      <c r="B13" s="359" t="s">
        <v>159</v>
      </c>
      <c r="C13" s="360" t="s">
        <v>160</v>
      </c>
      <c r="D13" s="25"/>
      <c r="E13" s="66"/>
      <c r="F13" s="386"/>
      <c r="G13" s="379"/>
      <c r="H13" s="379"/>
    </row>
    <row r="14" spans="1:25" ht="15" customHeight="1">
      <c r="B14" s="361"/>
      <c r="C14" s="363" t="s">
        <v>161</v>
      </c>
      <c r="D14" s="25"/>
      <c r="E14" s="66"/>
      <c r="F14" s="386" t="s">
        <v>996</v>
      </c>
      <c r="G14" s="379"/>
      <c r="H14" s="379"/>
    </row>
    <row r="15" spans="1:25" ht="15" customHeight="1">
      <c r="B15" s="364"/>
      <c r="C15" s="363" t="s">
        <v>162</v>
      </c>
      <c r="D15" s="9"/>
      <c r="E15" s="328"/>
      <c r="F15" s="387" t="s">
        <v>996</v>
      </c>
      <c r="G15" s="240">
        <f>'Note PL'!F34</f>
        <v>0</v>
      </c>
      <c r="H15" s="240">
        <f>'Note PL'!G34</f>
        <v>0</v>
      </c>
      <c r="J15" s="14"/>
      <c r="K15" s="14"/>
      <c r="L15" s="14"/>
      <c r="M15" s="14"/>
      <c r="N15" s="14"/>
      <c r="O15" s="14"/>
      <c r="P15" s="192" t="e">
        <f>J15/H9</f>
        <v>#DIV/0!</v>
      </c>
      <c r="Q15" s="14"/>
      <c r="R15" s="189" t="s">
        <v>163</v>
      </c>
      <c r="T15" s="189">
        <v>1295973.1170000001</v>
      </c>
      <c r="V15" s="16"/>
    </row>
    <row r="16" spans="1:25" ht="25.5" customHeight="1">
      <c r="B16" s="364"/>
      <c r="C16" s="921" t="s">
        <v>887</v>
      </c>
      <c r="D16" s="921"/>
      <c r="E16" s="922"/>
      <c r="F16" s="388" t="s">
        <v>996</v>
      </c>
      <c r="G16" s="380">
        <f>'Note PL'!F47</f>
        <v>0</v>
      </c>
      <c r="H16" s="380">
        <f>'Note PL'!G47</f>
        <v>0</v>
      </c>
      <c r="J16" s="14"/>
      <c r="K16" s="14"/>
      <c r="L16" s="14"/>
      <c r="M16" s="14"/>
      <c r="N16" s="14"/>
      <c r="O16" s="14"/>
      <c r="X16" s="191" t="s">
        <v>164</v>
      </c>
      <c r="Y16" s="189">
        <v>4874197.76</v>
      </c>
    </row>
    <row r="17" spans="2:25" ht="15" customHeight="1">
      <c r="B17" s="364"/>
      <c r="C17" s="365" t="s">
        <v>165</v>
      </c>
      <c r="D17" s="9"/>
      <c r="E17" s="328"/>
      <c r="F17" s="387" t="s">
        <v>996</v>
      </c>
      <c r="G17" s="240">
        <f>'Note PL'!F56</f>
        <v>0</v>
      </c>
      <c r="H17" s="240">
        <f>'Note PL'!G56</f>
        <v>0</v>
      </c>
      <c r="J17" s="14"/>
      <c r="K17" s="14"/>
      <c r="L17" s="14"/>
      <c r="M17" s="14"/>
      <c r="N17" s="14"/>
      <c r="O17" s="14"/>
      <c r="R17" s="189">
        <f>3520756</f>
        <v>3520756</v>
      </c>
      <c r="S17" s="191">
        <f>G17-R17</f>
        <v>-3520756</v>
      </c>
      <c r="V17" s="16"/>
      <c r="X17" s="193" t="s">
        <v>166</v>
      </c>
      <c r="Y17" s="191">
        <f>Y16-G20</f>
        <v>4874197.76</v>
      </c>
    </row>
    <row r="18" spans="2:25" ht="15" customHeight="1">
      <c r="B18" s="364"/>
      <c r="C18" s="366" t="s">
        <v>167</v>
      </c>
      <c r="D18" s="9"/>
      <c r="E18" s="328"/>
      <c r="F18" s="387" t="s">
        <v>996</v>
      </c>
      <c r="G18" s="240">
        <f>'Note PL'!F70</f>
        <v>0</v>
      </c>
      <c r="H18" s="240">
        <f>'Note PL'!G70</f>
        <v>0</v>
      </c>
      <c r="J18" s="14"/>
      <c r="K18" s="14"/>
      <c r="L18" s="14"/>
      <c r="M18" s="14"/>
      <c r="N18" s="14"/>
      <c r="O18" s="14"/>
      <c r="S18" s="14"/>
      <c r="V18" s="16"/>
      <c r="X18" s="18"/>
      <c r="Y18" s="14"/>
    </row>
    <row r="19" spans="2:25" ht="15" customHeight="1">
      <c r="B19" s="364"/>
      <c r="C19" s="367" t="s">
        <v>168</v>
      </c>
      <c r="D19" s="9"/>
      <c r="E19" s="328"/>
      <c r="F19" s="385" t="s">
        <v>996</v>
      </c>
      <c r="G19" s="351">
        <f>FA!I22</f>
        <v>0</v>
      </c>
      <c r="H19" s="351">
        <v>0</v>
      </c>
      <c r="J19" s="14"/>
      <c r="K19" s="14"/>
      <c r="L19" s="14"/>
      <c r="M19" s="14"/>
      <c r="N19" s="14"/>
      <c r="O19" s="14"/>
      <c r="P19" s="194">
        <f>SUM(G17:G20)</f>
        <v>0</v>
      </c>
      <c r="U19" s="189">
        <v>8504233.7599999998</v>
      </c>
      <c r="V19" s="16"/>
      <c r="X19" s="189" t="s">
        <v>169</v>
      </c>
      <c r="Y19" s="189"/>
    </row>
    <row r="20" spans="2:25">
      <c r="B20" s="364"/>
      <c r="C20" s="368" t="s">
        <v>170</v>
      </c>
      <c r="D20" s="9"/>
      <c r="E20" s="328"/>
      <c r="F20" s="385" t="s">
        <v>996</v>
      </c>
      <c r="G20" s="351">
        <f>'Note PL'!F112</f>
        <v>0</v>
      </c>
      <c r="H20" s="351">
        <f>'Note PL'!G112</f>
        <v>0</v>
      </c>
      <c r="J20" s="14"/>
      <c r="K20" s="14"/>
      <c r="L20" s="14"/>
      <c r="M20" s="14"/>
      <c r="N20" s="14"/>
      <c r="O20" s="14"/>
      <c r="P20" s="194">
        <v>6724162.0099999998</v>
      </c>
      <c r="R20" s="189">
        <v>4874197.76</v>
      </c>
      <c r="S20" s="191">
        <f>G20-R20</f>
        <v>-4874197.76</v>
      </c>
      <c r="U20" s="191">
        <f>U19-G20-G19-G17</f>
        <v>8504233.7599999998</v>
      </c>
      <c r="V20" s="16"/>
      <c r="X20" s="189" t="s">
        <v>171</v>
      </c>
      <c r="Y20" s="191"/>
    </row>
    <row r="21" spans="2:25" ht="12" customHeight="1" thickBot="1">
      <c r="B21" s="361"/>
      <c r="C21" s="360" t="s">
        <v>888</v>
      </c>
      <c r="D21" s="25"/>
      <c r="E21" s="66"/>
      <c r="F21" s="386"/>
      <c r="G21" s="700">
        <f>SUM(G15:G20)</f>
        <v>0</v>
      </c>
      <c r="H21" s="700">
        <f>SUM(H15:H20)</f>
        <v>0</v>
      </c>
      <c r="K21" s="708"/>
      <c r="L21" s="708"/>
      <c r="M21" s="708"/>
      <c r="N21" s="708"/>
      <c r="O21" s="708"/>
      <c r="R21" s="189">
        <v>4821819</v>
      </c>
      <c r="S21" s="191">
        <f>G23-R21</f>
        <v>-4821819</v>
      </c>
      <c r="V21" s="20"/>
      <c r="X21" s="195" t="s">
        <v>172</v>
      </c>
      <c r="Y21" s="189">
        <v>203971.09432068269</v>
      </c>
    </row>
    <row r="22" spans="2:25" ht="9.9499999999999993" customHeight="1" thickTop="1">
      <c r="B22" s="361"/>
      <c r="C22" s="362"/>
      <c r="D22" s="25"/>
      <c r="E22" s="66"/>
      <c r="F22" s="386"/>
      <c r="G22" s="349"/>
      <c r="H22" s="349"/>
      <c r="P22" s="14"/>
      <c r="U22" s="191" t="e">
        <f>U20-#REF!</f>
        <v>#REF!</v>
      </c>
      <c r="V22" s="21"/>
      <c r="X22" s="195" t="s">
        <v>173</v>
      </c>
      <c r="Y22" s="191"/>
    </row>
    <row r="23" spans="2:25">
      <c r="B23" s="664" t="s">
        <v>174</v>
      </c>
      <c r="C23" s="369" t="s">
        <v>175</v>
      </c>
      <c r="D23" s="25"/>
      <c r="E23" s="66"/>
      <c r="F23" s="386"/>
      <c r="G23" s="240">
        <f>G11-G21</f>
        <v>0</v>
      </c>
      <c r="H23" s="240">
        <f>H11-H21</f>
        <v>0</v>
      </c>
      <c r="P23" s="191">
        <f>H23*5%</f>
        <v>0</v>
      </c>
      <c r="Q23" s="189" t="s">
        <v>176</v>
      </c>
      <c r="R23" s="189">
        <v>23178517</v>
      </c>
      <c r="S23" s="189">
        <f>S21*26%</f>
        <v>-1253672.94</v>
      </c>
      <c r="U23" s="14"/>
      <c r="V23" s="21"/>
      <c r="X23" s="16"/>
      <c r="Y23" s="14"/>
    </row>
    <row r="24" spans="2:25" ht="12" customHeight="1">
      <c r="B24" s="664"/>
      <c r="C24" s="291" t="s">
        <v>177</v>
      </c>
      <c r="D24" s="25"/>
      <c r="E24" s="66"/>
      <c r="F24" s="386"/>
      <c r="G24" s="349"/>
      <c r="H24" s="349"/>
      <c r="P24" s="14"/>
      <c r="U24" s="14"/>
      <c r="V24" s="21"/>
      <c r="X24" s="16"/>
      <c r="Y24" s="14"/>
    </row>
    <row r="25" spans="2:25">
      <c r="B25" s="664" t="s">
        <v>178</v>
      </c>
      <c r="C25" s="370" t="s">
        <v>179</v>
      </c>
      <c r="D25" s="25"/>
      <c r="E25" s="66"/>
      <c r="F25" s="386"/>
      <c r="G25" s="349"/>
      <c r="H25" s="349"/>
      <c r="I25" s="14"/>
      <c r="J25" s="20"/>
      <c r="K25" s="14"/>
      <c r="L25" s="14"/>
      <c r="M25" s="14"/>
      <c r="N25" s="14"/>
      <c r="O25" s="14"/>
      <c r="P25" s="15"/>
      <c r="S25" s="15"/>
      <c r="V25" s="22"/>
    </row>
    <row r="26" spans="2:25">
      <c r="B26" s="664" t="s">
        <v>180</v>
      </c>
      <c r="C26" s="369" t="s">
        <v>181</v>
      </c>
      <c r="D26" s="25"/>
      <c r="E26" s="66"/>
      <c r="F26" s="386"/>
      <c r="G26" s="349"/>
      <c r="H26" s="349"/>
      <c r="P26" s="14"/>
      <c r="U26" s="14"/>
      <c r="V26" s="21"/>
      <c r="X26" s="16"/>
      <c r="Y26" s="14"/>
    </row>
    <row r="27" spans="2:25">
      <c r="B27" s="664" t="s">
        <v>182</v>
      </c>
      <c r="C27" s="370" t="s">
        <v>183</v>
      </c>
      <c r="D27" s="25"/>
      <c r="E27" s="66"/>
      <c r="F27" s="386"/>
      <c r="G27" s="240">
        <v>0</v>
      </c>
      <c r="H27" s="240">
        <v>0</v>
      </c>
      <c r="I27" s="14"/>
      <c r="J27" s="20"/>
      <c r="K27" s="14"/>
      <c r="L27" s="14"/>
      <c r="M27" s="14"/>
      <c r="N27" s="14"/>
      <c r="O27" s="14"/>
      <c r="P27" s="15"/>
      <c r="S27" s="15"/>
      <c r="V27" s="22"/>
    </row>
    <row r="28" spans="2:25">
      <c r="B28" s="664" t="s">
        <v>184</v>
      </c>
      <c r="C28" s="917" t="s">
        <v>185</v>
      </c>
      <c r="D28" s="918"/>
      <c r="E28" s="919"/>
      <c r="F28" s="386"/>
      <c r="G28" s="381">
        <f>G23-G27</f>
        <v>0</v>
      </c>
      <c r="H28" s="381">
        <f>H23-H27</f>
        <v>0</v>
      </c>
      <c r="P28" s="17"/>
      <c r="R28" s="191">
        <f>G21-R23</f>
        <v>-23178517</v>
      </c>
      <c r="V28" s="18"/>
      <c r="W28" s="23"/>
      <c r="X28" s="16"/>
    </row>
    <row r="29" spans="2:25" ht="12">
      <c r="B29" s="664" t="s">
        <v>186</v>
      </c>
      <c r="C29" s="369" t="s">
        <v>187</v>
      </c>
      <c r="D29" s="25"/>
      <c r="E29" s="66"/>
      <c r="F29" s="923"/>
      <c r="G29" s="379"/>
      <c r="H29" s="379"/>
      <c r="I29" s="14"/>
      <c r="J29" s="14"/>
      <c r="K29" s="14"/>
      <c r="L29" s="14"/>
      <c r="M29" s="14"/>
      <c r="N29" s="14"/>
      <c r="O29" s="14"/>
      <c r="S29" s="189">
        <v>1247640</v>
      </c>
      <c r="T29" s="196">
        <f>G30-S29</f>
        <v>-1247640</v>
      </c>
      <c r="V29" s="18"/>
      <c r="X29" s="16"/>
    </row>
    <row r="30" spans="2:25">
      <c r="B30" s="664"/>
      <c r="C30" s="371" t="s">
        <v>188</v>
      </c>
      <c r="D30" s="25"/>
      <c r="E30" s="66"/>
      <c r="F30" s="924"/>
      <c r="G30" s="351">
        <v>0</v>
      </c>
      <c r="H30" s="351">
        <v>0</v>
      </c>
      <c r="I30" s="14"/>
      <c r="J30" s="15"/>
      <c r="K30" s="15"/>
      <c r="L30" s="15"/>
      <c r="M30" s="15"/>
      <c r="N30" s="15"/>
      <c r="O30" s="15"/>
      <c r="P30" s="197">
        <f>482100-G23</f>
        <v>482100</v>
      </c>
      <c r="U30" s="20"/>
      <c r="X30" s="14"/>
    </row>
    <row r="31" spans="2:25">
      <c r="B31" s="664"/>
      <c r="C31" s="370" t="s">
        <v>189</v>
      </c>
      <c r="D31" s="25"/>
      <c r="E31" s="66"/>
      <c r="F31" s="924"/>
      <c r="G31" s="382">
        <v>0</v>
      </c>
      <c r="H31" s="382">
        <v>0</v>
      </c>
      <c r="I31" s="14"/>
      <c r="P31" s="190">
        <f>P30*26%</f>
        <v>125346</v>
      </c>
      <c r="X31" s="16"/>
    </row>
    <row r="32" spans="2:25">
      <c r="B32" s="665" t="s">
        <v>190</v>
      </c>
      <c r="C32" s="372" t="s">
        <v>889</v>
      </c>
      <c r="D32" s="9"/>
      <c r="E32" s="328"/>
      <c r="F32" s="389"/>
      <c r="G32" s="350"/>
      <c r="H32" s="350"/>
      <c r="J32" s="18"/>
      <c r="P32" s="21"/>
      <c r="S32" s="191">
        <f>S21-T29</f>
        <v>-3574179</v>
      </c>
    </row>
    <row r="33" spans="2:22" ht="12" customHeight="1">
      <c r="B33" s="665"/>
      <c r="C33" s="291" t="s">
        <v>890</v>
      </c>
      <c r="D33" s="9"/>
      <c r="E33" s="328"/>
      <c r="F33" s="389"/>
      <c r="G33" s="350"/>
      <c r="H33" s="350"/>
      <c r="J33" s="18"/>
      <c r="P33" s="21"/>
      <c r="S33" s="14"/>
    </row>
    <row r="34" spans="2:22">
      <c r="B34" s="665" t="s">
        <v>191</v>
      </c>
      <c r="C34" s="370" t="s">
        <v>192</v>
      </c>
      <c r="D34" s="9"/>
      <c r="E34" s="328"/>
      <c r="F34" s="389"/>
      <c r="G34" s="350"/>
      <c r="H34" s="350"/>
      <c r="J34" s="18"/>
      <c r="P34" s="21"/>
      <c r="S34" s="14"/>
    </row>
    <row r="35" spans="2:22">
      <c r="B35" s="665" t="s">
        <v>193</v>
      </c>
      <c r="C35" s="370" t="s">
        <v>194</v>
      </c>
      <c r="D35" s="9"/>
      <c r="E35" s="328"/>
      <c r="F35" s="389"/>
      <c r="G35" s="350"/>
      <c r="H35" s="350"/>
      <c r="J35" s="18"/>
      <c r="P35" s="21"/>
      <c r="S35" s="14"/>
    </row>
    <row r="36" spans="2:22">
      <c r="B36" s="665" t="s">
        <v>195</v>
      </c>
      <c r="C36" s="369" t="s">
        <v>196</v>
      </c>
      <c r="D36" s="9"/>
      <c r="E36" s="328"/>
      <c r="F36" s="389"/>
      <c r="G36" s="350"/>
      <c r="H36" s="350"/>
      <c r="J36" s="18"/>
      <c r="P36" s="21"/>
      <c r="S36" s="14"/>
    </row>
    <row r="37" spans="2:22" ht="12" customHeight="1">
      <c r="B37" s="665"/>
      <c r="C37" s="369" t="s">
        <v>197</v>
      </c>
      <c r="D37" s="9"/>
      <c r="E37" s="328"/>
      <c r="F37" s="389"/>
      <c r="G37" s="350"/>
      <c r="H37" s="350"/>
      <c r="J37" s="18"/>
      <c r="P37" s="21"/>
      <c r="S37" s="14"/>
    </row>
    <row r="38" spans="2:22" ht="12" customHeight="1" thickBot="1">
      <c r="B38" s="665" t="s">
        <v>198</v>
      </c>
      <c r="C38" s="285" t="s">
        <v>199</v>
      </c>
      <c r="D38" s="8"/>
      <c r="E38" s="709"/>
      <c r="F38" s="390"/>
      <c r="G38" s="710">
        <f>G28-G30+G31</f>
        <v>0</v>
      </c>
      <c r="H38" s="710">
        <f>H28-SUM(H30:H31)</f>
        <v>0</v>
      </c>
      <c r="I38" s="14"/>
      <c r="V38" s="14"/>
    </row>
    <row r="39" spans="2:22" ht="5.0999999999999996" customHeight="1" thickTop="1">
      <c r="B39" s="373"/>
      <c r="C39" s="61"/>
      <c r="D39" s="9"/>
      <c r="E39" s="328"/>
      <c r="F39" s="390"/>
      <c r="G39" s="349"/>
      <c r="H39" s="349"/>
      <c r="J39" s="18"/>
    </row>
    <row r="40" spans="2:22">
      <c r="B40" s="364"/>
      <c r="C40" s="291" t="s">
        <v>1016</v>
      </c>
      <c r="D40" s="9"/>
      <c r="E40" s="328"/>
      <c r="F40" s="387" t="s">
        <v>996</v>
      </c>
      <c r="G40" s="349"/>
      <c r="H40" s="349"/>
    </row>
    <row r="41" spans="2:22">
      <c r="B41" s="364"/>
      <c r="C41" s="284" t="s">
        <v>200</v>
      </c>
      <c r="D41" s="9"/>
      <c r="E41" s="328"/>
      <c r="F41" s="389"/>
      <c r="G41" s="240">
        <f>IFERROR(G38/'Note BS-Liab'!G21,0)</f>
        <v>0</v>
      </c>
      <c r="H41" s="240">
        <f>IFERROR(H38/'Note BS-Liab'!H21,0)</f>
        <v>0</v>
      </c>
      <c r="I41" s="15"/>
      <c r="J41" s="15"/>
      <c r="K41" s="15"/>
      <c r="L41" s="15"/>
      <c r="M41" s="15"/>
      <c r="N41" s="15"/>
      <c r="O41" s="15"/>
      <c r="P41" s="190" t="e">
        <f>G38/BS!E12*10</f>
        <v>#DIV/0!</v>
      </c>
    </row>
    <row r="42" spans="2:22">
      <c r="B42" s="364"/>
      <c r="C42" s="284" t="s">
        <v>201</v>
      </c>
      <c r="D42" s="9"/>
      <c r="E42" s="328"/>
      <c r="F42" s="389"/>
      <c r="G42" s="349"/>
      <c r="H42" s="349"/>
      <c r="I42" s="15"/>
      <c r="J42" s="15"/>
      <c r="K42" s="15"/>
      <c r="L42" s="15"/>
      <c r="M42" s="15"/>
      <c r="N42" s="15"/>
      <c r="O42" s="15"/>
      <c r="P42" s="15"/>
    </row>
    <row r="43" spans="2:22" ht="5.0999999999999996" customHeight="1">
      <c r="B43" s="374"/>
      <c r="C43" s="375"/>
      <c r="D43" s="376"/>
      <c r="E43" s="377"/>
      <c r="F43" s="391"/>
      <c r="G43" s="383"/>
      <c r="H43" s="383"/>
    </row>
    <row r="44" spans="2:22">
      <c r="C44" s="281" t="s">
        <v>140</v>
      </c>
      <c r="D44" s="25"/>
      <c r="E44" s="278"/>
      <c r="F44" s="278"/>
      <c r="G44" s="56"/>
      <c r="H44" s="64"/>
    </row>
    <row r="45" spans="2:22" ht="5.0999999999999996" customHeight="1">
      <c r="C45" s="61"/>
      <c r="D45" s="25"/>
      <c r="E45" s="278"/>
      <c r="F45" s="278"/>
      <c r="G45" s="56"/>
      <c r="H45" s="64"/>
    </row>
    <row r="46" spans="2:22">
      <c r="C46" s="281" t="s">
        <v>141</v>
      </c>
      <c r="D46" s="25"/>
      <c r="E46" s="278"/>
      <c r="F46" s="278"/>
      <c r="G46" s="56"/>
      <c r="H46" s="64"/>
    </row>
    <row r="47" spans="2:22" ht="5.0999999999999996" customHeight="1">
      <c r="C47" s="25"/>
      <c r="D47" s="9"/>
      <c r="E47" s="61"/>
      <c r="F47" s="61"/>
      <c r="G47" s="36"/>
      <c r="H47" s="62"/>
    </row>
    <row r="48" spans="2:22" ht="12.95" customHeight="1">
      <c r="C48" s="188" t="str">
        <f>BS!B59</f>
        <v>For [STATUTORY AUDITOR NAME]</v>
      </c>
      <c r="D48" s="9"/>
      <c r="E48" s="25"/>
      <c r="F48" s="284" t="s">
        <v>142</v>
      </c>
      <c r="G48" s="36"/>
      <c r="H48" s="62"/>
    </row>
    <row r="49" spans="3:15" ht="12.95" customHeight="1">
      <c r="C49" s="284" t="s">
        <v>143</v>
      </c>
      <c r="D49" s="9"/>
      <c r="E49" s="25"/>
      <c r="F49" s="285" t="str">
        <f>B2</f>
        <v>[NAME OF THE COMPANY]</v>
      </c>
      <c r="G49" s="36"/>
      <c r="H49" s="62"/>
    </row>
    <row r="50" spans="3:15" ht="12.95" customHeight="1">
      <c r="C50" s="284" t="str">
        <f>BS!B61</f>
        <v>Firm's Registration No.: [FRN]</v>
      </c>
      <c r="D50" s="62"/>
      <c r="E50" s="61"/>
      <c r="F50" s="62"/>
      <c r="G50" s="36"/>
      <c r="H50" s="62"/>
    </row>
    <row r="51" spans="3:15">
      <c r="C51" s="61"/>
      <c r="D51" s="62"/>
      <c r="E51" s="61"/>
      <c r="F51" s="62"/>
      <c r="G51" s="36"/>
      <c r="H51" s="62"/>
    </row>
    <row r="52" spans="3:15">
      <c r="C52" s="61"/>
      <c r="D52" s="62"/>
      <c r="E52" s="61"/>
      <c r="F52" s="62"/>
      <c r="G52" s="36"/>
      <c r="H52" s="62"/>
    </row>
    <row r="53" spans="3:15">
      <c r="C53" s="9"/>
      <c r="D53" s="62"/>
      <c r="E53" s="61"/>
      <c r="F53" s="62"/>
      <c r="G53" s="36"/>
      <c r="H53" s="62"/>
    </row>
    <row r="54" spans="3:15">
      <c r="C54" s="285" t="str">
        <f>BS!B65</f>
        <v>[SIGNING PARTNER / PROPRIETOR]</v>
      </c>
      <c r="D54" s="9"/>
      <c r="E54" s="25"/>
      <c r="F54" s="288" t="str">
        <f>BS!D65</f>
        <v>[DIRECTOR NAME]</v>
      </c>
      <c r="G54" s="293"/>
      <c r="H54" s="288" t="str">
        <f>BS!F65</f>
        <v>[DIRECTOR NAME]</v>
      </c>
    </row>
    <row r="55" spans="3:15" ht="12.95" customHeight="1">
      <c r="C55" s="284" t="s">
        <v>147</v>
      </c>
      <c r="D55" s="9"/>
      <c r="E55" s="25"/>
      <c r="F55" s="284" t="s">
        <v>148</v>
      </c>
      <c r="G55" s="36"/>
      <c r="H55" s="298" t="s">
        <v>148</v>
      </c>
    </row>
    <row r="56" spans="3:15" ht="12.95" customHeight="1">
      <c r="C56" s="284" t="str">
        <f>BS!B67</f>
        <v>Membership No.: 602XXX</v>
      </c>
      <c r="D56" s="61"/>
      <c r="E56" s="25"/>
      <c r="F56" s="286" t="str">
        <f>BS!D67</f>
        <v>DIN:</v>
      </c>
      <c r="G56" s="36"/>
      <c r="H56" s="286" t="str">
        <f>BS!F67</f>
        <v>DIN:</v>
      </c>
    </row>
    <row r="57" spans="3:15" ht="12.95" customHeight="1">
      <c r="C57" s="284" t="str">
        <f>BS!B69</f>
        <v>Place: [PLACE]</v>
      </c>
      <c r="D57" s="287"/>
      <c r="E57" s="9"/>
      <c r="F57" s="286" t="str">
        <f>BS!D69</f>
        <v>Place: [PLACE]</v>
      </c>
      <c r="G57" s="299"/>
      <c r="H57" s="286" t="str">
        <f>BS!F69</f>
        <v>Place: [PLACE]</v>
      </c>
    </row>
    <row r="58" spans="3:15" ht="12.95" customHeight="1">
      <c r="C58" s="287" t="str">
        <f>BS!B70</f>
        <v>Date:</v>
      </c>
      <c r="D58" s="289"/>
      <c r="E58" s="9"/>
      <c r="F58" s="287" t="str">
        <f>BS!D70</f>
        <v>Date:</v>
      </c>
      <c r="G58" s="299"/>
      <c r="H58" s="287" t="str">
        <f>BS!F70</f>
        <v>Date:</v>
      </c>
    </row>
    <row r="59" spans="3:15" hidden="1">
      <c r="C59" s="300"/>
      <c r="D59" s="301"/>
      <c r="E59" s="300"/>
      <c r="F59" s="5"/>
      <c r="G59" s="302"/>
      <c r="H59" s="303"/>
      <c r="I59" s="5"/>
      <c r="J59" s="5"/>
      <c r="K59" s="5"/>
      <c r="L59" s="5"/>
      <c r="M59" s="5"/>
      <c r="N59" s="5"/>
      <c r="O59" s="5"/>
    </row>
    <row r="60" spans="3:15" hidden="1"/>
    <row r="61" spans="3:15" hidden="1"/>
    <row r="62" spans="3:15" hidden="1"/>
    <row r="63" spans="3:15" hidden="1"/>
    <row r="64" spans="3:15"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sheetData>
  <mergeCells count="10">
    <mergeCell ref="F29:F31"/>
    <mergeCell ref="H6:H7"/>
    <mergeCell ref="G6:G7"/>
    <mergeCell ref="G5:H5"/>
    <mergeCell ref="F6:F7"/>
    <mergeCell ref="C28:E28"/>
    <mergeCell ref="B6:E7"/>
    <mergeCell ref="B2:H2"/>
    <mergeCell ref="B4:H4"/>
    <mergeCell ref="C16:E16"/>
  </mergeCells>
  <printOptions horizontalCentered="1"/>
  <pageMargins left="0.35" right="0.35" top="0.55000000000000004" bottom="0.55000000000000004" header="0.2" footer="0.2"/>
  <pageSetup paperSize="9" fitToHeight="0" orientation="portrait" r:id="rId1"/>
  <headerFooter>
    <oddFooter>&amp;LCAFlow template&amp;RPage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V211"/>
  <sheetViews>
    <sheetView showGridLines="0" view="pageBreakPreview" zoomScaleNormal="100" zoomScaleSheetLayoutView="100" workbookViewId="0">
      <selection activeCell="L9" sqref="L9"/>
    </sheetView>
  </sheetViews>
  <sheetFormatPr defaultColWidth="9.140625" defaultRowHeight="15"/>
  <cols>
    <col min="1" max="1" width="3.42578125" style="122" customWidth="1"/>
    <col min="2" max="2" width="2.42578125" style="122" customWidth="1"/>
    <col min="3" max="3" width="19.28515625" style="122" customWidth="1"/>
    <col min="4" max="4" width="14.7109375" style="122" customWidth="1"/>
    <col min="5" max="5" width="12.7109375" style="122" customWidth="1"/>
    <col min="6" max="6" width="3.28515625" style="122" customWidth="1"/>
    <col min="7" max="7" width="9.28515625" style="122" customWidth="1"/>
    <col min="8" max="8" width="14.7109375" style="122" customWidth="1"/>
    <col min="9" max="9" width="15.42578125" style="123" customWidth="1"/>
    <col min="10" max="10" width="2.28515625" style="123" customWidth="1"/>
    <col min="11" max="11" width="13" customWidth="1"/>
    <col min="12" max="12" width="13.28515625" style="123" customWidth="1"/>
    <col min="13" max="13" width="16.5703125" style="122" customWidth="1"/>
    <col min="14" max="14" width="12.5703125" style="122" customWidth="1"/>
    <col min="15" max="15" width="11.7109375" style="122" customWidth="1"/>
    <col min="16" max="16" width="9.28515625" style="122" customWidth="1"/>
    <col min="17" max="17" width="13" customWidth="1"/>
    <col min="18" max="18" width="12.28515625" style="122" customWidth="1"/>
    <col min="19" max="19" width="9.42578125" style="122" customWidth="1"/>
    <col min="20" max="20" width="20.42578125" style="122" customWidth="1"/>
    <col min="21" max="21" width="12.7109375" style="124" customWidth="1"/>
    <col min="22" max="22" width="9.7109375" style="122" customWidth="1"/>
    <col min="23" max="23" width="9.28515625" style="122" customWidth="1"/>
    <col min="24" max="16383" width="9.140625" style="122"/>
    <col min="16384" max="16384" width="79.5703125" style="122" customWidth="1"/>
  </cols>
  <sheetData>
    <row r="1" spans="1:22" s="1" customFormat="1" ht="19.5" customHeight="1">
      <c r="A1" s="690"/>
      <c r="B1" s="925" t="s">
        <v>108</v>
      </c>
      <c r="C1" s="925"/>
      <c r="D1" s="925"/>
      <c r="E1" s="925"/>
      <c r="F1" s="925"/>
      <c r="G1" s="925"/>
      <c r="H1" s="925"/>
      <c r="I1" s="925"/>
      <c r="J1" s="26"/>
      <c r="K1" s="26"/>
      <c r="L1" s="2"/>
      <c r="Q1" s="688"/>
      <c r="U1" s="3"/>
    </row>
    <row r="2" spans="1:22" s="1" customFormat="1" ht="6" customHeight="1">
      <c r="A2" s="691"/>
      <c r="B2" s="477"/>
      <c r="C2" s="910"/>
      <c r="D2" s="910"/>
      <c r="E2" s="910"/>
      <c r="F2" s="910"/>
      <c r="G2" s="910"/>
      <c r="H2" s="910"/>
      <c r="I2" s="910"/>
      <c r="J2" s="711"/>
      <c r="K2" s="711"/>
      <c r="L2" s="711"/>
      <c r="Q2" s="688"/>
      <c r="U2" s="3"/>
    </row>
    <row r="3" spans="1:22" s="1" customFormat="1" ht="15.75" customHeight="1">
      <c r="A3" s="691"/>
      <c r="B3" s="926" t="s">
        <v>202</v>
      </c>
      <c r="C3" s="926"/>
      <c r="D3" s="926"/>
      <c r="E3" s="926"/>
      <c r="F3" s="926"/>
      <c r="G3" s="926"/>
      <c r="H3" s="926"/>
      <c r="I3" s="926"/>
      <c r="J3" s="26"/>
      <c r="K3" s="26"/>
      <c r="L3" s="2"/>
      <c r="Q3" s="688"/>
      <c r="U3" s="3"/>
    </row>
    <row r="4" spans="1:22" ht="12.6" customHeight="1">
      <c r="A4"/>
      <c r="B4" s="1"/>
      <c r="C4" s="317"/>
      <c r="D4" s="1"/>
      <c r="E4" s="1"/>
      <c r="F4" s="1"/>
      <c r="G4" s="1"/>
      <c r="H4" s="912" t="s">
        <v>883</v>
      </c>
      <c r="I4" s="913"/>
      <c r="J4" s="125"/>
      <c r="K4" s="125"/>
    </row>
    <row r="5" spans="1:22" ht="15.75" customHeight="1">
      <c r="A5"/>
      <c r="B5" s="915" t="s">
        <v>110</v>
      </c>
      <c r="C5" s="915"/>
      <c r="D5" s="915"/>
      <c r="E5" s="915"/>
      <c r="F5" s="915"/>
      <c r="G5" s="915"/>
      <c r="H5" s="914" t="s">
        <v>1009</v>
      </c>
      <c r="I5" s="914" t="s">
        <v>1009</v>
      </c>
      <c r="J5" s="127"/>
      <c r="K5" s="127"/>
      <c r="L5" s="126"/>
    </row>
    <row r="6" spans="1:22" ht="12" customHeight="1">
      <c r="A6"/>
      <c r="B6" s="915"/>
      <c r="C6" s="915"/>
      <c r="D6" s="915"/>
      <c r="E6" s="915"/>
      <c r="F6" s="915"/>
      <c r="G6" s="915"/>
      <c r="H6" s="916"/>
      <c r="I6" s="916"/>
      <c r="J6" s="127"/>
      <c r="K6" s="127"/>
    </row>
    <row r="7" spans="1:22" ht="5.0999999999999996" customHeight="1">
      <c r="B7" s="392"/>
      <c r="C7" s="393"/>
      <c r="D7" s="394"/>
      <c r="E7" s="394"/>
      <c r="F7" s="394"/>
      <c r="G7" s="395"/>
      <c r="H7" s="408"/>
      <c r="I7" s="408"/>
      <c r="J7" s="127"/>
      <c r="K7" s="127"/>
    </row>
    <row r="8" spans="1:22">
      <c r="B8" s="396" t="s">
        <v>203</v>
      </c>
      <c r="C8" s="397" t="s">
        <v>204</v>
      </c>
      <c r="D8" s="9"/>
      <c r="E8" s="1"/>
      <c r="F8" s="1"/>
      <c r="G8" s="333"/>
      <c r="H8" s="409"/>
      <c r="I8" s="409"/>
      <c r="K8" s="123"/>
    </row>
    <row r="9" spans="1:22">
      <c r="B9" s="398"/>
      <c r="C9" s="397" t="s">
        <v>205</v>
      </c>
      <c r="D9" s="1"/>
      <c r="E9" s="1"/>
      <c r="F9" s="1"/>
      <c r="G9" s="333"/>
      <c r="H9" s="410">
        <f>PL!G23</f>
        <v>0</v>
      </c>
      <c r="I9" s="410">
        <f>PL!H23</f>
        <v>0</v>
      </c>
      <c r="J9" s="124"/>
      <c r="K9" s="124"/>
      <c r="L9" s="124"/>
      <c r="M9" s="128"/>
      <c r="N9" s="128"/>
    </row>
    <row r="10" spans="1:22">
      <c r="B10" s="398"/>
      <c r="C10" s="399" t="s">
        <v>206</v>
      </c>
      <c r="D10" s="1"/>
      <c r="E10" s="1"/>
      <c r="F10" s="1"/>
      <c r="G10" s="333"/>
      <c r="H10" s="409"/>
      <c r="I10" s="409"/>
      <c r="J10" s="124"/>
      <c r="K10" s="124"/>
      <c r="L10" s="124"/>
      <c r="M10" s="128"/>
      <c r="N10" s="198"/>
      <c r="O10" s="198"/>
      <c r="V10" s="129"/>
    </row>
    <row r="11" spans="1:22">
      <c r="B11" s="398"/>
      <c r="C11" s="314" t="s">
        <v>207</v>
      </c>
      <c r="D11" s="1"/>
      <c r="E11" s="1"/>
      <c r="F11" s="1"/>
      <c r="G11" s="333"/>
      <c r="H11" s="380">
        <f>PL!G19</f>
        <v>0</v>
      </c>
      <c r="I11" s="380">
        <f>PL!H19</f>
        <v>0</v>
      </c>
      <c r="J11" s="124"/>
      <c r="K11" s="124"/>
      <c r="L11" s="124"/>
      <c r="M11" s="199"/>
      <c r="N11" s="200"/>
      <c r="O11" s="200"/>
    </row>
    <row r="12" spans="1:22">
      <c r="B12" s="398"/>
      <c r="C12" s="400" t="s">
        <v>341</v>
      </c>
      <c r="D12" s="1"/>
      <c r="E12" s="1"/>
      <c r="F12" s="1"/>
      <c r="G12" s="333"/>
      <c r="H12" s="380"/>
      <c r="I12" s="380"/>
      <c r="J12" s="124"/>
      <c r="K12" s="124"/>
      <c r="L12" s="124"/>
      <c r="M12" s="199"/>
      <c r="N12" s="200"/>
      <c r="O12" s="200"/>
    </row>
    <row r="13" spans="1:22">
      <c r="B13" s="398"/>
      <c r="C13" s="314" t="s">
        <v>893</v>
      </c>
      <c r="D13" s="1"/>
      <c r="E13" s="1"/>
      <c r="F13" s="1"/>
      <c r="G13" s="333"/>
      <c r="H13" s="380"/>
      <c r="I13" s="380"/>
      <c r="J13" s="124"/>
      <c r="K13" s="124"/>
      <c r="L13" s="124"/>
      <c r="M13" s="199"/>
      <c r="N13" s="200"/>
      <c r="O13" s="200"/>
    </row>
    <row r="14" spans="1:22">
      <c r="B14" s="398"/>
      <c r="C14" s="314" t="s">
        <v>894</v>
      </c>
      <c r="D14" s="1"/>
      <c r="E14" s="1"/>
      <c r="F14" s="1"/>
      <c r="G14" s="333"/>
      <c r="H14" s="380"/>
      <c r="I14" s="380"/>
      <c r="J14" s="124"/>
      <c r="K14" s="124"/>
      <c r="L14" s="124"/>
      <c r="M14" s="199"/>
      <c r="N14" s="200"/>
      <c r="O14" s="200"/>
    </row>
    <row r="15" spans="1:22" ht="3" customHeight="1">
      <c r="B15" s="398"/>
      <c r="C15" s="1"/>
      <c r="D15" s="1"/>
      <c r="E15" s="1"/>
      <c r="F15" s="1"/>
      <c r="G15" s="333"/>
      <c r="H15" s="409"/>
      <c r="I15" s="409"/>
      <c r="J15" s="124"/>
      <c r="K15" s="124"/>
      <c r="L15" s="124"/>
      <c r="M15" s="199"/>
      <c r="N15" s="200"/>
      <c r="O15" s="200"/>
      <c r="U15" s="122"/>
    </row>
    <row r="16" spans="1:22">
      <c r="B16" s="398"/>
      <c r="C16" s="319" t="s">
        <v>208</v>
      </c>
      <c r="D16" s="1"/>
      <c r="E16" s="1"/>
      <c r="F16" s="1"/>
      <c r="G16" s="333"/>
      <c r="H16" s="411">
        <f>SUM(H9:H14)</f>
        <v>0</v>
      </c>
      <c r="I16" s="411">
        <f>SUM(I9:I14)</f>
        <v>0</v>
      </c>
      <c r="J16" s="131"/>
      <c r="K16" s="131"/>
      <c r="L16" s="131"/>
      <c r="M16" s="199"/>
      <c r="N16" s="200"/>
      <c r="O16" s="200"/>
    </row>
    <row r="17" spans="2:22" ht="14.25" customHeight="1">
      <c r="B17" s="398"/>
      <c r="C17" s="401" t="s">
        <v>891</v>
      </c>
      <c r="D17" s="1"/>
      <c r="E17" s="1"/>
      <c r="F17" s="1"/>
      <c r="G17" s="333"/>
      <c r="H17" s="409"/>
      <c r="I17" s="409"/>
      <c r="J17" s="124"/>
      <c r="K17" s="124"/>
      <c r="L17" s="124"/>
      <c r="M17" s="199"/>
      <c r="N17" s="200"/>
      <c r="O17" s="200"/>
      <c r="U17" s="122"/>
    </row>
    <row r="18" spans="2:22">
      <c r="B18" s="398"/>
      <c r="C18" s="400" t="s">
        <v>360</v>
      </c>
      <c r="D18" s="1"/>
      <c r="E18" s="1"/>
      <c r="F18" s="1"/>
      <c r="G18" s="333"/>
      <c r="H18" s="380">
        <f>+'Note BS-Liab'!G75-'Note BS-Liab'!H75</f>
        <v>0</v>
      </c>
      <c r="I18" s="380">
        <v>0</v>
      </c>
      <c r="J18" s="124"/>
      <c r="K18" s="124"/>
      <c r="L18" s="124"/>
      <c r="M18" s="199"/>
      <c r="N18" s="200"/>
      <c r="O18" s="200"/>
      <c r="V18" s="128"/>
    </row>
    <row r="19" spans="2:22">
      <c r="B19" s="398"/>
      <c r="C19" s="402" t="s">
        <v>279</v>
      </c>
      <c r="D19" s="1"/>
      <c r="E19" s="1"/>
      <c r="F19" s="1"/>
      <c r="G19" s="333"/>
      <c r="H19" s="380">
        <f>SUM('Note BS-Liab'!G140:G143)-SUM('Note BS-Liab'!H140:H143)</f>
        <v>0</v>
      </c>
      <c r="I19" s="412">
        <v>0</v>
      </c>
      <c r="J19" s="124"/>
      <c r="K19" s="124"/>
      <c r="L19" s="124"/>
      <c r="N19" s="130"/>
      <c r="O19" s="130"/>
    </row>
    <row r="20" spans="2:22">
      <c r="B20" s="398"/>
      <c r="C20" s="400" t="s">
        <v>313</v>
      </c>
      <c r="D20" s="1"/>
      <c r="E20" s="1"/>
      <c r="F20" s="1"/>
      <c r="G20" s="333"/>
      <c r="H20" s="380">
        <f>BS!F47-BS!E47</f>
        <v>0</v>
      </c>
      <c r="I20" s="380">
        <v>0</v>
      </c>
      <c r="J20" s="124"/>
      <c r="K20" s="124"/>
      <c r="L20" s="124"/>
      <c r="N20" s="130"/>
      <c r="O20" s="130"/>
    </row>
    <row r="21" spans="2:22">
      <c r="B21" s="398"/>
      <c r="C21" s="400" t="s">
        <v>361</v>
      </c>
      <c r="D21" s="1"/>
      <c r="E21" s="1"/>
      <c r="F21" s="1"/>
      <c r="G21" s="333"/>
      <c r="H21" s="380">
        <f>BS!F48-BS!E48</f>
        <v>0</v>
      </c>
      <c r="I21" s="380">
        <v>0</v>
      </c>
      <c r="J21" s="124"/>
      <c r="K21" s="124"/>
      <c r="L21" s="124"/>
      <c r="N21" s="130"/>
      <c r="O21" s="130"/>
    </row>
    <row r="22" spans="2:22">
      <c r="B22" s="398"/>
      <c r="C22" s="400" t="s">
        <v>895</v>
      </c>
      <c r="D22" s="1"/>
      <c r="E22" s="1"/>
      <c r="F22" s="1"/>
      <c r="G22" s="333"/>
      <c r="H22" s="380"/>
      <c r="I22" s="380"/>
      <c r="J22" s="124"/>
      <c r="K22" s="124"/>
      <c r="L22" s="124"/>
      <c r="N22" s="130"/>
      <c r="O22" s="130"/>
    </row>
    <row r="23" spans="2:22">
      <c r="B23" s="398"/>
      <c r="C23" s="403" t="s">
        <v>334</v>
      </c>
      <c r="D23" s="1"/>
      <c r="E23" s="1"/>
      <c r="F23" s="1"/>
      <c r="G23" s="333"/>
      <c r="H23" s="412">
        <f>'Note BS-Asset'!H97-'Note BS-Asset'!G97+'Note BS-Asset'!H35-'Note BS-Asset'!G35</f>
        <v>0</v>
      </c>
      <c r="I23" s="412">
        <v>0</v>
      </c>
      <c r="J23" s="124"/>
      <c r="K23" s="124"/>
      <c r="L23" s="124"/>
      <c r="N23" s="130"/>
      <c r="O23" s="130"/>
    </row>
    <row r="24" spans="2:22">
      <c r="B24" s="398"/>
      <c r="C24" s="319" t="s">
        <v>209</v>
      </c>
      <c r="D24" s="1"/>
      <c r="E24" s="1"/>
      <c r="F24" s="1"/>
      <c r="G24" s="333"/>
      <c r="H24" s="411">
        <f>SUM(H16:H23)</f>
        <v>0</v>
      </c>
      <c r="I24" s="411">
        <f>SUM(I16:I23)</f>
        <v>0</v>
      </c>
      <c r="J24" s="132"/>
      <c r="K24" s="132"/>
      <c r="L24" s="132"/>
      <c r="M24" s="199"/>
      <c r="N24" s="200"/>
      <c r="O24" s="200"/>
    </row>
    <row r="25" spans="2:22">
      <c r="B25" s="398"/>
      <c r="C25" s="402" t="s">
        <v>210</v>
      </c>
      <c r="D25" s="1"/>
      <c r="E25" s="1"/>
      <c r="F25" s="1"/>
      <c r="G25" s="333"/>
      <c r="H25" s="412">
        <v>0</v>
      </c>
      <c r="I25" s="412">
        <v>0</v>
      </c>
      <c r="J25" s="124"/>
      <c r="K25" s="124"/>
      <c r="L25" s="124"/>
      <c r="M25" s="128"/>
      <c r="O25" s="124"/>
      <c r="R25" s="128"/>
      <c r="S25" s="128"/>
    </row>
    <row r="26" spans="2:22">
      <c r="B26" s="398"/>
      <c r="C26" s="319" t="s">
        <v>211</v>
      </c>
      <c r="D26" s="1"/>
      <c r="E26" s="1"/>
      <c r="F26" s="1"/>
      <c r="G26" s="333"/>
      <c r="H26" s="413">
        <f>H24+H25</f>
        <v>0</v>
      </c>
      <c r="I26" s="413">
        <f>I24+I25</f>
        <v>0</v>
      </c>
      <c r="J26" s="131"/>
      <c r="K26" s="131"/>
      <c r="L26" s="131"/>
      <c r="M26" s="132"/>
      <c r="N26" s="132"/>
      <c r="R26" s="128"/>
    </row>
    <row r="27" spans="2:22" ht="5.0999999999999996" customHeight="1">
      <c r="B27" s="398"/>
      <c r="C27" s="1"/>
      <c r="D27" s="1"/>
      <c r="E27" s="1"/>
      <c r="F27" s="1"/>
      <c r="G27" s="333"/>
      <c r="H27" s="409"/>
      <c r="I27" s="409"/>
      <c r="J27" s="124"/>
      <c r="K27" s="124"/>
      <c r="L27" s="124"/>
    </row>
    <row r="28" spans="2:22">
      <c r="B28" s="396" t="s">
        <v>212</v>
      </c>
      <c r="C28" s="397" t="s">
        <v>213</v>
      </c>
      <c r="D28" s="1"/>
      <c r="E28" s="1"/>
      <c r="F28" s="1"/>
      <c r="G28" s="333"/>
      <c r="H28" s="409"/>
      <c r="I28" s="409"/>
      <c r="J28" s="124"/>
      <c r="K28" s="124"/>
      <c r="L28" s="124"/>
    </row>
    <row r="29" spans="2:22">
      <c r="B29" s="398"/>
      <c r="C29" s="314" t="s">
        <v>214</v>
      </c>
      <c r="D29" s="1"/>
      <c r="E29" s="1"/>
      <c r="F29" s="1"/>
      <c r="G29" s="333"/>
      <c r="H29" s="380">
        <f>-FA!E22</f>
        <v>0</v>
      </c>
      <c r="I29" s="380">
        <v>0</v>
      </c>
      <c r="J29" s="124"/>
      <c r="K29" s="124"/>
      <c r="L29" s="124"/>
      <c r="M29" s="128"/>
      <c r="N29" s="128"/>
    </row>
    <row r="30" spans="2:22">
      <c r="B30" s="398"/>
      <c r="C30" s="314" t="s">
        <v>892</v>
      </c>
      <c r="D30" s="1"/>
      <c r="E30" s="1"/>
      <c r="F30" s="1"/>
      <c r="G30" s="333"/>
      <c r="H30" s="380"/>
      <c r="I30" s="380"/>
      <c r="J30" s="124"/>
      <c r="K30" s="124"/>
      <c r="L30" s="124"/>
      <c r="M30" s="128"/>
      <c r="N30" s="128"/>
    </row>
    <row r="31" spans="2:22">
      <c r="B31" s="398"/>
      <c r="C31" s="319" t="s">
        <v>215</v>
      </c>
      <c r="D31" s="1"/>
      <c r="E31" s="1"/>
      <c r="F31" s="1"/>
      <c r="G31" s="333"/>
      <c r="H31" s="413">
        <f>SUM(H29:H30)</f>
        <v>0</v>
      </c>
      <c r="I31" s="413">
        <f>SUM(I29:I30)</f>
        <v>0</v>
      </c>
      <c r="J31" s="131"/>
      <c r="K31" s="131"/>
      <c r="L31" s="131"/>
      <c r="M31" s="132"/>
      <c r="N31" s="132"/>
    </row>
    <row r="32" spans="2:22" ht="5.0999999999999996" customHeight="1">
      <c r="B32" s="398"/>
      <c r="C32" s="1"/>
      <c r="D32" s="1"/>
      <c r="E32" s="1"/>
      <c r="F32" s="1"/>
      <c r="G32" s="333"/>
      <c r="H32" s="409"/>
      <c r="I32" s="409"/>
      <c r="J32" s="124"/>
      <c r="K32" s="124"/>
      <c r="L32" s="124"/>
    </row>
    <row r="33" spans="2:14">
      <c r="B33" s="396" t="s">
        <v>216</v>
      </c>
      <c r="C33" s="397" t="s">
        <v>217</v>
      </c>
      <c r="D33" s="1"/>
      <c r="E33" s="1"/>
      <c r="F33" s="1"/>
      <c r="G33" s="333"/>
      <c r="H33" s="409"/>
      <c r="I33" s="409"/>
      <c r="J33" s="124"/>
      <c r="K33" s="124"/>
      <c r="L33" s="124"/>
    </row>
    <row r="34" spans="2:14">
      <c r="B34" s="398"/>
      <c r="C34" s="314" t="s">
        <v>896</v>
      </c>
      <c r="D34" s="1"/>
      <c r="E34" s="1"/>
      <c r="F34" s="1"/>
      <c r="G34" s="333"/>
      <c r="H34" s="380">
        <v>0</v>
      </c>
      <c r="I34" s="380">
        <v>0</v>
      </c>
      <c r="J34" s="124"/>
      <c r="K34" s="124"/>
      <c r="L34" s="124"/>
    </row>
    <row r="35" spans="2:14">
      <c r="B35" s="398"/>
      <c r="C35" s="314" t="s">
        <v>897</v>
      </c>
      <c r="D35" s="1"/>
      <c r="E35" s="1"/>
      <c r="F35" s="1"/>
      <c r="G35" s="333"/>
      <c r="H35" s="380"/>
      <c r="I35" s="380"/>
      <c r="J35" s="124"/>
      <c r="K35" s="124"/>
      <c r="L35" s="124"/>
    </row>
    <row r="36" spans="2:14">
      <c r="B36" s="398"/>
      <c r="C36" s="314" t="s">
        <v>898</v>
      </c>
      <c r="D36" s="1"/>
      <c r="E36" s="1"/>
      <c r="F36" s="1"/>
      <c r="G36" s="333"/>
      <c r="H36" s="380"/>
      <c r="I36" s="380"/>
      <c r="J36" s="124"/>
      <c r="K36" s="124"/>
      <c r="L36" s="124"/>
    </row>
    <row r="37" spans="2:14">
      <c r="B37" s="398"/>
      <c r="C37" s="314" t="s">
        <v>899</v>
      </c>
      <c r="D37" s="1"/>
      <c r="E37" s="1"/>
      <c r="F37" s="1"/>
      <c r="G37" s="333"/>
      <c r="H37" s="380"/>
      <c r="I37" s="380"/>
      <c r="J37" s="124"/>
      <c r="K37" s="124"/>
      <c r="L37" s="124"/>
    </row>
    <row r="38" spans="2:14">
      <c r="B38" s="398"/>
      <c r="C38" s="319" t="s">
        <v>218</v>
      </c>
      <c r="D38" s="1"/>
      <c r="E38" s="1"/>
      <c r="F38" s="1"/>
      <c r="G38" s="333"/>
      <c r="H38" s="413">
        <f>SUM(H34:H37)</f>
        <v>0</v>
      </c>
      <c r="I38" s="413">
        <f>SUM(I34:I37)</f>
        <v>0</v>
      </c>
      <c r="J38" s="132"/>
      <c r="K38" s="132"/>
      <c r="L38" s="132"/>
    </row>
    <row r="39" spans="2:14" ht="5.0999999999999996" customHeight="1">
      <c r="B39" s="398"/>
      <c r="C39" s="1"/>
      <c r="D39" s="1"/>
      <c r="E39" s="1"/>
      <c r="F39" s="1"/>
      <c r="G39" s="333"/>
      <c r="H39" s="409"/>
      <c r="I39" s="409"/>
      <c r="J39" s="124"/>
      <c r="K39" s="124"/>
      <c r="L39" s="124"/>
    </row>
    <row r="40" spans="2:14">
      <c r="B40" s="398"/>
      <c r="C40" s="319" t="s">
        <v>219</v>
      </c>
      <c r="D40" s="1"/>
      <c r="E40" s="1"/>
      <c r="F40" s="1"/>
      <c r="G40" s="333"/>
      <c r="H40" s="380">
        <f>H26+H31+H38</f>
        <v>0</v>
      </c>
      <c r="I40" s="380">
        <f>I26+I31+I38</f>
        <v>0</v>
      </c>
      <c r="J40" s="124"/>
      <c r="K40" s="124"/>
      <c r="L40" s="124"/>
      <c r="M40" s="132"/>
      <c r="N40" s="132"/>
    </row>
    <row r="41" spans="2:14">
      <c r="B41" s="398"/>
      <c r="C41" s="318" t="s">
        <v>220</v>
      </c>
      <c r="D41" s="1"/>
      <c r="E41" s="1"/>
      <c r="F41" s="1"/>
      <c r="G41" s="333"/>
      <c r="H41" s="380">
        <f>I42</f>
        <v>0</v>
      </c>
      <c r="I41" s="380">
        <v>0</v>
      </c>
      <c r="J41" s="124"/>
      <c r="K41" s="124"/>
      <c r="L41" s="124"/>
      <c r="M41" s="133"/>
      <c r="N41" s="123"/>
    </row>
    <row r="42" spans="2:14">
      <c r="B42" s="398"/>
      <c r="C42" s="319" t="s">
        <v>221</v>
      </c>
      <c r="D42" s="1"/>
      <c r="E42" s="1"/>
      <c r="F42" s="1"/>
      <c r="G42" s="333"/>
      <c r="H42" s="413">
        <f>SUM(H40:H41)</f>
        <v>0</v>
      </c>
      <c r="I42" s="413">
        <f>SUM(I40:I41)</f>
        <v>0</v>
      </c>
      <c r="J42" s="131"/>
      <c r="K42" s="131"/>
      <c r="L42" s="131"/>
      <c r="M42" s="133"/>
      <c r="N42" s="133"/>
    </row>
    <row r="43" spans="2:14" ht="5.0999999999999996" customHeight="1">
      <c r="B43" s="404"/>
      <c r="C43" s="405"/>
      <c r="D43" s="406"/>
      <c r="E43" s="406"/>
      <c r="F43" s="406"/>
      <c r="G43" s="407"/>
      <c r="H43" s="414"/>
      <c r="I43" s="414"/>
      <c r="J43" s="124"/>
      <c r="K43" s="124"/>
      <c r="L43" s="124"/>
      <c r="M43" s="123"/>
      <c r="N43" s="123"/>
    </row>
    <row r="44" spans="2:14" ht="5.0999999999999996" customHeight="1">
      <c r="B44" s="1"/>
      <c r="C44" s="306"/>
      <c r="D44" s="1"/>
      <c r="E44" s="1"/>
      <c r="F44" s="1"/>
      <c r="G44" s="1"/>
      <c r="H44" s="307"/>
      <c r="I44" s="3"/>
      <c r="J44" s="124"/>
      <c r="K44" s="124"/>
      <c r="L44" s="124"/>
    </row>
    <row r="45" spans="2:14">
      <c r="B45" s="308"/>
      <c r="C45" s="319" t="s">
        <v>222</v>
      </c>
      <c r="D45" s="1"/>
      <c r="E45" s="1"/>
      <c r="F45" s="1"/>
      <c r="G45" s="1"/>
      <c r="H45" s="1"/>
      <c r="I45" s="3"/>
      <c r="J45" s="124"/>
      <c r="K45" s="124"/>
      <c r="L45" s="124"/>
      <c r="M45" s="128"/>
    </row>
    <row r="46" spans="2:14" ht="24" customHeight="1">
      <c r="B46" s="9"/>
      <c r="C46" s="927" t="s">
        <v>223</v>
      </c>
      <c r="D46" s="928"/>
      <c r="E46" s="928"/>
      <c r="F46" s="928"/>
      <c r="G46" s="928"/>
      <c r="H46" s="928"/>
      <c r="I46" s="929"/>
      <c r="J46" s="134"/>
      <c r="K46" s="134"/>
      <c r="L46" s="135"/>
      <c r="M46" s="136"/>
      <c r="N46" s="136"/>
    </row>
    <row r="47" spans="2:14">
      <c r="B47" s="1"/>
      <c r="C47" s="314" t="s">
        <v>224</v>
      </c>
      <c r="D47" s="1"/>
      <c r="E47" s="1"/>
      <c r="F47" s="1"/>
      <c r="G47" s="1"/>
      <c r="H47" s="1"/>
      <c r="I47" s="2"/>
    </row>
    <row r="48" spans="2:14" ht="5.0999999999999996" customHeight="1">
      <c r="B48" s="1"/>
      <c r="C48" s="1"/>
      <c r="D48" s="1"/>
      <c r="E48" s="1"/>
      <c r="F48" s="1"/>
      <c r="G48" s="1"/>
      <c r="H48" s="1"/>
      <c r="I48" s="2"/>
    </row>
    <row r="49" spans="2:12">
      <c r="B49" s="1"/>
      <c r="C49" s="318" t="s">
        <v>225</v>
      </c>
      <c r="D49" s="1"/>
      <c r="E49" s="1"/>
      <c r="F49" s="1"/>
      <c r="G49" s="1"/>
      <c r="H49" s="1"/>
      <c r="I49" s="2"/>
    </row>
    <row r="50" spans="2:12" ht="5.0999999999999996" customHeight="1">
      <c r="B50" s="1"/>
      <c r="C50" s="1"/>
      <c r="D50" s="1"/>
      <c r="E50" s="1"/>
      <c r="F50" s="1"/>
      <c r="G50" s="1"/>
      <c r="H50" s="1"/>
      <c r="I50" s="2"/>
    </row>
    <row r="51" spans="2:12">
      <c r="B51" s="1"/>
      <c r="C51" s="188" t="str">
        <f>BS!B59</f>
        <v>For [STATUTORY AUDITOR NAME]</v>
      </c>
      <c r="D51" s="1"/>
      <c r="E51" s="1"/>
      <c r="F51" s="1"/>
      <c r="G51" s="320" t="s">
        <v>142</v>
      </c>
      <c r="H51" s="1"/>
      <c r="I51" s="2"/>
    </row>
    <row r="52" spans="2:12">
      <c r="B52" s="1"/>
      <c r="C52" s="309" t="s">
        <v>143</v>
      </c>
      <c r="D52" s="1"/>
      <c r="E52" s="1"/>
      <c r="F52" s="1"/>
      <c r="G52" s="201" t="str">
        <f>BS!D60</f>
        <v>[NAME OF THE COMPANY]</v>
      </c>
      <c r="H52" s="1"/>
      <c r="I52" s="2"/>
    </row>
    <row r="53" spans="2:12">
      <c r="B53" s="1"/>
      <c r="C53" s="309" t="str">
        <f>BS!B61</f>
        <v>Firm's Registration No.: [FRN]</v>
      </c>
      <c r="D53" s="5"/>
      <c r="E53" s="5"/>
      <c r="F53" s="5"/>
      <c r="G53" s="5"/>
      <c r="H53" s="1"/>
      <c r="I53" s="2"/>
    </row>
    <row r="54" spans="2:12">
      <c r="B54" s="1"/>
      <c r="C54" s="5"/>
      <c r="D54" s="5"/>
      <c r="E54" s="5"/>
      <c r="F54" s="5"/>
      <c r="G54" s="5"/>
      <c r="H54" s="1"/>
      <c r="I54" s="2"/>
    </row>
    <row r="55" spans="2:12">
      <c r="B55" s="1"/>
      <c r="C55" s="5"/>
      <c r="D55" s="5"/>
      <c r="E55" s="5"/>
      <c r="F55" s="5"/>
      <c r="G55" s="5"/>
      <c r="H55" s="1"/>
      <c r="I55" s="2"/>
    </row>
    <row r="56" spans="2:12">
      <c r="B56" s="1"/>
      <c r="C56" s="309" t="str">
        <f>BS!B65</f>
        <v>[SIGNING PARTNER / PROPRIETOR]</v>
      </c>
      <c r="D56" s="1"/>
      <c r="E56" s="1"/>
      <c r="F56" s="1"/>
      <c r="G56" s="310" t="str">
        <f>BS!D65</f>
        <v>[DIRECTOR NAME]</v>
      </c>
      <c r="H56" s="311"/>
      <c r="I56" s="310" t="str">
        <f>BS!F65</f>
        <v>[DIRECTOR NAME]</v>
      </c>
      <c r="J56" s="137"/>
      <c r="K56" s="137"/>
      <c r="L56" s="137"/>
    </row>
    <row r="57" spans="2:12">
      <c r="B57" s="1"/>
      <c r="C57" s="309" t="s">
        <v>147</v>
      </c>
      <c r="D57" s="1"/>
      <c r="E57" s="1"/>
      <c r="F57" s="1"/>
      <c r="G57" s="309" t="s">
        <v>148</v>
      </c>
      <c r="H57" s="312"/>
      <c r="I57" s="313" t="s">
        <v>148</v>
      </c>
      <c r="J57" s="138"/>
      <c r="K57" s="138"/>
      <c r="L57" s="138"/>
    </row>
    <row r="58" spans="2:12">
      <c r="B58" s="1"/>
      <c r="C58" s="314" t="str">
        <f>BS!B67</f>
        <v>Membership No.: 602XXX</v>
      </c>
      <c r="D58" s="1"/>
      <c r="E58" s="1"/>
      <c r="F58" s="1"/>
      <c r="G58" s="314" t="str">
        <f>BS!D67</f>
        <v>DIN:</v>
      </c>
      <c r="H58" s="5"/>
      <c r="I58" s="314" t="str">
        <f>BS!F67</f>
        <v>DIN:</v>
      </c>
      <c r="J58" s="122"/>
      <c r="K58" s="122"/>
      <c r="L58" s="122"/>
    </row>
    <row r="59" spans="2:12">
      <c r="B59" s="1"/>
      <c r="C59" s="321" t="str">
        <f>BS!B69</f>
        <v>Place: [PLACE]</v>
      </c>
      <c r="D59" s="315"/>
      <c r="E59" s="1"/>
      <c r="F59" s="1"/>
      <c r="G59" s="321" t="str">
        <f>BS!D69</f>
        <v>Place: [PLACE]</v>
      </c>
      <c r="H59" s="307"/>
      <c r="I59" s="321" t="str">
        <f>BS!F69</f>
        <v>Place: [PLACE]</v>
      </c>
      <c r="J59" s="139"/>
      <c r="K59" s="139"/>
      <c r="L59" s="139"/>
    </row>
    <row r="60" spans="2:12">
      <c r="B60" s="1"/>
      <c r="C60" s="321" t="str">
        <f>BS!B70</f>
        <v>Date:</v>
      </c>
      <c r="D60" s="316"/>
      <c r="E60" s="1"/>
      <c r="F60" s="1"/>
      <c r="G60" s="321" t="str">
        <f>BS!D70</f>
        <v>Date:</v>
      </c>
      <c r="H60" s="1"/>
      <c r="I60" s="321" t="str">
        <f>BS!F70</f>
        <v>Date:</v>
      </c>
      <c r="J60" s="139"/>
      <c r="K60" s="139"/>
      <c r="L60" s="139"/>
    </row>
    <row r="61" spans="2:12" hidden="1"/>
    <row r="62" spans="2:12" hidden="1"/>
    <row r="63" spans="2:12" hidden="1"/>
    <row r="64" spans="2:12"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sheetData>
  <mergeCells count="8">
    <mergeCell ref="B1:I1"/>
    <mergeCell ref="B3:I3"/>
    <mergeCell ref="C46:I46"/>
    <mergeCell ref="C2:I2"/>
    <mergeCell ref="I5:I6"/>
    <mergeCell ref="H5:H6"/>
    <mergeCell ref="B5:G6"/>
    <mergeCell ref="H4:I4"/>
  </mergeCells>
  <printOptions horizontalCentered="1"/>
  <pageMargins left="0.35" right="0.35" top="0.55000000000000004" bottom="0.55000000000000004" header="0.2" footer="0.2"/>
  <pageSetup paperSize="9" fitToHeight="0" orientation="portrait" r:id="rId1"/>
  <headerFooter>
    <oddFooter>&amp;LCAFlow template&amp;RPage &amp;P of &amp;N</oddFoot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R163"/>
  <sheetViews>
    <sheetView showGridLines="0" view="pageBreakPreview" topLeftCell="A155" zoomScale="120" zoomScaleNormal="100" zoomScaleSheetLayoutView="120" workbookViewId="0">
      <selection activeCell="J10" sqref="J10"/>
    </sheetView>
  </sheetViews>
  <sheetFormatPr defaultColWidth="9.28515625" defaultRowHeight="12"/>
  <cols>
    <col min="1" max="1" width="4.5703125" style="141" customWidth="1"/>
    <col min="2" max="2" width="30.28515625" style="13" customWidth="1"/>
    <col min="3" max="3" width="8.7109375" style="13" customWidth="1"/>
    <col min="4" max="4" width="9.28515625" style="13" customWidth="1"/>
    <col min="5" max="5" width="11.7109375" style="13" customWidth="1"/>
    <col min="6" max="6" width="10.7109375" style="13" customWidth="1"/>
    <col min="7" max="7" width="11.28515625" style="20" customWidth="1"/>
    <col min="8" max="8" width="11.42578125" style="13" customWidth="1"/>
    <col min="9" max="9" width="12.28515625" style="13" bestFit="1" customWidth="1"/>
    <col min="10" max="10" width="11.5703125" style="13" customWidth="1"/>
    <col min="11" max="11" width="11" style="13" bestFit="1" customWidth="1"/>
    <col min="12" max="12" width="9.28515625" style="13" customWidth="1"/>
    <col min="13" max="13" width="10" style="13" bestFit="1" customWidth="1"/>
    <col min="14" max="14" width="13.28515625" style="13" bestFit="1" customWidth="1"/>
    <col min="15" max="15" width="9.28515625" style="13" customWidth="1"/>
    <col min="16" max="16384" width="9.28515625" style="13"/>
  </cols>
  <sheetData>
    <row r="1" spans="1:12">
      <c r="B1" s="30"/>
      <c r="C1" s="30"/>
      <c r="D1" s="30"/>
      <c r="E1" s="30"/>
      <c r="F1" s="30"/>
      <c r="G1" s="30"/>
    </row>
    <row r="2" spans="1:12" ht="15.75">
      <c r="A2" s="953" t="s">
        <v>108</v>
      </c>
      <c r="B2" s="954"/>
      <c r="C2" s="954"/>
      <c r="D2" s="954"/>
      <c r="E2" s="954"/>
      <c r="F2" s="954"/>
      <c r="G2" s="955"/>
      <c r="H2" s="954"/>
    </row>
    <row r="3" spans="1:12">
      <c r="A3" s="956"/>
      <c r="B3" s="918"/>
      <c r="C3" s="918"/>
      <c r="D3" s="918"/>
      <c r="E3" s="918"/>
      <c r="F3" s="918"/>
      <c r="G3" s="931"/>
      <c r="H3" s="27"/>
    </row>
    <row r="4" spans="1:12" ht="15">
      <c r="A4" s="970" t="s">
        <v>1013</v>
      </c>
      <c r="B4" s="971"/>
      <c r="C4" s="971"/>
      <c r="D4" s="971"/>
      <c r="E4" s="971"/>
      <c r="F4" s="971"/>
      <c r="G4" s="972"/>
      <c r="H4" s="971"/>
      <c r="I4"/>
      <c r="J4"/>
      <c r="K4"/>
      <c r="L4"/>
    </row>
    <row r="5" spans="1:12" ht="15" customHeight="1">
      <c r="A5" s="477" t="str">
        <f>+BS!D12</f>
        <v>AUTO</v>
      </c>
      <c r="B5" s="206" t="s">
        <v>227</v>
      </c>
      <c r="C5" s="30"/>
      <c r="D5" s="30"/>
      <c r="E5" s="30"/>
      <c r="F5" s="30"/>
      <c r="G5" s="30"/>
      <c r="H5" s="207" t="str">
        <f>+CFS!H4</f>
        <v>(Amount in Rs. `000)</v>
      </c>
      <c r="I5"/>
      <c r="J5"/>
      <c r="K5"/>
      <c r="L5"/>
    </row>
    <row r="6" spans="1:12" ht="24">
      <c r="B6" s="965" t="s">
        <v>110</v>
      </c>
      <c r="C6" s="965"/>
      <c r="D6" s="965"/>
      <c r="E6" s="965"/>
      <c r="F6" s="965"/>
      <c r="G6" s="603" t="s">
        <v>1009</v>
      </c>
      <c r="H6" s="603" t="s">
        <v>1009</v>
      </c>
      <c r="I6"/>
      <c r="J6"/>
      <c r="K6"/>
      <c r="L6"/>
    </row>
    <row r="7" spans="1:12" ht="15">
      <c r="B7" s="208" t="s">
        <v>229</v>
      </c>
      <c r="C7" s="37"/>
      <c r="F7"/>
      <c r="G7" s="71"/>
      <c r="H7" s="58"/>
      <c r="I7"/>
      <c r="J7"/>
      <c r="K7"/>
      <c r="L7"/>
    </row>
    <row r="8" spans="1:12" ht="12" customHeight="1" thickBot="1">
      <c r="B8" s="674" t="s">
        <v>1000</v>
      </c>
      <c r="C8" s="538"/>
      <c r="D8" s="538"/>
      <c r="E8"/>
      <c r="F8"/>
      <c r="G8" s="209">
        <v>0</v>
      </c>
      <c r="H8" s="210">
        <v>0</v>
      </c>
      <c r="I8"/>
      <c r="J8"/>
      <c r="K8"/>
      <c r="L8"/>
    </row>
    <row r="9" spans="1:12" ht="12" customHeight="1" thickTop="1">
      <c r="B9" s="72"/>
      <c r="E9"/>
      <c r="F9"/>
      <c r="G9" s="211" t="s">
        <v>230</v>
      </c>
      <c r="H9" s="58"/>
      <c r="I9"/>
      <c r="J9"/>
      <c r="K9"/>
      <c r="L9"/>
    </row>
    <row r="10" spans="1:12" ht="15">
      <c r="B10" s="431" t="s">
        <v>231</v>
      </c>
      <c r="E10"/>
      <c r="F10"/>
      <c r="G10" s="71"/>
      <c r="H10" s="58"/>
    </row>
    <row r="11" spans="1:12" ht="12" customHeight="1">
      <c r="B11" s="674" t="s">
        <v>1001</v>
      </c>
      <c r="C11" s="538"/>
      <c r="D11" s="538"/>
      <c r="E11"/>
      <c r="F11"/>
      <c r="G11" s="211">
        <v>0</v>
      </c>
      <c r="H11" s="212">
        <v>0</v>
      </c>
      <c r="I11" s="14"/>
    </row>
    <row r="12" spans="1:12" ht="12" customHeight="1" thickBot="1">
      <c r="B12" s="73"/>
      <c r="C12" s="74"/>
      <c r="D12" s="74"/>
      <c r="E12" s="74"/>
      <c r="F12" s="75"/>
      <c r="G12" s="213">
        <f>SUM(G11)</f>
        <v>0</v>
      </c>
      <c r="H12" s="214">
        <f>SUM(H11)</f>
        <v>0</v>
      </c>
    </row>
    <row r="13" spans="1:12" ht="12" customHeight="1" thickTop="1">
      <c r="F13" s="32"/>
      <c r="G13" s="32"/>
      <c r="H13" s="19"/>
    </row>
    <row r="14" spans="1:12">
      <c r="A14" s="33" t="s">
        <v>232</v>
      </c>
      <c r="B14" s="430" t="s">
        <v>233</v>
      </c>
    </row>
    <row r="15" spans="1:12">
      <c r="A15" s="33"/>
      <c r="B15" s="34"/>
    </row>
    <row r="16" spans="1:12" ht="24">
      <c r="B16" s="939" t="s">
        <v>110</v>
      </c>
      <c r="C16" s="940"/>
      <c r="D16" s="940"/>
      <c r="E16" s="940"/>
      <c r="F16" s="941"/>
      <c r="G16" s="422" t="str">
        <f>+G6</f>
        <v>As at 31st March, 20XX</v>
      </c>
      <c r="H16" s="422" t="str">
        <f>+H6</f>
        <v>As at 31st March, 20XX</v>
      </c>
    </row>
    <row r="17" spans="1:8" ht="15">
      <c r="B17" s="215" t="s">
        <v>234</v>
      </c>
      <c r="C17" s="559"/>
      <c r="D17" s="357"/>
      <c r="E17" s="275"/>
      <c r="F17" s="274"/>
      <c r="G17" s="555" t="s">
        <v>235</v>
      </c>
      <c r="H17" s="216" t="s">
        <v>236</v>
      </c>
    </row>
    <row r="18" spans="1:8" ht="15">
      <c r="B18" s="219" t="s">
        <v>237</v>
      </c>
      <c r="C18" s="558"/>
      <c r="D18" s="25"/>
      <c r="E18"/>
      <c r="F18" s="549"/>
      <c r="G18" s="556">
        <v>0</v>
      </c>
      <c r="H18" s="218">
        <v>0</v>
      </c>
    </row>
    <row r="19" spans="1:8" ht="15">
      <c r="B19" s="219" t="s">
        <v>238</v>
      </c>
      <c r="C19" s="9"/>
      <c r="D19" s="25"/>
      <c r="E19"/>
      <c r="F19" s="549"/>
      <c r="G19" s="220">
        <v>0</v>
      </c>
      <c r="H19" s="221">
        <v>0</v>
      </c>
    </row>
    <row r="20" spans="1:8" ht="12" customHeight="1">
      <c r="B20" s="41"/>
      <c r="C20" s="61"/>
      <c r="D20" s="25"/>
      <c r="E20"/>
      <c r="F20" s="549"/>
      <c r="G20" s="64"/>
      <c r="H20" s="57"/>
    </row>
    <row r="21" spans="1:8" ht="12" customHeight="1" thickBot="1">
      <c r="B21" s="560" t="s">
        <v>239</v>
      </c>
      <c r="C21" s="60"/>
      <c r="D21" s="69"/>
      <c r="E21" s="276"/>
      <c r="F21" s="277"/>
      <c r="G21" s="557">
        <f>SUM(G18:G20)</f>
        <v>0</v>
      </c>
      <c r="H21" s="222">
        <f>SUM(H18:H20)</f>
        <v>0</v>
      </c>
    </row>
    <row r="22" spans="1:8" ht="12" customHeight="1" thickTop="1">
      <c r="B22" s="79"/>
      <c r="C22" s="9"/>
      <c r="D22" s="25"/>
      <c r="E22" s="80"/>
      <c r="F22" s="80"/>
      <c r="G22" s="80"/>
      <c r="H22" s="80"/>
    </row>
    <row r="23" spans="1:8">
      <c r="A23" s="35" t="s">
        <v>240</v>
      </c>
      <c r="B23" s="188" t="s">
        <v>243</v>
      </c>
    </row>
    <row r="24" spans="1:8">
      <c r="A24" s="35"/>
      <c r="B24" s="959" t="s">
        <v>926</v>
      </c>
      <c r="C24" s="960"/>
      <c r="D24" s="961"/>
      <c r="E24" s="957" t="str">
        <f>+G16</f>
        <v>As at 31st March, 20XX</v>
      </c>
      <c r="F24" s="958"/>
      <c r="G24" s="957" t="str">
        <f>+H16</f>
        <v>As at 31st March, 20XX</v>
      </c>
      <c r="H24" s="958"/>
    </row>
    <row r="25" spans="1:8" ht="15.75" customHeight="1">
      <c r="B25" s="962"/>
      <c r="C25" s="963"/>
      <c r="D25" s="964"/>
      <c r="E25" s="434" t="s">
        <v>242</v>
      </c>
      <c r="F25" s="561" t="s">
        <v>925</v>
      </c>
      <c r="G25" s="435" t="s">
        <v>242</v>
      </c>
      <c r="H25" s="562" t="s">
        <v>925</v>
      </c>
    </row>
    <row r="26" spans="1:8">
      <c r="B26" s="340"/>
      <c r="C26" s="9"/>
      <c r="D26" s="328"/>
      <c r="E26" s="78">
        <v>0</v>
      </c>
      <c r="F26" s="563">
        <v>0</v>
      </c>
      <c r="G26" s="566">
        <v>0</v>
      </c>
      <c r="H26" s="563">
        <v>0</v>
      </c>
    </row>
    <row r="27" spans="1:8">
      <c r="B27" s="340"/>
      <c r="C27" s="9"/>
      <c r="D27" s="328"/>
      <c r="E27" s="57">
        <v>0</v>
      </c>
      <c r="F27" s="564">
        <v>0</v>
      </c>
      <c r="G27" s="107">
        <v>0</v>
      </c>
      <c r="H27" s="564">
        <v>0</v>
      </c>
    </row>
    <row r="28" spans="1:8">
      <c r="B28" s="340"/>
      <c r="C28" s="9"/>
      <c r="D28" s="328"/>
      <c r="E28" s="57"/>
      <c r="F28" s="564"/>
      <c r="G28" s="107"/>
      <c r="H28" s="564"/>
    </row>
    <row r="29" spans="1:8">
      <c r="B29" s="340"/>
      <c r="C29" s="9"/>
      <c r="D29" s="328"/>
      <c r="E29" s="57"/>
      <c r="F29" s="564"/>
      <c r="G29" s="107"/>
      <c r="H29" s="564"/>
    </row>
    <row r="30" spans="1:8" ht="12" customHeight="1">
      <c r="B30" s="436"/>
      <c r="C30" s="60"/>
      <c r="D30" s="336"/>
      <c r="E30" s="567"/>
      <c r="F30" s="565"/>
      <c r="G30" s="568"/>
      <c r="H30" s="565"/>
    </row>
    <row r="31" spans="1:8" ht="12" customHeight="1">
      <c r="B31" s="25"/>
      <c r="C31" s="25"/>
      <c r="D31" s="25"/>
      <c r="E31" s="25"/>
      <c r="F31" s="25"/>
      <c r="G31" s="56"/>
      <c r="H31" s="82"/>
    </row>
    <row r="32" spans="1:8" ht="12" customHeight="1">
      <c r="A32" s="35" t="s">
        <v>241</v>
      </c>
      <c r="B32" s="950" t="s">
        <v>244</v>
      </c>
      <c r="C32" s="918"/>
      <c r="D32" s="918"/>
      <c r="E32" s="918"/>
      <c r="F32" s="53"/>
      <c r="G32" s="54"/>
      <c r="H32" s="1"/>
    </row>
    <row r="33" spans="1:10" ht="24" customHeight="1">
      <c r="A33" s="966"/>
      <c r="B33" s="973" t="s">
        <v>245</v>
      </c>
      <c r="C33" s="974"/>
      <c r="D33" s="951" t="s">
        <v>246</v>
      </c>
      <c r="E33" s="952"/>
      <c r="F33" s="951" t="s">
        <v>247</v>
      </c>
      <c r="G33" s="952"/>
      <c r="H33" s="968" t="s">
        <v>248</v>
      </c>
    </row>
    <row r="34" spans="1:10" ht="22.9" customHeight="1">
      <c r="A34" s="967"/>
      <c r="B34" s="975"/>
      <c r="C34" s="919"/>
      <c r="D34" s="573" t="s">
        <v>249</v>
      </c>
      <c r="E34" s="574" t="s">
        <v>250</v>
      </c>
      <c r="F34" s="573" t="s">
        <v>249</v>
      </c>
      <c r="G34" s="575" t="s">
        <v>250</v>
      </c>
      <c r="H34" s="969"/>
    </row>
    <row r="35" spans="1:10" ht="13.15" customHeight="1">
      <c r="A35" s="537"/>
      <c r="B35" s="570"/>
      <c r="C35" s="572"/>
      <c r="D35" s="579"/>
      <c r="E35" s="582"/>
      <c r="F35" s="585"/>
      <c r="G35" s="582"/>
      <c r="H35" s="588">
        <f>E35-G35</f>
        <v>0</v>
      </c>
    </row>
    <row r="36" spans="1:10" ht="13.15" customHeight="1">
      <c r="A36" s="537"/>
      <c r="B36" s="340"/>
      <c r="C36" s="569"/>
      <c r="D36" s="580"/>
      <c r="E36" s="583"/>
      <c r="F36" s="586"/>
      <c r="G36" s="583"/>
      <c r="H36" s="589"/>
    </row>
    <row r="37" spans="1:10" ht="13.15" customHeight="1">
      <c r="A37" s="537"/>
      <c r="B37" s="571"/>
      <c r="C37" s="276"/>
      <c r="D37" s="581"/>
      <c r="E37" s="584"/>
      <c r="F37" s="587"/>
      <c r="G37" s="584"/>
      <c r="H37" s="590"/>
    </row>
    <row r="38" spans="1:10" ht="15.75" thickBot="1">
      <c r="B38" s="976" t="s">
        <v>251</v>
      </c>
      <c r="C38" s="977"/>
      <c r="D38" s="576">
        <f>SUM(D35:D37)</f>
        <v>0</v>
      </c>
      <c r="E38" s="577">
        <f>SUM(E35:E37)</f>
        <v>0</v>
      </c>
      <c r="F38" s="576">
        <f>SUM(F35:F37)</f>
        <v>0</v>
      </c>
      <c r="G38" s="577">
        <f>SUM(G35:G37)</f>
        <v>0</v>
      </c>
      <c r="H38" s="578">
        <f>SUM(H35:H37)</f>
        <v>0</v>
      </c>
    </row>
    <row r="39" spans="1:10" ht="12.75" thickTop="1">
      <c r="B39" s="442"/>
      <c r="C39" s="442"/>
      <c r="D39" s="442"/>
      <c r="E39" s="442"/>
      <c r="F39" s="442"/>
      <c r="G39" s="442"/>
      <c r="H39" s="442"/>
    </row>
    <row r="40" spans="1:10" ht="12" customHeight="1">
      <c r="A40" s="477" t="str">
        <f>BS!D13</f>
        <v>AUTO</v>
      </c>
      <c r="B40" s="443" t="s">
        <v>252</v>
      </c>
      <c r="G40" s="13"/>
      <c r="H40" s="207" t="str">
        <f>+H5</f>
        <v>(Amount in Rs. `000)</v>
      </c>
    </row>
    <row r="41" spans="1:10" ht="24">
      <c r="A41" s="26"/>
      <c r="B41" s="939" t="s">
        <v>110</v>
      </c>
      <c r="C41" s="940"/>
      <c r="D41" s="940"/>
      <c r="E41" s="940"/>
      <c r="F41" s="941"/>
      <c r="G41" s="422" t="str">
        <f>+G16</f>
        <v>As at 31st March, 20XX</v>
      </c>
      <c r="H41" s="422" t="str">
        <f>+H16</f>
        <v>As at 31st March, 20XX</v>
      </c>
    </row>
    <row r="42" spans="1:10">
      <c r="B42" s="245" t="s">
        <v>929</v>
      </c>
      <c r="C42" s="357"/>
      <c r="D42" s="357"/>
      <c r="E42" s="357"/>
      <c r="F42" s="357"/>
      <c r="G42" s="512">
        <v>0</v>
      </c>
      <c r="H42" s="218">
        <v>0</v>
      </c>
      <c r="J42" s="14"/>
    </row>
    <row r="43" spans="1:10">
      <c r="B43" s="223" t="s">
        <v>930</v>
      </c>
      <c r="C43" s="25"/>
      <c r="D43" s="25"/>
      <c r="E43" s="25"/>
      <c r="F43" s="25"/>
      <c r="G43" s="236">
        <v>0</v>
      </c>
      <c r="H43" s="221">
        <v>0</v>
      </c>
      <c r="J43" s="14"/>
    </row>
    <row r="44" spans="1:10">
      <c r="B44" s="223"/>
      <c r="C44" s="25"/>
      <c r="D44" s="25"/>
      <c r="E44" s="25"/>
      <c r="F44" s="25"/>
      <c r="G44" s="236"/>
      <c r="H44" s="221"/>
      <c r="J44" s="14"/>
    </row>
    <row r="45" spans="1:10" ht="12.75" thickBot="1">
      <c r="B45" s="223"/>
      <c r="C45" s="25"/>
      <c r="D45" s="25"/>
      <c r="E45" s="25"/>
      <c r="F45" s="601" t="s">
        <v>934</v>
      </c>
      <c r="G45" s="597">
        <f>SUM(G42:G44)</f>
        <v>0</v>
      </c>
      <c r="H45" s="597">
        <f>SUM(H42:H44)</f>
        <v>0</v>
      </c>
      <c r="J45" s="14"/>
    </row>
    <row r="46" spans="1:10" ht="12.75" thickTop="1">
      <c r="B46" s="223"/>
      <c r="C46" s="25"/>
      <c r="D46" s="25"/>
      <c r="E46" s="25"/>
      <c r="F46" s="25"/>
      <c r="G46" s="236"/>
      <c r="H46" s="221"/>
      <c r="J46" s="14"/>
    </row>
    <row r="47" spans="1:10">
      <c r="B47" s="593" t="s">
        <v>253</v>
      </c>
      <c r="C47" s="25"/>
      <c r="D47" s="25"/>
      <c r="E47" s="25"/>
      <c r="F47" s="25"/>
      <c r="G47" s="595"/>
      <c r="H47" s="57"/>
    </row>
    <row r="48" spans="1:10">
      <c r="B48" s="444" t="s">
        <v>254</v>
      </c>
      <c r="C48" s="25"/>
      <c r="D48" s="25"/>
      <c r="E48" s="25"/>
      <c r="F48" s="25"/>
      <c r="G48" s="236">
        <f>H54</f>
        <v>0</v>
      </c>
      <c r="H48" s="221">
        <v>0</v>
      </c>
      <c r="J48" s="14"/>
    </row>
    <row r="49" spans="1:10">
      <c r="B49" s="501" t="s">
        <v>931</v>
      </c>
      <c r="C49" s="25"/>
      <c r="D49" s="25"/>
      <c r="E49" s="25"/>
      <c r="F49" s="25"/>
      <c r="G49" s="236">
        <f>PL!G38</f>
        <v>0</v>
      </c>
      <c r="H49" s="221">
        <f>PL!H38</f>
        <v>0</v>
      </c>
      <c r="J49" s="14"/>
    </row>
    <row r="50" spans="1:10">
      <c r="B50" s="223" t="s">
        <v>932</v>
      </c>
      <c r="C50" s="25"/>
      <c r="D50" s="25"/>
      <c r="E50" s="25"/>
      <c r="F50" s="25"/>
      <c r="G50" s="236">
        <v>0</v>
      </c>
      <c r="H50" s="221">
        <v>0</v>
      </c>
      <c r="J50" s="14"/>
    </row>
    <row r="51" spans="1:10">
      <c r="B51" s="223" t="s">
        <v>933</v>
      </c>
      <c r="C51" s="25"/>
      <c r="D51" s="25"/>
      <c r="E51" s="25"/>
      <c r="F51" s="25"/>
      <c r="G51" s="236">
        <v>0</v>
      </c>
      <c r="H51" s="221">
        <v>0</v>
      </c>
      <c r="J51" s="14"/>
    </row>
    <row r="52" spans="1:10" ht="12.75" thickBot="1">
      <c r="B52" s="223"/>
      <c r="C52" s="25"/>
      <c r="D52" s="25"/>
      <c r="E52" s="25"/>
      <c r="F52" s="601" t="s">
        <v>935</v>
      </c>
      <c r="G52" s="597">
        <f>SUM(G48:G51)</f>
        <v>0</v>
      </c>
      <c r="H52" s="597">
        <f>SUM(H48:H51)</f>
        <v>0</v>
      </c>
      <c r="J52" s="14"/>
    </row>
    <row r="53" spans="1:10" ht="6" customHeight="1" thickTop="1">
      <c r="B53" s="425"/>
      <c r="C53" s="69"/>
      <c r="D53" s="69"/>
      <c r="E53" s="69"/>
      <c r="F53" s="69"/>
      <c r="G53" s="596"/>
      <c r="H53" s="451"/>
    </row>
    <row r="54" spans="1:10" ht="13.9" customHeight="1" thickBot="1">
      <c r="B54" s="978" t="s">
        <v>251</v>
      </c>
      <c r="C54" s="979"/>
      <c r="D54" s="69"/>
      <c r="E54" s="69"/>
      <c r="F54" s="592" t="s">
        <v>936</v>
      </c>
      <c r="G54" s="594">
        <f>+G45+G52</f>
        <v>0</v>
      </c>
      <c r="H54" s="594">
        <f>+H45+H52</f>
        <v>0</v>
      </c>
      <c r="J54" s="14"/>
    </row>
    <row r="55" spans="1:10" ht="12" customHeight="1" thickTop="1"/>
    <row r="56" spans="1:10" ht="13.15" customHeight="1">
      <c r="B56" s="437"/>
      <c r="C56" s="437"/>
      <c r="D56" s="438"/>
      <c r="E56" s="439"/>
      <c r="F56" s="440"/>
      <c r="G56" s="441"/>
      <c r="H56" s="441"/>
    </row>
    <row r="57" spans="1:10" ht="15.75">
      <c r="A57" s="953" t="str">
        <f>+A2</f>
        <v>[NAME OF THE COMPANY]</v>
      </c>
      <c r="B57" s="954"/>
      <c r="C57" s="954"/>
      <c r="D57" s="954"/>
      <c r="E57" s="954"/>
      <c r="F57" s="954"/>
      <c r="G57" s="955"/>
      <c r="H57" s="954"/>
    </row>
    <row r="58" spans="1:10">
      <c r="A58" s="956"/>
      <c r="B58" s="918"/>
      <c r="C58" s="918"/>
      <c r="D58" s="918"/>
      <c r="E58" s="918"/>
      <c r="F58" s="918"/>
      <c r="G58" s="931"/>
      <c r="H58" s="27"/>
    </row>
    <row r="59" spans="1:10" ht="12.75">
      <c r="A59" s="970" t="str">
        <f>+A4</f>
        <v>Schedules to Balance Sheet as at 31st March, 20XX</v>
      </c>
      <c r="B59" s="971"/>
      <c r="C59" s="971"/>
      <c r="D59" s="971"/>
      <c r="E59" s="971"/>
      <c r="F59" s="971"/>
      <c r="G59" s="972"/>
      <c r="H59" s="971"/>
    </row>
    <row r="60" spans="1:10">
      <c r="A60" s="477" t="str">
        <f>BS!D18</f>
        <v>AUTO</v>
      </c>
      <c r="B60" s="201" t="s">
        <v>255</v>
      </c>
    </row>
    <row r="61" spans="1:10" ht="24">
      <c r="B61" s="939" t="s">
        <v>110</v>
      </c>
      <c r="C61" s="940"/>
      <c r="D61" s="940"/>
      <c r="E61" s="940"/>
      <c r="F61" s="941"/>
      <c r="G61" s="422" t="str">
        <f>+G41</f>
        <v>As at 31st March, 20XX</v>
      </c>
      <c r="H61" s="422" t="str">
        <f>+H41</f>
        <v>As at 31st March, 20XX</v>
      </c>
    </row>
    <row r="62" spans="1:10">
      <c r="B62" s="454" t="s">
        <v>904</v>
      </c>
      <c r="C62" s="81"/>
      <c r="D62" s="81"/>
      <c r="E62" s="81"/>
      <c r="F62" s="76"/>
      <c r="G62" s="447"/>
      <c r="H62" s="448"/>
      <c r="J62" s="474" t="s">
        <v>256</v>
      </c>
    </row>
    <row r="63" spans="1:10">
      <c r="B63" s="541" t="s">
        <v>937</v>
      </c>
      <c r="C63" s="25"/>
      <c r="D63" s="25"/>
      <c r="E63" s="25"/>
      <c r="F63" s="66"/>
      <c r="G63" s="57"/>
      <c r="H63" s="107"/>
    </row>
    <row r="64" spans="1:10">
      <c r="B64" s="541" t="s">
        <v>938</v>
      </c>
      <c r="C64" s="25"/>
      <c r="D64" s="25"/>
      <c r="E64" s="25"/>
      <c r="F64" s="66"/>
      <c r="G64" s="221">
        <v>0</v>
      </c>
      <c r="H64" s="224">
        <v>0</v>
      </c>
    </row>
    <row r="65" spans="1:8">
      <c r="B65" s="449"/>
      <c r="C65" s="25"/>
      <c r="D65" s="25"/>
      <c r="E65" s="25"/>
      <c r="F65" s="66"/>
      <c r="G65" s="221"/>
      <c r="H65" s="224"/>
    </row>
    <row r="66" spans="1:8">
      <c r="B66" s="540" t="s">
        <v>904</v>
      </c>
      <c r="C66" s="25"/>
      <c r="D66" s="25"/>
      <c r="E66" s="25"/>
      <c r="F66" s="66"/>
      <c r="G66" s="221"/>
      <c r="H66" s="224"/>
    </row>
    <row r="67" spans="1:8">
      <c r="B67" s="541" t="s">
        <v>905</v>
      </c>
      <c r="C67" s="25"/>
      <c r="D67" s="25"/>
      <c r="E67" s="25"/>
      <c r="F67" s="66"/>
      <c r="G67" s="221">
        <v>0</v>
      </c>
      <c r="H67" s="224">
        <v>0</v>
      </c>
    </row>
    <row r="68" spans="1:8">
      <c r="B68" s="541" t="s">
        <v>906</v>
      </c>
      <c r="C68" s="25"/>
      <c r="D68" s="25"/>
      <c r="E68" s="25"/>
      <c r="F68" s="66"/>
      <c r="G68" s="221">
        <v>0</v>
      </c>
      <c r="H68" s="224">
        <v>0</v>
      </c>
    </row>
    <row r="69" spans="1:8">
      <c r="B69" s="67"/>
      <c r="C69" s="25"/>
      <c r="D69" s="25"/>
      <c r="E69" s="25"/>
      <c r="F69" s="66"/>
      <c r="G69" s="451"/>
      <c r="H69" s="107"/>
    </row>
    <row r="70" spans="1:8" ht="13.9" customHeight="1" thickBot="1">
      <c r="B70" s="935" t="s">
        <v>251</v>
      </c>
      <c r="C70" s="936"/>
      <c r="D70" s="427"/>
      <c r="E70" s="427"/>
      <c r="F70" s="84"/>
      <c r="G70" s="428">
        <f>SUM(G63:G69)</f>
        <v>0</v>
      </c>
      <c r="H70" s="428">
        <f>SUM(H63:H69)</f>
        <v>0</v>
      </c>
    </row>
    <row r="71" spans="1:8" ht="13.9" customHeight="1" thickTop="1">
      <c r="B71" s="452"/>
      <c r="C71" s="452"/>
      <c r="D71" s="25"/>
      <c r="E71" s="25"/>
      <c r="F71" s="86"/>
      <c r="G71" s="87"/>
      <c r="H71" s="87"/>
    </row>
    <row r="72" spans="1:8">
      <c r="A72" s="477" t="str">
        <f>BS!D20</f>
        <v>AUTO</v>
      </c>
      <c r="B72" s="453" t="s">
        <v>257</v>
      </c>
    </row>
    <row r="73" spans="1:8" ht="24">
      <c r="B73" s="939" t="s">
        <v>110</v>
      </c>
      <c r="C73" s="940"/>
      <c r="D73" s="940"/>
      <c r="E73" s="940"/>
      <c r="F73" s="941"/>
      <c r="G73" s="603" t="str">
        <f>+G61</f>
        <v>As at 31st March, 20XX</v>
      </c>
      <c r="H73" s="603" t="str">
        <f>+H61</f>
        <v>As at 31st March, 20XX</v>
      </c>
    </row>
    <row r="74" spans="1:8">
      <c r="B74" s="454"/>
      <c r="C74" s="81"/>
      <c r="D74" s="81"/>
      <c r="E74" s="81"/>
      <c r="F74" s="76"/>
      <c r="G74" s="455"/>
      <c r="H74" s="602"/>
    </row>
    <row r="75" spans="1:8">
      <c r="B75" s="449" t="s">
        <v>258</v>
      </c>
      <c r="C75" s="25"/>
      <c r="D75" s="25"/>
      <c r="E75" s="25"/>
      <c r="F75" s="66"/>
      <c r="G75" s="221">
        <v>0</v>
      </c>
      <c r="H75" s="221">
        <v>0</v>
      </c>
    </row>
    <row r="76" spans="1:8">
      <c r="B76" s="932" t="s">
        <v>1063</v>
      </c>
      <c r="C76" s="918"/>
      <c r="D76" s="918"/>
      <c r="E76" s="918"/>
      <c r="F76" s="66"/>
      <c r="G76" s="221">
        <v>0</v>
      </c>
      <c r="H76" s="221">
        <v>0</v>
      </c>
    </row>
    <row r="77" spans="1:8">
      <c r="B77" s="932" t="s">
        <v>1062</v>
      </c>
      <c r="C77" s="918"/>
      <c r="D77" s="918"/>
      <c r="E77" s="918"/>
      <c r="F77" s="66"/>
      <c r="G77" s="221">
        <v>0</v>
      </c>
      <c r="H77" s="221">
        <v>0</v>
      </c>
    </row>
    <row r="78" spans="1:8">
      <c r="B78" s="67"/>
      <c r="C78" s="25"/>
      <c r="D78" s="25"/>
      <c r="E78" s="25"/>
      <c r="F78" s="66"/>
      <c r="G78" s="451"/>
      <c r="H78" s="451"/>
    </row>
    <row r="79" spans="1:8" ht="13.9" customHeight="1" thickBot="1">
      <c r="B79" s="935" t="s">
        <v>251</v>
      </c>
      <c r="C79" s="936"/>
      <c r="D79" s="427"/>
      <c r="E79" s="427"/>
      <c r="F79" s="84"/>
      <c r="G79" s="428">
        <f>SUM(G75:G78)</f>
        <v>0</v>
      </c>
      <c r="H79" s="428">
        <f>SUM(H75:H78)</f>
        <v>0</v>
      </c>
    </row>
    <row r="80" spans="1:8" ht="13.9" customHeight="1" thickTop="1">
      <c r="B80" s="452"/>
      <c r="C80" s="452"/>
      <c r="D80" s="25"/>
      <c r="E80" s="25"/>
      <c r="F80" s="86"/>
      <c r="G80" s="87"/>
      <c r="H80" s="87"/>
    </row>
    <row r="81" spans="1:8">
      <c r="A81" s="477" t="str">
        <f>BS!D21</f>
        <v>AUTO</v>
      </c>
      <c r="B81" s="201" t="s">
        <v>260</v>
      </c>
    </row>
    <row r="82" spans="1:8" ht="24">
      <c r="B82" s="939" t="s">
        <v>110</v>
      </c>
      <c r="C82" s="940"/>
      <c r="D82" s="940"/>
      <c r="E82" s="940"/>
      <c r="F82" s="941"/>
      <c r="G82" s="603" t="str">
        <f>+G73</f>
        <v>As at 31st March, 20XX</v>
      </c>
      <c r="H82" s="603" t="str">
        <f>+H73</f>
        <v>As at 31st March, 20XX</v>
      </c>
    </row>
    <row r="83" spans="1:8">
      <c r="B83" s="454"/>
      <c r="C83" s="81"/>
      <c r="D83" s="81"/>
      <c r="E83" s="81"/>
      <c r="F83" s="76"/>
      <c r="G83" s="455"/>
      <c r="H83" s="447"/>
    </row>
    <row r="84" spans="1:8">
      <c r="B84" s="450" t="s">
        <v>261</v>
      </c>
      <c r="C84" s="25"/>
      <c r="D84" s="25"/>
      <c r="E84" s="25"/>
      <c r="F84" s="66"/>
      <c r="G84" s="221">
        <v>0</v>
      </c>
      <c r="H84" s="221">
        <v>0</v>
      </c>
    </row>
    <row r="85" spans="1:8">
      <c r="B85" s="933" t="s">
        <v>259</v>
      </c>
      <c r="C85" s="918"/>
      <c r="D85" s="918"/>
      <c r="E85" s="918"/>
      <c r="F85" s="66"/>
      <c r="G85" s="221">
        <v>0</v>
      </c>
      <c r="H85" s="221">
        <v>0</v>
      </c>
    </row>
    <row r="86" spans="1:8">
      <c r="B86" s="67"/>
      <c r="C86" s="25"/>
      <c r="D86" s="25"/>
      <c r="E86" s="25"/>
      <c r="F86" s="66"/>
      <c r="G86" s="56"/>
      <c r="H86" s="451"/>
    </row>
    <row r="87" spans="1:8" ht="13.9" customHeight="1" thickBot="1">
      <c r="B87" s="935" t="s">
        <v>251</v>
      </c>
      <c r="C87" s="936"/>
      <c r="D87" s="427"/>
      <c r="E87" s="427"/>
      <c r="F87" s="84"/>
      <c r="G87" s="428">
        <f>SUM(G84:G86)</f>
        <v>0</v>
      </c>
      <c r="H87" s="428">
        <f>SUM(H84:H86)</f>
        <v>0</v>
      </c>
    </row>
    <row r="88" spans="1:8" ht="13.9" customHeight="1" thickTop="1">
      <c r="B88" s="452"/>
      <c r="C88" s="452"/>
      <c r="D88" s="25"/>
      <c r="E88" s="25"/>
      <c r="F88" s="86"/>
      <c r="G88" s="87"/>
      <c r="H88" s="87"/>
    </row>
    <row r="89" spans="1:8">
      <c r="A89" s="477" t="str">
        <f>BS!D24</f>
        <v>AUTO</v>
      </c>
      <c r="B89" s="201" t="s">
        <v>262</v>
      </c>
    </row>
    <row r="90" spans="1:8" ht="24">
      <c r="B90" s="939" t="s">
        <v>110</v>
      </c>
      <c r="C90" s="940"/>
      <c r="D90" s="940"/>
      <c r="E90" s="940"/>
      <c r="F90" s="941"/>
      <c r="G90" s="603" t="str">
        <f>+G82</f>
        <v>As at 31st March, 20XX</v>
      </c>
      <c r="H90" s="603" t="str">
        <f>+H82</f>
        <v>As at 31st March, 20XX</v>
      </c>
    </row>
    <row r="91" spans="1:8">
      <c r="B91" s="598" t="s">
        <v>944</v>
      </c>
      <c r="C91" s="81"/>
      <c r="D91" s="81"/>
      <c r="E91" s="81"/>
      <c r="F91" s="76"/>
      <c r="G91" s="455"/>
      <c r="H91" s="447"/>
    </row>
    <row r="92" spans="1:8">
      <c r="B92" s="600" t="s">
        <v>939</v>
      </c>
      <c r="C92" s="25"/>
      <c r="D92" s="25"/>
      <c r="E92" s="25"/>
      <c r="F92" s="66"/>
      <c r="G92" s="221">
        <v>0</v>
      </c>
      <c r="H92" s="221">
        <v>0</v>
      </c>
    </row>
    <row r="93" spans="1:8">
      <c r="B93" s="600" t="s">
        <v>940</v>
      </c>
      <c r="C93" s="25"/>
      <c r="D93" s="25"/>
      <c r="E93" s="25"/>
      <c r="F93" s="66"/>
      <c r="G93" s="221"/>
      <c r="H93" s="221"/>
    </row>
    <row r="94" spans="1:8">
      <c r="B94" s="600" t="s">
        <v>941</v>
      </c>
      <c r="C94" s="25"/>
      <c r="D94" s="25"/>
      <c r="E94" s="25"/>
      <c r="F94" s="66"/>
      <c r="G94" s="221"/>
      <c r="H94" s="221"/>
    </row>
    <row r="95" spans="1:8">
      <c r="B95" s="450"/>
      <c r="C95" s="25"/>
      <c r="D95" s="25"/>
      <c r="E95" s="25"/>
      <c r="F95" s="601"/>
      <c r="G95" s="221"/>
      <c r="H95" s="221"/>
    </row>
    <row r="96" spans="1:8">
      <c r="B96" s="599" t="s">
        <v>945</v>
      </c>
      <c r="C96" s="25"/>
      <c r="D96" s="25"/>
      <c r="E96" s="25"/>
      <c r="F96" s="66"/>
      <c r="G96" s="221"/>
      <c r="H96" s="221"/>
    </row>
    <row r="97" spans="1:8">
      <c r="B97" s="541" t="s">
        <v>942</v>
      </c>
      <c r="C97" s="25"/>
      <c r="D97" s="25"/>
      <c r="E97" s="25"/>
      <c r="F97" s="66"/>
      <c r="G97" s="221">
        <v>0</v>
      </c>
      <c r="H97" s="221">
        <v>0</v>
      </c>
    </row>
    <row r="98" spans="1:8">
      <c r="B98" s="541" t="s">
        <v>943</v>
      </c>
      <c r="C98" s="25"/>
      <c r="D98" s="25"/>
      <c r="E98" s="25"/>
      <c r="F98" s="66"/>
      <c r="G98" s="221">
        <v>0</v>
      </c>
      <c r="H98" s="221">
        <v>0</v>
      </c>
    </row>
    <row r="99" spans="1:8">
      <c r="B99" s="67"/>
      <c r="C99" s="25"/>
      <c r="D99" s="25"/>
      <c r="E99" s="25"/>
      <c r="F99" s="66"/>
      <c r="G99" s="56"/>
      <c r="H99" s="451"/>
    </row>
    <row r="100" spans="1:8" ht="13.9" customHeight="1" thickBot="1">
      <c r="B100" s="935" t="s">
        <v>251</v>
      </c>
      <c r="C100" s="936"/>
      <c r="D100" s="445"/>
      <c r="E100" s="445"/>
      <c r="F100" s="84"/>
      <c r="G100" s="428">
        <f>SUM(G92:G99)</f>
        <v>0</v>
      </c>
      <c r="H100" s="428">
        <f>SUM(H92:H99)</f>
        <v>0</v>
      </c>
    </row>
    <row r="101" spans="1:8" ht="13.9" customHeight="1" thickTop="1">
      <c r="B101" s="452"/>
      <c r="C101" s="452"/>
      <c r="D101" s="25"/>
      <c r="E101" s="25"/>
      <c r="F101" s="86"/>
      <c r="G101" s="87"/>
      <c r="H101" s="87"/>
    </row>
    <row r="102" spans="1:8">
      <c r="A102" s="477" t="str">
        <f>BS!D25</f>
        <v>AUTO</v>
      </c>
      <c r="B102" s="201" t="s">
        <v>265</v>
      </c>
    </row>
    <row r="103" spans="1:8" ht="24">
      <c r="B103" s="939" t="s">
        <v>110</v>
      </c>
      <c r="C103" s="940"/>
      <c r="D103" s="940"/>
      <c r="E103" s="940"/>
      <c r="F103" s="941"/>
      <c r="G103" s="603" t="str">
        <f>+G90</f>
        <v>As at 31st March, 20XX</v>
      </c>
      <c r="H103" s="603" t="str">
        <f>+H90</f>
        <v>As at 31st March, 20XX</v>
      </c>
    </row>
    <row r="104" spans="1:8">
      <c r="B104" s="454"/>
      <c r="C104" s="81"/>
      <c r="D104" s="81"/>
      <c r="E104" s="81"/>
      <c r="F104" s="76"/>
      <c r="G104" s="455"/>
      <c r="H104" s="447"/>
    </row>
    <row r="105" spans="1:8">
      <c r="B105" s="449" t="s">
        <v>266</v>
      </c>
      <c r="C105" s="25"/>
      <c r="D105" s="25"/>
      <c r="E105" s="25"/>
      <c r="F105" s="66"/>
      <c r="G105" s="221">
        <v>0</v>
      </c>
      <c r="H105" s="221">
        <v>0</v>
      </c>
    </row>
    <row r="106" spans="1:8">
      <c r="B106" s="933" t="s">
        <v>267</v>
      </c>
      <c r="C106" s="918"/>
      <c r="D106" s="918"/>
      <c r="E106" s="918"/>
      <c r="F106" s="66"/>
      <c r="G106" s="221">
        <v>0</v>
      </c>
      <c r="H106" s="221">
        <v>0</v>
      </c>
    </row>
    <row r="107" spans="1:8">
      <c r="B107" s="67"/>
      <c r="C107" s="25"/>
      <c r="D107" s="25"/>
      <c r="E107" s="25"/>
      <c r="F107" s="66"/>
      <c r="G107" s="56"/>
      <c r="H107" s="451"/>
    </row>
    <row r="108" spans="1:8" ht="13.9" customHeight="1" thickBot="1">
      <c r="B108" s="935" t="s">
        <v>251</v>
      </c>
      <c r="C108" s="936"/>
      <c r="D108" s="445"/>
      <c r="E108" s="445"/>
      <c r="F108" s="84"/>
      <c r="G108" s="428">
        <f>SUM(G105:G107)</f>
        <v>0</v>
      </c>
      <c r="H108" s="428">
        <f>SUM(H105:H107)</f>
        <v>0</v>
      </c>
    </row>
    <row r="109" spans="1:8" ht="13.9" customHeight="1" thickTop="1">
      <c r="B109" s="452"/>
      <c r="C109" s="452"/>
      <c r="D109" s="25"/>
      <c r="E109" s="25"/>
      <c r="F109" s="86"/>
      <c r="G109" s="87"/>
      <c r="H109" s="87"/>
    </row>
    <row r="110" spans="1:8" ht="13.9" customHeight="1">
      <c r="B110" s="452"/>
      <c r="C110" s="452"/>
      <c r="D110" s="25"/>
      <c r="E110" s="25"/>
      <c r="F110" s="86"/>
      <c r="G110" s="87"/>
      <c r="H110" s="87"/>
    </row>
    <row r="111" spans="1:8" ht="15.75">
      <c r="A111" s="953" t="str">
        <f>+A57</f>
        <v>[NAME OF THE COMPANY]</v>
      </c>
      <c r="B111" s="954"/>
      <c r="C111" s="954"/>
      <c r="D111" s="954"/>
      <c r="E111" s="954"/>
      <c r="F111" s="954"/>
      <c r="G111" s="955"/>
      <c r="H111" s="954"/>
    </row>
    <row r="112" spans="1:8">
      <c r="A112" s="956"/>
      <c r="B112" s="918"/>
      <c r="C112" s="918"/>
      <c r="D112" s="918"/>
      <c r="E112" s="918"/>
      <c r="F112" s="918"/>
      <c r="G112" s="931"/>
      <c r="H112" s="27"/>
    </row>
    <row r="113" spans="1:18" ht="12.75">
      <c r="A113" s="970" t="str">
        <f>+A59</f>
        <v>Schedules to Balance Sheet as at 31st March, 20XX</v>
      </c>
      <c r="B113" s="971"/>
      <c r="C113" s="971"/>
      <c r="D113" s="971"/>
      <c r="E113" s="971"/>
      <c r="F113" s="971"/>
      <c r="G113" s="972"/>
      <c r="H113" s="971"/>
    </row>
    <row r="114" spans="1:18" ht="6.95" customHeight="1">
      <c r="A114" s="550"/>
      <c r="B114" s="551"/>
      <c r="C114" s="551"/>
      <c r="D114" s="551"/>
      <c r="E114" s="551"/>
      <c r="F114" s="551"/>
      <c r="G114" s="552"/>
      <c r="H114" s="551"/>
    </row>
    <row r="115" spans="1:18" ht="13.15" customHeight="1">
      <c r="B115" s="543" t="s">
        <v>946</v>
      </c>
      <c r="C115" s="458"/>
      <c r="D115" s="458"/>
      <c r="E115" s="458"/>
      <c r="F115" s="459"/>
      <c r="G115" s="460"/>
      <c r="H115" s="461"/>
    </row>
    <row r="116" spans="1:18" ht="21.75" customHeight="1">
      <c r="B116" s="947" t="s">
        <v>110</v>
      </c>
      <c r="C116" s="948"/>
      <c r="D116" s="987" t="s">
        <v>268</v>
      </c>
      <c r="E116" s="988"/>
      <c r="F116" s="988"/>
      <c r="G116" s="988"/>
      <c r="H116" s="945" t="s">
        <v>251</v>
      </c>
    </row>
    <row r="117" spans="1:18" ht="28.5" customHeight="1">
      <c r="B117" s="949"/>
      <c r="C117" s="903"/>
      <c r="D117" s="475" t="s">
        <v>269</v>
      </c>
      <c r="E117" s="475" t="s">
        <v>270</v>
      </c>
      <c r="F117" s="475" t="s">
        <v>271</v>
      </c>
      <c r="G117" s="475" t="s">
        <v>272</v>
      </c>
      <c r="H117" s="946"/>
      <c r="J117" s="544" t="s">
        <v>918</v>
      </c>
    </row>
    <row r="118" spans="1:18" ht="15">
      <c r="B118" s="986" t="s">
        <v>273</v>
      </c>
      <c r="C118" s="948"/>
      <c r="D118" s="462">
        <f>G105</f>
        <v>0</v>
      </c>
      <c r="E118" s="462">
        <v>0</v>
      </c>
      <c r="F118" s="462">
        <v>0</v>
      </c>
      <c r="G118" s="463">
        <v>0</v>
      </c>
      <c r="H118" s="464">
        <f>SUM(D118:G118)</f>
        <v>0</v>
      </c>
      <c r="J118" s="13" t="s">
        <v>908</v>
      </c>
      <c r="K118" s="13" t="s">
        <v>909</v>
      </c>
    </row>
    <row r="119" spans="1:18" ht="15">
      <c r="B119" s="937" t="s">
        <v>274</v>
      </c>
      <c r="C119" s="938"/>
      <c r="D119" s="462">
        <f>G106</f>
        <v>0</v>
      </c>
      <c r="E119" s="462">
        <v>0</v>
      </c>
      <c r="F119" s="462">
        <v>0</v>
      </c>
      <c r="G119" s="463">
        <v>0</v>
      </c>
      <c r="H119" s="462">
        <f>SUM(D119:G119)</f>
        <v>0</v>
      </c>
      <c r="J119" s="13" t="s">
        <v>910</v>
      </c>
      <c r="L119" s="13" t="s">
        <v>911</v>
      </c>
      <c r="Q119" s="13">
        <v>17565774</v>
      </c>
      <c r="R119" s="13">
        <v>0</v>
      </c>
    </row>
    <row r="120" spans="1:18" ht="15">
      <c r="B120" s="937" t="s">
        <v>275</v>
      </c>
      <c r="C120" s="938"/>
      <c r="D120" s="462">
        <v>0</v>
      </c>
      <c r="E120" s="462">
        <v>0</v>
      </c>
      <c r="F120" s="462">
        <v>0</v>
      </c>
      <c r="G120" s="463">
        <v>0</v>
      </c>
      <c r="H120" s="464">
        <f>SUM(D120:G120)</f>
        <v>0</v>
      </c>
      <c r="L120" s="13" t="s">
        <v>912</v>
      </c>
      <c r="Q120" s="13">
        <v>0</v>
      </c>
      <c r="R120" s="13">
        <v>0</v>
      </c>
    </row>
    <row r="121" spans="1:18" ht="15">
      <c r="B121" s="942" t="s">
        <v>276</v>
      </c>
      <c r="C121" s="938"/>
      <c r="D121" s="462">
        <v>0</v>
      </c>
      <c r="E121" s="462">
        <v>0</v>
      </c>
      <c r="F121" s="462">
        <v>0</v>
      </c>
      <c r="G121" s="463">
        <v>0</v>
      </c>
      <c r="H121" s="464">
        <f>SUM(D121:G121)</f>
        <v>0</v>
      </c>
      <c r="L121" s="13" t="s">
        <v>913</v>
      </c>
      <c r="Q121" s="13">
        <v>0</v>
      </c>
      <c r="R121" s="13">
        <v>0</v>
      </c>
    </row>
    <row r="122" spans="1:18" ht="15.75" thickBot="1">
      <c r="B122" s="943"/>
      <c r="C122" s="944"/>
      <c r="D122" s="609"/>
      <c r="E122" s="609"/>
      <c r="F122" s="609"/>
      <c r="G122" s="610"/>
      <c r="H122" s="611"/>
      <c r="L122" s="13" t="s">
        <v>914</v>
      </c>
      <c r="Q122" s="13">
        <v>0</v>
      </c>
      <c r="R122" s="13">
        <v>0</v>
      </c>
    </row>
    <row r="123" spans="1:18" ht="15.75" thickTop="1">
      <c r="B123" s="478"/>
      <c r="C123"/>
      <c r="D123" s="2"/>
      <c r="E123" s="2"/>
      <c r="F123" s="2"/>
      <c r="G123" s="2"/>
      <c r="H123" s="542"/>
    </row>
    <row r="124" spans="1:18" ht="13.15" customHeight="1">
      <c r="B124" s="543" t="s">
        <v>947</v>
      </c>
      <c r="C124" s="458"/>
      <c r="D124" s="458"/>
      <c r="E124" s="458"/>
      <c r="F124" s="459"/>
      <c r="G124" s="460"/>
      <c r="H124" s="604"/>
      <c r="J124" s="13" t="s">
        <v>915</v>
      </c>
      <c r="L124" s="13" t="s">
        <v>911</v>
      </c>
      <c r="Q124" s="13">
        <v>41336817</v>
      </c>
      <c r="R124" s="13">
        <v>0</v>
      </c>
    </row>
    <row r="125" spans="1:18" ht="21.75" customHeight="1">
      <c r="B125" s="991" t="s">
        <v>110</v>
      </c>
      <c r="C125" s="983"/>
      <c r="D125" s="987" t="s">
        <v>268</v>
      </c>
      <c r="E125" s="993"/>
      <c r="F125" s="993"/>
      <c r="G125" s="993"/>
      <c r="H125" s="980" t="s">
        <v>251</v>
      </c>
      <c r="L125" s="13" t="s">
        <v>912</v>
      </c>
      <c r="Q125" s="13">
        <v>0</v>
      </c>
      <c r="R125" s="13">
        <v>31761892</v>
      </c>
    </row>
    <row r="126" spans="1:18" ht="28.5" customHeight="1">
      <c r="B126" s="992"/>
      <c r="C126" s="913"/>
      <c r="D126" s="605" t="s">
        <v>269</v>
      </c>
      <c r="E126" s="605" t="s">
        <v>270</v>
      </c>
      <c r="F126" s="605" t="s">
        <v>271</v>
      </c>
      <c r="G126" s="605" t="s">
        <v>272</v>
      </c>
      <c r="H126" s="981"/>
      <c r="L126" s="13" t="s">
        <v>913</v>
      </c>
      <c r="Q126" s="13">
        <v>0</v>
      </c>
      <c r="R126" s="13">
        <v>0</v>
      </c>
    </row>
    <row r="127" spans="1:18" ht="15">
      <c r="B127" s="982" t="s">
        <v>273</v>
      </c>
      <c r="C127" s="983"/>
      <c r="D127" s="606">
        <f>+H105</f>
        <v>0</v>
      </c>
      <c r="E127" s="606">
        <v>0</v>
      </c>
      <c r="F127" s="606">
        <v>0</v>
      </c>
      <c r="G127" s="607">
        <v>0</v>
      </c>
      <c r="H127" s="608">
        <f>SUM(D127:G127)</f>
        <v>0</v>
      </c>
      <c r="L127" s="13" t="s">
        <v>914</v>
      </c>
      <c r="Q127" s="13">
        <v>0</v>
      </c>
      <c r="R127" s="13">
        <v>0</v>
      </c>
    </row>
    <row r="128" spans="1:18" ht="15">
      <c r="B128" s="984" t="s">
        <v>274</v>
      </c>
      <c r="C128" s="985"/>
      <c r="D128" s="606">
        <f>+H106</f>
        <v>0</v>
      </c>
      <c r="E128" s="606">
        <v>0</v>
      </c>
      <c r="F128" s="606">
        <v>0</v>
      </c>
      <c r="G128" s="607">
        <v>0</v>
      </c>
      <c r="H128" s="606">
        <f>SUM(D128:G128)</f>
        <v>0</v>
      </c>
    </row>
    <row r="129" spans="1:18" ht="15">
      <c r="B129" s="984" t="s">
        <v>275</v>
      </c>
      <c r="C129" s="985"/>
      <c r="D129" s="606">
        <v>0</v>
      </c>
      <c r="E129" s="606">
        <v>0</v>
      </c>
      <c r="F129" s="606">
        <v>0</v>
      </c>
      <c r="G129" s="607">
        <v>0</v>
      </c>
      <c r="H129" s="608">
        <f>SUM(D129:G129)</f>
        <v>0</v>
      </c>
      <c r="J129" s="13" t="s">
        <v>916</v>
      </c>
      <c r="Q129" s="13">
        <v>0</v>
      </c>
      <c r="R129" s="13">
        <v>0</v>
      </c>
    </row>
    <row r="130" spans="1:18" ht="15">
      <c r="B130" s="989" t="s">
        <v>276</v>
      </c>
      <c r="C130" s="985"/>
      <c r="D130" s="606">
        <v>0</v>
      </c>
      <c r="E130" s="606">
        <v>0</v>
      </c>
      <c r="F130" s="606">
        <v>0</v>
      </c>
      <c r="G130" s="607">
        <v>0</v>
      </c>
      <c r="H130" s="608">
        <f>SUM(D130:G130)</f>
        <v>0</v>
      </c>
      <c r="J130" s="13" t="s">
        <v>917</v>
      </c>
      <c r="Q130" s="13">
        <v>0</v>
      </c>
      <c r="R130" s="13">
        <v>0</v>
      </c>
    </row>
    <row r="131" spans="1:18" ht="15.75" thickBot="1">
      <c r="B131" s="943"/>
      <c r="C131" s="990"/>
      <c r="D131" s="609"/>
      <c r="E131" s="609"/>
      <c r="F131" s="609"/>
      <c r="G131" s="610"/>
      <c r="H131" s="611"/>
    </row>
    <row r="132" spans="1:18" ht="6.95" customHeight="1" thickTop="1">
      <c r="B132" s="465"/>
      <c r="C132" s="465"/>
      <c r="D132" s="466"/>
      <c r="E132" s="466"/>
      <c r="F132" s="466"/>
      <c r="G132" s="466"/>
      <c r="H132" s="467"/>
    </row>
    <row r="133" spans="1:18" ht="13.15" customHeight="1">
      <c r="B133" s="519" t="s">
        <v>277</v>
      </c>
      <c r="C133" s="465"/>
      <c r="D133" s="465"/>
      <c r="E133" s="465"/>
      <c r="F133" s="465"/>
      <c r="G133" s="468"/>
      <c r="H133" s="469"/>
    </row>
    <row r="134" spans="1:18" ht="13.15" customHeight="1">
      <c r="B134" s="520" t="s">
        <v>278</v>
      </c>
      <c r="C134" s="465"/>
      <c r="D134" s="465"/>
      <c r="E134" s="465"/>
      <c r="F134" s="465"/>
      <c r="G134" s="468"/>
      <c r="H134" s="469"/>
    </row>
    <row r="135" spans="1:18" ht="26.45" customHeight="1">
      <c r="B135" s="934" t="s">
        <v>902</v>
      </c>
      <c r="C135" s="934"/>
      <c r="D135" s="934"/>
      <c r="E135" s="934"/>
      <c r="F135" s="934"/>
      <c r="G135" s="934"/>
      <c r="H135" s="934"/>
    </row>
    <row r="136" spans="1:18">
      <c r="B136" s="6"/>
      <c r="C136" s="1"/>
      <c r="D136" s="1"/>
      <c r="E136" s="1"/>
      <c r="F136" s="1"/>
      <c r="G136" s="2"/>
      <c r="H136" s="1"/>
    </row>
    <row r="137" spans="1:18">
      <c r="A137" s="477" t="str">
        <f>BS!D28</f>
        <v>AUTO</v>
      </c>
      <c r="B137" s="201" t="s">
        <v>279</v>
      </c>
    </row>
    <row r="138" spans="1:18" ht="24">
      <c r="B138" s="939" t="s">
        <v>110</v>
      </c>
      <c r="C138" s="940"/>
      <c r="D138" s="940"/>
      <c r="E138" s="940"/>
      <c r="F138" s="941"/>
      <c r="G138" s="603" t="str">
        <f>+G103</f>
        <v>As at 31st March, 20XX</v>
      </c>
      <c r="H138" s="603" t="str">
        <f>+H103</f>
        <v>As at 31st March, 20XX</v>
      </c>
    </row>
    <row r="139" spans="1:18">
      <c r="B139" s="470"/>
      <c r="C139" s="39"/>
      <c r="D139" s="39"/>
      <c r="E139" s="39"/>
      <c r="F139" s="40"/>
      <c r="G139" s="471"/>
      <c r="H139" s="472"/>
    </row>
    <row r="140" spans="1:18">
      <c r="B140" s="226" t="s">
        <v>280</v>
      </c>
      <c r="C140" s="25"/>
      <c r="D140" s="25"/>
      <c r="E140" s="25"/>
      <c r="F140" s="66"/>
      <c r="G140" s="225">
        <v>0</v>
      </c>
      <c r="H140" s="221">
        <v>0</v>
      </c>
    </row>
    <row r="141" spans="1:18">
      <c r="B141" s="226" t="s">
        <v>281</v>
      </c>
      <c r="C141" s="25"/>
      <c r="D141" s="25"/>
      <c r="E141" s="25"/>
      <c r="F141" s="66"/>
      <c r="G141" s="225">
        <v>0</v>
      </c>
      <c r="H141" s="221">
        <v>0</v>
      </c>
    </row>
    <row r="142" spans="1:18">
      <c r="B142" s="226" t="s">
        <v>282</v>
      </c>
      <c r="C142" s="25"/>
      <c r="D142" s="25"/>
      <c r="E142" s="25"/>
      <c r="F142" s="66"/>
      <c r="G142" s="225">
        <v>0</v>
      </c>
      <c r="H142" s="221">
        <v>0</v>
      </c>
      <c r="I142" s="14"/>
      <c r="J142" s="14"/>
      <c r="K142" s="14"/>
    </row>
    <row r="143" spans="1:18">
      <c r="B143" s="226" t="s">
        <v>283</v>
      </c>
      <c r="C143" s="25"/>
      <c r="D143" s="25"/>
      <c r="E143" s="25"/>
      <c r="F143" s="66"/>
      <c r="G143" s="225">
        <v>0</v>
      </c>
      <c r="H143" s="221">
        <v>0</v>
      </c>
      <c r="I143" s="14"/>
      <c r="J143" s="14"/>
      <c r="K143" s="14"/>
    </row>
    <row r="144" spans="1:18">
      <c r="B144" s="226" t="s">
        <v>284</v>
      </c>
      <c r="C144" s="25"/>
      <c r="D144" s="25"/>
      <c r="E144" s="25"/>
      <c r="F144" s="66"/>
      <c r="G144" s="225">
        <v>0</v>
      </c>
      <c r="H144" s="221">
        <v>0</v>
      </c>
    </row>
    <row r="145" spans="1:8">
      <c r="B145" s="226" t="s">
        <v>285</v>
      </c>
      <c r="C145" s="25"/>
      <c r="D145" s="25"/>
      <c r="E145" s="25"/>
      <c r="F145" s="66"/>
      <c r="G145" s="56">
        <v>0</v>
      </c>
      <c r="H145" s="57">
        <v>0</v>
      </c>
    </row>
    <row r="146" spans="1:8">
      <c r="B146" s="67"/>
      <c r="C146" s="25"/>
      <c r="D146" s="25"/>
      <c r="E146" s="25"/>
      <c r="F146" s="66"/>
      <c r="G146" s="56"/>
      <c r="H146" s="57"/>
    </row>
    <row r="147" spans="1:8" ht="13.9" customHeight="1" thickBot="1">
      <c r="B147" s="935" t="s">
        <v>251</v>
      </c>
      <c r="C147" s="936"/>
      <c r="D147" s="445"/>
      <c r="E147" s="445"/>
      <c r="F147" s="84"/>
      <c r="G147" s="428">
        <f>SUM(G140:G146)</f>
        <v>0</v>
      </c>
      <c r="H147" s="428">
        <f>SUM(H140:H145)</f>
        <v>0</v>
      </c>
    </row>
    <row r="148" spans="1:8" ht="12" customHeight="1" thickTop="1">
      <c r="B148" s="25"/>
      <c r="C148" s="25"/>
      <c r="D148" s="25"/>
      <c r="E148" s="25"/>
      <c r="F148" s="25"/>
      <c r="G148" s="59"/>
      <c r="H148" s="473"/>
    </row>
    <row r="149" spans="1:8">
      <c r="A149" s="477" t="str">
        <f>BS!D29</f>
        <v>AUTO</v>
      </c>
      <c r="B149" s="201" t="s">
        <v>286</v>
      </c>
    </row>
    <row r="150" spans="1:8" ht="24">
      <c r="B150" s="939" t="s">
        <v>110</v>
      </c>
      <c r="C150" s="940"/>
      <c r="D150" s="940"/>
      <c r="E150" s="940"/>
      <c r="F150" s="941"/>
      <c r="G150" s="603" t="str">
        <f>+G138</f>
        <v>As at 31st March, 20XX</v>
      </c>
      <c r="H150" s="603" t="str">
        <f>+H138</f>
        <v>As at 31st March, 20XX</v>
      </c>
    </row>
    <row r="151" spans="1:8">
      <c r="B151" s="454"/>
      <c r="C151" s="81"/>
      <c r="D151" s="81"/>
      <c r="E151" s="81"/>
      <c r="F151" s="76"/>
      <c r="G151" s="455"/>
      <c r="H151" s="447"/>
    </row>
    <row r="152" spans="1:8">
      <c r="B152" s="600" t="s">
        <v>261</v>
      </c>
      <c r="C152" s="25"/>
      <c r="D152" s="25"/>
      <c r="E152" s="25"/>
      <c r="F152" s="66"/>
      <c r="G152" s="221">
        <v>0</v>
      </c>
      <c r="H152" s="221">
        <v>0</v>
      </c>
    </row>
    <row r="153" spans="1:8">
      <c r="B153" s="932" t="s">
        <v>968</v>
      </c>
      <c r="C153" s="918"/>
      <c r="D153" s="918"/>
      <c r="E153" s="918"/>
      <c r="F153" s="66"/>
      <c r="G153" s="221">
        <v>0</v>
      </c>
      <c r="H153" s="221">
        <v>0</v>
      </c>
    </row>
    <row r="154" spans="1:8">
      <c r="B154" s="502" t="s">
        <v>969</v>
      </c>
      <c r="F154" s="66"/>
      <c r="G154" s="225">
        <v>0</v>
      </c>
      <c r="H154" s="221">
        <v>0</v>
      </c>
    </row>
    <row r="155" spans="1:8">
      <c r="B155" s="456"/>
      <c r="F155" s="66"/>
      <c r="G155" s="225"/>
      <c r="H155" s="221"/>
    </row>
    <row r="156" spans="1:8">
      <c r="B156" s="456"/>
      <c r="F156" s="66"/>
      <c r="G156" s="225"/>
      <c r="H156" s="221"/>
    </row>
    <row r="157" spans="1:8">
      <c r="B157" s="456"/>
      <c r="F157" s="66"/>
      <c r="G157" s="225"/>
      <c r="H157" s="221"/>
    </row>
    <row r="158" spans="1:8">
      <c r="B158" s="67"/>
      <c r="C158" s="25"/>
      <c r="D158" s="25"/>
      <c r="E158" s="25"/>
      <c r="F158" s="66"/>
      <c r="G158" s="56"/>
      <c r="H158" s="451"/>
    </row>
    <row r="159" spans="1:8" ht="13.9" customHeight="1" thickBot="1">
      <c r="B159" s="935" t="s">
        <v>251</v>
      </c>
      <c r="C159" s="936"/>
      <c r="D159" s="445"/>
      <c r="E159" s="445"/>
      <c r="F159" s="84"/>
      <c r="G159" s="428">
        <f>SUM(G152:G158)</f>
        <v>0</v>
      </c>
      <c r="H159" s="428">
        <f>SUM(H152:H158)</f>
        <v>0</v>
      </c>
    </row>
    <row r="160" spans="1:8" ht="13.9" customHeight="1" thickTop="1">
      <c r="B160" s="452"/>
      <c r="C160" s="452"/>
      <c r="D160" s="25"/>
      <c r="E160" s="25"/>
      <c r="F160" s="86"/>
      <c r="G160" s="87"/>
      <c r="H160" s="87"/>
    </row>
    <row r="163" spans="1:8">
      <c r="A163" s="930" t="s">
        <v>226</v>
      </c>
      <c r="B163" s="918"/>
      <c r="C163" s="918"/>
      <c r="D163" s="918"/>
      <c r="E163" s="918"/>
      <c r="F163" s="918"/>
      <c r="G163" s="931"/>
      <c r="H163" s="918"/>
    </row>
  </sheetData>
  <mergeCells count="60">
    <mergeCell ref="B129:C129"/>
    <mergeCell ref="B130:C130"/>
    <mergeCell ref="B131:C131"/>
    <mergeCell ref="B125:C126"/>
    <mergeCell ref="D125:G125"/>
    <mergeCell ref="H125:H126"/>
    <mergeCell ref="B127:C127"/>
    <mergeCell ref="B128:C128"/>
    <mergeCell ref="B82:F82"/>
    <mergeCell ref="B90:F90"/>
    <mergeCell ref="B103:F103"/>
    <mergeCell ref="A111:H111"/>
    <mergeCell ref="A112:G112"/>
    <mergeCell ref="A113:H113"/>
    <mergeCell ref="B106:E106"/>
    <mergeCell ref="B118:C118"/>
    <mergeCell ref="D116:G116"/>
    <mergeCell ref="B79:C79"/>
    <mergeCell ref="D33:E33"/>
    <mergeCell ref="B33:C34"/>
    <mergeCell ref="B100:C100"/>
    <mergeCell ref="B73:F73"/>
    <mergeCell ref="B70:C70"/>
    <mergeCell ref="B38:C38"/>
    <mergeCell ref="B77:E77"/>
    <mergeCell ref="A57:H57"/>
    <mergeCell ref="B54:C54"/>
    <mergeCell ref="A58:G58"/>
    <mergeCell ref="A59:H59"/>
    <mergeCell ref="B76:E76"/>
    <mergeCell ref="B41:F41"/>
    <mergeCell ref="B61:F61"/>
    <mergeCell ref="B32:E32"/>
    <mergeCell ref="F33:G33"/>
    <mergeCell ref="A2:H2"/>
    <mergeCell ref="A3:G3"/>
    <mergeCell ref="E24:F24"/>
    <mergeCell ref="B24:D25"/>
    <mergeCell ref="B6:F6"/>
    <mergeCell ref="B16:F16"/>
    <mergeCell ref="A33:A34"/>
    <mergeCell ref="H33:H34"/>
    <mergeCell ref="A4:H4"/>
    <mergeCell ref="G24:H24"/>
    <mergeCell ref="A163:H163"/>
    <mergeCell ref="B153:E153"/>
    <mergeCell ref="B85:E85"/>
    <mergeCell ref="B135:H135"/>
    <mergeCell ref="B147:C147"/>
    <mergeCell ref="B87:C87"/>
    <mergeCell ref="B159:C159"/>
    <mergeCell ref="B108:C108"/>
    <mergeCell ref="B119:C119"/>
    <mergeCell ref="B138:F138"/>
    <mergeCell ref="B150:F150"/>
    <mergeCell ref="B121:C121"/>
    <mergeCell ref="B122:C122"/>
    <mergeCell ref="B120:C120"/>
    <mergeCell ref="H116:H117"/>
    <mergeCell ref="B116:C117"/>
  </mergeCells>
  <conditionalFormatting sqref="B35:C36">
    <cfRule type="cellIs" dxfId="34" priority="10" stopIfTrue="1" operator="lessThan">
      <formula>0</formula>
    </cfRule>
  </conditionalFormatting>
  <conditionalFormatting sqref="E24 G24 G41:H46">
    <cfRule type="cellIs" dxfId="33" priority="11" stopIfTrue="1" operator="lessThan">
      <formula>0</formula>
    </cfRule>
  </conditionalFormatting>
  <conditionalFormatting sqref="G6:H6 G61:H62">
    <cfRule type="cellIs" dxfId="32" priority="114" stopIfTrue="1" operator="lessThan">
      <formula>0</formula>
    </cfRule>
  </conditionalFormatting>
  <conditionalFormatting sqref="G16:H16">
    <cfRule type="cellIs" dxfId="31" priority="12" stopIfTrue="1" operator="lessThan">
      <formula>0</formula>
    </cfRule>
  </conditionalFormatting>
  <conditionalFormatting sqref="G73:H74">
    <cfRule type="cellIs" dxfId="30" priority="8" stopIfTrue="1" operator="lessThan">
      <formula>0</formula>
    </cfRule>
  </conditionalFormatting>
  <conditionalFormatting sqref="G82:H83">
    <cfRule type="cellIs" dxfId="29" priority="7" stopIfTrue="1" operator="lessThan">
      <formula>0</formula>
    </cfRule>
  </conditionalFormatting>
  <conditionalFormatting sqref="G90:H91">
    <cfRule type="cellIs" dxfId="28" priority="5" stopIfTrue="1" operator="lessThan">
      <formula>0</formula>
    </cfRule>
  </conditionalFormatting>
  <conditionalFormatting sqref="G103:H104">
    <cfRule type="cellIs" dxfId="27" priority="3" stopIfTrue="1" operator="lessThan">
      <formula>0</formula>
    </cfRule>
  </conditionalFormatting>
  <conditionalFormatting sqref="G138:H139">
    <cfRule type="cellIs" dxfId="26" priority="2" stopIfTrue="1" operator="lessThan">
      <formula>0</formula>
    </cfRule>
  </conditionalFormatting>
  <conditionalFormatting sqref="G150:H151">
    <cfRule type="cellIs" dxfId="25" priority="1" stopIfTrue="1" operator="lessThan">
      <formula>0</formula>
    </cfRule>
  </conditionalFormatting>
  <conditionalFormatting sqref="H17 B26:B29">
    <cfRule type="cellIs" dxfId="24" priority="141" stopIfTrue="1" operator="lessThan">
      <formula>0</formula>
    </cfRule>
  </conditionalFormatting>
  <conditionalFormatting sqref="H17">
    <cfRule type="cellIs" dxfId="23" priority="21" stopIfTrue="1" operator="lessThan">
      <formula>0</formula>
    </cfRule>
  </conditionalFormatting>
  <printOptions horizontalCentered="1"/>
  <pageMargins left="0.35" right="0.35" top="0.55000000000000004" bottom="0.55000000000000004" header="0.2" footer="0.2"/>
  <pageSetup paperSize="9" fitToHeight="0" orientation="portrait" r:id="rId1"/>
  <headerFooter>
    <oddFooter>&amp;LCAFlow template&amp;RPage &amp;P of &amp;N</oddFooter>
  </headerFooter>
  <rowBreaks count="2" manualBreakCount="2">
    <brk id="55" max="7" man="1"/>
    <brk id="109" max="7" man="1"/>
  </rowBreaks>
  <ignoredErrors>
    <ignoredError sqref="F22"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P205"/>
  <sheetViews>
    <sheetView showGridLines="0" zoomScaleNormal="100" zoomScaleSheetLayoutView="100" workbookViewId="0">
      <selection activeCell="L22" sqref="L22"/>
    </sheetView>
  </sheetViews>
  <sheetFormatPr defaultColWidth="9.28515625" defaultRowHeight="12"/>
  <cols>
    <col min="1" max="1" width="7.28515625" style="42" bestFit="1" customWidth="1"/>
    <col min="2" max="2" width="18.85546875" style="43" customWidth="1"/>
    <col min="3" max="3" width="10.7109375" style="637" customWidth="1"/>
    <col min="4" max="4" width="10.28515625" style="42" bestFit="1" customWidth="1"/>
    <col min="5" max="5" width="10.7109375" style="3" customWidth="1"/>
    <col min="6" max="6" width="11.42578125" style="42" bestFit="1" customWidth="1"/>
    <col min="7" max="8" width="10.7109375" style="42" customWidth="1"/>
    <col min="9" max="9" width="11.28515625" style="42" customWidth="1"/>
    <col min="10" max="10" width="9" style="42" customWidth="1"/>
    <col min="11" max="11" width="10.28515625" style="42" customWidth="1"/>
    <col min="12" max="12" width="10.28515625" style="42" bestFit="1" customWidth="1"/>
    <col min="13" max="13" width="11.5703125" style="3" customWidth="1"/>
    <col min="14" max="14" width="8.7109375" style="42" bestFit="1" customWidth="1"/>
    <col min="15" max="15" width="9.28515625" style="42" customWidth="1"/>
    <col min="16" max="16384" width="9.28515625" style="42"/>
  </cols>
  <sheetData>
    <row r="1" spans="1:15">
      <c r="N1" s="44"/>
    </row>
    <row r="2" spans="1:15">
      <c r="A2" s="227" t="str">
        <f>BS!B2</f>
        <v>[NAME OF THE COMPANY]</v>
      </c>
      <c r="B2" s="38"/>
      <c r="C2" s="638"/>
      <c r="D2" s="38"/>
      <c r="E2" s="38"/>
      <c r="F2" s="38"/>
      <c r="G2" s="38"/>
      <c r="H2" s="38"/>
      <c r="I2" s="38"/>
      <c r="J2" s="38"/>
      <c r="K2" s="38"/>
      <c r="L2" s="38"/>
      <c r="M2" s="38"/>
      <c r="N2" s="45"/>
    </row>
    <row r="3" spans="1:15" ht="15">
      <c r="A3" s="227"/>
      <c r="B3" s="38"/>
      <c r="C3" s="638"/>
      <c r="D3"/>
      <c r="E3"/>
      <c r="F3" s="38"/>
      <c r="G3" s="38"/>
      <c r="H3" s="38"/>
      <c r="I3" s="38"/>
      <c r="J3" s="38"/>
      <c r="K3" s="38"/>
      <c r="L3" s="38"/>
      <c r="M3" s="38"/>
      <c r="N3" s="45"/>
    </row>
    <row r="4" spans="1:15" ht="15.75">
      <c r="A4" s="416" t="str">
        <f>BS!D37</f>
        <v>AUTO</v>
      </c>
      <c r="B4" s="417" t="s">
        <v>959</v>
      </c>
      <c r="C4" s="635"/>
      <c r="D4" s="88"/>
      <c r="E4" s="62"/>
      <c r="F4" s="88"/>
      <c r="G4" s="88"/>
      <c r="H4" s="88"/>
      <c r="I4" s="88"/>
      <c r="J4" s="88"/>
      <c r="K4" s="88"/>
      <c r="L4" s="88"/>
      <c r="M4" s="62"/>
    </row>
    <row r="5" spans="1:15" ht="12.75" customHeight="1">
      <c r="B5" s="418" t="s">
        <v>1005</v>
      </c>
      <c r="C5" s="418"/>
      <c r="D5" s="88"/>
      <c r="E5" s="62"/>
      <c r="F5" s="88"/>
      <c r="G5" s="88"/>
      <c r="H5" s="88"/>
      <c r="I5" s="88"/>
      <c r="J5" s="88"/>
      <c r="K5" s="88"/>
      <c r="L5" s="88"/>
      <c r="M5" s="419" t="str">
        <f>+BS!E5</f>
        <v>(Amount in Rs. `000)</v>
      </c>
      <c r="N5" s="7"/>
    </row>
    <row r="6" spans="1:15" ht="19.5" customHeight="1">
      <c r="A6"/>
      <c r="B6" s="1004" t="s">
        <v>110</v>
      </c>
      <c r="C6" s="1002" t="s">
        <v>951</v>
      </c>
      <c r="D6" s="998" t="s">
        <v>288</v>
      </c>
      <c r="E6" s="999"/>
      <c r="F6" s="999"/>
      <c r="G6" s="1000"/>
      <c r="H6" s="1001" t="s">
        <v>289</v>
      </c>
      <c r="I6" s="999"/>
      <c r="J6" s="999"/>
      <c r="K6" s="1000"/>
      <c r="L6" s="998" t="s">
        <v>290</v>
      </c>
      <c r="M6" s="1000"/>
      <c r="N6" s="612"/>
    </row>
    <row r="7" spans="1:15" s="616" customFormat="1" ht="39.75" customHeight="1">
      <c r="A7"/>
      <c r="B7" s="1005"/>
      <c r="C7" s="1003"/>
      <c r="D7" s="613" t="s">
        <v>1010</v>
      </c>
      <c r="E7" s="614" t="s">
        <v>291</v>
      </c>
      <c r="F7" s="613" t="s">
        <v>292</v>
      </c>
      <c r="G7" s="613" t="str">
        <f>+'Note BS-Liab'!G6</f>
        <v>As at 31st March, 20XX</v>
      </c>
      <c r="H7" s="613" t="s">
        <v>1010</v>
      </c>
      <c r="I7" s="613" t="s">
        <v>291</v>
      </c>
      <c r="J7" s="613" t="s">
        <v>292</v>
      </c>
      <c r="K7" s="613" t="str">
        <f>+G7</f>
        <v>As at 31st March, 20XX</v>
      </c>
      <c r="L7" s="614" t="str">
        <f>+K7</f>
        <v>As at 31st March, 20XX</v>
      </c>
      <c r="M7" s="614" t="s">
        <v>1011</v>
      </c>
      <c r="N7" s="615"/>
    </row>
    <row r="8" spans="1:15" ht="15">
      <c r="A8"/>
      <c r="B8" s="89"/>
      <c r="C8" s="641"/>
      <c r="D8" s="90"/>
      <c r="E8" s="91"/>
      <c r="F8" s="90"/>
      <c r="G8" s="90"/>
      <c r="H8" s="92"/>
      <c r="I8" s="93"/>
      <c r="J8" s="90"/>
      <c r="K8" s="90"/>
      <c r="L8" s="90"/>
      <c r="M8" s="91"/>
      <c r="N8" s="46"/>
    </row>
    <row r="9" spans="1:15" ht="24">
      <c r="A9"/>
      <c r="B9" s="228" t="s">
        <v>287</v>
      </c>
      <c r="C9" s="642"/>
      <c r="D9" s="94"/>
      <c r="E9" s="95"/>
      <c r="F9" s="94"/>
      <c r="G9" s="94"/>
      <c r="H9" s="96"/>
      <c r="I9" s="94"/>
      <c r="J9" s="94"/>
      <c r="K9" s="94"/>
      <c r="L9" s="94"/>
      <c r="M9" s="95"/>
      <c r="N9" s="47"/>
    </row>
    <row r="10" spans="1:15">
      <c r="B10" s="97" t="s">
        <v>948</v>
      </c>
      <c r="C10" s="639"/>
      <c r="D10" s="230"/>
      <c r="E10" s="231"/>
      <c r="F10" s="230"/>
      <c r="G10" s="232"/>
      <c r="H10" s="232"/>
      <c r="I10" s="230"/>
      <c r="J10" s="232"/>
      <c r="K10" s="232"/>
      <c r="L10" s="232"/>
      <c r="M10" s="232"/>
      <c r="N10" s="48"/>
      <c r="O10" s="49"/>
    </row>
    <row r="11" spans="1:15">
      <c r="B11" s="97" t="s">
        <v>962</v>
      </c>
      <c r="C11" s="643">
        <v>30</v>
      </c>
      <c r="D11" s="230">
        <v>0</v>
      </c>
      <c r="E11" s="231">
        <v>0</v>
      </c>
      <c r="F11" s="230">
        <v>0</v>
      </c>
      <c r="G11" s="232">
        <f>D11+E11-F11</f>
        <v>0</v>
      </c>
      <c r="H11" s="232">
        <v>0</v>
      </c>
      <c r="I11" s="230">
        <v>0</v>
      </c>
      <c r="J11" s="232">
        <v>0</v>
      </c>
      <c r="K11" s="232">
        <f>H11+I11-J11</f>
        <v>0</v>
      </c>
      <c r="L11" s="232">
        <f>+G11-K11</f>
        <v>0</v>
      </c>
      <c r="M11" s="232">
        <f>D11-H11</f>
        <v>0</v>
      </c>
      <c r="N11" s="48"/>
      <c r="O11" s="49"/>
    </row>
    <row r="12" spans="1:15">
      <c r="B12" s="97" t="s">
        <v>949</v>
      </c>
      <c r="C12" s="643">
        <v>15</v>
      </c>
      <c r="D12" s="230">
        <v>0</v>
      </c>
      <c r="E12" s="231">
        <v>0</v>
      </c>
      <c r="F12" s="230">
        <v>0</v>
      </c>
      <c r="G12" s="232">
        <f t="shared" ref="G12:G13" si="0">D12+E12-F12</f>
        <v>0</v>
      </c>
      <c r="H12" s="232">
        <v>0</v>
      </c>
      <c r="I12" s="230">
        <v>0</v>
      </c>
      <c r="J12" s="232">
        <v>0</v>
      </c>
      <c r="K12" s="232">
        <f t="shared" ref="K12:K13" si="1">H12+I12-J12</f>
        <v>0</v>
      </c>
      <c r="L12" s="232">
        <f t="shared" ref="L12:L13" si="2">+G12-K12</f>
        <v>0</v>
      </c>
      <c r="M12" s="232">
        <f t="shared" ref="M12:M13" si="3">D12-H12</f>
        <v>0</v>
      </c>
      <c r="N12" s="48"/>
      <c r="O12" s="49"/>
    </row>
    <row r="13" spans="1:15">
      <c r="B13" s="97" t="s">
        <v>950</v>
      </c>
      <c r="C13" s="643">
        <v>10</v>
      </c>
      <c r="D13" s="230">
        <v>0</v>
      </c>
      <c r="E13" s="231">
        <v>0</v>
      </c>
      <c r="F13" s="230">
        <v>0</v>
      </c>
      <c r="G13" s="232">
        <f t="shared" si="0"/>
        <v>0</v>
      </c>
      <c r="H13" s="232">
        <v>0</v>
      </c>
      <c r="I13" s="230">
        <v>0</v>
      </c>
      <c r="J13" s="232">
        <v>0</v>
      </c>
      <c r="K13" s="232">
        <f t="shared" si="1"/>
        <v>0</v>
      </c>
      <c r="L13" s="232">
        <f t="shared" si="2"/>
        <v>0</v>
      </c>
      <c r="M13" s="232">
        <f t="shared" si="3"/>
        <v>0</v>
      </c>
      <c r="N13" s="48"/>
      <c r="O13" s="49"/>
    </row>
    <row r="14" spans="1:15">
      <c r="B14" s="229" t="s">
        <v>293</v>
      </c>
      <c r="C14" s="644">
        <v>3</v>
      </c>
      <c r="D14" s="230">
        <v>0</v>
      </c>
      <c r="E14" s="231">
        <v>0</v>
      </c>
      <c r="F14" s="230">
        <v>0</v>
      </c>
      <c r="G14" s="232">
        <f>D14+E14-F14</f>
        <v>0</v>
      </c>
      <c r="H14" s="232">
        <v>0</v>
      </c>
      <c r="I14" s="230">
        <v>0</v>
      </c>
      <c r="J14" s="232">
        <v>0</v>
      </c>
      <c r="K14" s="232">
        <f>H14+I14</f>
        <v>0</v>
      </c>
      <c r="L14" s="232">
        <f>G14-K14</f>
        <v>0</v>
      </c>
      <c r="M14" s="232">
        <f>D14-H14</f>
        <v>0</v>
      </c>
      <c r="N14" s="48"/>
      <c r="O14" s="49"/>
    </row>
    <row r="15" spans="1:15">
      <c r="B15" s="229" t="s">
        <v>294</v>
      </c>
      <c r="C15" s="644">
        <v>5</v>
      </c>
      <c r="D15" s="230">
        <v>0</v>
      </c>
      <c r="E15" s="231">
        <v>0</v>
      </c>
      <c r="F15" s="230">
        <v>0</v>
      </c>
      <c r="G15" s="232">
        <f>D15+E15-F15</f>
        <v>0</v>
      </c>
      <c r="H15" s="232">
        <v>0</v>
      </c>
      <c r="I15" s="230">
        <v>0</v>
      </c>
      <c r="J15" s="232">
        <v>0</v>
      </c>
      <c r="K15" s="232">
        <f>H15+I15</f>
        <v>0</v>
      </c>
      <c r="L15" s="232">
        <f>G15-K15</f>
        <v>0</v>
      </c>
      <c r="M15" s="232">
        <f>D15-H15</f>
        <v>0</v>
      </c>
      <c r="N15" s="48"/>
      <c r="O15" s="49"/>
    </row>
    <row r="16" spans="1:15">
      <c r="B16" s="229" t="s">
        <v>295</v>
      </c>
      <c r="C16" s="644">
        <v>10</v>
      </c>
      <c r="D16" s="230">
        <v>0</v>
      </c>
      <c r="E16" s="231">
        <v>0</v>
      </c>
      <c r="F16" s="230">
        <v>0</v>
      </c>
      <c r="G16" s="232">
        <f>D16+E16-F16</f>
        <v>0</v>
      </c>
      <c r="H16" s="232">
        <v>0</v>
      </c>
      <c r="I16" s="230">
        <v>0</v>
      </c>
      <c r="J16" s="232">
        <v>0</v>
      </c>
      <c r="K16" s="232">
        <f>H16+I16</f>
        <v>0</v>
      </c>
      <c r="L16" s="232">
        <f>G16-K16</f>
        <v>0</v>
      </c>
      <c r="M16" s="232">
        <f>D16-H16</f>
        <v>0</v>
      </c>
      <c r="N16" s="48"/>
      <c r="O16" s="49"/>
    </row>
    <row r="17" spans="2:16">
      <c r="B17" s="229" t="s">
        <v>296</v>
      </c>
      <c r="C17" s="644">
        <v>8</v>
      </c>
      <c r="D17" s="230">
        <v>0</v>
      </c>
      <c r="E17" s="231">
        <v>0</v>
      </c>
      <c r="F17" s="230">
        <v>0</v>
      </c>
      <c r="G17" s="232">
        <f>D17+E17-F17</f>
        <v>0</v>
      </c>
      <c r="H17" s="232">
        <v>0</v>
      </c>
      <c r="I17" s="230">
        <v>0</v>
      </c>
      <c r="J17" s="232">
        <v>0</v>
      </c>
      <c r="K17" s="232">
        <f>H17+I17</f>
        <v>0</v>
      </c>
      <c r="L17" s="232">
        <f>G17-K17</f>
        <v>0</v>
      </c>
      <c r="M17" s="232">
        <f>D17-H17</f>
        <v>0</v>
      </c>
      <c r="N17" s="48"/>
    </row>
    <row r="18" spans="2:16">
      <c r="B18" s="229"/>
      <c r="C18" s="644"/>
      <c r="D18" s="230"/>
      <c r="E18" s="231"/>
      <c r="F18" s="230"/>
      <c r="G18" s="232"/>
      <c r="H18" s="231"/>
      <c r="I18" s="230"/>
      <c r="J18" s="232"/>
      <c r="K18" s="232"/>
      <c r="L18" s="232"/>
      <c r="M18" s="232"/>
      <c r="N18" s="48"/>
    </row>
    <row r="19" spans="2:16">
      <c r="B19" s="228" t="s">
        <v>960</v>
      </c>
      <c r="C19" s="644"/>
      <c r="D19" s="230"/>
      <c r="E19" s="231"/>
      <c r="F19" s="230"/>
      <c r="G19" s="232"/>
      <c r="H19" s="231"/>
      <c r="I19" s="230"/>
      <c r="J19" s="232"/>
      <c r="K19" s="232"/>
      <c r="L19" s="232"/>
      <c r="M19" s="232"/>
      <c r="N19" s="48"/>
    </row>
    <row r="20" spans="2:16">
      <c r="B20" s="229" t="s">
        <v>961</v>
      </c>
      <c r="C20" s="644">
        <v>10</v>
      </c>
      <c r="D20" s="230">
        <v>0</v>
      </c>
      <c r="E20" s="231">
        <v>0</v>
      </c>
      <c r="F20" s="230">
        <v>0</v>
      </c>
      <c r="G20" s="232">
        <f>D20+E20-F20</f>
        <v>0</v>
      </c>
      <c r="H20" s="231">
        <v>0</v>
      </c>
      <c r="I20" s="230">
        <v>0</v>
      </c>
      <c r="J20" s="232">
        <v>0</v>
      </c>
      <c r="K20" s="232">
        <f>H20+I20</f>
        <v>0</v>
      </c>
      <c r="L20" s="232">
        <f>G20-K20</f>
        <v>0</v>
      </c>
      <c r="M20" s="232">
        <f>D20-H20</f>
        <v>0</v>
      </c>
      <c r="N20" s="48"/>
    </row>
    <row r="21" spans="2:16">
      <c r="B21" s="97"/>
      <c r="C21" s="639"/>
      <c r="D21" s="98"/>
      <c r="E21" s="98"/>
      <c r="F21" s="98"/>
      <c r="G21" s="98"/>
      <c r="H21" s="99"/>
      <c r="I21" s="98"/>
      <c r="J21" s="98"/>
      <c r="K21" s="98"/>
      <c r="L21" s="98"/>
      <c r="M21" s="98"/>
      <c r="N21" s="48"/>
    </row>
    <row r="22" spans="2:16" ht="12.75">
      <c r="B22" s="1006" t="s">
        <v>952</v>
      </c>
      <c r="C22" s="1007"/>
      <c r="D22" s="617">
        <f>SUM(D10:D21)</f>
        <v>0</v>
      </c>
      <c r="E22" s="617">
        <f t="shared" ref="E22:M22" si="4">SUM(E10:E21)</f>
        <v>0</v>
      </c>
      <c r="F22" s="617">
        <f t="shared" si="4"/>
        <v>0</v>
      </c>
      <c r="G22" s="617">
        <f t="shared" si="4"/>
        <v>0</v>
      </c>
      <c r="H22" s="617">
        <f t="shared" si="4"/>
        <v>0</v>
      </c>
      <c r="I22" s="617">
        <f t="shared" si="4"/>
        <v>0</v>
      </c>
      <c r="J22" s="617">
        <f t="shared" si="4"/>
        <v>0</v>
      </c>
      <c r="K22" s="617">
        <f t="shared" si="4"/>
        <v>0</v>
      </c>
      <c r="L22" s="617">
        <f t="shared" si="4"/>
        <v>0</v>
      </c>
      <c r="M22" s="617">
        <f t="shared" si="4"/>
        <v>0</v>
      </c>
      <c r="N22" s="50"/>
      <c r="P22" s="49"/>
    </row>
    <row r="23" spans="2:16" ht="12.75">
      <c r="B23" s="1006" t="s">
        <v>953</v>
      </c>
      <c r="C23" s="1007"/>
      <c r="D23" s="618">
        <v>0</v>
      </c>
      <c r="E23" s="618">
        <v>0</v>
      </c>
      <c r="F23" s="618">
        <v>0</v>
      </c>
      <c r="G23" s="618">
        <v>0</v>
      </c>
      <c r="H23" s="618">
        <v>0</v>
      </c>
      <c r="I23" s="618">
        <v>0</v>
      </c>
      <c r="J23" s="618">
        <v>0</v>
      </c>
      <c r="K23" s="618">
        <v>0</v>
      </c>
      <c r="L23" s="618">
        <v>0</v>
      </c>
      <c r="M23" s="618">
        <v>0</v>
      </c>
      <c r="N23" s="50"/>
      <c r="P23" s="49"/>
    </row>
    <row r="24" spans="2:16">
      <c r="B24" s="100"/>
      <c r="C24" s="638"/>
      <c r="D24" s="103"/>
      <c r="E24" s="103"/>
      <c r="F24" s="103"/>
      <c r="G24" s="103"/>
      <c r="H24" s="103"/>
      <c r="I24" s="103"/>
      <c r="J24" s="103"/>
      <c r="K24" s="103"/>
      <c r="L24" s="103"/>
      <c r="M24" s="103"/>
      <c r="N24" s="50"/>
      <c r="P24" s="49"/>
    </row>
    <row r="25" spans="2:16" ht="13.15" customHeight="1">
      <c r="B25" s="233" t="s">
        <v>297</v>
      </c>
      <c r="C25" s="640"/>
      <c r="D25" s="101"/>
      <c r="E25" s="101"/>
      <c r="F25" s="101"/>
      <c r="G25" s="101"/>
      <c r="H25" s="101"/>
      <c r="I25" s="101"/>
      <c r="J25" s="101"/>
      <c r="K25" s="101"/>
      <c r="L25" s="101"/>
      <c r="M25" s="102"/>
    </row>
    <row r="26" spans="2:16" ht="13.15" customHeight="1">
      <c r="B26" s="994" t="s">
        <v>1012</v>
      </c>
      <c r="C26" s="995"/>
      <c r="D26" s="996"/>
      <c r="E26" s="997"/>
      <c r="F26" s="996"/>
      <c r="G26" s="996"/>
      <c r="H26" s="996"/>
      <c r="I26" s="996"/>
      <c r="J26" s="996"/>
      <c r="K26" s="996"/>
      <c r="L26" s="996"/>
      <c r="M26" s="102"/>
    </row>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spans="2:3" hidden="1"/>
    <row r="194" spans="2:3" hidden="1"/>
    <row r="195" spans="2:3" hidden="1"/>
    <row r="196" spans="2:3" hidden="1"/>
    <row r="197" spans="2:3" hidden="1"/>
    <row r="198" spans="2:3" hidden="1"/>
    <row r="199" spans="2:3" hidden="1"/>
    <row r="200" spans="2:3" hidden="1"/>
    <row r="201" spans="2:3" hidden="1"/>
    <row r="202" spans="2:3" hidden="1"/>
    <row r="203" spans="2:3" hidden="1"/>
    <row r="204" spans="2:3" hidden="1"/>
    <row r="205" spans="2:3" hidden="1">
      <c r="B205" s="234" t="s">
        <v>298</v>
      </c>
      <c r="C205" s="636"/>
    </row>
  </sheetData>
  <mergeCells count="8">
    <mergeCell ref="B26:L26"/>
    <mergeCell ref="D6:G6"/>
    <mergeCell ref="H6:K6"/>
    <mergeCell ref="L6:M6"/>
    <mergeCell ref="C6:C7"/>
    <mergeCell ref="B6:B7"/>
    <mergeCell ref="B22:C22"/>
    <mergeCell ref="B23:C23"/>
  </mergeCells>
  <printOptions horizontalCentered="1"/>
  <pageMargins left="0.35" right="0.35" top="0.55000000000000004" bottom="0.55000000000000004" header="0.2" footer="0.2"/>
  <pageSetup paperSize="9" scale="92" fitToHeight="0" orientation="landscape"/>
  <headerFooter alignWithMargins="0">
    <oddFooter>&amp;LCAFlow template&amp;RPage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119"/>
  <sheetViews>
    <sheetView showGridLines="0" tabSelected="1" view="pageBreakPreview" topLeftCell="A76" zoomScaleNormal="100" zoomScaleSheetLayoutView="100" workbookViewId="0">
      <selection activeCell="K84" sqref="K84"/>
    </sheetView>
  </sheetViews>
  <sheetFormatPr defaultColWidth="9.28515625" defaultRowHeight="12"/>
  <cols>
    <col min="1" max="1" width="5.140625" style="13" customWidth="1"/>
    <col min="2" max="2" width="30.28515625" style="13" customWidth="1"/>
    <col min="3" max="3" width="8.28515625" style="13" customWidth="1"/>
    <col min="4" max="4" width="9.28515625" style="13" customWidth="1"/>
    <col min="5" max="5" width="11.7109375" style="13" customWidth="1"/>
    <col min="6" max="6" width="10.7109375" style="13" customWidth="1"/>
    <col min="7" max="7" width="11" style="20" customWidth="1"/>
    <col min="8" max="8" width="11.42578125" style="13" customWidth="1"/>
    <col min="9" max="9" width="13.28515625" style="13" bestFit="1" customWidth="1"/>
    <col min="10" max="10" width="9.28515625" style="13" customWidth="1"/>
    <col min="11" max="16384" width="9.28515625" style="13"/>
  </cols>
  <sheetData>
    <row r="1" spans="1:12" ht="15.75" customHeight="1">
      <c r="A1" s="1008" t="str">
        <f>BS!B2</f>
        <v>[NAME OF THE COMPANY]</v>
      </c>
      <c r="B1" s="1008"/>
      <c r="C1" s="1008"/>
      <c r="D1" s="1008"/>
      <c r="E1" s="1008"/>
      <c r="F1" s="1008"/>
      <c r="G1" s="1008"/>
      <c r="H1" s="1008"/>
    </row>
    <row r="2" spans="1:12" ht="15.75" customHeight="1">
      <c r="A2" s="305"/>
      <c r="B2" s="29"/>
      <c r="C2" s="29"/>
      <c r="D2" s="29"/>
      <c r="E2" s="29"/>
      <c r="F2" s="29"/>
      <c r="G2" s="29"/>
      <c r="H2" s="29"/>
    </row>
    <row r="3" spans="1:12" ht="15.75" customHeight="1">
      <c r="A3" s="1009" t="s">
        <v>1013</v>
      </c>
      <c r="B3" s="1010"/>
      <c r="C3" s="1010"/>
      <c r="D3" s="1010"/>
      <c r="E3" s="1010"/>
      <c r="F3" s="1010"/>
      <c r="G3" s="1010"/>
      <c r="H3" s="1010"/>
    </row>
    <row r="4" spans="1:12" ht="5.0999999999999996" customHeight="1">
      <c r="A4" s="478"/>
      <c r="B4" s="479"/>
      <c r="C4" s="479"/>
      <c r="D4" s="479"/>
      <c r="E4" s="479"/>
      <c r="F4" s="479"/>
      <c r="G4" s="479"/>
      <c r="H4" s="1"/>
    </row>
    <row r="5" spans="1:12" s="1" customFormat="1">
      <c r="A5" s="477" t="str">
        <f>BS!D40</f>
        <v>AUTO</v>
      </c>
      <c r="B5" s="10" t="s">
        <v>299</v>
      </c>
      <c r="G5" s="2"/>
      <c r="H5" s="817" t="str">
        <f>+BS!E5</f>
        <v>(Amount in Rs. `000)</v>
      </c>
    </row>
    <row r="6" spans="1:12" s="1" customFormat="1" ht="15">
      <c r="A6" s="688"/>
      <c r="B6" s="819" t="s">
        <v>110</v>
      </c>
      <c r="C6" s="820"/>
      <c r="D6" s="820"/>
      <c r="E6" s="820"/>
      <c r="F6" s="821"/>
      <c r="G6" s="822" t="s">
        <v>228</v>
      </c>
      <c r="H6" s="822" t="s">
        <v>228</v>
      </c>
    </row>
    <row r="7" spans="1:12" s="1" customFormat="1" ht="22.9" customHeight="1">
      <c r="B7" s="823" t="s">
        <v>300</v>
      </c>
      <c r="C7" s="60"/>
      <c r="D7" s="60"/>
      <c r="E7" s="60"/>
      <c r="F7" s="336"/>
      <c r="G7" s="818" t="str">
        <f>+BS!E7</f>
        <v>31st March, 20XX</v>
      </c>
      <c r="H7" s="818" t="str">
        <f>+BS!F7</f>
        <v>31st March, 20XX</v>
      </c>
    </row>
    <row r="8" spans="1:12" s="1" customFormat="1">
      <c r="B8" s="570" t="s">
        <v>301</v>
      </c>
      <c r="C8" s="824"/>
      <c r="D8" s="824"/>
      <c r="E8" s="824"/>
      <c r="F8" s="825"/>
      <c r="G8" s="675">
        <v>0</v>
      </c>
      <c r="H8" s="826">
        <v>0</v>
      </c>
    </row>
    <row r="9" spans="1:12" s="1" customFormat="1" ht="15" customHeight="1">
      <c r="B9" s="827" t="s">
        <v>302</v>
      </c>
      <c r="C9" s="9"/>
      <c r="D9" s="9"/>
      <c r="E9" s="9"/>
      <c r="F9" s="328"/>
      <c r="G9" s="675">
        <v>0</v>
      </c>
      <c r="H9" s="675">
        <v>0</v>
      </c>
    </row>
    <row r="10" spans="1:12" s="1" customFormat="1">
      <c r="B10" s="828" t="s">
        <v>303</v>
      </c>
      <c r="C10" s="9"/>
      <c r="D10" s="9"/>
      <c r="E10" s="9"/>
      <c r="F10" s="328"/>
      <c r="G10" s="675">
        <v>0</v>
      </c>
      <c r="H10" s="675">
        <v>0</v>
      </c>
    </row>
    <row r="11" spans="1:12" s="1" customFormat="1">
      <c r="B11" s="335"/>
      <c r="C11" s="60"/>
      <c r="D11" s="60"/>
      <c r="E11" s="60"/>
      <c r="F11" s="336"/>
      <c r="G11" s="676"/>
      <c r="H11" s="676"/>
    </row>
    <row r="12" spans="1:12" s="1" customFormat="1" ht="13.9" customHeight="1" thickBot="1">
      <c r="A12" s="398"/>
      <c r="B12" s="1019" t="s">
        <v>251</v>
      </c>
      <c r="C12" s="1016"/>
      <c r="D12" s="829"/>
      <c r="E12" s="829"/>
      <c r="F12" s="84"/>
      <c r="G12" s="830">
        <f>SUM(G8:G11)</f>
        <v>0</v>
      </c>
      <c r="H12" s="831">
        <f>SUM(H8:H11)</f>
        <v>0</v>
      </c>
      <c r="I12" s="398"/>
    </row>
    <row r="13" spans="1:12" ht="13.9" customHeight="1" thickTop="1">
      <c r="B13" s="452"/>
      <c r="C13" s="452"/>
      <c r="D13" s="25"/>
      <c r="E13" s="25"/>
      <c r="F13" s="86"/>
      <c r="G13" s="87"/>
      <c r="H13" s="87"/>
    </row>
    <row r="14" spans="1:12" ht="12" customHeight="1">
      <c r="A14" s="203" t="str">
        <f>BS!D41</f>
        <v>AUTO</v>
      </c>
      <c r="B14" s="480" t="s">
        <v>304</v>
      </c>
      <c r="C14" s="25"/>
      <c r="D14" s="25"/>
      <c r="E14" s="25"/>
      <c r="F14" s="25"/>
      <c r="G14" s="56"/>
      <c r="H14" s="235" t="s">
        <v>109</v>
      </c>
    </row>
    <row r="15" spans="1:12" ht="24" customHeight="1">
      <c r="A15" s="141"/>
      <c r="B15" s="965" t="s">
        <v>110</v>
      </c>
      <c r="C15" s="965"/>
      <c r="D15" s="965"/>
      <c r="E15" s="965"/>
      <c r="F15" s="965"/>
      <c r="G15" s="603" t="str">
        <f>+'Note BS-Liab'!G6</f>
        <v>As at 31st March, 20XX</v>
      </c>
      <c r="H15" s="603" t="str">
        <f>+'Note BS-Liab'!H6</f>
        <v>As at 31st March, 20XX</v>
      </c>
      <c r="J15" s="476" t="s">
        <v>900</v>
      </c>
      <c r="K15" s="13" t="s">
        <v>907</v>
      </c>
      <c r="L15" s="13" t="s">
        <v>228</v>
      </c>
    </row>
    <row r="16" spans="1:12">
      <c r="A16" s="25"/>
      <c r="B16" s="1020"/>
      <c r="C16" s="918"/>
      <c r="D16" s="918"/>
      <c r="E16" s="918"/>
      <c r="F16" s="66"/>
      <c r="G16" s="236"/>
      <c r="H16" s="221"/>
    </row>
    <row r="17" spans="1:9" ht="29.1" customHeight="1">
      <c r="A17" s="25"/>
      <c r="B17" s="1093" t="s">
        <v>1129</v>
      </c>
      <c r="C17" s="1017"/>
      <c r="D17" s="1017"/>
      <c r="E17" s="1017"/>
      <c r="F17" s="1018"/>
      <c r="G17" s="482">
        <v>0</v>
      </c>
      <c r="H17" s="221">
        <v>0</v>
      </c>
    </row>
    <row r="18" spans="1:9">
      <c r="A18" s="25"/>
      <c r="B18" s="425"/>
      <c r="C18" s="69"/>
      <c r="D18" s="69"/>
      <c r="E18" s="69"/>
      <c r="F18" s="426"/>
      <c r="G18" s="483"/>
      <c r="H18" s="451"/>
    </row>
    <row r="19" spans="1:9" ht="13.9" customHeight="1" thickBot="1">
      <c r="A19" s="67"/>
      <c r="B19" s="935" t="s">
        <v>251</v>
      </c>
      <c r="C19" s="936"/>
      <c r="D19" s="427"/>
      <c r="E19" s="427"/>
      <c r="F19" s="84"/>
      <c r="G19" s="428">
        <f>SUM(G16:G17)</f>
        <v>0</v>
      </c>
      <c r="H19" s="446">
        <f>SUM(H16:H17)</f>
        <v>0</v>
      </c>
      <c r="I19" s="72"/>
    </row>
    <row r="20" spans="1:9" ht="13.9" customHeight="1" thickTop="1">
      <c r="A20" s="25"/>
      <c r="B20" s="452"/>
      <c r="C20" s="452"/>
      <c r="D20" s="25"/>
      <c r="E20" s="25"/>
      <c r="F20" s="86"/>
      <c r="G20" s="484"/>
      <c r="H20" s="87"/>
    </row>
    <row r="21" spans="1:9">
      <c r="A21" s="205" t="str">
        <f>BS!D42</f>
        <v>AUTO</v>
      </c>
      <c r="B21" s="453" t="s">
        <v>305</v>
      </c>
    </row>
    <row r="22" spans="1:9" ht="24">
      <c r="B22" s="965" t="s">
        <v>110</v>
      </c>
      <c r="C22" s="965"/>
      <c r="D22" s="965"/>
      <c r="E22" s="965"/>
      <c r="F22" s="965"/>
      <c r="G22" s="603" t="str">
        <f>+G15</f>
        <v>As at 31st March, 20XX</v>
      </c>
      <c r="H22" s="603" t="str">
        <f>+H15</f>
        <v>As at 31st March, 20XX</v>
      </c>
    </row>
    <row r="23" spans="1:9">
      <c r="B23" s="541" t="s">
        <v>954</v>
      </c>
      <c r="C23" s="25"/>
      <c r="D23" s="25"/>
      <c r="E23" s="25"/>
      <c r="F23" s="66"/>
      <c r="G23" s="221">
        <v>0</v>
      </c>
      <c r="H23" s="221">
        <v>0</v>
      </c>
    </row>
    <row r="24" spans="1:9">
      <c r="B24" s="932" t="s">
        <v>1127</v>
      </c>
      <c r="C24" s="918"/>
      <c r="D24" s="918"/>
      <c r="E24" s="918"/>
      <c r="F24" s="66"/>
      <c r="G24" s="221">
        <v>0</v>
      </c>
      <c r="H24" s="221">
        <v>0</v>
      </c>
    </row>
    <row r="25" spans="1:9">
      <c r="B25" s="932" t="s">
        <v>264</v>
      </c>
      <c r="C25" s="918"/>
      <c r="D25" s="918"/>
      <c r="E25" s="918"/>
      <c r="F25" s="66"/>
      <c r="G25" s="221">
        <v>0</v>
      </c>
      <c r="H25" s="221">
        <v>0</v>
      </c>
    </row>
    <row r="26" spans="1:9">
      <c r="B26" s="67"/>
      <c r="C26" s="25"/>
      <c r="D26" s="25"/>
      <c r="E26" s="25"/>
      <c r="F26" s="66"/>
      <c r="G26" s="451"/>
      <c r="H26" s="451"/>
    </row>
    <row r="27" spans="1:9" ht="13.9" customHeight="1" thickBot="1">
      <c r="B27" s="935" t="s">
        <v>251</v>
      </c>
      <c r="C27" s="936"/>
      <c r="D27" s="427"/>
      <c r="E27" s="427"/>
      <c r="F27" s="84"/>
      <c r="G27" s="428">
        <f>SUM(G23:G26)</f>
        <v>0</v>
      </c>
      <c r="H27" s="446">
        <f>SUM(H23:H26)</f>
        <v>0</v>
      </c>
      <c r="I27" s="72"/>
    </row>
    <row r="28" spans="1:9" ht="13.9" customHeight="1" thickTop="1">
      <c r="B28" s="452"/>
      <c r="C28" s="452"/>
      <c r="D28" s="25"/>
      <c r="E28" s="25"/>
      <c r="F28" s="86"/>
      <c r="G28" s="87"/>
      <c r="H28" s="87"/>
    </row>
    <row r="30" spans="1:9" ht="13.15" customHeight="1">
      <c r="A30" s="237" t="str">
        <f>BS!D43</f>
        <v>AUTO</v>
      </c>
      <c r="B30" s="485" t="s">
        <v>307</v>
      </c>
      <c r="C30" s="452"/>
      <c r="D30" s="25"/>
      <c r="E30" s="25"/>
      <c r="F30" s="86"/>
      <c r="G30" s="106"/>
      <c r="H30" s="104"/>
    </row>
    <row r="31" spans="1:9" ht="22.9" customHeight="1">
      <c r="A31" s="25"/>
      <c r="B31" s="965" t="s">
        <v>110</v>
      </c>
      <c r="C31" s="965"/>
      <c r="D31" s="965"/>
      <c r="E31" s="965"/>
      <c r="F31" s="965"/>
      <c r="G31" s="603" t="str">
        <f>+G22</f>
        <v>As at 31st March, 20XX</v>
      </c>
      <c r="H31" s="603" t="str">
        <f>+H22</f>
        <v>As at 31st March, 20XX</v>
      </c>
    </row>
    <row r="32" spans="1:9" ht="13.15" customHeight="1">
      <c r="A32" s="25"/>
      <c r="B32" s="488" t="s">
        <v>308</v>
      </c>
      <c r="C32" s="83"/>
      <c r="D32" s="83"/>
      <c r="E32" s="83"/>
      <c r="F32" s="486"/>
      <c r="G32" s="487">
        <v>0</v>
      </c>
      <c r="H32" s="506">
        <v>0</v>
      </c>
    </row>
    <row r="33" spans="1:8" ht="13.15" customHeight="1">
      <c r="A33" s="25"/>
      <c r="B33" s="620" t="s">
        <v>955</v>
      </c>
      <c r="C33" s="83"/>
      <c r="D33" s="83"/>
      <c r="E33" s="83"/>
      <c r="F33" s="486"/>
      <c r="G33" s="489">
        <v>0</v>
      </c>
      <c r="H33" s="507">
        <v>0</v>
      </c>
    </row>
    <row r="34" spans="1:8" ht="13.15" customHeight="1">
      <c r="A34" s="25"/>
      <c r="B34" s="490"/>
      <c r="C34" s="83"/>
      <c r="D34" s="83"/>
      <c r="E34" s="83"/>
      <c r="F34" s="486"/>
      <c r="G34" s="489"/>
      <c r="H34" s="508"/>
    </row>
    <row r="35" spans="1:8" ht="13.9" customHeight="1" thickBot="1">
      <c r="A35" s="25"/>
      <c r="B35" s="935" t="s">
        <v>309</v>
      </c>
      <c r="C35" s="936"/>
      <c r="D35" s="427"/>
      <c r="E35" s="427"/>
      <c r="F35" s="84"/>
      <c r="G35" s="428">
        <f>SUM(G32:G33)</f>
        <v>0</v>
      </c>
      <c r="H35" s="428">
        <f>SUM(H32:H33)</f>
        <v>0</v>
      </c>
    </row>
    <row r="36" spans="1:8" ht="13.9" customHeight="1" thickTop="1">
      <c r="A36" s="25"/>
      <c r="B36" s="452"/>
      <c r="C36" s="452"/>
      <c r="D36" s="25"/>
      <c r="E36" s="25"/>
      <c r="F36" s="86"/>
      <c r="G36" s="484"/>
      <c r="H36" s="87"/>
    </row>
    <row r="37" spans="1:8">
      <c r="A37" s="205" t="str">
        <f>BS!D46</f>
        <v>AUTO</v>
      </c>
      <c r="B37" s="201" t="s">
        <v>310</v>
      </c>
    </row>
    <row r="38" spans="1:8">
      <c r="B38" s="429" t="s">
        <v>110</v>
      </c>
      <c r="C38" s="39"/>
      <c r="D38" s="39"/>
      <c r="E38" s="39"/>
      <c r="F38" s="40"/>
      <c r="G38" s="421" t="s">
        <v>228</v>
      </c>
      <c r="H38" s="422" t="s">
        <v>228</v>
      </c>
    </row>
    <row r="39" spans="1:8" ht="22.9" customHeight="1">
      <c r="B39" s="832" t="s">
        <v>300</v>
      </c>
      <c r="C39" s="69"/>
      <c r="D39" s="69"/>
      <c r="E39" s="69"/>
      <c r="F39" s="70"/>
      <c r="G39" s="424" t="str">
        <f>+G7</f>
        <v>31st March, 20XX</v>
      </c>
      <c r="H39" s="424" t="str">
        <f>+H7</f>
        <v>31st March, 20XX</v>
      </c>
    </row>
    <row r="40" spans="1:8">
      <c r="B40" s="457" t="s">
        <v>263</v>
      </c>
      <c r="C40" s="81"/>
      <c r="D40" s="81"/>
      <c r="E40" s="81"/>
      <c r="F40" s="76"/>
      <c r="G40" s="455"/>
      <c r="H40" s="447"/>
    </row>
    <row r="41" spans="1:8">
      <c r="B41" s="450" t="s">
        <v>311</v>
      </c>
      <c r="C41" s="25"/>
      <c r="D41" s="25"/>
      <c r="E41" s="25"/>
      <c r="F41" s="66"/>
      <c r="G41" s="221">
        <v>0</v>
      </c>
      <c r="H41" s="221">
        <v>0</v>
      </c>
    </row>
    <row r="42" spans="1:8" ht="24">
      <c r="B42" s="450" t="s">
        <v>312</v>
      </c>
      <c r="C42" s="25"/>
      <c r="D42" s="25"/>
      <c r="E42" s="25"/>
      <c r="F42" s="66"/>
      <c r="G42" s="221">
        <v>0</v>
      </c>
      <c r="H42" s="221">
        <v>0</v>
      </c>
    </row>
    <row r="43" spans="1:8">
      <c r="B43" s="67"/>
      <c r="C43" s="25"/>
      <c r="D43" s="25"/>
      <c r="E43" s="25"/>
      <c r="F43" s="66"/>
      <c r="G43" s="56"/>
      <c r="H43" s="451"/>
    </row>
    <row r="44" spans="1:8" ht="13.9" customHeight="1" thickBot="1">
      <c r="B44" s="935" t="s">
        <v>309</v>
      </c>
      <c r="C44" s="936"/>
      <c r="D44" s="427"/>
      <c r="E44" s="427"/>
      <c r="F44" s="84"/>
      <c r="G44" s="428">
        <f>SUM(G38:G42)</f>
        <v>0</v>
      </c>
      <c r="H44" s="428">
        <f>SUM(H38:H42)</f>
        <v>0</v>
      </c>
    </row>
    <row r="45" spans="1:8" ht="13.9" customHeight="1" thickTop="1">
      <c r="B45" s="452"/>
      <c r="C45" s="452"/>
      <c r="D45" s="25"/>
      <c r="E45" s="25"/>
      <c r="F45" s="86"/>
      <c r="G45" s="87"/>
      <c r="H45" s="87"/>
    </row>
    <row r="46" spans="1:8">
      <c r="A46" s="205" t="str">
        <f>BS!D47</f>
        <v>AUTO</v>
      </c>
      <c r="B46" s="204" t="s">
        <v>313</v>
      </c>
      <c r="C46" s="25"/>
      <c r="D46" s="25"/>
      <c r="E46" s="25"/>
      <c r="F46" s="25"/>
      <c r="G46" s="56"/>
      <c r="H46" s="104"/>
    </row>
    <row r="47" spans="1:8" ht="24">
      <c r="A47" s="8"/>
      <c r="B47" s="965" t="s">
        <v>110</v>
      </c>
      <c r="C47" s="965"/>
      <c r="D47" s="965"/>
      <c r="E47" s="965"/>
      <c r="F47" s="965"/>
      <c r="G47" s="603" t="str">
        <f>+G31</f>
        <v>As at 31st March, 20XX</v>
      </c>
      <c r="H47" s="603" t="str">
        <f>+H31</f>
        <v>As at 31st March, 20XX</v>
      </c>
    </row>
    <row r="48" spans="1:8">
      <c r="A48" s="25"/>
      <c r="B48" s="239" t="s">
        <v>314</v>
      </c>
      <c r="C48" s="81"/>
      <c r="D48" s="81"/>
      <c r="E48" s="81"/>
      <c r="F48" s="76"/>
      <c r="G48" s="491">
        <f>'Note PL'!F39</f>
        <v>0</v>
      </c>
      <c r="H48" s="240">
        <f>'Note PL'!G39</f>
        <v>0</v>
      </c>
    </row>
    <row r="49" spans="1:9">
      <c r="A49" s="25"/>
      <c r="B49" s="492"/>
      <c r="C49" s="25"/>
      <c r="D49" s="25"/>
      <c r="E49" s="25"/>
      <c r="F49" s="66"/>
      <c r="G49" s="56"/>
      <c r="H49" s="57"/>
    </row>
    <row r="50" spans="1:9" ht="13.9" customHeight="1" thickBot="1">
      <c r="A50" s="25"/>
      <c r="B50" s="935" t="s">
        <v>309</v>
      </c>
      <c r="C50" s="936"/>
      <c r="D50" s="427"/>
      <c r="E50" s="427"/>
      <c r="F50" s="84"/>
      <c r="G50" s="428">
        <f>SUM(G45:G48)</f>
        <v>0</v>
      </c>
      <c r="H50" s="428">
        <f>SUM(H45:H48)</f>
        <v>0</v>
      </c>
      <c r="I50" s="547" t="s">
        <v>315</v>
      </c>
    </row>
    <row r="51" spans="1:9" ht="15" customHeight="1" thickTop="1">
      <c r="A51" s="25"/>
      <c r="C51" s="452"/>
      <c r="D51" s="25"/>
      <c r="E51" s="25"/>
      <c r="F51" s="86"/>
      <c r="G51" s="87"/>
      <c r="H51" s="87"/>
      <c r="I51" s="548" t="s">
        <v>919</v>
      </c>
    </row>
    <row r="52" spans="1:9" ht="9.9499999999999993" customHeight="1">
      <c r="A52" s="25"/>
      <c r="C52" s="452"/>
      <c r="D52" s="25"/>
      <c r="E52" s="25"/>
      <c r="F52" s="86"/>
      <c r="G52" s="87"/>
      <c r="H52" s="87"/>
      <c r="I52" s="548"/>
    </row>
    <row r="53" spans="1:9" ht="15" customHeight="1">
      <c r="A53" s="1008" t="str">
        <f>+A1</f>
        <v>[NAME OF THE COMPANY]</v>
      </c>
      <c r="B53" s="1008"/>
      <c r="C53" s="1008"/>
      <c r="D53" s="1008"/>
      <c r="E53" s="1008"/>
      <c r="F53" s="1008"/>
      <c r="G53" s="1008"/>
      <c r="H53" s="1008"/>
      <c r="I53" s="548"/>
    </row>
    <row r="54" spans="1:9" ht="9.9499999999999993" customHeight="1">
      <c r="A54" s="305"/>
      <c r="B54" s="29"/>
      <c r="C54" s="29"/>
      <c r="D54" s="29"/>
      <c r="E54" s="29"/>
      <c r="F54" s="29"/>
      <c r="G54" s="29"/>
      <c r="H54" s="29"/>
      <c r="I54" s="548"/>
    </row>
    <row r="55" spans="1:9" ht="15" customHeight="1">
      <c r="A55" s="1009" t="str">
        <f>+A3</f>
        <v>Schedules to Balance Sheet as at 31st March, 20XX</v>
      </c>
      <c r="B55" s="1010"/>
      <c r="C55" s="1010"/>
      <c r="D55" s="1010"/>
      <c r="E55" s="1010"/>
      <c r="F55" s="1010"/>
      <c r="G55" s="1010"/>
      <c r="H55" s="1010"/>
      <c r="I55" s="548"/>
    </row>
    <row r="56" spans="1:9" ht="9.9499999999999993" customHeight="1">
      <c r="A56" s="619"/>
      <c r="B56" s="477"/>
      <c r="C56" s="477"/>
      <c r="D56" s="477"/>
      <c r="E56" s="477"/>
      <c r="F56" s="477"/>
      <c r="G56" s="477"/>
      <c r="H56" s="477"/>
      <c r="I56" s="548"/>
    </row>
    <row r="57" spans="1:9" ht="12" customHeight="1">
      <c r="A57" s="237" t="str">
        <f>BS!D48</f>
        <v>AUTO</v>
      </c>
      <c r="B57" s="188" t="s">
        <v>316</v>
      </c>
      <c r="C57" s="25"/>
      <c r="D57" s="25"/>
      <c r="E57" s="25"/>
      <c r="F57" s="25"/>
      <c r="G57" s="56"/>
      <c r="H57" s="235" t="s">
        <v>109</v>
      </c>
    </row>
    <row r="58" spans="1:9" ht="24">
      <c r="A58" s="25"/>
      <c r="B58" s="965" t="s">
        <v>110</v>
      </c>
      <c r="C58" s="965"/>
      <c r="D58" s="965"/>
      <c r="E58" s="965"/>
      <c r="F58" s="965"/>
      <c r="G58" s="603" t="str">
        <f>+G47</f>
        <v>As at 31st March, 20XX</v>
      </c>
      <c r="H58" s="603" t="str">
        <f>+H47</f>
        <v>As at 31st March, 20XX</v>
      </c>
    </row>
    <row r="59" spans="1:9" ht="15">
      <c r="A59" s="25"/>
      <c r="B59" s="521" t="s">
        <v>317</v>
      </c>
      <c r="C59" s="275"/>
      <c r="D59" s="275"/>
      <c r="E59" s="275"/>
      <c r="F59" s="493"/>
      <c r="G59" s="225">
        <v>0</v>
      </c>
      <c r="H59" s="218">
        <v>0</v>
      </c>
    </row>
    <row r="60" spans="1:9" ht="15">
      <c r="A60" s="25"/>
      <c r="B60" s="1022" t="s">
        <v>318</v>
      </c>
      <c r="C60" s="918"/>
      <c r="D60" s="918"/>
      <c r="E60" s="918"/>
      <c r="F60" s="919"/>
      <c r="G60" s="225">
        <v>0</v>
      </c>
      <c r="H60" s="221">
        <v>0</v>
      </c>
    </row>
    <row r="61" spans="1:9">
      <c r="A61" s="25"/>
      <c r="B61" s="494"/>
      <c r="C61" s="495"/>
      <c r="D61" s="495"/>
      <c r="E61" s="495"/>
      <c r="F61" s="496"/>
      <c r="G61" s="56"/>
      <c r="H61" s="57"/>
    </row>
    <row r="62" spans="1:9" ht="13.9" customHeight="1" thickBot="1">
      <c r="A62" s="25"/>
      <c r="B62" s="935" t="s">
        <v>309</v>
      </c>
      <c r="C62" s="936"/>
      <c r="D62" s="427"/>
      <c r="E62" s="427"/>
      <c r="F62" s="84"/>
      <c r="G62" s="428">
        <f>SUM(G57:G60)</f>
        <v>0</v>
      </c>
      <c r="H62" s="428">
        <f>SUM(H57:H60)</f>
        <v>0</v>
      </c>
    </row>
    <row r="63" spans="1:9" ht="13.9" customHeight="1" thickTop="1">
      <c r="A63" s="25"/>
      <c r="B63" s="452"/>
      <c r="C63" s="452"/>
      <c r="D63" s="25"/>
      <c r="E63" s="25"/>
      <c r="F63" s="86"/>
      <c r="G63" s="87"/>
      <c r="H63" s="87"/>
    </row>
    <row r="64" spans="1:9" ht="13.15" customHeight="1">
      <c r="A64" s="25"/>
      <c r="B64" s="546" t="s">
        <v>1014</v>
      </c>
      <c r="C64" s="83"/>
      <c r="D64" s="83"/>
      <c r="E64" s="83"/>
      <c r="F64" s="83"/>
      <c r="G64" s="83"/>
      <c r="H64" s="104"/>
    </row>
    <row r="65" spans="1:9" ht="13.15" customHeight="1">
      <c r="A65" s="25"/>
      <c r="B65" s="1011" t="s">
        <v>110</v>
      </c>
      <c r="C65" s="1021" t="s">
        <v>268</v>
      </c>
      <c r="D65" s="936"/>
      <c r="E65" s="936"/>
      <c r="F65" s="936"/>
      <c r="G65" s="936"/>
      <c r="H65" s="945" t="s">
        <v>251</v>
      </c>
    </row>
    <row r="66" spans="1:9" ht="25.5">
      <c r="A66" s="25"/>
      <c r="B66" s="1012"/>
      <c r="C66" s="510" t="s">
        <v>319</v>
      </c>
      <c r="D66" s="510" t="s">
        <v>320</v>
      </c>
      <c r="E66" s="510" t="s">
        <v>321</v>
      </c>
      <c r="F66" s="509" t="s">
        <v>271</v>
      </c>
      <c r="G66" s="509" t="s">
        <v>322</v>
      </c>
      <c r="H66" s="946"/>
    </row>
    <row r="67" spans="1:9" ht="24">
      <c r="A67" s="25"/>
      <c r="B67" s="497" t="s">
        <v>323</v>
      </c>
      <c r="C67" s="621">
        <f>G60</f>
        <v>0</v>
      </c>
      <c r="D67" s="621">
        <v>0</v>
      </c>
      <c r="E67" s="621">
        <v>0</v>
      </c>
      <c r="F67" s="621">
        <v>0</v>
      </c>
      <c r="G67" s="621">
        <v>0</v>
      </c>
      <c r="H67" s="622">
        <f>C67</f>
        <v>0</v>
      </c>
    </row>
    <row r="68" spans="1:9" ht="24">
      <c r="A68" s="25"/>
      <c r="B68" s="497" t="s">
        <v>324</v>
      </c>
      <c r="C68" s="504">
        <v>0</v>
      </c>
      <c r="D68" s="504">
        <v>0</v>
      </c>
      <c r="E68" s="504">
        <v>0</v>
      </c>
      <c r="F68" s="504">
        <v>0</v>
      </c>
      <c r="G68" s="504">
        <v>0</v>
      </c>
      <c r="H68" s="623">
        <v>0</v>
      </c>
    </row>
    <row r="69" spans="1:9" ht="24">
      <c r="A69" s="25"/>
      <c r="B69" s="497" t="s">
        <v>325</v>
      </c>
      <c r="C69" s="504">
        <v>0</v>
      </c>
      <c r="D69" s="504">
        <v>0</v>
      </c>
      <c r="E69" s="504">
        <v>0</v>
      </c>
      <c r="F69" s="504">
        <v>0</v>
      </c>
      <c r="G69" s="504">
        <v>0</v>
      </c>
      <c r="H69" s="623">
        <v>0</v>
      </c>
    </row>
    <row r="70" spans="1:9" ht="24">
      <c r="A70" s="25"/>
      <c r="B70" s="498" t="s">
        <v>326</v>
      </c>
      <c r="C70" s="624">
        <v>0</v>
      </c>
      <c r="D70" s="624">
        <v>0</v>
      </c>
      <c r="E70" s="624">
        <v>0</v>
      </c>
      <c r="F70" s="624">
        <v>0</v>
      </c>
      <c r="G70" s="624">
        <v>0</v>
      </c>
      <c r="H70" s="625">
        <v>0</v>
      </c>
    </row>
    <row r="71" spans="1:9">
      <c r="A71" s="25"/>
      <c r="B71" s="545"/>
      <c r="C71" s="225"/>
      <c r="D71" s="225"/>
      <c r="E71" s="225"/>
      <c r="F71" s="225"/>
      <c r="G71" s="225"/>
      <c r="H71" s="225"/>
    </row>
    <row r="72" spans="1:9" ht="12.75">
      <c r="A72" s="25"/>
      <c r="B72" s="52" t="s">
        <v>1014</v>
      </c>
      <c r="C72" s="101"/>
      <c r="D72" s="101"/>
      <c r="E72" s="101"/>
      <c r="F72" s="101"/>
      <c r="G72" s="101"/>
      <c r="H72" s="626"/>
      <c r="I72" s="1"/>
    </row>
    <row r="73" spans="1:9" ht="15">
      <c r="A73" s="25"/>
      <c r="B73" s="1011" t="s">
        <v>110</v>
      </c>
      <c r="C73" s="1015" t="s">
        <v>268</v>
      </c>
      <c r="D73" s="1016"/>
      <c r="E73" s="1016"/>
      <c r="F73" s="1016"/>
      <c r="G73" s="1016"/>
      <c r="H73" s="980" t="s">
        <v>251</v>
      </c>
      <c r="I73" s="1"/>
    </row>
    <row r="74" spans="1:9" ht="25.5">
      <c r="A74" s="25"/>
      <c r="B74" s="1012"/>
      <c r="C74" s="627" t="s">
        <v>319</v>
      </c>
      <c r="D74" s="627" t="s">
        <v>320</v>
      </c>
      <c r="E74" s="627" t="s">
        <v>321</v>
      </c>
      <c r="F74" s="628" t="s">
        <v>271</v>
      </c>
      <c r="G74" s="628" t="s">
        <v>322</v>
      </c>
      <c r="H74" s="981"/>
      <c r="I74" s="1"/>
    </row>
    <row r="75" spans="1:9" ht="24">
      <c r="A75" s="25"/>
      <c r="B75" s="629" t="s">
        <v>323</v>
      </c>
      <c r="C75" s="348">
        <f>+H60</f>
        <v>0</v>
      </c>
      <c r="D75" s="348">
        <v>0</v>
      </c>
      <c r="E75" s="348">
        <v>0</v>
      </c>
      <c r="F75" s="348">
        <v>0</v>
      </c>
      <c r="G75" s="348">
        <v>0</v>
      </c>
      <c r="H75" s="631">
        <f>C75</f>
        <v>0</v>
      </c>
      <c r="I75" s="1"/>
    </row>
    <row r="76" spans="1:9" ht="24">
      <c r="A76" s="25"/>
      <c r="B76" s="629" t="s">
        <v>324</v>
      </c>
      <c r="C76" s="586">
        <v>0</v>
      </c>
      <c r="D76" s="586">
        <v>0</v>
      </c>
      <c r="E76" s="586">
        <v>0</v>
      </c>
      <c r="F76" s="586">
        <v>0</v>
      </c>
      <c r="G76" s="586">
        <v>0</v>
      </c>
      <c r="H76" s="632">
        <v>0</v>
      </c>
      <c r="I76" s="1"/>
    </row>
    <row r="77" spans="1:9" ht="24">
      <c r="A77" s="25"/>
      <c r="B77" s="629" t="s">
        <v>325</v>
      </c>
      <c r="C77" s="586">
        <v>0</v>
      </c>
      <c r="D77" s="586">
        <v>0</v>
      </c>
      <c r="E77" s="586">
        <v>0</v>
      </c>
      <c r="F77" s="586">
        <v>0</v>
      </c>
      <c r="G77" s="586">
        <v>0</v>
      </c>
      <c r="H77" s="632">
        <v>0</v>
      </c>
      <c r="I77" s="1"/>
    </row>
    <row r="78" spans="1:9" ht="24">
      <c r="A78" s="25"/>
      <c r="B78" s="630" t="s">
        <v>326</v>
      </c>
      <c r="C78" s="581">
        <v>0</v>
      </c>
      <c r="D78" s="581">
        <v>0</v>
      </c>
      <c r="E78" s="581">
        <v>0</v>
      </c>
      <c r="F78" s="581">
        <v>0</v>
      </c>
      <c r="G78" s="581">
        <v>0</v>
      </c>
      <c r="H78" s="633">
        <v>0</v>
      </c>
      <c r="I78" s="1"/>
    </row>
    <row r="79" spans="1:9">
      <c r="A79" s="25"/>
      <c r="B79" s="545"/>
      <c r="C79" s="225"/>
      <c r="D79" s="225"/>
      <c r="E79" s="225"/>
      <c r="F79" s="225"/>
      <c r="G79" s="225"/>
      <c r="H79" s="225"/>
    </row>
    <row r="80" spans="1:9">
      <c r="A80" s="9"/>
      <c r="B80" s="188" t="s">
        <v>327</v>
      </c>
      <c r="C80" s="36"/>
      <c r="D80" s="36"/>
      <c r="E80" s="36"/>
      <c r="F80" s="36"/>
      <c r="G80" s="36"/>
      <c r="H80" s="36"/>
    </row>
    <row r="81" spans="1:10">
      <c r="A81" s="9"/>
      <c r="B81" s="281" t="s">
        <v>328</v>
      </c>
      <c r="C81" s="36"/>
      <c r="D81" s="36"/>
      <c r="E81" s="36"/>
      <c r="F81" s="36"/>
      <c r="G81" s="36"/>
      <c r="H81" s="36"/>
    </row>
    <row r="82" spans="1:10" ht="12" customHeight="1">
      <c r="A82" s="499"/>
      <c r="B82" s="108"/>
      <c r="C82" s="36"/>
      <c r="D82" s="36"/>
      <c r="E82" s="36"/>
      <c r="F82" s="36"/>
      <c r="G82" s="36"/>
      <c r="H82" s="36"/>
    </row>
    <row r="83" spans="1:10">
      <c r="A83" s="203" t="str">
        <f>BS!D49</f>
        <v>AUTO</v>
      </c>
      <c r="B83" s="8" t="s">
        <v>957</v>
      </c>
      <c r="C83" s="25"/>
      <c r="D83" s="25"/>
      <c r="E83" s="25"/>
      <c r="F83" s="25"/>
      <c r="G83" s="56"/>
      <c r="H83" s="25"/>
    </row>
    <row r="84" spans="1:10" ht="24">
      <c r="A84" s="25"/>
      <c r="B84" s="965" t="s">
        <v>110</v>
      </c>
      <c r="C84" s="965"/>
      <c r="D84" s="965"/>
      <c r="E84" s="965"/>
      <c r="F84" s="965"/>
      <c r="G84" s="603" t="str">
        <f>+G58</f>
        <v>As at 31st March, 20XX</v>
      </c>
      <c r="H84" s="603" t="str">
        <f>+H58</f>
        <v>As at 31st March, 20XX</v>
      </c>
    </row>
    <row r="85" spans="1:10">
      <c r="A85" s="25"/>
      <c r="B85" s="433" t="s">
        <v>329</v>
      </c>
      <c r="C85" s="81"/>
      <c r="D85" s="81"/>
      <c r="E85" s="81"/>
      <c r="F85" s="81"/>
      <c r="G85" s="500"/>
      <c r="H85" s="500"/>
    </row>
    <row r="86" spans="1:10" ht="15" customHeight="1">
      <c r="A86" s="25"/>
      <c r="B86" s="481" t="s">
        <v>330</v>
      </c>
      <c r="C86" s="25"/>
      <c r="D86" s="25"/>
      <c r="E86" s="25"/>
      <c r="F86" s="25"/>
      <c r="G86" s="221">
        <v>0</v>
      </c>
      <c r="H86" s="221">
        <v>0</v>
      </c>
    </row>
    <row r="87" spans="1:10">
      <c r="A87" s="25"/>
      <c r="B87" s="456" t="s">
        <v>331</v>
      </c>
      <c r="C87" s="25"/>
      <c r="D87" s="25"/>
      <c r="E87" s="25"/>
      <c r="F87" s="25"/>
      <c r="G87" s="221">
        <v>0</v>
      </c>
      <c r="H87" s="221">
        <v>0</v>
      </c>
    </row>
    <row r="88" spans="1:10">
      <c r="A88" s="25"/>
      <c r="B88" s="502"/>
      <c r="C88" s="503"/>
      <c r="D88" s="503"/>
      <c r="E88" s="503"/>
      <c r="F88" s="25"/>
      <c r="G88" s="57"/>
      <c r="H88" s="57"/>
    </row>
    <row r="89" spans="1:10" ht="13.9" customHeight="1" thickBot="1">
      <c r="A89" s="25"/>
      <c r="B89" s="935" t="s">
        <v>309</v>
      </c>
      <c r="C89" s="936"/>
      <c r="D89" s="427"/>
      <c r="E89" s="427"/>
      <c r="F89" s="84"/>
      <c r="G89" s="428">
        <f>SUM(G86:G87)</f>
        <v>0</v>
      </c>
      <c r="H89" s="428">
        <f>SUM(H86:H87)</f>
        <v>0</v>
      </c>
    </row>
    <row r="90" spans="1:10" ht="12.75" customHeight="1" thickTop="1">
      <c r="A90" s="25"/>
      <c r="B90" s="1013"/>
      <c r="C90" s="918"/>
      <c r="D90" s="918"/>
      <c r="E90" s="918"/>
      <c r="F90" s="918"/>
      <c r="G90" s="931"/>
      <c r="H90" s="918"/>
    </row>
    <row r="91" spans="1:10">
      <c r="A91" s="237" t="str">
        <f>BS!D50</f>
        <v>AUTO</v>
      </c>
      <c r="B91" s="432" t="s">
        <v>332</v>
      </c>
      <c r="C91" s="25"/>
      <c r="D91" s="25"/>
      <c r="E91" s="25"/>
      <c r="F91" s="25"/>
      <c r="G91" s="56"/>
      <c r="H91" s="104"/>
    </row>
    <row r="92" spans="1:10" ht="24">
      <c r="A92" s="25"/>
      <c r="B92" s="965" t="s">
        <v>110</v>
      </c>
      <c r="C92" s="965"/>
      <c r="D92" s="965"/>
      <c r="E92" s="965"/>
      <c r="F92" s="965"/>
      <c r="G92" s="603" t="str">
        <f>+G84</f>
        <v>As at 31st March, 20XX</v>
      </c>
      <c r="H92" s="603" t="str">
        <f>+H84</f>
        <v>As at 31st March, 20XX</v>
      </c>
    </row>
    <row r="93" spans="1:10">
      <c r="A93" s="25"/>
      <c r="B93" s="454" t="s">
        <v>920</v>
      </c>
      <c r="C93" s="25"/>
      <c r="D93" s="25"/>
      <c r="E93" s="25"/>
      <c r="F93" s="66"/>
      <c r="G93" s="217">
        <v>0</v>
      </c>
      <c r="H93" s="217">
        <v>0</v>
      </c>
      <c r="J93" s="539" t="s">
        <v>306</v>
      </c>
    </row>
    <row r="94" spans="1:10">
      <c r="A94" s="25"/>
      <c r="B94" s="511" t="s">
        <v>333</v>
      </c>
      <c r="C94" s="25"/>
      <c r="D94" s="25"/>
      <c r="E94" s="25"/>
      <c r="F94" s="66"/>
      <c r="G94" s="504">
        <v>0</v>
      </c>
      <c r="H94" s="504">
        <v>0</v>
      </c>
    </row>
    <row r="95" spans="1:10">
      <c r="A95" s="25"/>
      <c r="B95" s="511" t="s">
        <v>259</v>
      </c>
      <c r="C95" s="25"/>
      <c r="D95" s="25"/>
      <c r="E95" s="25"/>
      <c r="F95" s="66"/>
      <c r="G95" s="504">
        <v>0</v>
      </c>
      <c r="H95" s="504">
        <v>0</v>
      </c>
    </row>
    <row r="96" spans="1:10">
      <c r="A96" s="25"/>
      <c r="B96" s="67"/>
      <c r="C96" s="25"/>
      <c r="D96" s="25"/>
      <c r="E96" s="25"/>
      <c r="F96" s="66"/>
      <c r="G96" s="505"/>
      <c r="H96" s="505"/>
    </row>
    <row r="97" spans="1:9" ht="13.9" customHeight="1" thickBot="1">
      <c r="A97" s="25"/>
      <c r="B97" s="935" t="s">
        <v>309</v>
      </c>
      <c r="C97" s="936"/>
      <c r="D97" s="427"/>
      <c r="E97" s="427"/>
      <c r="F97" s="84"/>
      <c r="G97" s="428">
        <f>SUM(G93:G96)</f>
        <v>0</v>
      </c>
      <c r="H97" s="428">
        <f>SUM(H93:H96)</f>
        <v>0</v>
      </c>
    </row>
    <row r="98" spans="1:9" ht="12" customHeight="1" thickTop="1">
      <c r="A98" s="1014"/>
      <c r="B98" s="918"/>
      <c r="C98" s="918"/>
      <c r="D98" s="918"/>
      <c r="E98" s="918"/>
      <c r="F98" s="918"/>
      <c r="G98" s="931"/>
      <c r="H98" s="918"/>
    </row>
    <row r="99" spans="1:9" ht="12" customHeight="1">
      <c r="A99" s="553"/>
    </row>
    <row r="100" spans="1:9" ht="15" customHeight="1">
      <c r="A100" s="1008" t="str">
        <f>+A53</f>
        <v>[NAME OF THE COMPANY]</v>
      </c>
      <c r="B100" s="1008"/>
      <c r="C100" s="1008"/>
      <c r="D100" s="1008"/>
      <c r="E100" s="1008"/>
      <c r="F100" s="1008"/>
      <c r="G100" s="1008"/>
      <c r="H100" s="1008"/>
      <c r="I100" s="548"/>
    </row>
    <row r="101" spans="1:9" ht="9.9499999999999993" customHeight="1">
      <c r="A101" s="305"/>
      <c r="B101" s="29"/>
      <c r="C101" s="29"/>
      <c r="D101" s="29"/>
      <c r="E101" s="29"/>
      <c r="F101" s="29"/>
      <c r="G101" s="29"/>
      <c r="H101" s="29"/>
      <c r="I101" s="548"/>
    </row>
    <row r="102" spans="1:9" ht="15" customHeight="1">
      <c r="A102" s="1009" t="str">
        <f>+A55</f>
        <v>Schedules to Balance Sheet as at 31st March, 20XX</v>
      </c>
      <c r="B102" s="1010"/>
      <c r="C102" s="1010"/>
      <c r="D102" s="1010"/>
      <c r="E102" s="1010"/>
      <c r="F102" s="1010"/>
      <c r="G102" s="1010"/>
      <c r="H102" s="1010"/>
      <c r="I102" s="548"/>
    </row>
    <row r="103" spans="1:9" ht="15" customHeight="1">
      <c r="A103" s="619"/>
      <c r="B103" s="477"/>
      <c r="C103" s="477"/>
      <c r="D103" s="477"/>
      <c r="E103" s="477"/>
      <c r="F103" s="477"/>
      <c r="G103" s="477"/>
      <c r="H103" s="477"/>
      <c r="I103" s="548"/>
    </row>
    <row r="104" spans="1:9">
      <c r="A104" s="237" t="str">
        <f>BS!D51</f>
        <v>AUTO</v>
      </c>
      <c r="B104" s="188" t="s">
        <v>334</v>
      </c>
      <c r="C104" s="25"/>
      <c r="D104" s="25"/>
      <c r="E104" s="25"/>
      <c r="F104" s="25"/>
      <c r="G104" s="56"/>
      <c r="H104" s="104"/>
    </row>
    <row r="105" spans="1:9">
      <c r="A105" s="25"/>
      <c r="B105" s="420" t="s">
        <v>110</v>
      </c>
      <c r="C105" s="81"/>
      <c r="D105" s="81"/>
      <c r="E105" s="81"/>
      <c r="F105" s="76"/>
      <c r="G105" s="421" t="s">
        <v>228</v>
      </c>
      <c r="H105" s="422" t="s">
        <v>228</v>
      </c>
    </row>
    <row r="106" spans="1:9" ht="22.9" customHeight="1">
      <c r="A106" s="25"/>
      <c r="B106" s="423"/>
      <c r="C106" s="69"/>
      <c r="D106" s="69"/>
      <c r="E106" s="69"/>
      <c r="F106" s="70"/>
      <c r="G106" s="424" t="str">
        <f>+G7</f>
        <v>31st March, 20XX</v>
      </c>
      <c r="H106" s="424" t="str">
        <f>+H7</f>
        <v>31st March, 20XX</v>
      </c>
    </row>
    <row r="107" spans="1:9">
      <c r="A107" s="25"/>
      <c r="B107" s="511" t="s">
        <v>335</v>
      </c>
      <c r="C107" s="25"/>
      <c r="D107" s="25"/>
      <c r="E107" s="25"/>
      <c r="F107" s="66"/>
      <c r="G107" s="220">
        <v>0</v>
      </c>
      <c r="H107" s="504">
        <v>0</v>
      </c>
    </row>
    <row r="108" spans="1:9">
      <c r="A108" s="25"/>
      <c r="B108" s="645" t="s">
        <v>963</v>
      </c>
      <c r="C108" s="25"/>
      <c r="D108" s="25"/>
      <c r="E108" s="25"/>
      <c r="F108" s="66"/>
      <c r="G108" s="220">
        <v>0</v>
      </c>
      <c r="H108" s="504">
        <v>0</v>
      </c>
    </row>
    <row r="109" spans="1:9">
      <c r="A109" s="25"/>
      <c r="B109" s="645" t="s">
        <v>964</v>
      </c>
      <c r="C109" s="25"/>
      <c r="D109" s="25"/>
      <c r="E109" s="25"/>
      <c r="F109" s="66"/>
      <c r="G109" s="220">
        <v>0</v>
      </c>
      <c r="H109" s="504">
        <v>0</v>
      </c>
    </row>
    <row r="110" spans="1:9">
      <c r="A110" s="25"/>
      <c r="B110" s="645" t="s">
        <v>965</v>
      </c>
      <c r="C110" s="25"/>
      <c r="D110" s="25"/>
      <c r="E110" s="25"/>
      <c r="F110" s="66"/>
      <c r="G110" s="220">
        <v>0</v>
      </c>
      <c r="H110" s="504">
        <v>0</v>
      </c>
    </row>
    <row r="111" spans="1:9">
      <c r="A111" s="25"/>
      <c r="B111" s="226" t="s">
        <v>336</v>
      </c>
      <c r="C111" s="25"/>
      <c r="D111" s="25"/>
      <c r="E111" s="25"/>
      <c r="F111" s="66"/>
      <c r="G111" s="225">
        <v>0</v>
      </c>
      <c r="H111" s="221">
        <v>0</v>
      </c>
    </row>
    <row r="112" spans="1:9">
      <c r="A112" s="25"/>
      <c r="B112" s="67"/>
      <c r="C112" s="25"/>
      <c r="D112" s="25"/>
      <c r="E112" s="25"/>
      <c r="F112" s="66"/>
      <c r="G112" s="56"/>
      <c r="H112" s="57"/>
    </row>
    <row r="113" spans="1:8" ht="13.9" customHeight="1" thickBot="1">
      <c r="A113" s="25"/>
      <c r="B113" s="935" t="s">
        <v>309</v>
      </c>
      <c r="C113" s="936"/>
      <c r="D113" s="427"/>
      <c r="E113" s="427"/>
      <c r="F113" s="84"/>
      <c r="G113" s="428">
        <f>SUM(G107:G111)</f>
        <v>0</v>
      </c>
      <c r="H113" s="428">
        <f>SUM(H107:H111)</f>
        <v>0</v>
      </c>
    </row>
    <row r="114" spans="1:8" ht="12" customHeight="1" thickTop="1">
      <c r="A114" s="1014"/>
      <c r="B114" s="918"/>
      <c r="C114" s="918"/>
      <c r="D114" s="918"/>
      <c r="E114" s="918"/>
      <c r="F114" s="918"/>
      <c r="G114" s="931"/>
      <c r="H114" s="918"/>
    </row>
    <row r="117" spans="1:8">
      <c r="A117" s="930" t="s">
        <v>226</v>
      </c>
      <c r="B117" s="918"/>
      <c r="C117" s="918"/>
      <c r="D117" s="918"/>
      <c r="E117" s="918"/>
      <c r="F117" s="918"/>
      <c r="G117" s="931"/>
      <c r="H117" s="918"/>
    </row>
    <row r="118" spans="1:8" hidden="1"/>
    <row r="119" spans="1:8" ht="13.15" hidden="1" customHeight="1">
      <c r="A119" s="25"/>
      <c r="B119" s="452"/>
      <c r="C119" s="452"/>
      <c r="D119" s="25"/>
      <c r="E119" s="25"/>
      <c r="F119" s="86"/>
      <c r="G119" s="87"/>
      <c r="H119" s="87"/>
    </row>
  </sheetData>
  <mergeCells count="38">
    <mergeCell ref="A1:H1"/>
    <mergeCell ref="A3:H3"/>
    <mergeCell ref="B17:F17"/>
    <mergeCell ref="B35:C35"/>
    <mergeCell ref="H65:H66"/>
    <mergeCell ref="B12:C12"/>
    <mergeCell ref="B44:C44"/>
    <mergeCell ref="B19:C19"/>
    <mergeCell ref="B16:E16"/>
    <mergeCell ref="C65:G65"/>
    <mergeCell ref="B60:F60"/>
    <mergeCell ref="B15:F15"/>
    <mergeCell ref="B22:F22"/>
    <mergeCell ref="A117:H117"/>
    <mergeCell ref="B25:E25"/>
    <mergeCell ref="B24:E24"/>
    <mergeCell ref="B113:C113"/>
    <mergeCell ref="B50:C50"/>
    <mergeCell ref="A114:H114"/>
    <mergeCell ref="B27:C27"/>
    <mergeCell ref="A98:H98"/>
    <mergeCell ref="B97:C97"/>
    <mergeCell ref="B62:C62"/>
    <mergeCell ref="C73:G73"/>
    <mergeCell ref="H73:H74"/>
    <mergeCell ref="B31:F31"/>
    <mergeCell ref="B47:F47"/>
    <mergeCell ref="A53:H53"/>
    <mergeCell ref="A55:H55"/>
    <mergeCell ref="A100:H100"/>
    <mergeCell ref="A102:H102"/>
    <mergeCell ref="B58:F58"/>
    <mergeCell ref="B65:B66"/>
    <mergeCell ref="B73:B74"/>
    <mergeCell ref="B84:F84"/>
    <mergeCell ref="B92:F92"/>
    <mergeCell ref="B90:H90"/>
    <mergeCell ref="B89:C89"/>
  </mergeCells>
  <conditionalFormatting sqref="G6:H7">
    <cfRule type="cellIs" dxfId="22" priority="9" stopIfTrue="1" operator="lessThan">
      <formula>0</formula>
    </cfRule>
  </conditionalFormatting>
  <conditionalFormatting sqref="G15:H15">
    <cfRule type="cellIs" dxfId="21" priority="6" stopIfTrue="1" operator="lessThan">
      <formula>0</formula>
    </cfRule>
  </conditionalFormatting>
  <conditionalFormatting sqref="G22:H22">
    <cfRule type="cellIs" dxfId="20" priority="16" stopIfTrue="1" operator="lessThan">
      <formula>0</formula>
    </cfRule>
  </conditionalFormatting>
  <conditionalFormatting sqref="G31:H31">
    <cfRule type="cellIs" dxfId="19" priority="4" stopIfTrue="1" operator="lessThan">
      <formula>0</formula>
    </cfRule>
  </conditionalFormatting>
  <conditionalFormatting sqref="G38:H40">
    <cfRule type="cellIs" dxfId="18" priority="15" stopIfTrue="1" operator="lessThan">
      <formula>0</formula>
    </cfRule>
  </conditionalFormatting>
  <conditionalFormatting sqref="G47:H47">
    <cfRule type="cellIs" dxfId="17" priority="14" stopIfTrue="1" operator="lessThan">
      <formula>0</formula>
    </cfRule>
  </conditionalFormatting>
  <conditionalFormatting sqref="G58:H58">
    <cfRule type="cellIs" dxfId="16" priority="3" stopIfTrue="1" operator="lessThan">
      <formula>0</formula>
    </cfRule>
  </conditionalFormatting>
  <conditionalFormatting sqref="G84:H84">
    <cfRule type="cellIs" dxfId="15" priority="2" stopIfTrue="1" operator="lessThan">
      <formula>0</formula>
    </cfRule>
  </conditionalFormatting>
  <conditionalFormatting sqref="G92:H92">
    <cfRule type="cellIs" dxfId="14" priority="1" stopIfTrue="1" operator="lessThan">
      <formula>0</formula>
    </cfRule>
  </conditionalFormatting>
  <conditionalFormatting sqref="G105:H106">
    <cfRule type="cellIs" dxfId="13" priority="10" stopIfTrue="1" operator="lessThan">
      <formula>0</formula>
    </cfRule>
  </conditionalFormatting>
  <conditionalFormatting sqref="J15">
    <cfRule type="cellIs" dxfId="12" priority="5" stopIfTrue="1" operator="lessThan">
      <formula>0</formula>
    </cfRule>
  </conditionalFormatting>
  <printOptions horizontalCentered="1"/>
  <pageMargins left="0.35" right="0.35" top="0.55000000000000004" bottom="0.55000000000000004" header="0.2" footer="0.2"/>
  <pageSetup paperSize="9" fitToHeight="0" orientation="portrait" r:id="rId1"/>
  <headerFooter>
    <oddFooter>&amp;LCAFlow template&amp;RPage &amp;P of &amp;N</oddFooter>
  </headerFooter>
  <rowBreaks count="2" manualBreakCount="2">
    <brk id="51" max="7" man="1"/>
    <brk id="98" max="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M134"/>
  <sheetViews>
    <sheetView showGridLines="0" view="pageBreakPreview" topLeftCell="A72" zoomScaleNormal="100" zoomScaleSheetLayoutView="100" workbookViewId="0">
      <selection activeCell="F112" sqref="F112"/>
    </sheetView>
  </sheetViews>
  <sheetFormatPr defaultColWidth="9.28515625" defaultRowHeight="12"/>
  <cols>
    <col min="1" max="1" width="5.7109375" style="31" customWidth="1"/>
    <col min="2" max="2" width="15.7109375" style="13" customWidth="1"/>
    <col min="3" max="3" width="14.5703125" style="13" customWidth="1"/>
    <col min="4" max="4" width="12.7109375" style="13" customWidth="1"/>
    <col min="5" max="5" width="9.42578125" style="13" customWidth="1"/>
    <col min="6" max="6" width="17.7109375" style="20" customWidth="1"/>
    <col min="7" max="7" width="17.7109375" style="13" customWidth="1"/>
    <col min="8" max="8" width="21.42578125" style="13" customWidth="1"/>
    <col min="9" max="9" width="14.7109375" style="13" customWidth="1"/>
    <col min="10" max="10" width="11" style="13" bestFit="1" customWidth="1"/>
    <col min="11" max="12" width="15.42578125" style="13" bestFit="1" customWidth="1"/>
    <col min="13" max="13" width="14.42578125" style="13" bestFit="1" customWidth="1"/>
    <col min="14" max="14" width="9.28515625" style="13" customWidth="1"/>
    <col min="15" max="16384" width="9.28515625" style="13"/>
  </cols>
  <sheetData>
    <row r="1" spans="1:13" ht="15.75">
      <c r="A1" s="1023" t="str">
        <f>BS!B2</f>
        <v>[NAME OF THE COMPANY]</v>
      </c>
      <c r="B1" s="1023"/>
      <c r="C1" s="1023"/>
      <c r="D1" s="1023"/>
      <c r="E1" s="1023"/>
      <c r="F1" s="1023"/>
      <c r="G1" s="1023"/>
      <c r="H1" s="25"/>
      <c r="I1" s="25"/>
    </row>
    <row r="2" spans="1:13">
      <c r="A2" s="666"/>
      <c r="B2" s="25"/>
      <c r="C2" s="25"/>
      <c r="D2" s="25"/>
      <c r="E2" s="25"/>
      <c r="F2" s="56"/>
      <c r="G2" s="25"/>
      <c r="H2" s="25"/>
      <c r="I2" s="241" t="s">
        <v>337</v>
      </c>
      <c r="J2" s="242">
        <f>0.01*PL!G9</f>
        <v>0</v>
      </c>
      <c r="K2" s="242">
        <f>0.01*PL!H9</f>
        <v>0</v>
      </c>
    </row>
    <row r="3" spans="1:13" ht="15.75">
      <c r="A3" s="1028" t="s">
        <v>1003</v>
      </c>
      <c r="B3" s="1028"/>
      <c r="C3" s="1028"/>
      <c r="D3" s="1028"/>
      <c r="E3" s="1028"/>
      <c r="F3" s="1028"/>
      <c r="G3" s="1028"/>
      <c r="H3" s="25"/>
      <c r="I3" s="25"/>
    </row>
    <row r="4" spans="1:13">
      <c r="A4" s="146"/>
      <c r="B4" s="25"/>
      <c r="C4" s="25"/>
      <c r="D4" s="25"/>
      <c r="E4" s="25"/>
      <c r="F4" s="56"/>
      <c r="G4" s="104"/>
      <c r="H4" s="25"/>
      <c r="I4" s="25"/>
    </row>
    <row r="5" spans="1:13" ht="12" customHeight="1">
      <c r="A5" s="667" t="str">
        <f>PL!F9</f>
        <v>AUTO</v>
      </c>
      <c r="B5" s="204" t="s">
        <v>154</v>
      </c>
      <c r="C5" s="25"/>
      <c r="D5" s="25"/>
      <c r="E5" s="25"/>
      <c r="F5" s="56"/>
      <c r="G5" s="317" t="str">
        <f>+BS!E5</f>
        <v>(Amount in Rs. `000)</v>
      </c>
      <c r="H5" s="25"/>
      <c r="I5" s="25"/>
    </row>
    <row r="6" spans="1:13" ht="30" customHeight="1">
      <c r="A6" s="668"/>
      <c r="B6" s="1024" t="s">
        <v>110</v>
      </c>
      <c r="C6" s="1024"/>
      <c r="D6" s="1024"/>
      <c r="E6" s="1024"/>
      <c r="F6" s="646" t="s">
        <v>1004</v>
      </c>
      <c r="G6" s="646" t="s">
        <v>1004</v>
      </c>
      <c r="H6"/>
      <c r="I6"/>
      <c r="J6"/>
      <c r="K6"/>
      <c r="L6"/>
      <c r="M6"/>
    </row>
    <row r="7" spans="1:13">
      <c r="A7" s="146"/>
      <c r="B7" s="67" t="s">
        <v>903</v>
      </c>
      <c r="C7" s="25"/>
      <c r="D7" s="25"/>
      <c r="E7" s="109"/>
      <c r="F7" s="512">
        <v>0</v>
      </c>
      <c r="G7" s="218">
        <v>0</v>
      </c>
      <c r="H7" s="25"/>
      <c r="I7" s="515" t="s">
        <v>338</v>
      </c>
    </row>
    <row r="8" spans="1:13">
      <c r="A8" s="146"/>
      <c r="B8" s="67" t="s">
        <v>1002</v>
      </c>
      <c r="C8" s="25"/>
      <c r="D8" s="25"/>
      <c r="E8" s="109"/>
      <c r="F8" s="236">
        <v>0</v>
      </c>
      <c r="G8" s="221">
        <v>0</v>
      </c>
      <c r="H8" s="25"/>
      <c r="I8" s="515"/>
    </row>
    <row r="9" spans="1:13">
      <c r="A9" s="146"/>
      <c r="B9" s="226" t="s">
        <v>339</v>
      </c>
      <c r="C9" s="25"/>
      <c r="D9" s="25"/>
      <c r="E9" s="109"/>
      <c r="F9" s="236">
        <v>0</v>
      </c>
      <c r="G9" s="221">
        <v>0</v>
      </c>
      <c r="H9" s="25"/>
      <c r="I9" s="25"/>
    </row>
    <row r="10" spans="1:13" ht="6.95" customHeight="1">
      <c r="A10" s="146"/>
      <c r="B10" s="67"/>
      <c r="C10" s="25"/>
      <c r="D10" s="25"/>
      <c r="E10" s="109"/>
      <c r="F10" s="513"/>
      <c r="G10" s="514"/>
      <c r="H10" s="25"/>
      <c r="I10" s="25"/>
    </row>
    <row r="11" spans="1:13" ht="13.9" customHeight="1" thickBot="1">
      <c r="A11" s="146"/>
      <c r="B11" s="1029" t="s">
        <v>251</v>
      </c>
      <c r="C11" s="936"/>
      <c r="D11" s="427"/>
      <c r="E11" s="84"/>
      <c r="F11" s="428">
        <f>SUM(F7:F10)</f>
        <v>0</v>
      </c>
      <c r="G11" s="428">
        <f>SUM(G7:G10)</f>
        <v>0</v>
      </c>
      <c r="H11" s="25"/>
      <c r="I11" s="25"/>
    </row>
    <row r="12" spans="1:13" ht="13.9" customHeight="1" thickTop="1">
      <c r="A12" s="146"/>
      <c r="B12" s="85"/>
      <c r="C12" s="85"/>
      <c r="D12" s="25"/>
      <c r="E12" s="86"/>
      <c r="F12" s="80"/>
      <c r="G12" s="80"/>
      <c r="H12" s="25"/>
      <c r="I12" s="25"/>
    </row>
    <row r="13" spans="1:13">
      <c r="A13" s="667" t="str">
        <f>PL!F10</f>
        <v>AUTO</v>
      </c>
      <c r="B13" s="204" t="s">
        <v>340</v>
      </c>
      <c r="C13" s="25"/>
      <c r="D13" s="25"/>
      <c r="E13" s="110"/>
      <c r="F13" s="111"/>
      <c r="G13" s="104"/>
      <c r="H13" s="25"/>
      <c r="I13" s="25"/>
    </row>
    <row r="14" spans="1:13" ht="30" customHeight="1">
      <c r="A14" s="668"/>
      <c r="B14" s="1025" t="s">
        <v>110</v>
      </c>
      <c r="C14" s="1026"/>
      <c r="D14" s="1026"/>
      <c r="E14" s="1027"/>
      <c r="F14" s="647" t="str">
        <f>+F6</f>
        <v xml:space="preserve"> For the year ended 31 March 20XX</v>
      </c>
      <c r="G14" s="647" t="str">
        <f>+G6</f>
        <v xml:space="preserve"> For the year ended 31 March 20XX</v>
      </c>
      <c r="H14"/>
      <c r="I14"/>
      <c r="J14"/>
      <c r="K14"/>
      <c r="L14"/>
      <c r="M14"/>
    </row>
    <row r="15" spans="1:13">
      <c r="A15" s="146"/>
      <c r="B15" s="239" t="s">
        <v>341</v>
      </c>
      <c r="C15" s="112"/>
      <c r="D15" s="112"/>
      <c r="E15" s="113"/>
      <c r="F15" s="225">
        <v>0</v>
      </c>
      <c r="G15" s="218">
        <v>0</v>
      </c>
      <c r="H15" s="25"/>
      <c r="I15" s="25"/>
    </row>
    <row r="16" spans="1:13">
      <c r="A16" s="146"/>
      <c r="B16" s="226" t="s">
        <v>342</v>
      </c>
      <c r="C16" s="65"/>
      <c r="D16" s="65"/>
      <c r="E16" s="114"/>
      <c r="F16" s="225">
        <v>0</v>
      </c>
      <c r="G16" s="221">
        <v>0</v>
      </c>
      <c r="H16" s="25"/>
      <c r="I16" s="25"/>
    </row>
    <row r="17" spans="1:9">
      <c r="A17" s="146"/>
      <c r="B17" s="226" t="s">
        <v>343</v>
      </c>
      <c r="C17" s="25"/>
      <c r="D17" s="25"/>
      <c r="E17" s="109"/>
      <c r="F17" s="225">
        <v>0</v>
      </c>
      <c r="G17" s="221">
        <v>0</v>
      </c>
      <c r="H17" s="25"/>
      <c r="I17" s="25"/>
    </row>
    <row r="18" spans="1:9" ht="6.95" customHeight="1">
      <c r="A18" s="146"/>
      <c r="B18" s="67"/>
      <c r="C18" s="25"/>
      <c r="D18" s="25"/>
      <c r="E18" s="109"/>
      <c r="F18" s="56"/>
      <c r="G18" s="57"/>
      <c r="H18" s="25"/>
      <c r="I18" s="25"/>
    </row>
    <row r="19" spans="1:9" ht="13.9" customHeight="1" thickBot="1">
      <c r="A19" s="146"/>
      <c r="B19" s="1029" t="s">
        <v>251</v>
      </c>
      <c r="C19" s="936"/>
      <c r="D19" s="427"/>
      <c r="E19" s="84"/>
      <c r="F19" s="428">
        <f>SUM(F15:F18)</f>
        <v>0</v>
      </c>
      <c r="G19" s="428">
        <f>SUM(G15:G18)</f>
        <v>0</v>
      </c>
      <c r="H19" s="25"/>
      <c r="I19" s="25"/>
    </row>
    <row r="20" spans="1:9" ht="12" customHeight="1" thickTop="1">
      <c r="A20" s="146"/>
      <c r="B20" s="25"/>
      <c r="C20" s="25"/>
      <c r="D20" s="25"/>
      <c r="E20" s="25"/>
      <c r="F20" s="56"/>
      <c r="G20" s="25"/>
      <c r="H20" s="25"/>
      <c r="I20" s="25"/>
    </row>
    <row r="21" spans="1:9">
      <c r="A21" s="667" t="str">
        <f>PL!F10</f>
        <v>AUTO</v>
      </c>
      <c r="B21" s="204" t="s">
        <v>161</v>
      </c>
      <c r="C21" s="25"/>
      <c r="D21" s="25"/>
      <c r="E21" s="25"/>
      <c r="F21" s="56"/>
      <c r="G21" s="104"/>
      <c r="H21" s="25"/>
      <c r="I21" s="25"/>
    </row>
    <row r="22" spans="1:9" ht="30" customHeight="1">
      <c r="A22" s="668"/>
      <c r="B22" s="1025" t="s">
        <v>110</v>
      </c>
      <c r="C22" s="1026"/>
      <c r="D22" s="1026"/>
      <c r="E22" s="1027"/>
      <c r="F22" s="554" t="str">
        <f>+F14</f>
        <v xml:space="preserve"> For the year ended 31 March 20XX</v>
      </c>
      <c r="G22" s="554" t="str">
        <f>+G14</f>
        <v xml:space="preserve"> For the year ended 31 March 20XX</v>
      </c>
      <c r="H22" s="25"/>
      <c r="I22" s="25"/>
    </row>
    <row r="23" spans="1:9">
      <c r="A23" s="146"/>
      <c r="B23" s="677" t="s">
        <v>1018</v>
      </c>
      <c r="C23" s="81"/>
      <c r="D23" s="81"/>
      <c r="E23" s="76"/>
      <c r="F23" s="218"/>
      <c r="G23" s="218"/>
      <c r="H23" s="25"/>
      <c r="I23" s="25"/>
    </row>
    <row r="24" spans="1:9">
      <c r="A24" s="146"/>
      <c r="B24" s="67" t="s">
        <v>1019</v>
      </c>
      <c r="C24" s="25"/>
      <c r="D24" s="25"/>
      <c r="E24" s="66"/>
      <c r="F24" s="225">
        <v>0</v>
      </c>
      <c r="G24" s="221">
        <v>0</v>
      </c>
      <c r="H24" s="25"/>
      <c r="I24" s="25"/>
    </row>
    <row r="25" spans="1:9">
      <c r="A25" s="146"/>
      <c r="B25" s="67" t="s">
        <v>1020</v>
      </c>
      <c r="C25" s="25"/>
      <c r="D25" s="25"/>
      <c r="E25" s="66"/>
      <c r="F25" s="225">
        <v>0</v>
      </c>
      <c r="G25" s="221">
        <v>0</v>
      </c>
      <c r="H25" s="25"/>
      <c r="I25" s="25"/>
    </row>
    <row r="26" spans="1:9">
      <c r="A26" s="146"/>
      <c r="B26" s="67" t="s">
        <v>1021</v>
      </c>
      <c r="C26" s="25"/>
      <c r="D26" s="25"/>
      <c r="E26" s="66"/>
      <c r="F26" s="56">
        <v>0</v>
      </c>
      <c r="G26" s="57">
        <v>0</v>
      </c>
      <c r="H26" s="25"/>
      <c r="I26" s="25"/>
    </row>
    <row r="27" spans="1:9" ht="6.95" customHeight="1">
      <c r="A27" s="146"/>
      <c r="B27" s="67"/>
      <c r="C27" s="25"/>
      <c r="D27" s="25"/>
      <c r="E27" s="66"/>
      <c r="F27" s="56"/>
      <c r="G27" s="57"/>
      <c r="H27" s="25"/>
      <c r="I27" s="25"/>
    </row>
    <row r="28" spans="1:9" ht="13.9" customHeight="1" thickBot="1">
      <c r="A28" s="146"/>
      <c r="B28" s="1029" t="s">
        <v>251</v>
      </c>
      <c r="C28" s="936"/>
      <c r="D28" s="427"/>
      <c r="E28" s="84"/>
      <c r="F28" s="428">
        <f>+F24+F25-F26</f>
        <v>0</v>
      </c>
      <c r="G28" s="428">
        <f>+G24+G25-G26</f>
        <v>0</v>
      </c>
      <c r="H28" s="25"/>
      <c r="I28" s="25"/>
    </row>
    <row r="29" spans="1:9" ht="13.9" customHeight="1" thickTop="1">
      <c r="A29" s="146"/>
      <c r="B29" s="672"/>
      <c r="C29"/>
      <c r="D29" s="25"/>
      <c r="E29" s="86"/>
      <c r="F29" s="673"/>
      <c r="G29" s="673"/>
      <c r="H29" s="25"/>
      <c r="I29" s="25"/>
    </row>
    <row r="30" spans="1:9">
      <c r="A30" s="667" t="str">
        <f>PL!F15</f>
        <v>AUTO</v>
      </c>
      <c r="B30" s="204" t="s">
        <v>344</v>
      </c>
      <c r="C30" s="25"/>
      <c r="D30" s="25"/>
      <c r="E30" s="25"/>
      <c r="F30" s="56"/>
      <c r="G30" s="104"/>
      <c r="H30" s="25"/>
      <c r="I30" s="25"/>
    </row>
    <row r="31" spans="1:9" ht="30" customHeight="1">
      <c r="A31" s="668"/>
      <c r="B31" s="1025" t="s">
        <v>110</v>
      </c>
      <c r="C31" s="1026"/>
      <c r="D31" s="1026"/>
      <c r="E31" s="1027"/>
      <c r="F31" s="554" t="str">
        <f>+F14</f>
        <v xml:space="preserve"> For the year ended 31 March 20XX</v>
      </c>
      <c r="G31" s="554" t="str">
        <f>+G14</f>
        <v xml:space="preserve"> For the year ended 31 March 20XX</v>
      </c>
      <c r="H31" s="25"/>
      <c r="I31" s="25"/>
    </row>
    <row r="32" spans="1:9">
      <c r="A32" s="146"/>
      <c r="B32" s="239" t="s">
        <v>345</v>
      </c>
      <c r="C32" s="81"/>
      <c r="D32" s="81"/>
      <c r="E32" s="76"/>
      <c r="F32" s="218">
        <v>0</v>
      </c>
      <c r="G32" s="218">
        <v>0</v>
      </c>
      <c r="H32" s="25"/>
      <c r="I32" s="25"/>
    </row>
    <row r="33" spans="1:10" ht="6.95" customHeight="1">
      <c r="A33" s="146"/>
      <c r="B33" s="67"/>
      <c r="C33" s="25"/>
      <c r="D33" s="25"/>
      <c r="E33" s="66"/>
      <c r="F33" s="56"/>
      <c r="G33" s="57"/>
      <c r="H33" s="25"/>
      <c r="I33" s="25"/>
    </row>
    <row r="34" spans="1:10" ht="13.9" customHeight="1" thickBot="1">
      <c r="A34" s="146"/>
      <c r="B34" s="1029" t="s">
        <v>251</v>
      </c>
      <c r="C34" s="936"/>
      <c r="D34" s="427"/>
      <c r="E34" s="84"/>
      <c r="F34" s="428">
        <f>SUM(F32:F33)</f>
        <v>0</v>
      </c>
      <c r="G34" s="428">
        <f>SUM(G32:G33)</f>
        <v>0</v>
      </c>
      <c r="H34" s="25"/>
      <c r="I34" s="25"/>
    </row>
    <row r="35" spans="1:10" ht="13.9" customHeight="1" thickTop="1">
      <c r="A35" s="146"/>
      <c r="B35" s="85"/>
      <c r="C35" s="85"/>
      <c r="D35" s="25"/>
      <c r="E35" s="86"/>
      <c r="F35" s="87"/>
      <c r="G35" s="87"/>
      <c r="H35" s="25"/>
      <c r="I35" s="25"/>
    </row>
    <row r="36" spans="1:10">
      <c r="A36" s="667" t="str">
        <f>PL!F16</f>
        <v>AUTO</v>
      </c>
      <c r="B36" s="65" t="s">
        <v>1022</v>
      </c>
      <c r="C36" s="25"/>
      <c r="D36" s="25"/>
      <c r="E36" s="25"/>
      <c r="F36" s="64"/>
      <c r="G36" s="104"/>
      <c r="H36" s="25"/>
      <c r="I36" s="25"/>
    </row>
    <row r="37" spans="1:10" ht="30" customHeight="1">
      <c r="A37" s="668"/>
      <c r="B37" s="1025" t="s">
        <v>110</v>
      </c>
      <c r="C37" s="1026"/>
      <c r="D37" s="1026"/>
      <c r="E37" s="1027"/>
      <c r="F37" s="554" t="str">
        <f>+F31</f>
        <v xml:space="preserve"> For the year ended 31 March 20XX</v>
      </c>
      <c r="G37" s="647" t="str">
        <f>+G31</f>
        <v xml:space="preserve"> For the year ended 31 March 20XX</v>
      </c>
      <c r="H37" s="25"/>
      <c r="I37" s="25"/>
    </row>
    <row r="38" spans="1:10">
      <c r="A38" s="668"/>
      <c r="B38" s="420" t="s">
        <v>346</v>
      </c>
      <c r="C38" s="81"/>
      <c r="D38" s="81"/>
      <c r="E38" s="76"/>
      <c r="F38" s="78"/>
      <c r="G38" s="57"/>
      <c r="H38" s="25"/>
      <c r="I38" s="25"/>
    </row>
    <row r="39" spans="1:10">
      <c r="A39" s="668"/>
      <c r="B39" s="67" t="s">
        <v>1023</v>
      </c>
      <c r="C39" s="25"/>
      <c r="D39" s="25"/>
      <c r="E39" s="66"/>
      <c r="F39" s="221">
        <v>0</v>
      </c>
      <c r="G39" s="221">
        <v>0</v>
      </c>
      <c r="H39" s="105"/>
      <c r="I39" s="105"/>
      <c r="J39" s="243">
        <f>0.0015*100</f>
        <v>0.15</v>
      </c>
    </row>
    <row r="40" spans="1:10" ht="6.95" customHeight="1">
      <c r="A40" s="668"/>
      <c r="B40" s="67"/>
      <c r="C40" s="25"/>
      <c r="D40" s="25"/>
      <c r="E40" s="66"/>
      <c r="F40" s="57"/>
      <c r="G40" s="57"/>
      <c r="H40" s="105"/>
      <c r="I40" s="105"/>
      <c r="J40" s="14"/>
    </row>
    <row r="41" spans="1:10">
      <c r="A41" s="668"/>
      <c r="B41" s="67"/>
      <c r="C41" s="25"/>
      <c r="D41" s="25"/>
      <c r="E41" s="66"/>
      <c r="F41" s="244">
        <f>SUM(F39:F40)</f>
        <v>0</v>
      </c>
      <c r="G41" s="244">
        <f>SUM(G39:G40)</f>
        <v>0</v>
      </c>
      <c r="H41" s="25"/>
      <c r="I41" s="25"/>
    </row>
    <row r="42" spans="1:10">
      <c r="A42" s="146"/>
      <c r="B42" s="516" t="s">
        <v>347</v>
      </c>
      <c r="C42" s="25"/>
      <c r="D42" s="25"/>
      <c r="E42" s="66"/>
      <c r="F42" s="57"/>
      <c r="G42" s="57"/>
      <c r="H42" s="25"/>
      <c r="I42" s="25"/>
    </row>
    <row r="43" spans="1:10">
      <c r="A43" s="146"/>
      <c r="B43" s="226" t="s">
        <v>1023</v>
      </c>
      <c r="C43" s="25"/>
      <c r="D43" s="25"/>
      <c r="E43" s="66"/>
      <c r="F43" s="221">
        <f>G39</f>
        <v>0</v>
      </c>
      <c r="G43" s="221">
        <v>0</v>
      </c>
      <c r="H43" s="25"/>
      <c r="I43" s="25"/>
    </row>
    <row r="44" spans="1:10" ht="6.95" customHeight="1">
      <c r="A44" s="146"/>
      <c r="B44" s="67"/>
      <c r="C44" s="25"/>
      <c r="D44" s="25"/>
      <c r="E44" s="66"/>
      <c r="F44" s="57"/>
      <c r="G44" s="57"/>
      <c r="H44" s="25"/>
      <c r="I44" s="25"/>
    </row>
    <row r="45" spans="1:10">
      <c r="A45" s="146"/>
      <c r="B45" s="115"/>
      <c r="C45" s="25"/>
      <c r="D45" s="25"/>
      <c r="E45" s="66"/>
      <c r="F45" s="244">
        <f>SUM(F43:F44)</f>
        <v>0</v>
      </c>
      <c r="G45" s="244">
        <f>SUM(G43:G44)</f>
        <v>0</v>
      </c>
      <c r="H45" s="25"/>
      <c r="I45" s="25"/>
    </row>
    <row r="46" spans="1:10" ht="6.75" customHeight="1">
      <c r="A46" s="146"/>
      <c r="B46" s="115"/>
      <c r="C46" s="25"/>
      <c r="D46" s="25"/>
      <c r="E46" s="66"/>
      <c r="F46" s="57"/>
      <c r="G46" s="57"/>
      <c r="H46" s="25"/>
      <c r="I46" s="25"/>
    </row>
    <row r="47" spans="1:10" ht="12" customHeight="1" thickBot="1">
      <c r="A47" s="146"/>
      <c r="B47" s="517" t="s">
        <v>348</v>
      </c>
      <c r="C47" s="116"/>
      <c r="D47" s="69"/>
      <c r="E47" s="70"/>
      <c r="F47" s="222">
        <f>F45-F41</f>
        <v>0</v>
      </c>
      <c r="G47" s="222">
        <f>G45-G41</f>
        <v>0</v>
      </c>
      <c r="H47" s="25"/>
      <c r="I47" s="25"/>
    </row>
    <row r="48" spans="1:10" ht="12" customHeight="1" thickTop="1">
      <c r="A48" s="146"/>
      <c r="B48" s="65"/>
      <c r="C48" s="65"/>
      <c r="D48" s="25"/>
      <c r="E48" s="25"/>
      <c r="F48" s="80"/>
      <c r="G48" s="80"/>
      <c r="H48" s="25"/>
      <c r="I48" s="25"/>
    </row>
    <row r="49" spans="1:12">
      <c r="A49" s="669" t="str">
        <f>PL!F17</f>
        <v>AUTO</v>
      </c>
      <c r="B49" s="188" t="s">
        <v>165</v>
      </c>
      <c r="C49" s="25"/>
      <c r="D49" s="25"/>
      <c r="E49" s="25"/>
      <c r="F49" s="64"/>
      <c r="G49" s="104"/>
      <c r="H49" s="25"/>
      <c r="I49" s="25"/>
    </row>
    <row r="50" spans="1:12" ht="30" customHeight="1">
      <c r="A50" s="670"/>
      <c r="B50" s="1025" t="s">
        <v>110</v>
      </c>
      <c r="C50" s="1026"/>
      <c r="D50" s="1026"/>
      <c r="E50" s="1027"/>
      <c r="F50" s="554" t="str">
        <f>+F37</f>
        <v xml:space="preserve"> For the year ended 31 March 20XX</v>
      </c>
      <c r="G50" s="647" t="str">
        <f>+G37</f>
        <v xml:space="preserve"> For the year ended 31 March 20XX</v>
      </c>
      <c r="H50" s="25"/>
      <c r="I50" s="25"/>
    </row>
    <row r="51" spans="1:12">
      <c r="A51" s="146"/>
      <c r="B51" s="245" t="s">
        <v>349</v>
      </c>
      <c r="C51" s="357"/>
      <c r="D51" s="357"/>
      <c r="E51" s="358"/>
      <c r="F51" s="218">
        <v>0</v>
      </c>
      <c r="G51" s="221">
        <v>0</v>
      </c>
      <c r="H51" s="25"/>
      <c r="I51" s="25"/>
    </row>
    <row r="52" spans="1:12">
      <c r="A52" s="146"/>
      <c r="B52" s="501" t="s">
        <v>1024</v>
      </c>
      <c r="C52" s="25"/>
      <c r="D52" s="25"/>
      <c r="E52" s="66"/>
      <c r="F52" s="221">
        <v>0</v>
      </c>
      <c r="G52" s="221">
        <v>0</v>
      </c>
      <c r="H52" s="25" t="s">
        <v>1025</v>
      </c>
      <c r="I52" s="25"/>
    </row>
    <row r="53" spans="1:12">
      <c r="A53" s="146"/>
      <c r="B53" s="223" t="s">
        <v>350</v>
      </c>
      <c r="C53" s="25"/>
      <c r="D53" s="25"/>
      <c r="E53" s="66"/>
      <c r="F53" s="57">
        <v>0</v>
      </c>
      <c r="G53" s="57">
        <v>0</v>
      </c>
      <c r="H53" s="25"/>
      <c r="I53" s="25"/>
    </row>
    <row r="54" spans="1:12">
      <c r="A54" s="146"/>
      <c r="B54" s="246" t="s">
        <v>351</v>
      </c>
      <c r="C54" s="25"/>
      <c r="D54" s="25"/>
      <c r="E54" s="66"/>
      <c r="F54" s="221">
        <v>0</v>
      </c>
      <c r="G54" s="221">
        <v>0</v>
      </c>
      <c r="H54" s="25"/>
      <c r="I54" s="25"/>
    </row>
    <row r="55" spans="1:12" ht="6.95" customHeight="1">
      <c r="A55" s="146"/>
      <c r="B55" s="425"/>
      <c r="C55" s="69"/>
      <c r="D55" s="69"/>
      <c r="E55" s="426"/>
      <c r="F55" s="57"/>
      <c r="G55" s="57"/>
      <c r="H55" s="25"/>
      <c r="I55" s="25"/>
    </row>
    <row r="56" spans="1:12" ht="13.9" customHeight="1" thickBot="1">
      <c r="A56" s="146"/>
      <c r="B56" s="1029" t="s">
        <v>251</v>
      </c>
      <c r="C56" s="936"/>
      <c r="D56" s="427"/>
      <c r="E56" s="84"/>
      <c r="F56" s="428">
        <f>SUM(F51:F55)</f>
        <v>0</v>
      </c>
      <c r="G56" s="428">
        <f>SUM(G51:G55)</f>
        <v>0</v>
      </c>
      <c r="H56" s="25"/>
      <c r="I56" s="25"/>
      <c r="L56" s="14"/>
    </row>
    <row r="57" spans="1:12" ht="12.75" thickTop="1">
      <c r="A57" s="146"/>
      <c r="B57" s="25"/>
      <c r="C57" s="25"/>
      <c r="D57" s="25"/>
      <c r="E57" s="25"/>
      <c r="F57" s="25"/>
      <c r="G57" s="25"/>
      <c r="H57" s="25"/>
      <c r="I57" s="25"/>
      <c r="L57" s="14"/>
    </row>
    <row r="58" spans="1:12">
      <c r="A58" s="146"/>
      <c r="B58" s="25"/>
      <c r="C58" s="25"/>
      <c r="D58" s="25"/>
      <c r="E58" s="25"/>
      <c r="F58" s="80"/>
      <c r="G58" s="80"/>
      <c r="H58" s="25"/>
      <c r="I58" s="25"/>
      <c r="L58" s="14"/>
    </row>
    <row r="59" spans="1:12" ht="15.75">
      <c r="A59" s="1023" t="str">
        <f>+A1</f>
        <v>[NAME OF THE COMPANY]</v>
      </c>
      <c r="B59" s="1023"/>
      <c r="C59" s="1023"/>
      <c r="D59" s="1023"/>
      <c r="E59" s="1023"/>
      <c r="F59" s="1023"/>
      <c r="G59" s="1023"/>
      <c r="H59" s="25"/>
      <c r="I59" s="25"/>
    </row>
    <row r="60" spans="1:12">
      <c r="A60" s="666"/>
      <c r="B60" s="25"/>
      <c r="C60" s="25"/>
      <c r="D60" s="25"/>
      <c r="E60" s="25"/>
      <c r="F60" s="56"/>
      <c r="G60" s="25"/>
      <c r="H60" s="25"/>
      <c r="I60" s="25"/>
    </row>
    <row r="61" spans="1:12" ht="15.75">
      <c r="A61" s="1028" t="str">
        <f>+A3</f>
        <v>Schedules to Profit &amp; Loss A/c. for Financial year 20__ - __</v>
      </c>
      <c r="B61" s="1028"/>
      <c r="C61" s="1028"/>
      <c r="D61" s="1028"/>
      <c r="E61" s="1028"/>
      <c r="F61" s="1028"/>
      <c r="G61" s="1028"/>
      <c r="H61" s="25"/>
      <c r="I61" s="25"/>
    </row>
    <row r="62" spans="1:12">
      <c r="A62" s="671"/>
      <c r="B62" s="8"/>
      <c r="C62" s="25"/>
      <c r="D62" s="25"/>
      <c r="E62" s="25"/>
      <c r="F62" s="64"/>
      <c r="G62" s="64"/>
      <c r="H62" s="25"/>
      <c r="I62" s="25"/>
    </row>
    <row r="63" spans="1:12">
      <c r="A63" s="669" t="str">
        <f>PL!F18</f>
        <v>AUTO</v>
      </c>
      <c r="B63" s="188" t="s">
        <v>352</v>
      </c>
      <c r="C63" s="25"/>
      <c r="D63" s="25"/>
      <c r="E63" s="25"/>
      <c r="F63" s="64"/>
      <c r="G63" s="104" t="str">
        <f>+G5</f>
        <v>(Amount in Rs. `000)</v>
      </c>
      <c r="H63" s="25"/>
      <c r="I63" s="25"/>
    </row>
    <row r="64" spans="1:12" ht="30" customHeight="1">
      <c r="A64" s="670"/>
      <c r="B64" s="1025" t="s">
        <v>110</v>
      </c>
      <c r="C64" s="1026"/>
      <c r="D64" s="1026"/>
      <c r="E64" s="1027"/>
      <c r="F64" s="554" t="str">
        <f>+F50</f>
        <v xml:space="preserve"> For the year ended 31 March 20XX</v>
      </c>
      <c r="G64" s="647" t="str">
        <f>+G50</f>
        <v xml:space="preserve"> For the year ended 31 March 20XX</v>
      </c>
      <c r="H64" s="25"/>
      <c r="I64" s="25"/>
    </row>
    <row r="65" spans="1:12">
      <c r="A65" s="146"/>
      <c r="B65" s="245" t="s">
        <v>353</v>
      </c>
      <c r="C65" s="81"/>
      <c r="D65" s="81"/>
      <c r="E65" s="76"/>
      <c r="F65" s="247">
        <v>0</v>
      </c>
      <c r="G65" s="221">
        <v>0</v>
      </c>
      <c r="H65" s="25"/>
      <c r="I65" s="25"/>
    </row>
    <row r="66" spans="1:12">
      <c r="A66" s="146"/>
      <c r="B66" s="223" t="s">
        <v>354</v>
      </c>
      <c r="C66" s="25"/>
      <c r="D66" s="25"/>
      <c r="E66" s="66"/>
      <c r="F66" s="224">
        <v>0</v>
      </c>
      <c r="G66" s="221">
        <v>0</v>
      </c>
      <c r="H66" s="25"/>
      <c r="I66" s="25"/>
    </row>
    <row r="67" spans="1:12">
      <c r="A67" s="146"/>
      <c r="B67" s="501" t="s">
        <v>1017</v>
      </c>
      <c r="C67" s="25"/>
      <c r="D67" s="25"/>
      <c r="E67" s="66"/>
      <c r="F67" s="224"/>
      <c r="G67" s="221"/>
      <c r="H67" s="25"/>
      <c r="I67" s="25"/>
    </row>
    <row r="68" spans="1:12">
      <c r="A68" s="146"/>
      <c r="B68" s="223" t="s">
        <v>355</v>
      </c>
      <c r="C68" s="25"/>
      <c r="D68" s="25"/>
      <c r="E68" s="66"/>
      <c r="F68" s="107">
        <v>0</v>
      </c>
      <c r="G68" s="57">
        <v>0</v>
      </c>
      <c r="H68" s="25"/>
      <c r="I68" s="25"/>
    </row>
    <row r="69" spans="1:12">
      <c r="A69" s="146"/>
      <c r="B69" s="68"/>
      <c r="C69" s="69"/>
      <c r="D69" s="69"/>
      <c r="E69" s="70"/>
      <c r="F69" s="107"/>
      <c r="G69" s="57"/>
      <c r="H69" s="25"/>
      <c r="I69" s="25"/>
    </row>
    <row r="70" spans="1:12" ht="13.9" customHeight="1" thickBot="1">
      <c r="A70" s="146"/>
      <c r="B70" s="1029" t="s">
        <v>251</v>
      </c>
      <c r="C70" s="936"/>
      <c r="D70" s="427"/>
      <c r="E70" s="84"/>
      <c r="F70" s="428">
        <f>SUM(F65:F68)</f>
        <v>0</v>
      </c>
      <c r="G70" s="428">
        <f>SUM(G65:G68)</f>
        <v>0</v>
      </c>
      <c r="H70" s="25"/>
      <c r="I70" s="25"/>
      <c r="L70" s="14"/>
    </row>
    <row r="71" spans="1:12" ht="11.65" customHeight="1" thickTop="1">
      <c r="A71" s="1032"/>
      <c r="B71" s="918"/>
      <c r="C71" s="918"/>
      <c r="D71" s="918"/>
      <c r="E71" s="25"/>
      <c r="F71" s="64"/>
      <c r="G71" s="104"/>
      <c r="H71" s="25"/>
      <c r="I71" s="25"/>
    </row>
    <row r="72" spans="1:12" ht="12" customHeight="1">
      <c r="A72" s="669" t="str">
        <f>PL!F20</f>
        <v>AUTO</v>
      </c>
      <c r="B72" s="188" t="s">
        <v>170</v>
      </c>
      <c r="C72" s="25"/>
      <c r="D72" s="25"/>
      <c r="E72" s="25"/>
      <c r="F72" s="64"/>
      <c r="G72" s="235"/>
      <c r="H72" s="25"/>
      <c r="I72" s="25"/>
    </row>
    <row r="73" spans="1:12" ht="30" customHeight="1">
      <c r="A73" s="670"/>
      <c r="B73" s="1024" t="s">
        <v>110</v>
      </c>
      <c r="C73" s="1024"/>
      <c r="D73" s="1024"/>
      <c r="E73" s="1024"/>
      <c r="F73" s="647" t="str">
        <f>+F64</f>
        <v xml:space="preserve"> For the year ended 31 March 20XX</v>
      </c>
      <c r="G73" s="647" t="str">
        <f>+G64</f>
        <v xml:space="preserve"> For the year ended 31 March 20XX</v>
      </c>
      <c r="H73" s="25"/>
      <c r="I73" s="25"/>
    </row>
    <row r="74" spans="1:12">
      <c r="A74" s="146"/>
      <c r="B74" s="454"/>
      <c r="C74" s="357"/>
      <c r="D74" s="357"/>
      <c r="E74" s="358"/>
      <c r="F74" s="648"/>
      <c r="G74" s="117"/>
      <c r="H74" s="25"/>
      <c r="I74" s="25" t="s">
        <v>1056</v>
      </c>
    </row>
    <row r="75" spans="1:12">
      <c r="A75" s="146"/>
      <c r="B75" s="72" t="s">
        <v>1053</v>
      </c>
      <c r="C75" s="25"/>
      <c r="D75" s="25"/>
      <c r="E75" s="66"/>
      <c r="F75" s="221">
        <v>0</v>
      </c>
      <c r="G75" s="221">
        <v>0</v>
      </c>
      <c r="H75" s="25"/>
    </row>
    <row r="76" spans="1:12">
      <c r="A76" s="146"/>
      <c r="B76" s="678" t="s">
        <v>1030</v>
      </c>
      <c r="C76" s="25"/>
      <c r="D76" s="25"/>
      <c r="E76" s="66"/>
      <c r="F76" s="221">
        <v>0</v>
      </c>
      <c r="G76" s="221">
        <v>0</v>
      </c>
      <c r="H76" s="25"/>
    </row>
    <row r="77" spans="1:12">
      <c r="A77" s="146"/>
      <c r="B77" s="72" t="s">
        <v>1054</v>
      </c>
      <c r="C77" s="25"/>
      <c r="D77" s="25"/>
      <c r="E77" s="66"/>
      <c r="F77" s="221">
        <v>0</v>
      </c>
      <c r="G77" s="221">
        <v>0</v>
      </c>
      <c r="H77" s="25"/>
    </row>
    <row r="78" spans="1:12">
      <c r="A78" s="146"/>
      <c r="B78" s="67" t="s">
        <v>1046</v>
      </c>
      <c r="C78" s="25"/>
      <c r="D78" s="25"/>
      <c r="E78" s="66"/>
      <c r="F78" s="221">
        <v>0</v>
      </c>
      <c r="G78" s="221">
        <v>0</v>
      </c>
      <c r="H78" s="25"/>
    </row>
    <row r="79" spans="1:12">
      <c r="A79" s="146"/>
      <c r="B79" s="678" t="s">
        <v>1029</v>
      </c>
      <c r="C79" s="25"/>
      <c r="D79" s="25"/>
      <c r="E79" s="66"/>
      <c r="F79" s="221">
        <v>0</v>
      </c>
      <c r="G79" s="221">
        <v>0</v>
      </c>
      <c r="H79" s="105"/>
      <c r="J79" s="55"/>
      <c r="K79" s="14"/>
    </row>
    <row r="80" spans="1:12">
      <c r="A80" s="146"/>
      <c r="B80" s="67" t="s">
        <v>1048</v>
      </c>
      <c r="C80" s="25"/>
      <c r="D80" s="25"/>
      <c r="E80" s="66"/>
      <c r="F80" s="221">
        <v>0</v>
      </c>
      <c r="G80" s="221">
        <v>0</v>
      </c>
      <c r="H80" s="105"/>
      <c r="J80" s="55"/>
      <c r="K80" s="14"/>
    </row>
    <row r="81" spans="1:12">
      <c r="A81" s="146"/>
      <c r="B81" s="67" t="s">
        <v>1049</v>
      </c>
      <c r="C81" s="25"/>
      <c r="D81" s="25"/>
      <c r="E81" s="66"/>
      <c r="F81" s="221">
        <v>0</v>
      </c>
      <c r="G81" s="221">
        <v>0</v>
      </c>
      <c r="H81" s="105"/>
      <c r="J81" s="55"/>
      <c r="K81" s="14"/>
    </row>
    <row r="82" spans="1:12">
      <c r="A82" s="146"/>
      <c r="B82" s="67" t="s">
        <v>1050</v>
      </c>
      <c r="C82" s="25"/>
      <c r="D82" s="25"/>
      <c r="E82" s="66"/>
      <c r="F82" s="221">
        <v>0</v>
      </c>
      <c r="G82" s="221">
        <v>0</v>
      </c>
      <c r="H82" s="105"/>
      <c r="J82" s="55"/>
      <c r="K82" s="14"/>
    </row>
    <row r="83" spans="1:12">
      <c r="A83" s="146"/>
      <c r="B83" s="72" t="s">
        <v>1055</v>
      </c>
      <c r="C83" s="25"/>
      <c r="D83" s="25"/>
      <c r="E83" s="66"/>
      <c r="F83" s="221">
        <v>0</v>
      </c>
      <c r="G83" s="221">
        <v>0</v>
      </c>
      <c r="H83" s="105"/>
      <c r="J83" s="55"/>
      <c r="K83" s="14"/>
    </row>
    <row r="84" spans="1:12">
      <c r="A84" s="146"/>
      <c r="B84" s="67" t="s">
        <v>1026</v>
      </c>
      <c r="C84" s="25"/>
      <c r="D84" s="25"/>
      <c r="E84" s="66"/>
      <c r="F84" s="221">
        <v>0</v>
      </c>
      <c r="G84" s="221">
        <v>0</v>
      </c>
      <c r="H84" s="105"/>
      <c r="J84" s="55"/>
      <c r="K84" s="14"/>
    </row>
    <row r="85" spans="1:12">
      <c r="A85" s="146"/>
      <c r="B85" s="67" t="s">
        <v>1040</v>
      </c>
      <c r="C85" s="25"/>
      <c r="D85" s="25"/>
      <c r="E85" s="66"/>
      <c r="F85" s="221">
        <v>0</v>
      </c>
      <c r="G85" s="221">
        <v>0</v>
      </c>
      <c r="H85" s="105"/>
      <c r="J85" s="55"/>
      <c r="K85" s="14"/>
    </row>
    <row r="86" spans="1:12">
      <c r="A86" s="146"/>
      <c r="B86" s="67" t="s">
        <v>1039</v>
      </c>
      <c r="C86" s="25"/>
      <c r="D86" s="25"/>
      <c r="E86" s="66"/>
      <c r="F86" s="221">
        <v>0</v>
      </c>
      <c r="G86" s="221">
        <v>0</v>
      </c>
      <c r="H86" s="105"/>
      <c r="J86" s="55"/>
      <c r="K86" s="14"/>
    </row>
    <row r="87" spans="1:12">
      <c r="A87" s="146"/>
      <c r="B87" s="678" t="s">
        <v>1027</v>
      </c>
      <c r="C87" s="25"/>
      <c r="D87" s="25"/>
      <c r="E87" s="66"/>
      <c r="F87" s="221">
        <v>0</v>
      </c>
      <c r="G87" s="221">
        <v>0</v>
      </c>
      <c r="H87" s="105"/>
      <c r="J87" s="55"/>
      <c r="K87" s="14"/>
    </row>
    <row r="88" spans="1:12">
      <c r="A88" s="146"/>
      <c r="B88" s="67" t="s">
        <v>1041</v>
      </c>
      <c r="C88" s="25"/>
      <c r="D88" s="25"/>
      <c r="E88" s="66"/>
      <c r="F88" s="221">
        <v>0</v>
      </c>
      <c r="G88" s="221">
        <v>0</v>
      </c>
      <c r="H88" s="105"/>
      <c r="J88" s="55"/>
      <c r="K88" s="14"/>
    </row>
    <row r="89" spans="1:12">
      <c r="A89" s="146"/>
      <c r="B89" s="678" t="s">
        <v>1031</v>
      </c>
      <c r="C89" s="25"/>
      <c r="D89" s="25"/>
      <c r="E89" s="66"/>
      <c r="F89" s="221">
        <v>0</v>
      </c>
      <c r="G89" s="221">
        <v>0</v>
      </c>
      <c r="H89" s="105"/>
      <c r="J89" s="55"/>
      <c r="K89" s="14"/>
      <c r="L89" s="15"/>
    </row>
    <row r="90" spans="1:12">
      <c r="A90" s="146"/>
      <c r="B90" s="67" t="s">
        <v>1042</v>
      </c>
      <c r="C90" s="25"/>
      <c r="D90" s="25"/>
      <c r="E90" s="66"/>
      <c r="F90" s="221">
        <v>0</v>
      </c>
      <c r="G90" s="221">
        <v>0</v>
      </c>
      <c r="H90" s="105"/>
      <c r="J90" s="55"/>
      <c r="K90" s="14"/>
      <c r="L90" s="15"/>
    </row>
    <row r="91" spans="1:12">
      <c r="A91" s="146"/>
      <c r="B91" s="1092" t="s">
        <v>1128</v>
      </c>
      <c r="C91" s="25"/>
      <c r="D91" s="25"/>
      <c r="E91" s="66"/>
      <c r="F91" s="221">
        <v>0</v>
      </c>
      <c r="G91" s="221">
        <v>0</v>
      </c>
      <c r="H91" s="105"/>
      <c r="I91" s="25"/>
      <c r="J91" s="55"/>
      <c r="K91" s="14"/>
      <c r="L91" s="15"/>
    </row>
    <row r="92" spans="1:12">
      <c r="A92" s="146"/>
      <c r="B92" s="246" t="s">
        <v>1035</v>
      </c>
      <c r="C92" s="25"/>
      <c r="D92" s="25"/>
      <c r="E92" s="66"/>
      <c r="F92" s="221">
        <v>0</v>
      </c>
      <c r="G92" s="221">
        <v>0</v>
      </c>
      <c r="H92" s="105"/>
      <c r="I92" s="25"/>
      <c r="J92" s="55"/>
      <c r="K92" s="14"/>
      <c r="L92" s="15"/>
    </row>
    <row r="93" spans="1:12">
      <c r="A93" s="146"/>
      <c r="B93" s="246" t="s">
        <v>1043</v>
      </c>
      <c r="C93" s="25"/>
      <c r="D93" s="25"/>
      <c r="E93" s="66"/>
      <c r="F93" s="221">
        <v>0</v>
      </c>
      <c r="G93" s="221">
        <v>0</v>
      </c>
      <c r="H93" s="105"/>
      <c r="I93" s="25"/>
      <c r="J93" s="55"/>
      <c r="K93" s="14"/>
      <c r="L93" s="15"/>
    </row>
    <row r="94" spans="1:12">
      <c r="A94" s="146"/>
      <c r="B94" s="246" t="s">
        <v>1051</v>
      </c>
      <c r="C94" s="25"/>
      <c r="D94" s="25"/>
      <c r="E94" s="66"/>
      <c r="F94" s="221">
        <v>0</v>
      </c>
      <c r="G94" s="221">
        <v>0</v>
      </c>
      <c r="H94" s="105"/>
      <c r="I94" s="25"/>
      <c r="J94" s="55"/>
      <c r="K94" s="14"/>
      <c r="L94" s="15"/>
    </row>
    <row r="95" spans="1:12">
      <c r="A95" s="146"/>
      <c r="B95" s="246" t="s">
        <v>1028</v>
      </c>
      <c r="C95" s="25"/>
      <c r="D95" s="25"/>
      <c r="E95" s="66"/>
      <c r="F95" s="221">
        <v>0</v>
      </c>
      <c r="G95" s="221">
        <v>0</v>
      </c>
      <c r="H95" s="105"/>
      <c r="I95" s="25"/>
      <c r="J95" s="55"/>
      <c r="K95" s="14"/>
      <c r="L95" s="15"/>
    </row>
    <row r="96" spans="1:12">
      <c r="A96" s="146"/>
      <c r="B96" s="246" t="s">
        <v>1033</v>
      </c>
      <c r="C96" s="25"/>
      <c r="D96" s="25"/>
      <c r="E96" s="66"/>
      <c r="F96" s="221">
        <v>0</v>
      </c>
      <c r="G96" s="221">
        <v>0</v>
      </c>
      <c r="H96" s="105"/>
      <c r="I96" s="25"/>
      <c r="J96" s="55"/>
      <c r="K96" s="14"/>
      <c r="L96" s="15"/>
    </row>
    <row r="97" spans="1:12">
      <c r="A97" s="146"/>
      <c r="B97" s="680" t="s">
        <v>1034</v>
      </c>
      <c r="C97" s="25"/>
      <c r="D97" s="25"/>
      <c r="E97" s="66"/>
      <c r="F97" s="221">
        <v>0</v>
      </c>
      <c r="G97" s="221">
        <v>0</v>
      </c>
      <c r="H97" s="105"/>
      <c r="I97" s="25"/>
      <c r="J97" s="55"/>
      <c r="K97" s="14"/>
      <c r="L97" s="15"/>
    </row>
    <row r="98" spans="1:12">
      <c r="A98" s="146"/>
      <c r="B98" s="246" t="s">
        <v>1057</v>
      </c>
      <c r="C98" s="25"/>
      <c r="D98" s="25"/>
      <c r="E98" s="66"/>
      <c r="F98" s="221"/>
      <c r="G98" s="221"/>
      <c r="H98" s="105"/>
      <c r="I98" s="25"/>
      <c r="J98" s="55"/>
      <c r="K98" s="14"/>
      <c r="L98" s="15"/>
    </row>
    <row r="99" spans="1:12">
      <c r="A99" s="146"/>
      <c r="B99" s="246" t="s">
        <v>1058</v>
      </c>
      <c r="C99" s="25"/>
      <c r="D99" s="25"/>
      <c r="E99" s="66"/>
      <c r="F99" s="221"/>
      <c r="G99" s="221"/>
      <c r="H99" s="105"/>
      <c r="I99" s="25"/>
      <c r="J99" s="55"/>
      <c r="K99" s="14"/>
      <c r="L99" s="15"/>
    </row>
    <row r="100" spans="1:12">
      <c r="A100" s="146"/>
      <c r="B100" s="246" t="s">
        <v>1059</v>
      </c>
      <c r="C100" s="25"/>
      <c r="D100" s="25"/>
      <c r="E100" s="66"/>
      <c r="F100" s="221"/>
      <c r="G100" s="221"/>
      <c r="H100" s="105"/>
      <c r="I100" s="25"/>
      <c r="J100" s="55"/>
      <c r="K100" s="14"/>
      <c r="L100" s="15"/>
    </row>
    <row r="101" spans="1:12">
      <c r="A101" s="146"/>
      <c r="B101" s="246" t="s">
        <v>1047</v>
      </c>
      <c r="C101" s="25"/>
      <c r="D101" s="25"/>
      <c r="E101" s="66"/>
      <c r="F101" s="221">
        <v>0</v>
      </c>
      <c r="G101" s="221">
        <v>0</v>
      </c>
      <c r="H101" s="105"/>
      <c r="I101" s="25"/>
      <c r="J101" s="55"/>
      <c r="K101" s="14"/>
      <c r="L101" s="15"/>
    </row>
    <row r="102" spans="1:12">
      <c r="A102" s="146"/>
      <c r="B102" s="246" t="s">
        <v>1037</v>
      </c>
      <c r="C102" s="25"/>
      <c r="D102" s="25"/>
      <c r="E102" s="66"/>
      <c r="F102" s="221">
        <v>0</v>
      </c>
      <c r="G102" s="221">
        <v>0</v>
      </c>
      <c r="H102" s="105"/>
      <c r="I102" s="25"/>
      <c r="J102" s="55"/>
      <c r="K102" s="14"/>
      <c r="L102" s="15"/>
    </row>
    <row r="103" spans="1:12">
      <c r="A103" s="146"/>
      <c r="B103" s="246" t="s">
        <v>1044</v>
      </c>
      <c r="C103" s="25"/>
      <c r="D103" s="25"/>
      <c r="E103" s="66"/>
      <c r="F103" s="221">
        <v>0</v>
      </c>
      <c r="G103" s="221">
        <v>0</v>
      </c>
      <c r="H103" s="105"/>
      <c r="I103" s="25"/>
      <c r="J103" s="55"/>
      <c r="K103" s="14"/>
      <c r="L103" s="15"/>
    </row>
    <row r="104" spans="1:12">
      <c r="A104" s="146"/>
      <c r="B104" s="246" t="s">
        <v>1038</v>
      </c>
      <c r="C104" s="25"/>
      <c r="D104" s="25"/>
      <c r="E104" s="66"/>
      <c r="F104" s="221">
        <v>0</v>
      </c>
      <c r="G104" s="221">
        <v>0</v>
      </c>
      <c r="H104" s="105"/>
      <c r="I104" s="25"/>
      <c r="J104" s="55"/>
      <c r="K104" s="14"/>
      <c r="L104" s="15"/>
    </row>
    <row r="105" spans="1:12">
      <c r="A105" s="146"/>
      <c r="B105" s="246" t="s">
        <v>1045</v>
      </c>
      <c r="C105" s="25"/>
      <c r="D105" s="25"/>
      <c r="E105" s="66"/>
      <c r="F105" s="221">
        <v>0</v>
      </c>
      <c r="G105" s="221">
        <v>0</v>
      </c>
      <c r="H105" s="105"/>
      <c r="I105" s="25"/>
      <c r="J105" s="55"/>
      <c r="K105" s="14"/>
      <c r="L105" s="15"/>
    </row>
    <row r="106" spans="1:12">
      <c r="A106" s="146"/>
      <c r="B106" s="246" t="s">
        <v>1032</v>
      </c>
      <c r="C106" s="25"/>
      <c r="D106" s="25"/>
      <c r="E106" s="66"/>
      <c r="F106" s="221">
        <v>0</v>
      </c>
      <c r="G106" s="221">
        <v>0</v>
      </c>
      <c r="H106" s="105"/>
      <c r="I106" s="25"/>
      <c r="J106" s="55"/>
      <c r="K106" s="14"/>
      <c r="L106" s="15"/>
    </row>
    <row r="107" spans="1:12">
      <c r="A107" s="146"/>
      <c r="B107" s="680" t="s">
        <v>1036</v>
      </c>
      <c r="C107" s="25"/>
      <c r="D107" s="25"/>
      <c r="E107" s="66"/>
      <c r="F107" s="221">
        <v>0</v>
      </c>
      <c r="G107" s="221">
        <v>0</v>
      </c>
      <c r="H107" s="105"/>
      <c r="I107" s="25"/>
      <c r="J107" s="55"/>
      <c r="K107" s="14"/>
      <c r="L107" s="15"/>
    </row>
    <row r="108" spans="1:12">
      <c r="A108" s="146"/>
      <c r="B108" s="246" t="s">
        <v>1060</v>
      </c>
      <c r="C108" s="25"/>
      <c r="D108" s="25"/>
      <c r="E108" s="66"/>
      <c r="F108" s="221"/>
      <c r="G108" s="221"/>
      <c r="H108" s="105"/>
      <c r="I108" s="25"/>
      <c r="J108" s="55"/>
      <c r="K108" s="14"/>
      <c r="L108" s="15"/>
    </row>
    <row r="109" spans="1:12">
      <c r="A109" s="146"/>
      <c r="B109" s="246" t="s">
        <v>1061</v>
      </c>
      <c r="C109" s="25"/>
      <c r="D109" s="25"/>
      <c r="E109" s="66"/>
      <c r="F109" s="221"/>
      <c r="G109" s="221"/>
      <c r="H109" s="105"/>
      <c r="I109" s="25"/>
      <c r="J109" s="55"/>
      <c r="K109" s="14"/>
      <c r="L109" s="15"/>
    </row>
    <row r="110" spans="1:12">
      <c r="A110" s="146"/>
      <c r="B110" s="246" t="s">
        <v>1052</v>
      </c>
      <c r="C110" s="25"/>
      <c r="D110" s="25"/>
      <c r="E110" s="66"/>
      <c r="F110" s="221">
        <v>0</v>
      </c>
      <c r="G110" s="221">
        <v>0</v>
      </c>
      <c r="H110" s="105"/>
      <c r="I110" s="25"/>
      <c r="J110" s="55"/>
      <c r="K110" s="14"/>
      <c r="L110" s="15"/>
    </row>
    <row r="111" spans="1:12">
      <c r="A111" s="146"/>
      <c r="B111" s="679"/>
      <c r="C111" s="69"/>
      <c r="D111" s="69"/>
      <c r="E111" s="426"/>
      <c r="F111" s="221"/>
      <c r="G111" s="221"/>
      <c r="H111" s="105"/>
      <c r="I111" s="25"/>
      <c r="J111" s="55"/>
      <c r="K111" s="14"/>
    </row>
    <row r="112" spans="1:12" ht="13.9" customHeight="1" thickBot="1">
      <c r="A112" s="146"/>
      <c r="B112" s="1029" t="s">
        <v>251</v>
      </c>
      <c r="C112" s="936"/>
      <c r="D112" s="427"/>
      <c r="E112" s="84"/>
      <c r="F112" s="428">
        <f>SUM(F75:F111)</f>
        <v>0</v>
      </c>
      <c r="G112" s="428">
        <f>SUM(G75:G111)</f>
        <v>0</v>
      </c>
      <c r="H112" s="80"/>
      <c r="I112" s="80"/>
      <c r="J112" s="24"/>
      <c r="K112" s="24"/>
    </row>
    <row r="113" spans="1:10" ht="12.75" thickTop="1">
      <c r="A113" s="146"/>
      <c r="B113" s="118"/>
      <c r="C113" s="105"/>
      <c r="D113" s="105"/>
      <c r="E113" s="105"/>
      <c r="F113" s="56"/>
      <c r="G113" s="56"/>
      <c r="H113" s="25"/>
      <c r="I113" s="25"/>
    </row>
    <row r="114" spans="1:10">
      <c r="A114" s="667" t="str">
        <f>PL!F40</f>
        <v>AUTO</v>
      </c>
      <c r="B114" s="248" t="s">
        <v>356</v>
      </c>
      <c r="C114" s="105"/>
      <c r="D114" s="105"/>
      <c r="E114" s="105"/>
      <c r="F114" s="64"/>
      <c r="G114" s="104"/>
      <c r="H114" s="25"/>
    </row>
    <row r="115" spans="1:10" ht="30" customHeight="1">
      <c r="A115" s="668"/>
      <c r="B115" s="1024" t="s">
        <v>110</v>
      </c>
      <c r="C115" s="1024"/>
      <c r="D115" s="1024"/>
      <c r="E115" s="1024"/>
      <c r="F115" s="554" t="str">
        <f>+F73</f>
        <v xml:space="preserve"> For the year ended 31 March 20XX</v>
      </c>
      <c r="G115" s="554" t="str">
        <f>+G73</f>
        <v xml:space="preserve"> For the year ended 31 March 20XX</v>
      </c>
      <c r="H115" s="25"/>
      <c r="I115" s="59"/>
      <c r="J115" s="51"/>
    </row>
    <row r="116" spans="1:10">
      <c r="A116" s="668"/>
      <c r="B116" s="119"/>
      <c r="C116" s="120"/>
      <c r="D116" s="120"/>
      <c r="E116" s="120"/>
      <c r="F116" s="77"/>
      <c r="G116" s="121"/>
      <c r="H116" s="25"/>
      <c r="I116" s="59"/>
    </row>
    <row r="117" spans="1:10">
      <c r="A117" s="668"/>
      <c r="B117" s="716" t="s">
        <v>1073</v>
      </c>
      <c r="C117" s="105"/>
      <c r="D117" s="105"/>
      <c r="E117" s="105"/>
      <c r="F117" s="675">
        <f>PL!G38</f>
        <v>0</v>
      </c>
      <c r="G117" s="675">
        <f>PL!H38</f>
        <v>0</v>
      </c>
      <c r="H117" s="717" t="s">
        <v>1074</v>
      </c>
      <c r="I117" s="59"/>
    </row>
    <row r="118" spans="1:10">
      <c r="A118" s="668"/>
      <c r="B118" s="518" t="s">
        <v>357</v>
      </c>
      <c r="C118" s="105"/>
      <c r="D118" s="105"/>
      <c r="E118" s="105"/>
      <c r="F118" s="675">
        <v>0</v>
      </c>
      <c r="G118" s="675">
        <v>0</v>
      </c>
      <c r="H118" s="25"/>
      <c r="I118" s="25"/>
    </row>
    <row r="119" spans="1:10">
      <c r="A119" s="668"/>
      <c r="B119" s="1031" t="s">
        <v>358</v>
      </c>
      <c r="C119" s="918"/>
      <c r="D119" s="918"/>
      <c r="E119" s="918"/>
      <c r="F119" s="586">
        <v>0</v>
      </c>
      <c r="G119" s="586">
        <v>0</v>
      </c>
      <c r="H119" s="25"/>
      <c r="I119" s="25"/>
    </row>
    <row r="120" spans="1:10">
      <c r="A120" s="668"/>
      <c r="B120" s="1031" t="s">
        <v>359</v>
      </c>
      <c r="C120" s="918"/>
      <c r="D120" s="918"/>
      <c r="E120" s="918"/>
      <c r="F120" s="675"/>
      <c r="G120" s="675"/>
      <c r="H120" s="25"/>
      <c r="I120" s="25"/>
    </row>
    <row r="121" spans="1:10">
      <c r="A121" s="668"/>
      <c r="B121" s="1033" t="s">
        <v>1075</v>
      </c>
      <c r="C121" s="1034"/>
      <c r="D121" s="1034"/>
      <c r="E121" s="1035"/>
      <c r="F121" s="676">
        <f>IFERROR((F117/F119)*100,0)</f>
        <v>0</v>
      </c>
      <c r="G121" s="676">
        <f>IFERROR((G117/G119)*100,0)</f>
        <v>0</v>
      </c>
      <c r="H121" s="25"/>
      <c r="I121" s="25"/>
    </row>
    <row r="122" spans="1:10">
      <c r="A122" s="146"/>
      <c r="B122" s="25"/>
      <c r="C122" s="25"/>
      <c r="D122" s="25"/>
      <c r="E122" s="25"/>
      <c r="F122" s="225" t="s">
        <v>230</v>
      </c>
      <c r="G122" s="56"/>
      <c r="H122" s="25"/>
      <c r="I122" s="59"/>
    </row>
    <row r="123" spans="1:10">
      <c r="A123" s="146"/>
      <c r="B123" s="25"/>
      <c r="C123" s="25"/>
      <c r="D123" s="25"/>
      <c r="E123" s="25"/>
      <c r="F123" s="56"/>
      <c r="G123" s="25"/>
      <c r="H123" s="25"/>
      <c r="I123" s="25"/>
    </row>
    <row r="124" spans="1:10">
      <c r="A124" s="146"/>
      <c r="B124" s="25"/>
      <c r="C124" s="25"/>
      <c r="D124" s="25"/>
      <c r="E124" s="25"/>
      <c r="F124" s="56"/>
      <c r="G124" s="25"/>
      <c r="H124" s="25"/>
    </row>
    <row r="125" spans="1:10">
      <c r="A125" s="146"/>
      <c r="B125" s="25"/>
      <c r="C125" s="25"/>
      <c r="D125" s="25"/>
      <c r="E125" s="25"/>
      <c r="F125" s="56"/>
      <c r="G125" s="25"/>
      <c r="H125" s="25"/>
    </row>
    <row r="126" spans="1:10">
      <c r="A126" s="146"/>
      <c r="B126" s="25"/>
      <c r="C126" s="25"/>
      <c r="D126" s="25"/>
      <c r="E126" s="25"/>
      <c r="F126" s="56"/>
      <c r="G126" s="25"/>
      <c r="H126" s="25"/>
    </row>
    <row r="127" spans="1:10">
      <c r="A127" s="1030" t="s">
        <v>226</v>
      </c>
      <c r="B127" s="918"/>
      <c r="C127" s="918"/>
      <c r="D127" s="918"/>
      <c r="E127" s="918"/>
      <c r="F127" s="931"/>
      <c r="G127" s="918"/>
      <c r="H127" s="25"/>
    </row>
    <row r="128" spans="1:10">
      <c r="A128" s="146"/>
      <c r="B128" s="25"/>
      <c r="C128" s="25"/>
      <c r="D128" s="25"/>
      <c r="E128" s="25"/>
      <c r="F128" s="56"/>
      <c r="G128" s="25"/>
      <c r="H128" s="25"/>
    </row>
    <row r="129" spans="1:9">
      <c r="A129" s="146"/>
      <c r="B129" s="25"/>
      <c r="C129" s="25"/>
      <c r="D129" s="25"/>
      <c r="E129" s="25"/>
      <c r="F129" s="56"/>
      <c r="G129" s="25"/>
      <c r="H129" s="25"/>
    </row>
    <row r="130" spans="1:9">
      <c r="A130" s="146"/>
      <c r="B130" s="25"/>
      <c r="C130" s="25"/>
      <c r="D130" s="25"/>
      <c r="E130" s="25"/>
      <c r="F130" s="56"/>
      <c r="G130" s="25"/>
      <c r="H130" s="25"/>
    </row>
    <row r="134" spans="1:9">
      <c r="I134" s="59"/>
    </row>
  </sheetData>
  <autoFilter ref="I74:I134" xr:uid="{00000000-0001-0000-0900-000000000000}">
    <sortState xmlns:xlrd2="http://schemas.microsoft.com/office/spreadsheetml/2017/richdata2" ref="I75:I134">
      <sortCondition ref="I74:I134"/>
    </sortState>
  </autoFilter>
  <mergeCells count="25">
    <mergeCell ref="A127:G127"/>
    <mergeCell ref="B112:C112"/>
    <mergeCell ref="B34:C34"/>
    <mergeCell ref="B119:E119"/>
    <mergeCell ref="A71:D71"/>
    <mergeCell ref="B70:C70"/>
    <mergeCell ref="B56:C56"/>
    <mergeCell ref="B37:E37"/>
    <mergeCell ref="B50:E50"/>
    <mergeCell ref="A59:G59"/>
    <mergeCell ref="A61:G61"/>
    <mergeCell ref="B64:E64"/>
    <mergeCell ref="B73:E73"/>
    <mergeCell ref="B115:E115"/>
    <mergeCell ref="B120:E120"/>
    <mergeCell ref="B121:E121"/>
    <mergeCell ref="A1:G1"/>
    <mergeCell ref="B6:E6"/>
    <mergeCell ref="B14:E14"/>
    <mergeCell ref="B31:E31"/>
    <mergeCell ref="A3:G3"/>
    <mergeCell ref="B19:C19"/>
    <mergeCell ref="B11:C11"/>
    <mergeCell ref="B22:E22"/>
    <mergeCell ref="B28:C28"/>
  </mergeCells>
  <conditionalFormatting sqref="F6:G6 F14:G14 F31:G31 F37:G37 F50:G50 G74">
    <cfRule type="cellIs" dxfId="11" priority="61" stopIfTrue="1" operator="lessThan">
      <formula>0</formula>
    </cfRule>
    <cfRule type="cellIs" dxfId="10" priority="62" stopIfTrue="1" operator="lessThan">
      <formula>0</formula>
    </cfRule>
  </conditionalFormatting>
  <conditionalFormatting sqref="F22:G22">
    <cfRule type="cellIs" dxfId="9" priority="1" stopIfTrue="1" operator="lessThan">
      <formula>0</formula>
    </cfRule>
    <cfRule type="cellIs" dxfId="8" priority="2" stopIfTrue="1" operator="lessThan">
      <formula>0</formula>
    </cfRule>
  </conditionalFormatting>
  <conditionalFormatting sqref="F64:G64">
    <cfRule type="cellIs" dxfId="7" priority="7" stopIfTrue="1" operator="lessThan">
      <formula>0</formula>
    </cfRule>
    <cfRule type="cellIs" dxfId="6" priority="8" stopIfTrue="1" operator="lessThan">
      <formula>0</formula>
    </cfRule>
  </conditionalFormatting>
  <conditionalFormatting sqref="F73:G73">
    <cfRule type="cellIs" dxfId="5" priority="5" stopIfTrue="1" operator="lessThan">
      <formula>0</formula>
    </cfRule>
    <cfRule type="cellIs" dxfId="4" priority="6" stopIfTrue="1" operator="lessThan">
      <formula>0</formula>
    </cfRule>
  </conditionalFormatting>
  <conditionalFormatting sqref="F115:G115">
    <cfRule type="cellIs" dxfId="3" priority="3" stopIfTrue="1" operator="lessThan">
      <formula>0</formula>
    </cfRule>
    <cfRule type="cellIs" dxfId="2" priority="4" stopIfTrue="1" operator="lessThan">
      <formula>0</formula>
    </cfRule>
  </conditionalFormatting>
  <printOptions horizontalCentered="1"/>
  <pageMargins left="0.35" right="0.35" top="0.55000000000000004" bottom="0.55000000000000004" header="0.2" footer="0.2"/>
  <pageSetup paperSize="9" fitToHeight="0" orientation="portrait" r:id="rId1"/>
  <headerFooter>
    <oddFooter>&amp;LCAFlow template&amp;RPage &amp;P of &amp;N</oddFooter>
  </headerFooter>
  <rowBreaks count="2" manualBreakCount="2">
    <brk id="57" max="16383" man="1"/>
    <brk id="113" max="6"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G123"/>
  <sheetViews>
    <sheetView showGridLines="0" view="pageBreakPreview" topLeftCell="A45" zoomScaleNormal="100" zoomScaleSheetLayoutView="100" workbookViewId="0">
      <selection activeCell="J24" sqref="J24"/>
    </sheetView>
  </sheetViews>
  <sheetFormatPr defaultColWidth="9.28515625" defaultRowHeight="12"/>
  <cols>
    <col min="1" max="1" width="2.5703125" style="13" customWidth="1"/>
    <col min="2" max="2" width="8.7109375" style="13" customWidth="1"/>
    <col min="3" max="3" width="29.42578125" style="13" customWidth="1"/>
    <col min="4" max="4" width="8.5703125" style="13" customWidth="1"/>
    <col min="5" max="5" width="10.42578125" style="20" customWidth="1"/>
    <col min="6" max="6" width="16.5703125" style="13" customWidth="1"/>
    <col min="7" max="7" width="17.42578125" style="13" customWidth="1"/>
    <col min="8" max="8" width="2.140625" style="13" customWidth="1"/>
    <col min="9" max="9" width="11" style="13" bestFit="1" customWidth="1"/>
    <col min="10" max="10" width="9.28515625" style="13" customWidth="1"/>
    <col min="11" max="11" width="10" style="13" bestFit="1" customWidth="1"/>
    <col min="12" max="12" width="13.28515625" style="13" bestFit="1" customWidth="1"/>
    <col min="13" max="13" width="9.28515625" style="13" customWidth="1"/>
    <col min="14" max="16384" width="9.28515625" style="13"/>
  </cols>
  <sheetData>
    <row r="1" spans="1:7">
      <c r="B1" s="202" t="str">
        <f>BS!B2</f>
        <v>[NAME OF THE COMPANY]</v>
      </c>
      <c r="C1" s="27"/>
      <c r="D1" s="27"/>
      <c r="E1" s="27"/>
    </row>
    <row r="2" spans="1:7">
      <c r="B2" s="202"/>
      <c r="C2" s="27"/>
      <c r="D2" s="27"/>
      <c r="E2" s="27"/>
    </row>
    <row r="3" spans="1:7" ht="15.75">
      <c r="B3" s="522" t="s">
        <v>1015</v>
      </c>
      <c r="C3" s="27"/>
      <c r="D3" s="27"/>
      <c r="E3" s="27"/>
    </row>
    <row r="4" spans="1:7">
      <c r="B4" s="1041"/>
      <c r="C4" s="918"/>
      <c r="D4" s="31"/>
      <c r="E4" s="31"/>
    </row>
    <row r="5" spans="1:7">
      <c r="A5" s="140"/>
      <c r="B5" s="249" t="s">
        <v>996</v>
      </c>
      <c r="C5" s="202" t="s">
        <v>362</v>
      </c>
      <c r="G5" s="23"/>
    </row>
    <row r="6" spans="1:7" ht="15.75" customHeight="1">
      <c r="A6" s="140"/>
      <c r="B6" s="140"/>
      <c r="C6" s="252" t="s">
        <v>110</v>
      </c>
      <c r="D6" s="142"/>
      <c r="E6" s="1039" t="s">
        <v>1064</v>
      </c>
      <c r="F6" s="952"/>
      <c r="G6" s="681" t="s">
        <v>1064</v>
      </c>
    </row>
    <row r="7" spans="1:7" ht="15.75" customHeight="1">
      <c r="A7" s="140"/>
      <c r="B7" s="140"/>
      <c r="C7" s="253"/>
      <c r="D7" s="143"/>
      <c r="E7" s="1040">
        <f>'Note PL'!F9</f>
        <v>0</v>
      </c>
      <c r="F7" s="952"/>
      <c r="G7" s="251">
        <v>0</v>
      </c>
    </row>
    <row r="8" spans="1:7" ht="15.75" customHeight="1">
      <c r="A8" s="140"/>
      <c r="B8" s="140"/>
      <c r="C8" s="29"/>
      <c r="E8" s="144"/>
      <c r="F8" s="144"/>
      <c r="G8" s="145"/>
    </row>
    <row r="9" spans="1:7" ht="15.75" customHeight="1">
      <c r="A9" s="140"/>
      <c r="B9" s="140"/>
      <c r="C9" s="202" t="s">
        <v>363</v>
      </c>
      <c r="E9" s="144"/>
      <c r="F9" s="254"/>
      <c r="G9" s="254"/>
    </row>
    <row r="10" spans="1:7" ht="15.75" customHeight="1">
      <c r="A10" s="140"/>
      <c r="B10" s="140"/>
      <c r="C10" s="252" t="s">
        <v>110</v>
      </c>
      <c r="D10" s="142"/>
      <c r="E10" s="1039" t="s">
        <v>1064</v>
      </c>
      <c r="F10" s="952"/>
      <c r="G10" s="681" t="s">
        <v>1064</v>
      </c>
    </row>
    <row r="11" spans="1:7" ht="15.75" customHeight="1">
      <c r="A11" s="140"/>
      <c r="B11" s="140"/>
      <c r="C11" s="253"/>
      <c r="D11" s="143"/>
      <c r="E11" s="1040">
        <f>'Note PL'!F13</f>
        <v>0</v>
      </c>
      <c r="F11" s="952"/>
      <c r="G11" s="251">
        <v>0</v>
      </c>
    </row>
    <row r="12" spans="1:7" ht="15.75" customHeight="1">
      <c r="A12" s="140"/>
      <c r="B12" s="140"/>
      <c r="C12" s="178"/>
      <c r="E12" s="144"/>
      <c r="F12" s="144"/>
      <c r="G12" s="144"/>
    </row>
    <row r="13" spans="1:7" ht="15.75" customHeight="1">
      <c r="A13" s="140"/>
      <c r="B13" s="249" t="s">
        <v>996</v>
      </c>
      <c r="C13" s="250" t="s">
        <v>365</v>
      </c>
      <c r="E13" s="144"/>
      <c r="F13" s="254" t="s">
        <v>364</v>
      </c>
      <c r="G13" s="254" t="s">
        <v>364</v>
      </c>
    </row>
    <row r="14" spans="1:7" ht="15.75" customHeight="1">
      <c r="A14" s="140"/>
      <c r="B14" s="141"/>
      <c r="C14" s="178"/>
      <c r="E14" s="144"/>
      <c r="F14" s="144"/>
      <c r="G14" s="144"/>
    </row>
    <row r="15" spans="1:7">
      <c r="A15" s="140"/>
      <c r="B15" s="140"/>
    </row>
    <row r="16" spans="1:7" ht="12" customHeight="1">
      <c r="A16" s="140"/>
      <c r="B16" s="249" t="s">
        <v>996</v>
      </c>
      <c r="C16" s="23" t="s">
        <v>834</v>
      </c>
    </row>
    <row r="17" spans="1:7" ht="12" customHeight="1">
      <c r="A17" s="140"/>
      <c r="B17" s="140"/>
    </row>
    <row r="18" spans="1:7" ht="12" customHeight="1">
      <c r="A18" s="140"/>
      <c r="B18" s="740" t="s">
        <v>1077</v>
      </c>
      <c r="C18" s="792" t="s">
        <v>110</v>
      </c>
      <c r="D18" s="744"/>
      <c r="E18" s="811"/>
      <c r="F18" s="730" t="s">
        <v>1078</v>
      </c>
      <c r="G18" s="731" t="s">
        <v>1079</v>
      </c>
    </row>
    <row r="19" spans="1:7" ht="12" customHeight="1">
      <c r="A19" s="140"/>
      <c r="B19" s="740" t="s">
        <v>1080</v>
      </c>
      <c r="C19" s="738" t="s">
        <v>1081</v>
      </c>
      <c r="D19" s="744"/>
      <c r="E19" s="732"/>
      <c r="F19" s="807"/>
      <c r="G19" s="732"/>
    </row>
    <row r="20" spans="1:7" ht="12" customHeight="1">
      <c r="A20" s="140"/>
      <c r="B20" s="741" t="s">
        <v>1082</v>
      </c>
      <c r="C20" s="736" t="s">
        <v>1083</v>
      </c>
      <c r="E20" s="733"/>
      <c r="F20" s="808"/>
      <c r="G20" s="733"/>
    </row>
    <row r="21" spans="1:7" ht="12" customHeight="1">
      <c r="A21" s="140"/>
      <c r="B21" s="741" t="s">
        <v>1084</v>
      </c>
      <c r="C21" s="736" t="s">
        <v>1085</v>
      </c>
      <c r="E21" s="733"/>
      <c r="F21" s="808"/>
      <c r="G21" s="733"/>
    </row>
    <row r="22" spans="1:7" ht="12" customHeight="1">
      <c r="A22" s="140"/>
      <c r="B22" s="741" t="s">
        <v>1086</v>
      </c>
      <c r="C22" s="736" t="s">
        <v>1087</v>
      </c>
      <c r="E22" s="733"/>
      <c r="F22" s="808"/>
      <c r="G22" s="733"/>
    </row>
    <row r="23" spans="1:7" ht="12" customHeight="1">
      <c r="A23" s="140"/>
      <c r="B23" s="741" t="s">
        <v>1088</v>
      </c>
      <c r="C23" s="736" t="s">
        <v>1089</v>
      </c>
      <c r="E23" s="733"/>
      <c r="F23" s="808"/>
      <c r="G23" s="734"/>
    </row>
    <row r="24" spans="1:7" ht="12" customHeight="1">
      <c r="A24" s="140"/>
      <c r="B24" s="742"/>
      <c r="C24" s="739" t="s">
        <v>251</v>
      </c>
      <c r="D24" s="745"/>
      <c r="E24" s="735"/>
      <c r="F24" s="809"/>
      <c r="G24" s="735"/>
    </row>
    <row r="25" spans="1:7" ht="12" customHeight="1">
      <c r="A25" s="140"/>
      <c r="B25" s="743"/>
      <c r="C25" s="737" t="s">
        <v>1090</v>
      </c>
      <c r="D25" s="74"/>
      <c r="E25" s="734"/>
      <c r="F25" s="810"/>
      <c r="G25" s="735"/>
    </row>
    <row r="26" spans="1:7">
      <c r="A26" s="140"/>
      <c r="B26" s="140"/>
      <c r="C26" s="28"/>
      <c r="D26" s="918"/>
      <c r="E26" s="931"/>
      <c r="F26" s="28"/>
      <c r="G26" s="28"/>
    </row>
    <row r="27" spans="1:7" ht="15.75" customHeight="1">
      <c r="A27" s="140"/>
      <c r="B27"/>
      <c r="C27"/>
      <c r="D27"/>
      <c r="E27"/>
      <c r="F27"/>
      <c r="G27"/>
    </row>
    <row r="28" spans="1:7" ht="15.75" customHeight="1">
      <c r="A28" s="140"/>
      <c r="B28" s="249" t="s">
        <v>996</v>
      </c>
      <c r="C28" s="233" t="s">
        <v>371</v>
      </c>
      <c r="D28" s="101"/>
      <c r="E28" s="101"/>
      <c r="F28" s="101"/>
      <c r="G28" s="101"/>
    </row>
    <row r="29" spans="1:7" ht="15">
      <c r="A29" s="140"/>
      <c r="B29" s="149"/>
      <c r="C29" s="233" t="s">
        <v>372</v>
      </c>
      <c r="D29"/>
      <c r="E29" s="101"/>
      <c r="F29" s="101"/>
      <c r="G29" s="101"/>
    </row>
    <row r="30" spans="1:7" ht="15.75" customHeight="1">
      <c r="A30" s="140"/>
      <c r="B30"/>
      <c r="C30" s="52"/>
      <c r="D30" s="101"/>
      <c r="E30" s="101"/>
      <c r="F30" s="101"/>
      <c r="G30" s="101"/>
    </row>
    <row r="31" spans="1:7" ht="17.25" customHeight="1">
      <c r="A31" s="140"/>
      <c r="B31"/>
      <c r="C31" s="793" t="s">
        <v>373</v>
      </c>
      <c r="D31" s="794" t="s">
        <v>374</v>
      </c>
      <c r="E31" s="795"/>
      <c r="F31" s="796"/>
      <c r="G31" s="415"/>
    </row>
    <row r="32" spans="1:7" ht="12.75">
      <c r="A32" s="140"/>
      <c r="B32" s="149"/>
      <c r="C32" s="804" t="s">
        <v>375</v>
      </c>
      <c r="D32" s="797" t="s">
        <v>376</v>
      </c>
      <c r="E32" s="798"/>
      <c r="F32" s="799"/>
      <c r="G32" s="101"/>
    </row>
    <row r="33" spans="1:7" ht="12.75">
      <c r="A33" s="140"/>
      <c r="B33" s="149"/>
      <c r="C33" s="805"/>
      <c r="D33" s="800" t="s">
        <v>377</v>
      </c>
      <c r="E33" s="101"/>
      <c r="F33" s="801"/>
      <c r="G33" s="101"/>
    </row>
    <row r="34" spans="1:7" ht="12.75">
      <c r="A34" s="140"/>
      <c r="B34" s="149"/>
      <c r="C34" s="805"/>
      <c r="D34" s="800" t="s">
        <v>378</v>
      </c>
      <c r="E34" s="101"/>
      <c r="F34" s="801"/>
      <c r="G34" s="101"/>
    </row>
    <row r="35" spans="1:7" ht="12.75">
      <c r="A35" s="140"/>
      <c r="B35" s="149"/>
      <c r="C35" s="805"/>
      <c r="D35" s="101"/>
      <c r="E35" s="101"/>
      <c r="F35" s="801"/>
      <c r="G35" s="101"/>
    </row>
    <row r="36" spans="1:7" ht="12.75">
      <c r="A36" s="140"/>
      <c r="B36" s="149"/>
      <c r="C36" s="806" t="s">
        <v>1120</v>
      </c>
      <c r="D36" s="802" t="s">
        <v>1121</v>
      </c>
      <c r="E36" s="802"/>
      <c r="F36" s="803"/>
      <c r="G36" s="101"/>
    </row>
    <row r="37" spans="1:7" ht="12.75">
      <c r="A37" s="140"/>
      <c r="B37" s="149"/>
      <c r="C37" s="150"/>
      <c r="D37" s="101"/>
      <c r="E37" s="101"/>
      <c r="F37" s="101"/>
      <c r="G37" s="101"/>
    </row>
    <row r="38" spans="1:7" ht="12.75">
      <c r="A38" s="140"/>
      <c r="B38" s="149"/>
      <c r="C38" s="233" t="s">
        <v>379</v>
      </c>
      <c r="D38" s="151"/>
      <c r="E38" s="151"/>
      <c r="F38" s="322"/>
      <c r="G38" s="101"/>
    </row>
    <row r="39" spans="1:7" ht="12.75">
      <c r="A39" s="140"/>
      <c r="B39" s="149"/>
      <c r="C39" s="233"/>
      <c r="D39" s="151"/>
      <c r="E39" s="151"/>
      <c r="F39" s="1036"/>
      <c r="G39" s="1037"/>
    </row>
    <row r="40" spans="1:7" ht="12.75">
      <c r="A40" s="140"/>
      <c r="B40" s="149"/>
      <c r="C40" s="718" t="s">
        <v>110</v>
      </c>
      <c r="D40" s="719" t="s">
        <v>1076</v>
      </c>
      <c r="E40" s="720"/>
      <c r="F40" s="721" t="s">
        <v>1065</v>
      </c>
      <c r="G40" s="721" t="s">
        <v>1065</v>
      </c>
    </row>
    <row r="41" spans="1:7" ht="12.75">
      <c r="A41" s="140"/>
      <c r="B41" s="149"/>
      <c r="C41" s="152"/>
      <c r="D41" s="725"/>
      <c r="E41" s="726"/>
      <c r="F41" s="153"/>
      <c r="G41" s="154"/>
    </row>
    <row r="42" spans="1:7" ht="12.75">
      <c r="A42" s="140"/>
      <c r="B42" s="101"/>
      <c r="C42" s="256"/>
      <c r="D42" s="152"/>
      <c r="E42" s="727"/>
      <c r="F42" s="155"/>
      <c r="G42" s="156"/>
    </row>
    <row r="43" spans="1:7" ht="12.75">
      <c r="A43" s="140"/>
      <c r="B43" s="101"/>
      <c r="C43" s="256"/>
      <c r="D43" s="152"/>
      <c r="E43" s="727"/>
      <c r="F43" s="155"/>
      <c r="G43" s="156"/>
    </row>
    <row r="44" spans="1:7" ht="18" customHeight="1">
      <c r="A44" s="140"/>
      <c r="B44" s="101"/>
      <c r="C44" s="256"/>
      <c r="D44" s="152"/>
      <c r="E44" s="727"/>
      <c r="F44" s="155"/>
      <c r="G44" s="156"/>
    </row>
    <row r="45" spans="1:7" ht="12.75">
      <c r="A45" s="140"/>
      <c r="B45" s="101"/>
      <c r="C45" s="256"/>
      <c r="D45" s="152"/>
      <c r="E45" s="727"/>
      <c r="F45" s="155"/>
      <c r="G45" s="156"/>
    </row>
    <row r="46" spans="1:7" ht="12.75">
      <c r="A46" s="140"/>
      <c r="B46" s="101"/>
      <c r="C46" s="256"/>
      <c r="D46" s="152"/>
      <c r="E46" s="727"/>
      <c r="F46" s="155"/>
      <c r="G46" s="156"/>
    </row>
    <row r="47" spans="1:7" ht="12.75">
      <c r="A47" s="140"/>
      <c r="B47" s="101"/>
      <c r="C47" s="256"/>
      <c r="D47" s="152"/>
      <c r="E47" s="727"/>
      <c r="F47" s="155"/>
      <c r="G47" s="156"/>
    </row>
    <row r="48" spans="1:7" ht="12.75">
      <c r="A48" s="140"/>
      <c r="B48" s="101"/>
      <c r="C48" s="256"/>
      <c r="D48" s="152"/>
      <c r="E48" s="727"/>
      <c r="F48" s="155"/>
      <c r="G48" s="156"/>
    </row>
    <row r="49" spans="1:7" ht="12.75">
      <c r="A49" s="140"/>
      <c r="B49" s="101"/>
      <c r="C49" s="256"/>
      <c r="D49" s="152"/>
      <c r="E49" s="727"/>
      <c r="F49" s="155"/>
      <c r="G49" s="156"/>
    </row>
    <row r="50" spans="1:7" ht="12.75">
      <c r="A50" s="140"/>
      <c r="B50" s="101"/>
      <c r="C50" s="256"/>
      <c r="D50" s="152"/>
      <c r="E50" s="727"/>
      <c r="F50" s="155"/>
      <c r="G50" s="156"/>
    </row>
    <row r="51" spans="1:7" ht="12.75">
      <c r="B51" s="101"/>
      <c r="C51" s="256"/>
      <c r="D51" s="152"/>
      <c r="E51" s="727"/>
      <c r="F51" s="155"/>
      <c r="G51" s="156"/>
    </row>
    <row r="52" spans="1:7" ht="12.75">
      <c r="B52" s="101"/>
      <c r="C52" s="722"/>
      <c r="D52" s="728"/>
      <c r="E52" s="729"/>
      <c r="F52" s="723"/>
      <c r="G52" s="724"/>
    </row>
    <row r="53" spans="1:7" ht="12.75">
      <c r="B53" s="101"/>
      <c r="C53" s="150"/>
      <c r="D53" s="148"/>
      <c r="E53" s="148"/>
      <c r="F53" s="157"/>
      <c r="G53" s="157"/>
    </row>
    <row r="54" spans="1:7" ht="42.75" customHeight="1">
      <c r="B54" s="101"/>
      <c r="C54" s="1038" t="s">
        <v>380</v>
      </c>
      <c r="D54" s="1037"/>
      <c r="E54" s="1037"/>
      <c r="F54" s="1037"/>
      <c r="G54" s="1037"/>
    </row>
    <row r="55" spans="1:7" ht="15">
      <c r="C55"/>
      <c r="D55"/>
      <c r="E55"/>
      <c r="F55"/>
      <c r="G55"/>
    </row>
    <row r="56" spans="1:7" ht="15">
      <c r="C56"/>
      <c r="D56"/>
      <c r="E56"/>
      <c r="F56"/>
      <c r="G56"/>
    </row>
    <row r="57" spans="1:7" ht="15">
      <c r="C57"/>
      <c r="D57"/>
      <c r="E57"/>
      <c r="F57"/>
      <c r="G57"/>
    </row>
    <row r="58" spans="1:7" ht="15">
      <c r="C58"/>
      <c r="D58"/>
      <c r="E58"/>
      <c r="F58"/>
      <c r="G58"/>
    </row>
    <row r="59" spans="1:7" ht="15">
      <c r="C59"/>
      <c r="D59"/>
      <c r="E59"/>
      <c r="F59"/>
      <c r="G59"/>
    </row>
    <row r="60" spans="1:7" ht="15">
      <c r="C60"/>
      <c r="D60"/>
      <c r="E60"/>
      <c r="F60"/>
      <c r="G60"/>
    </row>
    <row r="61" spans="1:7" ht="15">
      <c r="C61"/>
      <c r="D61"/>
      <c r="E61"/>
      <c r="F61"/>
      <c r="G61"/>
    </row>
    <row r="62" spans="1:7" ht="15">
      <c r="C62"/>
      <c r="D62"/>
      <c r="E62"/>
      <c r="F62"/>
      <c r="G62"/>
    </row>
    <row r="63" spans="1:7" ht="15">
      <c r="C63"/>
      <c r="D63"/>
      <c r="E63"/>
      <c r="F63"/>
      <c r="G63"/>
    </row>
    <row r="64" spans="1:7" ht="15">
      <c r="C64"/>
      <c r="D64"/>
      <c r="E64"/>
      <c r="F64"/>
      <c r="G64"/>
    </row>
    <row r="65" spans="3:7" ht="15">
      <c r="C65"/>
      <c r="D65"/>
      <c r="E65"/>
      <c r="F65"/>
      <c r="G65"/>
    </row>
    <row r="66" spans="3:7" ht="15">
      <c r="C66"/>
      <c r="D66"/>
      <c r="E66"/>
      <c r="F66"/>
      <c r="G66"/>
    </row>
    <row r="67" spans="3:7" ht="15">
      <c r="C67"/>
      <c r="D67"/>
      <c r="E67"/>
      <c r="F67"/>
      <c r="G67"/>
    </row>
    <row r="68" spans="3:7" ht="15">
      <c r="C68"/>
      <c r="D68"/>
      <c r="E68"/>
      <c r="F68"/>
      <c r="G68"/>
    </row>
    <row r="69" spans="3:7" ht="15">
      <c r="C69"/>
      <c r="D69"/>
      <c r="E69"/>
      <c r="F69"/>
      <c r="G69"/>
    </row>
    <row r="70" spans="3:7" ht="15">
      <c r="C70"/>
      <c r="D70"/>
      <c r="E70"/>
      <c r="F70"/>
      <c r="G70"/>
    </row>
    <row r="71" spans="3:7" ht="15">
      <c r="C71"/>
      <c r="D71"/>
      <c r="E71"/>
      <c r="F71"/>
      <c r="G71"/>
    </row>
    <row r="72" spans="3:7" ht="15">
      <c r="C72"/>
      <c r="D72"/>
      <c r="E72"/>
      <c r="F72"/>
      <c r="G72"/>
    </row>
    <row r="73" spans="3:7" ht="15">
      <c r="C73"/>
      <c r="D73"/>
      <c r="E73"/>
      <c r="F73"/>
      <c r="G73"/>
    </row>
    <row r="74" spans="3:7" ht="15">
      <c r="C74"/>
      <c r="D74"/>
      <c r="E74"/>
      <c r="F74"/>
      <c r="G74"/>
    </row>
    <row r="75" spans="3:7" ht="15">
      <c r="C75"/>
      <c r="D75"/>
      <c r="E75"/>
      <c r="F75"/>
      <c r="G75"/>
    </row>
    <row r="76" spans="3:7" ht="15">
      <c r="C76"/>
      <c r="D76"/>
      <c r="E76"/>
      <c r="F76"/>
      <c r="G76"/>
    </row>
    <row r="77" spans="3:7" ht="15">
      <c r="C77"/>
      <c r="D77"/>
      <c r="E77"/>
      <c r="F77"/>
      <c r="G77"/>
    </row>
    <row r="78" spans="3:7" ht="15">
      <c r="C78"/>
      <c r="D78"/>
      <c r="E78"/>
      <c r="F78"/>
      <c r="G78"/>
    </row>
    <row r="79" spans="3:7" ht="15">
      <c r="C79"/>
      <c r="D79"/>
      <c r="E79"/>
      <c r="F79"/>
      <c r="G79"/>
    </row>
    <row r="80" spans="3:7" ht="15">
      <c r="C80"/>
      <c r="D80"/>
      <c r="E80"/>
      <c r="F80"/>
      <c r="G80"/>
    </row>
    <row r="81" spans="3:7" ht="15">
      <c r="C81"/>
      <c r="D81"/>
      <c r="E81"/>
      <c r="F81"/>
      <c r="G81"/>
    </row>
    <row r="82" spans="3:7" ht="15">
      <c r="C82"/>
      <c r="D82"/>
      <c r="E82"/>
      <c r="F82"/>
      <c r="G82"/>
    </row>
    <row r="83" spans="3:7" ht="15">
      <c r="C83"/>
      <c r="D83"/>
      <c r="E83"/>
      <c r="F83"/>
      <c r="G83"/>
    </row>
    <row r="84" spans="3:7" ht="15">
      <c r="C84"/>
      <c r="D84"/>
      <c r="E84"/>
      <c r="F84"/>
      <c r="G84"/>
    </row>
    <row r="85" spans="3:7" ht="15">
      <c r="C85"/>
      <c r="D85"/>
      <c r="E85"/>
      <c r="F85"/>
      <c r="G85"/>
    </row>
    <row r="86" spans="3:7" ht="15">
      <c r="C86"/>
      <c r="D86"/>
      <c r="E86"/>
      <c r="F86"/>
      <c r="G86"/>
    </row>
    <row r="87" spans="3:7" ht="15">
      <c r="C87"/>
      <c r="D87"/>
      <c r="E87"/>
      <c r="F87"/>
      <c r="G87"/>
    </row>
    <row r="88" spans="3:7" ht="15">
      <c r="C88"/>
      <c r="D88"/>
      <c r="E88"/>
      <c r="F88"/>
      <c r="G88"/>
    </row>
    <row r="89" spans="3:7" ht="15">
      <c r="C89"/>
      <c r="D89"/>
      <c r="E89"/>
      <c r="F89"/>
      <c r="G89"/>
    </row>
    <row r="90" spans="3:7" ht="15">
      <c r="C90"/>
      <c r="D90"/>
      <c r="E90"/>
      <c r="F90"/>
      <c r="G90"/>
    </row>
    <row r="91" spans="3:7" ht="15">
      <c r="C91"/>
      <c r="D91"/>
      <c r="E91"/>
      <c r="F91"/>
      <c r="G91"/>
    </row>
    <row r="92" spans="3:7" ht="15">
      <c r="C92"/>
      <c r="D92"/>
      <c r="E92"/>
      <c r="F92"/>
      <c r="G92"/>
    </row>
    <row r="93" spans="3:7" ht="15">
      <c r="C93"/>
      <c r="D93"/>
      <c r="E93"/>
      <c r="F93"/>
      <c r="G93"/>
    </row>
    <row r="94" spans="3:7" ht="15">
      <c r="C94"/>
      <c r="D94"/>
      <c r="E94"/>
      <c r="F94"/>
      <c r="G94"/>
    </row>
    <row r="95" spans="3:7" ht="15">
      <c r="C95"/>
      <c r="D95"/>
      <c r="E95"/>
      <c r="F95"/>
      <c r="G95"/>
    </row>
    <row r="96" spans="3:7" ht="15">
      <c r="C96"/>
      <c r="D96"/>
      <c r="E96"/>
      <c r="F96"/>
      <c r="G96"/>
    </row>
    <row r="97" spans="3:7" ht="15">
      <c r="C97"/>
      <c r="D97"/>
      <c r="E97"/>
      <c r="F97"/>
      <c r="G97"/>
    </row>
    <row r="98" spans="3:7" ht="15">
      <c r="C98"/>
      <c r="D98"/>
      <c r="E98"/>
      <c r="F98"/>
      <c r="G98"/>
    </row>
    <row r="99" spans="3:7" ht="15">
      <c r="C99"/>
      <c r="D99"/>
      <c r="E99"/>
      <c r="F99"/>
      <c r="G99"/>
    </row>
    <row r="100" spans="3:7" ht="15">
      <c r="C100"/>
      <c r="D100"/>
      <c r="E100"/>
      <c r="F100"/>
      <c r="G100"/>
    </row>
    <row r="101" spans="3:7" ht="15">
      <c r="C101"/>
      <c r="D101"/>
      <c r="E101"/>
      <c r="F101"/>
      <c r="G101"/>
    </row>
    <row r="102" spans="3:7" ht="15">
      <c r="C102"/>
      <c r="D102"/>
      <c r="E102"/>
      <c r="F102"/>
      <c r="G102"/>
    </row>
    <row r="103" spans="3:7" ht="15">
      <c r="C103"/>
      <c r="D103"/>
      <c r="E103"/>
      <c r="F103"/>
      <c r="G103"/>
    </row>
    <row r="104" spans="3:7" ht="15">
      <c r="C104"/>
      <c r="D104"/>
      <c r="E104"/>
      <c r="F104"/>
      <c r="G104"/>
    </row>
    <row r="105" spans="3:7" ht="15">
      <c r="C105"/>
      <c r="D105"/>
      <c r="E105"/>
      <c r="F105"/>
      <c r="G105"/>
    </row>
    <row r="106" spans="3:7" ht="15">
      <c r="C106"/>
      <c r="D106"/>
      <c r="E106"/>
      <c r="F106"/>
      <c r="G106"/>
    </row>
    <row r="107" spans="3:7" ht="15">
      <c r="C107"/>
      <c r="D107"/>
      <c r="E107"/>
      <c r="F107"/>
      <c r="G107"/>
    </row>
    <row r="108" spans="3:7" ht="15">
      <c r="C108"/>
      <c r="D108"/>
      <c r="E108"/>
      <c r="F108"/>
      <c r="G108"/>
    </row>
    <row r="109" spans="3:7" ht="15">
      <c r="C109"/>
      <c r="D109"/>
      <c r="E109"/>
      <c r="F109"/>
      <c r="G109"/>
    </row>
    <row r="110" spans="3:7" ht="15">
      <c r="C110"/>
      <c r="D110"/>
      <c r="E110"/>
      <c r="F110"/>
      <c r="G110"/>
    </row>
    <row r="111" spans="3:7" ht="15">
      <c r="C111"/>
      <c r="D111"/>
      <c r="E111"/>
      <c r="F111"/>
      <c r="G111"/>
    </row>
    <row r="112" spans="3:7" ht="15">
      <c r="C112"/>
      <c r="D112"/>
      <c r="E112"/>
      <c r="F112"/>
      <c r="G112"/>
    </row>
    <row r="113" spans="3:7" ht="15">
      <c r="C113"/>
      <c r="D113"/>
      <c r="E113"/>
      <c r="F113"/>
      <c r="G113"/>
    </row>
    <row r="114" spans="3:7" ht="15">
      <c r="C114"/>
      <c r="D114"/>
      <c r="E114"/>
      <c r="F114"/>
      <c r="G114"/>
    </row>
    <row r="115" spans="3:7" ht="15">
      <c r="C115"/>
      <c r="D115"/>
      <c r="E115"/>
      <c r="F115"/>
      <c r="G115"/>
    </row>
    <row r="116" spans="3:7" ht="15">
      <c r="C116"/>
      <c r="D116"/>
      <c r="E116"/>
      <c r="F116"/>
      <c r="G116"/>
    </row>
    <row r="117" spans="3:7" ht="15">
      <c r="C117"/>
      <c r="D117"/>
      <c r="E117"/>
      <c r="F117"/>
      <c r="G117"/>
    </row>
    <row r="118" spans="3:7" ht="15">
      <c r="C118"/>
      <c r="D118"/>
      <c r="E118"/>
      <c r="F118"/>
      <c r="G118"/>
    </row>
    <row r="119" spans="3:7" ht="15">
      <c r="C119"/>
      <c r="D119"/>
      <c r="E119"/>
      <c r="F119"/>
      <c r="G119"/>
    </row>
    <row r="120" spans="3:7" ht="15">
      <c r="C120"/>
      <c r="D120"/>
      <c r="E120"/>
      <c r="F120"/>
      <c r="G120"/>
    </row>
    <row r="121" spans="3:7" ht="15">
      <c r="C121"/>
      <c r="D121"/>
      <c r="E121"/>
      <c r="F121"/>
      <c r="G121"/>
    </row>
    <row r="122" spans="3:7" ht="15">
      <c r="C122"/>
      <c r="D122"/>
      <c r="E122"/>
      <c r="F122"/>
      <c r="G122"/>
    </row>
    <row r="123" spans="3:7" ht="15">
      <c r="C123"/>
      <c r="D123"/>
      <c r="E123"/>
      <c r="F123"/>
      <c r="G123" s="249"/>
    </row>
  </sheetData>
  <mergeCells count="8">
    <mergeCell ref="F39:G39"/>
    <mergeCell ref="C54:G54"/>
    <mergeCell ref="E10:F10"/>
    <mergeCell ref="E11:F11"/>
    <mergeCell ref="B4:C4"/>
    <mergeCell ref="E7:F7"/>
    <mergeCell ref="E6:F6"/>
    <mergeCell ref="D26:E26"/>
  </mergeCells>
  <printOptions horizontalCentered="1"/>
  <pageMargins left="0.35" right="0.35" top="0.55000000000000004" bottom="0.55000000000000004" header="0.2" footer="0.2"/>
  <pageSetup paperSize="9" fitToHeight="0" orientation="portrait" r:id="rId1"/>
  <headerFooter>
    <oddFooter>&amp;LCAFlow template&amp;RPage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N50"/>
  <sheetViews>
    <sheetView showGridLines="0" view="pageBreakPreview" zoomScaleNormal="100" zoomScaleSheetLayoutView="100" workbookViewId="0">
      <selection activeCell="C51" sqref="C51"/>
    </sheetView>
  </sheetViews>
  <sheetFormatPr defaultColWidth="9.140625" defaultRowHeight="14.25"/>
  <cols>
    <col min="1" max="1" width="1.7109375" style="748" customWidth="1"/>
    <col min="2" max="2" width="7.85546875" style="748" customWidth="1"/>
    <col min="3" max="3" width="18" style="748" customWidth="1"/>
    <col min="4" max="4" width="27.5703125" style="748" customWidth="1"/>
    <col min="5" max="5" width="13.7109375" style="748" bestFit="1" customWidth="1"/>
    <col min="6" max="6" width="12.140625" style="749" customWidth="1"/>
    <col min="7" max="7" width="12.28515625" style="750" customWidth="1"/>
    <col min="8" max="8" width="10" style="751" customWidth="1"/>
    <col min="9" max="9" width="1.7109375" style="748" customWidth="1"/>
    <col min="10" max="16384" width="9.140625" style="748"/>
  </cols>
  <sheetData>
    <row r="1" spans="1:14" ht="15.75">
      <c r="A1"/>
      <c r="B1" s="814" t="str">
        <f>BS!B2</f>
        <v>[NAME OF THE COMPANY]</v>
      </c>
      <c r="C1"/>
      <c r="D1"/>
      <c r="E1"/>
      <c r="F1"/>
      <c r="G1"/>
      <c r="H1"/>
    </row>
    <row r="2" spans="1:14" ht="5.0999999999999996" customHeight="1">
      <c r="A2"/>
      <c r="B2"/>
      <c r="C2"/>
      <c r="D2"/>
      <c r="E2"/>
      <c r="F2"/>
      <c r="G2"/>
      <c r="H2"/>
    </row>
    <row r="3" spans="1:14" ht="14.1" customHeight="1">
      <c r="B3" s="522" t="s">
        <v>1015</v>
      </c>
      <c r="C3" s="746"/>
      <c r="D3" s="746"/>
      <c r="E3" s="746"/>
      <c r="F3" s="746"/>
      <c r="G3" s="746"/>
      <c r="H3" s="747"/>
    </row>
    <row r="4" spans="1:14" ht="9" customHeight="1">
      <c r="B4" s="522"/>
      <c r="C4" s="746"/>
      <c r="D4" s="746"/>
      <c r="E4" s="746"/>
      <c r="F4" s="746"/>
      <c r="G4" s="746"/>
      <c r="H4" s="747"/>
    </row>
    <row r="5" spans="1:14" ht="15.75" customHeight="1">
      <c r="B5" s="249" t="s">
        <v>996</v>
      </c>
      <c r="C5" s="202" t="s">
        <v>1123</v>
      </c>
      <c r="D5" s="746"/>
      <c r="E5" s="746"/>
      <c r="F5" s="746"/>
      <c r="G5" s="746"/>
      <c r="H5" s="747"/>
    </row>
    <row r="6" spans="1:14" ht="5.25" customHeight="1"/>
    <row r="7" spans="1:14" ht="20.25" customHeight="1">
      <c r="B7" s="1052" t="s">
        <v>1077</v>
      </c>
      <c r="C7" s="1054" t="s">
        <v>110</v>
      </c>
      <c r="D7" s="752" t="s">
        <v>366</v>
      </c>
      <c r="E7" s="1052" t="s">
        <v>1091</v>
      </c>
      <c r="F7" s="1056" t="s">
        <v>1124</v>
      </c>
      <c r="G7" s="1056" t="s">
        <v>1125</v>
      </c>
      <c r="H7" s="1042" t="s">
        <v>368</v>
      </c>
    </row>
    <row r="8" spans="1:14">
      <c r="B8" s="1053"/>
      <c r="C8" s="1055"/>
      <c r="D8" s="753" t="s">
        <v>367</v>
      </c>
      <c r="E8" s="1053"/>
      <c r="F8" s="1057"/>
      <c r="G8" s="1057"/>
      <c r="H8" s="1043"/>
    </row>
    <row r="9" spans="1:14" ht="14.25" customHeight="1">
      <c r="B9" s="1044">
        <v>1</v>
      </c>
      <c r="C9" s="1046" t="s">
        <v>1092</v>
      </c>
      <c r="D9" s="754" t="s">
        <v>1093</v>
      </c>
      <c r="E9" s="755">
        <v>0</v>
      </c>
      <c r="F9" s="1048">
        <f>+IFERROR(E9/E10,0)</f>
        <v>0</v>
      </c>
      <c r="G9" s="1048">
        <v>0</v>
      </c>
      <c r="H9" s="1050">
        <f>+IFERROR(((F9-G9)/G9),0)</f>
        <v>0</v>
      </c>
    </row>
    <row r="10" spans="1:14">
      <c r="B10" s="1045"/>
      <c r="C10" s="1047"/>
      <c r="D10" s="754" t="s">
        <v>1094</v>
      </c>
      <c r="E10" s="755">
        <v>0</v>
      </c>
      <c r="F10" s="1049"/>
      <c r="G10" s="1049"/>
      <c r="H10" s="1051"/>
    </row>
    <row r="11" spans="1:14" ht="8.1" customHeight="1">
      <c r="B11" s="756"/>
      <c r="C11" s="757"/>
      <c r="D11" s="758"/>
      <c r="E11" s="759"/>
      <c r="F11" s="760"/>
      <c r="G11" s="761"/>
      <c r="H11" s="762"/>
    </row>
    <row r="12" spans="1:14" ht="14.25" customHeight="1">
      <c r="B12" s="1044">
        <v>2</v>
      </c>
      <c r="C12" s="1046" t="s">
        <v>1095</v>
      </c>
      <c r="D12" s="763" t="s">
        <v>1096</v>
      </c>
      <c r="E12" s="755">
        <v>0</v>
      </c>
      <c r="F12" s="1048">
        <f>+IFERROR(E12/E13,0)</f>
        <v>0</v>
      </c>
      <c r="G12" s="1058">
        <v>0</v>
      </c>
      <c r="H12" s="1050">
        <f>IFERROR(((F12-G12)/G12),0)</f>
        <v>0</v>
      </c>
    </row>
    <row r="13" spans="1:14">
      <c r="B13" s="1045"/>
      <c r="C13" s="1047"/>
      <c r="D13" s="754" t="s">
        <v>1097</v>
      </c>
      <c r="E13" s="755">
        <v>0</v>
      </c>
      <c r="F13" s="1049"/>
      <c r="G13" s="1059"/>
      <c r="H13" s="1051"/>
    </row>
    <row r="14" spans="1:14" ht="8.1" customHeight="1">
      <c r="B14" s="756"/>
      <c r="C14" s="757"/>
      <c r="D14" s="758" t="s">
        <v>1098</v>
      </c>
      <c r="E14" s="764"/>
      <c r="F14" s="765"/>
      <c r="G14" s="766"/>
      <c r="H14" s="762"/>
    </row>
    <row r="15" spans="1:14" ht="15" customHeight="1">
      <c r="B15" s="1044">
        <v>3</v>
      </c>
      <c r="C15" s="1060" t="str">
        <f>N15</f>
        <v>Debt Service Coverage Ratio (In Times)</v>
      </c>
      <c r="D15" s="754" t="s">
        <v>1099</v>
      </c>
      <c r="E15" s="755">
        <v>0</v>
      </c>
      <c r="F15" s="1058" t="str">
        <f>+IF(ISNUMBER(E15/E16),E15/E16,"N.A.")</f>
        <v>N.A.</v>
      </c>
      <c r="G15" s="1058">
        <v>0</v>
      </c>
      <c r="H15" s="1062">
        <f>+IFERROR(((F15-G15)/G15),0)</f>
        <v>0</v>
      </c>
      <c r="N15" s="748" t="s">
        <v>1122</v>
      </c>
    </row>
    <row r="16" spans="1:14" ht="20.25" customHeight="1">
      <c r="B16" s="1045"/>
      <c r="C16" s="1061"/>
      <c r="D16" s="754" t="s">
        <v>1100</v>
      </c>
      <c r="E16" s="767">
        <v>0</v>
      </c>
      <c r="F16" s="1059"/>
      <c r="G16" s="1059"/>
      <c r="H16" s="1063"/>
      <c r="N16" s="748" t="s">
        <v>1098</v>
      </c>
    </row>
    <row r="17" spans="2:14">
      <c r="B17" s="768"/>
      <c r="C17" s="769"/>
      <c r="D17" s="758"/>
      <c r="E17" s="759"/>
      <c r="F17" s="770"/>
      <c r="G17" s="766"/>
      <c r="H17" s="762"/>
      <c r="N17" s="748" t="s">
        <v>1098</v>
      </c>
    </row>
    <row r="18" spans="2:14" ht="8.1" customHeight="1">
      <c r="B18" s="756"/>
      <c r="C18" s="769"/>
      <c r="D18" s="758"/>
      <c r="E18" s="764">
        <v>0</v>
      </c>
      <c r="F18" s="770"/>
      <c r="G18" s="766"/>
      <c r="H18" s="771"/>
    </row>
    <row r="19" spans="2:14" ht="15" customHeight="1">
      <c r="B19" s="1044">
        <v>4</v>
      </c>
      <c r="C19" s="1060" t="s">
        <v>1101</v>
      </c>
      <c r="D19" s="754" t="s">
        <v>1102</v>
      </c>
      <c r="E19" s="755">
        <v>0</v>
      </c>
      <c r="F19" s="1064">
        <f>+IFERROR(E19/E20,0)</f>
        <v>0</v>
      </c>
      <c r="G19" s="1066">
        <v>0</v>
      </c>
      <c r="H19" s="1062">
        <f>+IFERROR(((F19-G19)/G19),0)</f>
        <v>0</v>
      </c>
      <c r="N19" s="748" t="s">
        <v>1101</v>
      </c>
    </row>
    <row r="20" spans="2:14">
      <c r="B20" s="1045"/>
      <c r="C20" s="1061"/>
      <c r="D20" s="754" t="s">
        <v>1103</v>
      </c>
      <c r="E20" s="755">
        <v>0</v>
      </c>
      <c r="F20" s="1065"/>
      <c r="G20" s="1067"/>
      <c r="H20" s="1063"/>
      <c r="N20" s="748" t="s">
        <v>1098</v>
      </c>
    </row>
    <row r="21" spans="2:14">
      <c r="B21" s="772"/>
      <c r="C21" s="773"/>
      <c r="D21" s="758"/>
      <c r="E21" s="759"/>
      <c r="F21" s="774"/>
      <c r="G21" s="775"/>
      <c r="H21" s="776"/>
    </row>
    <row r="22" spans="2:14" ht="9" customHeight="1">
      <c r="B22" s="756"/>
      <c r="C22" s="769"/>
      <c r="D22" s="758"/>
      <c r="E22" s="759"/>
      <c r="F22" s="777"/>
      <c r="G22" s="777"/>
      <c r="H22" s="771"/>
      <c r="N22" s="748" t="s">
        <v>1098</v>
      </c>
    </row>
    <row r="23" spans="2:14" ht="15" customHeight="1">
      <c r="B23" s="1044">
        <v>5</v>
      </c>
      <c r="C23" s="1060" t="s">
        <v>1104</v>
      </c>
      <c r="D23" s="754" t="s">
        <v>1105</v>
      </c>
      <c r="E23" s="755">
        <v>0</v>
      </c>
      <c r="F23" s="1058" t="str">
        <f t="shared" ref="F23" si="0">+IF(ISNUMBER(E23/E24),E23/E24,"N.A.")</f>
        <v>N.A.</v>
      </c>
      <c r="G23" s="1058">
        <v>0</v>
      </c>
      <c r="H23" s="1062">
        <f>+IFERROR(((F23-G23)/G23),0)</f>
        <v>0</v>
      </c>
      <c r="N23" s="748" t="s">
        <v>1104</v>
      </c>
    </row>
    <row r="24" spans="2:14" ht="23.25" customHeight="1">
      <c r="B24" s="1045"/>
      <c r="C24" s="1061"/>
      <c r="D24" s="754" t="s">
        <v>1106</v>
      </c>
      <c r="E24" s="755">
        <v>0</v>
      </c>
      <c r="F24" s="1059"/>
      <c r="G24" s="1059"/>
      <c r="H24" s="1063"/>
      <c r="K24" s="748" t="str">
        <f t="shared" ref="K24:K26" si="1">PROPER(C24)</f>
        <v/>
      </c>
      <c r="N24" s="748" t="s">
        <v>1098</v>
      </c>
    </row>
    <row r="25" spans="2:14">
      <c r="B25" s="778"/>
      <c r="C25" s="773"/>
      <c r="D25" s="758"/>
      <c r="E25" s="759"/>
      <c r="F25" s="777"/>
      <c r="G25" s="777"/>
      <c r="H25" s="762"/>
    </row>
    <row r="26" spans="2:14" ht="8.1" customHeight="1">
      <c r="B26" s="756"/>
      <c r="C26" s="769"/>
      <c r="D26" s="758" t="s">
        <v>1098</v>
      </c>
      <c r="E26" s="759"/>
      <c r="F26" s="770"/>
      <c r="G26" s="766"/>
      <c r="H26" s="771"/>
      <c r="K26" s="748" t="str">
        <f t="shared" si="1"/>
        <v/>
      </c>
      <c r="N26" s="748" t="s">
        <v>1098</v>
      </c>
    </row>
    <row r="27" spans="2:14" ht="15" customHeight="1">
      <c r="B27" s="1044">
        <v>6</v>
      </c>
      <c r="C27" s="1060" t="s">
        <v>1107</v>
      </c>
      <c r="D27" s="754" t="s">
        <v>1108</v>
      </c>
      <c r="E27" s="755">
        <v>0</v>
      </c>
      <c r="F27" s="1058" t="str">
        <f t="shared" ref="F27" si="2">+IF(ISNUMBER(E27/E28),E27/E28,"N.A.")</f>
        <v>N.A.</v>
      </c>
      <c r="G27" s="1058">
        <v>0</v>
      </c>
      <c r="H27" s="1062">
        <f>+IFERROR(((F27-G27)/G27),0)</f>
        <v>0</v>
      </c>
      <c r="N27" s="748" t="s">
        <v>1107</v>
      </c>
    </row>
    <row r="28" spans="2:14" ht="26.25" customHeight="1">
      <c r="B28" s="1045"/>
      <c r="C28" s="1061"/>
      <c r="D28" s="754" t="s">
        <v>369</v>
      </c>
      <c r="E28" s="755">
        <v>0</v>
      </c>
      <c r="F28" s="1059"/>
      <c r="G28" s="1059"/>
      <c r="H28" s="1063"/>
      <c r="N28" s="748" t="s">
        <v>1098</v>
      </c>
    </row>
    <row r="29" spans="2:14" ht="15" customHeight="1">
      <c r="B29" s="772"/>
      <c r="C29" s="769"/>
      <c r="D29" s="758"/>
      <c r="E29" s="759"/>
      <c r="F29" s="766"/>
      <c r="G29" s="766"/>
      <c r="H29" s="762"/>
      <c r="N29" s="748" t="s">
        <v>1098</v>
      </c>
    </row>
    <row r="30" spans="2:14" ht="6.75" customHeight="1">
      <c r="B30" s="772"/>
      <c r="C30" s="769"/>
      <c r="D30" s="758"/>
      <c r="E30" s="759"/>
      <c r="F30" s="766"/>
      <c r="G30" s="766"/>
      <c r="H30" s="762"/>
    </row>
    <row r="31" spans="2:14" ht="15" customHeight="1">
      <c r="B31" s="1044">
        <v>7</v>
      </c>
      <c r="C31" s="1060" t="s">
        <v>1109</v>
      </c>
      <c r="D31" s="754" t="s">
        <v>1110</v>
      </c>
      <c r="E31" s="755">
        <v>0</v>
      </c>
      <c r="F31" s="1058" t="str">
        <f>+IF(ISNUMBER(E31/E32),E31/E32,"N.A.")</f>
        <v>N.A.</v>
      </c>
      <c r="G31" s="1058">
        <v>0</v>
      </c>
      <c r="H31" s="1062">
        <f>+IFERROR(((F31-G31)/G31),0)</f>
        <v>0</v>
      </c>
      <c r="N31" s="748" t="s">
        <v>1109</v>
      </c>
    </row>
    <row r="32" spans="2:14" ht="24.75" customHeight="1">
      <c r="B32" s="1045"/>
      <c r="C32" s="1061"/>
      <c r="D32" s="754" t="s">
        <v>370</v>
      </c>
      <c r="E32" s="755">
        <v>0</v>
      </c>
      <c r="F32" s="1059"/>
      <c r="G32" s="1059"/>
      <c r="H32" s="1063"/>
      <c r="N32" s="748" t="s">
        <v>1098</v>
      </c>
    </row>
    <row r="33" spans="2:14">
      <c r="B33" s="772"/>
      <c r="C33" s="773"/>
      <c r="D33" s="758"/>
      <c r="E33" s="759"/>
      <c r="F33" s="777"/>
      <c r="G33" s="777"/>
      <c r="H33" s="776"/>
    </row>
    <row r="34" spans="2:14" ht="8.1" customHeight="1">
      <c r="B34" s="756"/>
      <c r="C34" s="769"/>
      <c r="D34" s="758"/>
      <c r="E34" s="759"/>
      <c r="F34" s="766"/>
      <c r="G34" s="766"/>
      <c r="H34" s="771"/>
      <c r="N34" s="748" t="s">
        <v>1098</v>
      </c>
    </row>
    <row r="35" spans="2:14" ht="15" customHeight="1">
      <c r="B35" s="1044">
        <v>8</v>
      </c>
      <c r="C35" s="1060" t="s">
        <v>1111</v>
      </c>
      <c r="D35" s="754" t="s">
        <v>1108</v>
      </c>
      <c r="E35" s="755">
        <v>0</v>
      </c>
      <c r="F35" s="1058">
        <f>+IFERROR(E35/E36,0)</f>
        <v>0</v>
      </c>
      <c r="G35" s="1058">
        <v>0</v>
      </c>
      <c r="H35" s="1062">
        <f>+IFERROR(((F35-G35)/G35),0)</f>
        <v>0</v>
      </c>
      <c r="N35" s="748" t="s">
        <v>1111</v>
      </c>
    </row>
    <row r="36" spans="2:14" ht="23.25" customHeight="1">
      <c r="B36" s="1045"/>
      <c r="C36" s="1061"/>
      <c r="D36" s="754" t="s">
        <v>1112</v>
      </c>
      <c r="E36" s="755">
        <v>0</v>
      </c>
      <c r="F36" s="1059"/>
      <c r="G36" s="1059"/>
      <c r="H36" s="1063"/>
      <c r="N36" s="748" t="s">
        <v>1098</v>
      </c>
    </row>
    <row r="37" spans="2:14" ht="8.1" customHeight="1">
      <c r="B37" s="756"/>
      <c r="C37" s="769"/>
      <c r="D37" s="758"/>
      <c r="E37" s="759"/>
      <c r="F37" s="766"/>
      <c r="G37" s="766"/>
      <c r="H37" s="771"/>
      <c r="N37" s="748" t="s">
        <v>1098</v>
      </c>
    </row>
    <row r="38" spans="2:14" ht="14.25" customHeight="1">
      <c r="B38" s="1044">
        <v>9</v>
      </c>
      <c r="C38" s="1060" t="s">
        <v>1113</v>
      </c>
      <c r="D38" s="754" t="s">
        <v>1102</v>
      </c>
      <c r="E38" s="755">
        <v>0</v>
      </c>
      <c r="F38" s="1068">
        <f>+IFERROR(E38/E39,0)</f>
        <v>0</v>
      </c>
      <c r="G38" s="1068">
        <v>0</v>
      </c>
      <c r="H38" s="1062">
        <f>+IFERROR(((F38-G38)/G38),0)</f>
        <v>0</v>
      </c>
      <c r="N38" s="748" t="s">
        <v>1113</v>
      </c>
    </row>
    <row r="39" spans="2:14">
      <c r="B39" s="1045"/>
      <c r="C39" s="1061"/>
      <c r="D39" s="754" t="s">
        <v>1108</v>
      </c>
      <c r="E39" s="755">
        <v>0</v>
      </c>
      <c r="F39" s="1069"/>
      <c r="G39" s="1069"/>
      <c r="H39" s="1063"/>
      <c r="N39" s="748" t="s">
        <v>1098</v>
      </c>
    </row>
    <row r="40" spans="2:14">
      <c r="B40" s="772"/>
      <c r="C40" s="773"/>
      <c r="D40" s="758"/>
      <c r="E40" s="759"/>
      <c r="F40" s="779"/>
      <c r="G40" s="779"/>
      <c r="H40" s="776"/>
    </row>
    <row r="41" spans="2:14" ht="8.1" customHeight="1">
      <c r="B41" s="780"/>
      <c r="C41" s="769"/>
      <c r="D41" s="758"/>
      <c r="E41" s="759"/>
      <c r="F41" s="781"/>
      <c r="G41" s="770"/>
      <c r="H41" s="762"/>
      <c r="N41" s="748" t="s">
        <v>1098</v>
      </c>
    </row>
    <row r="42" spans="2:14" ht="15" customHeight="1">
      <c r="B42" s="1044">
        <v>10</v>
      </c>
      <c r="C42" s="1060" t="s">
        <v>1114</v>
      </c>
      <c r="D42" s="754" t="s">
        <v>1115</v>
      </c>
      <c r="E42" s="755">
        <v>0</v>
      </c>
      <c r="F42" s="1070">
        <f>+IFERROR(E42/E43,0)</f>
        <v>0</v>
      </c>
      <c r="G42" s="1072">
        <v>0</v>
      </c>
      <c r="H42" s="1062">
        <f>+IFERROR(((F42-G42)/G42),0)</f>
        <v>0</v>
      </c>
      <c r="N42" s="748" t="s">
        <v>1114</v>
      </c>
    </row>
    <row r="43" spans="2:14">
      <c r="B43" s="1045"/>
      <c r="C43" s="1061"/>
      <c r="D43" s="754" t="s">
        <v>1116</v>
      </c>
      <c r="E43" s="755">
        <v>0</v>
      </c>
      <c r="F43" s="1071"/>
      <c r="G43" s="1073"/>
      <c r="H43" s="1063"/>
      <c r="N43" s="748" t="s">
        <v>1098</v>
      </c>
    </row>
    <row r="44" spans="2:14" ht="15" customHeight="1">
      <c r="B44" s="772"/>
      <c r="C44" s="769"/>
      <c r="D44" s="758"/>
      <c r="E44" s="759"/>
      <c r="F44" s="766"/>
      <c r="G44" s="766"/>
      <c r="H44" s="762"/>
      <c r="N44" s="748" t="s">
        <v>1098</v>
      </c>
    </row>
    <row r="45" spans="2:14" ht="8.1" customHeight="1">
      <c r="B45" s="756"/>
      <c r="C45" s="782"/>
      <c r="D45" s="758"/>
      <c r="E45" s="764"/>
      <c r="F45" s="781"/>
      <c r="G45" s="783"/>
      <c r="H45" s="762"/>
      <c r="N45" s="748" t="s">
        <v>1098</v>
      </c>
    </row>
    <row r="46" spans="2:14" ht="15.75" customHeight="1">
      <c r="B46" s="1044">
        <v>11</v>
      </c>
      <c r="C46" s="1074" t="s">
        <v>1117</v>
      </c>
      <c r="D46" s="763" t="s">
        <v>1118</v>
      </c>
      <c r="E46" s="784">
        <v>0</v>
      </c>
      <c r="F46" s="1070" t="str">
        <f>+IF(ISNUMBER(E46/E47),E46/E47,"N.A.")</f>
        <v>N.A.</v>
      </c>
      <c r="G46" s="1072">
        <v>0</v>
      </c>
      <c r="H46" s="1062">
        <f>+IFERROR(((F46-G46)/G46),0)</f>
        <v>0</v>
      </c>
      <c r="N46" s="748" t="s">
        <v>1117</v>
      </c>
    </row>
    <row r="47" spans="2:14">
      <c r="B47" s="1045"/>
      <c r="C47" s="1075"/>
      <c r="D47" s="763" t="s">
        <v>1119</v>
      </c>
      <c r="E47" s="784">
        <v>0</v>
      </c>
      <c r="F47" s="1071"/>
      <c r="G47" s="1073"/>
      <c r="H47" s="1063"/>
      <c r="N47" s="748" t="s">
        <v>1098</v>
      </c>
    </row>
    <row r="48" spans="2:14">
      <c r="B48" s="772"/>
      <c r="C48" s="769"/>
      <c r="D48" s="758"/>
      <c r="E48" s="759"/>
      <c r="F48" s="766"/>
      <c r="G48" s="766"/>
      <c r="H48" s="762"/>
    </row>
    <row r="49" spans="2:14" ht="4.5" customHeight="1">
      <c r="B49" s="785"/>
      <c r="C49" s="786"/>
      <c r="D49" s="787"/>
      <c r="E49" s="788"/>
      <c r="F49" s="789"/>
      <c r="G49" s="790"/>
      <c r="H49" s="791"/>
      <c r="N49" s="748" t="str">
        <f t="shared" ref="N49" si="3">PROPER(C49)</f>
        <v/>
      </c>
    </row>
    <row r="50" spans="2:14">
      <c r="C50" s="812"/>
      <c r="D50" s="813"/>
    </row>
  </sheetData>
  <mergeCells count="61">
    <mergeCell ref="B46:B47"/>
    <mergeCell ref="C46:C47"/>
    <mergeCell ref="F46:F47"/>
    <mergeCell ref="G46:G47"/>
    <mergeCell ref="H46:H47"/>
    <mergeCell ref="B42:B43"/>
    <mergeCell ref="C42:C43"/>
    <mergeCell ref="F42:F43"/>
    <mergeCell ref="G42:G43"/>
    <mergeCell ref="H42:H43"/>
    <mergeCell ref="B38:B39"/>
    <mergeCell ref="C38:C39"/>
    <mergeCell ref="F38:F39"/>
    <mergeCell ref="G38:G39"/>
    <mergeCell ref="H38:H39"/>
    <mergeCell ref="B35:B36"/>
    <mergeCell ref="C35:C36"/>
    <mergeCell ref="F35:F36"/>
    <mergeCell ref="G35:G36"/>
    <mergeCell ref="H35:H36"/>
    <mergeCell ref="B31:B32"/>
    <mergeCell ref="C31:C32"/>
    <mergeCell ref="F31:F32"/>
    <mergeCell ref="G31:G32"/>
    <mergeCell ref="H31:H32"/>
    <mergeCell ref="B27:B28"/>
    <mergeCell ref="C27:C28"/>
    <mergeCell ref="F27:F28"/>
    <mergeCell ref="G27:G28"/>
    <mergeCell ref="H27:H28"/>
    <mergeCell ref="B23:B24"/>
    <mergeCell ref="C23:C24"/>
    <mergeCell ref="F23:F24"/>
    <mergeCell ref="G23:G24"/>
    <mergeCell ref="H23:H24"/>
    <mergeCell ref="B19:B20"/>
    <mergeCell ref="C19:C20"/>
    <mergeCell ref="F19:F20"/>
    <mergeCell ref="G19:G20"/>
    <mergeCell ref="H19:H20"/>
    <mergeCell ref="C12:C13"/>
    <mergeCell ref="F12:F13"/>
    <mergeCell ref="G12:G13"/>
    <mergeCell ref="H12:H13"/>
    <mergeCell ref="B15:B16"/>
    <mergeCell ref="C15:C16"/>
    <mergeCell ref="F15:F16"/>
    <mergeCell ref="G15:G16"/>
    <mergeCell ref="H15:H16"/>
    <mergeCell ref="B12:B13"/>
    <mergeCell ref="H7:H8"/>
    <mergeCell ref="B9:B10"/>
    <mergeCell ref="C9:C10"/>
    <mergeCell ref="F9:F10"/>
    <mergeCell ref="G9:G10"/>
    <mergeCell ref="H9:H10"/>
    <mergeCell ref="B7:B8"/>
    <mergeCell ref="C7:C8"/>
    <mergeCell ref="E7:E8"/>
    <mergeCell ref="F7:F8"/>
    <mergeCell ref="G7:G8"/>
  </mergeCells>
  <conditionalFormatting sqref="G7:H8 I9:J9">
    <cfRule type="cellIs" dxfId="1" priority="1" stopIfTrue="1" operator="lessThan">
      <formula>0</formula>
    </cfRule>
  </conditionalFormatting>
  <conditionalFormatting sqref="I9:J9">
    <cfRule type="cellIs" dxfId="0" priority="2" stopIfTrue="1" operator="lessThan">
      <formula>0</formula>
    </cfRule>
  </conditionalFormatting>
  <printOptions horizontalCentered="1"/>
  <pageMargins left="0.35" right="0.35" top="0.55000000000000004" bottom="0.55000000000000004" header="0.2" footer="0.2"/>
  <pageSetup paperSize="9" scale="93" fitToHeight="0" orientation="portrait" r:id="rId1"/>
  <headerFooter>
    <oddFooter>&amp;LCAFlow template&amp;RPage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8215D-06C0-473B-96EB-309FD3249908}">
  <dimension ref="A2:A8"/>
  <sheetViews>
    <sheetView topLeftCell="A43" workbookViewId="0">
      <selection activeCell="M55" sqref="M55"/>
    </sheetView>
  </sheetViews>
  <sheetFormatPr defaultRowHeight="15"/>
  <sheetData>
    <row r="2" spans="1:1">
      <c r="A2" s="591" t="s">
        <v>928</v>
      </c>
    </row>
    <row r="3" spans="1:1">
      <c r="A3" t="s">
        <v>927</v>
      </c>
    </row>
    <row r="7" spans="1:1">
      <c r="A7" s="591" t="s">
        <v>1072</v>
      </c>
    </row>
    <row r="8" spans="1:1">
      <c r="A8" t="s">
        <v>1071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H15"/>
  <sheetViews>
    <sheetView showGridLines="0" zoomScaleSheetLayoutView="100" workbookViewId="0">
      <selection activeCell="G19" sqref="G19"/>
    </sheetView>
  </sheetViews>
  <sheetFormatPr defaultColWidth="8.7109375" defaultRowHeight="12.75"/>
  <cols>
    <col min="1" max="1" width="21.28515625" style="101" bestFit="1" customWidth="1"/>
    <col min="2" max="2" width="9.28515625" style="101" customWidth="1"/>
    <col min="3" max="3" width="13.5703125" style="158" bestFit="1" customWidth="1"/>
    <col min="4" max="4" width="13.5703125" style="158" customWidth="1"/>
    <col min="5" max="5" width="12.7109375" style="158" bestFit="1" customWidth="1"/>
    <col min="6" max="6" width="11.28515625" style="158" bestFit="1" customWidth="1"/>
    <col min="7" max="7" width="12.5703125" style="158" bestFit="1" customWidth="1"/>
    <col min="8" max="8" width="12.7109375" style="158" bestFit="1" customWidth="1"/>
    <col min="9" max="9" width="8.7109375" style="101" customWidth="1"/>
    <col min="10" max="16384" width="8.7109375" style="101"/>
  </cols>
  <sheetData>
    <row r="1" spans="1:8">
      <c r="A1" s="255" t="str">
        <f>BS!B2</f>
        <v>[NAME OF THE COMPANY]</v>
      </c>
      <c r="B1" s="147"/>
    </row>
    <row r="2" spans="1:8">
      <c r="A2" s="255"/>
      <c r="B2" s="147"/>
    </row>
    <row r="3" spans="1:8" ht="13.9" customHeight="1">
      <c r="H3" s="419" t="str">
        <f>+BS!E5</f>
        <v>(Amount in Rs. `000)</v>
      </c>
    </row>
    <row r="4" spans="1:8" s="52" customFormat="1" ht="24" customHeight="1">
      <c r="A4" s="1080" t="s">
        <v>1066</v>
      </c>
      <c r="B4" s="1080" t="s">
        <v>1070</v>
      </c>
      <c r="C4" s="1076" t="s">
        <v>381</v>
      </c>
      <c r="D4" s="1078" t="s">
        <v>1067</v>
      </c>
      <c r="E4" s="1079"/>
      <c r="F4" s="1076" t="s">
        <v>251</v>
      </c>
      <c r="G4" s="1076" t="s">
        <v>382</v>
      </c>
      <c r="H4" s="1076" t="s">
        <v>383</v>
      </c>
    </row>
    <row r="5" spans="1:8" s="52" customFormat="1" ht="29.25" customHeight="1">
      <c r="A5" s="1081"/>
      <c r="B5" s="1081"/>
      <c r="C5" s="1077"/>
      <c r="D5" s="523" t="s">
        <v>1068</v>
      </c>
      <c r="E5" s="523" t="s">
        <v>1069</v>
      </c>
      <c r="F5" s="1077"/>
      <c r="G5" s="1077"/>
      <c r="H5" s="1077"/>
    </row>
    <row r="6" spans="1:8">
      <c r="A6" s="649" t="s">
        <v>962</v>
      </c>
      <c r="B6" s="525">
        <v>0.4</v>
      </c>
      <c r="C6" s="526">
        <v>0</v>
      </c>
      <c r="D6" s="527">
        <v>0</v>
      </c>
      <c r="E6" s="526">
        <v>0</v>
      </c>
      <c r="F6" s="527">
        <f>+C6+D6+E6</f>
        <v>0</v>
      </c>
      <c r="G6" s="528">
        <f>ROUND(((C6+D6)*B6)+(E6*B6/2),1)</f>
        <v>0</v>
      </c>
      <c r="H6" s="527">
        <f>F6-G6</f>
        <v>0</v>
      </c>
    </row>
    <row r="7" spans="1:8">
      <c r="A7" s="257" t="s">
        <v>293</v>
      </c>
      <c r="B7" s="259">
        <v>0.4</v>
      </c>
      <c r="C7" s="529">
        <v>0</v>
      </c>
      <c r="D7" s="258">
        <v>0</v>
      </c>
      <c r="E7" s="529">
        <v>0</v>
      </c>
      <c r="F7" s="258">
        <f>+C7+D7+E7</f>
        <v>0</v>
      </c>
      <c r="G7" s="530">
        <f>ROUND(((C7+D7)*B7)+(E7*B7/2),1)</f>
        <v>0</v>
      </c>
      <c r="H7" s="258">
        <f>F7-G7</f>
        <v>0</v>
      </c>
    </row>
    <row r="8" spans="1:8">
      <c r="A8" s="257" t="s">
        <v>966</v>
      </c>
      <c r="B8" s="259">
        <v>0.15</v>
      </c>
      <c r="C8" s="529">
        <v>0</v>
      </c>
      <c r="D8" s="258">
        <v>0</v>
      </c>
      <c r="E8" s="529">
        <v>0</v>
      </c>
      <c r="F8" s="258">
        <f t="shared" ref="F8:F9" si="0">+C8+D8+E8</f>
        <v>0</v>
      </c>
      <c r="G8" s="530">
        <f t="shared" ref="G8:G9" si="1">ROUND(((C8+D8)*B8)+(E8*B8/2),1)</f>
        <v>0</v>
      </c>
      <c r="H8" s="258">
        <f t="shared" ref="H8:H9" si="2">F8-G8</f>
        <v>0</v>
      </c>
    </row>
    <row r="9" spans="1:8">
      <c r="A9" s="257" t="s">
        <v>294</v>
      </c>
      <c r="B9" s="259">
        <v>0.15</v>
      </c>
      <c r="C9" s="529">
        <v>0</v>
      </c>
      <c r="D9" s="258">
        <v>0</v>
      </c>
      <c r="E9" s="529">
        <v>0</v>
      </c>
      <c r="F9" s="258">
        <f t="shared" si="0"/>
        <v>0</v>
      </c>
      <c r="G9" s="530">
        <f t="shared" si="1"/>
        <v>0</v>
      </c>
      <c r="H9" s="258">
        <f t="shared" si="2"/>
        <v>0</v>
      </c>
    </row>
    <row r="10" spans="1:8">
      <c r="A10" s="257" t="s">
        <v>295</v>
      </c>
      <c r="B10" s="259">
        <v>0.1</v>
      </c>
      <c r="C10" s="529">
        <v>0</v>
      </c>
      <c r="D10" s="258">
        <v>0</v>
      </c>
      <c r="E10" s="529">
        <v>0</v>
      </c>
      <c r="F10" s="258">
        <f t="shared" ref="F10:F12" si="3">+C10+D10+E10</f>
        <v>0</v>
      </c>
      <c r="G10" s="530">
        <f>ROUND(((C10+D10)*B10)+(E10*B10/2),1)</f>
        <v>0</v>
      </c>
      <c r="H10" s="258">
        <f>F10-G10</f>
        <v>0</v>
      </c>
    </row>
    <row r="11" spans="1:8">
      <c r="A11" s="257" t="s">
        <v>296</v>
      </c>
      <c r="B11" s="259">
        <v>0.15</v>
      </c>
      <c r="C11" s="529">
        <v>0</v>
      </c>
      <c r="D11" s="258">
        <v>0</v>
      </c>
      <c r="E11" s="529">
        <v>0</v>
      </c>
      <c r="F11" s="258">
        <f t="shared" si="3"/>
        <v>0</v>
      </c>
      <c r="G11" s="530">
        <f>ROUND(((C11+D11)*B11)+(E11*B11/2),1)</f>
        <v>0</v>
      </c>
      <c r="H11" s="258">
        <f>F11-G11</f>
        <v>0</v>
      </c>
    </row>
    <row r="12" spans="1:8">
      <c r="A12" s="650" t="s">
        <v>967</v>
      </c>
      <c r="B12" s="259">
        <v>0.25</v>
      </c>
      <c r="C12" s="529">
        <v>0</v>
      </c>
      <c r="D12" s="258">
        <v>0</v>
      </c>
      <c r="E12" s="529">
        <v>0</v>
      </c>
      <c r="F12" s="258">
        <f t="shared" si="3"/>
        <v>0</v>
      </c>
      <c r="G12" s="530">
        <f>ROUND(((C12+D12)*B12)+(E12*B12/2),1)</f>
        <v>0</v>
      </c>
      <c r="H12" s="258">
        <f>F12-G12</f>
        <v>0</v>
      </c>
    </row>
    <row r="13" spans="1:8" ht="13.9" customHeight="1">
      <c r="A13" s="159"/>
      <c r="B13" s="159"/>
      <c r="C13" s="531"/>
      <c r="D13" s="532"/>
      <c r="E13" s="531"/>
      <c r="F13" s="532"/>
      <c r="G13" s="531"/>
      <c r="H13" s="532"/>
    </row>
    <row r="14" spans="1:8" ht="13.9" customHeight="1" thickBot="1">
      <c r="A14" s="238" t="s">
        <v>251</v>
      </c>
      <c r="B14" s="524"/>
      <c r="C14" s="428">
        <f t="shared" ref="C14:H14" si="4">SUM(C6:C13)</f>
        <v>0</v>
      </c>
      <c r="D14" s="428">
        <f t="shared" si="4"/>
        <v>0</v>
      </c>
      <c r="E14" s="428">
        <f t="shared" si="4"/>
        <v>0</v>
      </c>
      <c r="F14" s="428">
        <f t="shared" si="4"/>
        <v>0</v>
      </c>
      <c r="G14" s="428">
        <f t="shared" si="4"/>
        <v>0</v>
      </c>
      <c r="H14" s="428">
        <f t="shared" si="4"/>
        <v>0</v>
      </c>
    </row>
    <row r="15" spans="1:8" ht="13.9" customHeight="1" thickTop="1">
      <c r="C15" s="157"/>
      <c r="D15" s="157"/>
      <c r="E15" s="157"/>
      <c r="F15" s="157"/>
      <c r="G15" s="157"/>
      <c r="H15" s="157"/>
    </row>
  </sheetData>
  <mergeCells count="7">
    <mergeCell ref="H4:H5"/>
    <mergeCell ref="D4:E4"/>
    <mergeCell ref="A4:A5"/>
    <mergeCell ref="B4:B5"/>
    <mergeCell ref="C4:C5"/>
    <mergeCell ref="F4:F5"/>
    <mergeCell ref="G4:G5"/>
  </mergeCells>
  <printOptions horizontalCentered="1"/>
  <pageMargins left="0.35" right="0.35" top="0.55000000000000004" bottom="0.55000000000000004" header="0.2" footer="0.2"/>
  <pageSetup paperSize="9" scale="84" fitToHeight="0" orientation="landscape"/>
  <headerFooter>
    <oddFooter>&amp;LCAFlow template&amp;RPage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F31"/>
  <sheetViews>
    <sheetView showGridLines="0" zoomScaleNormal="100" zoomScaleSheetLayoutView="160" workbookViewId="0">
      <selection activeCell="E11" sqref="E11"/>
    </sheetView>
  </sheetViews>
  <sheetFormatPr defaultColWidth="8.7109375" defaultRowHeight="15"/>
  <cols>
    <col min="1" max="1" width="23.7109375" style="160" bestFit="1" customWidth="1"/>
    <col min="2" max="2" width="8.7109375" style="160" customWidth="1"/>
    <col min="3" max="3" width="12.5703125" style="161" bestFit="1" customWidth="1"/>
    <col min="4" max="4" width="11.28515625" style="160" bestFit="1" customWidth="1"/>
    <col min="5" max="5" width="12.5703125" style="160" customWidth="1"/>
    <col min="6" max="7" width="14.42578125" style="160" bestFit="1" customWidth="1"/>
    <col min="8" max="8" width="8.7109375" style="160" customWidth="1"/>
    <col min="9" max="16384" width="8.7109375" style="160"/>
  </cols>
  <sheetData>
    <row r="1" spans="1:5">
      <c r="A1" s="255" t="str">
        <f>BS!B2</f>
        <v>[NAME OF THE COMPANY]</v>
      </c>
    </row>
    <row r="2" spans="1:5">
      <c r="A2" s="255"/>
    </row>
    <row r="3" spans="1:5">
      <c r="A3" s="147"/>
    </row>
    <row r="4" spans="1:5" ht="15.75">
      <c r="A4" s="533" t="s">
        <v>1126</v>
      </c>
      <c r="B4" s="163"/>
      <c r="C4" s="163"/>
      <c r="D4" s="163"/>
      <c r="E4" s="163"/>
    </row>
    <row r="5" spans="1:5" ht="28.5" customHeight="1">
      <c r="A5" s="914" t="s">
        <v>110</v>
      </c>
      <c r="B5" s="915"/>
      <c r="C5" s="915"/>
      <c r="D5" s="915"/>
      <c r="E5" s="687" t="str">
        <f>+BS!E5</f>
        <v>(Amount in Rs. `000)</v>
      </c>
    </row>
    <row r="6" spans="1:5">
      <c r="A6" s="164"/>
      <c r="B6" s="163"/>
      <c r="C6" s="163"/>
      <c r="D6" s="165"/>
      <c r="E6" s="166"/>
    </row>
    <row r="7" spans="1:5">
      <c r="A7" s="534" t="s">
        <v>384</v>
      </c>
      <c r="B7" s="163"/>
      <c r="C7" s="163"/>
      <c r="D7" s="165"/>
      <c r="E7" s="166"/>
    </row>
    <row r="8" spans="1:5">
      <c r="A8" s="164"/>
      <c r="B8" s="163"/>
      <c r="C8" s="163"/>
      <c r="D8" s="165"/>
      <c r="E8" s="167"/>
    </row>
    <row r="9" spans="1:5">
      <c r="A9" s="265" t="s">
        <v>385</v>
      </c>
      <c r="B9" s="163"/>
      <c r="C9" s="163"/>
      <c r="D9" s="165"/>
      <c r="E9" s="260">
        <f>FA!L22</f>
        <v>0</v>
      </c>
    </row>
    <row r="10" spans="1:5">
      <c r="A10" s="265" t="s">
        <v>386</v>
      </c>
      <c r="B10" s="163"/>
      <c r="C10" s="163"/>
      <c r="D10" s="165"/>
      <c r="E10" s="260">
        <f>'FA - IT Act'!H14</f>
        <v>0</v>
      </c>
    </row>
    <row r="11" spans="1:5">
      <c r="A11" s="168"/>
      <c r="B11" s="163"/>
      <c r="C11" s="163"/>
      <c r="D11" s="165"/>
      <c r="E11" s="261">
        <f>E10-E9</f>
        <v>0</v>
      </c>
    </row>
    <row r="12" spans="1:5">
      <c r="A12" s="265" t="s">
        <v>387</v>
      </c>
      <c r="B12" s="163"/>
      <c r="C12" s="163"/>
      <c r="D12" s="165"/>
      <c r="E12" s="262">
        <v>0</v>
      </c>
    </row>
    <row r="13" spans="1:5">
      <c r="A13" s="168"/>
      <c r="B13" s="163"/>
      <c r="C13" s="163"/>
      <c r="D13" s="165"/>
      <c r="E13" s="169"/>
    </row>
    <row r="14" spans="1:5">
      <c r="A14" s="263" t="s">
        <v>388</v>
      </c>
      <c r="B14" s="162"/>
      <c r="C14" s="162"/>
      <c r="D14" s="170"/>
      <c r="E14" s="264">
        <f>SUM(E11:E13)</f>
        <v>0</v>
      </c>
    </row>
    <row r="15" spans="1:5">
      <c r="A15" s="265" t="s">
        <v>389</v>
      </c>
      <c r="B15" s="163"/>
      <c r="C15" s="163"/>
      <c r="D15" s="170"/>
      <c r="E15" s="262">
        <f>E14*22%*1.1*1.04</f>
        <v>0</v>
      </c>
    </row>
    <row r="16" spans="1:5">
      <c r="A16" s="263" t="s">
        <v>390</v>
      </c>
      <c r="B16" s="162"/>
      <c r="C16" s="162"/>
      <c r="D16" s="170"/>
      <c r="E16" s="264">
        <f>E15</f>
        <v>0</v>
      </c>
    </row>
    <row r="17" spans="1:6">
      <c r="A17" s="168"/>
      <c r="B17" s="163"/>
      <c r="C17" s="163"/>
      <c r="D17" s="171"/>
      <c r="E17" s="169"/>
    </row>
    <row r="18" spans="1:6">
      <c r="A18" s="265" t="s">
        <v>391</v>
      </c>
      <c r="B18" s="163"/>
      <c r="C18" s="163"/>
      <c r="D18" s="165"/>
      <c r="E18" s="264">
        <f>BS!F19</f>
        <v>0</v>
      </c>
    </row>
    <row r="19" spans="1:6">
      <c r="A19" s="535" t="s">
        <v>392</v>
      </c>
      <c r="B19" s="172"/>
      <c r="C19" s="172"/>
      <c r="D19" s="173"/>
      <c r="E19" s="266">
        <f>E16-E18</f>
        <v>0</v>
      </c>
    </row>
    <row r="20" spans="1:6" hidden="1">
      <c r="A20" s="147"/>
    </row>
    <row r="21" spans="1:6" hidden="1">
      <c r="A21" s="174"/>
      <c r="B21" s="174"/>
      <c r="F21" s="175"/>
    </row>
    <row r="22" spans="1:6" hidden="1">
      <c r="A22" s="174"/>
      <c r="B22" s="174"/>
      <c r="F22" s="161"/>
    </row>
    <row r="23" spans="1:6" hidden="1">
      <c r="A23" s="174"/>
      <c r="B23" s="174"/>
      <c r="F23" s="161"/>
    </row>
    <row r="24" spans="1:6" hidden="1">
      <c r="A24" s="174"/>
      <c r="B24" s="174"/>
      <c r="F24" s="161"/>
    </row>
    <row r="25" spans="1:6" hidden="1">
      <c r="A25" s="174"/>
      <c r="B25" s="174"/>
      <c r="F25" s="161"/>
    </row>
    <row r="26" spans="1:6" hidden="1">
      <c r="A26" s="174"/>
      <c r="B26" s="174"/>
      <c r="F26" s="161"/>
    </row>
    <row r="27" spans="1:6" hidden="1">
      <c r="A27" s="176"/>
      <c r="B27" s="176"/>
      <c r="F27" s="177"/>
    </row>
    <row r="28" spans="1:6" hidden="1">
      <c r="A28" s="174"/>
      <c r="B28" s="174"/>
      <c r="F28" s="161"/>
    </row>
    <row r="29" spans="1:6" hidden="1">
      <c r="F29" s="161"/>
    </row>
    <row r="30" spans="1:6" hidden="1">
      <c r="F30" s="161"/>
    </row>
    <row r="31" spans="1:6" hidden="1">
      <c r="F31" s="161"/>
    </row>
  </sheetData>
  <mergeCells count="1">
    <mergeCell ref="A5:D5"/>
  </mergeCells>
  <printOptions horizontalCentered="1"/>
  <pageMargins left="0.35" right="0.35" top="0.55000000000000004" bottom="0.55000000000000004" header="0.2" footer="0.2"/>
  <pageSetup paperSize="9" fitToHeight="0" orientation="portrait"/>
  <headerFooter>
    <oddFooter>&amp;LCAFlow template&amp;RPage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
  <sheetViews>
    <sheetView workbookViewId="0"/>
  </sheetViews>
  <sheetFormatPr defaultRowHeight="1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pageSetUpPr fitToPage="1"/>
  </sheetPr>
  <dimension ref="A1:H29"/>
  <sheetViews>
    <sheetView showGridLines="0" workbookViewId="0">
      <selection sqref="A1:D1"/>
    </sheetView>
  </sheetViews>
  <sheetFormatPr defaultRowHeight="15"/>
  <cols>
    <col min="1" max="1" width="3" customWidth="1"/>
    <col min="2" max="7" width="18" customWidth="1"/>
    <col min="8" max="8" width="3" customWidth="1"/>
  </cols>
  <sheetData>
    <row r="1" spans="1:8" ht="28.15" customHeight="1">
      <c r="A1" s="899" t="s">
        <v>393</v>
      </c>
      <c r="B1" s="898"/>
      <c r="C1" s="898"/>
      <c r="D1" s="898"/>
      <c r="E1" s="898"/>
      <c r="F1" s="898"/>
      <c r="G1" s="898"/>
      <c r="H1" s="898"/>
    </row>
    <row r="2" spans="1:8" ht="19.899999999999999" customHeight="1">
      <c r="A2" s="897" t="s">
        <v>394</v>
      </c>
      <c r="B2" s="898"/>
      <c r="C2" s="898"/>
      <c r="D2" s="898"/>
      <c r="E2" s="898"/>
      <c r="F2" s="898"/>
      <c r="G2" s="898"/>
      <c r="H2" s="898"/>
    </row>
    <row r="3" spans="1:8" ht="4.9000000000000004" customHeight="1">
      <c r="A3" s="1086"/>
      <c r="B3" s="1087"/>
      <c r="C3" s="1087"/>
      <c r="D3" s="1087"/>
      <c r="E3" s="1087"/>
      <c r="F3" s="1087"/>
      <c r="G3" s="1087"/>
      <c r="H3" s="1087"/>
    </row>
    <row r="4" spans="1:8" ht="25.9" customHeight="1">
      <c r="B4" s="1088" t="s">
        <v>395</v>
      </c>
      <c r="C4" s="1089"/>
      <c r="D4" s="1089"/>
      <c r="E4" s="1089"/>
      <c r="F4" s="1089"/>
      <c r="G4" s="1089"/>
    </row>
    <row r="6" spans="1:8" ht="22.15" customHeight="1">
      <c r="B6" s="1084" t="s">
        <v>396</v>
      </c>
      <c r="C6" s="1085"/>
      <c r="D6" s="1085"/>
      <c r="E6" s="1085"/>
      <c r="F6" s="1085"/>
      <c r="G6" s="1085"/>
    </row>
    <row r="7" spans="1:8" ht="117" customHeight="1">
      <c r="B7" s="1082" t="s">
        <v>397</v>
      </c>
      <c r="C7" s="1083"/>
      <c r="D7" s="1083"/>
      <c r="E7" s="1083"/>
      <c r="F7" s="1083"/>
      <c r="G7" s="1083"/>
    </row>
    <row r="9" spans="1:8" ht="22.15" customHeight="1">
      <c r="B9" s="1084" t="s">
        <v>398</v>
      </c>
      <c r="C9" s="1085"/>
      <c r="D9" s="1085"/>
      <c r="E9" s="1085"/>
      <c r="F9" s="1085"/>
      <c r="G9" s="1085"/>
    </row>
    <row r="10" spans="1:8" ht="103.9" customHeight="1">
      <c r="B10" s="1082" t="s">
        <v>399</v>
      </c>
      <c r="C10" s="1083"/>
      <c r="D10" s="1083"/>
      <c r="E10" s="1083"/>
      <c r="F10" s="1083"/>
      <c r="G10" s="1083"/>
    </row>
    <row r="12" spans="1:8" ht="22.15" customHeight="1">
      <c r="B12" s="1084" t="s">
        <v>400</v>
      </c>
      <c r="C12" s="1085"/>
      <c r="D12" s="1085"/>
      <c r="E12" s="1085"/>
      <c r="F12" s="1085"/>
      <c r="G12" s="1085"/>
    </row>
    <row r="13" spans="1:8" ht="52.15" customHeight="1">
      <c r="B13" s="1082" t="s">
        <v>401</v>
      </c>
      <c r="C13" s="1083"/>
      <c r="D13" s="1083"/>
      <c r="E13" s="1083"/>
      <c r="F13" s="1083"/>
      <c r="G13" s="1083"/>
    </row>
    <row r="15" spans="1:8" ht="22.15" customHeight="1">
      <c r="B15" s="1084" t="s">
        <v>402</v>
      </c>
      <c r="C15" s="1085"/>
      <c r="D15" s="1085"/>
      <c r="E15" s="1085"/>
      <c r="F15" s="1085"/>
      <c r="G15" s="1085"/>
    </row>
    <row r="16" spans="1:8" ht="103.9" customHeight="1">
      <c r="B16" s="1082" t="s">
        <v>403</v>
      </c>
      <c r="C16" s="1083"/>
      <c r="D16" s="1083"/>
      <c r="E16" s="1083"/>
      <c r="F16" s="1083"/>
      <c r="G16" s="1083"/>
    </row>
    <row r="18" spans="2:7" ht="22.15" customHeight="1">
      <c r="B18" s="1084" t="s">
        <v>404</v>
      </c>
      <c r="C18" s="1085"/>
      <c r="D18" s="1085"/>
      <c r="E18" s="1085"/>
      <c r="F18" s="1085"/>
      <c r="G18" s="1085"/>
    </row>
    <row r="19" spans="2:7" ht="117" customHeight="1">
      <c r="B19" s="1082" t="s">
        <v>405</v>
      </c>
      <c r="C19" s="1083"/>
      <c r="D19" s="1083"/>
      <c r="E19" s="1083"/>
      <c r="F19" s="1083"/>
      <c r="G19" s="1083"/>
    </row>
    <row r="21" spans="2:7" ht="22.15" customHeight="1">
      <c r="B21" s="1084" t="s">
        <v>406</v>
      </c>
      <c r="C21" s="1085"/>
      <c r="D21" s="1085"/>
      <c r="E21" s="1085"/>
      <c r="F21" s="1085"/>
      <c r="G21" s="1085"/>
    </row>
    <row r="22" spans="2:7" ht="103.9" customHeight="1">
      <c r="B22" s="1082" t="s">
        <v>407</v>
      </c>
      <c r="C22" s="1083"/>
      <c r="D22" s="1083"/>
      <c r="E22" s="1083"/>
      <c r="F22" s="1083"/>
      <c r="G22" s="1083"/>
    </row>
    <row r="24" spans="2:7" ht="22.15" customHeight="1">
      <c r="B24" s="1084" t="s">
        <v>408</v>
      </c>
      <c r="C24" s="1085"/>
      <c r="D24" s="1085"/>
      <c r="E24" s="1085"/>
      <c r="F24" s="1085"/>
      <c r="G24" s="1085"/>
    </row>
    <row r="25" spans="2:7" ht="325.14999999999998" customHeight="1">
      <c r="B25" s="1082" t="s">
        <v>409</v>
      </c>
      <c r="C25" s="1083"/>
      <c r="D25" s="1083"/>
      <c r="E25" s="1083"/>
      <c r="F25" s="1083"/>
      <c r="G25" s="1083"/>
    </row>
    <row r="27" spans="2:7" ht="109.9" customHeight="1">
      <c r="B27" s="1090" t="s">
        <v>410</v>
      </c>
      <c r="C27" s="1089"/>
      <c r="D27" s="1089"/>
      <c r="E27" s="1089"/>
      <c r="F27" s="1089"/>
      <c r="G27" s="1089"/>
    </row>
    <row r="29" spans="2:7" ht="25.9" customHeight="1">
      <c r="B29" s="900" t="s">
        <v>411</v>
      </c>
      <c r="C29" s="901"/>
      <c r="D29" s="901"/>
      <c r="E29" s="901"/>
      <c r="F29" s="901"/>
      <c r="G29" s="901"/>
    </row>
  </sheetData>
  <mergeCells count="20">
    <mergeCell ref="B29:G29"/>
    <mergeCell ref="B19:G19"/>
    <mergeCell ref="B10:G10"/>
    <mergeCell ref="B9:G9"/>
    <mergeCell ref="B15:G15"/>
    <mergeCell ref="B24:G24"/>
    <mergeCell ref="B25:G25"/>
    <mergeCell ref="B16:G16"/>
    <mergeCell ref="B22:G22"/>
    <mergeCell ref="B27:G27"/>
    <mergeCell ref="B12:G12"/>
    <mergeCell ref="B18:G18"/>
    <mergeCell ref="B21:G21"/>
    <mergeCell ref="B13:G13"/>
    <mergeCell ref="B7:G7"/>
    <mergeCell ref="A1:H1"/>
    <mergeCell ref="B6:G6"/>
    <mergeCell ref="A3:H3"/>
    <mergeCell ref="A2:H2"/>
    <mergeCell ref="B4:G4"/>
  </mergeCells>
  <printOptions horizontalCentered="1"/>
  <pageMargins left="0.35" right="0.35" top="0.55000000000000004" bottom="0.55000000000000004" header="0.2" footer="0.2"/>
  <pageSetup paperSize="9" fitToHeight="0" orientation="portrait"/>
  <headerFooter>
    <oddFooter>&amp;LCAFlow template&amp;RPage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pageSetUpPr fitToPage="1"/>
  </sheetPr>
  <dimension ref="A1:H26"/>
  <sheetViews>
    <sheetView showGridLines="0" workbookViewId="0">
      <selection sqref="A1:D1"/>
    </sheetView>
  </sheetViews>
  <sheetFormatPr defaultRowHeight="15"/>
  <cols>
    <col min="1" max="1" width="6" customWidth="1"/>
    <col min="2" max="2" width="12" customWidth="1"/>
    <col min="3" max="3" width="28" customWidth="1"/>
    <col min="4" max="4" width="62" customWidth="1"/>
    <col min="5" max="5" width="18" customWidth="1"/>
  </cols>
  <sheetData>
    <row r="1" spans="1:8" ht="28.15" customHeight="1">
      <c r="A1" s="899" t="s">
        <v>412</v>
      </c>
      <c r="B1" s="898"/>
      <c r="C1" s="898"/>
      <c r="D1" s="898"/>
      <c r="E1" s="898"/>
    </row>
    <row r="2" spans="1:8" ht="19.899999999999999" customHeight="1">
      <c r="A2" s="897" t="s">
        <v>413</v>
      </c>
      <c r="B2" s="898"/>
      <c r="C2" s="898"/>
      <c r="D2" s="898"/>
      <c r="E2" s="898"/>
      <c r="H2">
        <v>31</v>
      </c>
    </row>
    <row r="3" spans="1:8" ht="4.9000000000000004" customHeight="1">
      <c r="A3" s="1086"/>
      <c r="B3" s="1087"/>
      <c r="C3" s="1087"/>
      <c r="D3" s="1087"/>
      <c r="E3" s="1087"/>
    </row>
    <row r="4" spans="1:8">
      <c r="A4" s="184" t="s">
        <v>414</v>
      </c>
      <c r="B4" s="184" t="s">
        <v>415</v>
      </c>
      <c r="C4" s="184" t="s">
        <v>416</v>
      </c>
      <c r="D4" s="184" t="s">
        <v>417</v>
      </c>
      <c r="E4" s="184" t="s">
        <v>418</v>
      </c>
    </row>
    <row r="5" spans="1:8" ht="28.15" customHeight="1">
      <c r="A5" s="185">
        <v>1</v>
      </c>
      <c r="B5" s="267" t="s">
        <v>419</v>
      </c>
      <c r="C5" s="180" t="s">
        <v>420</v>
      </c>
      <c r="D5" s="182" t="s">
        <v>421</v>
      </c>
      <c r="E5" s="268" t="s">
        <v>422</v>
      </c>
    </row>
    <row r="6" spans="1:8" ht="39" customHeight="1">
      <c r="A6" s="185">
        <v>2</v>
      </c>
      <c r="B6" s="267" t="s">
        <v>423</v>
      </c>
      <c r="C6" s="180" t="s">
        <v>424</v>
      </c>
      <c r="D6" s="182" t="s">
        <v>425</v>
      </c>
      <c r="E6" s="268" t="s">
        <v>422</v>
      </c>
    </row>
    <row r="7" spans="1:8" ht="28.15" customHeight="1">
      <c r="A7" s="185">
        <v>3</v>
      </c>
      <c r="B7" s="267" t="s">
        <v>426</v>
      </c>
      <c r="C7" s="180" t="s">
        <v>427</v>
      </c>
      <c r="D7" s="182" t="s">
        <v>428</v>
      </c>
      <c r="E7" s="268" t="s">
        <v>422</v>
      </c>
    </row>
    <row r="8" spans="1:8" ht="28.15" customHeight="1">
      <c r="A8" s="185">
        <v>4</v>
      </c>
      <c r="B8" s="267" t="s">
        <v>429</v>
      </c>
      <c r="C8" s="180" t="s">
        <v>430</v>
      </c>
      <c r="D8" s="182" t="s">
        <v>431</v>
      </c>
      <c r="E8" s="268" t="s">
        <v>422</v>
      </c>
    </row>
    <row r="9" spans="1:8" ht="28.15" customHeight="1">
      <c r="A9" s="185">
        <v>5</v>
      </c>
      <c r="B9" s="267" t="s">
        <v>432</v>
      </c>
      <c r="C9" s="180" t="s">
        <v>433</v>
      </c>
      <c r="D9" s="182" t="s">
        <v>434</v>
      </c>
      <c r="E9" s="268" t="s">
        <v>422</v>
      </c>
    </row>
    <row r="10" spans="1:8" ht="28.15" customHeight="1">
      <c r="A10" s="185">
        <v>6</v>
      </c>
      <c r="B10" s="267" t="s">
        <v>435</v>
      </c>
      <c r="C10" s="180" t="s">
        <v>436</v>
      </c>
      <c r="D10" s="182" t="s">
        <v>437</v>
      </c>
      <c r="E10" s="268" t="s">
        <v>422</v>
      </c>
    </row>
    <row r="11" spans="1:8" ht="28.15" customHeight="1">
      <c r="A11" s="185">
        <v>7</v>
      </c>
      <c r="B11" s="267" t="s">
        <v>438</v>
      </c>
      <c r="C11" s="180" t="s">
        <v>439</v>
      </c>
      <c r="D11" s="182" t="s">
        <v>440</v>
      </c>
      <c r="E11" s="268" t="s">
        <v>422</v>
      </c>
    </row>
    <row r="12" spans="1:8" ht="39" customHeight="1">
      <c r="A12" s="185">
        <v>8</v>
      </c>
      <c r="B12" s="267" t="s">
        <v>441</v>
      </c>
      <c r="C12" s="180" t="s">
        <v>442</v>
      </c>
      <c r="D12" s="182" t="s">
        <v>443</v>
      </c>
      <c r="E12" s="268" t="s">
        <v>422</v>
      </c>
    </row>
    <row r="13" spans="1:8" ht="39" customHeight="1">
      <c r="A13" s="185">
        <v>9</v>
      </c>
      <c r="B13" s="267" t="s">
        <v>444</v>
      </c>
      <c r="C13" s="180" t="s">
        <v>445</v>
      </c>
      <c r="D13" s="182" t="s">
        <v>446</v>
      </c>
      <c r="E13" s="268" t="s">
        <v>422</v>
      </c>
    </row>
    <row r="14" spans="1:8" ht="28.15" customHeight="1">
      <c r="A14" s="185">
        <v>10</v>
      </c>
      <c r="B14" s="267" t="s">
        <v>447</v>
      </c>
      <c r="C14" s="180" t="s">
        <v>448</v>
      </c>
      <c r="D14" s="182" t="s">
        <v>449</v>
      </c>
      <c r="E14" s="268" t="s">
        <v>422</v>
      </c>
    </row>
    <row r="15" spans="1:8" ht="28.15" customHeight="1">
      <c r="A15" s="185">
        <v>11</v>
      </c>
      <c r="B15" s="267" t="s">
        <v>450</v>
      </c>
      <c r="C15" s="180" t="s">
        <v>451</v>
      </c>
      <c r="D15" s="182" t="s">
        <v>452</v>
      </c>
      <c r="E15" s="268" t="s">
        <v>422</v>
      </c>
    </row>
    <row r="16" spans="1:8" ht="28.15" customHeight="1">
      <c r="A16" s="185">
        <v>12</v>
      </c>
      <c r="B16" s="267" t="s">
        <v>453</v>
      </c>
      <c r="C16" s="180" t="s">
        <v>454</v>
      </c>
      <c r="D16" s="182" t="s">
        <v>455</v>
      </c>
      <c r="E16" s="268" t="s">
        <v>422</v>
      </c>
    </row>
    <row r="17" spans="1:5" ht="28.15" customHeight="1">
      <c r="A17" s="185">
        <v>13</v>
      </c>
      <c r="B17" s="267" t="s">
        <v>456</v>
      </c>
      <c r="C17" s="180" t="s">
        <v>457</v>
      </c>
      <c r="D17" s="182" t="s">
        <v>458</v>
      </c>
      <c r="E17" s="268" t="s">
        <v>422</v>
      </c>
    </row>
    <row r="18" spans="1:5" ht="28.15" customHeight="1">
      <c r="A18" s="185">
        <v>14</v>
      </c>
      <c r="B18" s="267" t="s">
        <v>459</v>
      </c>
      <c r="C18" s="180" t="s">
        <v>460</v>
      </c>
      <c r="D18" s="182" t="s">
        <v>461</v>
      </c>
      <c r="E18" s="268" t="s">
        <v>422</v>
      </c>
    </row>
    <row r="19" spans="1:5" ht="28.15" customHeight="1">
      <c r="A19" s="185">
        <v>15</v>
      </c>
      <c r="B19" s="267" t="s">
        <v>462</v>
      </c>
      <c r="C19" s="180" t="s">
        <v>463</v>
      </c>
      <c r="D19" s="182" t="s">
        <v>464</v>
      </c>
      <c r="E19" s="268" t="s">
        <v>422</v>
      </c>
    </row>
    <row r="20" spans="1:5" ht="28.15" customHeight="1">
      <c r="A20" s="185">
        <v>16</v>
      </c>
      <c r="B20" s="267" t="s">
        <v>465</v>
      </c>
      <c r="C20" s="180" t="s">
        <v>466</v>
      </c>
      <c r="D20" s="182" t="s">
        <v>467</v>
      </c>
      <c r="E20" s="268" t="s">
        <v>422</v>
      </c>
    </row>
    <row r="21" spans="1:5" ht="28.15" customHeight="1">
      <c r="A21" s="185">
        <v>17</v>
      </c>
      <c r="B21" s="267" t="s">
        <v>468</v>
      </c>
      <c r="C21" s="180" t="s">
        <v>469</v>
      </c>
      <c r="D21" s="182" t="s">
        <v>470</v>
      </c>
      <c r="E21" s="268" t="s">
        <v>422</v>
      </c>
    </row>
    <row r="22" spans="1:5" ht="28.15" customHeight="1">
      <c r="A22" s="185">
        <v>18</v>
      </c>
      <c r="B22" s="267" t="s">
        <v>471</v>
      </c>
      <c r="C22" s="180" t="s">
        <v>472</v>
      </c>
      <c r="D22" s="182" t="s">
        <v>473</v>
      </c>
      <c r="E22" s="268" t="s">
        <v>422</v>
      </c>
    </row>
    <row r="23" spans="1:5" ht="28.15" customHeight="1">
      <c r="A23" s="185">
        <v>19</v>
      </c>
      <c r="B23" s="267" t="s">
        <v>474</v>
      </c>
      <c r="C23" s="180" t="s">
        <v>475</v>
      </c>
      <c r="D23" s="182" t="s">
        <v>476</v>
      </c>
      <c r="E23" s="268" t="s">
        <v>422</v>
      </c>
    </row>
    <row r="24" spans="1:5" ht="28.15" customHeight="1">
      <c r="A24" s="185">
        <v>20</v>
      </c>
      <c r="B24" s="267" t="s">
        <v>477</v>
      </c>
      <c r="C24" s="180" t="s">
        <v>478</v>
      </c>
      <c r="D24" s="182" t="s">
        <v>479</v>
      </c>
      <c r="E24" s="268" t="s">
        <v>422</v>
      </c>
    </row>
    <row r="26" spans="1:5" ht="39" customHeight="1">
      <c r="A26" s="900" t="s">
        <v>480</v>
      </c>
      <c r="B26" s="901"/>
      <c r="C26" s="901"/>
      <c r="D26" s="901"/>
      <c r="E26" s="901"/>
    </row>
  </sheetData>
  <mergeCells count="4">
    <mergeCell ref="A2:E2"/>
    <mergeCell ref="A1:E1"/>
    <mergeCell ref="A26:E26"/>
    <mergeCell ref="A3:E3"/>
  </mergeCell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0000"/>
    <pageSetUpPr fitToPage="1"/>
  </sheetPr>
  <dimension ref="A1:H26"/>
  <sheetViews>
    <sheetView showGridLines="0" workbookViewId="0">
      <selection sqref="A1:D1"/>
    </sheetView>
  </sheetViews>
  <sheetFormatPr defaultRowHeight="15"/>
  <cols>
    <col min="1" max="1" width="3" customWidth="1"/>
    <col min="2" max="7" width="18" customWidth="1"/>
    <col min="8" max="8" width="3" customWidth="1"/>
  </cols>
  <sheetData>
    <row r="1" spans="1:8" ht="28.15" customHeight="1">
      <c r="A1" s="899" t="s">
        <v>481</v>
      </c>
      <c r="B1" s="898"/>
      <c r="C1" s="898"/>
      <c r="D1" s="898"/>
      <c r="E1" s="898"/>
      <c r="F1" s="898"/>
      <c r="G1" s="898"/>
      <c r="H1" s="898"/>
    </row>
    <row r="2" spans="1:8" ht="19.899999999999999" customHeight="1">
      <c r="A2" s="897" t="s">
        <v>482</v>
      </c>
      <c r="B2" s="898"/>
      <c r="C2" s="898"/>
      <c r="D2" s="898"/>
      <c r="E2" s="898"/>
      <c r="F2" s="898"/>
      <c r="G2" s="898"/>
      <c r="H2" s="898"/>
    </row>
    <row r="3" spans="1:8" ht="4.9000000000000004" customHeight="1">
      <c r="A3" s="1086"/>
      <c r="B3" s="1087"/>
      <c r="C3" s="1087"/>
      <c r="D3" s="1087"/>
      <c r="E3" s="1087"/>
      <c r="F3" s="1087"/>
      <c r="G3" s="1087"/>
      <c r="H3" s="1087"/>
    </row>
    <row r="4" spans="1:8" ht="25.9" customHeight="1">
      <c r="B4" s="1088" t="s">
        <v>395</v>
      </c>
      <c r="C4" s="1089"/>
      <c r="D4" s="1089"/>
      <c r="E4" s="1089"/>
      <c r="F4" s="1089"/>
      <c r="G4" s="1089"/>
    </row>
    <row r="6" spans="1:8" ht="22.15" customHeight="1">
      <c r="B6" s="1084" t="s">
        <v>483</v>
      </c>
      <c r="C6" s="1085"/>
      <c r="D6" s="1085"/>
      <c r="E6" s="1085"/>
      <c r="F6" s="1085"/>
      <c r="G6" s="1085"/>
    </row>
    <row r="7" spans="1:8" ht="39" customHeight="1">
      <c r="B7" s="1082" t="s">
        <v>484</v>
      </c>
      <c r="C7" s="1083"/>
      <c r="D7" s="1083"/>
      <c r="E7" s="1083"/>
      <c r="F7" s="1083"/>
      <c r="G7" s="1083"/>
    </row>
    <row r="9" spans="1:8" ht="22.15" customHeight="1">
      <c r="B9" s="1084" t="s">
        <v>485</v>
      </c>
      <c r="C9" s="1085"/>
      <c r="D9" s="1085"/>
      <c r="E9" s="1085"/>
      <c r="F9" s="1085"/>
      <c r="G9" s="1085"/>
    </row>
    <row r="10" spans="1:8" ht="117" customHeight="1">
      <c r="B10" s="1082" t="s">
        <v>486</v>
      </c>
      <c r="C10" s="1083"/>
      <c r="D10" s="1083"/>
      <c r="E10" s="1083"/>
      <c r="F10" s="1083"/>
      <c r="G10" s="1083"/>
    </row>
    <row r="12" spans="1:8" ht="22.15" customHeight="1">
      <c r="B12" s="1084" t="s">
        <v>487</v>
      </c>
      <c r="C12" s="1085"/>
      <c r="D12" s="1085"/>
      <c r="E12" s="1085"/>
      <c r="F12" s="1085"/>
      <c r="G12" s="1085"/>
    </row>
    <row r="13" spans="1:8" ht="91.15" customHeight="1">
      <c r="B13" s="1082" t="s">
        <v>488</v>
      </c>
      <c r="C13" s="1083"/>
      <c r="D13" s="1083"/>
      <c r="E13" s="1083"/>
      <c r="F13" s="1083"/>
      <c r="G13" s="1083"/>
    </row>
    <row r="15" spans="1:8" ht="22.15" customHeight="1">
      <c r="B15" s="1084" t="s">
        <v>489</v>
      </c>
      <c r="C15" s="1085"/>
      <c r="D15" s="1085"/>
      <c r="E15" s="1085"/>
      <c r="F15" s="1085"/>
      <c r="G15" s="1085"/>
    </row>
    <row r="16" spans="1:8" ht="103.9" customHeight="1">
      <c r="B16" s="1082" t="s">
        <v>490</v>
      </c>
      <c r="C16" s="1083"/>
      <c r="D16" s="1083"/>
      <c r="E16" s="1083"/>
      <c r="F16" s="1083"/>
      <c r="G16" s="1083"/>
    </row>
    <row r="18" spans="2:7" ht="22.15" customHeight="1">
      <c r="B18" s="1084" t="s">
        <v>491</v>
      </c>
      <c r="C18" s="1085"/>
      <c r="D18" s="1085"/>
      <c r="E18" s="1085"/>
      <c r="F18" s="1085"/>
      <c r="G18" s="1085"/>
    </row>
    <row r="19" spans="2:7" ht="78" customHeight="1">
      <c r="B19" s="1082" t="s">
        <v>492</v>
      </c>
      <c r="C19" s="1083"/>
      <c r="D19" s="1083"/>
      <c r="E19" s="1083"/>
      <c r="F19" s="1083"/>
      <c r="G19" s="1083"/>
    </row>
    <row r="21" spans="2:7" ht="22.15" customHeight="1">
      <c r="B21" s="1084" t="s">
        <v>396</v>
      </c>
      <c r="C21" s="1085"/>
      <c r="D21" s="1085"/>
      <c r="E21" s="1085"/>
      <c r="F21" s="1085"/>
      <c r="G21" s="1085"/>
    </row>
    <row r="22" spans="2:7" ht="78" customHeight="1">
      <c r="B22" s="1082" t="s">
        <v>493</v>
      </c>
      <c r="C22" s="1083"/>
      <c r="D22" s="1083"/>
      <c r="E22" s="1083"/>
      <c r="F22" s="1083"/>
      <c r="G22" s="1083"/>
    </row>
    <row r="24" spans="2:7" ht="109.9" customHeight="1">
      <c r="B24" s="1090" t="s">
        <v>410</v>
      </c>
      <c r="C24" s="1089"/>
      <c r="D24" s="1089"/>
      <c r="E24" s="1089"/>
      <c r="F24" s="1089"/>
      <c r="G24" s="1089"/>
    </row>
    <row r="26" spans="2:7" ht="15" customHeight="1">
      <c r="B26" s="900" t="s">
        <v>494</v>
      </c>
      <c r="C26" s="901"/>
      <c r="D26" s="901"/>
      <c r="E26" s="901"/>
      <c r="F26" s="901"/>
      <c r="G26" s="901"/>
    </row>
  </sheetData>
  <mergeCells count="18">
    <mergeCell ref="B26:G26"/>
    <mergeCell ref="B12:G12"/>
    <mergeCell ref="B13:G13"/>
    <mergeCell ref="B24:G24"/>
    <mergeCell ref="B16:G16"/>
    <mergeCell ref="B19:G19"/>
    <mergeCell ref="B22:G22"/>
    <mergeCell ref="A1:H1"/>
    <mergeCell ref="B18:G18"/>
    <mergeCell ref="B21:G21"/>
    <mergeCell ref="B15:G15"/>
    <mergeCell ref="B7:G7"/>
    <mergeCell ref="B6:G6"/>
    <mergeCell ref="A2:H2"/>
    <mergeCell ref="B9:G9"/>
    <mergeCell ref="B4:G4"/>
    <mergeCell ref="A3:H3"/>
    <mergeCell ref="B10:G10"/>
  </mergeCells>
  <printOptions horizontalCentered="1"/>
  <pageMargins left="0.35" right="0.35" top="0.55000000000000004" bottom="0.55000000000000004" header="0.2" footer="0.2"/>
  <pageSetup paperSize="9" fitToHeight="0" orientation="portrait"/>
  <headerFooter>
    <oddFooter>&amp;LCAFlow template&amp;RPage &amp;P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7A8C"/>
    <pageSetUpPr fitToPage="1"/>
  </sheetPr>
  <dimension ref="A1:H14"/>
  <sheetViews>
    <sheetView showGridLines="0" workbookViewId="0">
      <selection sqref="A1:D1"/>
    </sheetView>
  </sheetViews>
  <sheetFormatPr defaultRowHeight="15"/>
  <cols>
    <col min="1" max="1" width="3" customWidth="1"/>
    <col min="2" max="7" width="18" customWidth="1"/>
    <col min="8" max="8" width="3" customWidth="1"/>
  </cols>
  <sheetData>
    <row r="1" spans="1:8" ht="28.15" customHeight="1">
      <c r="A1" s="899" t="s">
        <v>495</v>
      </c>
      <c r="B1" s="898"/>
      <c r="C1" s="898"/>
      <c r="D1" s="898"/>
      <c r="E1" s="898"/>
      <c r="F1" s="898"/>
      <c r="G1" s="898"/>
      <c r="H1" s="898"/>
    </row>
    <row r="2" spans="1:8" ht="19.899999999999999" customHeight="1">
      <c r="A2" s="897" t="s">
        <v>496</v>
      </c>
      <c r="B2" s="898"/>
      <c r="C2" s="898"/>
      <c r="D2" s="898"/>
      <c r="E2" s="898"/>
      <c r="F2" s="898"/>
      <c r="G2" s="898"/>
      <c r="H2" s="898"/>
    </row>
    <row r="3" spans="1:8" ht="4.9000000000000004" customHeight="1">
      <c r="A3" s="1086"/>
      <c r="B3" s="1087"/>
      <c r="C3" s="1087"/>
      <c r="D3" s="1087"/>
      <c r="E3" s="1087"/>
      <c r="F3" s="1087"/>
      <c r="G3" s="1087"/>
      <c r="H3" s="1087"/>
    </row>
    <row r="4" spans="1:8" ht="24" customHeight="1">
      <c r="B4" s="1088" t="s">
        <v>497</v>
      </c>
      <c r="C4" s="1089"/>
      <c r="D4" s="1089"/>
      <c r="E4" s="1089"/>
      <c r="F4" s="1089"/>
      <c r="G4" s="1089"/>
    </row>
    <row r="6" spans="1:8" ht="64.900000000000006" customHeight="1">
      <c r="B6" s="1082" t="s">
        <v>498</v>
      </c>
      <c r="C6" s="1083"/>
      <c r="D6" s="1083"/>
      <c r="E6" s="1083"/>
      <c r="F6" s="1083"/>
      <c r="G6" s="1083"/>
    </row>
    <row r="8" spans="1:8" ht="42" customHeight="1">
      <c r="B8" s="1082" t="s">
        <v>499</v>
      </c>
      <c r="C8" s="1083"/>
      <c r="D8" s="1083"/>
      <c r="E8" s="1083"/>
      <c r="F8" s="1083"/>
      <c r="G8" s="1083"/>
    </row>
    <row r="10" spans="1:8" ht="52.15" customHeight="1">
      <c r="B10" s="1082" t="s">
        <v>500</v>
      </c>
      <c r="C10" s="1083"/>
      <c r="D10" s="1083"/>
      <c r="E10" s="1083"/>
      <c r="F10" s="1083"/>
      <c r="G10" s="1083"/>
    </row>
    <row r="12" spans="1:8" ht="79.900000000000006" customHeight="1">
      <c r="B12" s="1090" t="s">
        <v>501</v>
      </c>
      <c r="C12" s="1089"/>
      <c r="D12" s="1089"/>
      <c r="E12" s="1089"/>
      <c r="F12" s="1089"/>
      <c r="G12" s="1089"/>
    </row>
    <row r="14" spans="1:8" ht="39" customHeight="1">
      <c r="B14" s="900" t="s">
        <v>502</v>
      </c>
      <c r="C14" s="901"/>
      <c r="D14" s="901"/>
      <c r="E14" s="901"/>
      <c r="F14" s="901"/>
      <c r="G14" s="901"/>
    </row>
  </sheetData>
  <mergeCells count="9">
    <mergeCell ref="A1:H1"/>
    <mergeCell ref="B6:G6"/>
    <mergeCell ref="A3:H3"/>
    <mergeCell ref="B10:G10"/>
    <mergeCell ref="B14:G14"/>
    <mergeCell ref="A2:H2"/>
    <mergeCell ref="B8:G8"/>
    <mergeCell ref="B4:G4"/>
    <mergeCell ref="B12:G12"/>
  </mergeCells>
  <printOptions horizontalCentered="1"/>
  <pageMargins left="0.35" right="0.35" top="0.55000000000000004" bottom="0.55000000000000004" header="0.2" footer="0.2"/>
  <pageSetup paperSize="9" fitToHeight="0" orientation="portrait"/>
  <headerFooter>
    <oddFooter>&amp;LCAFlow template&amp;RPage &amp;P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7A8C"/>
    <pageSetUpPr fitToPage="1"/>
  </sheetPr>
  <dimension ref="A1:D15"/>
  <sheetViews>
    <sheetView showGridLines="0" workbookViewId="0">
      <selection sqref="A1:D1"/>
    </sheetView>
  </sheetViews>
  <sheetFormatPr defaultRowHeight="15"/>
  <cols>
    <col min="1" max="1" width="8" customWidth="1"/>
    <col min="2" max="2" width="64" customWidth="1"/>
    <col min="3" max="3" width="42" customWidth="1"/>
    <col min="4" max="4" width="18" customWidth="1"/>
  </cols>
  <sheetData>
    <row r="1" spans="1:4" ht="28.15" customHeight="1">
      <c r="A1" s="899" t="s">
        <v>503</v>
      </c>
      <c r="B1" s="898"/>
      <c r="C1" s="898"/>
      <c r="D1" s="898"/>
    </row>
    <row r="2" spans="1:4" ht="19.899999999999999" customHeight="1">
      <c r="A2" s="897" t="s">
        <v>504</v>
      </c>
      <c r="B2" s="898"/>
      <c r="C2" s="898"/>
      <c r="D2" s="898"/>
    </row>
    <row r="3" spans="1:4" ht="4.9000000000000004" customHeight="1">
      <c r="A3" s="1086"/>
      <c r="B3" s="1087"/>
      <c r="C3" s="1087"/>
      <c r="D3" s="1087"/>
    </row>
    <row r="4" spans="1:4" ht="22.15" customHeight="1">
      <c r="A4" s="184" t="s">
        <v>414</v>
      </c>
      <c r="B4" s="184" t="s">
        <v>110</v>
      </c>
      <c r="C4" s="184" t="s">
        <v>505</v>
      </c>
      <c r="D4" s="184" t="s">
        <v>506</v>
      </c>
    </row>
    <row r="5" spans="1:4" ht="22.15" customHeight="1">
      <c r="A5" s="267" t="s">
        <v>507</v>
      </c>
      <c r="B5" s="181" t="s">
        <v>508</v>
      </c>
      <c r="C5" s="182" t="s">
        <v>509</v>
      </c>
      <c r="D5" s="268"/>
    </row>
    <row r="6" spans="1:4" ht="22.15" customHeight="1">
      <c r="A6" s="267" t="s">
        <v>510</v>
      </c>
      <c r="B6" s="181" t="s">
        <v>511</v>
      </c>
      <c r="C6" s="182" t="s">
        <v>509</v>
      </c>
      <c r="D6" s="268"/>
    </row>
    <row r="7" spans="1:4" ht="22.15" customHeight="1">
      <c r="A7" s="267" t="s">
        <v>512</v>
      </c>
      <c r="B7" s="181" t="s">
        <v>513</v>
      </c>
      <c r="C7" s="182" t="s">
        <v>509</v>
      </c>
      <c r="D7" s="268"/>
    </row>
    <row r="8" spans="1:4" ht="25.9" customHeight="1">
      <c r="A8" s="267" t="s">
        <v>514</v>
      </c>
      <c r="B8" s="181" t="s">
        <v>515</v>
      </c>
      <c r="C8" s="182" t="s">
        <v>509</v>
      </c>
      <c r="D8" s="268"/>
    </row>
    <row r="9" spans="1:4" ht="22.15" customHeight="1">
      <c r="A9" s="267" t="s">
        <v>516</v>
      </c>
      <c r="B9" s="181" t="s">
        <v>517</v>
      </c>
      <c r="C9" s="182" t="s">
        <v>509</v>
      </c>
      <c r="D9" s="268"/>
    </row>
    <row r="10" spans="1:4" ht="22.15" customHeight="1">
      <c r="A10" s="267" t="s">
        <v>518</v>
      </c>
      <c r="B10" s="181" t="s">
        <v>519</v>
      </c>
      <c r="C10" s="182" t="s">
        <v>509</v>
      </c>
      <c r="D10" s="268"/>
    </row>
    <row r="11" spans="1:4" ht="22.15" customHeight="1">
      <c r="A11" s="267" t="s">
        <v>520</v>
      </c>
      <c r="B11" s="181" t="s">
        <v>20</v>
      </c>
      <c r="C11" s="182" t="s">
        <v>509</v>
      </c>
      <c r="D11" s="268"/>
    </row>
    <row r="12" spans="1:4" ht="22.15" customHeight="1">
      <c r="A12" s="267" t="s">
        <v>521</v>
      </c>
      <c r="B12" s="181" t="s">
        <v>522</v>
      </c>
      <c r="C12" s="182" t="s">
        <v>509</v>
      </c>
      <c r="D12" s="268"/>
    </row>
    <row r="13" spans="1:4" ht="25.9" customHeight="1">
      <c r="A13" s="267" t="s">
        <v>523</v>
      </c>
      <c r="B13" s="181" t="s">
        <v>524</v>
      </c>
      <c r="C13" s="182" t="s">
        <v>509</v>
      </c>
      <c r="D13" s="268"/>
    </row>
    <row r="15" spans="1:4" ht="25.9" customHeight="1">
      <c r="A15" s="900" t="s">
        <v>525</v>
      </c>
      <c r="B15" s="901"/>
      <c r="C15" s="901"/>
      <c r="D15" s="901"/>
    </row>
  </sheetData>
  <mergeCells count="4">
    <mergeCell ref="A1:D1"/>
    <mergeCell ref="A3:D3"/>
    <mergeCell ref="A2:D2"/>
    <mergeCell ref="A15:D15"/>
  </mergeCell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7A8C"/>
    <pageSetUpPr fitToPage="1"/>
  </sheetPr>
  <dimension ref="A1:D29"/>
  <sheetViews>
    <sheetView showGridLines="0" workbookViewId="0">
      <selection sqref="A1:D1"/>
    </sheetView>
  </sheetViews>
  <sheetFormatPr defaultRowHeight="15"/>
  <cols>
    <col min="1" max="1" width="8" customWidth="1"/>
    <col min="2" max="2" width="68" customWidth="1"/>
    <col min="3" max="3" width="40" customWidth="1"/>
    <col min="4" max="4" width="24" customWidth="1"/>
  </cols>
  <sheetData>
    <row r="1" spans="1:4" ht="28.15" customHeight="1">
      <c r="A1" s="899" t="s">
        <v>526</v>
      </c>
      <c r="B1" s="898"/>
      <c r="C1" s="898"/>
      <c r="D1" s="898"/>
    </row>
    <row r="2" spans="1:4" ht="19.899999999999999" customHeight="1">
      <c r="A2" s="897" t="s">
        <v>527</v>
      </c>
      <c r="B2" s="898"/>
      <c r="C2" s="898"/>
      <c r="D2" s="898"/>
    </row>
    <row r="3" spans="1:4" ht="4.9000000000000004" customHeight="1">
      <c r="A3" s="1086"/>
      <c r="B3" s="1087"/>
      <c r="C3" s="1087"/>
      <c r="D3" s="1087"/>
    </row>
    <row r="4" spans="1:4" ht="22.15" customHeight="1">
      <c r="A4" s="184" t="s">
        <v>414</v>
      </c>
      <c r="B4" s="184" t="s">
        <v>528</v>
      </c>
      <c r="C4" s="184" t="s">
        <v>529</v>
      </c>
      <c r="D4" s="184" t="s">
        <v>530</v>
      </c>
    </row>
    <row r="5" spans="1:4" ht="25.9" customHeight="1">
      <c r="A5" s="267" t="s">
        <v>531</v>
      </c>
      <c r="B5" s="181" t="s">
        <v>532</v>
      </c>
      <c r="C5" s="182" t="s">
        <v>533</v>
      </c>
      <c r="D5" s="269" t="s">
        <v>534</v>
      </c>
    </row>
    <row r="6" spans="1:4" ht="25.9" customHeight="1">
      <c r="A6" s="267" t="s">
        <v>535</v>
      </c>
      <c r="B6" s="181" t="s">
        <v>536</v>
      </c>
      <c r="C6" s="182" t="s">
        <v>533</v>
      </c>
      <c r="D6" s="269" t="s">
        <v>534</v>
      </c>
    </row>
    <row r="7" spans="1:4" ht="24" customHeight="1">
      <c r="A7" s="267" t="s">
        <v>537</v>
      </c>
      <c r="B7" s="181" t="s">
        <v>538</v>
      </c>
      <c r="C7" s="182" t="s">
        <v>533</v>
      </c>
      <c r="D7" s="268"/>
    </row>
    <row r="8" spans="1:4" ht="24" customHeight="1">
      <c r="A8" s="267" t="s">
        <v>539</v>
      </c>
      <c r="B8" s="181" t="s">
        <v>540</v>
      </c>
      <c r="C8" s="182" t="s">
        <v>533</v>
      </c>
      <c r="D8" s="268"/>
    </row>
    <row r="9" spans="1:4" ht="25.9" customHeight="1">
      <c r="A9" s="267" t="s">
        <v>541</v>
      </c>
      <c r="B9" s="181" t="s">
        <v>542</v>
      </c>
      <c r="C9" s="182" t="s">
        <v>533</v>
      </c>
      <c r="D9" s="268"/>
    </row>
    <row r="10" spans="1:4" ht="25.9" customHeight="1">
      <c r="A10" s="267" t="s">
        <v>543</v>
      </c>
      <c r="B10" s="181" t="s">
        <v>544</v>
      </c>
      <c r="C10" s="182" t="s">
        <v>533</v>
      </c>
      <c r="D10" s="268"/>
    </row>
    <row r="11" spans="1:4" ht="24" customHeight="1">
      <c r="A11" s="267" t="s">
        <v>545</v>
      </c>
      <c r="B11" s="181" t="s">
        <v>546</v>
      </c>
      <c r="C11" s="182" t="s">
        <v>533</v>
      </c>
      <c r="D11" s="268"/>
    </row>
    <row r="12" spans="1:4" ht="39" customHeight="1">
      <c r="A12" s="267" t="s">
        <v>547</v>
      </c>
      <c r="B12" s="181" t="s">
        <v>548</v>
      </c>
      <c r="C12" s="182" t="s">
        <v>533</v>
      </c>
      <c r="D12" s="268"/>
    </row>
    <row r="13" spans="1:4" ht="24" customHeight="1">
      <c r="A13" s="267" t="s">
        <v>549</v>
      </c>
      <c r="B13" s="181" t="s">
        <v>550</v>
      </c>
      <c r="C13" s="182" t="s">
        <v>533</v>
      </c>
      <c r="D13" s="268"/>
    </row>
    <row r="14" spans="1:4" ht="25.9" customHeight="1">
      <c r="A14" s="267" t="s">
        <v>551</v>
      </c>
      <c r="B14" s="181" t="s">
        <v>552</v>
      </c>
      <c r="C14" s="182" t="s">
        <v>533</v>
      </c>
      <c r="D14" s="268"/>
    </row>
    <row r="15" spans="1:4" ht="24" customHeight="1">
      <c r="A15" s="267" t="s">
        <v>553</v>
      </c>
      <c r="B15" s="181" t="s">
        <v>554</v>
      </c>
      <c r="C15" s="182" t="s">
        <v>533</v>
      </c>
      <c r="D15" s="268"/>
    </row>
    <row r="16" spans="1:4" ht="25.9" customHeight="1">
      <c r="A16" s="267" t="s">
        <v>555</v>
      </c>
      <c r="B16" s="181" t="s">
        <v>556</v>
      </c>
      <c r="C16" s="182" t="s">
        <v>533</v>
      </c>
      <c r="D16" s="268"/>
    </row>
    <row r="17" spans="1:4" ht="24" customHeight="1">
      <c r="A17" s="267" t="s">
        <v>557</v>
      </c>
      <c r="B17" s="181" t="s">
        <v>558</v>
      </c>
      <c r="C17" s="182" t="s">
        <v>533</v>
      </c>
      <c r="D17" s="268"/>
    </row>
    <row r="18" spans="1:4" ht="24" customHeight="1">
      <c r="A18" s="267" t="s">
        <v>559</v>
      </c>
      <c r="B18" s="181" t="s">
        <v>560</v>
      </c>
      <c r="C18" s="182" t="s">
        <v>533</v>
      </c>
      <c r="D18" s="268"/>
    </row>
    <row r="19" spans="1:4" ht="24" customHeight="1">
      <c r="A19" s="267" t="s">
        <v>561</v>
      </c>
      <c r="B19" s="181" t="s">
        <v>562</v>
      </c>
      <c r="C19" s="182" t="s">
        <v>533</v>
      </c>
      <c r="D19" s="268"/>
    </row>
    <row r="20" spans="1:4" ht="24" customHeight="1">
      <c r="A20" s="267" t="s">
        <v>563</v>
      </c>
      <c r="B20" s="181" t="s">
        <v>564</v>
      </c>
      <c r="C20" s="182" t="s">
        <v>533</v>
      </c>
      <c r="D20" s="268"/>
    </row>
    <row r="21" spans="1:4" ht="24" customHeight="1">
      <c r="A21" s="267" t="s">
        <v>565</v>
      </c>
      <c r="B21" s="181" t="s">
        <v>566</v>
      </c>
      <c r="C21" s="182" t="s">
        <v>533</v>
      </c>
      <c r="D21" s="268"/>
    </row>
    <row r="22" spans="1:4" ht="25.9" customHeight="1">
      <c r="A22" s="267" t="s">
        <v>567</v>
      </c>
      <c r="B22" s="181" t="s">
        <v>568</v>
      </c>
      <c r="C22" s="182" t="s">
        <v>533</v>
      </c>
      <c r="D22" s="268"/>
    </row>
    <row r="23" spans="1:4" ht="25.9" customHeight="1">
      <c r="A23" s="267" t="s">
        <v>569</v>
      </c>
      <c r="B23" s="181" t="s">
        <v>570</v>
      </c>
      <c r="C23" s="182" t="s">
        <v>533</v>
      </c>
      <c r="D23" s="268"/>
    </row>
    <row r="24" spans="1:4" ht="24" customHeight="1">
      <c r="A24" s="267" t="s">
        <v>571</v>
      </c>
      <c r="B24" s="181" t="s">
        <v>572</v>
      </c>
      <c r="C24" s="182" t="s">
        <v>533</v>
      </c>
      <c r="D24" s="269" t="s">
        <v>573</v>
      </c>
    </row>
    <row r="25" spans="1:4" ht="24" customHeight="1">
      <c r="A25" s="267" t="s">
        <v>574</v>
      </c>
      <c r="B25" s="181" t="s">
        <v>575</v>
      </c>
      <c r="C25" s="182" t="s">
        <v>533</v>
      </c>
      <c r="D25" s="269" t="s">
        <v>576</v>
      </c>
    </row>
    <row r="26" spans="1:4" ht="25.9" customHeight="1">
      <c r="A26" s="267" t="s">
        <v>577</v>
      </c>
      <c r="B26" s="181" t="s">
        <v>578</v>
      </c>
      <c r="C26" s="182" t="s">
        <v>533</v>
      </c>
      <c r="D26" s="268"/>
    </row>
    <row r="27" spans="1:4" ht="24" customHeight="1">
      <c r="A27" s="267" t="s">
        <v>579</v>
      </c>
      <c r="B27" s="181" t="s">
        <v>580</v>
      </c>
      <c r="C27" s="182" t="s">
        <v>533</v>
      </c>
      <c r="D27" s="269" t="s">
        <v>581</v>
      </c>
    </row>
    <row r="29" spans="1:4" ht="25.9" customHeight="1">
      <c r="A29" s="900" t="s">
        <v>582</v>
      </c>
      <c r="B29" s="901"/>
      <c r="C29" s="901"/>
      <c r="D29" s="901"/>
    </row>
  </sheetData>
  <mergeCells count="4">
    <mergeCell ref="A1:D1"/>
    <mergeCell ref="A29:D29"/>
    <mergeCell ref="A3:D3"/>
    <mergeCell ref="A2:D2"/>
  </mergeCells>
  <hyperlinks>
    <hyperlink ref="D5" location="'3CD_Annx_Partners_9'!A1" display="3CD_Annx_Partners_9" xr:uid="{00000000-0004-0000-1400-000000000000}"/>
    <hyperlink ref="D6" location="'3CD_Annx_Partners_9'!A1" display="3CD_Annx_Partners_9" xr:uid="{00000000-0004-0000-1400-000001000000}"/>
    <hyperlink ref="D24" location="'3CD_Annx_Depn_18'!A1" display="3CD_Annx_Depn_18" xr:uid="{00000000-0004-0000-1400-000002000000}"/>
    <hyperlink ref="D25" location="'3CD_Annx_Deduction_19_33'!A1" display="3CD_Annx_Deduction_19_33" xr:uid="{00000000-0004-0000-1400-000003000000}"/>
    <hyperlink ref="D27" location="'3CD_Annx_Disallow_21_26'!A1" display="3CD_Annx_Disallow_21_26" xr:uid="{00000000-0004-0000-1400-000004000000}"/>
  </hyperlink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7A8C"/>
    <pageSetUpPr fitToPage="1"/>
  </sheetPr>
  <dimension ref="A1:D28"/>
  <sheetViews>
    <sheetView showGridLines="0" workbookViewId="0">
      <selection sqref="A1:D1"/>
    </sheetView>
  </sheetViews>
  <sheetFormatPr defaultRowHeight="15"/>
  <cols>
    <col min="1" max="1" width="8" customWidth="1"/>
    <col min="2" max="2" width="68" customWidth="1"/>
    <col min="3" max="3" width="40" customWidth="1"/>
    <col min="4" max="4" width="24" customWidth="1"/>
  </cols>
  <sheetData>
    <row r="1" spans="1:4" ht="28.15" customHeight="1">
      <c r="A1" s="899" t="s">
        <v>583</v>
      </c>
      <c r="B1" s="898"/>
      <c r="C1" s="898"/>
      <c r="D1" s="898"/>
    </row>
    <row r="2" spans="1:4" ht="19.899999999999999" customHeight="1">
      <c r="A2" s="897" t="s">
        <v>527</v>
      </c>
      <c r="B2" s="898"/>
      <c r="C2" s="898"/>
      <c r="D2" s="898"/>
    </row>
    <row r="3" spans="1:4" ht="4.9000000000000004" customHeight="1">
      <c r="A3" s="1086"/>
      <c r="B3" s="1087"/>
      <c r="C3" s="1087"/>
      <c r="D3" s="1087"/>
    </row>
    <row r="4" spans="1:4" ht="22.15" customHeight="1">
      <c r="A4" s="184" t="s">
        <v>414</v>
      </c>
      <c r="B4" s="184" t="s">
        <v>528</v>
      </c>
      <c r="C4" s="184" t="s">
        <v>529</v>
      </c>
      <c r="D4" s="184" t="s">
        <v>530</v>
      </c>
    </row>
    <row r="5" spans="1:4" ht="39" customHeight="1">
      <c r="A5" s="267" t="s">
        <v>584</v>
      </c>
      <c r="B5" s="181" t="s">
        <v>585</v>
      </c>
      <c r="C5" s="182" t="s">
        <v>533</v>
      </c>
      <c r="D5" s="269" t="s">
        <v>581</v>
      </c>
    </row>
    <row r="6" spans="1:4" ht="24" customHeight="1">
      <c r="A6" s="267" t="s">
        <v>586</v>
      </c>
      <c r="B6" s="181" t="s">
        <v>587</v>
      </c>
      <c r="C6" s="182" t="s">
        <v>533</v>
      </c>
      <c r="D6" s="269" t="s">
        <v>581</v>
      </c>
    </row>
    <row r="7" spans="1:4" ht="24" customHeight="1">
      <c r="A7" s="267" t="s">
        <v>588</v>
      </c>
      <c r="B7" s="181" t="s">
        <v>589</v>
      </c>
      <c r="C7" s="182" t="s">
        <v>533</v>
      </c>
      <c r="D7" s="269" t="s">
        <v>581</v>
      </c>
    </row>
    <row r="8" spans="1:4" ht="24" customHeight="1">
      <c r="A8" s="267" t="s">
        <v>590</v>
      </c>
      <c r="B8" s="181" t="s">
        <v>591</v>
      </c>
      <c r="C8" s="182" t="s">
        <v>533</v>
      </c>
      <c r="D8" s="269" t="s">
        <v>581</v>
      </c>
    </row>
    <row r="9" spans="1:4" ht="24" customHeight="1">
      <c r="A9" s="267" t="s">
        <v>592</v>
      </c>
      <c r="B9" s="181" t="s">
        <v>593</v>
      </c>
      <c r="C9" s="182" t="s">
        <v>533</v>
      </c>
      <c r="D9" s="269" t="s">
        <v>581</v>
      </c>
    </row>
    <row r="10" spans="1:4" ht="24" customHeight="1">
      <c r="A10" s="267" t="s">
        <v>594</v>
      </c>
      <c r="B10" s="181" t="s">
        <v>595</v>
      </c>
      <c r="C10" s="182" t="s">
        <v>533</v>
      </c>
      <c r="D10" s="269" t="s">
        <v>581</v>
      </c>
    </row>
    <row r="11" spans="1:4" ht="24" customHeight="1">
      <c r="A11" s="267" t="s">
        <v>596</v>
      </c>
      <c r="B11" s="181" t="s">
        <v>597</v>
      </c>
      <c r="C11" s="182" t="s">
        <v>533</v>
      </c>
      <c r="D11" s="268"/>
    </row>
    <row r="12" spans="1:4" ht="24" customHeight="1">
      <c r="A12" s="267" t="s">
        <v>598</v>
      </c>
      <c r="B12" s="181" t="s">
        <v>599</v>
      </c>
      <c r="C12" s="182" t="s">
        <v>533</v>
      </c>
      <c r="D12" s="268"/>
    </row>
    <row r="13" spans="1:4" ht="24" customHeight="1">
      <c r="A13" s="267" t="s">
        <v>600</v>
      </c>
      <c r="B13" s="181" t="s">
        <v>601</v>
      </c>
      <c r="C13" s="182" t="s">
        <v>533</v>
      </c>
      <c r="D13" s="268"/>
    </row>
    <row r="14" spans="1:4" ht="25.9" customHeight="1">
      <c r="A14" s="267" t="s">
        <v>602</v>
      </c>
      <c r="B14" s="181" t="s">
        <v>603</v>
      </c>
      <c r="C14" s="182" t="s">
        <v>533</v>
      </c>
      <c r="D14" s="269" t="s">
        <v>604</v>
      </c>
    </row>
    <row r="15" spans="1:4" ht="24" customHeight="1">
      <c r="A15" s="267" t="s">
        <v>605</v>
      </c>
      <c r="B15" s="181" t="s">
        <v>606</v>
      </c>
      <c r="C15" s="182" t="s">
        <v>533</v>
      </c>
      <c r="D15" s="269" t="s">
        <v>604</v>
      </c>
    </row>
    <row r="16" spans="1:4" ht="25.9" customHeight="1">
      <c r="A16" s="267" t="s">
        <v>607</v>
      </c>
      <c r="B16" s="181" t="s">
        <v>608</v>
      </c>
      <c r="C16" s="182" t="s">
        <v>533</v>
      </c>
      <c r="D16" s="268"/>
    </row>
    <row r="17" spans="1:4" ht="24" customHeight="1">
      <c r="A17" s="267" t="s">
        <v>609</v>
      </c>
      <c r="B17" s="181" t="s">
        <v>610</v>
      </c>
      <c r="C17" s="182" t="s">
        <v>533</v>
      </c>
      <c r="D17" s="268"/>
    </row>
    <row r="18" spans="1:4" ht="24" customHeight="1">
      <c r="A18" s="267" t="s">
        <v>611</v>
      </c>
      <c r="B18" s="181" t="s">
        <v>612</v>
      </c>
      <c r="C18" s="182" t="s">
        <v>533</v>
      </c>
      <c r="D18" s="269" t="s">
        <v>613</v>
      </c>
    </row>
    <row r="19" spans="1:4" ht="24" customHeight="1">
      <c r="A19" s="267" t="s">
        <v>614</v>
      </c>
      <c r="B19" s="181" t="s">
        <v>615</v>
      </c>
      <c r="C19" s="182" t="s">
        <v>533</v>
      </c>
      <c r="D19" s="268"/>
    </row>
    <row r="20" spans="1:4" ht="25.9" customHeight="1">
      <c r="A20" s="267" t="s">
        <v>616</v>
      </c>
      <c r="B20" s="181" t="s">
        <v>617</v>
      </c>
      <c r="C20" s="182" t="s">
        <v>533</v>
      </c>
      <c r="D20" s="268"/>
    </row>
    <row r="21" spans="1:4" ht="24" customHeight="1">
      <c r="A21" s="267" t="s">
        <v>618</v>
      </c>
      <c r="B21" s="181" t="s">
        <v>619</v>
      </c>
      <c r="C21" s="182" t="s">
        <v>533</v>
      </c>
      <c r="D21" s="268"/>
    </row>
    <row r="22" spans="1:4" ht="24" customHeight="1">
      <c r="A22" s="267" t="s">
        <v>620</v>
      </c>
      <c r="B22" s="181" t="s">
        <v>621</v>
      </c>
      <c r="C22" s="182" t="s">
        <v>533</v>
      </c>
      <c r="D22" s="268"/>
    </row>
    <row r="23" spans="1:4" ht="24" customHeight="1">
      <c r="A23" s="267" t="s">
        <v>622</v>
      </c>
      <c r="B23" s="181" t="s">
        <v>623</v>
      </c>
      <c r="C23" s="182" t="s">
        <v>533</v>
      </c>
      <c r="D23" s="268"/>
    </row>
    <row r="24" spans="1:4" ht="24" customHeight="1">
      <c r="A24" s="267" t="s">
        <v>624</v>
      </c>
      <c r="B24" s="181" t="s">
        <v>625</v>
      </c>
      <c r="C24" s="182" t="s">
        <v>533</v>
      </c>
      <c r="D24" s="268"/>
    </row>
    <row r="25" spans="1:4" ht="24" customHeight="1">
      <c r="A25" s="267" t="s">
        <v>626</v>
      </c>
      <c r="B25" s="181" t="s">
        <v>627</v>
      </c>
      <c r="C25" s="182" t="s">
        <v>533</v>
      </c>
      <c r="D25" s="268"/>
    </row>
    <row r="26" spans="1:4" ht="24" customHeight="1">
      <c r="A26" s="267" t="s">
        <v>628</v>
      </c>
      <c r="B26" s="181" t="s">
        <v>629</v>
      </c>
      <c r="C26" s="182" t="s">
        <v>533</v>
      </c>
      <c r="D26" s="268"/>
    </row>
    <row r="28" spans="1:4" ht="25.9" customHeight="1">
      <c r="A28" s="900" t="s">
        <v>582</v>
      </c>
      <c r="B28" s="901"/>
      <c r="C28" s="901"/>
      <c r="D28" s="901"/>
    </row>
  </sheetData>
  <mergeCells count="4">
    <mergeCell ref="A1:D1"/>
    <mergeCell ref="A28:D28"/>
    <mergeCell ref="A3:D3"/>
    <mergeCell ref="A2:D2"/>
  </mergeCells>
  <hyperlinks>
    <hyperlink ref="D5" location="'3CD_Annx_Disallow_21_26'!A1" display="3CD_Annx_Disallow_21_26" xr:uid="{00000000-0004-0000-1500-000000000000}"/>
    <hyperlink ref="D6" location="'3CD_Annx_Disallow_21_26'!A1" display="3CD_Annx_Disallow_21_26" xr:uid="{00000000-0004-0000-1500-000001000000}"/>
    <hyperlink ref="D7" location="'3CD_Annx_Disallow_21_26'!A1" display="3CD_Annx_Disallow_21_26" xr:uid="{00000000-0004-0000-1500-000002000000}"/>
    <hyperlink ref="D8" location="'3CD_Annx_Disallow_21_26'!A1" display="3CD_Annx_Disallow_21_26" xr:uid="{00000000-0004-0000-1500-000003000000}"/>
    <hyperlink ref="D9" location="'3CD_Annx_Disallow_21_26'!A1" display="3CD_Annx_Disallow_21_26" xr:uid="{00000000-0004-0000-1500-000004000000}"/>
    <hyperlink ref="D10" location="'3CD_Annx_Disallow_21_26'!A1" display="3CD_Annx_Disallow_21_26" xr:uid="{00000000-0004-0000-1500-000005000000}"/>
    <hyperlink ref="D14" location="'3CD_Annx_MSME_22_23'!A1" display="3CD_Annx_MSME_22_23" xr:uid="{00000000-0004-0000-1500-000006000000}"/>
    <hyperlink ref="D15" location="'3CD_Annx_MSME_22_23'!A1" display="3CD_Annx_MSME_22_23" xr:uid="{00000000-0004-0000-1500-000007000000}"/>
    <hyperlink ref="D18" location="'3CD_Annx_43B_26'!A1" display="3CD_Annx_43B_26" xr:uid="{00000000-0004-0000-1500-000008000000}"/>
  </hyperlink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7A8C"/>
    <pageSetUpPr fitToPage="1"/>
  </sheetPr>
  <dimension ref="A1:D36"/>
  <sheetViews>
    <sheetView showGridLines="0" workbookViewId="0">
      <selection sqref="A1:D1"/>
    </sheetView>
  </sheetViews>
  <sheetFormatPr defaultRowHeight="15"/>
  <cols>
    <col min="1" max="1" width="8" customWidth="1"/>
    <col min="2" max="2" width="68" customWidth="1"/>
    <col min="3" max="3" width="40" customWidth="1"/>
    <col min="4" max="4" width="24" customWidth="1"/>
  </cols>
  <sheetData>
    <row r="1" spans="1:4" ht="28.15" customHeight="1">
      <c r="A1" s="899" t="s">
        <v>630</v>
      </c>
      <c r="B1" s="898"/>
      <c r="C1" s="898"/>
      <c r="D1" s="898"/>
    </row>
    <row r="2" spans="1:4" ht="19.899999999999999" customHeight="1">
      <c r="A2" s="897" t="s">
        <v>527</v>
      </c>
      <c r="B2" s="898"/>
      <c r="C2" s="898"/>
      <c r="D2" s="898"/>
    </row>
    <row r="3" spans="1:4" ht="4.9000000000000004" customHeight="1">
      <c r="A3" s="1086"/>
      <c r="B3" s="1087"/>
      <c r="C3" s="1087"/>
      <c r="D3" s="1087"/>
    </row>
    <row r="4" spans="1:4" ht="22.15" customHeight="1">
      <c r="A4" s="184" t="s">
        <v>414</v>
      </c>
      <c r="B4" s="184" t="s">
        <v>528</v>
      </c>
      <c r="C4" s="184" t="s">
        <v>529</v>
      </c>
      <c r="D4" s="184" t="s">
        <v>530</v>
      </c>
    </row>
    <row r="5" spans="1:4" ht="25.9" customHeight="1">
      <c r="A5" s="267" t="s">
        <v>631</v>
      </c>
      <c r="B5" s="181" t="s">
        <v>632</v>
      </c>
      <c r="C5" s="182" t="s">
        <v>533</v>
      </c>
      <c r="D5" s="269" t="s">
        <v>633</v>
      </c>
    </row>
    <row r="6" spans="1:4" ht="24" customHeight="1">
      <c r="A6" s="267" t="s">
        <v>634</v>
      </c>
      <c r="B6" s="181" t="s">
        <v>635</v>
      </c>
      <c r="C6" s="182" t="s">
        <v>533</v>
      </c>
      <c r="D6" s="269" t="s">
        <v>633</v>
      </c>
    </row>
    <row r="7" spans="1:4" ht="25.9" customHeight="1">
      <c r="A7" s="267" t="s">
        <v>636</v>
      </c>
      <c r="B7" s="181" t="s">
        <v>637</v>
      </c>
      <c r="C7" s="182" t="s">
        <v>533</v>
      </c>
      <c r="D7" s="269" t="s">
        <v>633</v>
      </c>
    </row>
    <row r="8" spans="1:4" ht="25.9" customHeight="1">
      <c r="A8" s="267" t="s">
        <v>638</v>
      </c>
      <c r="B8" s="181" t="s">
        <v>639</v>
      </c>
      <c r="C8" s="182" t="s">
        <v>533</v>
      </c>
      <c r="D8" s="269" t="s">
        <v>633</v>
      </c>
    </row>
    <row r="9" spans="1:4" ht="25.9" customHeight="1">
      <c r="A9" s="267" t="s">
        <v>640</v>
      </c>
      <c r="B9" s="181" t="s">
        <v>641</v>
      </c>
      <c r="C9" s="182" t="s">
        <v>533</v>
      </c>
      <c r="D9" s="269" t="s">
        <v>633</v>
      </c>
    </row>
    <row r="10" spans="1:4" ht="25.9" customHeight="1">
      <c r="A10" s="267" t="s">
        <v>642</v>
      </c>
      <c r="B10" s="181" t="s">
        <v>643</v>
      </c>
      <c r="C10" s="182" t="s">
        <v>533</v>
      </c>
      <c r="D10" s="269" t="s">
        <v>633</v>
      </c>
    </row>
    <row r="11" spans="1:4" ht="25.9" customHeight="1">
      <c r="A11" s="267" t="s">
        <v>644</v>
      </c>
      <c r="B11" s="181" t="s">
        <v>645</v>
      </c>
      <c r="C11" s="182" t="s">
        <v>533</v>
      </c>
      <c r="D11" s="269" t="s">
        <v>633</v>
      </c>
    </row>
    <row r="12" spans="1:4" ht="25.9" customHeight="1">
      <c r="A12" s="267" t="s">
        <v>646</v>
      </c>
      <c r="B12" s="181" t="s">
        <v>647</v>
      </c>
      <c r="C12" s="182" t="s">
        <v>533</v>
      </c>
      <c r="D12" s="269" t="s">
        <v>633</v>
      </c>
    </row>
    <row r="13" spans="1:4" ht="25.9" customHeight="1">
      <c r="A13" s="267" t="s">
        <v>648</v>
      </c>
      <c r="B13" s="181" t="s">
        <v>649</v>
      </c>
      <c r="C13" s="182" t="s">
        <v>533</v>
      </c>
      <c r="D13" s="269" t="s">
        <v>633</v>
      </c>
    </row>
    <row r="14" spans="1:4" ht="24" customHeight="1">
      <c r="A14" s="267" t="s">
        <v>650</v>
      </c>
      <c r="B14" s="181" t="s">
        <v>651</v>
      </c>
      <c r="C14" s="182" t="s">
        <v>533</v>
      </c>
      <c r="D14" s="269" t="s">
        <v>652</v>
      </c>
    </row>
    <row r="15" spans="1:4" ht="24" customHeight="1">
      <c r="A15" s="267" t="s">
        <v>653</v>
      </c>
      <c r="B15" s="181" t="s">
        <v>654</v>
      </c>
      <c r="C15" s="182" t="s">
        <v>533</v>
      </c>
      <c r="D15" s="269" t="s">
        <v>652</v>
      </c>
    </row>
    <row r="16" spans="1:4" ht="24" customHeight="1">
      <c r="A16" s="267" t="s">
        <v>655</v>
      </c>
      <c r="B16" s="181" t="s">
        <v>656</v>
      </c>
      <c r="C16" s="182" t="s">
        <v>533</v>
      </c>
      <c r="D16" s="269" t="s">
        <v>652</v>
      </c>
    </row>
    <row r="17" spans="1:4" ht="24" customHeight="1">
      <c r="A17" s="267" t="s">
        <v>657</v>
      </c>
      <c r="B17" s="181" t="s">
        <v>658</v>
      </c>
      <c r="C17" s="182" t="s">
        <v>533</v>
      </c>
      <c r="D17" s="269" t="s">
        <v>652</v>
      </c>
    </row>
    <row r="18" spans="1:4" ht="25.9" customHeight="1">
      <c r="A18" s="267" t="s">
        <v>659</v>
      </c>
      <c r="B18" s="181" t="s">
        <v>660</v>
      </c>
      <c r="C18" s="182" t="s">
        <v>533</v>
      </c>
      <c r="D18" s="269" t="s">
        <v>652</v>
      </c>
    </row>
    <row r="19" spans="1:4" ht="24" customHeight="1">
      <c r="A19" s="267" t="s">
        <v>661</v>
      </c>
      <c r="B19" s="181" t="s">
        <v>662</v>
      </c>
      <c r="C19" s="182" t="s">
        <v>533</v>
      </c>
      <c r="D19" s="269" t="s">
        <v>576</v>
      </c>
    </row>
    <row r="20" spans="1:4" ht="24" customHeight="1">
      <c r="A20" s="267" t="s">
        <v>663</v>
      </c>
      <c r="B20" s="181" t="s">
        <v>664</v>
      </c>
      <c r="C20" s="182" t="s">
        <v>533</v>
      </c>
      <c r="D20" s="269" t="s">
        <v>665</v>
      </c>
    </row>
    <row r="21" spans="1:4" ht="24" customHeight="1">
      <c r="A21" s="267" t="s">
        <v>666</v>
      </c>
      <c r="B21" s="181" t="s">
        <v>667</v>
      </c>
      <c r="C21" s="182" t="s">
        <v>533</v>
      </c>
      <c r="D21" s="269" t="s">
        <v>665</v>
      </c>
    </row>
    <row r="22" spans="1:4" ht="24" customHeight="1">
      <c r="A22" s="267" t="s">
        <v>668</v>
      </c>
      <c r="B22" s="181" t="s">
        <v>669</v>
      </c>
      <c r="C22" s="182" t="s">
        <v>533</v>
      </c>
      <c r="D22" s="269" t="s">
        <v>665</v>
      </c>
    </row>
    <row r="23" spans="1:4" ht="24" customHeight="1">
      <c r="A23" s="267" t="s">
        <v>670</v>
      </c>
      <c r="B23" s="181" t="s">
        <v>671</v>
      </c>
      <c r="C23" s="182" t="s">
        <v>533</v>
      </c>
      <c r="D23" s="269" t="s">
        <v>672</v>
      </c>
    </row>
    <row r="24" spans="1:4" ht="25.9" customHeight="1">
      <c r="A24" s="267" t="s">
        <v>673</v>
      </c>
      <c r="B24" s="181" t="s">
        <v>674</v>
      </c>
      <c r="C24" s="182" t="s">
        <v>533</v>
      </c>
      <c r="D24" s="269" t="s">
        <v>672</v>
      </c>
    </row>
    <row r="25" spans="1:4" ht="24" customHeight="1">
      <c r="A25" s="267" t="s">
        <v>675</v>
      </c>
      <c r="B25" s="181" t="s">
        <v>676</v>
      </c>
      <c r="C25" s="182" t="s">
        <v>533</v>
      </c>
      <c r="D25" s="268"/>
    </row>
    <row r="26" spans="1:4" ht="24" customHeight="1">
      <c r="A26" s="267" t="s">
        <v>677</v>
      </c>
      <c r="B26" s="181" t="s">
        <v>678</v>
      </c>
      <c r="C26" s="182" t="s">
        <v>533</v>
      </c>
      <c r="D26" s="268"/>
    </row>
    <row r="27" spans="1:4" ht="25.9" customHeight="1">
      <c r="A27" s="267" t="s">
        <v>679</v>
      </c>
      <c r="B27" s="181" t="s">
        <v>680</v>
      </c>
      <c r="C27" s="182" t="s">
        <v>533</v>
      </c>
      <c r="D27" s="268"/>
    </row>
    <row r="28" spans="1:4" ht="25.9" customHeight="1">
      <c r="A28" s="267" t="s">
        <v>681</v>
      </c>
      <c r="B28" s="181" t="s">
        <v>682</v>
      </c>
      <c r="C28" s="182" t="s">
        <v>533</v>
      </c>
      <c r="D28" s="268"/>
    </row>
    <row r="29" spans="1:4" ht="25.9" customHeight="1">
      <c r="A29" s="267" t="s">
        <v>683</v>
      </c>
      <c r="B29" s="181" t="s">
        <v>684</v>
      </c>
      <c r="C29" s="182" t="s">
        <v>533</v>
      </c>
      <c r="D29" s="268"/>
    </row>
    <row r="30" spans="1:4" ht="25.9" customHeight="1">
      <c r="A30" s="267" t="s">
        <v>685</v>
      </c>
      <c r="B30" s="181" t="s">
        <v>686</v>
      </c>
      <c r="C30" s="182" t="s">
        <v>533</v>
      </c>
      <c r="D30" s="269" t="s">
        <v>687</v>
      </c>
    </row>
    <row r="31" spans="1:4" ht="25.9" customHeight="1">
      <c r="A31" s="267" t="s">
        <v>688</v>
      </c>
      <c r="B31" s="181" t="s">
        <v>689</v>
      </c>
      <c r="C31" s="182" t="s">
        <v>533</v>
      </c>
      <c r="D31" s="268"/>
    </row>
    <row r="32" spans="1:4" ht="24" customHeight="1">
      <c r="A32" s="267" t="s">
        <v>690</v>
      </c>
      <c r="B32" s="181" t="s">
        <v>691</v>
      </c>
      <c r="C32" s="182" t="s">
        <v>533</v>
      </c>
      <c r="D32" s="268"/>
    </row>
    <row r="33" spans="1:4" ht="24" customHeight="1">
      <c r="A33" s="267" t="s">
        <v>692</v>
      </c>
      <c r="B33" s="181" t="s">
        <v>693</v>
      </c>
      <c r="C33" s="182" t="s">
        <v>533</v>
      </c>
      <c r="D33" s="268"/>
    </row>
    <row r="34" spans="1:4" ht="25.9" customHeight="1">
      <c r="A34" s="267" t="s">
        <v>694</v>
      </c>
      <c r="B34" s="181" t="s">
        <v>695</v>
      </c>
      <c r="C34" s="182" t="s">
        <v>533</v>
      </c>
      <c r="D34" s="269" t="s">
        <v>696</v>
      </c>
    </row>
    <row r="36" spans="1:4" ht="25.9" customHeight="1">
      <c r="A36" s="900" t="s">
        <v>582</v>
      </c>
      <c r="B36" s="901"/>
      <c r="C36" s="901"/>
      <c r="D36" s="901"/>
    </row>
  </sheetData>
  <mergeCells count="4">
    <mergeCell ref="A1:D1"/>
    <mergeCell ref="A36:D36"/>
    <mergeCell ref="A3:D3"/>
    <mergeCell ref="A2:D2"/>
  </mergeCells>
  <hyperlinks>
    <hyperlink ref="D5" location="'3CD_Annx_Loans_31'!A1" display="3CD_Annx_Loans_31" xr:uid="{00000000-0004-0000-1600-000000000000}"/>
    <hyperlink ref="D6" location="'3CD_Annx_Loans_31'!A1" display="3CD_Annx_Loans_31" xr:uid="{00000000-0004-0000-1600-000001000000}"/>
    <hyperlink ref="D7" location="'3CD_Annx_Loans_31'!A1" display="3CD_Annx_Loans_31" xr:uid="{00000000-0004-0000-1600-000002000000}"/>
    <hyperlink ref="D8" location="'3CD_Annx_Loans_31'!A1" display="3CD_Annx_Loans_31" xr:uid="{00000000-0004-0000-1600-000003000000}"/>
    <hyperlink ref="D9" location="'3CD_Annx_Loans_31'!A1" display="3CD_Annx_Loans_31" xr:uid="{00000000-0004-0000-1600-000004000000}"/>
    <hyperlink ref="D10" location="'3CD_Annx_Loans_31'!A1" display="3CD_Annx_Loans_31" xr:uid="{00000000-0004-0000-1600-000005000000}"/>
    <hyperlink ref="D11" location="'3CD_Annx_Loans_31'!A1" display="3CD_Annx_Loans_31" xr:uid="{00000000-0004-0000-1600-000006000000}"/>
    <hyperlink ref="D12" location="'3CD_Annx_Loans_31'!A1" display="3CD_Annx_Loans_31" xr:uid="{00000000-0004-0000-1600-000007000000}"/>
    <hyperlink ref="D13" location="'3CD_Annx_Loans_31'!A1" display="3CD_Annx_Loans_31" xr:uid="{00000000-0004-0000-1600-000008000000}"/>
    <hyperlink ref="D14" location="'3CD_Annx_BF_Loss_32'!A1" display="3CD_Annx_BF_Loss_32" xr:uid="{00000000-0004-0000-1600-000009000000}"/>
    <hyperlink ref="D15" location="'3CD_Annx_BF_Loss_32'!A1" display="3CD_Annx_BF_Loss_32" xr:uid="{00000000-0004-0000-1600-00000A000000}"/>
    <hyperlink ref="D16" location="'3CD_Annx_BF_Loss_32'!A1" display="3CD_Annx_BF_Loss_32" xr:uid="{00000000-0004-0000-1600-00000B000000}"/>
    <hyperlink ref="D17" location="'3CD_Annx_BF_Loss_32'!A1" display="3CD_Annx_BF_Loss_32" xr:uid="{00000000-0004-0000-1600-00000C000000}"/>
    <hyperlink ref="D18" location="'3CD_Annx_BF_Loss_32'!A1" display="3CD_Annx_BF_Loss_32" xr:uid="{00000000-0004-0000-1600-00000D000000}"/>
    <hyperlink ref="D19" location="'3CD_Annx_Deduction_19_33'!A1" display="3CD_Annx_Deduction_19_33" xr:uid="{00000000-0004-0000-1600-00000E000000}"/>
    <hyperlink ref="D20" location="'3CD_Annx_TDS_34'!A1" display="3CD_Annx_TDS_34" xr:uid="{00000000-0004-0000-1600-00000F000000}"/>
    <hyperlink ref="D21" location="'3CD_Annx_TDS_34'!A1" display="3CD_Annx_TDS_34" xr:uid="{00000000-0004-0000-1600-000010000000}"/>
    <hyperlink ref="D22" location="'3CD_Annx_TDS_34'!A1" display="3CD_Annx_TDS_34" xr:uid="{00000000-0004-0000-1600-000011000000}"/>
    <hyperlink ref="D23" location="'3CD_Annx_Quant_35'!A1" display="3CD_Annx_Quant_35" xr:uid="{00000000-0004-0000-1600-000012000000}"/>
    <hyperlink ref="D24" location="'3CD_Annx_Quant_35'!A1" display="3CD_Annx_Quant_35" xr:uid="{00000000-0004-0000-1600-000013000000}"/>
    <hyperlink ref="D30" location="'3CD_Annx_GP_40'!A1" display="3CD_Annx_GP_40" xr:uid="{00000000-0004-0000-1600-000014000000}"/>
    <hyperlink ref="D34" location="'3CD_Annx_GST_44'!A1" display="3CD_Annx_GST_44" xr:uid="{00000000-0004-0000-1600-000015000000}"/>
  </hyperlink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70AD47"/>
    <pageSetUpPr fitToPage="1"/>
  </sheetPr>
  <dimension ref="A1:F14"/>
  <sheetViews>
    <sheetView showGridLines="0" workbookViewId="0">
      <selection sqref="A1:D1"/>
    </sheetView>
  </sheetViews>
  <sheetFormatPr defaultRowHeight="15"/>
  <cols>
    <col min="1" max="1" width="22" customWidth="1"/>
    <col min="2" max="2" width="20" customWidth="1"/>
    <col min="3" max="5" width="16" customWidth="1"/>
    <col min="6" max="6" width="28" customWidth="1"/>
  </cols>
  <sheetData>
    <row r="1" spans="1:6" ht="28.15" customHeight="1">
      <c r="A1" s="899" t="s">
        <v>697</v>
      </c>
      <c r="B1" s="898"/>
      <c r="C1" s="898"/>
      <c r="D1" s="898"/>
      <c r="E1" s="898"/>
      <c r="F1" s="898"/>
    </row>
    <row r="2" spans="1:6" ht="19.899999999999999" customHeight="1">
      <c r="A2" s="897" t="s">
        <v>698</v>
      </c>
      <c r="B2" s="898"/>
      <c r="C2" s="898"/>
      <c r="D2" s="898"/>
      <c r="E2" s="898"/>
      <c r="F2" s="898"/>
    </row>
    <row r="3" spans="1:6" ht="4.9000000000000004" customHeight="1">
      <c r="A3" s="1086"/>
      <c r="B3" s="1087"/>
      <c r="C3" s="1087"/>
      <c r="D3" s="1087"/>
      <c r="E3" s="1087"/>
      <c r="F3" s="1087"/>
    </row>
    <row r="4" spans="1:6" ht="22.15" customHeight="1">
      <c r="A4" s="184" t="s">
        <v>699</v>
      </c>
      <c r="B4" s="184" t="s">
        <v>700</v>
      </c>
      <c r="C4" s="184" t="s">
        <v>701</v>
      </c>
      <c r="D4" s="184" t="s">
        <v>702</v>
      </c>
      <c r="E4" s="184" t="s">
        <v>703</v>
      </c>
      <c r="F4" s="184" t="s">
        <v>704</v>
      </c>
    </row>
    <row r="5" spans="1:6" ht="19.899999999999999" customHeight="1">
      <c r="A5" s="182"/>
      <c r="B5" s="182"/>
      <c r="C5" s="182"/>
      <c r="D5" s="182"/>
      <c r="E5" s="182"/>
      <c r="F5" s="182"/>
    </row>
    <row r="6" spans="1:6" ht="19.899999999999999" customHeight="1">
      <c r="A6" s="182"/>
      <c r="B6" s="182"/>
      <c r="C6" s="182"/>
      <c r="D6" s="182"/>
      <c r="E6" s="182"/>
      <c r="F6" s="182"/>
    </row>
    <row r="7" spans="1:6" ht="19.899999999999999" customHeight="1">
      <c r="A7" s="182"/>
      <c r="B7" s="182"/>
      <c r="C7" s="182"/>
      <c r="D7" s="182"/>
      <c r="E7" s="182"/>
      <c r="F7" s="182"/>
    </row>
    <row r="8" spans="1:6" ht="19.899999999999999" customHeight="1">
      <c r="A8" s="182"/>
      <c r="B8" s="182"/>
      <c r="C8" s="182"/>
      <c r="D8" s="182"/>
      <c r="E8" s="182"/>
      <c r="F8" s="182"/>
    </row>
    <row r="9" spans="1:6" ht="19.899999999999999" customHeight="1">
      <c r="A9" s="182"/>
      <c r="B9" s="182"/>
      <c r="C9" s="182"/>
      <c r="D9" s="182"/>
      <c r="E9" s="182"/>
      <c r="F9" s="182"/>
    </row>
    <row r="10" spans="1:6" ht="19.899999999999999" customHeight="1">
      <c r="A10" s="182"/>
      <c r="B10" s="182"/>
      <c r="C10" s="182"/>
      <c r="D10" s="182"/>
      <c r="E10" s="182"/>
      <c r="F10" s="182"/>
    </row>
    <row r="11" spans="1:6" ht="19.899999999999999" customHeight="1">
      <c r="A11" s="182"/>
      <c r="B11" s="182"/>
      <c r="C11" s="182"/>
      <c r="D11" s="182"/>
      <c r="E11" s="182"/>
      <c r="F11" s="182"/>
    </row>
    <row r="12" spans="1:6" ht="19.899999999999999" customHeight="1">
      <c r="A12" s="182"/>
      <c r="B12" s="182"/>
      <c r="C12" s="182"/>
      <c r="D12" s="182"/>
      <c r="E12" s="182"/>
      <c r="F12" s="182"/>
    </row>
    <row r="14" spans="1:6" ht="15" customHeight="1">
      <c r="A14" s="900" t="s">
        <v>705</v>
      </c>
      <c r="B14" s="901"/>
      <c r="C14" s="901"/>
      <c r="D14" s="901"/>
      <c r="E14" s="901"/>
      <c r="F14" s="901"/>
    </row>
  </sheetData>
  <mergeCells count="4">
    <mergeCell ref="A3:F3"/>
    <mergeCell ref="A2:F2"/>
    <mergeCell ref="A14:F14"/>
    <mergeCell ref="A1:F1"/>
  </mergeCell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70AD47"/>
    <pageSetUpPr fitToPage="1"/>
  </sheetPr>
  <dimension ref="A1:I19"/>
  <sheetViews>
    <sheetView showGridLines="0" workbookViewId="0">
      <selection sqref="A1:D1"/>
    </sheetView>
  </sheetViews>
  <sheetFormatPr defaultRowHeight="15"/>
  <cols>
    <col min="1" max="1" width="28" customWidth="1"/>
    <col min="2" max="2" width="12" customWidth="1"/>
    <col min="3" max="4" width="15" customWidth="1"/>
    <col min="5" max="6" width="16" customWidth="1"/>
    <col min="7" max="8" width="14" customWidth="1"/>
    <col min="9" max="9" width="15" customWidth="1"/>
  </cols>
  <sheetData>
    <row r="1" spans="1:9" ht="28.15" customHeight="1">
      <c r="A1" s="899" t="s">
        <v>706</v>
      </c>
      <c r="B1" s="898"/>
      <c r="C1" s="898"/>
      <c r="D1" s="898"/>
      <c r="E1" s="898"/>
      <c r="F1" s="898"/>
      <c r="G1" s="898"/>
      <c r="H1" s="898"/>
      <c r="I1" s="898"/>
    </row>
    <row r="2" spans="1:9" ht="19.899999999999999" customHeight="1">
      <c r="A2" s="897" t="s">
        <v>707</v>
      </c>
      <c r="B2" s="898"/>
      <c r="C2" s="898"/>
      <c r="D2" s="898"/>
      <c r="E2" s="898"/>
      <c r="F2" s="898"/>
      <c r="G2" s="898"/>
      <c r="H2" s="898"/>
      <c r="I2" s="898"/>
    </row>
    <row r="3" spans="1:9" ht="4.9000000000000004" customHeight="1">
      <c r="A3" s="1086"/>
      <c r="B3" s="1087"/>
      <c r="C3" s="1087"/>
      <c r="D3" s="1087"/>
      <c r="E3" s="1087"/>
      <c r="F3" s="1087"/>
      <c r="G3" s="1087"/>
      <c r="H3" s="1087"/>
      <c r="I3" s="1087"/>
    </row>
    <row r="4" spans="1:9" ht="22.15" customHeight="1">
      <c r="A4" s="184" t="s">
        <v>708</v>
      </c>
      <c r="B4" s="184" t="s">
        <v>709</v>
      </c>
      <c r="C4" s="184" t="s">
        <v>381</v>
      </c>
      <c r="D4" s="184" t="s">
        <v>710</v>
      </c>
      <c r="E4" s="184" t="s">
        <v>711</v>
      </c>
      <c r="F4" s="184" t="s">
        <v>712</v>
      </c>
      <c r="G4" s="184" t="s">
        <v>713</v>
      </c>
      <c r="H4" s="184" t="s">
        <v>382</v>
      </c>
      <c r="I4" s="184" t="s">
        <v>383</v>
      </c>
    </row>
    <row r="5" spans="1:9" ht="19.899999999999999" customHeight="1">
      <c r="A5" s="182"/>
      <c r="B5" s="182"/>
      <c r="C5" s="182"/>
      <c r="D5" s="182"/>
      <c r="E5" s="182"/>
      <c r="F5" s="182"/>
      <c r="G5" s="182"/>
      <c r="H5" s="182"/>
      <c r="I5" s="182"/>
    </row>
    <row r="6" spans="1:9" ht="19.899999999999999" customHeight="1">
      <c r="A6" s="182"/>
      <c r="B6" s="182"/>
      <c r="C6" s="182"/>
      <c r="D6" s="182"/>
      <c r="E6" s="182"/>
      <c r="F6" s="182"/>
      <c r="G6" s="182"/>
      <c r="H6" s="182"/>
      <c r="I6" s="182"/>
    </row>
    <row r="7" spans="1:9" ht="19.899999999999999" customHeight="1">
      <c r="A7" s="182"/>
      <c r="B7" s="182"/>
      <c r="C7" s="182"/>
      <c r="D7" s="182"/>
      <c r="E7" s="182"/>
      <c r="F7" s="182"/>
      <c r="G7" s="182"/>
      <c r="H7" s="182"/>
      <c r="I7" s="182"/>
    </row>
    <row r="8" spans="1:9" ht="19.899999999999999" customHeight="1">
      <c r="A8" s="182"/>
      <c r="B8" s="182"/>
      <c r="C8" s="182"/>
      <c r="D8" s="182"/>
      <c r="E8" s="182"/>
      <c r="F8" s="182"/>
      <c r="G8" s="182"/>
      <c r="H8" s="182"/>
      <c r="I8" s="182"/>
    </row>
    <row r="9" spans="1:9" ht="19.899999999999999" customHeight="1">
      <c r="A9" s="182"/>
      <c r="B9" s="182"/>
      <c r="C9" s="182"/>
      <c r="D9" s="182"/>
      <c r="E9" s="182"/>
      <c r="F9" s="182"/>
      <c r="G9" s="182"/>
      <c r="H9" s="182"/>
      <c r="I9" s="182"/>
    </row>
    <row r="10" spans="1:9" ht="19.899999999999999" customHeight="1">
      <c r="A10" s="182"/>
      <c r="B10" s="182"/>
      <c r="C10" s="182"/>
      <c r="D10" s="182"/>
      <c r="E10" s="182"/>
      <c r="F10" s="182"/>
      <c r="G10" s="182"/>
      <c r="H10" s="182"/>
      <c r="I10" s="182"/>
    </row>
    <row r="11" spans="1:9" ht="19.899999999999999" customHeight="1">
      <c r="A11" s="182"/>
      <c r="B11" s="182"/>
      <c r="C11" s="182"/>
      <c r="D11" s="182"/>
      <c r="E11" s="182"/>
      <c r="F11" s="182"/>
      <c r="G11" s="182"/>
      <c r="H11" s="182"/>
      <c r="I11" s="182"/>
    </row>
    <row r="12" spans="1:9" ht="19.899999999999999" customHeight="1">
      <c r="A12" s="182"/>
      <c r="B12" s="182"/>
      <c r="C12" s="182"/>
      <c r="D12" s="182"/>
      <c r="E12" s="182"/>
      <c r="F12" s="182"/>
      <c r="G12" s="182"/>
      <c r="H12" s="182"/>
      <c r="I12" s="182"/>
    </row>
    <row r="13" spans="1:9" ht="19.899999999999999" customHeight="1">
      <c r="A13" s="182"/>
      <c r="B13" s="182"/>
      <c r="C13" s="182"/>
      <c r="D13" s="182"/>
      <c r="E13" s="182"/>
      <c r="F13" s="182"/>
      <c r="G13" s="182"/>
      <c r="H13" s="182"/>
      <c r="I13" s="182"/>
    </row>
    <row r="14" spans="1:9" ht="19.899999999999999" customHeight="1">
      <c r="A14" s="182"/>
      <c r="B14" s="182"/>
      <c r="C14" s="182"/>
      <c r="D14" s="182"/>
      <c r="E14" s="182"/>
      <c r="F14" s="182"/>
      <c r="G14" s="182"/>
      <c r="H14" s="182"/>
      <c r="I14" s="182"/>
    </row>
    <row r="15" spans="1:9" ht="19.899999999999999" customHeight="1">
      <c r="A15" s="182"/>
      <c r="B15" s="182"/>
      <c r="C15" s="182"/>
      <c r="D15" s="182"/>
      <c r="E15" s="182"/>
      <c r="F15" s="182"/>
      <c r="G15" s="182"/>
      <c r="H15" s="182"/>
      <c r="I15" s="182"/>
    </row>
    <row r="16" spans="1:9" ht="19.899999999999999" customHeight="1">
      <c r="A16" s="182"/>
      <c r="B16" s="182"/>
      <c r="C16" s="182"/>
      <c r="D16" s="182"/>
      <c r="E16" s="182"/>
      <c r="F16" s="182"/>
      <c r="G16" s="182"/>
      <c r="H16" s="182"/>
      <c r="I16" s="182"/>
    </row>
    <row r="17" spans="1:9" ht="19.899999999999999" customHeight="1">
      <c r="A17" s="270" t="s">
        <v>251</v>
      </c>
      <c r="B17" s="271"/>
      <c r="C17" s="272">
        <f t="shared" ref="C17:I17" si="0">SUM(C5:C16)</f>
        <v>0</v>
      </c>
      <c r="D17" s="272">
        <f t="shared" si="0"/>
        <v>0</v>
      </c>
      <c r="E17" s="272">
        <f t="shared" si="0"/>
        <v>0</v>
      </c>
      <c r="F17" s="272">
        <f t="shared" si="0"/>
        <v>0</v>
      </c>
      <c r="G17" s="272">
        <f t="shared" si="0"/>
        <v>0</v>
      </c>
      <c r="H17" s="272">
        <f t="shared" si="0"/>
        <v>0</v>
      </c>
      <c r="I17" s="272">
        <f t="shared" si="0"/>
        <v>0</v>
      </c>
    </row>
    <row r="19" spans="1:9" ht="15" customHeight="1">
      <c r="A19" s="900" t="s">
        <v>714</v>
      </c>
      <c r="B19" s="901"/>
      <c r="C19" s="901"/>
      <c r="D19" s="901"/>
      <c r="E19" s="901"/>
      <c r="F19" s="901"/>
      <c r="G19" s="901"/>
      <c r="H19" s="901"/>
      <c r="I19" s="901"/>
    </row>
  </sheetData>
  <mergeCells count="4">
    <mergeCell ref="A1:I1"/>
    <mergeCell ref="A3:I3"/>
    <mergeCell ref="A19:I19"/>
    <mergeCell ref="A2:I2"/>
  </mergeCell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70AD47"/>
    <pageSetUpPr fitToPage="1"/>
  </sheetPr>
  <dimension ref="A1:H19"/>
  <sheetViews>
    <sheetView showGridLines="0" workbookViewId="0">
      <selection sqref="A1:D1"/>
    </sheetView>
  </sheetViews>
  <sheetFormatPr defaultRowHeight="15"/>
  <cols>
    <col min="1" max="1" width="14" customWidth="1"/>
    <col min="2" max="2" width="20" customWidth="1"/>
    <col min="3" max="3" width="22" customWidth="1"/>
    <col min="4" max="4" width="28" customWidth="1"/>
    <col min="5" max="7" width="16" customWidth="1"/>
    <col min="8" max="8" width="22" customWidth="1"/>
  </cols>
  <sheetData>
    <row r="1" spans="1:8" ht="28.15" customHeight="1">
      <c r="A1" s="899" t="s">
        <v>715</v>
      </c>
      <c r="B1" s="898"/>
      <c r="C1" s="898"/>
      <c r="D1" s="898"/>
      <c r="E1" s="898"/>
      <c r="F1" s="898"/>
      <c r="G1" s="898"/>
      <c r="H1" s="898"/>
    </row>
    <row r="2" spans="1:8" ht="19.899999999999999" customHeight="1">
      <c r="A2" s="897" t="s">
        <v>716</v>
      </c>
      <c r="B2" s="898"/>
      <c r="C2" s="898"/>
      <c r="D2" s="898"/>
      <c r="E2" s="898"/>
      <c r="F2" s="898"/>
      <c r="G2" s="898"/>
      <c r="H2" s="898"/>
    </row>
    <row r="3" spans="1:8" ht="4.9000000000000004" customHeight="1">
      <c r="A3" s="1086"/>
      <c r="B3" s="1087"/>
      <c r="C3" s="1087"/>
      <c r="D3" s="1087"/>
      <c r="E3" s="1087"/>
      <c r="F3" s="1087"/>
      <c r="G3" s="1087"/>
      <c r="H3" s="1087"/>
    </row>
    <row r="4" spans="1:8" ht="22.15" customHeight="1">
      <c r="A4" s="184" t="s">
        <v>717</v>
      </c>
      <c r="B4" s="184" t="s">
        <v>718</v>
      </c>
      <c r="C4" s="184" t="s">
        <v>719</v>
      </c>
      <c r="D4" s="184" t="s">
        <v>720</v>
      </c>
      <c r="E4" s="184" t="s">
        <v>721</v>
      </c>
      <c r="F4" s="184" t="s">
        <v>722</v>
      </c>
      <c r="G4" s="184" t="s">
        <v>723</v>
      </c>
      <c r="H4" s="184" t="s">
        <v>704</v>
      </c>
    </row>
    <row r="5" spans="1:8" ht="19.899999999999999" customHeight="1">
      <c r="A5" s="182"/>
      <c r="B5" s="182"/>
      <c r="C5" s="182"/>
      <c r="D5" s="182"/>
      <c r="E5" s="182"/>
      <c r="F5" s="182"/>
      <c r="G5" s="182"/>
      <c r="H5" s="182"/>
    </row>
    <row r="6" spans="1:8" ht="19.899999999999999" customHeight="1">
      <c r="A6" s="182"/>
      <c r="B6" s="182"/>
      <c r="C6" s="182"/>
      <c r="D6" s="182"/>
      <c r="E6" s="182"/>
      <c r="F6" s="182"/>
      <c r="G6" s="182"/>
      <c r="H6" s="182"/>
    </row>
    <row r="7" spans="1:8" ht="19.899999999999999" customHeight="1">
      <c r="A7" s="182"/>
      <c r="B7" s="182"/>
      <c r="C7" s="182"/>
      <c r="D7" s="182"/>
      <c r="E7" s="182"/>
      <c r="F7" s="182"/>
      <c r="G7" s="182"/>
      <c r="H7" s="182"/>
    </row>
    <row r="8" spans="1:8" ht="19.899999999999999" customHeight="1">
      <c r="A8" s="182"/>
      <c r="B8" s="182"/>
      <c r="C8" s="182"/>
      <c r="D8" s="182"/>
      <c r="E8" s="182"/>
      <c r="F8" s="182"/>
      <c r="G8" s="182"/>
      <c r="H8" s="182"/>
    </row>
    <row r="9" spans="1:8" ht="19.899999999999999" customHeight="1">
      <c r="A9" s="182"/>
      <c r="B9" s="182"/>
      <c r="C9" s="182"/>
      <c r="D9" s="182"/>
      <c r="E9" s="182"/>
      <c r="F9" s="182"/>
      <c r="G9" s="182"/>
      <c r="H9" s="182"/>
    </row>
    <row r="10" spans="1:8" ht="19.899999999999999" customHeight="1">
      <c r="A10" s="182"/>
      <c r="B10" s="182"/>
      <c r="C10" s="182"/>
      <c r="D10" s="182"/>
      <c r="E10" s="182"/>
      <c r="F10" s="182"/>
      <c r="G10" s="182"/>
      <c r="H10" s="182"/>
    </row>
    <row r="11" spans="1:8" ht="19.899999999999999" customHeight="1">
      <c r="A11" s="182"/>
      <c r="B11" s="182"/>
      <c r="C11" s="182"/>
      <c r="D11" s="182"/>
      <c r="E11" s="182"/>
      <c r="F11" s="182"/>
      <c r="G11" s="182"/>
      <c r="H11" s="182"/>
    </row>
    <row r="12" spans="1:8" ht="19.899999999999999" customHeight="1">
      <c r="A12" s="182"/>
      <c r="B12" s="182"/>
      <c r="C12" s="182"/>
      <c r="D12" s="182"/>
      <c r="E12" s="182"/>
      <c r="F12" s="182"/>
      <c r="G12" s="182"/>
      <c r="H12" s="182"/>
    </row>
    <row r="13" spans="1:8" ht="19.899999999999999" customHeight="1">
      <c r="A13" s="182"/>
      <c r="B13" s="182"/>
      <c r="C13" s="182"/>
      <c r="D13" s="182"/>
      <c r="E13" s="182"/>
      <c r="F13" s="182"/>
      <c r="G13" s="182"/>
      <c r="H13" s="182"/>
    </row>
    <row r="14" spans="1:8" ht="19.899999999999999" customHeight="1">
      <c r="A14" s="182"/>
      <c r="B14" s="182"/>
      <c r="C14" s="182"/>
      <c r="D14" s="182"/>
      <c r="E14" s="182"/>
      <c r="F14" s="182"/>
      <c r="G14" s="182"/>
      <c r="H14" s="182"/>
    </row>
    <row r="15" spans="1:8" ht="19.899999999999999" customHeight="1">
      <c r="A15" s="182"/>
      <c r="B15" s="182"/>
      <c r="C15" s="182"/>
      <c r="D15" s="182"/>
      <c r="E15" s="182"/>
      <c r="F15" s="182"/>
      <c r="G15" s="182"/>
      <c r="H15" s="182"/>
    </row>
    <row r="16" spans="1:8" ht="19.899999999999999" customHeight="1">
      <c r="A16" s="182"/>
      <c r="B16" s="182"/>
      <c r="C16" s="182"/>
      <c r="D16" s="182"/>
      <c r="E16" s="182"/>
      <c r="F16" s="182"/>
      <c r="G16" s="182"/>
      <c r="H16" s="182"/>
    </row>
    <row r="17" spans="1:8" ht="19.899999999999999" customHeight="1">
      <c r="A17" s="271"/>
      <c r="B17" s="271"/>
      <c r="C17" s="271"/>
      <c r="D17" s="270" t="s">
        <v>251</v>
      </c>
      <c r="E17" s="272">
        <f>SUM(E5:E16)</f>
        <v>0</v>
      </c>
      <c r="F17" s="272">
        <f>SUM(F5:F16)</f>
        <v>0</v>
      </c>
      <c r="G17" s="272">
        <f>SUM(G5:G16)</f>
        <v>0</v>
      </c>
      <c r="H17" s="271"/>
    </row>
    <row r="19" spans="1:8" ht="25.9" customHeight="1">
      <c r="A19" s="900" t="s">
        <v>724</v>
      </c>
      <c r="B19" s="901"/>
      <c r="C19" s="901"/>
      <c r="D19" s="901"/>
      <c r="E19" s="901"/>
      <c r="F19" s="901"/>
      <c r="G19" s="901"/>
      <c r="H19" s="901"/>
    </row>
  </sheetData>
  <mergeCells count="4">
    <mergeCell ref="A19:H19"/>
    <mergeCell ref="A3:H3"/>
    <mergeCell ref="A2:H2"/>
    <mergeCell ref="A1:H1"/>
  </mergeCell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70AD47"/>
    <pageSetUpPr fitToPage="1"/>
  </sheetPr>
  <dimension ref="A1:H17"/>
  <sheetViews>
    <sheetView showGridLines="0" workbookViewId="0">
      <selection sqref="A1:D1"/>
    </sheetView>
  </sheetViews>
  <sheetFormatPr defaultRowHeight="15"/>
  <cols>
    <col min="1" max="2" width="24" customWidth="1"/>
    <col min="3" max="7" width="16" customWidth="1"/>
    <col min="8" max="8" width="22" customWidth="1"/>
  </cols>
  <sheetData>
    <row r="1" spans="1:8" ht="28.15" customHeight="1">
      <c r="A1" s="899" t="s">
        <v>725</v>
      </c>
      <c r="B1" s="898"/>
      <c r="C1" s="898"/>
      <c r="D1" s="898"/>
      <c r="E1" s="898"/>
      <c r="F1" s="898"/>
      <c r="G1" s="898"/>
      <c r="H1" s="898"/>
    </row>
    <row r="2" spans="1:8" ht="19.899999999999999" customHeight="1">
      <c r="A2" s="897" t="s">
        <v>726</v>
      </c>
      <c r="B2" s="898"/>
      <c r="C2" s="898"/>
      <c r="D2" s="898"/>
      <c r="E2" s="898"/>
      <c r="F2" s="898"/>
      <c r="G2" s="898"/>
      <c r="H2" s="898"/>
    </row>
    <row r="3" spans="1:8" ht="4.9000000000000004" customHeight="1">
      <c r="A3" s="1086"/>
      <c r="B3" s="1087"/>
      <c r="C3" s="1087"/>
      <c r="D3" s="1087"/>
      <c r="E3" s="1087"/>
      <c r="F3" s="1087"/>
      <c r="G3" s="1087"/>
      <c r="H3" s="1087"/>
    </row>
    <row r="4" spans="1:8" ht="22.15" customHeight="1">
      <c r="A4" s="184" t="s">
        <v>727</v>
      </c>
      <c r="B4" s="184" t="s">
        <v>728</v>
      </c>
      <c r="C4" s="184" t="s">
        <v>729</v>
      </c>
      <c r="D4" s="184" t="s">
        <v>730</v>
      </c>
      <c r="E4" s="184" t="s">
        <v>731</v>
      </c>
      <c r="F4" s="184" t="s">
        <v>732</v>
      </c>
      <c r="G4" s="184" t="s">
        <v>733</v>
      </c>
      <c r="H4" s="184" t="s">
        <v>704</v>
      </c>
    </row>
    <row r="5" spans="1:8" ht="19.899999999999999" customHeight="1">
      <c r="A5" s="182"/>
      <c r="B5" s="182"/>
      <c r="C5" s="182"/>
      <c r="D5" s="182"/>
      <c r="E5" s="182"/>
      <c r="F5" s="182"/>
      <c r="G5" s="182"/>
      <c r="H5" s="182"/>
    </row>
    <row r="6" spans="1:8" ht="19.899999999999999" customHeight="1">
      <c r="A6" s="182"/>
      <c r="B6" s="182"/>
      <c r="C6" s="182"/>
      <c r="D6" s="182"/>
      <c r="E6" s="182"/>
      <c r="F6" s="182"/>
      <c r="G6" s="182"/>
      <c r="H6" s="182"/>
    </row>
    <row r="7" spans="1:8" ht="19.899999999999999" customHeight="1">
      <c r="A7" s="182"/>
      <c r="B7" s="182"/>
      <c r="C7" s="182"/>
      <c r="D7" s="182"/>
      <c r="E7" s="182"/>
      <c r="F7" s="182"/>
      <c r="G7" s="182"/>
      <c r="H7" s="182"/>
    </row>
    <row r="8" spans="1:8" ht="19.899999999999999" customHeight="1">
      <c r="A8" s="182"/>
      <c r="B8" s="182"/>
      <c r="C8" s="182"/>
      <c r="D8" s="182"/>
      <c r="E8" s="182"/>
      <c r="F8" s="182"/>
      <c r="G8" s="182"/>
      <c r="H8" s="182"/>
    </row>
    <row r="9" spans="1:8" ht="19.899999999999999" customHeight="1">
      <c r="A9" s="182"/>
      <c r="B9" s="182"/>
      <c r="C9" s="182"/>
      <c r="D9" s="182"/>
      <c r="E9" s="182"/>
      <c r="F9" s="182"/>
      <c r="G9" s="182"/>
      <c r="H9" s="182"/>
    </row>
    <row r="10" spans="1:8" ht="19.899999999999999" customHeight="1">
      <c r="A10" s="182"/>
      <c r="B10" s="182"/>
      <c r="C10" s="182"/>
      <c r="D10" s="182"/>
      <c r="E10" s="182"/>
      <c r="F10" s="182"/>
      <c r="G10" s="182"/>
      <c r="H10" s="182"/>
    </row>
    <row r="11" spans="1:8" ht="19.899999999999999" customHeight="1">
      <c r="A11" s="182"/>
      <c r="B11" s="182"/>
      <c r="C11" s="182"/>
      <c r="D11" s="182"/>
      <c r="E11" s="182"/>
      <c r="F11" s="182"/>
      <c r="G11" s="182"/>
      <c r="H11" s="182"/>
    </row>
    <row r="12" spans="1:8" ht="19.899999999999999" customHeight="1">
      <c r="A12" s="182"/>
      <c r="B12" s="182"/>
      <c r="C12" s="182"/>
      <c r="D12" s="182"/>
      <c r="E12" s="182"/>
      <c r="F12" s="182"/>
      <c r="G12" s="182"/>
      <c r="H12" s="182"/>
    </row>
    <row r="13" spans="1:8" ht="19.899999999999999" customHeight="1">
      <c r="A13" s="182"/>
      <c r="B13" s="182"/>
      <c r="C13" s="182"/>
      <c r="D13" s="182"/>
      <c r="E13" s="182"/>
      <c r="F13" s="182"/>
      <c r="G13" s="182"/>
      <c r="H13" s="182"/>
    </row>
    <row r="14" spans="1:8" ht="19.899999999999999" customHeight="1">
      <c r="A14" s="182"/>
      <c r="B14" s="182"/>
      <c r="C14" s="182"/>
      <c r="D14" s="182"/>
      <c r="E14" s="182"/>
      <c r="F14" s="182"/>
      <c r="G14" s="182"/>
      <c r="H14" s="182"/>
    </row>
    <row r="15" spans="1:8" ht="19.899999999999999" customHeight="1">
      <c r="A15" s="271"/>
      <c r="B15" s="271"/>
      <c r="C15" s="270" t="s">
        <v>251</v>
      </c>
      <c r="D15" s="272">
        <f>SUM(D5:D14)</f>
        <v>0</v>
      </c>
      <c r="E15" s="271"/>
      <c r="F15" s="272">
        <f>SUM(F5:F14)</f>
        <v>0</v>
      </c>
      <c r="G15" s="272">
        <f>SUM(G5:G14)</f>
        <v>0</v>
      </c>
      <c r="H15" s="271"/>
    </row>
    <row r="17" spans="1:8" ht="25.9" customHeight="1">
      <c r="A17" s="900" t="s">
        <v>734</v>
      </c>
      <c r="B17" s="901"/>
      <c r="C17" s="901"/>
      <c r="D17" s="901"/>
      <c r="E17" s="901"/>
      <c r="F17" s="901"/>
      <c r="G17" s="901"/>
      <c r="H17" s="901"/>
    </row>
  </sheetData>
  <mergeCells count="4">
    <mergeCell ref="A3:H3"/>
    <mergeCell ref="A2:H2"/>
    <mergeCell ref="A17:H17"/>
    <mergeCell ref="A1:H1"/>
  </mergeCell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70AD47"/>
    <pageSetUpPr fitToPage="1"/>
  </sheetPr>
  <dimension ref="A1:H17"/>
  <sheetViews>
    <sheetView showGridLines="0" workbookViewId="0">
      <selection sqref="A1:D1"/>
    </sheetView>
  </sheetViews>
  <sheetFormatPr defaultRowHeight="15"/>
  <cols>
    <col min="1" max="1" width="28" customWidth="1"/>
    <col min="2" max="4" width="14" customWidth="1"/>
    <col min="5" max="5" width="18" customWidth="1"/>
    <col min="6" max="7" width="16" customWidth="1"/>
    <col min="8" max="8" width="22" customWidth="1"/>
  </cols>
  <sheetData>
    <row r="1" spans="1:8" ht="28.15" customHeight="1">
      <c r="A1" s="899" t="s">
        <v>735</v>
      </c>
      <c r="B1" s="898"/>
      <c r="C1" s="898"/>
      <c r="D1" s="898"/>
      <c r="E1" s="898"/>
      <c r="F1" s="898"/>
      <c r="G1" s="898"/>
      <c r="H1" s="898"/>
    </row>
    <row r="2" spans="1:8" ht="19.899999999999999" customHeight="1">
      <c r="A2" s="897" t="s">
        <v>612</v>
      </c>
      <c r="B2" s="898"/>
      <c r="C2" s="898"/>
      <c r="D2" s="898"/>
      <c r="E2" s="898"/>
      <c r="F2" s="898"/>
      <c r="G2" s="898"/>
      <c r="H2" s="898"/>
    </row>
    <row r="3" spans="1:8" ht="4.9000000000000004" customHeight="1">
      <c r="A3" s="1086"/>
      <c r="B3" s="1087"/>
      <c r="C3" s="1087"/>
      <c r="D3" s="1087"/>
      <c r="E3" s="1087"/>
      <c r="F3" s="1087"/>
      <c r="G3" s="1087"/>
      <c r="H3" s="1087"/>
    </row>
    <row r="4" spans="1:8" ht="22.15" customHeight="1">
      <c r="A4" s="184" t="s">
        <v>736</v>
      </c>
      <c r="B4" s="184" t="s">
        <v>737</v>
      </c>
      <c r="C4" s="184" t="s">
        <v>738</v>
      </c>
      <c r="D4" s="184" t="s">
        <v>739</v>
      </c>
      <c r="E4" s="184" t="s">
        <v>740</v>
      </c>
      <c r="F4" s="184" t="s">
        <v>741</v>
      </c>
      <c r="G4" s="184" t="s">
        <v>742</v>
      </c>
      <c r="H4" s="184" t="s">
        <v>704</v>
      </c>
    </row>
    <row r="5" spans="1:8" ht="19.899999999999999" customHeight="1">
      <c r="A5" s="182"/>
      <c r="B5" s="182"/>
      <c r="C5" s="182"/>
      <c r="D5" s="182"/>
      <c r="E5" s="182"/>
      <c r="F5" s="182"/>
      <c r="G5" s="182"/>
      <c r="H5" s="182"/>
    </row>
    <row r="6" spans="1:8" ht="19.899999999999999" customHeight="1">
      <c r="A6" s="182"/>
      <c r="B6" s="182"/>
      <c r="C6" s="182"/>
      <c r="D6" s="182"/>
      <c r="E6" s="182"/>
      <c r="F6" s="182"/>
      <c r="G6" s="182"/>
      <c r="H6" s="182"/>
    </row>
    <row r="7" spans="1:8" ht="19.899999999999999" customHeight="1">
      <c r="A7" s="182"/>
      <c r="B7" s="182"/>
      <c r="C7" s="182"/>
      <c r="D7" s="182"/>
      <c r="E7" s="182"/>
      <c r="F7" s="182"/>
      <c r="G7" s="182"/>
      <c r="H7" s="182"/>
    </row>
    <row r="8" spans="1:8" ht="19.899999999999999" customHeight="1">
      <c r="A8" s="182"/>
      <c r="B8" s="182"/>
      <c r="C8" s="182"/>
      <c r="D8" s="182"/>
      <c r="E8" s="182"/>
      <c r="F8" s="182"/>
      <c r="G8" s="182"/>
      <c r="H8" s="182"/>
    </row>
    <row r="9" spans="1:8" ht="19.899999999999999" customHeight="1">
      <c r="A9" s="182"/>
      <c r="B9" s="182"/>
      <c r="C9" s="182"/>
      <c r="D9" s="182"/>
      <c r="E9" s="182"/>
      <c r="F9" s="182"/>
      <c r="G9" s="182"/>
      <c r="H9" s="182"/>
    </row>
    <row r="10" spans="1:8" ht="19.899999999999999" customHeight="1">
      <c r="A10" s="182"/>
      <c r="B10" s="182"/>
      <c r="C10" s="182"/>
      <c r="D10" s="182"/>
      <c r="E10" s="182"/>
      <c r="F10" s="182"/>
      <c r="G10" s="182"/>
      <c r="H10" s="182"/>
    </row>
    <row r="11" spans="1:8" ht="19.899999999999999" customHeight="1">
      <c r="A11" s="182"/>
      <c r="B11" s="182"/>
      <c r="C11" s="182"/>
      <c r="D11" s="182"/>
      <c r="E11" s="182"/>
      <c r="F11" s="182"/>
      <c r="G11" s="182"/>
      <c r="H11" s="182"/>
    </row>
    <row r="12" spans="1:8" ht="19.899999999999999" customHeight="1">
      <c r="A12" s="182"/>
      <c r="B12" s="182"/>
      <c r="C12" s="182"/>
      <c r="D12" s="182"/>
      <c r="E12" s="182"/>
      <c r="F12" s="182"/>
      <c r="G12" s="182"/>
      <c r="H12" s="182"/>
    </row>
    <row r="13" spans="1:8" ht="19.899999999999999" customHeight="1">
      <c r="A13" s="182"/>
      <c r="B13" s="182"/>
      <c r="C13" s="182"/>
      <c r="D13" s="182"/>
      <c r="E13" s="182"/>
      <c r="F13" s="182"/>
      <c r="G13" s="182"/>
      <c r="H13" s="182"/>
    </row>
    <row r="14" spans="1:8" ht="19.899999999999999" customHeight="1">
      <c r="A14" s="182"/>
      <c r="B14" s="182"/>
      <c r="C14" s="182"/>
      <c r="D14" s="182"/>
      <c r="E14" s="182"/>
      <c r="F14" s="182"/>
      <c r="G14" s="182"/>
      <c r="H14" s="182"/>
    </row>
    <row r="15" spans="1:8" ht="19.899999999999999" customHeight="1">
      <c r="A15" s="270" t="s">
        <v>251</v>
      </c>
      <c r="B15" s="272">
        <f t="shared" ref="B15:G15" si="0">SUM(B5:B14)</f>
        <v>0</v>
      </c>
      <c r="C15" s="272">
        <f t="shared" si="0"/>
        <v>0</v>
      </c>
      <c r="D15" s="272">
        <f t="shared" si="0"/>
        <v>0</v>
      </c>
      <c r="E15" s="272">
        <f t="shared" si="0"/>
        <v>0</v>
      </c>
      <c r="F15" s="272">
        <f t="shared" si="0"/>
        <v>0</v>
      </c>
      <c r="G15" s="272">
        <f t="shared" si="0"/>
        <v>0</v>
      </c>
      <c r="H15" s="271"/>
    </row>
    <row r="17" spans="1:8" ht="15" customHeight="1">
      <c r="A17" s="900" t="s">
        <v>743</v>
      </c>
      <c r="B17" s="901"/>
      <c r="C17" s="901"/>
      <c r="D17" s="901"/>
      <c r="E17" s="901"/>
      <c r="F17" s="901"/>
      <c r="G17" s="901"/>
      <c r="H17" s="901"/>
    </row>
  </sheetData>
  <mergeCells count="4">
    <mergeCell ref="A3:H3"/>
    <mergeCell ref="A2:H2"/>
    <mergeCell ref="A17:H17"/>
    <mergeCell ref="A1:H1"/>
  </mergeCell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70AD47"/>
    <pageSetUpPr fitToPage="1"/>
  </sheetPr>
  <dimension ref="A1:J19"/>
  <sheetViews>
    <sheetView showGridLines="0" workbookViewId="0">
      <selection sqref="A1:D1"/>
    </sheetView>
  </sheetViews>
  <sheetFormatPr defaultRowHeight="15"/>
  <cols>
    <col min="1" max="1" width="18" customWidth="1"/>
    <col min="2" max="2" width="30" customWidth="1"/>
    <col min="3" max="3" width="18" customWidth="1"/>
    <col min="4" max="5" width="14" customWidth="1"/>
    <col min="6" max="6" width="10" customWidth="1"/>
    <col min="7" max="7" width="18" customWidth="1"/>
    <col min="8" max="8" width="16" customWidth="1"/>
    <col min="9" max="9" width="12" customWidth="1"/>
    <col min="10" max="10" width="22" customWidth="1"/>
  </cols>
  <sheetData>
    <row r="1" spans="1:10" ht="28.15" customHeight="1">
      <c r="A1" s="899" t="s">
        <v>744</v>
      </c>
      <c r="B1" s="898"/>
      <c r="C1" s="898"/>
      <c r="D1" s="898"/>
      <c r="E1" s="898"/>
      <c r="F1" s="898"/>
      <c r="G1" s="898"/>
      <c r="H1" s="898"/>
      <c r="I1" s="898"/>
      <c r="J1" s="898"/>
    </row>
    <row r="2" spans="1:10" ht="19.899999999999999" customHeight="1">
      <c r="A2" s="897" t="s">
        <v>745</v>
      </c>
      <c r="B2" s="898"/>
      <c r="C2" s="898"/>
      <c r="D2" s="898"/>
      <c r="E2" s="898"/>
      <c r="F2" s="898"/>
      <c r="G2" s="898"/>
      <c r="H2" s="898"/>
      <c r="I2" s="898"/>
      <c r="J2" s="898"/>
    </row>
    <row r="3" spans="1:10" ht="4.9000000000000004" customHeight="1">
      <c r="A3" s="1086"/>
      <c r="B3" s="1087"/>
      <c r="C3" s="1087"/>
      <c r="D3" s="1087"/>
      <c r="E3" s="1087"/>
      <c r="F3" s="1087"/>
      <c r="G3" s="1087"/>
      <c r="H3" s="1087"/>
      <c r="I3" s="1087"/>
      <c r="J3" s="1087"/>
    </row>
    <row r="4" spans="1:10" ht="48" customHeight="1">
      <c r="A4" s="1091" t="s">
        <v>746</v>
      </c>
      <c r="B4" s="1089"/>
      <c r="C4" s="1089"/>
      <c r="D4" s="1089"/>
      <c r="E4" s="1089"/>
      <c r="F4" s="1089"/>
      <c r="G4" s="1089"/>
      <c r="H4" s="1089"/>
      <c r="I4" s="1089"/>
      <c r="J4" s="1089"/>
    </row>
    <row r="5" spans="1:10" ht="22.15" customHeight="1">
      <c r="A5" s="184" t="s">
        <v>747</v>
      </c>
      <c r="B5" s="184" t="s">
        <v>748</v>
      </c>
      <c r="C5" s="184" t="s">
        <v>700</v>
      </c>
      <c r="D5" s="184" t="s">
        <v>717</v>
      </c>
      <c r="E5" s="184" t="s">
        <v>236</v>
      </c>
      <c r="F5" s="184" t="s">
        <v>749</v>
      </c>
      <c r="G5" s="184" t="s">
        <v>750</v>
      </c>
      <c r="H5" s="184" t="s">
        <v>751</v>
      </c>
      <c r="I5" s="184" t="s">
        <v>752</v>
      </c>
      <c r="J5" s="184" t="s">
        <v>704</v>
      </c>
    </row>
    <row r="6" spans="1:10" ht="19.899999999999999" customHeight="1">
      <c r="A6" s="182"/>
      <c r="B6" s="182"/>
      <c r="C6" s="182"/>
      <c r="D6" s="182"/>
      <c r="E6" s="182"/>
      <c r="F6" s="182"/>
      <c r="G6" s="182"/>
      <c r="H6" s="182"/>
      <c r="I6" s="182"/>
      <c r="J6" s="182"/>
    </row>
    <row r="7" spans="1:10" ht="19.899999999999999" customHeight="1">
      <c r="A7" s="182"/>
      <c r="B7" s="182"/>
      <c r="C7" s="182"/>
      <c r="D7" s="182"/>
      <c r="E7" s="182"/>
      <c r="F7" s="182"/>
      <c r="G7" s="182"/>
      <c r="H7" s="182"/>
      <c r="I7" s="182"/>
      <c r="J7" s="182"/>
    </row>
    <row r="8" spans="1:10" ht="19.899999999999999" customHeight="1">
      <c r="A8" s="182"/>
      <c r="B8" s="182"/>
      <c r="C8" s="182"/>
      <c r="D8" s="182"/>
      <c r="E8" s="182"/>
      <c r="F8" s="182"/>
      <c r="G8" s="182"/>
      <c r="H8" s="182"/>
      <c r="I8" s="182"/>
      <c r="J8" s="182"/>
    </row>
    <row r="9" spans="1:10" ht="19.899999999999999" customHeight="1">
      <c r="A9" s="182"/>
      <c r="B9" s="182"/>
      <c r="C9" s="182"/>
      <c r="D9" s="182"/>
      <c r="E9" s="182"/>
      <c r="F9" s="182"/>
      <c r="G9" s="182"/>
      <c r="H9" s="182"/>
      <c r="I9" s="182"/>
      <c r="J9" s="182"/>
    </row>
    <row r="10" spans="1:10" ht="19.899999999999999" customHeight="1">
      <c r="A10" s="182"/>
      <c r="B10" s="182"/>
      <c r="C10" s="182"/>
      <c r="D10" s="182"/>
      <c r="E10" s="182"/>
      <c r="F10" s="182"/>
      <c r="G10" s="182"/>
      <c r="H10" s="182"/>
      <c r="I10" s="182"/>
      <c r="J10" s="182"/>
    </row>
    <row r="11" spans="1:10" ht="19.899999999999999" customHeight="1">
      <c r="A11" s="182"/>
      <c r="B11" s="182"/>
      <c r="C11" s="182"/>
      <c r="D11" s="182"/>
      <c r="E11" s="182"/>
      <c r="F11" s="182"/>
      <c r="G11" s="182"/>
      <c r="H11" s="182"/>
      <c r="I11" s="182"/>
      <c r="J11" s="182"/>
    </row>
    <row r="12" spans="1:10" ht="19.899999999999999" customHeight="1">
      <c r="A12" s="182"/>
      <c r="B12" s="182"/>
      <c r="C12" s="182"/>
      <c r="D12" s="182"/>
      <c r="E12" s="182"/>
      <c r="F12" s="182"/>
      <c r="G12" s="182"/>
      <c r="H12" s="182"/>
      <c r="I12" s="182"/>
      <c r="J12" s="182"/>
    </row>
    <row r="13" spans="1:10" ht="19.899999999999999" customHeight="1">
      <c r="A13" s="182"/>
      <c r="B13" s="182"/>
      <c r="C13" s="182"/>
      <c r="D13" s="182"/>
      <c r="E13" s="182"/>
      <c r="F13" s="182"/>
      <c r="G13" s="182"/>
      <c r="H13" s="182"/>
      <c r="I13" s="182"/>
      <c r="J13" s="182"/>
    </row>
    <row r="14" spans="1:10" ht="19.899999999999999" customHeight="1">
      <c r="A14" s="182"/>
      <c r="B14" s="182"/>
      <c r="C14" s="182"/>
      <c r="D14" s="182"/>
      <c r="E14" s="182"/>
      <c r="F14" s="182"/>
      <c r="G14" s="182"/>
      <c r="H14" s="182"/>
      <c r="I14" s="182"/>
      <c r="J14" s="182"/>
    </row>
    <row r="15" spans="1:10" ht="19.899999999999999" customHeight="1">
      <c r="A15" s="182"/>
      <c r="B15" s="182"/>
      <c r="C15" s="182"/>
      <c r="D15" s="182"/>
      <c r="E15" s="182"/>
      <c r="F15" s="182"/>
      <c r="G15" s="182"/>
      <c r="H15" s="182"/>
      <c r="I15" s="182"/>
      <c r="J15" s="182"/>
    </row>
    <row r="16" spans="1:10" ht="19.899999999999999" customHeight="1">
      <c r="A16" s="182"/>
      <c r="B16" s="182"/>
      <c r="C16" s="182"/>
      <c r="D16" s="182"/>
      <c r="E16" s="182"/>
      <c r="F16" s="182"/>
      <c r="G16" s="182"/>
      <c r="H16" s="182"/>
      <c r="I16" s="182"/>
      <c r="J16" s="182"/>
    </row>
    <row r="17" spans="1:10" ht="19.899999999999999" customHeight="1">
      <c r="A17" s="182"/>
      <c r="B17" s="182"/>
      <c r="C17" s="182"/>
      <c r="D17" s="182"/>
      <c r="E17" s="182"/>
      <c r="F17" s="182"/>
      <c r="G17" s="182"/>
      <c r="H17" s="182"/>
      <c r="I17" s="182"/>
      <c r="J17" s="182"/>
    </row>
    <row r="19" spans="1:10" ht="25.9" customHeight="1">
      <c r="A19" s="900" t="s">
        <v>753</v>
      </c>
      <c r="B19" s="901"/>
      <c r="C19" s="901"/>
      <c r="D19" s="901"/>
      <c r="E19" s="901"/>
      <c r="F19" s="901"/>
      <c r="G19" s="901"/>
      <c r="H19" s="901"/>
      <c r="I19" s="901"/>
      <c r="J19" s="901"/>
    </row>
  </sheetData>
  <mergeCells count="5">
    <mergeCell ref="A1:J1"/>
    <mergeCell ref="A3:J3"/>
    <mergeCell ref="A4:J4"/>
    <mergeCell ref="A2:J2"/>
    <mergeCell ref="A19:J19"/>
  </mergeCell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70AD47"/>
    <pageSetUpPr fitToPage="1"/>
  </sheetPr>
  <dimension ref="A1:H17"/>
  <sheetViews>
    <sheetView showGridLines="0" workbookViewId="0">
      <selection sqref="A1:D1"/>
    </sheetView>
  </sheetViews>
  <sheetFormatPr defaultRowHeight="15"/>
  <cols>
    <col min="1" max="1" width="12" customWidth="1"/>
    <col min="2" max="2" width="22" customWidth="1"/>
    <col min="3" max="3" width="16" customWidth="1"/>
    <col min="4" max="4" width="26" customWidth="1"/>
    <col min="5" max="6" width="16" customWidth="1"/>
    <col min="7" max="7" width="18" customWidth="1"/>
    <col min="8" max="8" width="24" customWidth="1"/>
  </cols>
  <sheetData>
    <row r="1" spans="1:8" ht="28.15" customHeight="1">
      <c r="A1" s="899" t="s">
        <v>754</v>
      </c>
      <c r="B1" s="898"/>
      <c r="C1" s="898"/>
      <c r="D1" s="898"/>
      <c r="E1" s="898"/>
      <c r="F1" s="898"/>
      <c r="G1" s="898"/>
      <c r="H1" s="898"/>
    </row>
    <row r="2" spans="1:8" ht="19.899999999999999" customHeight="1">
      <c r="A2" s="897" t="s">
        <v>755</v>
      </c>
      <c r="B2" s="898"/>
      <c r="C2" s="898"/>
      <c r="D2" s="898"/>
      <c r="E2" s="898"/>
      <c r="F2" s="898"/>
      <c r="G2" s="898"/>
      <c r="H2" s="898"/>
    </row>
    <row r="3" spans="1:8" ht="4.9000000000000004" customHeight="1">
      <c r="A3" s="1086"/>
      <c r="B3" s="1087"/>
      <c r="C3" s="1087"/>
      <c r="D3" s="1087"/>
      <c r="E3" s="1087"/>
      <c r="F3" s="1087"/>
      <c r="G3" s="1087"/>
      <c r="H3" s="1087"/>
    </row>
    <row r="4" spans="1:8" ht="22.15" customHeight="1">
      <c r="A4" s="184" t="s">
        <v>756</v>
      </c>
      <c r="B4" s="184" t="s">
        <v>747</v>
      </c>
      <c r="C4" s="184" t="s">
        <v>757</v>
      </c>
      <c r="D4" s="184" t="s">
        <v>758</v>
      </c>
      <c r="E4" s="184" t="s">
        <v>759</v>
      </c>
      <c r="F4" s="184" t="s">
        <v>760</v>
      </c>
      <c r="G4" s="184" t="s">
        <v>761</v>
      </c>
      <c r="H4" s="184" t="s">
        <v>704</v>
      </c>
    </row>
    <row r="5" spans="1:8" ht="19.899999999999999" customHeight="1">
      <c r="A5" s="182"/>
      <c r="B5" s="182"/>
      <c r="C5" s="182"/>
      <c r="D5" s="182"/>
      <c r="E5" s="182"/>
      <c r="F5" s="182"/>
      <c r="G5" s="182"/>
      <c r="H5" s="182"/>
    </row>
    <row r="6" spans="1:8" ht="19.899999999999999" customHeight="1">
      <c r="A6" s="182"/>
      <c r="B6" s="182"/>
      <c r="C6" s="182"/>
      <c r="D6" s="182"/>
      <c r="E6" s="182"/>
      <c r="F6" s="182"/>
      <c r="G6" s="182"/>
      <c r="H6" s="182"/>
    </row>
    <row r="7" spans="1:8" ht="19.899999999999999" customHeight="1">
      <c r="A7" s="182"/>
      <c r="B7" s="182"/>
      <c r="C7" s="182"/>
      <c r="D7" s="182"/>
      <c r="E7" s="182"/>
      <c r="F7" s="182"/>
      <c r="G7" s="182"/>
      <c r="H7" s="182"/>
    </row>
    <row r="8" spans="1:8" ht="19.899999999999999" customHeight="1">
      <c r="A8" s="182"/>
      <c r="B8" s="182"/>
      <c r="C8" s="182"/>
      <c r="D8" s="182"/>
      <c r="E8" s="182"/>
      <c r="F8" s="182"/>
      <c r="G8" s="182"/>
      <c r="H8" s="182"/>
    </row>
    <row r="9" spans="1:8" ht="19.899999999999999" customHeight="1">
      <c r="A9" s="182"/>
      <c r="B9" s="182"/>
      <c r="C9" s="182"/>
      <c r="D9" s="182"/>
      <c r="E9" s="182"/>
      <c r="F9" s="182"/>
      <c r="G9" s="182"/>
      <c r="H9" s="182"/>
    </row>
    <row r="10" spans="1:8" ht="19.899999999999999" customHeight="1">
      <c r="A10" s="182"/>
      <c r="B10" s="182"/>
      <c r="C10" s="182"/>
      <c r="D10" s="182"/>
      <c r="E10" s="182"/>
      <c r="F10" s="182"/>
      <c r="G10" s="182"/>
      <c r="H10" s="182"/>
    </row>
    <row r="11" spans="1:8" ht="19.899999999999999" customHeight="1">
      <c r="A11" s="182"/>
      <c r="B11" s="182"/>
      <c r="C11" s="182"/>
      <c r="D11" s="182"/>
      <c r="E11" s="182"/>
      <c r="F11" s="182"/>
      <c r="G11" s="182"/>
      <c r="H11" s="182"/>
    </row>
    <row r="12" spans="1:8" ht="19.899999999999999" customHeight="1">
      <c r="A12" s="182"/>
      <c r="B12" s="182"/>
      <c r="C12" s="182"/>
      <c r="D12" s="182"/>
      <c r="E12" s="182"/>
      <c r="F12" s="182"/>
      <c r="G12" s="182"/>
      <c r="H12" s="182"/>
    </row>
    <row r="13" spans="1:8" ht="19.899999999999999" customHeight="1">
      <c r="A13" s="182"/>
      <c r="B13" s="182"/>
      <c r="C13" s="182"/>
      <c r="D13" s="182"/>
      <c r="E13" s="182"/>
      <c r="F13" s="182"/>
      <c r="G13" s="182"/>
      <c r="H13" s="182"/>
    </row>
    <row r="14" spans="1:8" ht="19.899999999999999" customHeight="1">
      <c r="A14" s="182"/>
      <c r="B14" s="182"/>
      <c r="C14" s="182"/>
      <c r="D14" s="182"/>
      <c r="E14" s="182"/>
      <c r="F14" s="182"/>
      <c r="G14" s="182"/>
      <c r="H14" s="182"/>
    </row>
    <row r="15" spans="1:8" ht="19.899999999999999" customHeight="1">
      <c r="A15" s="271"/>
      <c r="B15" s="270" t="s">
        <v>251</v>
      </c>
      <c r="C15" s="272">
        <f>SUM(C5:C14)</f>
        <v>0</v>
      </c>
      <c r="D15" s="272">
        <f>SUM(D5:D14)</f>
        <v>0</v>
      </c>
      <c r="E15" s="272">
        <f>SUM(E5:E14)</f>
        <v>0</v>
      </c>
      <c r="F15" s="272">
        <f>SUM(F5:F14)</f>
        <v>0</v>
      </c>
      <c r="G15" s="271"/>
      <c r="H15" s="271"/>
    </row>
    <row r="17" spans="1:8" ht="15" customHeight="1">
      <c r="A17" s="900" t="s">
        <v>762</v>
      </c>
      <c r="B17" s="901"/>
      <c r="C17" s="901"/>
      <c r="D17" s="901"/>
      <c r="E17" s="901"/>
      <c r="F17" s="901"/>
      <c r="G17" s="901"/>
      <c r="H17" s="901"/>
    </row>
  </sheetData>
  <mergeCells count="4">
    <mergeCell ref="A3:H3"/>
    <mergeCell ref="A2:H2"/>
    <mergeCell ref="A17:H17"/>
    <mergeCell ref="A1:H1"/>
  </mergeCell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70AD47"/>
    <pageSetUpPr fitToPage="1"/>
  </sheetPr>
  <dimension ref="A1:F19"/>
  <sheetViews>
    <sheetView showGridLines="0" workbookViewId="0">
      <selection sqref="A1:D1"/>
    </sheetView>
  </sheetViews>
  <sheetFormatPr defaultRowHeight="15"/>
  <cols>
    <col min="1" max="1" width="16" customWidth="1"/>
    <col min="2" max="3" width="18" customWidth="1"/>
    <col min="4" max="4" width="16" customWidth="1"/>
    <col min="5" max="5" width="20" customWidth="1"/>
    <col min="6" max="6" width="28" customWidth="1"/>
  </cols>
  <sheetData>
    <row r="1" spans="1:6" ht="28.15" customHeight="1">
      <c r="A1" s="899" t="s">
        <v>763</v>
      </c>
      <c r="B1" s="898"/>
      <c r="C1" s="898"/>
      <c r="D1" s="898"/>
      <c r="E1" s="898"/>
      <c r="F1" s="898"/>
    </row>
    <row r="2" spans="1:6" ht="19.899999999999999" customHeight="1">
      <c r="A2" s="897" t="s">
        <v>764</v>
      </c>
      <c r="B2" s="898"/>
      <c r="C2" s="898"/>
      <c r="D2" s="898"/>
      <c r="E2" s="898"/>
      <c r="F2" s="898"/>
    </row>
    <row r="3" spans="1:6" ht="4.9000000000000004" customHeight="1">
      <c r="A3" s="1086"/>
      <c r="B3" s="1087"/>
      <c r="C3" s="1087"/>
      <c r="D3" s="1087"/>
      <c r="E3" s="1087"/>
      <c r="F3" s="1087"/>
    </row>
    <row r="4" spans="1:6" ht="22.15" customHeight="1">
      <c r="A4" s="184" t="s">
        <v>765</v>
      </c>
      <c r="B4" s="184" t="s">
        <v>766</v>
      </c>
      <c r="C4" s="184" t="s">
        <v>767</v>
      </c>
      <c r="D4" s="184" t="s">
        <v>768</v>
      </c>
      <c r="E4" s="184" t="s">
        <v>769</v>
      </c>
      <c r="F4" s="184" t="s">
        <v>704</v>
      </c>
    </row>
    <row r="5" spans="1:6" ht="19.899999999999999" customHeight="1">
      <c r="A5" s="182"/>
      <c r="B5" s="182"/>
      <c r="C5" s="182"/>
      <c r="D5" s="182"/>
      <c r="E5" s="182"/>
      <c r="F5" s="182"/>
    </row>
    <row r="6" spans="1:6" ht="19.899999999999999" customHeight="1">
      <c r="A6" s="182"/>
      <c r="B6" s="182"/>
      <c r="C6" s="182"/>
      <c r="D6" s="182"/>
      <c r="E6" s="182"/>
      <c r="F6" s="182"/>
    </row>
    <row r="7" spans="1:6" ht="19.899999999999999" customHeight="1">
      <c r="A7" s="182"/>
      <c r="B7" s="182"/>
      <c r="C7" s="182"/>
      <c r="D7" s="182"/>
      <c r="E7" s="182"/>
      <c r="F7" s="182"/>
    </row>
    <row r="8" spans="1:6" ht="19.899999999999999" customHeight="1">
      <c r="A8" s="182"/>
      <c r="B8" s="182"/>
      <c r="C8" s="182"/>
      <c r="D8" s="182"/>
      <c r="E8" s="182"/>
      <c r="F8" s="182"/>
    </row>
    <row r="9" spans="1:6" ht="19.899999999999999" customHeight="1">
      <c r="A9" s="182"/>
      <c r="B9" s="182"/>
      <c r="C9" s="182"/>
      <c r="D9" s="182"/>
      <c r="E9" s="182"/>
      <c r="F9" s="182"/>
    </row>
    <row r="10" spans="1:6" ht="19.899999999999999" customHeight="1">
      <c r="A10" s="182"/>
      <c r="B10" s="182"/>
      <c r="C10" s="182"/>
      <c r="D10" s="182"/>
      <c r="E10" s="182"/>
      <c r="F10" s="182"/>
    </row>
    <row r="11" spans="1:6" ht="19.899999999999999" customHeight="1">
      <c r="A11" s="182"/>
      <c r="B11" s="182"/>
      <c r="C11" s="182"/>
      <c r="D11" s="182"/>
      <c r="E11" s="182"/>
      <c r="F11" s="182"/>
    </row>
    <row r="12" spans="1:6" ht="19.899999999999999" customHeight="1">
      <c r="A12" s="182"/>
      <c r="B12" s="182"/>
      <c r="C12" s="182"/>
      <c r="D12" s="182"/>
      <c r="E12" s="182"/>
      <c r="F12" s="182"/>
    </row>
    <row r="13" spans="1:6" ht="19.899999999999999" customHeight="1">
      <c r="A13" s="182"/>
      <c r="B13" s="182"/>
      <c r="C13" s="182"/>
      <c r="D13" s="182"/>
      <c r="E13" s="182"/>
      <c r="F13" s="182"/>
    </row>
    <row r="14" spans="1:6" ht="19.899999999999999" customHeight="1">
      <c r="A14" s="182"/>
      <c r="B14" s="182"/>
      <c r="C14" s="182"/>
      <c r="D14" s="182"/>
      <c r="E14" s="182"/>
      <c r="F14" s="182"/>
    </row>
    <row r="15" spans="1:6" ht="19.899999999999999" customHeight="1">
      <c r="A15" s="182"/>
      <c r="B15" s="182"/>
      <c r="C15" s="182"/>
      <c r="D15" s="182"/>
      <c r="E15" s="182"/>
      <c r="F15" s="182"/>
    </row>
    <row r="16" spans="1:6" ht="19.899999999999999" customHeight="1">
      <c r="A16" s="182"/>
      <c r="B16" s="182"/>
      <c r="C16" s="182"/>
      <c r="D16" s="182"/>
      <c r="E16" s="182"/>
      <c r="F16" s="182"/>
    </row>
    <row r="17" spans="1:6" ht="19.899999999999999" customHeight="1">
      <c r="A17" s="270" t="s">
        <v>251</v>
      </c>
      <c r="B17" s="272">
        <f>SUM(B5:B16)</f>
        <v>0</v>
      </c>
      <c r="C17" s="272">
        <f>SUM(C5:C16)</f>
        <v>0</v>
      </c>
      <c r="D17" s="271"/>
      <c r="E17" s="271"/>
      <c r="F17" s="271"/>
    </row>
    <row r="19" spans="1:6" ht="15" customHeight="1">
      <c r="A19" s="900" t="s">
        <v>770</v>
      </c>
      <c r="B19" s="901"/>
      <c r="C19" s="901"/>
      <c r="D19" s="901"/>
      <c r="E19" s="901"/>
      <c r="F19" s="901"/>
    </row>
  </sheetData>
  <mergeCells count="4">
    <mergeCell ref="A3:F3"/>
    <mergeCell ref="A2:F2"/>
    <mergeCell ref="A19:F19"/>
    <mergeCell ref="A1:F1"/>
  </mergeCell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70AD47"/>
    <pageSetUpPr fitToPage="1"/>
  </sheetPr>
  <dimension ref="A1:J19"/>
  <sheetViews>
    <sheetView showGridLines="0" workbookViewId="0">
      <selection sqref="A1:D1"/>
    </sheetView>
  </sheetViews>
  <sheetFormatPr defaultRowHeight="15"/>
  <cols>
    <col min="1" max="1" width="14" customWidth="1"/>
    <col min="2" max="2" width="12" customWidth="1"/>
    <col min="3" max="3" width="26" customWidth="1"/>
    <col min="4" max="4" width="16" customWidth="1"/>
    <col min="5" max="5" width="18" customWidth="1"/>
    <col min="6" max="7" width="16" customWidth="1"/>
    <col min="8" max="8" width="14" customWidth="1"/>
    <col min="9" max="9" width="18" customWidth="1"/>
    <col min="10" max="10" width="22" customWidth="1"/>
  </cols>
  <sheetData>
    <row r="1" spans="1:10" ht="28.15" customHeight="1">
      <c r="A1" s="899" t="s">
        <v>771</v>
      </c>
      <c r="B1" s="898"/>
      <c r="C1" s="898"/>
      <c r="D1" s="898"/>
      <c r="E1" s="898"/>
      <c r="F1" s="898"/>
      <c r="G1" s="898"/>
      <c r="H1" s="898"/>
      <c r="I1" s="898"/>
      <c r="J1" s="898"/>
    </row>
    <row r="2" spans="1:10" ht="19.899999999999999" customHeight="1">
      <c r="A2" s="897" t="s">
        <v>772</v>
      </c>
      <c r="B2" s="898"/>
      <c r="C2" s="898"/>
      <c r="D2" s="898"/>
      <c r="E2" s="898"/>
      <c r="F2" s="898"/>
      <c r="G2" s="898"/>
      <c r="H2" s="898"/>
      <c r="I2" s="898"/>
      <c r="J2" s="898"/>
    </row>
    <row r="3" spans="1:10" ht="4.9000000000000004" customHeight="1">
      <c r="A3" s="1086"/>
      <c r="B3" s="1087"/>
      <c r="C3" s="1087"/>
      <c r="D3" s="1087"/>
      <c r="E3" s="1087"/>
      <c r="F3" s="1087"/>
      <c r="G3" s="1087"/>
      <c r="H3" s="1087"/>
      <c r="I3" s="1087"/>
      <c r="J3" s="1087"/>
    </row>
    <row r="4" spans="1:10" ht="22.15" customHeight="1">
      <c r="A4" s="184" t="s">
        <v>773</v>
      </c>
      <c r="B4" s="184" t="s">
        <v>765</v>
      </c>
      <c r="C4" s="184" t="s">
        <v>774</v>
      </c>
      <c r="D4" s="184" t="s">
        <v>775</v>
      </c>
      <c r="E4" s="184" t="s">
        <v>776</v>
      </c>
      <c r="F4" s="184" t="s">
        <v>777</v>
      </c>
      <c r="G4" s="184" t="s">
        <v>778</v>
      </c>
      <c r="H4" s="184" t="s">
        <v>779</v>
      </c>
      <c r="I4" s="184" t="s">
        <v>780</v>
      </c>
      <c r="J4" s="184" t="s">
        <v>704</v>
      </c>
    </row>
    <row r="5" spans="1:10" ht="19.899999999999999" customHeight="1">
      <c r="A5" s="182"/>
      <c r="B5" s="182"/>
      <c r="C5" s="182"/>
      <c r="D5" s="182"/>
      <c r="E5" s="182"/>
      <c r="F5" s="182"/>
      <c r="G5" s="182"/>
      <c r="H5" s="182"/>
      <c r="I5" s="182"/>
      <c r="J5" s="182"/>
    </row>
    <row r="6" spans="1:10" ht="19.899999999999999" customHeight="1">
      <c r="A6" s="182"/>
      <c r="B6" s="182"/>
      <c r="C6" s="182"/>
      <c r="D6" s="182"/>
      <c r="E6" s="182"/>
      <c r="F6" s="182"/>
      <c r="G6" s="182"/>
      <c r="H6" s="182"/>
      <c r="I6" s="182"/>
      <c r="J6" s="182"/>
    </row>
    <row r="7" spans="1:10" ht="19.899999999999999" customHeight="1">
      <c r="A7" s="182"/>
      <c r="B7" s="182"/>
      <c r="C7" s="182"/>
      <c r="D7" s="182"/>
      <c r="E7" s="182"/>
      <c r="F7" s="182"/>
      <c r="G7" s="182"/>
      <c r="H7" s="182"/>
      <c r="I7" s="182"/>
      <c r="J7" s="182"/>
    </row>
    <row r="8" spans="1:10" ht="19.899999999999999" customHeight="1">
      <c r="A8" s="182"/>
      <c r="B8" s="182"/>
      <c r="C8" s="182"/>
      <c r="D8" s="182"/>
      <c r="E8" s="182"/>
      <c r="F8" s="182"/>
      <c r="G8" s="182"/>
      <c r="H8" s="182"/>
      <c r="I8" s="182"/>
      <c r="J8" s="182"/>
    </row>
    <row r="9" spans="1:10" ht="19.899999999999999" customHeight="1">
      <c r="A9" s="182"/>
      <c r="B9" s="182"/>
      <c r="C9" s="182"/>
      <c r="D9" s="182"/>
      <c r="E9" s="182"/>
      <c r="F9" s="182"/>
      <c r="G9" s="182"/>
      <c r="H9" s="182"/>
      <c r="I9" s="182"/>
      <c r="J9" s="182"/>
    </row>
    <row r="10" spans="1:10" ht="19.899999999999999" customHeight="1">
      <c r="A10" s="182"/>
      <c r="B10" s="182"/>
      <c r="C10" s="182"/>
      <c r="D10" s="182"/>
      <c r="E10" s="182"/>
      <c r="F10" s="182"/>
      <c r="G10" s="182"/>
      <c r="H10" s="182"/>
      <c r="I10" s="182"/>
      <c r="J10" s="182"/>
    </row>
    <row r="11" spans="1:10" ht="19.899999999999999" customHeight="1">
      <c r="A11" s="182"/>
      <c r="B11" s="182"/>
      <c r="C11" s="182"/>
      <c r="D11" s="182"/>
      <c r="E11" s="182"/>
      <c r="F11" s="182"/>
      <c r="G11" s="182"/>
      <c r="H11" s="182"/>
      <c r="I11" s="182"/>
      <c r="J11" s="182"/>
    </row>
    <row r="12" spans="1:10" ht="19.899999999999999" customHeight="1">
      <c r="A12" s="182"/>
      <c r="B12" s="182"/>
      <c r="C12" s="182"/>
      <c r="D12" s="182"/>
      <c r="E12" s="182"/>
      <c r="F12" s="182"/>
      <c r="G12" s="182"/>
      <c r="H12" s="182"/>
      <c r="I12" s="182"/>
      <c r="J12" s="182"/>
    </row>
    <row r="13" spans="1:10" ht="19.899999999999999" customHeight="1">
      <c r="A13" s="182"/>
      <c r="B13" s="182"/>
      <c r="C13" s="182"/>
      <c r="D13" s="182"/>
      <c r="E13" s="182"/>
      <c r="F13" s="182"/>
      <c r="G13" s="182"/>
      <c r="H13" s="182"/>
      <c r="I13" s="182"/>
      <c r="J13" s="182"/>
    </row>
    <row r="14" spans="1:10" ht="19.899999999999999" customHeight="1">
      <c r="A14" s="182"/>
      <c r="B14" s="182"/>
      <c r="C14" s="182"/>
      <c r="D14" s="182"/>
      <c r="E14" s="182"/>
      <c r="F14" s="182"/>
      <c r="G14" s="182"/>
      <c r="H14" s="182"/>
      <c r="I14" s="182"/>
      <c r="J14" s="182"/>
    </row>
    <row r="15" spans="1:10" ht="19.899999999999999" customHeight="1">
      <c r="A15" s="182"/>
      <c r="B15" s="182"/>
      <c r="C15" s="182"/>
      <c r="D15" s="182"/>
      <c r="E15" s="182"/>
      <c r="F15" s="182"/>
      <c r="G15" s="182"/>
      <c r="H15" s="182"/>
      <c r="I15" s="182"/>
      <c r="J15" s="182"/>
    </row>
    <row r="16" spans="1:10" ht="19.899999999999999" customHeight="1">
      <c r="A16" s="182"/>
      <c r="B16" s="182"/>
      <c r="C16" s="182"/>
      <c r="D16" s="182"/>
      <c r="E16" s="182"/>
      <c r="F16" s="182"/>
      <c r="G16" s="182"/>
      <c r="H16" s="182"/>
      <c r="I16" s="182"/>
      <c r="J16" s="182"/>
    </row>
    <row r="17" spans="1:10" ht="19.899999999999999" customHeight="1">
      <c r="A17" s="271"/>
      <c r="B17" s="271"/>
      <c r="C17" s="270" t="s">
        <v>251</v>
      </c>
      <c r="D17" s="272">
        <f t="shared" ref="D17:I17" si="0">SUM(D5:D16)</f>
        <v>0</v>
      </c>
      <c r="E17" s="272">
        <f t="shared" si="0"/>
        <v>0</v>
      </c>
      <c r="F17" s="272">
        <f t="shared" si="0"/>
        <v>0</v>
      </c>
      <c r="G17" s="272">
        <f t="shared" si="0"/>
        <v>0</v>
      </c>
      <c r="H17" s="272">
        <f t="shared" si="0"/>
        <v>0</v>
      </c>
      <c r="I17" s="272">
        <f t="shared" si="0"/>
        <v>0</v>
      </c>
      <c r="J17" s="271"/>
    </row>
    <row r="19" spans="1:10" ht="15" customHeight="1">
      <c r="A19" s="900" t="s">
        <v>781</v>
      </c>
      <c r="B19" s="901"/>
      <c r="C19" s="901"/>
      <c r="D19" s="901"/>
      <c r="E19" s="901"/>
      <c r="F19" s="901"/>
      <c r="G19" s="901"/>
      <c r="H19" s="901"/>
      <c r="I19" s="901"/>
      <c r="J19" s="901"/>
    </row>
  </sheetData>
  <mergeCells count="4">
    <mergeCell ref="A1:J1"/>
    <mergeCell ref="A19:J19"/>
    <mergeCell ref="A3:J3"/>
    <mergeCell ref="A2:J2"/>
  </mergeCell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70AD47"/>
    <pageSetUpPr fitToPage="1"/>
  </sheetPr>
  <dimension ref="A1:H18"/>
  <sheetViews>
    <sheetView showGridLines="0" workbookViewId="0">
      <selection sqref="A1:D1"/>
    </sheetView>
  </sheetViews>
  <sheetFormatPr defaultRowHeight="15"/>
  <cols>
    <col min="1" max="1" width="28" customWidth="1"/>
    <col min="2" max="2" width="10" customWidth="1"/>
    <col min="3" max="3" width="14" customWidth="1"/>
    <col min="4" max="5" width="18" customWidth="1"/>
    <col min="6" max="6" width="14" customWidth="1"/>
    <col min="7" max="7" width="16" customWidth="1"/>
    <col min="8" max="8" width="24" customWidth="1"/>
  </cols>
  <sheetData>
    <row r="1" spans="1:8" ht="28.15" customHeight="1">
      <c r="A1" s="899" t="s">
        <v>782</v>
      </c>
      <c r="B1" s="898"/>
      <c r="C1" s="898"/>
      <c r="D1" s="898"/>
      <c r="E1" s="898"/>
      <c r="F1" s="898"/>
      <c r="G1" s="898"/>
      <c r="H1" s="898"/>
    </row>
    <row r="2" spans="1:8" ht="19.899999999999999" customHeight="1">
      <c r="A2" s="897" t="s">
        <v>783</v>
      </c>
      <c r="B2" s="898"/>
      <c r="C2" s="898"/>
      <c r="D2" s="898"/>
      <c r="E2" s="898"/>
      <c r="F2" s="898"/>
      <c r="G2" s="898"/>
      <c r="H2" s="898"/>
    </row>
    <row r="3" spans="1:8" ht="4.9000000000000004" customHeight="1">
      <c r="A3" s="1086"/>
      <c r="B3" s="1087"/>
      <c r="C3" s="1087"/>
      <c r="D3" s="1087"/>
      <c r="E3" s="1087"/>
      <c r="F3" s="1087"/>
      <c r="G3" s="1087"/>
      <c r="H3" s="1087"/>
    </row>
    <row r="4" spans="1:8" ht="22.15" customHeight="1">
      <c r="A4" s="184" t="s">
        <v>784</v>
      </c>
      <c r="B4" s="184" t="s">
        <v>785</v>
      </c>
      <c r="C4" s="184" t="s">
        <v>786</v>
      </c>
      <c r="D4" s="184" t="s">
        <v>787</v>
      </c>
      <c r="E4" s="184" t="s">
        <v>788</v>
      </c>
      <c r="F4" s="184" t="s">
        <v>789</v>
      </c>
      <c r="G4" s="184" t="s">
        <v>790</v>
      </c>
      <c r="H4" s="184" t="s">
        <v>791</v>
      </c>
    </row>
    <row r="5" spans="1:8" ht="19.899999999999999" customHeight="1">
      <c r="A5" s="182"/>
      <c r="B5" s="182"/>
      <c r="C5" s="182"/>
      <c r="D5" s="182"/>
      <c r="E5" s="182"/>
      <c r="F5" s="182"/>
      <c r="G5" s="182"/>
      <c r="H5" s="182"/>
    </row>
    <row r="6" spans="1:8" ht="19.899999999999999" customHeight="1">
      <c r="A6" s="182"/>
      <c r="B6" s="182"/>
      <c r="C6" s="182"/>
      <c r="D6" s="182"/>
      <c r="E6" s="182"/>
      <c r="F6" s="182"/>
      <c r="G6" s="182"/>
      <c r="H6" s="182"/>
    </row>
    <row r="7" spans="1:8" ht="19.899999999999999" customHeight="1">
      <c r="A7" s="182"/>
      <c r="B7" s="182"/>
      <c r="C7" s="182"/>
      <c r="D7" s="182"/>
      <c r="E7" s="182"/>
      <c r="F7" s="182"/>
      <c r="G7" s="182"/>
      <c r="H7" s="182"/>
    </row>
    <row r="8" spans="1:8" ht="19.899999999999999" customHeight="1">
      <c r="A8" s="182"/>
      <c r="B8" s="182"/>
      <c r="C8" s="182"/>
      <c r="D8" s="182"/>
      <c r="E8" s="182"/>
      <c r="F8" s="182"/>
      <c r="G8" s="182"/>
      <c r="H8" s="182"/>
    </row>
    <row r="9" spans="1:8" ht="19.899999999999999" customHeight="1">
      <c r="A9" s="182"/>
      <c r="B9" s="182"/>
      <c r="C9" s="182"/>
      <c r="D9" s="182"/>
      <c r="E9" s="182"/>
      <c r="F9" s="182"/>
      <c r="G9" s="182"/>
      <c r="H9" s="182"/>
    </row>
    <row r="10" spans="1:8" ht="19.899999999999999" customHeight="1">
      <c r="A10" s="182"/>
      <c r="B10" s="182"/>
      <c r="C10" s="182"/>
      <c r="D10" s="182"/>
      <c r="E10" s="182"/>
      <c r="F10" s="182"/>
      <c r="G10" s="182"/>
      <c r="H10" s="182"/>
    </row>
    <row r="11" spans="1:8" ht="19.899999999999999" customHeight="1">
      <c r="A11" s="182"/>
      <c r="B11" s="182"/>
      <c r="C11" s="182"/>
      <c r="D11" s="182"/>
      <c r="E11" s="182"/>
      <c r="F11" s="182"/>
      <c r="G11" s="182"/>
      <c r="H11" s="182"/>
    </row>
    <row r="12" spans="1:8" ht="19.899999999999999" customHeight="1">
      <c r="A12" s="182"/>
      <c r="B12" s="182"/>
      <c r="C12" s="182"/>
      <c r="D12" s="182"/>
      <c r="E12" s="182"/>
      <c r="F12" s="182"/>
      <c r="G12" s="182"/>
      <c r="H12" s="182"/>
    </row>
    <row r="13" spans="1:8" ht="19.899999999999999" customHeight="1">
      <c r="A13" s="182"/>
      <c r="B13" s="182"/>
      <c r="C13" s="182"/>
      <c r="D13" s="182"/>
      <c r="E13" s="182"/>
      <c r="F13" s="182"/>
      <c r="G13" s="182"/>
      <c r="H13" s="182"/>
    </row>
    <row r="14" spans="1:8" ht="19.899999999999999" customHeight="1">
      <c r="A14" s="182"/>
      <c r="B14" s="182"/>
      <c r="C14" s="182"/>
      <c r="D14" s="182"/>
      <c r="E14" s="182"/>
      <c r="F14" s="182"/>
      <c r="G14" s="182"/>
      <c r="H14" s="182"/>
    </row>
    <row r="15" spans="1:8" ht="19.899999999999999" customHeight="1">
      <c r="A15" s="182"/>
      <c r="B15" s="182"/>
      <c r="C15" s="182"/>
      <c r="D15" s="182"/>
      <c r="E15" s="182"/>
      <c r="F15" s="182"/>
      <c r="G15" s="182"/>
      <c r="H15" s="182"/>
    </row>
    <row r="16" spans="1:8" ht="19.899999999999999" customHeight="1">
      <c r="A16" s="182"/>
      <c r="B16" s="182"/>
      <c r="C16" s="182"/>
      <c r="D16" s="182"/>
      <c r="E16" s="182"/>
      <c r="F16" s="182"/>
      <c r="G16" s="182"/>
      <c r="H16" s="182"/>
    </row>
    <row r="18" spans="1:8" ht="25.9" customHeight="1">
      <c r="A18" s="900" t="s">
        <v>792</v>
      </c>
      <c r="B18" s="901"/>
      <c r="C18" s="901"/>
      <c r="D18" s="901"/>
      <c r="E18" s="901"/>
      <c r="F18" s="901"/>
      <c r="G18" s="901"/>
      <c r="H18" s="901"/>
    </row>
  </sheetData>
  <mergeCells count="4">
    <mergeCell ref="A18:H18"/>
    <mergeCell ref="A3:H3"/>
    <mergeCell ref="A2:H2"/>
    <mergeCell ref="A1:H1"/>
  </mergeCell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70AD47"/>
    <pageSetUpPr fitToPage="1"/>
  </sheetPr>
  <dimension ref="A1:E14"/>
  <sheetViews>
    <sheetView showGridLines="0" workbookViewId="0">
      <selection sqref="A1:D1"/>
    </sheetView>
  </sheetViews>
  <sheetFormatPr defaultRowHeight="15"/>
  <cols>
    <col min="1" max="1" width="34" customWidth="1"/>
    <col min="2" max="2" width="16" customWidth="1"/>
    <col min="3" max="3" width="18" customWidth="1"/>
    <col min="4" max="4" width="16" customWidth="1"/>
    <col min="5" max="5" width="28" customWidth="1"/>
  </cols>
  <sheetData>
    <row r="1" spans="1:5" ht="28.15" customHeight="1">
      <c r="A1" s="899" t="s">
        <v>793</v>
      </c>
      <c r="B1" s="898"/>
      <c r="C1" s="898"/>
      <c r="D1" s="898"/>
      <c r="E1" s="898"/>
    </row>
    <row r="2" spans="1:5" ht="19.899999999999999" customHeight="1">
      <c r="A2" s="897" t="s">
        <v>794</v>
      </c>
      <c r="B2" s="898"/>
      <c r="C2" s="898"/>
      <c r="D2" s="898"/>
      <c r="E2" s="898"/>
    </row>
    <row r="3" spans="1:5" ht="4.9000000000000004" customHeight="1">
      <c r="A3" s="1086"/>
      <c r="B3" s="1087"/>
      <c r="C3" s="1087"/>
      <c r="D3" s="1087"/>
      <c r="E3" s="1087"/>
    </row>
    <row r="4" spans="1:5" ht="22.15" customHeight="1">
      <c r="A4" s="184" t="s">
        <v>110</v>
      </c>
      <c r="B4" s="184" t="s">
        <v>36</v>
      </c>
      <c r="C4" s="184" t="s">
        <v>795</v>
      </c>
      <c r="D4" s="184" t="s">
        <v>368</v>
      </c>
      <c r="E4" s="184" t="s">
        <v>704</v>
      </c>
    </row>
    <row r="5" spans="1:5" ht="19.899999999999999" customHeight="1">
      <c r="A5" s="182"/>
      <c r="B5" s="182"/>
      <c r="C5" s="182"/>
      <c r="D5" s="182"/>
      <c r="E5" s="182"/>
    </row>
    <row r="6" spans="1:5" ht="19.899999999999999" customHeight="1">
      <c r="A6" s="182"/>
      <c r="B6" s="182"/>
      <c r="C6" s="182"/>
      <c r="D6" s="182"/>
      <c r="E6" s="182"/>
    </row>
    <row r="7" spans="1:5" ht="19.899999999999999" customHeight="1">
      <c r="A7" s="182"/>
      <c r="B7" s="182"/>
      <c r="C7" s="182"/>
      <c r="D7" s="182"/>
      <c r="E7" s="182"/>
    </row>
    <row r="8" spans="1:5" ht="19.899999999999999" customHeight="1">
      <c r="A8" s="182"/>
      <c r="B8" s="182"/>
      <c r="C8" s="182"/>
      <c r="D8" s="182"/>
      <c r="E8" s="182"/>
    </row>
    <row r="9" spans="1:5" ht="19.899999999999999" customHeight="1">
      <c r="A9" s="182"/>
      <c r="B9" s="182"/>
      <c r="C9" s="182"/>
      <c r="D9" s="182"/>
      <c r="E9" s="182"/>
    </row>
    <row r="10" spans="1:5" ht="19.899999999999999" customHeight="1">
      <c r="A10" s="182"/>
      <c r="B10" s="182"/>
      <c r="C10" s="182"/>
      <c r="D10" s="182"/>
      <c r="E10" s="182"/>
    </row>
    <row r="11" spans="1:5" ht="19.899999999999999" customHeight="1">
      <c r="A11" s="182"/>
      <c r="B11" s="182"/>
      <c r="C11" s="182"/>
      <c r="D11" s="182"/>
      <c r="E11" s="182"/>
    </row>
    <row r="12" spans="1:5" ht="19.899999999999999" customHeight="1">
      <c r="A12" s="182"/>
      <c r="B12" s="182"/>
      <c r="C12" s="182"/>
      <c r="D12" s="182"/>
      <c r="E12" s="182"/>
    </row>
    <row r="14" spans="1:5" ht="25.9" customHeight="1">
      <c r="A14" s="900" t="s">
        <v>796</v>
      </c>
      <c r="B14" s="901"/>
      <c r="C14" s="901"/>
      <c r="D14" s="901"/>
      <c r="E14" s="901"/>
    </row>
  </sheetData>
  <mergeCells count="4">
    <mergeCell ref="A2:E2"/>
    <mergeCell ref="A14:E14"/>
    <mergeCell ref="A1:E1"/>
    <mergeCell ref="A3:E3"/>
  </mergeCell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70AD47"/>
    <pageSetUpPr fitToPage="1"/>
  </sheetPr>
  <dimension ref="A1:G15"/>
  <sheetViews>
    <sheetView showGridLines="0" workbookViewId="0">
      <selection sqref="A1:D1"/>
    </sheetView>
  </sheetViews>
  <sheetFormatPr defaultRowHeight="15"/>
  <cols>
    <col min="1" max="3" width="18" customWidth="1"/>
    <col min="4" max="5" width="22" customWidth="1"/>
    <col min="6" max="6" width="18" customWidth="1"/>
    <col min="7" max="7" width="24" customWidth="1"/>
  </cols>
  <sheetData>
    <row r="1" spans="1:7" ht="28.15" customHeight="1">
      <c r="A1" s="899" t="s">
        <v>797</v>
      </c>
      <c r="B1" s="898"/>
      <c r="C1" s="898"/>
      <c r="D1" s="898"/>
      <c r="E1" s="898"/>
      <c r="F1" s="898"/>
      <c r="G1" s="898"/>
    </row>
    <row r="2" spans="1:7" ht="19.899999999999999" customHeight="1">
      <c r="A2" s="897" t="s">
        <v>695</v>
      </c>
      <c r="B2" s="898"/>
      <c r="C2" s="898"/>
      <c r="D2" s="898"/>
      <c r="E2" s="898"/>
      <c r="F2" s="898"/>
      <c r="G2" s="898"/>
    </row>
    <row r="3" spans="1:7" ht="4.9000000000000004" customHeight="1">
      <c r="A3" s="1086"/>
      <c r="B3" s="1087"/>
      <c r="C3" s="1087"/>
      <c r="D3" s="1087"/>
      <c r="E3" s="1087"/>
      <c r="F3" s="1087"/>
      <c r="G3" s="1087"/>
    </row>
    <row r="4" spans="1:7" ht="22.15" customHeight="1">
      <c r="A4" s="184" t="s">
        <v>798</v>
      </c>
      <c r="B4" s="184" t="s">
        <v>799</v>
      </c>
      <c r="C4" s="184" t="s">
        <v>800</v>
      </c>
      <c r="D4" s="184" t="s">
        <v>801</v>
      </c>
      <c r="E4" s="184" t="s">
        <v>802</v>
      </c>
      <c r="F4" s="184" t="s">
        <v>803</v>
      </c>
      <c r="G4" s="184" t="s">
        <v>704</v>
      </c>
    </row>
    <row r="5" spans="1:7" ht="19.899999999999999" customHeight="1">
      <c r="A5" s="182"/>
      <c r="B5" s="182"/>
      <c r="C5" s="182"/>
      <c r="D5" s="182"/>
      <c r="E5" s="182"/>
      <c r="F5" s="182"/>
      <c r="G5" s="182"/>
    </row>
    <row r="6" spans="1:7" ht="19.899999999999999" customHeight="1">
      <c r="A6" s="182"/>
      <c r="B6" s="182"/>
      <c r="C6" s="182"/>
      <c r="D6" s="182"/>
      <c r="E6" s="182"/>
      <c r="F6" s="182"/>
      <c r="G6" s="182"/>
    </row>
    <row r="7" spans="1:7" ht="19.899999999999999" customHeight="1">
      <c r="A7" s="182"/>
      <c r="B7" s="182"/>
      <c r="C7" s="182"/>
      <c r="D7" s="182"/>
      <c r="E7" s="182"/>
      <c r="F7" s="182"/>
      <c r="G7" s="182"/>
    </row>
    <row r="8" spans="1:7" ht="19.899999999999999" customHeight="1">
      <c r="A8" s="182"/>
      <c r="B8" s="182"/>
      <c r="C8" s="182"/>
      <c r="D8" s="182"/>
      <c r="E8" s="182"/>
      <c r="F8" s="182"/>
      <c r="G8" s="182"/>
    </row>
    <row r="9" spans="1:7" ht="19.899999999999999" customHeight="1">
      <c r="A9" s="182"/>
      <c r="B9" s="182"/>
      <c r="C9" s="182"/>
      <c r="D9" s="182"/>
      <c r="E9" s="182"/>
      <c r="F9" s="182"/>
      <c r="G9" s="182"/>
    </row>
    <row r="10" spans="1:7" ht="19.899999999999999" customHeight="1">
      <c r="A10" s="182"/>
      <c r="B10" s="182"/>
      <c r="C10" s="182"/>
      <c r="D10" s="182"/>
      <c r="E10" s="182"/>
      <c r="F10" s="182"/>
      <c r="G10" s="182"/>
    </row>
    <row r="11" spans="1:7" ht="19.899999999999999" customHeight="1">
      <c r="A11" s="182"/>
      <c r="B11" s="182"/>
      <c r="C11" s="182"/>
      <c r="D11" s="182"/>
      <c r="E11" s="182"/>
      <c r="F11" s="182"/>
      <c r="G11" s="182"/>
    </row>
    <row r="12" spans="1:7" ht="19.899999999999999" customHeight="1">
      <c r="A12" s="182"/>
      <c r="B12" s="182"/>
      <c r="C12" s="182"/>
      <c r="D12" s="182"/>
      <c r="E12" s="182"/>
      <c r="F12" s="182"/>
      <c r="G12" s="182"/>
    </row>
    <row r="13" spans="1:7" ht="19.899999999999999" customHeight="1">
      <c r="A13" s="272">
        <f t="shared" ref="A13:F13" si="0">SUM(A5:A12)</f>
        <v>0</v>
      </c>
      <c r="B13" s="272">
        <f t="shared" si="0"/>
        <v>0</v>
      </c>
      <c r="C13" s="272">
        <f t="shared" si="0"/>
        <v>0</v>
      </c>
      <c r="D13" s="272">
        <f t="shared" si="0"/>
        <v>0</v>
      </c>
      <c r="E13" s="272">
        <f t="shared" si="0"/>
        <v>0</v>
      </c>
      <c r="F13" s="272">
        <f t="shared" si="0"/>
        <v>0</v>
      </c>
      <c r="G13" s="271"/>
    </row>
    <row r="15" spans="1:7" ht="15" customHeight="1">
      <c r="A15" s="900" t="s">
        <v>804</v>
      </c>
      <c r="B15" s="901"/>
      <c r="C15" s="901"/>
      <c r="D15" s="901"/>
      <c r="E15" s="901"/>
      <c r="F15" s="901"/>
      <c r="G15" s="901"/>
    </row>
  </sheetData>
  <mergeCells count="4">
    <mergeCell ref="A3:G3"/>
    <mergeCell ref="A2:G2"/>
    <mergeCell ref="A1:G1"/>
    <mergeCell ref="A15:G15"/>
  </mergeCell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1F4E79"/>
    <pageSetUpPr fitToPage="1"/>
  </sheetPr>
  <dimension ref="A1:D26"/>
  <sheetViews>
    <sheetView showGridLines="0" workbookViewId="0">
      <selection sqref="A1:D1"/>
    </sheetView>
  </sheetViews>
  <sheetFormatPr defaultRowHeight="15"/>
  <cols>
    <col min="1" max="1" width="8" customWidth="1"/>
    <col min="2" max="2" width="30" customWidth="1"/>
    <col min="3" max="3" width="92" customWidth="1"/>
    <col min="4" max="4" width="16" customWidth="1"/>
  </cols>
  <sheetData>
    <row r="1" spans="1:4" ht="28.15" customHeight="1">
      <c r="A1" s="899" t="s">
        <v>805</v>
      </c>
      <c r="B1" s="898"/>
      <c r="C1" s="898"/>
      <c r="D1" s="898"/>
    </row>
    <row r="2" spans="1:4" ht="19.899999999999999" customHeight="1">
      <c r="A2" s="897" t="s">
        <v>806</v>
      </c>
      <c r="B2" s="898"/>
      <c r="C2" s="898"/>
      <c r="D2" s="898"/>
    </row>
    <row r="3" spans="1:4" ht="4.9000000000000004" customHeight="1">
      <c r="A3" s="1086"/>
      <c r="B3" s="1087"/>
      <c r="C3" s="1087"/>
      <c r="D3" s="1087"/>
    </row>
    <row r="4" spans="1:4" ht="22.15" customHeight="1">
      <c r="A4" s="184" t="s">
        <v>111</v>
      </c>
      <c r="B4" s="184" t="s">
        <v>807</v>
      </c>
      <c r="C4" s="184" t="s">
        <v>808</v>
      </c>
      <c r="D4" s="184" t="s">
        <v>809</v>
      </c>
    </row>
    <row r="5" spans="1:4" ht="36" customHeight="1">
      <c r="A5" s="267" t="s">
        <v>507</v>
      </c>
      <c r="B5" s="180" t="s">
        <v>810</v>
      </c>
      <c r="C5" s="182" t="s">
        <v>811</v>
      </c>
      <c r="D5" s="185" t="s">
        <v>812</v>
      </c>
    </row>
    <row r="6" spans="1:4" ht="48" customHeight="1">
      <c r="A6" s="267" t="s">
        <v>510</v>
      </c>
      <c r="B6" s="180" t="s">
        <v>813</v>
      </c>
      <c r="C6" s="182" t="s">
        <v>814</v>
      </c>
      <c r="D6" s="185" t="s">
        <v>812</v>
      </c>
    </row>
    <row r="7" spans="1:4" ht="48" customHeight="1">
      <c r="A7" s="267" t="s">
        <v>512</v>
      </c>
      <c r="B7" s="180" t="s">
        <v>815</v>
      </c>
      <c r="C7" s="182" t="s">
        <v>816</v>
      </c>
      <c r="D7" s="185" t="s">
        <v>812</v>
      </c>
    </row>
    <row r="8" spans="1:4" ht="60" customHeight="1">
      <c r="A8" s="267" t="s">
        <v>514</v>
      </c>
      <c r="B8" s="180" t="s">
        <v>817</v>
      </c>
      <c r="C8" s="182" t="s">
        <v>818</v>
      </c>
      <c r="D8" s="185" t="s">
        <v>812</v>
      </c>
    </row>
    <row r="9" spans="1:4" ht="48" customHeight="1">
      <c r="A9" s="267" t="s">
        <v>516</v>
      </c>
      <c r="B9" s="180" t="s">
        <v>287</v>
      </c>
      <c r="C9" s="182" t="s">
        <v>819</v>
      </c>
      <c r="D9" s="185" t="s">
        <v>812</v>
      </c>
    </row>
    <row r="10" spans="1:4" ht="48" customHeight="1">
      <c r="A10" s="267" t="s">
        <v>518</v>
      </c>
      <c r="B10" s="180" t="s">
        <v>820</v>
      </c>
      <c r="C10" s="182" t="s">
        <v>821</v>
      </c>
      <c r="D10" s="185" t="s">
        <v>812</v>
      </c>
    </row>
    <row r="11" spans="1:4" ht="48" customHeight="1">
      <c r="A11" s="267" t="s">
        <v>520</v>
      </c>
      <c r="B11" s="180" t="s">
        <v>313</v>
      </c>
      <c r="C11" s="182" t="s">
        <v>822</v>
      </c>
      <c r="D11" s="185" t="s">
        <v>812</v>
      </c>
    </row>
    <row r="12" spans="1:4" ht="60" customHeight="1">
      <c r="A12" s="267" t="s">
        <v>521</v>
      </c>
      <c r="B12" s="180" t="s">
        <v>823</v>
      </c>
      <c r="C12" s="182" t="s">
        <v>824</v>
      </c>
      <c r="D12" s="185" t="s">
        <v>812</v>
      </c>
    </row>
    <row r="13" spans="1:4" ht="60" customHeight="1">
      <c r="A13" s="267" t="s">
        <v>825</v>
      </c>
      <c r="B13" s="180" t="s">
        <v>826</v>
      </c>
      <c r="C13" s="182" t="s">
        <v>827</v>
      </c>
      <c r="D13" s="185" t="s">
        <v>812</v>
      </c>
    </row>
    <row r="14" spans="1:4" ht="48" customHeight="1">
      <c r="A14" s="267" t="s">
        <v>828</v>
      </c>
      <c r="B14" s="180" t="s">
        <v>829</v>
      </c>
      <c r="C14" s="182" t="s">
        <v>830</v>
      </c>
      <c r="D14" s="185" t="s">
        <v>812</v>
      </c>
    </row>
    <row r="15" spans="1:4" ht="36" customHeight="1">
      <c r="A15" s="267" t="s">
        <v>831</v>
      </c>
      <c r="B15" s="180" t="s">
        <v>832</v>
      </c>
      <c r="C15" s="182" t="s">
        <v>833</v>
      </c>
      <c r="D15" s="185" t="s">
        <v>812</v>
      </c>
    </row>
    <row r="16" spans="1:4" ht="60" customHeight="1">
      <c r="A16" s="267" t="s">
        <v>547</v>
      </c>
      <c r="B16" s="180" t="s">
        <v>834</v>
      </c>
      <c r="C16" s="182" t="s">
        <v>835</v>
      </c>
      <c r="D16" s="185" t="s">
        <v>812</v>
      </c>
    </row>
    <row r="17" spans="1:4" ht="48" customHeight="1">
      <c r="A17" s="267" t="s">
        <v>836</v>
      </c>
      <c r="B17" s="180" t="s">
        <v>837</v>
      </c>
      <c r="C17" s="182" t="s">
        <v>838</v>
      </c>
      <c r="D17" s="185" t="s">
        <v>812</v>
      </c>
    </row>
    <row r="18" spans="1:4" ht="60" customHeight="1">
      <c r="A18" s="267" t="s">
        <v>839</v>
      </c>
      <c r="B18" s="180" t="s">
        <v>840</v>
      </c>
      <c r="C18" s="182" t="s">
        <v>841</v>
      </c>
      <c r="D18" s="185" t="s">
        <v>812</v>
      </c>
    </row>
    <row r="19" spans="1:4" ht="48" customHeight="1">
      <c r="A19" s="267" t="s">
        <v>565</v>
      </c>
      <c r="B19" s="180" t="s">
        <v>842</v>
      </c>
      <c r="C19" s="182" t="s">
        <v>843</v>
      </c>
      <c r="D19" s="185" t="s">
        <v>812</v>
      </c>
    </row>
    <row r="20" spans="1:4" ht="48" customHeight="1">
      <c r="A20" s="267" t="s">
        <v>567</v>
      </c>
      <c r="B20" s="180" t="s">
        <v>844</v>
      </c>
      <c r="C20" s="182" t="s">
        <v>845</v>
      </c>
      <c r="D20" s="185" t="s">
        <v>846</v>
      </c>
    </row>
    <row r="21" spans="1:4" ht="36" customHeight="1">
      <c r="A21" s="267" t="s">
        <v>569</v>
      </c>
      <c r="B21" s="180" t="s">
        <v>847</v>
      </c>
      <c r="C21" s="182" t="s">
        <v>848</v>
      </c>
      <c r="D21" s="185" t="s">
        <v>846</v>
      </c>
    </row>
    <row r="22" spans="1:4" ht="36" customHeight="1">
      <c r="A22" s="267" t="s">
        <v>571</v>
      </c>
      <c r="B22" s="180" t="s">
        <v>849</v>
      </c>
      <c r="C22" s="182" t="s">
        <v>850</v>
      </c>
      <c r="D22" s="185" t="s">
        <v>851</v>
      </c>
    </row>
    <row r="23" spans="1:4" ht="36" customHeight="1">
      <c r="A23" s="267" t="s">
        <v>574</v>
      </c>
      <c r="B23" s="180" t="s">
        <v>852</v>
      </c>
      <c r="C23" s="182" t="s">
        <v>853</v>
      </c>
      <c r="D23" s="185" t="s">
        <v>812</v>
      </c>
    </row>
    <row r="24" spans="1:4" ht="48" customHeight="1">
      <c r="A24" s="267" t="s">
        <v>854</v>
      </c>
      <c r="B24" s="180" t="s">
        <v>855</v>
      </c>
      <c r="C24" s="182" t="s">
        <v>856</v>
      </c>
      <c r="D24" s="185" t="s">
        <v>851</v>
      </c>
    </row>
    <row r="26" spans="1:4" ht="25.9" customHeight="1">
      <c r="A26" s="900" t="s">
        <v>857</v>
      </c>
      <c r="B26" s="901"/>
      <c r="C26" s="901"/>
      <c r="D26" s="901"/>
    </row>
  </sheetData>
  <mergeCells count="4">
    <mergeCell ref="A1:D1"/>
    <mergeCell ref="A26:D26"/>
    <mergeCell ref="A3:D3"/>
    <mergeCell ref="A2:D2"/>
  </mergeCell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666666"/>
    <pageSetUpPr fitToPage="1"/>
  </sheetPr>
  <dimension ref="A1:C11"/>
  <sheetViews>
    <sheetView showGridLines="0" workbookViewId="0">
      <selection sqref="A1:D1"/>
    </sheetView>
  </sheetViews>
  <sheetFormatPr defaultRowHeight="15"/>
  <cols>
    <col min="1" max="1" width="36" customWidth="1"/>
    <col min="2" max="2" width="42" customWidth="1"/>
    <col min="3" max="3" width="88" customWidth="1"/>
  </cols>
  <sheetData>
    <row r="1" spans="1:3" ht="28.15" customHeight="1">
      <c r="A1" s="899" t="s">
        <v>858</v>
      </c>
      <c r="B1" s="898"/>
      <c r="C1" s="898"/>
    </row>
    <row r="2" spans="1:3" ht="19.899999999999999" customHeight="1">
      <c r="A2" s="897" t="s">
        <v>859</v>
      </c>
      <c r="B2" s="898"/>
      <c r="C2" s="898"/>
    </row>
    <row r="3" spans="1:3" ht="4.9000000000000004" customHeight="1">
      <c r="A3" s="1086"/>
      <c r="B3" s="1087"/>
      <c r="C3" s="1087"/>
    </row>
    <row r="4" spans="1:3" ht="22.15" customHeight="1">
      <c r="A4" s="184" t="s">
        <v>860</v>
      </c>
      <c r="B4" s="184" t="s">
        <v>62</v>
      </c>
      <c r="C4" s="184" t="s">
        <v>861</v>
      </c>
    </row>
    <row r="5" spans="1:3" ht="19.899999999999999" customHeight="1">
      <c r="A5" s="180" t="s">
        <v>862</v>
      </c>
      <c r="B5" s="181" t="s">
        <v>863</v>
      </c>
      <c r="C5" s="273" t="s">
        <v>864</v>
      </c>
    </row>
    <row r="6" spans="1:3" ht="19.899999999999999" customHeight="1">
      <c r="A6" s="180" t="s">
        <v>865</v>
      </c>
      <c r="B6" s="181" t="s">
        <v>866</v>
      </c>
      <c r="C6" s="273" t="s">
        <v>867</v>
      </c>
    </row>
    <row r="7" spans="1:3" ht="19.899999999999999" customHeight="1">
      <c r="A7" s="180" t="s">
        <v>868</v>
      </c>
      <c r="B7" s="181" t="s">
        <v>869</v>
      </c>
      <c r="C7" s="273" t="s">
        <v>870</v>
      </c>
    </row>
    <row r="8" spans="1:3" ht="19.899999999999999" customHeight="1">
      <c r="A8" s="180" t="s">
        <v>871</v>
      </c>
      <c r="B8" s="181" t="s">
        <v>872</v>
      </c>
      <c r="C8" s="273" t="s">
        <v>873</v>
      </c>
    </row>
    <row r="9" spans="1:3" ht="24" customHeight="1">
      <c r="A9" s="180" t="s">
        <v>874</v>
      </c>
      <c r="B9" s="181" t="s">
        <v>875</v>
      </c>
      <c r="C9" s="273" t="s">
        <v>876</v>
      </c>
    </row>
    <row r="10" spans="1:3" ht="24" customHeight="1">
      <c r="A10" s="180" t="s">
        <v>877</v>
      </c>
      <c r="B10" s="181" t="s">
        <v>878</v>
      </c>
      <c r="C10" s="273" t="s">
        <v>879</v>
      </c>
    </row>
    <row r="11" spans="1:3" ht="24" customHeight="1">
      <c r="A11" s="180" t="s">
        <v>880</v>
      </c>
      <c r="B11" s="181" t="s">
        <v>881</v>
      </c>
      <c r="C11" s="273" t="s">
        <v>882</v>
      </c>
    </row>
  </sheetData>
  <mergeCells count="3">
    <mergeCell ref="A1:C1"/>
    <mergeCell ref="A3:C3"/>
    <mergeCell ref="A2:C2"/>
  </mergeCells>
  <hyperlinks>
    <hyperlink ref="C5" r:id="rId1" xr:uid="{00000000-0004-0000-2400-000000000000}"/>
    <hyperlink ref="C6" r:id="rId2" xr:uid="{00000000-0004-0000-2400-000001000000}"/>
    <hyperlink ref="C7" r:id="rId3" xr:uid="{00000000-0004-0000-2400-000002000000}"/>
    <hyperlink ref="C8" r:id="rId4" xr:uid="{00000000-0004-0000-2400-000003000000}"/>
    <hyperlink ref="C9" r:id="rId5" xr:uid="{00000000-0004-0000-2400-000004000000}"/>
    <hyperlink ref="C10" r:id="rId6" xr:uid="{00000000-0004-0000-2400-000005000000}"/>
    <hyperlink ref="C11" r:id="rId7" xr:uid="{00000000-0004-0000-2400-000006000000}"/>
  </hyperlink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58</vt:i4>
      </vt:variant>
    </vt:vector>
  </HeadingPairs>
  <TitlesOfParts>
    <vt:vector size="96" baseType="lpstr">
      <vt:lpstr>00_Cover</vt:lpstr>
      <vt:lpstr>01_Control</vt:lpstr>
      <vt:lpstr>02_Index</vt:lpstr>
      <vt:lpstr>BS</vt:lpstr>
      <vt:lpstr>PL</vt:lpstr>
      <vt:lpstr>CFS</vt:lpstr>
      <vt:lpstr>Note BS-Liab</vt:lpstr>
      <vt:lpstr>FA</vt:lpstr>
      <vt:lpstr>Note BS-Asset</vt:lpstr>
      <vt:lpstr>Note PL</vt:lpstr>
      <vt:lpstr>Notes other</vt:lpstr>
      <vt:lpstr>Notes other2</vt:lpstr>
      <vt:lpstr>Sheet2</vt:lpstr>
      <vt:lpstr>FA - IT Act</vt:lpstr>
      <vt:lpstr>DT</vt:lpstr>
      <vt:lpstr>Sheet1</vt:lpstr>
      <vt:lpstr>03_Independent_Auditors_Report</vt:lpstr>
      <vt:lpstr>04_Annexure_A_CARO_2020</vt:lpstr>
      <vt:lpstr>05_Annexure_B_IFC</vt:lpstr>
      <vt:lpstr>06_Form_3CA</vt:lpstr>
      <vt:lpstr>07_Form_3CD_Part_A</vt:lpstr>
      <vt:lpstr>08_Form_3CD_09_to_20</vt:lpstr>
      <vt:lpstr>09_Form_3CD_21_to_30C</vt:lpstr>
      <vt:lpstr>10_Form_3CD_31_to_44</vt:lpstr>
      <vt:lpstr>11_3CD_Annx_Partners_9</vt:lpstr>
      <vt:lpstr>12_3CD_Annx_Depn_18</vt:lpstr>
      <vt:lpstr>13_3CD_Annx_Disallow_21_26</vt:lpstr>
      <vt:lpstr>14_3CD_Annx_MSME_22_23</vt:lpstr>
      <vt:lpstr>15_3CD_Annx_43B_26</vt:lpstr>
      <vt:lpstr>16_3CD_Annx_Loans_31</vt:lpstr>
      <vt:lpstr>17_3CD_Annx_BF_Loss_32</vt:lpstr>
      <vt:lpstr>18_3CD_Annx_Deduction_19_33</vt:lpstr>
      <vt:lpstr>19_3CD_Annx_TDS_34</vt:lpstr>
      <vt:lpstr>20_3CD_Annx_Quant_35</vt:lpstr>
      <vt:lpstr>21_3CD_Annx_GP_40</vt:lpstr>
      <vt:lpstr>22_3CD_Annx_GST_44</vt:lpstr>
      <vt:lpstr>19_Sample_Narrative_Notes</vt:lpstr>
      <vt:lpstr>99_Legal_Sources</vt:lpstr>
      <vt:lpstr>'00_Cover'!Print_Area</vt:lpstr>
      <vt:lpstr>'01_Control'!Print_Area</vt:lpstr>
      <vt:lpstr>'02_Index'!Print_Area</vt:lpstr>
      <vt:lpstr>'03_Independent_Auditors_Report'!Print_Area</vt:lpstr>
      <vt:lpstr>'04_Annexure_A_CARO_2020'!Print_Area</vt:lpstr>
      <vt:lpstr>'05_Annexure_B_IFC'!Print_Area</vt:lpstr>
      <vt:lpstr>'06_Form_3CA'!Print_Area</vt:lpstr>
      <vt:lpstr>'07_Form_3CD_Part_A'!Print_Area</vt:lpstr>
      <vt:lpstr>'08_Form_3CD_09_to_20'!Print_Area</vt:lpstr>
      <vt:lpstr>'09_Form_3CD_21_to_30C'!Print_Area</vt:lpstr>
      <vt:lpstr>'10_Form_3CD_31_to_44'!Print_Area</vt:lpstr>
      <vt:lpstr>'11_3CD_Annx_Partners_9'!Print_Area</vt:lpstr>
      <vt:lpstr>'12_3CD_Annx_Depn_18'!Print_Area</vt:lpstr>
      <vt:lpstr>'13_3CD_Annx_Disallow_21_26'!Print_Area</vt:lpstr>
      <vt:lpstr>'14_3CD_Annx_MSME_22_23'!Print_Area</vt:lpstr>
      <vt:lpstr>'15_3CD_Annx_43B_26'!Print_Area</vt:lpstr>
      <vt:lpstr>'16_3CD_Annx_Loans_31'!Print_Area</vt:lpstr>
      <vt:lpstr>'17_3CD_Annx_BF_Loss_32'!Print_Area</vt:lpstr>
      <vt:lpstr>'18_3CD_Annx_Deduction_19_33'!Print_Area</vt:lpstr>
      <vt:lpstr>'19_3CD_Annx_TDS_34'!Print_Area</vt:lpstr>
      <vt:lpstr>'19_Sample_Narrative_Notes'!Print_Area</vt:lpstr>
      <vt:lpstr>'20_3CD_Annx_Quant_35'!Print_Area</vt:lpstr>
      <vt:lpstr>'21_3CD_Annx_GP_40'!Print_Area</vt:lpstr>
      <vt:lpstr>'22_3CD_Annx_GST_44'!Print_Area</vt:lpstr>
      <vt:lpstr>'99_Legal_Sources'!Print_Area</vt:lpstr>
      <vt:lpstr>BS!Print_Area</vt:lpstr>
      <vt:lpstr>CFS!Print_Area</vt:lpstr>
      <vt:lpstr>DT!Print_Area</vt:lpstr>
      <vt:lpstr>FA!Print_Area</vt:lpstr>
      <vt:lpstr>'FA - IT Act'!Print_Area</vt:lpstr>
      <vt:lpstr>'Note BS-Asset'!Print_Area</vt:lpstr>
      <vt:lpstr>'Note BS-Liab'!Print_Area</vt:lpstr>
      <vt:lpstr>'Note PL'!Print_Area</vt:lpstr>
      <vt:lpstr>'Notes other'!Print_Area</vt:lpstr>
      <vt:lpstr>'Notes other2'!Print_Area</vt:lpstr>
      <vt:lpstr>PL!Print_Area</vt:lpstr>
      <vt:lpstr>'02_Index'!Print_Titles</vt:lpstr>
      <vt:lpstr>'04_Annexure_A_CARO_2020'!Print_Titles</vt:lpstr>
      <vt:lpstr>'07_Form_3CD_Part_A'!Print_Titles</vt:lpstr>
      <vt:lpstr>'08_Form_3CD_09_to_20'!Print_Titles</vt:lpstr>
      <vt:lpstr>'09_Form_3CD_21_to_30C'!Print_Titles</vt:lpstr>
      <vt:lpstr>'10_Form_3CD_31_to_44'!Print_Titles</vt:lpstr>
      <vt:lpstr>'11_3CD_Annx_Partners_9'!Print_Titles</vt:lpstr>
      <vt:lpstr>'12_3CD_Annx_Depn_18'!Print_Titles</vt:lpstr>
      <vt:lpstr>'13_3CD_Annx_Disallow_21_26'!Print_Titles</vt:lpstr>
      <vt:lpstr>'14_3CD_Annx_MSME_22_23'!Print_Titles</vt:lpstr>
      <vt:lpstr>'15_3CD_Annx_43B_26'!Print_Titles</vt:lpstr>
      <vt:lpstr>'16_3CD_Annx_Loans_31'!Print_Titles</vt:lpstr>
      <vt:lpstr>'17_3CD_Annx_BF_Loss_32'!Print_Titles</vt:lpstr>
      <vt:lpstr>'18_3CD_Annx_Deduction_19_33'!Print_Titles</vt:lpstr>
      <vt:lpstr>'19_3CD_Annx_TDS_34'!Print_Titles</vt:lpstr>
      <vt:lpstr>'19_Sample_Narrative_Notes'!Print_Titles</vt:lpstr>
      <vt:lpstr>'20_3CD_Annx_Quant_35'!Print_Titles</vt:lpstr>
      <vt:lpstr>'21_3CD_Annx_GP_40'!Print_Titles</vt:lpstr>
      <vt:lpstr>'22_3CD_Annx_GST_44'!Print_Titles</vt:lpstr>
      <vt:lpstr>'99_Legal_Sources'!Print_Titles</vt:lpstr>
      <vt:lpstr>'Notes other'!Print_Titles</vt:lpstr>
      <vt:lpstr>'Notes other2'!Print_Titles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kalyan</dc:creator>
  <cp:lastModifiedBy>Mukesh Baldha</cp:lastModifiedBy>
  <cp:lastPrinted>2026-04-18T09:47:39Z</cp:lastPrinted>
  <dcterms:created xsi:type="dcterms:W3CDTF">2015-08-03T06:17:58Z</dcterms:created>
  <dcterms:modified xsi:type="dcterms:W3CDTF">2026-05-04T10:57:06Z</dcterms:modified>
</cp:coreProperties>
</file>