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38.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firstSheet="2" activeTab="11"/>
  </bookViews>
  <sheets>
    <sheet sheetId="1" name="00_Cover" state="visible" r:id="rId4"/>
    <sheet sheetId="2" name="01_Control" state="visible" r:id="rId5"/>
    <sheet sheetId="3" name="02_Index" state="visible" r:id="rId6"/>
    <sheet sheetId="4" name="BS" state="visible" r:id="rId7"/>
    <sheet sheetId="5" name="PL" state="visible" r:id="rId8"/>
    <sheet sheetId="6" name="CFS" state="visible" r:id="rId9"/>
    <sheet sheetId="7" name="Note BS-Liab" state="visible" r:id="rId10"/>
    <sheet sheetId="8" name="FA" state="visible" r:id="rId11"/>
    <sheet sheetId="9" name="Note BS-Asset" state="visible" r:id="rId12"/>
    <sheet sheetId="10" name="Note PL" state="visible" r:id="rId13"/>
    <sheet sheetId="11" name="Notes other" state="visible" r:id="rId14"/>
    <sheet sheetId="12" name="Notes other2" state="visible" r:id="rId15"/>
    <sheet sheetId="38" name="Sheet2" state="hidden" r:id="rId16"/>
    <sheet sheetId="13" name="FA - IT Act" state="visible" r:id="rId17"/>
    <sheet sheetId="14" name="DT" state="visible" r:id="rId18"/>
    <sheet sheetId="15" name="Sheet1" state="hidden" r:id="rId19"/>
    <sheet sheetId="16" name="03_Independent_Auditors_Report" state="hidden" r:id="rId20"/>
    <sheet sheetId="17" name="04_Annexure_A_CARO_2020" state="hidden" r:id="rId21"/>
    <sheet sheetId="18" name="05_Annexure_B_IFC" state="hidden" r:id="rId22"/>
    <sheet sheetId="19" name="06_Form_3CA" state="hidden" r:id="rId23"/>
    <sheet sheetId="20" name="07_Form_3CD_Part_A" state="hidden" r:id="rId24"/>
    <sheet sheetId="21" name="08_Form_3CD_09_to_20" state="hidden" r:id="rId25"/>
    <sheet sheetId="22" name="09_Form_3CD_21_to_30C" state="hidden" r:id="rId26"/>
    <sheet sheetId="23" name="10_Form_3CD_31_to_44" state="hidden" r:id="rId27"/>
    <sheet sheetId="24" name="11_3CD_Annx_Partners_9" state="hidden" r:id="rId28"/>
    <sheet sheetId="25" name="12_3CD_Annx_Depn_18" state="hidden" r:id="rId29"/>
    <sheet sheetId="26" name="13_3CD_Annx_Disallow_21_26" state="hidden" r:id="rId30"/>
    <sheet sheetId="27" name="14_3CD_Annx_MSME_22_23" state="hidden" r:id="rId31"/>
    <sheet sheetId="28" name="15_3CD_Annx_43B_26" state="hidden" r:id="rId32"/>
    <sheet sheetId="29" name="16_3CD_Annx_Loans_31" state="hidden" r:id="rId33"/>
    <sheet sheetId="30" name="17_3CD_Annx_BF_Loss_32" state="hidden" r:id="rId34"/>
    <sheet sheetId="31" name="18_3CD_Annx_Deduction_19_33" state="hidden" r:id="rId35"/>
    <sheet sheetId="32" name="19_3CD_Annx_TDS_34" state="hidden" r:id="rId36"/>
    <sheet sheetId="33" name="20_3CD_Annx_Quant_35" state="hidden" r:id="rId37"/>
    <sheet sheetId="34" name="21_3CD_Annx_GP_40" state="hidden" r:id="rId38"/>
    <sheet sheetId="35" name="22_3CD_Annx_GST_44" state="hidden" r:id="rId39"/>
    <sheet sheetId="36" name="19_Sample_Narrative_Notes" state="hidden" r:id="rId40"/>
    <sheet sheetId="37" name="99_Legal_Sources" state="hidden" r:id="rId41"/>
  </sheets>
  <definedNames>
    <definedName name="__TDS2">'[3]Pre_XML'!$E$10</definedName>
    <definedName name="_xlnm._FilterDatabase">'Note PL'!$I$74:$I$134</definedName>
    <definedName name="_TDS2">'[3]Pre_XML'!$E$10</definedName>
    <definedName name="A_C_NO">'[5]Account_NO_Co_code'!$A$2:$A$245</definedName>
    <definedName name="A_GEN1.AONo">'[3]GENERAL'!$AR$24</definedName>
    <definedName name="A_GEN1.AOType">'[3]GENERAL'!$AI$24</definedName>
    <definedName name="A_GEN1.AreaCode">'[3]GENERAL'!$AD$24</definedName>
    <definedName name="A_GEN1.AsseseeRepFlg">'[3]GENERAL'!$AN$31</definedName>
    <definedName name="A_GEN1.CityOrTownOrDistrict">'[3]GENERAL'!$C$18</definedName>
    <definedName name="A_GEN1.DateOFFormOrIncorp">'[3]GENERAL'!$AL$11</definedName>
    <definedName name="A_GEN1.DesigOfficerWardorCircle">'[3]GENERAL'!$C$24</definedName>
    <definedName name="A_GEN1.DomesticCompFlg">'[3]GENERAL'!$AQ$15</definedName>
    <definedName name="A_GEN1.EmailAddress">'[3]GENERAL'!$C$22</definedName>
    <definedName name="A_GEN1.FBTSec">'[3]GENERAL'!$AK$22</definedName>
    <definedName name="A_GEN1.IncomeTaxSec">'[3]GENERAL'!$AK$19</definedName>
    <definedName name="A_GEN1.LocalityOrArea">'[3]GENERAL'!$U$14</definedName>
    <definedName name="A_GEN1.NRI_PE">'[3]GENERAL'!$AR$30</definedName>
    <definedName name="A_GEN1.OrgOldName">'[3]GENERAL'!$U$6</definedName>
    <definedName name="A_GEN1.OrigRetFiledDate">'[3]GENERAL'!$AM$28</definedName>
    <definedName name="A_GEN1.PAN">'[3]GENERAL'!$AL$7</definedName>
    <definedName name="A_GEN1.PhoneNo">'[3]GENERAL'!$AD$22</definedName>
    <definedName name="A_GEN1.PinCode">'[3]GENERAL'!$AD$19</definedName>
    <definedName name="A_GEN1.RangeCode">'[3]GENERAL'!$AM$24</definedName>
    <definedName name="A_GEN1.ReceiptNo">'[3]GENERAL'!$U$28</definedName>
    <definedName name="A_GEN1.RepAddress">'[3]GENERAL'!$AC$34</definedName>
    <definedName name="A_GEN1.RepName">'[3]GENERAL'!$AC$33</definedName>
    <definedName name="A_GEN1.RepPAN">'[3]GENERAL'!$AC$35</definedName>
    <definedName name="A_GEN1.ResidenceName">'[3]GENERAL'!$U$10</definedName>
    <definedName name="A_GEN1.ResidenceNo">'[3]GENERAL'!$C$10</definedName>
    <definedName name="A_GEN1.ResidentialStatus">'[3]GENERAL'!$U$30</definedName>
    <definedName name="A_GEN1.ReturnType">'[3]GENERAL'!$V$26</definedName>
    <definedName name="A_GEN1.RoadOrStreet">'[3]GENERAL'!$C$14</definedName>
    <definedName name="A_GEN1.StateCode">'[3]GENERAL'!$U$18</definedName>
    <definedName name="A_GEN1.StatusOrCompanyType">'[3]GENERAL'!$AL$15</definedName>
    <definedName name="A_GEN1.STDcode">'[3]GENERAL'!$Y$22</definedName>
    <definedName name="A_GEN1.SurNameOrOrgName">'[3]GENERAL'!$C$6</definedName>
    <definedName name="A_GEN2.AudFrmName">'[3]GENERAL'!$W$40</definedName>
    <definedName name="A_GEN2.AudFrmPAN">'[3]GENERAL'!$AF$41</definedName>
    <definedName name="A_GEN2.AuditDate">'[3]GENERAL'!$N$42</definedName>
    <definedName name="A_GEN2.AuditorMemNo">'[3]GENERAL'!$R$39</definedName>
    <definedName name="A_GEN2.AuditorName">'[3]GENERAL'!$Y$38</definedName>
    <definedName name="A_GEN2.LiableSec44AAflg">'[3]GENERAL'!$AE$36</definedName>
    <definedName name="A_GEN2.LiableSec44ABflg">'[3]GENERAL'!$AO$37</definedName>
    <definedName name="AA10.DedFromUndertaking">'[3]10A'!$F$26</definedName>
    <definedName name="AA10.TotalDedUs10Sub">'[3]10A'!$H$27</definedName>
    <definedName name="AA10AA">'[3]Pre_XML'!$E$2</definedName>
    <definedName name="AAAA">'[6]IO'!$A$3:$A$657</definedName>
    <definedName name="adjtotloss.BusLossOthThanSpecLossCF9">'[3]CFL'!$F$12</definedName>
    <definedName name="adjtotloss.HPLossCF9">'[3]CFL'!$E$12</definedName>
    <definedName name="adjtotloss.LossFrmSpecBusCF9">'[3]CFL'!$G$12</definedName>
    <definedName name="adjtotloss.LTCGLossCF9">'[3]CFL'!$I$12</definedName>
    <definedName name="adjtotloss.OthSrcLossNotRaceHorseCF9">'[3]CFL'!$J$12</definedName>
    <definedName name="adjtotloss.OthSrcLossRaceHorseCF9">'[3]CFL'!$K$12</definedName>
    <definedName name="adjtotloss.STCGLossCF9">'[3]CFL'!$H$12</definedName>
    <definedName name="ANNEX1_TOTAL">'[7]ANNEX1'!$C$3:$C$23</definedName>
    <definedName name="ANNEX2_TOTAL">'[7]ANNEX2'!$C$3:$C$23</definedName>
    <definedName name="ANNEX3_TOTAL">'[7]ANNEX3'!$C$3:$C$23</definedName>
    <definedName name="ANNEX4_TOTAL">'[7]ANNEX4'!$C$3:$C$23</definedName>
    <definedName name="ANNEX5_TOTAL">'[7]ANNEX5'!$C$3:$C$23</definedName>
    <definedName name="ANNEX6_READONLY">'[7]PART-6'!$R$5:$R$7,'[7]PART-6'!$C$7,'[7]PART-6'!$F$7,'[7]PART-6'!$I$7,'[7]PART-6'!$L$7,'[7]PART-6'!$O$7,'[7]PART-6'!$L$13:$L$15,'[7]PART-6'!$C$15,'[7]PART-6'!$F$15,'[7]PART-6'!$I$15</definedName>
    <definedName name="asd">'[8]Index'!$C$5</definedName>
    <definedName name="ASSL">'[10]Index'!$C$4</definedName>
    <definedName name="Audit_Cert">'[9]Note-P'!$F$123</definedName>
    <definedName name="Audit_Fees">'[9]Note-P'!$F$122</definedName>
    <definedName name="Audit_Firm">'[11]Index'!$C$22</definedName>
    <definedName name="Audit_Out_of_Pocket">'[9]Note-P'!$F$124</definedName>
    <definedName name="Audit_Partner">'[12]Index'!$C$20</definedName>
    <definedName name="Auditors">'[12]Index'!$C$19</definedName>
    <definedName name="B10.DedFromUndertaking">'[3]10A'!$F$31</definedName>
    <definedName name="B10.TotalDedUs10Sub">'[3]10A'!$H$32</definedName>
    <definedName name="B10B">'[3]Pre_XML'!$E$3</definedName>
    <definedName name="BA10.DedFromUndertaking">'[3]10A'!$F$36</definedName>
    <definedName name="BA10.TotalDedUs10Sub">'[3]10A'!$H$37</definedName>
    <definedName name="BA10BA">'[3]Pre_XML'!$E$4</definedName>
    <definedName name="Bad_Debt_Recov">'[9]Note-P'!$F$51</definedName>
    <definedName name="Bal_Wback">'[9]Note-P'!$F$49</definedName>
    <definedName name="Bank_OD_Intt">'[9]Note-P'!$F$97</definedName>
    <definedName name="BS.AccrIntNotDue">'[3]BALANCE_SHEET'!$H$91</definedName>
    <definedName name="BS.AccrIntonLeasedAsset">'[3]BALANCE_SHEET'!$H$90</definedName>
    <definedName name="BS.AccumultedLosses">'[3]BALANCE_SHEET'!$H$106</definedName>
    <definedName name="BS.AdvRecoverable">'[3]BALANCE_SHEET'!$H$78</definedName>
    <definedName name="BS.Authorised">'[3]BALANCE_SHEET'!$H$4</definedName>
    <definedName name="BS.BalWithRevAuth">'[3]BALANCE_SHEET'!$H$80</definedName>
    <definedName name="BS.BankBal">'[3]BALANCE_SHEET'!$H$72</definedName>
    <definedName name="BS.CapRedempResr">'[3]BALANCE_SHEET'!$H$11</definedName>
    <definedName name="BS.CapResr">'[3]BALANCE_SHEET'!$H$10</definedName>
    <definedName name="BS.CapWrkProg">'[3]BALANCE_SHEET'!$H$45</definedName>
    <definedName name="BS.CashBalAmt">'[3]BALANCE_SHEET'!$J$113</definedName>
    <definedName name="BS.CashinHand">'[3]BALANCE_SHEET'!$H$71</definedName>
    <definedName name="BS.Debenture">'[3]BALANCE_SHEET'!$H$55</definedName>
    <definedName name="BS.Debentures">'[3]BALANCE_SHEET'!$H$21</definedName>
    <definedName name="BS.DebunRedResr">'[3]BALANCE_SHEET'!$H$13</definedName>
    <definedName name="BS.DeferredTax">'[3]BALANCE_SHEET'!$J$39</definedName>
    <definedName name="BS.DefTaxAsset">'[3]BALANCE_SHEET'!$H$105</definedName>
    <definedName name="BS.Deposits">'[3]BALANCE_SHEET'!$H$79</definedName>
    <definedName name="BS.Depreciation">'[3]BALANCE_SHEET'!$H$43</definedName>
    <definedName name="BS.ELSuperAnnGratProvision">'[3]BALANCE_SHEET'!$H$97</definedName>
    <definedName name="BS.EquityShares">'[3]BALANCE_SHEET'!$H$53</definedName>
    <definedName name="BS.FBTProvision">'[3]BALANCE_SHEET'!$H$95</definedName>
    <definedName name="BS.FinOrTradGood">'[3]BALANCE_SHEET'!$H$64</definedName>
    <definedName name="BS.ForeignCurrLoan">'[3]BALANCE_SHEET'!$H$22</definedName>
    <definedName name="BS.FrmBank">'[3]BALANCE_SHEET'!$H$34</definedName>
    <definedName name="BS.FrmOthrs">'[3]BALANCE_SHEET'!$H$35</definedName>
    <definedName name="BS.GenResr">'[3]BALANCE_SHEET'!$H$15</definedName>
    <definedName name="BS.GovOthSecUnQoted">'[3]BALANCE_SHEET'!$H$50</definedName>
    <definedName name="BS.GovtOthSecQuoted">'[3]BALANCE_SHEET'!$H$49</definedName>
    <definedName name="BS.GrossBlock">'[3]BALANCE_SHEET'!$H$42</definedName>
    <definedName name="BS.IssuedSubsPaidUp">'[3]BALANCE_SHEET'!$H$5</definedName>
    <definedName name="BS.ITProvision">'[3]BALANCE_SHEET'!$H$94</definedName>
    <definedName name="BS.LiabForLeasedAsset">'[3]BALANCE_SHEET'!$H$86</definedName>
    <definedName name="BS.LoanToSubsComp">'[3]BALANCE_SHEET'!$H$77</definedName>
    <definedName name="BS.MiscExpndr">'[3]BALANCE_SHEET'!$H$104</definedName>
    <definedName name="BS.NetBlock">'[3]BALANCE_SHEET'!$H$44</definedName>
    <definedName name="BS.NetCurrAsset">'[3]BALANCE_SHEET'!$J$103</definedName>
    <definedName name="BS.OthCurrAsset">'[3]BALANCE_SHEET'!$J$74</definedName>
    <definedName name="BS.OthProvision">'[3]BALANCE_SHEET'!$H$98</definedName>
    <definedName name="BS.OthResr">'[3]BALANCE_SHEET'!$H$16</definedName>
    <definedName name="BS.OthSD">'[3]BALANCE_SHEET'!$H$68</definedName>
    <definedName name="BS.OverSixMonthSD">'[3]BALANCE_SHEET'!$H$67</definedName>
    <definedName name="BS.PartnerOrMemberCap">'[3]BALANCE_SHEET'!$J$3</definedName>
    <definedName name="BS.PreferShares">'[3]BALANCE_SHEET'!$H$54</definedName>
    <definedName name="BS.ProposedDividend">'[3]BALANCE_SHEET'!$H$99</definedName>
    <definedName name="BS.RawMatl">'[3]BALANCE_SHEET'!$H$62</definedName>
    <definedName name="BS.RevResr">'[3]BALANCE_SHEET'!$H$9</definedName>
    <definedName name="BS.SecurPremResr">'[3]BALANCE_SHEET'!$H$12</definedName>
    <definedName name="BS.ShareAppMoney">'[3]BALANCE_SHEET'!$H$6</definedName>
    <definedName name="BS.StatResr">'[3]BALANCE_SHEET'!$H$14</definedName>
    <definedName name="BS.StkInProcess">'[3]BALANCE_SHEET'!$H$63</definedName>
    <definedName name="BS.StoresConsumables">'[3]BALANCE_SHEET'!$H$61</definedName>
    <definedName name="BS.SundryCred">'[3]BALANCE_SHEET'!$H$85</definedName>
    <definedName name="BS.SundryDebtors">'[3]BALANCE_SHEET'!$J$66</definedName>
    <definedName name="BS.TaxOnDividend">'[3]BALANCE_SHEET'!$H$100</definedName>
    <definedName name="BS.TotCashOrBankBal">'[3]BALANCE_SHEET'!$J$73</definedName>
    <definedName name="BS.TotCurrAsset">'[3]BALANCE_SHEET'!$J$75</definedName>
    <definedName name="BS.TotCurrAssetLoanAdv">'[3]BALANCE_SHEET'!$J$82</definedName>
    <definedName name="BS.TotCurrLiabilities">'[3]BALANCE_SHEET'!$J$92</definedName>
    <definedName name="BS.TotCurrLiabilitiesProvision">'[3]BALANCE_SHEET'!$J$102</definedName>
    <definedName name="BS.TotFixedAsset">'[3]BALANCE_SHEET'!$J$46</definedName>
    <definedName name="BS.TotFundApply">'[3]BALANCE_SHEET'!$J$108</definedName>
    <definedName name="BS.TotFundSrc">'[3]BALANCE_SHEET'!$J$40</definedName>
    <definedName name="BS.TotInventries">'[3]BALANCE_SHEET'!$J$65</definedName>
    <definedName name="BS.TotInvestments">'[3]BALANCE_SHEET'!$J$57</definedName>
    <definedName name="BS.TotLoanAdv">'[3]BALANCE_SHEET'!$J$81</definedName>
    <definedName name="BS.TotLoanFund">'[3]BALANCE_SHEET'!$J$38</definedName>
    <definedName name="BS.TotLongTermInv">'[3]BALANCE_SHEET'!$J$51</definedName>
    <definedName name="BS.TotLongTermLoan">'[3]BALANCE_SHEET'!$J$32</definedName>
    <definedName name="BS.TotMiscAdjust">'[3]BALANCE_SHEET'!$J$107</definedName>
    <definedName name="BS.TotPartnerOrMemberFund">'[3]BALANCE_SHEET'!$J$18</definedName>
    <definedName name="BS.TotProvisions">'[3]BALANCE_SHEET'!$J$101</definedName>
    <definedName name="BS.TotResrNSurp">'[3]BALANCE_SHEET'!$J$17</definedName>
    <definedName name="BS.TotRupeeLoan">'[3]BALANCE_SHEET'!$H$26</definedName>
    <definedName name="BS.TotSecrLoan">'[3]BALANCE_SHEET'!$J$27</definedName>
    <definedName name="BS.TotShareCapital">'[3]BALANCE_SHEET'!$J$7</definedName>
    <definedName name="BS.TotShortTermLoan">'[3]BALANCE_SHEET'!$J$36</definedName>
    <definedName name="BS.TotStkInTradAmt">'[3]BALANCE_SHEET'!$J$112</definedName>
    <definedName name="BS.TotSundryCrdAmt">'[3]BALANCE_SHEET'!$J$111</definedName>
    <definedName name="BS.TotSundryDbtAmt">'[3]BALANCE_SHEET'!$J$110</definedName>
    <definedName name="BS.TotSundryDebtors">'[3]BALANCE_SHEET'!$J$69</definedName>
    <definedName name="BS.TotTradeInv">'[3]BALANCE_SHEET'!$J$56</definedName>
    <definedName name="BS.TotUnSecrLoan">'[3]BALANCE_SHEET'!$J$37</definedName>
    <definedName name="BS.UnpaidCallMoney">'[3]BALANCE_SHEET'!$H$89</definedName>
    <definedName name="BS.UnpaidDividend">'[3]BALANCE_SHEET'!$H$87</definedName>
    <definedName name="BS.UnpaidMatureDebenture">'[3]BALANCE_SHEET'!$H$88</definedName>
    <definedName name="BS.WTProvision">'[3]BALANCE_SHEET'!$H$96</definedName>
    <definedName name="BS_Date">'[14]Index'!$C$11</definedName>
    <definedName name="BS_Date_text">'[10]Index'!$C$9</definedName>
    <definedName name="BS_DT">'[15]Index'!$C$11</definedName>
    <definedName name="BS_DT_TEXT">'[16]Index'!$C$12</definedName>
    <definedName name="BSSec.FrmBank">'[3]BALANCE_SHEET'!$H$24</definedName>
    <definedName name="BSSec.FrmOthrs">'[3]BALANCE_SHEET'!$H$25</definedName>
    <definedName name="BSUnSec.FrmBank">'[3]BALANCE_SHEET'!$H$30</definedName>
    <definedName name="BSUnSec.FrmOthrs">'[3]BALANCE_SHEET'!$H$31</definedName>
    <definedName name="Business_Prom">'[9]Note-P'!$F$120</definedName>
    <definedName name="busipofincl.BFAllUs35Cl4Setoff2">'[3]CYLA BFLA'!$G$18</definedName>
    <definedName name="busipofincl.BFlossPrevYrUndSameHeadSetoff2">'[3]CYLA BFLA'!$E$18</definedName>
    <definedName name="busipofincl.BFUnabsorbedDeprSetoff2">'[3]CYLA BFLA'!$F$18</definedName>
    <definedName name="busipofincl.IncOfCurYrAfterSetOffBFLosses2">'[3]CYLA BFLA'!$H$18</definedName>
    <definedName name="busipofincl.IncOfCurYrUndHeadFromCYLA2">'[3]CYLA BFLA'!$D$18</definedName>
    <definedName name="busprof.BusLossSetoff">'[3]CYLA BFLA'!$F$7</definedName>
    <definedName name="busprof.HPlossCurYrSetoff">'[3]CYLA BFLA'!$E$7</definedName>
    <definedName name="busprof.IncOfCurYrAfterSetOff">'[3]CYLA BFLA'!$H$7</definedName>
    <definedName name="busprof.IncOfCurYrUnderThatHead">'[3]CYLA BFLA'!$D$7</definedName>
    <definedName name="busprof.OthSrcLossNoRaceHorseSetoff">'[3]CYLA BFLA'!$G$7</definedName>
    <definedName name="CAP_ADV_NET">'[9]Note-B'!$G$305</definedName>
    <definedName name="CBB">'[9]BS'!$H$55</definedName>
    <definedName name="cg.AmtDeemedCGSec54">'[3]CG_OS'!$J$54</definedName>
    <definedName name="cg.IncCharegeableHeadCapGains">'[3]CG_OS'!$J$56</definedName>
    <definedName name="cg.TotalLTCG">'[3]CG_OS'!$J$55</definedName>
    <definedName name="cglng.AquisitCostIndexed1">'[3]CG_OS'!$H$37</definedName>
    <definedName name="cglng.BalanceCG1">'[3]CG_OS'!$H$41</definedName>
    <definedName name="cglng.BalLTCGNo1121">'[3]CG_OS'!$J$43</definedName>
    <definedName name="cglng.CGSlumpSale2">'[3]CG_OS'!$H$30</definedName>
    <definedName name="cglng.DednUs54s2">'[3]CG_OS'!$H$31</definedName>
    <definedName name="cglng.ExemptionOrDednUs54s1">'[3]CG_OS'!$H$42</definedName>
    <definedName name="cglng.ExpOnTrans1">'[3]CG_OS'!$H$39</definedName>
    <definedName name="cglng.FullConsideration01">'[3]CG_OS'!$H$35</definedName>
    <definedName name="cglng.FullConsideration3">'[3]CG_OS'!$H$28</definedName>
    <definedName name="cglng.ImproveCostIndexed1">'[3]CG_OS'!$H$38</definedName>
    <definedName name="cglng.NetCGSlumpSale2">'[3]CG_OS'!$J$32</definedName>
    <definedName name="cglng.NetWorthOfUTDivn2">'[3]CG_OS'!$H$29</definedName>
    <definedName name="cglng.NRIAssetSec482">'[3]CG_OS'!$J$33</definedName>
    <definedName name="cglng.TotalDedn1">'[3]CG_OS'!$H$40</definedName>
    <definedName name="cglng.Up16Of12To15Of32">'[3]CG_OS'!$J$62</definedName>
    <definedName name="cglng.Up16Of3To31Of32">'[3]CG_OS'!$J$63</definedName>
    <definedName name="cglng.Up16Of9To15Of122">'[3]CG_OS'!$J$61</definedName>
    <definedName name="cglng.Upto15Of62">'[3]CG_OS'!$J$59</definedName>
    <definedName name="cglng.Upto15Of92">'[3]CG_OS'!$J$60</definedName>
    <definedName name="cgoth.AquisitCostIndexed2">'[3]CG_OS'!$H$47</definedName>
    <definedName name="cgoth.BalanceCG2">'[3]CG_OS'!$H$51</definedName>
    <definedName name="cgoth.BalLTCGNo1122">'[3]CG_OS'!$J$53</definedName>
    <definedName name="cgoth.ExemptionOrDednUs54s2">'[3]CG_OS'!$H$52</definedName>
    <definedName name="cgoth.ExpOnTrans2">'[3]CG_OS'!$H$49</definedName>
    <definedName name="cgoth.FullConsideration02">'[3]CG_OS'!$H$45</definedName>
    <definedName name="cgoth.ImproveCostIndexed2">'[3]CG_OS'!$H$48</definedName>
    <definedName name="cgoth.TotalDedn2">'[3]CG_OS'!$H$50</definedName>
    <definedName name="cgshrt.AmtDeemedCGSec54">'[3]CG_OS'!$J$22</definedName>
    <definedName name="cgshrt.AquisitCost">'[3]CG_OS'!$H$13</definedName>
    <definedName name="cgshrt.BalanceCG">'[3]CG_OS'!$H$17</definedName>
    <definedName name="cgshrt.BalCG">'[3]CG_OS'!$J$20</definedName>
    <definedName name="cgshrt.CGSlumpSale1">'[3]CG_OS'!$H$6</definedName>
    <definedName name="cgshrt.DednUs54s1">'[3]CG_OS'!$H$7</definedName>
    <definedName name="cgshrt.DeemedSTCGDeprAsset">'[3]CG_OS'!$J$21</definedName>
    <definedName name="cgshrt.ExemptionOrDednUs54s">'[3]CG_OS'!$H$19</definedName>
    <definedName name="cgshrt.ExpOnTrans">'[3]CG_OS'!$H$15</definedName>
    <definedName name="cgshrt.FullConsideration1">'[3]CG_OS'!$H$4</definedName>
    <definedName name="cgshrt.FullConsideration2">'[3]CG_OS'!$H$11</definedName>
    <definedName name="cgshrt.ImproveCost">'[3]CG_OS'!$H$14</definedName>
    <definedName name="cgshrt.LossSec94of7Or94of8">'[3]CG_OS'!$H$18</definedName>
    <definedName name="cgshrt.NetCGSlumpSale1">'[3]CG_OS'!$J$8</definedName>
    <definedName name="cgshrt.NetWorthOfUTDivn1">'[3]CG_OS'!$H$5</definedName>
    <definedName name="cgshrt.NRIAssetSec481">'[3]CG_OS'!$J$9</definedName>
    <definedName name="cgshrt.STCGNotSec111A">'[3]CG_OS'!$J$25</definedName>
    <definedName name="cgshrt.STCGSec111A">'[3]CG_OS'!$J$24</definedName>
    <definedName name="cgshrt.TotalDedn">'[3]CG_OS'!$H$16</definedName>
    <definedName name="cgshrt.TotalSTCG">'[3]CG_OS'!$J$23</definedName>
    <definedName name="cgshrt.Up16Of12To15Of31">'[3]CG_OS'!$H$62</definedName>
    <definedName name="cgshrt.Up16Of3To31Of31">'[3]CG_OS'!$H$63</definedName>
    <definedName name="cgshrt.Up16Of9To15Of121">'[3]CG_OS'!$H$61</definedName>
    <definedName name="cgshrt.Upto15Of61">'[3]CG_OS'!$H$59</definedName>
    <definedName name="cgshrt.Upto15Of91">'[3]CG_OS'!$H$60</definedName>
    <definedName name="check">'[17]Sheet3'!$A$1:$B$62</definedName>
    <definedName name="CI">'[9]BS'!$H$52</definedName>
    <definedName name="cmb_A_GEN1.AsseseeRepFlg">'[3]GENERAL'!$DH$54:$DH$55</definedName>
    <definedName name="cmb_A_GEN1.FBTSec">'[3]GENERAL'!$BJ$54:$BJ$58</definedName>
    <definedName name="cmb_A_GEN1.IncomeTaxSec">'[3]GENERAL'!$AJ$54:$AJ$58</definedName>
    <definedName name="cmb_A_GEN1.NRI_PE">'[3]GENERAL'!$DA$54:$DA$55</definedName>
    <definedName name="cmb_A_GEN1.ResidentialStatus">'[3]GENERAL'!$EM$54:$EM$56</definedName>
    <definedName name="cmb_A_GEN1.ReturnType">'[3]GENERAL'!$EB$54:$EB$55</definedName>
    <definedName name="cmb_A_GEN1.StateCode">'[3]GENERAL'!$B$54:$B$89</definedName>
    <definedName name="cmb_A_GEN1.StatusOrCompanyType">'[3]GENERAL'!$U$54:$U$55</definedName>
    <definedName name="cmb_A_GEN2.LiableSec44AAflg">'[3]GENERAL'!$DP$54:$DP$55</definedName>
    <definedName name="cmb_A_GEN2.LiableSec44ABflg">'[3]GENERAL'!$DS$54:$DS$55</definedName>
    <definedName name="cmb_DDT.RateDividPrevYrType">'[18]DDT_TDS_TCS'!$Z$3:$Z$4</definedName>
    <definedName name="cmb_FBI.EmployeesInOutIndiaFlg">'[3]FRINGE_BENEFIT_INFO'!$P$2:$P$3</definedName>
    <definedName name="cmb_FBI.SeparateAcntMaintainForIndiaForeignFlg">'[3]FRINGE_BENEFIT_INFO'!$Q$2:$Q$3</definedName>
    <definedName name="cmb_HP.ifLetOut1">'[3]HOUSE_PROPERTY'!$F$61:$F$62</definedName>
    <definedName name="cmb_HP.StateCode1">'[3]HOUSE_PROPERTY'!$D$61:$D$96</definedName>
    <definedName name="cmb_NOB.Code">'[3]NATUREOFBUSINESS'!$C$31:$C$104</definedName>
    <definedName name="cmb_OI.ChangeInAcctMethFlg">'[3]OTHER_INFORMATION'!$P$4:$P$5</definedName>
    <definedName name="cmb_OI.MethodOfAcct">'[3]OTHER_INFORMATION'!$O$4:$O$5</definedName>
    <definedName name="cmb_OIMethodofValClgStk.ChngStockValMetFlg">'[3]OTHER_INFORMATION'!$S$4:$S$5</definedName>
    <definedName name="cmb_OIMethodofValClgStk.ValFinishedGoods">'[3]OTHER_INFORMATION'!$R$4:$R$6</definedName>
    <definedName name="cmb_OIMethodofValClgStk.ValRawMaterial">'[3]OTHER_INFORMATION'!$Q$4:$Q$6</definedName>
    <definedName name="cmb_PAGBU2.BusOrgType">'[3]GENERAL2'!$D$51:$D$54</definedName>
    <definedName name="cmb_PAGH2.NatOfCompFlg">'[3]GENERAL2'!$C$51:$C$54</definedName>
    <definedName name="cmb_PAGH2.StateCode">'[3]GENERAL2'!$E$51:$E$86</definedName>
    <definedName name="cmb_PAGNA2.PubSectCompUs2_36AFlg">'[3]GENERAL2'!$G$51:$G$52</definedName>
    <definedName name="cmb_PAGS2.StateCode">'[3]SUBSIDIARY DETAILS'!$C$15:$C$50</definedName>
    <definedName name="cmb_Per10080G.StateCode">'[3]80G'!$F$50:$F$85</definedName>
    <definedName name="cmb_Per5080G.StateCode">'[3]80G'!$J$50:$J$85</definedName>
    <definedName name="cmb_PerNO5080G.StateCode">'[3]80G'!$H$50:$H$85</definedName>
    <definedName name="cmb_PMChange.PrevYrMemPartChange">'[3]NATUREOFBUSINESS'!$E$31:$E$32</definedName>
    <definedName name="cmb_PMInfo.StateCode">'[3]NATUREOFBUSINESS'!$I$31:$I$63</definedName>
    <definedName name="cmb_QDFinishrByProd.UnitOfMeasure">'[3]QUANTITATIVE_DETAILS'!$C$77:$C$99</definedName>
    <definedName name="cmb_QDRawMaterial.UnitOfMeasure">'[3]QUANTITATIVE_DETAILS'!$B$77:$B$99</definedName>
    <definedName name="cmb_QDTradingConcern.UnitOfMeasure">'[3]QUANTITATIVE_DETAILS'!$A$77:$A$99</definedName>
    <definedName name="cmb_SI.SecCode">'[3]SI'!$C$21:$C$41</definedName>
    <definedName name="cmb_SI.SplRatePercent">'[3]SI'!$D$21:$D$26</definedName>
    <definedName name="cmb_TCS.StateCode">'[3]IT_FBT_DDTP'!$J$70:$J$105</definedName>
    <definedName name="cmb_TDS2.StateCode">'[19]IT_FBT_DDTP'!$H$65:$H$100</definedName>
    <definedName name="cntr.hprptfrm">'[3]HOUSE_PROPERTY'!$L$2</definedName>
    <definedName name="Commission">'[9]Note-P'!$F$65</definedName>
    <definedName name="Communications">'[9]Note-P'!$F$114</definedName>
    <definedName name="Company">'[12]Index'!$C$4</definedName>
    <definedName name="Content">'[9]Note-P'!$F$72</definedName>
    <definedName name="Contribution_to_PF">'[9]Note-P'!$F$82</definedName>
    <definedName name="CS">'[11]Index'!$C$18</definedName>
    <definedName name="CS_PAN">'[11]Index'!$C$19</definedName>
    <definedName name="cyla.TotBusLoss">'[3]CYLA BFLA'!$F$4</definedName>
    <definedName name="cyla.TotHPlossCurYr">'[3]CYLA BFLA'!$E$4</definedName>
    <definedName name="cyla.TotOthSrcLossNoRaceHorse">'[3]CYLA BFLA'!$G$4</definedName>
    <definedName name="DAOB10.AdditionsGrThan180Days">'[3]DPM_DOA'!$E$27</definedName>
    <definedName name="DAOB10.AdditionsLessThan180Days">'[3]DPM_DOA'!$E$30</definedName>
    <definedName name="DAOB10.AddlnDeprDuringYearAdditions">'[3]DPM_DOA'!$E$36</definedName>
    <definedName name="DAOB10.AddlnDeprOnGT180DayAdditions">'[3]DPM_DOA'!$E$35</definedName>
    <definedName name="DAOB10.CapGainUs50">'[3]DPM_DOA'!$E$39</definedName>
    <definedName name="DAOB10.DepreciationAtFullRate">'[3]DPM_DOA'!$E$33</definedName>
    <definedName name="DAOB10.DepreciationAtHalfRate">'[3]DPM_DOA'!$E$34</definedName>
    <definedName name="DAOB10.ExpdrOnTrforSaleAsset">'[3]DPM_DOA'!$E$38</definedName>
    <definedName name="DAOB10.FullRateDeprAmt">'[3]DPM_DOA'!$E$29</definedName>
    <definedName name="DAOB10.HalfRateDeprAmt">'[3]DPM_DOA'!$E$32</definedName>
    <definedName name="DAOB10.RealizationPeriodDuringYear">'[3]DPM_DOA'!$E$31</definedName>
    <definedName name="DAOB10.RealizationTotalPeriod">'[3]DPM_DOA'!$E$28</definedName>
    <definedName name="DAOB10.TotalDepreciation">'[3]DPM_DOA'!$E$37</definedName>
    <definedName name="DAOB10.WDVFirstDay">'[3]DPM_DOA'!$E$26</definedName>
    <definedName name="DAOB10.WDVLastDay">'[3]DPM_DOA'!$E$40</definedName>
    <definedName name="DAOB100.AdditionsGrThan180Days">'[3]DPM_DOA'!$F$27</definedName>
    <definedName name="DAOB100.AdditionsLessThan180Days">'[3]DPM_DOA'!$F$30</definedName>
    <definedName name="DAOB100.AddlnDeprDuringYearAdditions">'[3]DPM_DOA'!$F$36</definedName>
    <definedName name="DAOB100.AddlnDeprOnGT180DayAdditions">'[3]DPM_DOA'!$F$35</definedName>
    <definedName name="DAOB100.CapGainUs50">'[3]DPM_DOA'!$F$39</definedName>
    <definedName name="DAOB100.DepreciationAtFullRate">'[3]DPM_DOA'!$F$33</definedName>
    <definedName name="DAOB100.DepreciationAtHalfRate">'[3]DPM_DOA'!$F$34</definedName>
    <definedName name="DAOB100.ExpdrOnTrforSaleAsset">'[3]DPM_DOA'!$F$38</definedName>
    <definedName name="DAOB100.FullRateDeprAmt">'[3]DPM_DOA'!$F$29</definedName>
    <definedName name="DAOB100.HalfRateDeprAmt">'[3]DPM_DOA'!$F$32</definedName>
    <definedName name="DAOB100.RealizationPeriodDuringYear">'[3]DPM_DOA'!$F$31</definedName>
    <definedName name="DAOB100.RealizationTotalPeriod">'[3]DPM_DOA'!$F$28</definedName>
    <definedName name="DAOB100.TotalDepreciation">'[3]DPM_DOA'!$F$37</definedName>
    <definedName name="DAOB100.WDVFirstDay">'[3]DPM_DOA'!$F$26</definedName>
    <definedName name="DAOB100.WDVLastDay">'[3]DPM_DOA'!$F$40</definedName>
    <definedName name="DAOB5.AdditionsGrThan180Days">'[3]DPM_DOA'!$D$27</definedName>
    <definedName name="DAOB5.AdditionsLessThan180Days">'[3]DPM_DOA'!$D$30</definedName>
    <definedName name="DAOB5.AddlnDeprDuringYearAdditions">'[3]DPM_DOA'!$D$36</definedName>
    <definedName name="DAOB5.AddlnDeprOnGT180DayAdditions">'[3]DPM_DOA'!$D$35</definedName>
    <definedName name="DAOB5.CapGainUs50">'[3]DPM_DOA'!$D$39</definedName>
    <definedName name="DAOB5.DepreciationAtFullRate">'[3]DPM_DOA'!$D$33</definedName>
    <definedName name="DAOB5.DepreciationAtHalfRate">'[3]DPM_DOA'!$D$34</definedName>
    <definedName name="DAOB5.ExpdrOnTrforSaleAsset">'[3]DPM_DOA'!$D$38</definedName>
    <definedName name="DAOB5.FullRateDeprAmt">'[3]DPM_DOA'!$D$29</definedName>
    <definedName name="DAOB5.HalfRateDeprAmt">'[3]DPM_DOA'!$D$32</definedName>
    <definedName name="DAOB5.RealizationPeriodDuringYear">'[3]DPM_DOA'!$D$31</definedName>
    <definedName name="DAOB5.RealizationTotalPeriod">'[3]DPM_DOA'!$D$28</definedName>
    <definedName name="DAOB5.TotalDepreciation">'[3]DPM_DOA'!$D$37</definedName>
    <definedName name="DAOB5.WDVFirstDay">'[3]DPM_DOA'!$D$26</definedName>
    <definedName name="DAOB5.WDVLastDay">'[3]DPM_DOA'!$D$40</definedName>
    <definedName name="DAOF10.AdditionsGrThan180Days">'[3]DPM_DOA'!$G$27</definedName>
    <definedName name="DAOF10.AdditionsLessThan180Days">'[3]DPM_DOA'!$G$30</definedName>
    <definedName name="DAOF10.AddlnDeprDuringYearAdditions">'[3]DPM_DOA'!$G$36</definedName>
    <definedName name="DAOF10.AddlnDeprOnGT180DayAdditions">'[3]DPM_DOA'!$G$35</definedName>
    <definedName name="DAOF10.CapGainUs50">'[3]DPM_DOA'!$G$39</definedName>
    <definedName name="DAOF10.DepreciationAtFullRate">'[3]DPM_DOA'!$G$33</definedName>
    <definedName name="DAOF10.DepreciationAtHalfRate">'[3]DPM_DOA'!$G$34</definedName>
    <definedName name="DAOF10.ExpdrOnTrforSaleAsset">'[3]DPM_DOA'!$G$38</definedName>
    <definedName name="DAOF10.FullRateDeprAmt">'[3]DPM_DOA'!$G$29</definedName>
    <definedName name="DAOF10.HalfRateDeprAmt">'[3]DPM_DOA'!$G$32</definedName>
    <definedName name="DAOF10.RealizationPeriodDuringYear">'[3]DPM_DOA'!$G$31</definedName>
    <definedName name="DAOF10.RealizationTotalPeriod">'[3]DPM_DOA'!$G$28</definedName>
    <definedName name="DAOF10.TotalDepreciation">'[3]DPM_DOA'!$G$37</definedName>
    <definedName name="DAOF10.WDVFirstDay">'[3]DPM_DOA'!$G$26</definedName>
    <definedName name="DAOF10.WDVLastDay">'[3]DPM_DOA'!$G$40</definedName>
    <definedName name="DAOI25.AdditionsGrThan180Days">'[3]DPM_DOA'!$H$27</definedName>
    <definedName name="DAOI25.AdditionsLessThan180Days">'[3]DPM_DOA'!$H$30</definedName>
    <definedName name="DAOI25.AddlnDeprDuringYearAdditions">'[3]DPM_DOA'!$H$36</definedName>
    <definedName name="DAOI25.AddlnDeprOnGT180DayAdditions">'[3]DPM_DOA'!$H$35</definedName>
    <definedName name="DAOI25.CapGainUs50">'[3]DPM_DOA'!$H$39</definedName>
    <definedName name="DAOI25.DepreciationAtFullRate">'[3]DPM_DOA'!$H$33</definedName>
    <definedName name="DAOI25.DepreciationAtHalfRate">'[3]DPM_DOA'!$H$34</definedName>
    <definedName name="DAOI25.ExpdrOnTrforSaleAsset">'[3]DPM_DOA'!$H$38</definedName>
    <definedName name="DAOI25.FullRateDeprAmt">'[3]DPM_DOA'!$H$29</definedName>
    <definedName name="DAOI25.HalfRateDeprAmt">'[3]DPM_DOA'!$H$32</definedName>
    <definedName name="DAOI25.RealizationPeriodDuringYear">'[3]DPM_DOA'!$H$31</definedName>
    <definedName name="DAOI25.RealizationTotalPeriod">'[3]DPM_DOA'!$H$28</definedName>
    <definedName name="DAOI25.TotalDepreciation">'[3]DPM_DOA'!$H$37</definedName>
    <definedName name="DAOI25.WDVFirstDay">'[3]DPM_DOA'!$H$26</definedName>
    <definedName name="DAOI25.WDVLastDay">'[3]DPM_DOA'!$H$40</definedName>
    <definedName name="DAOS20.AdditionsGrThan180Days">'[3]DPM_DOA'!$I$27</definedName>
    <definedName name="DAOS20.AdditionsLessThan180Days">'[3]DPM_DOA'!$I$30</definedName>
    <definedName name="DAOS20.AddlnDeprDuringYearAdditions">'[3]DPM_DOA'!$I$36</definedName>
    <definedName name="DAOS20.AddlnDeprOnGT180DayAdditions">'[3]DPM_DOA'!$I$35</definedName>
    <definedName name="DAOS20.CapGainUs50">'[3]DPM_DOA'!$I$39</definedName>
    <definedName name="DAOS20.DepreciationAtFullRate">'[3]DPM_DOA'!$I$33</definedName>
    <definedName name="DAOS20.DepreciationAtHalfRate">'[3]DPM_DOA'!$I$34</definedName>
    <definedName name="DAOS20.ExpdrOnTrforSaleAsset">'[3]DPM_DOA'!$I$38</definedName>
    <definedName name="DAOS20.FullRateDeprAmt">'[3]DPM_DOA'!$I$29</definedName>
    <definedName name="DAOS20.HalfRateDeprAmt">'[3]DPM_DOA'!$I$32</definedName>
    <definedName name="DAOS20.RealizationPeriodDuringYear">'[3]DPM_DOA'!$I$31</definedName>
    <definedName name="DAOS20.RealizationTotalPeriod">'[3]DPM_DOA'!$I$28</definedName>
    <definedName name="DAOS20.TotalDepreciation">'[3]DPM_DOA'!$I$37</definedName>
    <definedName name="DAOS20.WDVFirstDay">'[3]DPM_DOA'!$I$26</definedName>
    <definedName name="DAOS20.WDVLastDay">'[3]DPM_DOA'!$I$40</definedName>
    <definedName name="DCG.FurnitureSummary">'[3]DEP_DCG'!$H$36</definedName>
    <definedName name="DCG.IntangibleAssetSummary">'[3]DEP_DCG'!$H$37</definedName>
    <definedName name="DCG.ShipsSummary">'[3]DEP_DCG'!$H$38</definedName>
    <definedName name="DCG.TotalDepreciation">'[3]DEP_DCG'!$H$39</definedName>
    <definedName name="DCGB.DeprBlockTot100Percent">'[3]DEP_DCG'!$F$34</definedName>
    <definedName name="DCGB.DeprBlockTot10Percent">'[3]DEP_DCG'!$F$33</definedName>
    <definedName name="DCGB.DeprBlockTot5Percent">'[3]DEP_DCG'!$F$32</definedName>
    <definedName name="DCGB.TotBuildng">'[3]DEP_DCG'!$H$35</definedName>
    <definedName name="DCGP.DeprBlockTot100Percent">'[3]DEP_DCG'!$F$29</definedName>
    <definedName name="DCGP.DeprBlockTot15Percent">'[3]DEP_DCG'!$F$23</definedName>
    <definedName name="DCGP.DeprBlockTot30Percent">'[3]DEP_DCG'!$F$24</definedName>
    <definedName name="DCGP.DeprBlockTot40Percent">'[3]DEP_DCG'!$F$25</definedName>
    <definedName name="DCGP.DeprBlockTot50Percent">'[3]DEP_DCG'!$F$26</definedName>
    <definedName name="DCGP.DeprBlockTot60Percent">'[3]DEP_DCG'!$F$27</definedName>
    <definedName name="DCGP.DeprBlockTot80Percent">'[3]DEP_DCG'!$F$28</definedName>
    <definedName name="DCGP.TotPlntMach">'[3]DEP_DCG'!$H$30</definedName>
    <definedName name="DDT">'[3]Pre_XML'!$E$14</definedName>
    <definedName name="DDTP">'[3]Pre_XML'!$E$13</definedName>
    <definedName name="DDTP.Amt">'[3]IT_FBT_DDTP'!$H$49:$H$54</definedName>
    <definedName name="DDTP.BSRCode">'[3]IT_FBT_DDTP'!$E$49:$E$54</definedName>
    <definedName name="DDTP.DateDep">'[3]IT_FBT_DDTP'!$F$49:$F$54</definedName>
    <definedName name="DDTP.NameOfBank">'[3]IT_FBT_DDTP'!$C$49:$C$54</definedName>
    <definedName name="DDTP.NameOfBranch">'[3]IT_FBT_DDTP'!$D$49:$D$54</definedName>
    <definedName name="DDTP.SrlNoOfChaln">'[3]IT_FBT_DDTP'!$G$49:$G$54</definedName>
    <definedName name="Demat">'[9]Note-P'!$F$63</definedName>
    <definedName name="den">'[11]Index'!$G$7</definedName>
    <definedName name="DEP.FurnitureSummary">'[3]DEP_DCG'!$H$16</definedName>
    <definedName name="DEP.IntangibleAssetSummary">'[3]DEP_DCG'!$H$17</definedName>
    <definedName name="DEP.ShipsSummary">'[3]DEP_DCG'!$H$18</definedName>
    <definedName name="DEP.TotalDepreciation">'[3]DEP_DCG'!$H$19</definedName>
    <definedName name="DEPB.DeprBlockTot100Percent">'[3]DEP_DCG'!$F$14</definedName>
    <definedName name="DEPB.DeprBlockTot10Percent">'[3]DEP_DCG'!$F$13</definedName>
    <definedName name="DEPB.DeprBlockTot5Percent">'[3]DEP_DCG'!$F$12</definedName>
    <definedName name="DEPB.TotBuildng">'[3]DEP_DCG'!$H$15</definedName>
    <definedName name="DEPP.DeprBlockTot100Percent">'[3]DEP_DCG'!$F$9</definedName>
    <definedName name="DEPP.DeprBlockTot15Percent">'[3]DEP_DCG'!$F$3</definedName>
    <definedName name="DEPP.DeprBlockTot30Percent">'[3]DEP_DCG'!$F$4</definedName>
    <definedName name="DEPP.DeprBlockTot40Percent">'[3]DEP_DCG'!$F$5</definedName>
    <definedName name="DEPP.DeprBlockTot50Percent">'[3]DEP_DCG'!$F$6</definedName>
    <definedName name="DEPP.DeprBlockTot60Percent">'[3]DEP_DCG'!$F$7</definedName>
    <definedName name="DEPP.DeprBlockTot80Percent">'[3]DEP_DCG'!$F$8</definedName>
    <definedName name="DEPP.TotPlntMach">'[3]DEP_DCG'!$H$10</definedName>
    <definedName name="Depreciation">'[9]PL'!$G$17</definedName>
    <definedName name="DIN_1">'[11]Index'!$C$14</definedName>
    <definedName name="DIN_2">'[11]Index'!$C$16</definedName>
    <definedName name="Director_1">'[10]Index'!$C$11</definedName>
    <definedName name="Director_2">'[10]Index'!$C$12</definedName>
    <definedName name="Director1">'[16]Index'!$C$13</definedName>
    <definedName name="Director2">'[16]Index'!$C$14</definedName>
    <definedName name="DPM100.AdditionsGrThan180Days">'[3]DPM_DOA'!$J$6</definedName>
    <definedName name="DPM100.AdditionsLessThan180Days">'[3]DPM_DOA'!$J$9</definedName>
    <definedName name="DPM100.AddlnDeprDuringYearAdditions">'[3]DPM_DOA'!$J$15</definedName>
    <definedName name="DPM100.AddlnDeprOnGT180DayAdditions">'[3]DPM_DOA'!$J$14</definedName>
    <definedName name="DPM100.CapGainUs50">'[3]DPM_DOA'!$J$18</definedName>
    <definedName name="DPM100.DepreciationAtFullRate">'[3]DPM_DOA'!$J$12</definedName>
    <definedName name="DPM100.DepreciationAtHalfRate">'[3]DPM_DOA'!$J$13</definedName>
    <definedName name="DPM100.ExpdrOnTrforSaleAsset">'[3]DPM_DOA'!$J$17</definedName>
    <definedName name="DPM100.FullRateDeprAmt">'[3]DPM_DOA'!$J$8</definedName>
    <definedName name="DPM100.HalfRateDeprAmt">'[3]DPM_DOA'!$J$11</definedName>
    <definedName name="DPM100.RealizationPeriodDuringYear">'[3]DPM_DOA'!$J$10</definedName>
    <definedName name="DPM100.RealizationTotalPeriod">'[3]DPM_DOA'!$J$7</definedName>
    <definedName name="DPM100.TotalDepreciation">'[3]DPM_DOA'!$J$16</definedName>
    <definedName name="DPM100.WDVFirstDay">'[3]DPM_DOA'!$J$5</definedName>
    <definedName name="DPM100.WDVLastDay">'[3]DPM_DOA'!$J$19</definedName>
    <definedName name="DPM15.AdditionsGrThan180Days">'[3]DPM_DOA'!$D$6</definedName>
    <definedName name="DPM15.AdditionsLessThan180Days">'[3]DPM_DOA'!$D$9</definedName>
    <definedName name="DPM15.AddlnDeprDuringYearAdditions">'[3]DPM_DOA'!$D$15</definedName>
    <definedName name="DPM15.AddlnDeprOnGT180DayAdditions">'[3]DPM_DOA'!$D$14</definedName>
    <definedName name="DPM15.CapGainUs50">'[3]DPM_DOA'!$D$18</definedName>
    <definedName name="DPM15.DepreciationAtFullRate">'[3]DPM_DOA'!$D$12</definedName>
    <definedName name="DPM15.DepreciationAtHalfRate">'[3]DPM_DOA'!$D$13</definedName>
    <definedName name="DPM15.ExpdrOnTrforSaleAsset">'[3]DPM_DOA'!$D$17</definedName>
    <definedName name="DPM15.FullRateDeprAmt">'[3]DPM_DOA'!$D$8</definedName>
    <definedName name="DPM15.HalfRateDeprAmt">'[3]DPM_DOA'!$D$11</definedName>
    <definedName name="DPM15.RealizationPeriodDuringYear">'[3]DPM_DOA'!$D$10</definedName>
    <definedName name="DPM15.RealizationTotalPeriod">'[3]DPM_DOA'!$D$7</definedName>
    <definedName name="DPM15.TotalDepreciation">'[3]DPM_DOA'!$D$16</definedName>
    <definedName name="DPM15.WDVFirstDay">'[3]DPM_DOA'!$D$5</definedName>
    <definedName name="DPM15.WDVLastDay">'[3]DPM_DOA'!$D$19</definedName>
    <definedName name="DPM30.AdditionsGrThan180Days">'[3]DPM_DOA'!$E$6</definedName>
    <definedName name="DPM30.AdditionsLessThan180Days">'[3]DPM_DOA'!$E$9</definedName>
    <definedName name="DPM30.AddlnDeprDuringYearAdditions">'[3]DPM_DOA'!$E$15</definedName>
    <definedName name="DPM30.AddlnDeprOnGT180DayAdditions">'[3]DPM_DOA'!$E$14</definedName>
    <definedName name="DPM30.CapGainUs50">'[3]DPM_DOA'!$E$18</definedName>
    <definedName name="DPM30.DepreciationAtFullRate">'[3]DPM_DOA'!$E$12</definedName>
    <definedName name="DPM30.DepreciationAtHalfRate">'[3]DPM_DOA'!$E$13</definedName>
    <definedName name="DPM30.ExpdrOnTrforSaleAsset">'[3]DPM_DOA'!$E$17</definedName>
    <definedName name="DPM30.FullRateDeprAmt">'[3]DPM_DOA'!$E$8</definedName>
    <definedName name="DPM30.HalfRateDeprAmt">'[3]DPM_DOA'!$E$11</definedName>
    <definedName name="DPM30.RealizationPeriodDuringYear">'[3]DPM_DOA'!$E$10</definedName>
    <definedName name="DPM30.RealizationTotalPeriod">'[3]DPM_DOA'!$E$7</definedName>
    <definedName name="DPM30.TotalDepreciation">'[3]DPM_DOA'!$E$16</definedName>
    <definedName name="DPM30.WDVFirstDay">'[3]DPM_DOA'!$E$5</definedName>
    <definedName name="DPM30.WDVLastDay">'[3]DPM_DOA'!$E$19</definedName>
    <definedName name="DPM40.AdditionsGrThan180Days">'[3]DPM_DOA'!$F$6</definedName>
    <definedName name="DPM40.AdditionsLessThan180Days">'[3]DPM_DOA'!$F$9</definedName>
    <definedName name="DPM40.AddlnDeprDuringYearAdditions">'[3]DPM_DOA'!$F$15</definedName>
    <definedName name="DPM40.AddlnDeprOnGT180DayAdditions">'[3]DPM_DOA'!$F$14</definedName>
    <definedName name="DPM40.CapGainUs50">'[3]DPM_DOA'!$F$18</definedName>
    <definedName name="DPM40.DepreciationAtFullRate">'[3]DPM_DOA'!$F$12</definedName>
    <definedName name="DPM40.DepreciationAtHalfRate">'[3]DPM_DOA'!$F$13</definedName>
    <definedName name="DPM40.ExpdrOnTrforSaleAsset">'[3]DPM_DOA'!$F$17</definedName>
    <definedName name="DPM40.FullRateDeprAmt">'[3]DPM_DOA'!$F$8</definedName>
    <definedName name="DPM40.HalfRateDeprAmt">'[3]DPM_DOA'!$F$11</definedName>
    <definedName name="DPM40.RealizationPeriodDuringYear">'[3]DPM_DOA'!$F$10</definedName>
    <definedName name="DPM40.RealizationTotalPeriod">'[3]DPM_DOA'!$F$7</definedName>
    <definedName name="DPM40.TotalDepreciation">'[3]DPM_DOA'!$F$16</definedName>
    <definedName name="DPM40.WDVFirstDay">'[3]DPM_DOA'!$F$5</definedName>
    <definedName name="DPM40.WDVLastDay">'[3]DPM_DOA'!$F$19</definedName>
    <definedName name="DPM50.AdditionsGrThan180Days">'[3]DPM_DOA'!$G$6</definedName>
    <definedName name="DPM50.AdditionsLessThan180Days">'[3]DPM_DOA'!$G$9</definedName>
    <definedName name="DPM50.AddlnDeprDuringYearAdditions">'[3]DPM_DOA'!$G$15</definedName>
    <definedName name="DPM50.AddlnDeprOnGT180DayAdditions">'[3]DPM_DOA'!$G$14</definedName>
    <definedName name="DPM50.CapGainUs50">'[3]DPM_DOA'!$G$18</definedName>
    <definedName name="DPM50.DepreciationAtFullRate">'[3]DPM_DOA'!$G$12</definedName>
    <definedName name="DPM50.DepreciationAtHalfRate">'[3]DPM_DOA'!$G$13</definedName>
    <definedName name="DPM50.ExpdrOnTrforSaleAsset">'[3]DPM_DOA'!$G$17</definedName>
    <definedName name="DPM50.FullRateDeprAmt">'[3]DPM_DOA'!$G$8</definedName>
    <definedName name="DPM50.HalfRateDeprAmt">'[3]DPM_DOA'!$G$11</definedName>
    <definedName name="DPM50.RealizationPeriodDuringYear">'[3]DPM_DOA'!$G$10</definedName>
    <definedName name="DPM50.RealizationTotalPeriod">'[3]DPM_DOA'!$G$7</definedName>
    <definedName name="DPM50.TotalDepreciation">'[3]DPM_DOA'!$G$16</definedName>
    <definedName name="DPM50.WDVFirstDay">'[3]DPM_DOA'!$G$5</definedName>
    <definedName name="DPM50.WDVLastDay">'[3]DPM_DOA'!$G$19</definedName>
    <definedName name="DPM60.AdditionsGrThan180Days">'[3]DPM_DOA'!$H$6</definedName>
    <definedName name="DPM60.AdditionsLessThan180Days">'[3]DPM_DOA'!$H$9</definedName>
    <definedName name="DPM60.AddlnDeprDuringYearAdditions">'[3]DPM_DOA'!$H$15</definedName>
    <definedName name="DPM60.AddlnDeprOnGT180DayAdditions">'[3]DPM_DOA'!$H$14</definedName>
    <definedName name="DPM60.CapGainUs50">'[3]DPM_DOA'!$H$18</definedName>
    <definedName name="DPM60.DepreciationAtFullRate">'[3]DPM_DOA'!$H$12</definedName>
    <definedName name="DPM60.DepreciationAtHalfRate">'[3]DPM_DOA'!$H$13</definedName>
    <definedName name="DPM60.ExpdrOnTrforSaleAsset">'[3]DPM_DOA'!$H$17</definedName>
    <definedName name="DPM60.FullRateDeprAmt">'[3]DPM_DOA'!$H$8</definedName>
    <definedName name="DPM60.HalfRateDeprAmt">'[3]DPM_DOA'!$H$11</definedName>
    <definedName name="DPM60.RealizationPeriodDuringYear">'[3]DPM_DOA'!$H$10</definedName>
    <definedName name="DPM60.RealizationTotalPeriod">'[3]DPM_DOA'!$H$7</definedName>
    <definedName name="DPM60.TotalDepreciation">'[3]DPM_DOA'!$H$16</definedName>
    <definedName name="DPM60.WDVFirstDay">'[3]DPM_DOA'!$H$5</definedName>
    <definedName name="DPM60.WDVLastDay">'[3]DPM_DOA'!$H$19</definedName>
    <definedName name="DPM80.AdditionsGrThan180Days">'[3]DPM_DOA'!$I$6</definedName>
    <definedName name="DPM80.AdditionsLessThan180Days">'[3]DPM_DOA'!$I$9</definedName>
    <definedName name="DPM80.AddlnDeprDuringYearAdditions">'[3]DPM_DOA'!$I$15</definedName>
    <definedName name="DPM80.AddlnDeprOnGT180DayAdditions">'[3]DPM_DOA'!$I$14</definedName>
    <definedName name="DPM80.CapGainUs50">'[3]DPM_DOA'!$I$18</definedName>
    <definedName name="DPM80.DepreciationAtFullRate">'[3]DPM_DOA'!$I$12</definedName>
    <definedName name="DPM80.DepreciationAtHalfRate">'[3]DPM_DOA'!$I$13</definedName>
    <definedName name="DPM80.ExpdrOnTrforSaleAsset">'[3]DPM_DOA'!$I$17</definedName>
    <definedName name="DPM80.FullRateDeprAmt">'[3]DPM_DOA'!$I$8</definedName>
    <definedName name="DPM80.HalfRateDeprAmt">'[3]DPM_DOA'!$I$11</definedName>
    <definedName name="DPM80.RealizationPeriodDuringYear">'[3]DPM_DOA'!$I$10</definedName>
    <definedName name="DPM80.RealizationTotalPeriod">'[3]DPM_DOA'!$I$7</definedName>
    <definedName name="DPM80.TotalDepreciation">'[3]DPM_DOA'!$I$16</definedName>
    <definedName name="DPM80.WDVFirstDay">'[3]DPM_DOA'!$I$5</definedName>
    <definedName name="DPM80.WDVLastDay">'[3]DPM_DOA'!$I$19</definedName>
    <definedName name="DTA">'[9]BS'!$H$46</definedName>
    <definedName name="EAFX">'[9]Note-P'!$F$133</definedName>
    <definedName name="EHTPA10">'[3]Pre_XML'!$B$11</definedName>
    <definedName name="EHTPA10.DedFromUndertaking">'[3]10A'!$F$7</definedName>
    <definedName name="EHTPA10.TotalDedUs10Sub">'[3]10A'!$H$8</definedName>
    <definedName name="eilink">'[3]EI'!$A$1</definedName>
    <definedName name="Elec">'[9]Note-P'!$F$112</definedName>
    <definedName name="ell">'[22]Note-P'!$E$119</definedName>
    <definedName name="EPZA10">'[3]Pre_XML'!$B$13</definedName>
    <definedName name="EPZA10.DedFromUndertaking">'[3]10A'!$F$15</definedName>
    <definedName name="EPZA10.TotalDedUs10Sub">'[3]10A'!$H$16</definedName>
    <definedName name="Erroneous_Loss">'[9]Note-P'!$F$125</definedName>
    <definedName name="ESR1i.AmtDebPL">'[3]ESR'!$C$3</definedName>
    <definedName name="ESR1i.AmtUs35Allowable">'[3]ESR'!$D$3</definedName>
    <definedName name="ESR1i.ExcessAmtOverDebPL">'[3]ESR'!$E$3</definedName>
    <definedName name="ESR1ii.AmtDebPL">'[3]ESR'!$C$4</definedName>
    <definedName name="ESR1ii.AmtUs35Allowable">'[3]ESR'!$D$4</definedName>
    <definedName name="ESR1ii.ExcessAmtOverDebPL">'[3]ESR'!$E$4</definedName>
    <definedName name="ESR1iii.AmtDebPL">'[3]ESR'!$C$5</definedName>
    <definedName name="ESR1iii.AmtUs35Allowable">'[3]ESR'!$D$5</definedName>
    <definedName name="ESR1iii.ExcessAmtOverDebPL">'[3]ESR'!$E$5</definedName>
    <definedName name="ESR1iv.AmtDebPL">'[3]ESR'!$C$6</definedName>
    <definedName name="ESR1iv.AmtUs35Allowable">'[3]ESR'!$D$6</definedName>
    <definedName name="ESR1iv.ExcessAmtOverDebPL">'[3]ESR'!$E$6</definedName>
    <definedName name="ESR2AA.AmtDebPL">'[3]ESR'!$C$7</definedName>
    <definedName name="ESR2AA.AmtUs35Allowable">'[3]ESR'!$D$7</definedName>
    <definedName name="ESR2AA.ExcessAmtOverDebPL">'[3]ESR'!$E$7</definedName>
    <definedName name="ESR2AB.AmtDebPL">'[3]ESR'!$C$8</definedName>
    <definedName name="ESR2AB.AmtUs35Allowable">'[3]ESR'!$D$8</definedName>
    <definedName name="ESR2AB.ExcessAmtOverDebPL">'[3]ESR'!$E$8</definedName>
    <definedName name="ESRTOT.AmtDebPL">'[3]ESR'!$C$9</definedName>
    <definedName name="ESRTOT.AmtUs35Allowable">'[3]ESR'!$D$9</definedName>
    <definedName name="ESRTOT.ExcessAmtOverDebPL">'[3]ESR'!$E$9</definedName>
    <definedName name="excel">'[3]Instructions'!$B$1</definedName>
    <definedName name="FA">'[9]BS'!$H$43</definedName>
    <definedName name="FBBusOfAircraft.AmtOrValueOfExpenditure">'[3]FRINGE_BENEFIT_INFO'!$F$17</definedName>
    <definedName name="FBBusOfAircraft.ValueOfFB">'[3]FRINGE_BENEFIT_INFO'!$J$17</definedName>
    <definedName name="FBBusOfHotel.AmtOrValueOfExpenditure">'[3]FRINGE_BENEFIT_INFO'!$F$16</definedName>
    <definedName name="FBBusOfHotel.ValueOfFB">'[3]FRINGE_BENEFIT_INFO'!$J$16</definedName>
    <definedName name="FBBusOfShip.AmtOrValueOfExpenditure">'[3]FRINGE_BENEFIT_INFO'!$F$18</definedName>
    <definedName name="FBBusOfShip.ValueOfFB">'[3]FRINGE_BENEFIT_INFO'!$J$18</definedName>
    <definedName name="FBBusOthThan4bcd.AmtOrValueOfExpenditure">'[3]FRINGE_BENEFIT_INFO'!$F$15</definedName>
    <definedName name="FBBusOthThan4bcd.ValueOfFB">'[3]FRINGE_BENEFIT_INFO'!$J$15</definedName>
    <definedName name="FBCnvyBus.AmtOrValueOfExpenditure">'[3]FRINGE_BENEFIT_INFO'!$F$22</definedName>
    <definedName name="FBCnvyBus.ValueOfFB">'[3]FRINGE_BENEFIT_INFO'!$J$22</definedName>
    <definedName name="FBCnvyConst.AmtOrValueOfExpenditure">'[3]FRINGE_BENEFIT_INFO'!$F$23</definedName>
    <definedName name="FBCnvyConst.ValueOfFB">'[3]FRINGE_BENEFIT_INFO'!$J$23</definedName>
    <definedName name="FBCnvyManPhrama.AmtOrValueOfExpenditure">'[3]FRINGE_BENEFIT_INFO'!$F$24</definedName>
    <definedName name="FBCnvyManPhrama.ValueOfFB">'[3]FRINGE_BENEFIT_INFO'!$J$24</definedName>
    <definedName name="FBCnvyMANProd.AmtOrValueOfExpenditure">'[3]FRINGE_BENEFIT_INFO'!$F$25</definedName>
    <definedName name="FBCnvyMANProd.ValueOfFB">'[3]FRINGE_BENEFIT_INFO'!$J$25</definedName>
    <definedName name="FBConf.AmtOrValueOfExpenditure">'[3]FRINGE_BENEFIT_INFO'!$F$19</definedName>
    <definedName name="FBConf.ValueOfFB">'[3]FRINGE_BENEFIT_INFO'!$J$19</definedName>
    <definedName name="FBEmplSper.AmtOrValueOfExpenditure">'[3]FRINGE_BENEFIT_INFO'!$F$13</definedName>
    <definedName name="FBEmplSper.ValueOfFB">'[3]FRINGE_BENEFIT_INFO'!$J$13</definedName>
    <definedName name="FBEMPWel.AmtOrValueOfExpenditure">'[3]FRINGE_BENEFIT_INFO'!$F$21</definedName>
    <definedName name="FBEMPWel.ValueOfFB">'[3]FRINGE_BENEFIT_INFO'!$J$21</definedName>
    <definedName name="FBEnter.AmtOrValueOfExpenditure">'[3]FRINGE_BENEFIT_INFO'!$F$14</definedName>
    <definedName name="FBEnter.ValueOfFB">'[3]FRINGE_BENEFIT_INFO'!$J$14</definedName>
    <definedName name="FBFesti.AmtOrValueOfExpenditure">'[3]FRINGE_BENEFIT_INFO'!$F$36</definedName>
    <definedName name="FBFesti.ValueOfFB">'[3]FRINGE_BENEFIT_INFO'!$J$36</definedName>
    <definedName name="FBFree.AmtOrValueOfExpenditure">'[3]FRINGE_BENEFIT_INFO'!$F$12</definedName>
    <definedName name="FBFree.ValueOfFB">'[3]FRINGE_BENEFIT_INFO'!$J$12</definedName>
    <definedName name="FBGift.AmtOrValueOfExpenditure">'[3]FRINGE_BENEFIT_INFO'!$F$39</definedName>
    <definedName name="FBGift.ValueOfFB">'[3]FRINGE_BENEFIT_INFO'!$J$39</definedName>
    <definedName name="FBHealth.AmtOrValueOfExpenditure">'[3]FRINGE_BENEFIT_INFO'!$F$37</definedName>
    <definedName name="FBHealth.ValueOfFB">'[3]FRINGE_BENEFIT_INFO'!$J$37</definedName>
    <definedName name="FBHotelBRdAir.AmtOrValueOfExpenditure">'[3]FRINGE_BENEFIT_INFO'!$F$29</definedName>
    <definedName name="FBHotelBRdAir.ValueOfFB">'[3]FRINGE_BENEFIT_INFO'!$J$29</definedName>
    <definedName name="FBHotelBRdBus.AmtOrValueOfExpenditure">'[3]FRINGE_BENEFIT_INFO'!$F$26</definedName>
    <definedName name="FBHotelBRdBus.ValueOfFB">'[3]FRINGE_BENEFIT_INFO'!$J$26</definedName>
    <definedName name="FBHotelBRdMANPhrama.AmtOrValueOfExpenditure">'[3]FRINGE_BENEFIT_INFO'!$F$27</definedName>
    <definedName name="FBHotelBRdMANPhrama.ValueOfFB">'[3]FRINGE_BENEFIT_INFO'!$J$27</definedName>
    <definedName name="FBHotelBRdMANProd.AmtOrValueOfExpenditure">'[3]FRINGE_BENEFIT_INFO'!$F$28</definedName>
    <definedName name="FBHotelBRdMANProd.ValueOfFB">'[3]FRINGE_BENEFIT_INFO'!$J$28</definedName>
    <definedName name="FBHotelBRdShip.AmtOrValueOfExpenditure">'[3]FRINGE_BENEFIT_INFO'!$F$30</definedName>
    <definedName name="FBHotelBRdShip.ValueOfFB">'[3]FRINGE_BENEFIT_INFO'!$J$30</definedName>
    <definedName name="FBI.EmployeesInOutIndiaFlg">'[3]FRINGE_BENEFIT_INFO'!$F$2</definedName>
    <definedName name="FBI.NoOfIndianEmps">'[3]FRINGE_BENEFIT_INFO'!$F$5</definedName>
    <definedName name="FBI.NoOfOutsideIndiaEmps">'[3]FRINGE_BENEFIT_INFO'!$F$6</definedName>
    <definedName name="FBI.SeparateAcntMaintainForIndiaForeignFlg">'[3]FRINGE_BENEFIT_INFO'!$F$3</definedName>
    <definedName name="FBI.TotNoOfEmps">'[3]FRINGE_BENEFIT_INFO'!$F$7</definedName>
    <definedName name="FBMainAcc.AmtOrValueOfExpenditure">'[3]FRINGE_BENEFIT_INFO'!$F$35</definedName>
    <definedName name="FBMainAcc.ValueOfFB">'[3]FRINGE_BENEFIT_INFO'!$J$35</definedName>
    <definedName name="FBMainAir.AmtOrValueOfExpenditure">'[3]FRINGE_BENEFIT_INFO'!$F$33</definedName>
    <definedName name="FBMainAir.ValueOfFB">'[3]FRINGE_BENEFIT_INFO'!$J$33</definedName>
    <definedName name="FBOthr.AmtOrValueOfExpenditure">'[3]FRINGE_BENEFIT_INFO'!$F$38</definedName>
    <definedName name="FBOthr.ValueOfFB">'[3]FRINGE_BENEFIT_INFO'!$J$38</definedName>
    <definedName name="FBReprDep.AmtOrValueOfExpenditure">'[3]FRINGE_BENEFIT_INFO'!$F$31</definedName>
    <definedName name="FBReprDep.ValueOfFB">'[3]FRINGE_BENEFIT_INFO'!$J$31</definedName>
    <definedName name="FBReprDEPCry.AmtOrValueOfExpenditure">'[3]FRINGE_BENEFIT_INFO'!$F$32</definedName>
    <definedName name="FBReprDEPCry.ValueOfFB">'[3]FRINGE_BENEFIT_INFO'!$J$32</definedName>
    <definedName name="FBSales.AmtOrValueOfExpenditure">'[3]FRINGE_BENEFIT_INFO'!$F$20</definedName>
    <definedName name="FBSales.ValueOfFB">'[3]FRINGE_BENEFIT_INFO'!$J$20</definedName>
    <definedName name="FBSchlr.AmtOrValueOfExpenditure">'[3]FRINGE_BENEFIT_INFO'!$F$40</definedName>
    <definedName name="FBSchlr.ValueOfFB">'[3]FRINGE_BENEFIT_INFO'!$J$40</definedName>
    <definedName name="FBT">'[3]Pre_XML'!$E$12</definedName>
    <definedName name="FBT.Amt">'[3]IT_FBT_DDTP'!$H$30:$H$40</definedName>
    <definedName name="FBT.BSRCode">'[3]IT_FBT_DDTP'!$E$30:$E$40</definedName>
    <definedName name="FBT.DateDep">'[3]IT_FBT_DDTP'!$F$30:$F$40</definedName>
    <definedName name="FBT.FormulaOfS">'[3]IT_FBT_DDTP'!$R$30:$R$40</definedName>
    <definedName name="FBT.NameOfBank">'[3]IT_FBT_DDTP'!$C$30:$C$40</definedName>
    <definedName name="FBT.NameOfBranch">'[3]IT_FBT_DDTP'!$D$30:$D$40</definedName>
    <definedName name="FBT.SrlNoOfChaln">'[3]IT_FBT_DDTP'!$G$30:$G$40</definedName>
    <definedName name="FBTele.AmtOrValueOfExpenditure">'[3]FRINGE_BENEFIT_INFO'!$F$34</definedName>
    <definedName name="FBTele.ValueOfFB">'[3]FRINGE_BENEFIT_INFO'!$J$34</definedName>
    <definedName name="FBTot.TotValueOfFB">'[3]FRINGE_BENEFIT_INFO'!$J$46</definedName>
    <definedName name="FBTour.AmtOrValueOfExpenditure">'[3]FRINGE_BENEFIT_INFO'!$F$41</definedName>
    <definedName name="FBTour.ValueOfFB">'[3]FRINGE_BENEFIT_INFO'!$J$41</definedName>
    <definedName name="FBValBIF1.ValueOfFBIf1OfSchFBIisNo">'[3]FRINGE_BENEFIT_INFO'!$J$43</definedName>
    <definedName name="FBValBIF2N.ValueOfFBIf2OfSchFBIisNo">'[3]FRINGE_BENEFIT_INFO'!$J$45</definedName>
    <definedName name="FBValBIF2Y.ValueOfFBIf2OfSchFBIisYes">'[3]FRINGE_BENEFIT_INFO'!$J$44</definedName>
    <definedName name="FBValFrgBen.ValueOfFringeBenefit">'[3]FRINGE_BENEFIT_INFO'!$J$42</definedName>
    <definedName name="FFFF">'[6]IO'!$I$3:$I$657</definedName>
    <definedName name="Forex_Gain">'[9]Note-P'!$F$50</definedName>
    <definedName name="ftpe">'[23]Index'!$C$26</definedName>
    <definedName name="ftye">'[23]Index'!$D$26</definedName>
    <definedName name="FTZA10">'[3]Pre_XML'!$B$12</definedName>
    <definedName name="FTZA10.DedFromUndertaking">'[3]10A'!$F$11</definedName>
    <definedName name="FTZA10.TotalDedUs10Sub">'[3]10A'!$H$12</definedName>
    <definedName name="GENERAL_VALID">'[7]General'!$B$3,'[7]General'!$B$6:$B$7</definedName>
    <definedName name="Grat_Leave_Encash_Exp.">'[9]Note-P'!$F$84</definedName>
    <definedName name="HDFC_A_C_NO">'[24]VALIDATION_LIST'!$A$2:$A$249</definedName>
    <definedName name="HP.AddrDetail1">'[3]HOUSE_PROPERTY'!$D$3</definedName>
    <definedName name="HP.AddrDetail2">'[3]HOUSE_PROPERTY'!$D$16</definedName>
    <definedName name="HP.AddrDetail3">'[3]HOUSE_PROPERTY'!$D$29</definedName>
    <definedName name="HP.AnnualLetableValue1">'[3]HOUSE_PROPERTY'!$J$6</definedName>
    <definedName name="HP.AnnualLetableValue2">'[3]HOUSE_PROPERTY'!$J$19</definedName>
    <definedName name="HP.AnnualLetableValue3">'[3]HOUSE_PROPERTY'!$J$32</definedName>
    <definedName name="HP.BalanceALV1">'[3]HOUSE_PROPERTY'!$J$10</definedName>
    <definedName name="HP.BalanceALV2">'[3]HOUSE_PROPERTY'!$J$23</definedName>
    <definedName name="HP.BalanceALV3">'[3]HOUSE_PROPERTY'!$J$36</definedName>
    <definedName name="hp.BFAllUs35Cl4Setoff1">'[3]CYLA BFLA'!$G$17</definedName>
    <definedName name="hp.BFlossPrevYrUndSameHeadSetoff1">'[3]CYLA BFLA'!$E$17</definedName>
    <definedName name="hp.BFUnabsorbedDeprSetoff1">'[3]CYLA BFLA'!$F$17</definedName>
    <definedName name="hp.BusLossSetoff2">'[3]CYLA BFLA'!$F$6</definedName>
    <definedName name="HP.CityOrTownOrDistrict1">'[3]HOUSE_PROPERTY'!$E$3</definedName>
    <definedName name="HP.CityOrTownOrDistrict2">'[3]HOUSE_PROPERTY'!$E$16</definedName>
    <definedName name="HP.CityOrTownOrDistrict3">'[3]HOUSE_PROPERTY'!$E$29</definedName>
    <definedName name="hp.HPlossCurYrSetoff2">'[3]CYLA BFLA'!$E$6</definedName>
    <definedName name="HP.ifLetOut1">'[3]HOUSE_PROPERTY'!$D$5</definedName>
    <definedName name="HP.ifLetOut2">'[3]HOUSE_PROPERTY'!$D$18</definedName>
    <definedName name="HP.ifLetOut3">'[3]HOUSE_PROPERTY'!$D$31</definedName>
    <definedName name="hp.IncOfCurYrAfterSetOff2">'[3]CYLA BFLA'!$H$6</definedName>
    <definedName name="hp.IncOfCurYrAfterSetOffBFLosses1">'[3]CYLA BFLA'!$H$17</definedName>
    <definedName name="hp.IncOfCurYrUnderThatHead2">'[3]CYLA BFLA'!$D$6</definedName>
    <definedName name="hp.IncOfCurYrUndHeadFromCYLA1">'[3]CYLA BFLA'!$D$17</definedName>
    <definedName name="HP.IncomeOfHP1">'[3]HOUSE_PROPERTY'!$J$14</definedName>
    <definedName name="HP.IncomeOfHP2">'[3]HOUSE_PROPERTY'!$J$27</definedName>
    <definedName name="HP.IncomeOfHP3">'[3]HOUSE_PROPERTY'!$J$40</definedName>
    <definedName name="HP.IntOnBorwCap1">'[3]HOUSE_PROPERTY'!$H$12</definedName>
    <definedName name="HP.IntOnBorwCap2">'[3]HOUSE_PROPERTY'!$H$25</definedName>
    <definedName name="HP.IntOnBorwCap3">'[3]HOUSE_PROPERTY'!$H$38</definedName>
    <definedName name="HP.LocalTaxes1">'[3]HOUSE_PROPERTY'!$H$8</definedName>
    <definedName name="HP.LocalTaxes2">'[3]HOUSE_PROPERTY'!$H$21</definedName>
    <definedName name="HP.LocalTaxes3">'[3]HOUSE_PROPERTY'!$H$34</definedName>
    <definedName name="HP.NameofTenant1">'[3]HOUSE_PROPERTY'!$E$5</definedName>
    <definedName name="HP.NameofTenant2">'[3]HOUSE_PROPERTY'!$E$18</definedName>
    <definedName name="HP.NameofTenant3">'[3]HOUSE_PROPERTY'!$E$31</definedName>
    <definedName name="hp.OthSrcLossNoRaceHorseSetoff2">'[3]CYLA BFLA'!$G$6</definedName>
    <definedName name="HP.PANofTenant1">'[3]HOUSE_PROPERTY'!$H$5</definedName>
    <definedName name="HP.PANofTenant2">'[3]HOUSE_PROPERTY'!$H$18</definedName>
    <definedName name="HP.PANofTenant3">'[3]HOUSE_PROPERTY'!$H$31</definedName>
    <definedName name="HP.PinCode1">'[3]HOUSE_PROPERTY'!$H$3</definedName>
    <definedName name="HP.PinCode2">'[3]HOUSE_PROPERTY'!$H$16</definedName>
    <definedName name="HP.PinCode3">'[3]HOUSE_PROPERTY'!$H$29</definedName>
    <definedName name="HP.RentArearsSec25BAfter30pcDeduct">'[3]HOUSE_PROPERTY'!$J$43</definedName>
    <definedName name="HP.RentNotRealized1">'[3]HOUSE_PROPERTY'!$H$7</definedName>
    <definedName name="HP.RentNotRealized2">'[3]HOUSE_PROPERTY'!$H$20</definedName>
    <definedName name="HP.RentNotRealized3">'[3]HOUSE_PROPERTY'!$H$33</definedName>
    <definedName name="HP.RentOfEarlierYrSec25AandAA">'[3]HOUSE_PROPERTY'!$J$42</definedName>
    <definedName name="HP.StateCode1">'[3]HOUSE_PROPERTY'!$F$3</definedName>
    <definedName name="HP.StateCode2">'[3]HOUSE_PROPERTY'!$F$16</definedName>
    <definedName name="HP.StateCode3">'[3]HOUSE_PROPERTY'!$F$29</definedName>
    <definedName name="HP.ThirtyPercentOfBalance1">'[3]HOUSE_PROPERTY'!$H$11</definedName>
    <definedName name="HP.ThirtyPercentOfBalance2">'[3]HOUSE_PROPERTY'!$H$24</definedName>
    <definedName name="HP.ThirtyPercentOfBalance3">'[3]HOUSE_PROPERTY'!$H$37</definedName>
    <definedName name="HP.TotalDeduct1">'[3]HOUSE_PROPERTY'!$J$13</definedName>
    <definedName name="HP.TotalDeduct2">'[3]HOUSE_PROPERTY'!$J$26</definedName>
    <definedName name="HP.TotalDeduct3">'[3]HOUSE_PROPERTY'!$J$39</definedName>
    <definedName name="HP.TotalIncomeChargeableUnHP">'[3]HOUSE_PROPERTY'!$J$44</definedName>
    <definedName name="HP.TotalUnrealizedAndTax1">'[3]HOUSE_PROPERTY'!$H$9</definedName>
    <definedName name="HP.TotalUnrealizedAndTax2">'[3]HOUSE_PROPERTY'!$H$22</definedName>
    <definedName name="HP.TotalUnrealizedAndTax3">'[3]HOUSE_PROPERTY'!$H$35</definedName>
    <definedName name="hprptfrm">'[3]Pre_XML'!$B$9</definedName>
    <definedName name="hprptfrm.size">'[3]HOUSE_PROPERTY'!$L$3</definedName>
    <definedName name="hprptfrm1">'[3]HOUSE_PROPERTY'!$A$2:$J$14</definedName>
    <definedName name="hprptfrm2">'[3]HOUSE_PROPERTY'!$A$15:$J$27</definedName>
    <definedName name="hprptfrm3">'[3]HOUSE_PROPERTY'!$A$28:$J$40</definedName>
    <definedName name="i_10a">'[3]Instructions'!$B$373</definedName>
    <definedName name="i_80">'[3]Instructions'!$B$411</definedName>
    <definedName name="i_80g">'[3]Instructions'!$B$393</definedName>
    <definedName name="i_bp">'[3]Instructions'!$B$260</definedName>
    <definedName name="i_bs">'[3]Instructions'!$B$148</definedName>
    <definedName name="i_cfl">'[3]Instructions'!$B$363</definedName>
    <definedName name="i_cgos">'[3]Instructions'!$B$296</definedName>
    <definedName name="i_cyla">'[3]Instructions'!$B$342</definedName>
    <definedName name="i_ddt">'[3]Instructions'!$B$545</definedName>
    <definedName name="i_dep">'[3]Instructions'!$B$281</definedName>
    <definedName name="i_dpm">'[3]Instructions'!$B$274</definedName>
    <definedName name="i_ei">'[3]Instructions'!$B$473</definedName>
    <definedName name="i_esr">'[3]Instructions'!$B$289</definedName>
    <definedName name="i_fb">'[3]Instructions'!$B$492</definedName>
    <definedName name="i_fbt">'[3]Instructions'!$B$485</definedName>
    <definedName name="i_general">'[3]Instructions'!$B$120</definedName>
    <definedName name="i_general2">'[3]Instructions'!$B$136</definedName>
    <definedName name="i_hp">'[3]Instructions'!$B$243</definedName>
    <definedName name="i_it">'[3]Instructions'!$B$526</definedName>
    <definedName name="i_nob">'[3]Instructions'!$B$143</definedName>
    <definedName name="i_oi">'[3]Instructions'!$B$167</definedName>
    <definedName name="i_overall">'[3]Instructions'!$B$554</definedName>
    <definedName name="i_overall2">'[3]Instructions'!$B$575</definedName>
    <definedName name="i_partb">'[3]Instructions'!$B$187</definedName>
    <definedName name="i_partc">'[3]Instructions'!$B$212</definedName>
    <definedName name="i_pl">'[3]Instructions'!$B$157</definedName>
    <definedName name="i_qd">'[3]Instructions'!$B$179</definedName>
    <definedName name="i_si">'[3]Instructions'!$B$444</definedName>
    <definedName name="i_subdetail">'[3]Instructions'!$B$139</definedName>
    <definedName name="IA">'[9]BS'!$H$40</definedName>
    <definedName name="IA80.DeductProfUs80_IA_4_i">'[3]80_'!$G$3</definedName>
    <definedName name="IA80.DeductProfUs80_IA_4_ii">'[3]80_'!$G$4</definedName>
    <definedName name="IA80.DeductProfUs80_IA_4_iii">'[3]80_'!$G$5</definedName>
    <definedName name="IA80.DeductProfUs80_IA_4_iv">'[3]80_'!$G$6</definedName>
    <definedName name="IA80.DeductProfUs80_IA_4_v">'[3]80_'!$G$7</definedName>
    <definedName name="IA80.TotSchedule80_IA">'[3]80_'!$I$8</definedName>
    <definedName name="IB80.DeductBackDisttUs80_IB_5">'[3]80_'!$G$14</definedName>
    <definedName name="IB80.DeductBackStatesUs80_IB_4">'[3]80_'!$G$13</definedName>
    <definedName name="IB80.DeductColdChainUs80_IB_11">'[3]80_'!$G$20</definedName>
    <definedName name="IB80.DeductConvCentUs80_IB_7B">'[3]80_'!$G$16</definedName>
    <definedName name="IB80.DeductFoodGrainUs80_IB_11A">'[3]80_'!$G$22</definedName>
    <definedName name="IB80.DeductFruitVegUs80_IB_11A">'[3]80_'!$G$21</definedName>
    <definedName name="IB80.DeductHousUs80_IB_10">'[3]80_'!$G$19</definedName>
    <definedName name="IB80.DeductJKLocUs80_IB_4">'[3]80_'!$G$12</definedName>
    <definedName name="IB80.DeductMinOilUs80_IB_9">'[3]80_'!$G$18</definedName>
    <definedName name="IB80.DeductMultiplexUs80_IB_7A">'[3]80_'!$G$15</definedName>
    <definedName name="IB80.DeductRurHospUs80_IB_11B">'[3]80_'!$G$23</definedName>
    <definedName name="IB80.DeductScientificResUs80_IB_8A">'[3]80_'!$G$17</definedName>
    <definedName name="IB80.DeductSSIUs80_IB_3">'[3]80_'!$G$11</definedName>
    <definedName name="IB80.TotSchedule80_IB">'[3]80_'!$I$24</definedName>
    <definedName name="IC80.ArunachalPradesh">'[3]80_'!$G$32</definedName>
    <definedName name="IC80.Assam">'[3]80_'!$G$31</definedName>
    <definedName name="IC80.DeductInHimachalP">'[3]80_'!$I$28</definedName>
    <definedName name="IC80.DeductInSikkim">'[3]80_'!$I$27</definedName>
    <definedName name="IC80.DeductInUttaranchal">'[3]80_'!$I$29</definedName>
    <definedName name="IC80.Manipur">'[3]80_'!$G$33</definedName>
    <definedName name="IC80.Meghalaya">'[3]80_'!$G$35</definedName>
    <definedName name="IC80.Mizoram">'[3]80_'!$G$34</definedName>
    <definedName name="IC80.Nagaland">'[3]80_'!$G$36</definedName>
    <definedName name="IC80.TotDeductInNorthEast">'[3]80_'!$I$38</definedName>
    <definedName name="IC80.TotSchedule80_IC">'[3]80_'!$I$39</definedName>
    <definedName name="IC80.Tripura">'[3]80_'!$G$37</definedName>
    <definedName name="ICD_Int_Income">'[9]Note-P'!$F$36</definedName>
    <definedName name="ICD_Interest_Exp">'[9]Note-P'!$F$96</definedName>
    <definedName name="in">'[11]Index'!$F$8</definedName>
    <definedName name="Insurance">'[9]Note-P'!$F$113</definedName>
    <definedName name="Int_IT_Refund">'[9]Note-P'!$F$37</definedName>
    <definedName name="Interest_Others">'[9]Note-P'!$F$102</definedName>
    <definedName name="Intt_on_Taxes">'[9]Note-P'!$F$101</definedName>
    <definedName name="ISL_TRIAL">'[25]ISL Trial'!$C$1:$K$65536</definedName>
    <definedName name="IT">'[3]Pre_XML'!$E$9</definedName>
    <definedName name="IT.Amt">'[3]IT_FBT_DDTP'!$H$4:$H$9</definedName>
    <definedName name="IT.BSRCode">'[3]IT_FBT_DDTP'!$E$4:$E$9</definedName>
    <definedName name="IT.DateDep">'[3]IT_FBT_DDTP'!$F$4:$F$9</definedName>
    <definedName name="IT.FormulaOFS">'[3]IT_FBT_DDTP'!$S$4:$S$9</definedName>
    <definedName name="IT.NameOfBank">'[3]IT_FBT_DDTP'!$C$4:$C$9</definedName>
    <definedName name="IT.NameOfBranch">'[3]IT_FBT_DDTP'!$D$4:$D$9</definedName>
    <definedName name="IT.SrlNoOfChaln">'[3]IT_FBT_DDTP'!$G$4:$G$9</definedName>
    <definedName name="Last_BS_Date">'[14]Index'!$D$11</definedName>
    <definedName name="Last_BS_Date_text">'[10]Index'!$D$9</definedName>
    <definedName name="Last_BS_DT">'[23]Index'!$D$11</definedName>
    <definedName name="Last_BS_DT_Text">'[11]Index'!$D$12</definedName>
    <definedName name="Last_BS_DT_TEXT">'[16]Index'!$D$12</definedName>
    <definedName name="lp">'[2]Other notes'!$A$1</definedName>
    <definedName name="LR">'[11]Index'!$F$11</definedName>
    <definedName name="LTB">'[9]BS'!$H$20</definedName>
    <definedName name="ltcg.BFAllUs35Cl4Setoff4">'[3]CYLA BFLA'!$G$20</definedName>
    <definedName name="ltcg.BFlossPrevYrUndSameHeadSetoff4">'[3]CYLA BFLA'!$E$20</definedName>
    <definedName name="ltcg.BFUnabsorbedDeprSetoff4">'[3]CYLA BFLA'!$F$20</definedName>
    <definedName name="ltcg.BusLossSetoff2">'[3]CYLA BFLA'!$F$9</definedName>
    <definedName name="ltcg.HPlossCurYrSetoff2">'[3]CYLA BFLA'!$E$9</definedName>
    <definedName name="ltcg.IncOfCurYrAfterSetOff2">'[3]CYLA BFLA'!$H$9</definedName>
    <definedName name="ltcg.IncOfCurYrAfterSetOffBFLosses4">'[3]CYLA BFLA'!$H$20</definedName>
    <definedName name="ltcg.IncOfCurYrUnderThatHead2">'[3]CYLA BFLA'!$D$9</definedName>
    <definedName name="ltcg.IncOfCurYrUndHeadFromCYLA4">'[3]CYLA BFLA'!$D$20</definedName>
    <definedName name="ltcg.OthSrcLossNoRaceHorseSetoff2">'[3]CYLA BFLA'!$G$9</definedName>
    <definedName name="LTLA">'[9]BS'!$H$47</definedName>
    <definedName name="LTP">'[9]BS'!$H$23</definedName>
    <definedName name="Membership">'[9]Note-P'!$F$68</definedName>
    <definedName name="Misc_Exp">'[9]Note-P'!$F$134</definedName>
    <definedName name="Month_Days">'[25]Provisions'!$B$2</definedName>
    <definedName name="NCI">'[9]BS'!$H$45</definedName>
    <definedName name="NOB.Code">'[3]NATUREOFBUSINESS'!$C$19:$C$21</definedName>
    <definedName name="NOB.TradeNameOrDescription">'[3]NATUREOFBUSINESS'!$D$19:$D$21</definedName>
    <definedName name="NOB.TradeNameOrDescription2">'[3]NATUREOFBUSINESS'!$E$19:$E$21</definedName>
    <definedName name="NOB.TradeNameOrDescription3">'[3]NATUREOFBUSINESS'!$F$19:$F$21</definedName>
    <definedName name="OCA">'[9]BS'!$H$57</definedName>
    <definedName name="OCL">'[9]BS'!$H$29</definedName>
    <definedName name="Office_Maint">'[9]Note-P'!$F$118</definedName>
    <definedName name="OI.ChangeInAcctMethFlg">'[3]OTHER_INFORMATION'!$J$3</definedName>
    <definedName name="OI.DeemedProfUs33ABs">'[3]OTHER_INFORMATION'!$J$83</definedName>
    <definedName name="OI.MethodOfAcct">'[3]OTHER_INFORMATION'!$J$2</definedName>
    <definedName name="OI.PriorAmtIncCrDrPL">'[3]OTHER_INFORMATION'!$J$85</definedName>
    <definedName name="OI.ProfDeviatDueAcctMeth">'[3]OTHER_INFORMATION'!$J$4</definedName>
    <definedName name="OI.ProfTaxAmtUs41">'[3]OTHER_INFORMATION'!$J$84</definedName>
    <definedName name="OIAmtDisall43B.ContToEmpPFSFGF">'[3]OTHER_INFORMATION'!$H$71</definedName>
    <definedName name="OIAmtDisall43B.EmpBonusComm">'[3]OTHER_INFORMATION'!$H$72</definedName>
    <definedName name="OIAmtDisall43B.IntPayaleToFI">'[3]OTHER_INFORMATION'!$H$73</definedName>
    <definedName name="OIAmtDisall43B.IntPayaleToFISchBank">'[3]OTHER_INFORMATION'!$H$74</definedName>
    <definedName name="OIAmtDisall43B.LeaveEncashPayable">'[3]OTHER_INFORMATION'!$H$75</definedName>
    <definedName name="OIAmtDisall43B.TaxDutyCesAmt">'[3]OTHER_INFORMATION'!$H$70</definedName>
    <definedName name="OIAmtDisall43B.TotAmtUs43b">'[3]OTHER_INFORMATION'!$J$76</definedName>
    <definedName name="OIAmtDisallIs40A.AmtGT20kCash">'[3]OTHER_INFORMATION'!$H$56</definedName>
    <definedName name="OIAmtDisallIs40A.AmtPaidUs40A2b">'[3]OTHER_INFORMATION'!$H$55</definedName>
    <definedName name="OIAmtDisallIs40A.AnyOthDisallowance">'[3]OTHER_INFORMATION'!$H$59</definedName>
    <definedName name="OIAmtDisallIs40A.ContToSetupTrust">'[3]OTHER_INFORMATION'!$H$58</definedName>
    <definedName name="OIAmtDisallIs40A.ProvPmtGrat">'[3]OTHER_INFORMATION'!$H$57</definedName>
    <definedName name="OIAmtDisallIs40A.TotAmtDisallUs40A">'[3]OTHER_INFORMATION'!$J$60</definedName>
    <definedName name="OIAmtDisallUs36.AnyOthDisallowance">'[3]OTHER_INFORMATION'!$H$32</definedName>
    <definedName name="OIAmtDisallUs36.AppGratFundAmt">'[3]OTHER_INFORMATION'!$H$25</definedName>
    <definedName name="OIAmtDisallUs36.AppSuperAnnFundAmt">'[3]OTHER_INFORMATION'!$H$24</definedName>
    <definedName name="OIAmtDisallUs36.BadDebtDoubtAmt">'[3]OTHER_INFORMATION'!$H$27</definedName>
    <definedName name="OIAmtDisallUs36.BadDebtDoubtProvn">'[3]OTHER_INFORMATION'!$H$28</definedName>
    <definedName name="OIAmtDisallUs36.EmpBonusCommSum">'[3]OTHER_INFORMATION'!$H$20</definedName>
    <definedName name="OIAmtDisallUs36.EmpContributionCredits">'[3]OTHER_INFORMATION'!$H$31</definedName>
    <definedName name="OIAmtDisallUs36.EmpHealthInsurPrem">'[3]OTHER_INFORMATION'!$H$19</definedName>
    <definedName name="OIAmtDisallUs36.FamPlanPromoExp">'[3]OTHER_INFORMATION'!$H$30</definedName>
    <definedName name="OIAmtDisallUs36.IntOnBorrCap">'[3]OTHER_INFORMATION'!$H$21</definedName>
    <definedName name="OIAmtDisallUs36.OthFundAmt">'[3]OTHER_INFORMATION'!$H$26</definedName>
    <definedName name="OIAmtDisallUs36.RecogPFContribAmt">'[3]OTHER_INFORMATION'!$H$23</definedName>
    <definedName name="OIAmtDisallUs36.SpecResrvTranfr">'[3]OTHER_INFORMATION'!$H$29</definedName>
    <definedName name="OIAmtDisallUs36.StkInsurPrem">'[3]OTHER_INFORMATION'!$H$18</definedName>
    <definedName name="OIAmtDisallUs36.TotAmtDisallUs36">'[3]OTHER_INFORMATION'!$J$33</definedName>
    <definedName name="OIAmtDisallUs36.ZeroCoupBondDisc">'[3]OTHER_INFORMATION'!$H$22</definedName>
    <definedName name="OIAmtDisallUs37.AmtNotPartTotInc">'[3]OTHER_INFORMATION'!$H$41</definedName>
    <definedName name="OIAmtDisallUs37.ContigentLiability">'[3]OTHER_INFORMATION'!$H$40</definedName>
    <definedName name="OIAmtDisallUs37.LawVoilatPenalExp">'[3]OTHER_INFORMATION'!$H$37</definedName>
    <definedName name="OIAmtDisallUs37.OffenceExp">'[3]OTHER_INFORMATION'!$H$39</definedName>
    <definedName name="OIAmtDisallUs37.OthAmtNotAllowUs37">'[3]OTHER_INFORMATION'!$H$42</definedName>
    <definedName name="OIAmtDisallUs37.OthPenalFineExp">'[3]OTHER_INFORMATION'!$H$38</definedName>
    <definedName name="OIAmtDisallUs37.PersonalExp">'[3]OTHER_INFORMATION'!$H$35</definedName>
    <definedName name="OIAmtDisallUs37.PoliticPartyExp">'[3]OTHER_INFORMATION'!$H$36</definedName>
    <definedName name="OIAmtDisallUs37.TotAmtDisallUs37">'[3]OTHER_INFORMATION'!$J$43</definedName>
    <definedName name="OIAmtDisallUs40.AnyAmtOfSec40AllowPrevYr">'[3]OTHER_INFORMATION'!$J$53</definedName>
    <definedName name="OIAmtDisallUs40.AnyOthDisallowance">'[3]OTHER_INFORMATION'!$H$51</definedName>
    <definedName name="OIAmtDisallUs40.FBTAmt">'[3]OTHER_INFORMATION'!$H$47</definedName>
    <definedName name="OIAmtDisallUs40.IntSalBonPartner">'[3]OTHER_INFORMATION'!$H$50</definedName>
    <definedName name="OIAmtDisallUs40.NonCompChapXVIIBAmt">'[3]OTHER_INFORMATION'!$H$45</definedName>
    <definedName name="OIAmtDisallUs40.STTAmt">'[3]OTHER_INFORMATION'!$H$46</definedName>
    <definedName name="OIAmtDisallUs40.TaxAmtOnProfits">'[3]OTHER_INFORMATION'!$H$48</definedName>
    <definedName name="OIAmtDisallUs40.TotAmtDisallUs40">'[3]OTHER_INFORMATION'!$J$52</definedName>
    <definedName name="OIAmtDisallUs40.WTAmt">'[3]OTHER_INFORMATION'!$H$49</definedName>
    <definedName name="OIAmtDisallUs43BPyNowAll.ContToEmpPFSFGF">'[3]OTHER_INFORMATION'!$H$63</definedName>
    <definedName name="OIAmtDisallUs43BPyNowAll.EmpBonusComm">'[3]OTHER_INFORMATION'!$H$64</definedName>
    <definedName name="OIAmtDisallUs43BPyNowAll.IntPayaleToFI">'[3]OTHER_INFORMATION'!$H$65</definedName>
    <definedName name="OIAmtDisallUs43BPyNowAll.IntPayaleToFISchBank">'[3]OTHER_INFORMATION'!$H$66</definedName>
    <definedName name="OIAmtDisallUs43BPyNowAll.LeaveEncashPayable">'[3]OTHER_INFORMATION'!$H$67</definedName>
    <definedName name="OIAmtDisallUs43BPyNowAll.TaxDutyCesAmt">'[3]OTHER_INFORMATION'!$H$62</definedName>
    <definedName name="OIAmtDisallUs43BPyNowAll.TotAmtUs43b">'[3]OTHER_INFORMATION'!$J$68</definedName>
    <definedName name="OIAmtExciseCustomsVATOutstanding.OthDutyTaxCess">'[3]OTHER_INFORMATION'!$H$81</definedName>
    <definedName name="OIAmtExciseCustomsVATOutstanding.ServiceTax">'[3]OTHER_INFORMATION'!$H$79</definedName>
    <definedName name="OIAmtExciseCustomsVATOutstanding.TotExciseCustomsVAT">'[3]OTHER_INFORMATION'!$J$82</definedName>
    <definedName name="OIAmtExciseCustomsVATOutstanding.UnionExciseDuty">'[3]OTHER_INFORMATION'!$H$78</definedName>
    <definedName name="OIAmtExciseCustomsVATOutstanding.VATorSaleTax">'[3]OTHER_INFORMATION'!$H$80</definedName>
    <definedName name="OIMethodofValClgStk.ChngStockValMetFlg">'[3]OTHER_INFORMATION'!$J$8</definedName>
    <definedName name="OIMethodofValClgStk.EffectOnPL">'[3]OTHER_INFORMATION'!$J$9</definedName>
    <definedName name="OIMethodofValClgStk.ValFinishedGoods">'[3]OTHER_INFORMATION'!$J$7</definedName>
    <definedName name="OIMethodofValClgStk.ValRawMaterial">'[3]OTHER_INFORMATION'!$J$6</definedName>
    <definedName name="OINoCredToPLAmt.CapReceipt">'[3]OTHER_INFORMATION'!$H$15</definedName>
    <definedName name="OINoCredToPLAmt.OthItemInc">'[3]OTHER_INFORMATION'!$H$14</definedName>
    <definedName name="OINoCredToPLAmt.PrevYrEscalClaim">'[3]OTHER_INFORMATION'!$H$13</definedName>
    <definedName name="OINoCredToPLAmt.ProformaCreditsDue">'[3]OTHER_INFORMATION'!$H$12</definedName>
    <definedName name="OINoCredToPLAmt.Section28Items">'[3]OTHER_INFORMATION'!$H$11</definedName>
    <definedName name="OINoCredToPLAmt.TotNoCredToPLAmt">'[3]OTHER_INFORMATION'!$J$16</definedName>
    <definedName name="Old_company">'[23]Index'!$D$4</definedName>
    <definedName name="OLTL">'[9]BS'!$H$22</definedName>
    <definedName name="ONCA">'[9]BS'!$H$48</definedName>
    <definedName name="os.BalanceNoRaceHorse">'[3]CG_OS'!$J$75</definedName>
    <definedName name="os.BalanceOwnRaceHorse">'[3]CG_OS'!$J$81</definedName>
    <definedName name="os.DeductSec57">'[3]CG_OS'!$H$80</definedName>
    <definedName name="os.Depreciation">'[3]CG_OS'!$H$73</definedName>
    <definedName name="os.DividendGross">'[3]CG_OS'!$H$66</definedName>
    <definedName name="os.Expenses">'[3]CG_OS'!$H$72</definedName>
    <definedName name="os.IncChargeable">'[3]CG_OS'!$J$82</definedName>
    <definedName name="os.InterestGross">'[3]CG_OS'!$H$67</definedName>
    <definedName name="os.OthersGross">'[3]CG_OS'!$H$69</definedName>
    <definedName name="os.Receipts">'[3]CG_OS'!$H$79</definedName>
    <definedName name="os.RentFromMachPlantBldgs">'[3]CG_OS'!$H$68</definedName>
    <definedName name="os.TotalOSGross">'[3]CG_OS'!$J$70</definedName>
    <definedName name="os.TotDeductions">'[3]CG_OS'!$H$74</definedName>
    <definedName name="os.TotOthSrcNoRaceHorse">'[3]CG_OS'!$J$77</definedName>
    <definedName name="os.WinLottRacePuzz">'[3]CG_OS'!$J$76</definedName>
    <definedName name="othSecinclnlhrs.BusLossSetoff3">'[3]CYLA BFLA'!$F$10</definedName>
    <definedName name="othSecinclnlhrs.HPlossCurYrSetoff3">'[3]CYLA BFLA'!$E$10</definedName>
    <definedName name="othSecinclnlhrs.IncOfCurYrAfterSetOff3">'[3]CYLA BFLA'!$H$10</definedName>
    <definedName name="othSecinclnlhrs.IncOfCurYrUnderThatHead3">'[3]CYLA BFLA'!$D$10</definedName>
    <definedName name="othSecinclnlhrs.OthSrcLossNoRaceHorseSetoff3">'[3]CYLA BFLA'!$G$10</definedName>
    <definedName name="othsrcincl.BFAllUs35Cl4Setoff5">'[3]CYLA BFLA'!$G$21</definedName>
    <definedName name="othsrcincl.BFlossPrevYrUndSameHeadSetoff5">'[3]CYLA BFLA'!$E$21</definedName>
    <definedName name="othsrcincl.BFUnabsorbedDeprSetoff5">'[3]CYLA BFLA'!$F$21</definedName>
    <definedName name="othsrcincl.IncOfCurYrAfterSetOffBFLosses5">'[3]CYLA BFLA'!$H$21</definedName>
    <definedName name="othsrcincl.IncOfCurYrUndHeadFromCYLA5">'[3]CYLA BFLA'!$D$21</definedName>
    <definedName name="PAGBU2">'[3]Pre_XML'!$B$2</definedName>
    <definedName name="PAGBU2.BusOrgType">'[3]GENERAL2'!$C$10:$C$15</definedName>
    <definedName name="PAGBU2.CompName">'[3]GENERAL2'!$D$10:$D$15</definedName>
    <definedName name="PAGH2.AddrDetail">'[3]GENERAL2'!$D$6</definedName>
    <definedName name="PAGH2.CityOrTownOrDistrict">'[3]GENERAL2'!$E$6</definedName>
    <definedName name="PAGH2.CompName">'[3]GENERAL2'!$C$6</definedName>
    <definedName name="PAGH2.CompPAN">'[3]GENERAL2'!$H$6</definedName>
    <definedName name="PAGH2.NatOfCompFlg">'[3]GENERAL2'!$E$1</definedName>
    <definedName name="PAGH2.PinCode">'[3]GENERAL2'!$G$6</definedName>
    <definedName name="PAGH2.StateCode">'[3]GENERAL2'!$F$6</definedName>
    <definedName name="PAGKE2">'[3]Pre_XML'!$B$3</definedName>
    <definedName name="PAGKE2.AddrDetail">'[3]GENERAL2'!$E$21:$E$29</definedName>
    <definedName name="PAGKE2.CityOrTownOrDistrict">'[3]GENERAL2'!$F$21:$F$29</definedName>
    <definedName name="PAGKE2.Designation">'[3]GENERAL2'!$D$21:$D$29</definedName>
    <definedName name="PAGKE2.KeyPerPAN">'[3]GENERAL2'!$I$21:$I$29</definedName>
    <definedName name="PAGKE2.PersonName">'[3]GENERAL2'!$C$21:$C$29</definedName>
    <definedName name="PAGKE2.PinCode">'[3]GENERAL2'!$H$21:$H$29</definedName>
    <definedName name="PAGKE2.StateCode">'[3]GENERAL2'!$G$21:$G$29</definedName>
    <definedName name="PAGNA2.BankCompUs5Flg">'[3]GENERAL2'!$G$45</definedName>
    <definedName name="PAGNA2.CompLes40PercSharGovRBIFlg">'[3]GENERAL2'!$G$44</definedName>
    <definedName name="PAGNA2.CompWithIRDARegisterFlg">'[3]GENERAL2'!$G$47</definedName>
    <definedName name="PAGNA2.NonBankFIICompFlg">'[3]GENERAL2'!$G$48</definedName>
    <definedName name="PAGNA2.PubSectCompUs2_36AFlg">'[3]GENERAL2'!$G$42</definedName>
    <definedName name="PAGNA2.RBICompFlg">'[3]GENERAL2'!$G$43</definedName>
    <definedName name="PAGNA2.SchedBankOfRBIActFlg">'[3]GENERAL2'!$G$46</definedName>
    <definedName name="PAGS2">'[3]Pre_XML'!$B$5</definedName>
    <definedName name="PAGS2.AddrDetail">'[3]SUBSIDIARY DETAILS'!$D$2:$D$11</definedName>
    <definedName name="PAGS2.CityOrTownOrDistrict">'[3]SUBSIDIARY DETAILS'!$E$2:$E$11</definedName>
    <definedName name="PAGS2.CompName">'[3]SUBSIDIARY DETAILS'!$C$2:$C$11</definedName>
    <definedName name="PAGS2.CompPAN">'[3]SUBSIDIARY DETAILS'!$B$2:$B$11</definedName>
    <definedName name="PAGS2.PinCode">'[3]SUBSIDIARY DETAILS'!$G$2:$G$11</definedName>
    <definedName name="PAGS2.StateCode">'[3]SUBSIDIARY DETAILS'!$F$2:$F$11</definedName>
    <definedName name="PAGSH2">'[3]Pre_XML'!$B$4</definedName>
    <definedName name="PAGSH2.AddrDetail">'[3]GENERAL2'!$D$35:$D$39</definedName>
    <definedName name="PAGSH2.CityOrTownOrDistrict">'[3]GENERAL2'!$E$35:$E$39</definedName>
    <definedName name="PAGSH2.PercentageOfShare">'[3]GENERAL2'!$H$35:$H$39</definedName>
    <definedName name="PAGSH2.PinCode">'[3]GENERAL2'!$G$35:$G$39</definedName>
    <definedName name="PAGSH2.ShareHolderInfoName">'[3]GENERAL2'!$C$35:$C$39</definedName>
    <definedName name="PAGSH2.ShareHolderPAN">'[3]GENERAL2'!$I$35:$I$39</definedName>
    <definedName name="PAGSH2.StateCode">'[3]GENERAL2'!$F$35:$F$39</definedName>
    <definedName name="PART1_110">'[7]PART-1'!$B$11:$B$21</definedName>
    <definedName name="PART1_111">'[7]PART-1'!$B$6,'[7]PART-1'!$B$8:$B$9</definedName>
    <definedName name="PART1_120">'[7]PART-1'!$B$24,'[7]PART-1'!$B$29:$B$30,'[7]PART-1'!$B$35:$B$41</definedName>
    <definedName name="PART1_121">'[7]PART-1'!$B$25:$B$28</definedName>
    <definedName name="PART1_123">'[7]PART-1'!$B$31:$B$34</definedName>
    <definedName name="PART1_130">'[7]PART-1'!$B$44:$B$46,'[7]PART-1'!$B$51:$B$52,'[7]PART-1'!$B$57,'[7]PART-1'!$B$62:$B$70</definedName>
    <definedName name="PART1_133">'[7]PART-1'!$B$47:$B$50</definedName>
    <definedName name="PART1_135">'[7]PART-1'!$B$53:$B$56</definedName>
    <definedName name="PART1_136">'[7]PART-1'!$B$58:$B$61</definedName>
    <definedName name="PART1_140">'[7]PART-1'!$B$73:$B$77</definedName>
    <definedName name="PART1_150">'[7]PART-1'!$B$5,'[7]PART-1'!$B$22,'[7]PART-1'!$B$42,'[7]PART-1'!$B$71,'[7]PART-1'!$B$78,'[7]PART-1'!$B$88</definedName>
    <definedName name="PART1_154">'[7]PART-1'!$B$83</definedName>
    <definedName name="PART1_156B">'[7]PART-1'!$B$87</definedName>
    <definedName name="PART1_157">'[7]PART-1'!$B$80:$B$87</definedName>
    <definedName name="PART1_CANBENEGATIVE">'[7]PART-1'!$B$18:$B$19,'[7]PART-1'!$B$21,'[7]PART-1'!$B$86</definedName>
    <definedName name="PART1_GREATERTHANEQUALTO0">'[7]PART-1'!$B$6:$B$9,'[7]PART-1'!$B$11:$B$17,'[7]PART-1'!$B$20,'[7]PART-1'!$B$25:$B$29,'[7]PART-1'!$B$31:$B$41,'[7]PART-1'!$B$44:$B$45,'[7]PART-1'!$B$47:$B$51,'[7]PART-1'!$B$53:$B$56,'[7]PART-1'!$B$58:$B$70,'[7]PART-1'!$B$73:$B$77,'[7]PART-1'!$B$80:$B$85,'[7]PART-1'!$B$87</definedName>
    <definedName name="PART1_READONLYNEGATIVE">'[7]PART-1'!$B$22,'[7]PART-1'!$B$88:$B$89</definedName>
    <definedName name="PART1_READONLYPOSITIVE">'[7]PART-1'!$B$5,'[7]PART-1'!$B$24,'[7]PART-1'!$B$30,'[7]PART-1'!$B$42,'[7]PART-1'!$B$46,'[7]PART-1'!$B$52,'[7]PART-1'!$B$57,'[7]PART-1'!$B$71,'[7]PART-1'!$B$78</definedName>
    <definedName name="PART11_READONLY">'[7]PART-11'!$C$5:$C$14,'[7]PART-11'!$E$5:$E$14,'[7]PART-11'!$G$5:$G$14,'[7]PART-11'!$I$5:$I$14,'[7]PART-11'!$K$5:$K$14,'[7]PART-11'!$M$5:$M$14,'[7]PART-11'!$O$5:$O$14,'[7]PART-11'!$A$16:$M$16,'[7]PART-11'!$O$16:$Z$16</definedName>
    <definedName name="PART2_200">'[7]PART-2'!$B$12,'[7]PART-2'!$B$14:$B$15,'[7]PART-2'!$B$33,'[7]PART-2'!$B$48,'[7]PART-2'!$B$50:$B$53</definedName>
    <definedName name="PART2_210">'[7]PART-2'!$B$8:$B$11</definedName>
    <definedName name="PART2_210A">'[7]PART-2'!$B$4:$B$5</definedName>
    <definedName name="PART2_211">'[7]PART-2'!$B$14</definedName>
    <definedName name="PART2_221">'[7]PART-2'!$B$23,'[7]PART-2'!$B$32</definedName>
    <definedName name="PART2_230">'[7]PART-2'!$B$17:$B$22</definedName>
    <definedName name="PART2_240">'[7]PART-2'!$B$25:$B$31</definedName>
    <definedName name="PART2_251">'[7]PART-2'!$B$34:$B$35</definedName>
    <definedName name="PART2_252">'[7]PART-2'!$B$37:$B$47</definedName>
    <definedName name="PART2_GREATERTHANOREQUALTO0">'[7]PART-2'!$B$4:$B$5,'[7]PART-2'!$B$8:$B$11,'[7]PART-2'!$B$14,'[7]PART-2'!$B$17:$B$22,'[7]PART-2'!$B$25:$B$31,'[7]PART-2'!$B$34:$B$35,'[7]PART-2'!$B$37:$B$47,'[7]PART-2'!$B$50:$B$52,'[7]PART-2'!$B$55</definedName>
    <definedName name="PART2_READONLYPOSITIVE">'[7]PART-2'!$B$6,'[7]PART-2'!$B$12,'[7]PART-2'!$B$15,'[7]PART-2'!$B$23,'[7]PART-2'!$B$32:$B$33,'[7]PART-2'!$B$48</definedName>
    <definedName name="PART3_GREATEREQUALTO00">'[7]PART-3'!$E$17,'[7]PART-3'!$E$44,'[7]PART-3'!$E$50:$E$51</definedName>
    <definedName name="PART4_B450">'[7]PART-4'!$B$8:$B$10</definedName>
    <definedName name="PART4_B460">'[7]PART-4'!$B$6,'[7]PART-4'!$B$11</definedName>
    <definedName name="PART4_GREATERTHANEQUALTO0">'[7]PART-4'!$B$6,'[7]PART-4'!$E$6,'[7]PART-4'!$B$8:$B$10,'[7]PART-4'!$E$8:$E$10,'[7]PART-4'!$H$8:$H$10</definedName>
    <definedName name="PART4_H450">'[7]PART-4'!$H$8:$H$10</definedName>
    <definedName name="PART4_R450">'[7]PART-4'!$E$8:$E$10</definedName>
    <definedName name="PART4A_READONLY">'[7]PART-4'!$H$6,'[7]PART-4'!$B$11:$B$12,'[7]PART-4'!$E$11,'[7]PART-4'!$H$11</definedName>
    <definedName name="PART5_BILLS">'[7]PART-5'!$I$15:$I$16</definedName>
    <definedName name="PART5_COMMERCIALPAPERS">'[7]PART-5'!$L$6:$L$7</definedName>
    <definedName name="PART5_CONTRACTS">'[7]PART-5'!$L$15:$L$16</definedName>
    <definedName name="PART5_CREDIT">'[7]PART-5'!$C$15:$C$16</definedName>
    <definedName name="PART5_DEBENTURES">'[7]PART-5'!$I$6:$I$7</definedName>
    <definedName name="PART5_EXCHANGE">'[7]PART-5'!$O$15:$O$16</definedName>
    <definedName name="PART5_FINANCIAL">'[7]PART-5'!$F$15:$F$16</definedName>
    <definedName name="PART5_GREATERTHANOREQUALTO0">'[7]PART-5'!$C$6,'[7]PART-5'!$F$6,'[7]PART-5'!$I$6,'[7]PART-5'!$L$6,'[7]PART-5'!$O$6,'[7]PART-5'!$C$15,'[7]PART-5'!$F$15,'[7]PART-5'!$I$15,'[7]PART-5'!$L$15,'[7]PART-5'!$O$15,'[7]PART-5'!$R$15,'[7]PART-5'!$U$15</definedName>
    <definedName name="PART5_INTEREST">'[7]PART-5'!$R$15:$R$16</definedName>
    <definedName name="PART5_LIABILITIES">'[7]PART-5'!$U$15:$U$16</definedName>
    <definedName name="PART5_NOTBLANK">'[7]PART-5'!$F$6,'[7]PART-5'!$I$6,'[7]PART-5'!$L$6,'[7]PART-5'!$O$6,'[7]PART-5'!$F$15,'[7]PART-5'!$I$15,'[7]PART-5'!$L$15,'[7]PART-5'!$O$15,'[7]PART-5'!$R$15</definedName>
    <definedName name="PART5_OTHERS">'[7]PART-5'!$O$6:$O$7</definedName>
    <definedName name="PART5_READONLY">'[7]PART-5'!$R$6:$R$8,'[7]PART-5'!$C$8,'[7]PART-5'!$F$8,'[7]PART-5'!$I$8,'[7]PART-5'!$L$8,'[7]PART-5'!$O$8,'[7]PART-5'!$C$17,'[7]PART-5'!$F$17,'[7]PART-5'!$I$17,'[7]PART-5'!$L$17,'[7]PART-5'!$O$17,'[7]PART-5'!$R$17,'[7]PART-5'!$U$17</definedName>
    <definedName name="PART5_TERMLOAN">'[7]PART-5'!$C$6:$C$7</definedName>
    <definedName name="PART5_WORKINGCAPITAL">'[7]PART-5'!$F$6:$F$7</definedName>
    <definedName name="PART6_DEBENTURES">'[7]PART-6'!$L$5:$L$6</definedName>
    <definedName name="PART6_EQUITY">'[7]PART-6'!$F$5:$F$6</definedName>
    <definedName name="PART6_GURANTEES">'[7]PART-6'!$F$13:$F$14</definedName>
    <definedName name="PART6_ICDS">'[7]PART-6'!$O$5:$O$6</definedName>
    <definedName name="PART6_LCS">'[7]PART-6'!$C$13:$C$14</definedName>
    <definedName name="PART6_LOANS">'[7]PART-6'!$C$5:$C$6</definedName>
    <definedName name="PART6_OTHERS">'[7]PART-6'!$I$13:$I$14</definedName>
    <definedName name="PART6_PREFERENCE">'[7]PART-6'!$I$5:$I$6</definedName>
    <definedName name="PART6_RAEDONLY">'[7]PART-6'!$R$5:$R$7,'[7]PART-6'!$C$7,'[7]PART-6'!$F$7,'[7]PART-6'!$I$7,'[7]PART-6'!$L$7,'[7]PART-6'!$O$7,'[7]PART-6'!$L$13:$L$15,'[7]PART-6'!$C$15,'[7]PART-6'!$F$15,'[7]PART-6'!$I$15</definedName>
    <definedName name="PART7_GREATERTHANEQUALTO0">'[7]PART-7'!$B$6:$B$9,'[7]PART-7'!$B$11,'[7]PART-7'!$B$13,'[7]PART-7'!$B$17:$B$18,'[7]PART-7'!$B$22:$B$25,'[7]PART-7'!$B$33:$B$34,'[7]PART-7'!$B$36:$B$38,'[7]PART-7'!$B$40:$B$41,'[7]PART-7'!$B$44:$B$48,'[7]PART-7'!$B$50:$B$51,'[7]PART-7'!$B$55:$B$58</definedName>
    <definedName name="PART7_READONLY">'[7]PART-7'!$B$12,'[7]PART-7'!$B$19,'[7]PART-7'!$B$26:$B$27,'[7]PART-7'!$B$30:$B$32,'[7]PART-7'!$B$35,'[7]PART-7'!$B$39,'[7]PART-7'!$B$42:$B$43,'[7]PART-7'!$B$49,'[7]PART-7'!$B$52:$B$54</definedName>
    <definedName name="PART8_901">'[7]PART-8'!$B$4:$B$5</definedName>
    <definedName name="PART8_905">'[7]PART-8'!$B$3,'[7]PART-8'!$B$6:$B$8</definedName>
    <definedName name="PART8_READONLY">'[7]PART-8'!$B$3,'[7]PART-8'!$B$9</definedName>
    <definedName name="PART9_GREATERTHANEQUALTO0">'[7]PART-9'!$B$7:$B$9,'[7]PART-9'!$B$11:$B$12,'[7]PART-9'!$B$14,'[7]PART-9'!$B$16:$B$17,'[7]PART-9'!$B$23:$B$24,'[7]PART-9'!$B$26:$B$27</definedName>
    <definedName name="partc.AdvanceFBT">'[3]PART_C'!$H$19</definedName>
    <definedName name="partc.AggreFBTLiability">'[3]PART_C'!$J$17</definedName>
    <definedName name="partc.BalFBTLiability">'[3]PART_C'!$J$22</definedName>
    <definedName name="partc.DefaultFileUs115WK">'[3]PART_C'!$H$15</definedName>
    <definedName name="partc.DefaultPayUs115WJ3">'[3]PART_C'!$H$14</definedName>
    <definedName name="partc.EducationCess">'[3]PART_C'!$J$11</definedName>
    <definedName name="partc.FBTPayable">'[3]PART_C'!$J$9</definedName>
    <definedName name="partc.FirstQuarter">'[3]PART_C'!$H$4</definedName>
    <definedName name="partc.FourthQuarter">'[3]PART_C'!$H$7</definedName>
    <definedName name="partc.RefundFBT">'[3]PART_C'!$J$23</definedName>
    <definedName name="partc.SecondQuarter">'[3]PART_C'!$H$5</definedName>
    <definedName name="partc.SelfAssessmentFBT">'[3]PART_C'!$H$20</definedName>
    <definedName name="partc.SurchargeOnFBT">'[3]PART_C'!$J$10</definedName>
    <definedName name="partc.ThirdQuarter">'[3]PART_C'!$H$6</definedName>
    <definedName name="partc.TotalTaxesPaid">'[3]PART_C'!$J$21</definedName>
    <definedName name="partc.TotFBTInterestPayable">'[3]PART_C'!$J$16</definedName>
    <definedName name="partc.TotFBTLiability">'[3]PART_C'!$J$12</definedName>
    <definedName name="partc.TotValueOfFBT">'[3]PART_C'!$J$8</definedName>
    <definedName name="Partner">'[11]Index'!$C$23</definedName>
    <definedName name="past">'[14]Index'!$C$30</definedName>
    <definedName name="Per10080G">'[3]Pre_XML'!$E$5</definedName>
    <definedName name="Per10080G.AddrDetail">'[3]80G'!$E$4:$E$7</definedName>
    <definedName name="Per10080G.CityOrTownOrDistrict">'[3]80G'!$F$4:$F$7</definedName>
    <definedName name="Per10080G.DonationAmt">'[3]80G'!$J$4:$J$7</definedName>
    <definedName name="Per10080G.DoneeName">'[3]80G'!$D$4:$D$7</definedName>
    <definedName name="Per10080G.PinCode">'[3]80G'!$H$4:$H$7</definedName>
    <definedName name="Per10080G.StateCode">'[3]80G'!$G$4:$G$7</definedName>
    <definedName name="Per10080G.TotDon100Percent">'[3]80G'!$J$9</definedName>
    <definedName name="Per5080G">'[3]Pre_XML'!$E$7</definedName>
    <definedName name="Per5080G.AddrDetail">'[3]80G'!$F$19</definedName>
    <definedName name="Per5080G.CityOrTownOrDistrict">'[3]80G'!$G$19</definedName>
    <definedName name="Per5080G.DonationAmt">'[3]80G'!$K$19</definedName>
    <definedName name="Per5080G.DoneePAN">'[3]80G'!$E$19</definedName>
    <definedName name="Per5080G.DoneeWithPanName">'[3]80G'!$D$19</definedName>
    <definedName name="Per5080G.PinCode">'[3]80G'!$I$19</definedName>
    <definedName name="Per5080G.StateCode">'[3]80G'!$H$19</definedName>
    <definedName name="Per5080G.TotalDonationsUs80G">'[3]80G'!$K$23</definedName>
    <definedName name="Per5080G.TotDon50PercentApprReqd">'[3]80G'!$K$21</definedName>
    <definedName name="PerNO5080G">'[3]Pre_XML'!$E$6</definedName>
    <definedName name="PerNO5080G.AddrDetail">'[3]80G'!$E$13</definedName>
    <definedName name="PerNO5080G.CityOrTownOrDistrict">'[3]80G'!$F$13</definedName>
    <definedName name="PerNO5080G.DonationAmt">'[3]80G'!$J$13</definedName>
    <definedName name="PerNO5080G.DoneeName">'[3]80G'!$D$13</definedName>
    <definedName name="PerNO5080G.PinCode">'[3]80G'!$H$13</definedName>
    <definedName name="PerNO5080G.StateCode">'[3]80G'!$G$13</definedName>
    <definedName name="PerNO5080G.TotDon50PercentNoApprReqd">'[3]80G'!$J$15</definedName>
    <definedName name="PL.Advertisement">'[3]PROFIT_LOSS'!$J$64</definedName>
    <definedName name="PL.AmtAvlAppr">'[3]PROFIT_LOSS'!$J$97</definedName>
    <definedName name="PL.AuditFee">'[3]PROFIT_LOSS'!$J$83</definedName>
    <definedName name="PL.BadDebt">'[3]PROFIT_LOSS'!$J$85</definedName>
    <definedName name="PL.BalBFPrevYr">'[3]PROFIT_LOSS'!$J$96</definedName>
    <definedName name="PL.Bonus">'[3]PROFIT_LOSS'!$H$42</definedName>
    <definedName name="PL.BusinessReceipts">'[3]PROFIT_LOSS'!$J$2</definedName>
    <definedName name="PL.ClosingStock">'[3]PROFIT_LOSS'!$J$21</definedName>
    <definedName name="PL.ClubExp">'[3]PROFIT_LOSS'!$J$71</definedName>
    <definedName name="PL.Comissions">'[3]PROFIT_LOSS'!$H$11</definedName>
    <definedName name="PL.CommissionExpdr">'[3]PROFIT_LOSS'!$J$65</definedName>
    <definedName name="PL.Conference">'[3]PROFIT_LOSS'!$J$62</definedName>
    <definedName name="PL.ConsumptionOfStores">'[3]PROFIT_LOSS'!$J$35</definedName>
    <definedName name="PL.ContToGratFund">'[3]PROFIT_LOSS'!$H$48</definedName>
    <definedName name="PL.ContToOthFund">'[3]PROFIT_LOSS'!$H$49</definedName>
    <definedName name="PL.ContToPF">'[3]PROFIT_LOSS'!$H$47</definedName>
    <definedName name="PL.ContToSuperAnnFund">'[3]PROFIT_LOSS'!$H$46</definedName>
    <definedName name="PL.ConveyanceExp">'[3]PROFIT_LOSS'!$J$68</definedName>
    <definedName name="PL.DepreciationAmort">'[3]PROFIT_LOSS'!$J$90</definedName>
    <definedName name="PL.Dividends">'[3]PROFIT_LOSS'!$H$12</definedName>
    <definedName name="PL.Donation">'[3]PROFIT_LOSS'!$J$75</definedName>
    <definedName name="PL.Entertainment">'[3]PROFIT_LOSS'!$J$60</definedName>
    <definedName name="PL.Expenses">'[3]PROFIT_LOSS'!$J$108</definedName>
    <definedName name="PL.FBTPay">'[3]PROFIT_LOSS'!$H$51</definedName>
    <definedName name="PL.FestivalCelebExp">'[3]PROFIT_LOSS'!$J$72</definedName>
    <definedName name="PL.Freight">'[3]PROFIT_LOSS'!$J$34</definedName>
    <definedName name="PL.Gift">'[3]PROFIT_LOSS'!$J$74</definedName>
    <definedName name="PL.GrossProfit">'[3]PROFIT_LOSS'!$J$107</definedName>
    <definedName name="PL.GrossReceipt">'[3]PROFIT_LOSS'!$J$106</definedName>
    <definedName name="PL.GuestHouseExp">'[3]PROFIT_LOSS'!$J$70</definedName>
    <definedName name="PL.Hospitality">'[3]PROFIT_LOSS'!$J$61</definedName>
    <definedName name="PL.HotelBoardLodge">'[3]PROFIT_LOSS'!$J$66</definedName>
    <definedName name="PL.InterestExpdr">'[3]PROFIT_LOSS'!$J$89</definedName>
    <definedName name="PL.InterestInc">'[3]PROFIT_LOSS'!$H$13</definedName>
    <definedName name="PL.KeyManInsur">'[3]PROFIT_LOSS'!$H$56</definedName>
    <definedName name="PL.LeaveEncash">'[3]PROFIT_LOSS'!$H$44</definedName>
    <definedName name="PL.LeaveTravelBenft">'[3]PROFIT_LOSS'!$H$45</definedName>
    <definedName name="PL.LifeInsur">'[3]PROFIT_LOSS'!$H$55</definedName>
    <definedName name="PL.MedExpReimb">'[3]PROFIT_LOSS'!$H$43</definedName>
    <definedName name="PL.MedInsur">'[3]PROFIT_LOSS'!$H$54</definedName>
    <definedName name="PL.MiscOthIncome">'[3]PROFIT_LOSS'!$H$19</definedName>
    <definedName name="PL.NetProfit">'[3]PROFIT_LOSS'!$J$109</definedName>
    <definedName name="PL.OpeningStock">'[3]PROFIT_LOSS'!$J$23</definedName>
    <definedName name="PL.OthEmpBenftExpdr">'[3]PROFIT_LOSS'!$H$50</definedName>
    <definedName name="PL.OtherExpenses">'[3]PROFIT_LOSS'!$J$84</definedName>
    <definedName name="PL.OthInsur">'[3]PROFIT_LOSS'!$H$57</definedName>
    <definedName name="PL.OthProvisionsExpdr">'[3]PROFIT_LOSS'!$J$87</definedName>
    <definedName name="PL.PartnerAccBalTrf">'[3]PROFIT_LOSS'!$J$104</definedName>
    <definedName name="PL.PBIDTA">'[3]PROFIT_LOSS'!$J$88</definedName>
    <definedName name="PL.PBT">'[3]PROFIT_LOSS'!$J$91</definedName>
    <definedName name="PL.PowerFuel">'[3]PROFIT_LOSS'!$J$36</definedName>
    <definedName name="PL.ProfitAfterTax">'[3]PROFIT_LOSS'!$J$95</definedName>
    <definedName name="PL.ProfitOnAgriIncome">'[3]PROFIT_LOSS'!$H$18</definedName>
    <definedName name="PL.ProfitOnCurrFluct">'[3]PROFIT_LOSS'!$H$17</definedName>
    <definedName name="PL.ProfitOnInvChrSTT">'[3]PROFIT_LOSS'!$H$15</definedName>
    <definedName name="PL.ProfitOnOthInv">'[3]PROFIT_LOSS'!$H$16</definedName>
    <definedName name="PL.ProfitOnSaleFixedAsset">'[3]PROFIT_LOSS'!$H$14</definedName>
    <definedName name="PL.ProposedDividend">'[3]PROFIT_LOSS'!$H$100</definedName>
    <definedName name="PL.ProvDefTax">'[3]PROFIT_LOSS'!$J$94</definedName>
    <definedName name="PL.ProvFBT">'[3]PROFIT_LOSS'!$J$93</definedName>
    <definedName name="PL.ProvForBadDoubtDebt">'[3]PROFIT_LOSS'!$J$86</definedName>
    <definedName name="PL.ProvForCurrTax">'[3]PROFIT_LOSS'!$J$92</definedName>
    <definedName name="PL.Purchases">'[3]PROFIT_LOSS'!$J$24</definedName>
    <definedName name="PL.RentExpdr">'[3]PROFIT_LOSS'!$J$37</definedName>
    <definedName name="PL.RentInc">'[3]PROFIT_LOSS'!$H$10</definedName>
    <definedName name="PL.RepairMach">'[3]PROFIT_LOSS'!$J$39</definedName>
    <definedName name="PL.RepairsBldg">'[3]PROFIT_LOSS'!$J$38</definedName>
    <definedName name="PL.SalePromoExp">'[3]PROFIT_LOSS'!$J$63</definedName>
    <definedName name="PL.SalsWages">'[3]PROFIT_LOSS'!$H$41</definedName>
    <definedName name="PL.Scholarship">'[3]PROFIT_LOSS'!$J$73</definedName>
    <definedName name="PL.StaffWelfareExp">'[3]PROFIT_LOSS'!$J$59</definedName>
    <definedName name="PL.TaxOnDividend">'[3]PROFIT_LOSS'!$H$101</definedName>
    <definedName name="PL.TaxOnDividendForEarYr">'[3]PROFIT_LOSS'!$H$102</definedName>
    <definedName name="PL.TelephoneExp">'[3]PROFIT_LOSS'!$J$69</definedName>
    <definedName name="PL.TotAppropriations">'[3]PROFIT_LOSS'!$J$103</definedName>
    <definedName name="PL.TotCreditsToPL">'[3]PROFIT_LOSS'!$J$22</definedName>
    <definedName name="PL.TotEmployeeComp">'[3]PROFIT_LOSS'!$J$52</definedName>
    <definedName name="PL.TotInsurances">'[3]PROFIT_LOSS'!$J$58</definedName>
    <definedName name="PL.TotOthIncome">'[3]PROFIT_LOSS'!$J$20</definedName>
    <definedName name="PL.TravelExp">'[3]PROFIT_LOSS'!$J$67</definedName>
    <definedName name="PL.TrfToReserves">'[3]PROFIT_LOSS'!$H$99</definedName>
    <definedName name="place">'[11]Index'!$C$25</definedName>
    <definedName name="Place">'[16]Index'!$C$21</definedName>
    <definedName name="PLCrEx.OthDutyTaxCess">'[3]PROFIT_LOSS'!$H$7</definedName>
    <definedName name="PLCrEx.ServiceTax">'[3]PROFIT_LOSS'!$H$5</definedName>
    <definedName name="PLCrEx.TotExciseCustomsVAT">'[3]PROFIT_LOSS'!$J$8</definedName>
    <definedName name="PLCrEx.UnionExciseDuty">'[3]PROFIT_LOSS'!$H$4</definedName>
    <definedName name="PLCrEx.VATorSaleTax">'[3]PROFIT_LOSS'!$H$6</definedName>
    <definedName name="PLDutiEx.CounterVailDuty">'[3]PROFIT_LOSS'!$H$27</definedName>
    <definedName name="PLDutiEx.CustomDuty">'[3]PROFIT_LOSS'!$H$26</definedName>
    <definedName name="PLDutiEx.OthDutyTaxCess">'[3]PROFIT_LOSS'!$H$32</definedName>
    <definedName name="PLDutiEx.ServiceTax">'[3]PROFIT_LOSS'!$H$30</definedName>
    <definedName name="PLDutiEx.SplAddDuty">'[3]PROFIT_LOSS'!$H$28</definedName>
    <definedName name="PLDutiEx.TotExciseCustomsVAT">'[3]PROFIT_LOSS'!$J$33</definedName>
    <definedName name="PLDutiEx.UnionExciseDuty">'[3]PROFIT_LOSS'!$H$29</definedName>
    <definedName name="PLDutiEx.VATorSaleTax">'[3]PROFIT_LOSS'!$H$31</definedName>
    <definedName name="PLRateEx.Cess">'[3]PROFIT_LOSS'!$H$80</definedName>
    <definedName name="PLRateEx.OthDutyTaxCess">'[3]PROFIT_LOSS'!$H$81</definedName>
    <definedName name="PLRateEx.ServiceTax">'[3]PROFIT_LOSS'!$H$78</definedName>
    <definedName name="PLRateEx.TotExciseCustomsVAT">'[3]PROFIT_LOSS'!$J$82</definedName>
    <definedName name="PLRateEx.UnionExciseDuty">'[3]PROFIT_LOSS'!$H$77</definedName>
    <definedName name="PLRateEx.VATorSaleTax">'[3]PROFIT_LOSS'!$H$79</definedName>
    <definedName name="PMChange.PrevYrMemPartChange">'[3]NATUREOFBUSINESS'!$I$1</definedName>
    <definedName name="PMInfo.AddrDetail">'[3]NATUREOFBUSINESS'!$D$6:$D$15</definedName>
    <definedName name="PMInfo.CityOrTownOrDistrict">'[3]NATUREOFBUSINESS'!$E$6:$E$15</definedName>
    <definedName name="PMInfo.PAN">'[3]NATUREOFBUSINESS'!$I$6:$I$15</definedName>
    <definedName name="PMInfo.PartnerOrMemberName">'[3]NATUREOFBUSINESS'!$C$6:$C$15</definedName>
    <definedName name="PMInfo.PinCode">'[3]NATUREOFBUSINESS'!$G$6:$G$15</definedName>
    <definedName name="PMInfo.SharePercentage">'[3]NATUREOFBUSINESS'!$H$6:$H$15</definedName>
    <definedName name="PMInfo.StateCode">'[3]NATUREOFBUSINESS'!$F$6:$F$15</definedName>
    <definedName name="PPY">'[11]Index'!$G$11</definedName>
    <definedName name="prexmlchecks">'[3]Instructions'!$A$774</definedName>
    <definedName name="Print_n_Stationery">'[9]Note-P'!$F$117</definedName>
    <definedName name="PrintMacro">'[1]Other notes'!$A$1</definedName>
    <definedName name="products">'[27]Sheet3'!$A$1:$B$5</definedName>
    <definedName name="Professional">'[9]Note-P'!$F$115</definedName>
    <definedName name="Prov_for_DDebt_Exp">'[9]Note-P'!$F$129</definedName>
    <definedName name="Prov_Wback">'[9]Note-P'!$F$47</definedName>
    <definedName name="q">'[28]BS'!$H$13</definedName>
    <definedName name="QDFinishrByProd">'[3]Pre_XML'!$B$8</definedName>
    <definedName name="QDFinishrByProd.AnyShortExces">'[3]QUANTITATIVE_DETAILS'!$H$54:$H$73</definedName>
    <definedName name="QDFinishrByProd.ClgStock">'[3]QUANTITATIVE_DETAILS'!$G$54:$G$73</definedName>
    <definedName name="QDFinishrByProd.ItemName">'[3]QUANTITATIVE_DETAILS'!$A$54:$A$73</definedName>
    <definedName name="QDFinishrByProd.OpeningStock">'[3]QUANTITATIVE_DETAILS'!$C$54:$C$73</definedName>
    <definedName name="QDFinishrByProd.PrevYrConsum">'[3]QUANTITATIVE_DETAILS'!$E$54:$E$73</definedName>
    <definedName name="QDFinishrByProd.PurchaseQty">'[3]QUANTITATIVE_DETAILS'!$D$54:$D$73</definedName>
    <definedName name="QDFinishrByProd.SaleQty">'[3]QUANTITATIVE_DETAILS'!$F$54:$F$73</definedName>
    <definedName name="QDFinishrByProd.UnitOfMeasure">'[3]QUANTITATIVE_DETAILS'!$B$54:$B$73</definedName>
    <definedName name="QDRawMaterial">'[3]Pre_XML'!$B$7</definedName>
    <definedName name="QDRawMaterial.AnyShortExces">'[3]QUANTITATIVE_DETAILS'!$J$29:$J$48</definedName>
    <definedName name="QDRawMaterial.ClgStock">'[3]QUANTITATIVE_DETAILS'!$G$29:$G$48</definedName>
    <definedName name="QDRawMaterial.ItemName">'[3]QUANTITATIVE_DETAILS'!$A$29:$A$48</definedName>
    <definedName name="QDRawMaterial.OpeningStock">'[3]QUANTITATIVE_DETAILS'!$C$29:$C$48</definedName>
    <definedName name="QDRawMaterial.PercentYld">'[3]QUANTITATIVE_DETAILS'!$I$29:$I$48</definedName>
    <definedName name="QDRawMaterial.PrevYrConsum">'[3]QUANTITATIVE_DETAILS'!$E$29:$E$48</definedName>
    <definedName name="QDRawMaterial.PurchaseQty">'[3]QUANTITATIVE_DETAILS'!$D$29:$D$48</definedName>
    <definedName name="QDRawMaterial.SaleQty">'[3]QUANTITATIVE_DETAILS'!$F$29:$F$48</definedName>
    <definedName name="QDRawMaterial.UnitOfMeasure">'[3]QUANTITATIVE_DETAILS'!$B$29:$B$48</definedName>
    <definedName name="QDRawMaterial.yldFinisProd">'[3]QUANTITATIVE_DETAILS'!$H$29:$H$48</definedName>
    <definedName name="QDTradingConcern">'[3]Pre_XML'!$B$6</definedName>
    <definedName name="QDTradingConcern.AnyShortExces">'[3]QUANTITATIVE_DETAILS'!$G$5:$G$23</definedName>
    <definedName name="QDTradingConcern.ClgStock">'[3]QUANTITATIVE_DETAILS'!$F$5:$F$23</definedName>
    <definedName name="QDTradingConcern.ItemName">'[3]QUANTITATIVE_DETAILS'!$A$5:$A$23</definedName>
    <definedName name="QDTradingConcern.OpeningStock">'[3]QUANTITATIVE_DETAILS'!$C$5:$C$23</definedName>
    <definedName name="QDTradingConcern.PurchaseQty">'[3]QUANTITATIVE_DETAILS'!$D$5:$D$23</definedName>
    <definedName name="QDTradingConcern.SaleQty">'[3]QUANTITATIVE_DETAILS'!$E$5:$E$23</definedName>
    <definedName name="QDTradingConcern.UnitOfMeasure">'[3]QUANTITATIVE_DETAILS'!$B$5:$B$23</definedName>
    <definedName name="Rates_n_Taxes">'[9]Note-P'!$F$111</definedName>
    <definedName name="Record1">'[1]Other notes'!$A$1</definedName>
    <definedName name="remain">'[14]Index'!$C$31</definedName>
    <definedName name="Repair_n_Maint">'[9]Note-P'!$F$119</definedName>
    <definedName name="report_date">'[11]Index'!$C$26</definedName>
    <definedName name="Report_Date">'[16]Index'!$C$22</definedName>
    <definedName name="rrr">'[29]Index'!$C$23</definedName>
    <definedName name="rrrrrr">'[29]Index'!$C$22</definedName>
    <definedName name="RS">'[9]BS'!$H$13</definedName>
    <definedName name="s_10a">'[3]10A'!$A$1</definedName>
    <definedName name="s_10aa">'[3]10A'!$A$24</definedName>
    <definedName name="s_10b">'[3]10A'!$A$29</definedName>
    <definedName name="s_10ba">'[3]10A'!$A$34</definedName>
    <definedName name="s_80g">'[3]80G'!$B$1</definedName>
    <definedName name="s_80ia">'[3]80_'!$A$2</definedName>
    <definedName name="s_80ib">'[3]80_'!$A$10</definedName>
    <definedName name="s_80ic">'[3]80_'!$A$26</definedName>
    <definedName name="s_ba">'[3]PART_C'!$A$36</definedName>
    <definedName name="s_bfla">'[3]CYLA BFLA'!$A$14</definedName>
    <definedName name="s_bp">'[3]BP'!$A$1</definedName>
    <definedName name="s_bs">'[3]BALANCE_SHEET'!$A$1</definedName>
    <definedName name="s_cfl">'[3]CFL'!$A$1</definedName>
    <definedName name="s_cg">'[3]CG_OS'!$A$1</definedName>
    <definedName name="s_cyla">'[3]CYLA BFLA'!$A$1</definedName>
    <definedName name="s_dcg">'[3]DEP_DCG'!$A$21</definedName>
    <definedName name="s_ddtp">'[3]IT_FBT_DDTP'!$C$47</definedName>
    <definedName name="s_dep">'[3]DEP_DCG'!$A$1</definedName>
    <definedName name="s_doa">'[3]DPM_DOA'!$A$21</definedName>
    <definedName name="s_dpm">'[3]DPM_DOA'!$A$1</definedName>
    <definedName name="s_esr">'[3]ESR'!$A$1</definedName>
    <definedName name="s_fb">'[3]FRINGE_BENEFIT_INFO'!$A$9</definedName>
    <definedName name="s_fbi">'[3]FRINGE_BENEFIT_INFO'!$A$1</definedName>
    <definedName name="s_fbt">'[3]IT_FBT_DDTP'!$A$28</definedName>
    <definedName name="s_general">'[3]GENERAL'!$C$5</definedName>
    <definedName name="s_general2">'[3]GENERAL2'!$B$1</definedName>
    <definedName name="s_hp">'[3]HOUSE_PROPERTY'!$A$1</definedName>
    <definedName name="s_it">'[3]IT_FBT_DDTP'!$A$1</definedName>
    <definedName name="s_mat">'[3]EI'!$A$14</definedName>
    <definedName name="s_matc">'[3]EI'!$A$39</definedName>
    <definedName name="s_nob">'[3]NATUREOFBUSINESS'!$A$17</definedName>
    <definedName name="s_oi">'[3]OTHER_INFORMATION'!$A$1</definedName>
    <definedName name="s_os">'[3]CG_OS'!$A$64</definedName>
    <definedName name="s_partbti">'[3]PART_B'!$A$1</definedName>
    <definedName name="s_partbtti">'[3]PART_B'!$A$30</definedName>
    <definedName name="s_partc">'[3]PART_C'!$A$2</definedName>
    <definedName name="s_pl">'[3]PROFIT_LOSS'!$A$1</definedName>
    <definedName name="s_qd">'[3]QUANTITATIVE_DETAILS'!$A$1</definedName>
    <definedName name="s_qd2">'[3]QUANTITATIVE_DETAILS'!$A$26</definedName>
    <definedName name="s_qd3">'[3]QUANTITATIVE_DETAILS'!$A$51</definedName>
    <definedName name="s_si">'[3]SI'!$B$1</definedName>
    <definedName name="s_sttc">'[3]80_'!$A$56</definedName>
    <definedName name="s_subdetail">'[3]SUBSIDIARY DETAILS'!$A$1</definedName>
    <definedName name="s_verification">'[3]PART_C'!$A$27</definedName>
    <definedName name="s_via">'[3]80_'!$A$41</definedName>
    <definedName name="Salaries">'[9]Note-P'!$F$81</definedName>
    <definedName name="Sale_of_FA_Loss">'[9]Note-P'!$F$128</definedName>
    <definedName name="Sale_of_Invest_Loss">'[9]Note-P'!$F$127</definedName>
    <definedName name="SC">'[9]BS'!$H$12</definedName>
    <definedName name="Sebi">'[9]Note-P'!$F$64</definedName>
    <definedName name="section.DCG">'[3]DEP_DCG'!$A$21:$H$39</definedName>
    <definedName name="section.DEP">'[3]DEP_DCG'!$A$1:$H$19</definedName>
    <definedName name="section.DOA">'[3]DPM_DOA'!$A$21:$I$40</definedName>
    <definedName name="section.DPM">'[3]DPM_DOA'!$A$1:$J$19</definedName>
    <definedName name="section.ESR">'[3]ESR'!$A$1:$E$9</definedName>
    <definedName name="section.NatOfBus">'[3]NATUREOFBUSINESS'!$A$17:$D$21</definedName>
    <definedName name="section.SheduleBFT">'[3]IT_FBT_DDTP'!$A$30:$K$43</definedName>
    <definedName name="section.SheduleFB">'[3]FRINGE_BENEFIT_INFO'!$A$9:$J$47</definedName>
    <definedName name="section.SheduleFBI">'[3]FRINGE_BENEFIT_INFO'!$A$1:$F$7</definedName>
    <definedName name="section.SheduleIT">'[3]IT_FBT_DDTP'!$A$1:$H$11</definedName>
    <definedName name="section.SheduleTCS">'[3]IT_FBT_DDTP'!$A$27:$L$28</definedName>
    <definedName name="section.SI">'[3]SI'!$A$1:$F$15</definedName>
    <definedName name="section.STTC">'[3]80_'!$A$56:$I$63</definedName>
    <definedName name="SEZA10">'[3]Pre_XML'!$B$14</definedName>
    <definedName name="SEZA10.DedFromUndertaking">'[3]10A'!$F$19</definedName>
    <definedName name="SEZA10.TotalDedUs10A">'[3]10A'!$H$22</definedName>
    <definedName name="SEZA10.TotalDedUs10Sub">'[3]10A'!$H$20</definedName>
    <definedName name="sheet1.swversionno">'[3]GENERAL'!$AJ$60</definedName>
    <definedName name="sheet10.IncRecCredPLOthHeads">'[3]BP'!$H$5</definedName>
    <definedName name="sheet10.NetPLFromSpecBus">'[3]BP'!$H$4</definedName>
    <definedName name="sheet10.PLUs44sChapXIIG">'[3]BP'!$H$6</definedName>
    <definedName name="sheet10.ProfBfrTaxPL">'[3]BP'!$J$3</definedName>
    <definedName name="sheet11.AdjustedPLOthThanSpecBus">'[3]BP'!$J$16</definedName>
    <definedName name="sheet11.AdjustPLAfterDeprOthSpecInc">'[3]BP'!$J$22</definedName>
    <definedName name="sheet11.AmtAllowUs35ACt">'[3]BP'!$H$40</definedName>
    <definedName name="sheet11.AmtDebPLDisallowUs36">'[3]BP'!$H$23</definedName>
    <definedName name="sheet11.AmtDebPLDisallowUs37">'[3]BP'!$H$24</definedName>
    <definedName name="sheet11.AmtDebPLDisallowUs40">'[3]BP'!$H$25</definedName>
    <definedName name="sheet11.AmtDebPLDisallowUs40A">'[3]BP'!$H$26</definedName>
    <definedName name="sheet11.AmtDebPLDisallowUs43B">'[3]BP'!$H$27</definedName>
    <definedName name="sheet11.AmtDisallUs40NowAllow">'[3]BP'!$H$36</definedName>
    <definedName name="sheet11.AmtDisallUs43BNowAllow">'[3]BP'!$H$37</definedName>
    <definedName name="sheet11.AnyOthAmtAllDeduct">'[3]BP'!$H$42</definedName>
    <definedName name="sheet11.AnyOthIncNotInclInExpDisallowPL">'[3]BP'!$H$32</definedName>
    <definedName name="sheet11.AOPBOISharInc">'[3]BP'!$H$9</definedName>
    <definedName name="sheet11.BalancePLOthThanSpecBus">'[3]BP'!$J$12</definedName>
    <definedName name="sheet11.DebPL35ACAmt">'[3]BP'!$H$39</definedName>
    <definedName name="sheet11.DebPLUs35ExcessAmt">'[3]BP'!$H$35</definedName>
    <definedName name="sheet11.DeductUs32_1_iii">'[3]BP'!$H$34</definedName>
    <definedName name="sheet11.DeemIncUs3380HHD80IA">'[3]BP'!$H$30</definedName>
    <definedName name="sheet11.DeemIncUs41">'[3]BP'!$H$29</definedName>
    <definedName name="sheet11.DepreciationAllowUs32_1_i">'[3]BP'!$H$20</definedName>
    <definedName name="sheet11.DepreciationAllowUs32_1_ii">'[3]BP'!$H$19</definedName>
    <definedName name="sheet11.DepreciationDebPLCosAct">'[3]BP'!$J$17</definedName>
    <definedName name="sheet11.ExcessAmtDeduct35AC">'[3]BP'!$H$41</definedName>
    <definedName name="sheet11.ExpDebToPLExemptInc">'[3]BP'!$H$14</definedName>
    <definedName name="sheet11.ExpDebToPLOthHeads">'[3]BP'!$H$13</definedName>
    <definedName name="sheet11.FirmShareInc">'[3]BP'!$H$8</definedName>
    <definedName name="sheet11.InterestDisAllowUs23SMEAct">'[3]BP'!$H$28</definedName>
    <definedName name="sheet11.OthExempInc">'[3]BP'!$H$10</definedName>
    <definedName name="sheet11.OthItemDisallowUs28To44DA">'[3]BP'!$H$31</definedName>
    <definedName name="sheet11.PLAftAdjDedBusOthThanSpec">'[3]BP'!$J$44</definedName>
    <definedName name="sheet11.Section44AD">'[3]BP'!$H$46</definedName>
    <definedName name="sheet11.Section44AE">'[3]BP'!$H$47</definedName>
    <definedName name="sheet11.Section44AF">'[3]BP'!$H$48</definedName>
    <definedName name="sheet11.Section44B">'[3]BP'!$H$49</definedName>
    <definedName name="sheet11.Section44BB">'[3]BP'!$H$50</definedName>
    <definedName name="sheet11.Section44BBA">'[3]BP'!$H$51</definedName>
    <definedName name="sheet11.TotAfterAddToPLDeprOthSpecInc">'[3]BP'!$J$33</definedName>
    <definedName name="sheet11.TotDeductionAmts">'[3]BP'!$J$43</definedName>
    <definedName name="sheet11.TotDeprAllowITAct">'[3]BP'!$J$21</definedName>
    <definedName name="sheet11.TotExempIncPL">'[3]BP'!$H$11</definedName>
    <definedName name="sheet11.TotExpDebPL">'[3]BP'!$H$15</definedName>
    <definedName name="sheet12.AdditionUs28to44DA">'[3]BP'!$J$69</definedName>
    <definedName name="sheet12.AdjustedPLFrmSpecuBus">'[3]BP'!$J$71</definedName>
    <definedName name="sheet12.ChapterXIIG">'[3]BP'!$H$55</definedName>
    <definedName name="sheet12.DeductUs28to44DA">'[3]BP'!$J$70</definedName>
    <definedName name="sheet12.FirstSchTAct">'[3]BP'!$H$56</definedName>
    <definedName name="sheet12.IncChrgUnHdProftGain">'[3]BP'!$J$72</definedName>
    <definedName name="sheet12.NetPLAftAdjBusOthThanSpec">'[3]BP'!$J$65</definedName>
    <definedName name="sheet12.NetPLBusOthThanSpec7A7B7C">'[3]BP'!$J$66</definedName>
    <definedName name="sheet12.NetPLFrmSpecBus">'[3]BP'!$J$68</definedName>
    <definedName name="sheet12.ProfitLossBfrDeductUs10s">'[3]BP'!$J$58</definedName>
    <definedName name="sheet12.Section10A">'[3]BP'!$H$60</definedName>
    <definedName name="sheet12.Section10AA">'[3]BP'!$H$61</definedName>
    <definedName name="sheet12.Section10B">'[3]BP'!$H$62</definedName>
    <definedName name="sheet12.Section10BA">'[3]BP'!$H$63</definedName>
    <definedName name="sheet12.Section44BBB">'[3]BP'!$H$52</definedName>
    <definedName name="sheet12.Section44D">'[3]BP'!$H$53</definedName>
    <definedName name="sheet12.Section44DA">'[3]BP'!$H$54</definedName>
    <definedName name="sheet12.TotDeductionUs10s">'[3]BP'!$J$64</definedName>
    <definedName name="sheet12.TotDeemedProfitBusUs">'[3]BP'!$J$57</definedName>
    <definedName name="sheet16.BalBusLossAftSetoff">'[3]CYLA BFLA'!$F$12</definedName>
    <definedName name="sheet16.BalHPlossCurYrAftSetoff">'[3]CYLA BFLA'!$E$12</definedName>
    <definedName name="sheet16.BalOthSrcLossNoRaceHorseAftSetoff">'[3]CYLA BFLA'!$G$12</definedName>
    <definedName name="sheet16.IncomeOfCurrYrAftCYLABFLA">'[3]CYLA BFLA'!$H$23</definedName>
    <definedName name="sheet16.TotAllUs35cl4Setoff">'[3]CYLA BFLA'!$G$22</definedName>
    <definedName name="sheet16.TotBFLossSetoff">'[3]CYLA BFLA'!$E$22</definedName>
    <definedName name="sheet16.TotBusLossSetoff">'[3]CYLA BFLA'!$F$11</definedName>
    <definedName name="sheet16.TotHPlossCurYrSetoff">'[3]CYLA BFLA'!$E$11</definedName>
    <definedName name="sheet16.TotOthSrcLossNoRaceHorseSetoff">'[3]CYLA BFLA'!$G$11</definedName>
    <definedName name="sheet16.TotUnabsorbedDeprSetoff">'[3]CYLA BFLA'!$F$22</definedName>
    <definedName name="Sheet20.scei.DividendInc">'[3]EI'!$F$3</definedName>
    <definedName name="Sheet20.scei.InterestInc">'[3]EI'!$F$2</definedName>
    <definedName name="Sheet20.scei.LTCGWhereSTTPaid">'[3]EI'!$F$4</definedName>
    <definedName name="Sheet20.scei.NetAgriIncOrOthrIncRule7">'[3]EI'!$F$5</definedName>
    <definedName name="Sheet20.scei.Others">'[3]EI'!$F$7</definedName>
    <definedName name="Sheet20.scei.ShareOfProfitFirmAOP">'[3]EI'!$F$6</definedName>
    <definedName name="Sheet20.scei.TotalExemptInc">'[3]EI'!$F$8</definedName>
    <definedName name="sheet22.AccountType">'[32]PART C'!$J$46:$J$47</definedName>
    <definedName name="sheet22.YesNo">'[3]PART_C'!$IV$9:$IV$10</definedName>
    <definedName name="sheet8b.AggregateIncome">'[3]PART_B'!$J$26</definedName>
    <definedName name="sheet8b.BalanceAfterSetoffLosses">'[3]PART_B'!$J$20</definedName>
    <definedName name="sheet8b.BroughtFwdLossesSetoff">'[3]PART_B'!$J$21</definedName>
    <definedName name="sheet8b.CurrentYearLoss">'[3]PART_B'!$J$19</definedName>
    <definedName name="sheet8b.DeductionsUnderScheduleVIA">'[3]PART_B'!$J$23</definedName>
    <definedName name="sheet8b.FromOwnRaceHorse">'[3]PART_B'!$H$16</definedName>
    <definedName name="sheet8b.GrossTotalIncome">'[3]PART_B'!$J$22</definedName>
    <definedName name="sheet8b.IncomeFromHP">'[3]PART_B'!$J$2</definedName>
    <definedName name="sheet8b.LongTerm">'[3]PART_B'!$H$12</definedName>
    <definedName name="sheet8b.LossesOfCurrentYearCarriedFwd">'[3]PART_B'!$J$27</definedName>
    <definedName name="sheet8b.NetAgricultureIncomeOrOtherIncomeForRate">'[3]PART_B'!$J$25</definedName>
    <definedName name="sheet8b.OtherSrcThanOwnRaceHorse">'[3]PART_B'!$H$15</definedName>
    <definedName name="sheet8b.ProfGainNoSpecBus">'[3]PART_B'!$H$4</definedName>
    <definedName name="sheet8b.ProfGainSpecBus">'[3]PART_B'!$H$5</definedName>
    <definedName name="sheet8b.ShortTermOther">'[3]PART_B'!$H$10</definedName>
    <definedName name="sheet8b.ShortTermUs111A">'[3]PART_B'!$H$9</definedName>
    <definedName name="sheet8b.TotalCapGains">'[3]PART_B'!$J$13</definedName>
    <definedName name="sheet8b.TotalIncome">'[3]PART_B'!$J$24</definedName>
    <definedName name="sheet8b.TotalShortTerm">'[3]PART_B'!$H$11</definedName>
    <definedName name="sheet8b.TotalTI">'[3]PART_B'!$J$18</definedName>
    <definedName name="sheet8b.TotIncFromOS">'[3]PART_B'!$J$17</definedName>
    <definedName name="sheet8b.TotProfBusGain">'[3]PART_B'!$J$6</definedName>
    <definedName name="sheet9.AdvanceTax">'[3]PART_B'!$H$56</definedName>
    <definedName name="sheet9.AggregateTaxInterestLiability">'[3]PART_B'!$J$54</definedName>
    <definedName name="sheet9.AssesseeVerName">'[3]PART_C'!$F$28</definedName>
    <definedName name="sheet9.BalTaxPayable">'[3]PART_B'!$J$40</definedName>
    <definedName name="sheet9.BalTaxPayable1">'[3]PART_B'!$J$61</definedName>
    <definedName name="sheet9.BankAccountNumber">'[3]PART_C'!$J$37</definedName>
    <definedName name="sheet9.BankAccountType1">'[3]PART_C'!$J$40</definedName>
    <definedName name="sheet9.Capacity">'[3]PART_C'!$F$33</definedName>
    <definedName name="sheet9.Date">'[3]PART_C'!$F$35</definedName>
    <definedName name="sheet9.EcsRequired">'[3]PART_C'!$J$38</definedName>
    <definedName name="sheet9.EducationCess">'[3]PART_B'!$J$42</definedName>
    <definedName name="sheet9.FatherName">'[3]PART_C'!$F$29</definedName>
    <definedName name="sheet9.GrossTaxLiability">'[3]PART_B'!$J$43</definedName>
    <definedName name="sheet9.IntrstPayUs234A">'[3]PART_B'!$H$50</definedName>
    <definedName name="sheet9.IntrstPayUs234B">'[3]PART_B'!$H$51</definedName>
    <definedName name="sheet9.IntrstPayUs234C">'[3]PART_B'!$H$52</definedName>
    <definedName name="sheet9.MICRCode">'[3]PART_C'!$J$39</definedName>
    <definedName name="sheet9.NetTaxLiability">'[3]PART_B'!$J$48</definedName>
    <definedName name="sheet9.Place">'[3]PART_C'!$F$34</definedName>
    <definedName name="sheet9.RebateUs88E">'[3]PART_B'!$J$39</definedName>
    <definedName name="sheet9.RefundDue">'[3]PART_B'!$J$62</definedName>
    <definedName name="sheet9.Section90">'[3]PART_B'!$H$45</definedName>
    <definedName name="sheet9.Section91">'[3]PART_B'!$H$46</definedName>
    <definedName name="sheet9.SelfAssessmentTax">'[3]PART_B'!$H$59</definedName>
    <definedName name="sheet9.SurchargeOnTaxPayable">'[3]PART_B'!$J$41</definedName>
    <definedName name="sheet9.TaxAtNormalRatesOnAggrInc">'[3]PART_B'!$H$33</definedName>
    <definedName name="sheet9.TaxAtSpecialRates">'[3]PART_B'!$H$34</definedName>
    <definedName name="sheet9.TaxPayableOnTotInc">'[3]PART_B'!$J$35</definedName>
    <definedName name="sheet9.TCS">'[3]PART_B'!$H$58</definedName>
    <definedName name="sheet9.TDS">'[3]PART_B'!$H$57</definedName>
    <definedName name="sheet9.TotalIntrstPay">'[3]PART_B'!$J$53</definedName>
    <definedName name="sheet9.TotalTaxesPaid">'[3]PART_B'!$J$60</definedName>
    <definedName name="sheet9.TotTaxRelief">'[3]PART_B'!$J$47</definedName>
    <definedName name="SI">'[3]Pre_XML'!$E$8</definedName>
    <definedName name="SI.SecCode">'[3]SI'!$C$3:$C$12</definedName>
    <definedName name="SI.SplRateInc">'[3]SI'!$E$3:$E$12</definedName>
    <definedName name="SI.SplRateIncTax">'[3]SI'!$F$3:$F$12</definedName>
    <definedName name="SI.SplRatePercent">'[3]SI'!$D$3:$D$12</definedName>
    <definedName name="SI.TotSplRateIncTax">'[3]SI'!$F$13</definedName>
    <definedName name="Software">'[9]Note-P'!$F$73</definedName>
    <definedName name="Staff_Welfare">'[9]Note-P'!$F$83</definedName>
    <definedName name="Stamp">'[9]Note-P'!$F$62</definedName>
    <definedName name="states">'[33]Part A General'!$F$3:$F$38</definedName>
    <definedName name="STB">'[9]BS'!$H$27</definedName>
    <definedName name="stcg.BFAllUs35Cl4Setoff3">'[3]CYLA BFLA'!$G$19</definedName>
    <definedName name="stcg.BFlossPrevYrUndSameHeadSetoff3">'[3]CYLA BFLA'!$E$19</definedName>
    <definedName name="stcg.BFUnabsorbedDeprSetoff3">'[3]CYLA BFLA'!$F$19</definedName>
    <definedName name="stcg.BusLossSetoff1">'[3]CYLA BFLA'!$F$8</definedName>
    <definedName name="stcg.HPlossCurYrSetoff1">'[3]CYLA BFLA'!$E$8</definedName>
    <definedName name="stcg.IncOfCurYrAfterSetOff1">'[3]CYLA BFLA'!$H$8</definedName>
    <definedName name="stcg.IncOfCurYrAfterSetOffBFLosses3">'[3]CYLA BFLA'!$H$19</definedName>
    <definedName name="stcg.IncOfCurYrUnderThatHead1">'[3]CYLA BFLA'!$D$8</definedName>
    <definedName name="stcg.IncOfCurYrUndHeadFromCYLA3">'[3]CYLA BFLA'!$D$19</definedName>
    <definedName name="stcg.OthSrcLossNoRaceHorseSetoff1">'[3]CYLA BFLA'!$G$8</definedName>
    <definedName name="STL">'[9]BS'!$H$56</definedName>
    <definedName name="STP">'[9]BS'!$H$30</definedName>
    <definedName name="STPA10">'[3]Pre_XML'!$B$10</definedName>
    <definedName name="STPA10.DedFromUndertaking">'[3]10A'!$F$3</definedName>
    <definedName name="STPA10.TotalDedUs10Sub">'[3]10A'!$H$4</definedName>
    <definedName name="STTC.RebateUs88E">'[3]80_'!$I$63</definedName>
    <definedName name="STTC.STTNonSpecBusUsA34">'[3]80_'!$G$58</definedName>
    <definedName name="STTC.STTPaid">'[3]80_'!$G$62</definedName>
    <definedName name="STTC.STTSpecBusUsB38">'[3]80_'!$G$59</definedName>
    <definedName name="STTC.TaxPaySTTAvgRate">'[3]80_'!$G$61</definedName>
    <definedName name="STTC.TotChrgAmtSTT">'[3]80_'!$I$60</definedName>
    <definedName name="t_ben">'[3]GENERAL2'!$B$31</definedName>
    <definedName name="t_bo">'[3]GENERAL2'!$B$8</definedName>
    <definedName name="t_md">'[3]GENERAL2'!$B$17</definedName>
    <definedName name="TA">'[9]BS'!$H$39</definedName>
    <definedName name="Tax_CY">'[14]Index'!$G$5</definedName>
    <definedName name="Tax_NY">'[14]Index'!$G$6</definedName>
    <definedName name="TB_Date">'[34]Trial'!$A$1</definedName>
    <definedName name="TL">'[9]BS'!$H$60</definedName>
    <definedName name="Today">'[25]Provisions'!$C$1</definedName>
    <definedName name="totcfloss.BusLossOthThanSpecLossCF11">'[3]CFL'!$F$14</definedName>
    <definedName name="totcfloss.HPLossCF11">'[3]CFL'!$E$14</definedName>
    <definedName name="totcfloss.LossFrmSpecBusCF11">'[3]CFL'!$G$14</definedName>
    <definedName name="totcfloss.LTCGLossCF11">'[3]CFL'!$I$14</definedName>
    <definedName name="totcfloss.OthSrcLossNotRaceHorseCF11">'[3]CFL'!$J$14</definedName>
    <definedName name="totcfloss.OthSrcLossRaceHorseCF11">'[3]CFL'!$K$14</definedName>
    <definedName name="totcfloss.STCGLossCF11">'[3]CFL'!$H$14</definedName>
    <definedName name="totofbfloss.BusLossOthThanSpecLossCF8">'[3]CFL'!$F$11</definedName>
    <definedName name="totofbfloss.HPLossCF8">'[3]CFL'!$E$11</definedName>
    <definedName name="totofbfloss.LossFrmSpecBusCF8">'[3]CFL'!$G$11</definedName>
    <definedName name="totofbfloss.LTCGLossCF8">'[3]CFL'!$I$11</definedName>
    <definedName name="totofbfloss.OthSrcLossNotRaceHorseCF8">'[3]CFL'!$J$11</definedName>
    <definedName name="totofbfloss.OthSrcLossRaceHorseCF8">'[3]CFL'!$K$11</definedName>
    <definedName name="totofbfloss.STCGLossCF8">'[3]CFL'!$H$11</definedName>
    <definedName name="TP">'[9]BS'!$H$28</definedName>
    <definedName name="TR">'[9]BS'!$H$54</definedName>
    <definedName name="Trans_BS_DT">'[11]Index'!$E$11</definedName>
    <definedName name="Travelling">'[9]Note-P'!$F$116</definedName>
    <definedName name="Trial">'[25]Trial'!$A$1:$B$65536</definedName>
    <definedName name="TYPE">'[24]VALIDATION_LIST'!$A$252:$A$256</definedName>
    <definedName name="VIA.Section80G">'[3]80_'!$G$42</definedName>
    <definedName name="VIA.Section80GGA">'[3]80_'!$G$43</definedName>
    <definedName name="VIA.Section80GGC">'[3]80_'!$G$45</definedName>
    <definedName name="VIA.Section80IA">'[3]80_'!$G$46</definedName>
    <definedName name="VIA.Section80IAB">'[3]80_'!$G$47</definedName>
    <definedName name="VIA.Section80IB">'[3]80_'!$G$48</definedName>
    <definedName name="VIA.Section80IC">'[3]80_'!$G$49</definedName>
    <definedName name="VIA.Section80JJA">'[3]80_'!$G$50</definedName>
    <definedName name="VIA.Section80JJAA">'[3]80_'!$G$51</definedName>
    <definedName name="VIA.Section80LA">'[3]80_'!$G$53</definedName>
    <definedName name="VIA.Section80P">'[3]80_'!$G$52</definedName>
    <definedName name="VIA.SectionGGB">'[3]80_'!$G$44</definedName>
    <definedName name="VIA.TotalChapVIADeductions">'[3]80_'!$I$54</definedName>
    <definedName name="VL_Intt">'[9]Note-P'!$F$99</definedName>
    <definedName name="w">'[29]BS'!$H$13</definedName>
    <definedName name="WCL_Intt">'[9]Note-P'!$F$98</definedName>
    <definedName name="WRT">'[9]BS'!$H$14</definedName>
    <definedName name="wwww">'[29]BS'!$H$13</definedName>
    <definedName name="x_color">'[3]Instructions'!$B$34</definedName>
    <definedName name="x_formulae">'[3]Instructions'!$B$31</definedName>
    <definedName name="x_navigation">'[3]Instructions'!$B$25</definedName>
    <definedName name="x_rows">'[3]Instructions'!$B$40</definedName>
    <definedName name="X255QTY">'[36]xSeries255'!$D$13:$D$42,'[36]xSeries255'!$D$45:$D$448</definedName>
    <definedName name="xls_1">'[3]Instructions'!$C$13</definedName>
    <definedName name="xls_2">'[3]Instructions'!$B$28</definedName>
    <definedName name="xls_3">'[3]Instructions'!$B$41</definedName>
    <definedName name="xls_4">'[3]Instructions'!$B$47</definedName>
    <definedName name="xls_5">'[3]Instructions'!$B$54</definedName>
    <definedName name="xls_6">'[3]Instructions'!$B$74</definedName>
    <definedName name="xls_7">'[3]Instructions'!$B$77</definedName>
    <definedName name="xls_8">'[3]Instructions'!$B$82</definedName>
    <definedName name="xls_9">'[3]Instructions'!$B$86</definedName>
    <definedName name="XSER255">'[36]xSeries255'!$A$13:$M$42,'[36]xSeries255'!$A$45:$M$448</definedName>
    <definedName name="yr1999.BusLossOthThanSpecLossCF">'[3]CFL'!$F$3</definedName>
    <definedName name="yr1999.DateOfFiling">'[3]CFL'!$D$3</definedName>
    <definedName name="yr1999.HPLossCF">'[3]CFL'!$E$3</definedName>
    <definedName name="yr1999.LossFrmSpecBusCF">'[3]CFL'!$G$3</definedName>
    <definedName name="yr1999.LTCGLossCF">'[3]CFL'!$I$3</definedName>
    <definedName name="yr1999.OthSrcLossNotRaceHorseCF">'[3]CFL'!$J$3</definedName>
    <definedName name="yr1999.OthSrcLossRaceHorseCF">'[3]CFL'!$K$3</definedName>
    <definedName name="yr1999.STCGLossCF">'[3]CFL'!$H$3</definedName>
    <definedName name="yr2000.BusLossOthThanSpecLossCF1">'[3]CFL'!$F$4</definedName>
    <definedName name="yr2000.DateOfFiling1">'[3]CFL'!$D$4</definedName>
    <definedName name="yr2000.HPLossCF1">'[3]CFL'!$E$4</definedName>
    <definedName name="yr2000.LossFrmSpecBusCF1">'[3]CFL'!$G$4</definedName>
    <definedName name="yr2000.LTCGLossCF1">'[3]CFL'!$I$4</definedName>
    <definedName name="yr2000.OthSrcLossNotRaceHorseCF1">'[3]CFL'!$J$4</definedName>
    <definedName name="yr2000.OthSrcLossRaceHorseCF1">'[3]CFL'!$K$4</definedName>
    <definedName name="yr2000.STCGLossCF1">'[3]CFL'!$H$4</definedName>
    <definedName name="yr2001.BusLossOthThanSpecLossCF2">'[3]CFL'!$F$5</definedName>
    <definedName name="yr2001.DateOfFiling2">'[3]CFL'!$D$5</definedName>
    <definedName name="yr2001.HPLossCF2">'[3]CFL'!$E$5</definedName>
    <definedName name="yr2001.LossFrmSpecBusCF2">'[3]CFL'!$G$5</definedName>
    <definedName name="yr2001.LTCGLossCF2">'[3]CFL'!$I$5</definedName>
    <definedName name="yr2001.OthSrcLossNotRaceHorseCF2">'[3]CFL'!$J$5</definedName>
    <definedName name="yr2001.OthSrcLossRaceHorseCF2">'[3]CFL'!$K$5</definedName>
    <definedName name="yr2001.STCGLossCF2">'[3]CFL'!$H$5</definedName>
    <definedName name="yr2002.BusLossOthThanSpecLossCF3">'[3]CFL'!$F$6</definedName>
    <definedName name="yr2002.DateOfFiling3">'[3]CFL'!$D$6</definedName>
    <definedName name="yr2002.HPLossCF3">'[3]CFL'!$E$6</definedName>
    <definedName name="yr2002.LossFrmSpecBusCF3">'[3]CFL'!$G$6</definedName>
    <definedName name="yr2002.LTCGLossCF3">'[3]CFL'!$I$6</definedName>
    <definedName name="yr2002.OthSrcLossNotRaceHorseCF3">'[3]CFL'!$J$6</definedName>
    <definedName name="yr2002.OthSrcLossRaceHorseCF3">'[3]CFL'!$K$6</definedName>
    <definedName name="yr2002.STCGLossCF3">'[3]CFL'!$H$6</definedName>
    <definedName name="yr2003.BusLossOthThanSpecLossCF4">'[3]CFL'!$F$7</definedName>
    <definedName name="yr2003.DateOfFiling4">'[3]CFL'!$D$7</definedName>
    <definedName name="yr2003.HPLossCF4">'[3]CFL'!$E$7</definedName>
    <definedName name="yr2003.LossFrmSpecBusCF4">'[3]CFL'!$G$7</definedName>
    <definedName name="yr2003.LTCGLossCF4">'[3]CFL'!$I$7</definedName>
    <definedName name="yr2003.OthSrcLossNotRaceHorseCF4">'[3]CFL'!$J$7</definedName>
    <definedName name="yr2003.OthSrcLossRaceHorseCF4">'[3]CFL'!$K$7</definedName>
    <definedName name="yr2003.STCGLossCF4">'[3]CFL'!$H$7</definedName>
    <definedName name="yr2004.BusLossOthThanSpecLossCF5">'[3]CFL'!$F$8</definedName>
    <definedName name="yr2004.DateOfFiling5">'[3]CFL'!$D$8</definedName>
    <definedName name="yr2004.HPLossCF5">'[3]CFL'!$E$8</definedName>
    <definedName name="yr2004.LossFrmSpecBusCF5">'[3]CFL'!$G$8</definedName>
    <definedName name="yr2004.LTCGLossCF5">'[3]CFL'!$I$8</definedName>
    <definedName name="yr2004.OthSrcLossNotRaceHorseCF5">'[3]CFL'!$J$8</definedName>
    <definedName name="yr2004.OthSrcLossRaceHorseCF5">'[3]CFL'!$K$8</definedName>
    <definedName name="yr2004.STCGLossCF5">'[3]CFL'!$H$8</definedName>
    <definedName name="yr2005.BusLossOthThanSpecLossCF6">'[3]CFL'!$F$9</definedName>
    <definedName name="yr2005.DateOfFiling6">'[3]CFL'!$D$9</definedName>
    <definedName name="yr2005.HPLossCF6">'[3]CFL'!$E$9</definedName>
    <definedName name="yr2005.LossFrmSpecBusCF6">'[3]CFL'!$G$9</definedName>
    <definedName name="yr2005.LTCGLossCF6">'[3]CFL'!$I$9</definedName>
    <definedName name="yr2005.OthSrcLossNotRaceHorseCF6">'[3]CFL'!$J$9</definedName>
    <definedName name="yr2005.OthSrcLossRaceHorseCF6">'[3]CFL'!$K$9</definedName>
    <definedName name="yr2005.STCGLossCF6">'[3]CFL'!$H$9</definedName>
    <definedName name="yr2006.BusLossOthThanSpecLossCF7">'[3]CFL'!$F$10</definedName>
    <definedName name="yr2006.DateOfFiling7">'[3]CFL'!$D$10</definedName>
    <definedName name="yr2006.HPLossCF7">'[3]CFL'!$E$10</definedName>
    <definedName name="yr2006.LossFrmSpecBusCF7">'[3]CFL'!$G$10</definedName>
    <definedName name="yr2006.LTCGLossCF7">'[3]CFL'!$I$10</definedName>
    <definedName name="yr2006.OthSrcLossNotRaceHorseCF7">'[3]CFL'!$J$10</definedName>
    <definedName name="yr2006.OthSrcLossRaceHorseCF7">'[3]CFL'!$K$10</definedName>
    <definedName name="yr2006.STCGLossCF7">'[3]CFL'!$H$10</definedName>
    <definedName name="yr2007.BusLossOthThanSpecLossCF10">'[3]CFL'!$F$13</definedName>
    <definedName name="yr2007.HPLossCF10">'[3]CFL'!$E$13</definedName>
    <definedName name="yr2007.LossFrmSpecBusCF10">'[3]CFL'!$G$13</definedName>
    <definedName name="yr2007.LTCGLossCF10">'[3]CFL'!$I$13</definedName>
    <definedName name="yr2007.OthSrcLossNotRaceHorseCF10">'[3]CFL'!$J$13</definedName>
    <definedName name="yr2007.OthSrcLossRaceHorseCF10">'[3]CFL'!$K$13</definedName>
    <definedName name="yr2007.STCGLossCF10">'[3]CFL'!$H$13</definedName>
    <definedName name="_xlnm.Print_Area" localSheetId="0">'00_Cover'!$A1:$H31</definedName>
    <definedName name="_xlnm.Print_Area" localSheetId="1">'01_Control'!$A1:$G20</definedName>
    <definedName name="_xlnm.Print_Area" localSheetId="2">'02_Index'!$A1:$E43</definedName>
    <definedName name="_xlnm.Print_Titles" localSheetId="2">'02_Index'!$4:$4</definedName>
    <definedName name="_xlnm.Print_Area" localSheetId="3">'BS'!$A2:$F70</definedName>
    <definedName name="_xlnm.Print_Area" localSheetId="4">'PL'!$A1:$H58</definedName>
    <definedName name="_xlnm.Print_Area" localSheetId="5">'CFS'!$A1:$J60</definedName>
    <definedName name="_xlnm.Print_Area" localSheetId="6">'Note BS-Liab'!$A1:$H163</definedName>
    <definedName name="_xlnm.Print_Area" localSheetId="7">'FA'!$A1:$M35</definedName>
    <definedName name="_xlnm.Print_Area" localSheetId="8">'Note BS-Asset'!$A1:$H120</definedName>
    <definedName name="_xlnm.Print_Area" localSheetId="9">'Note PL'!$A1:$G130</definedName>
    <definedName name="_xlnm.Print_Area" localSheetId="10">'Notes other'!$A1:$H55</definedName>
    <definedName name="_xlnm.Print_Titles" localSheetId="10">'Notes other'!$1:$4</definedName>
    <definedName name="_xlnm.Print_Area" localSheetId="11">'Notes other2'!$A1:$I52</definedName>
    <definedName name="_xlnm.Print_Titles" localSheetId="11">'Notes other2'!$1:$3</definedName>
    <definedName name="_xlnm.Print_Area" localSheetId="13">'FA - IT Act'!$A1:$H15</definedName>
    <definedName name="_xlnm.Print_Area" localSheetId="14">'DT'!$A1:$E19</definedName>
    <definedName name="_xlnm.Print_Area" localSheetId="16">'03_Independent_Auditors_Report'!$A1:$H30</definedName>
    <definedName name="_xlnm.Print_Area" localSheetId="17">'04_Annexure_A_CARO_2020'!$A1:$E26</definedName>
    <definedName name="_xlnm.Print_Titles" localSheetId="17">'04_Annexure_A_CARO_2020'!$4:$4</definedName>
    <definedName name="_xlnm.Print_Area" localSheetId="18">'05_Annexure_B_IFC'!$A1:$H27</definedName>
    <definedName name="_xlnm.Print_Area" localSheetId="19">'06_Form_3CA'!$A1:$H14</definedName>
    <definedName name="_xlnm.Print_Area" localSheetId="20">'07_Form_3CD_Part_A'!$A1:$D15</definedName>
    <definedName name="_xlnm.Print_Titles" localSheetId="20">'07_Form_3CD_Part_A'!$4:$4</definedName>
    <definedName name="_xlnm.Print_Area" localSheetId="21">'08_Form_3CD_09_to_20'!$A1:$D29</definedName>
    <definedName name="_xlnm.Print_Titles" localSheetId="21">'08_Form_3CD_09_to_20'!$4:$4</definedName>
    <definedName name="_xlnm.Print_Area" localSheetId="22">'09_Form_3CD_21_to_30C'!$A1:$D28</definedName>
    <definedName name="_xlnm.Print_Titles" localSheetId="22">'09_Form_3CD_21_to_30C'!$4:$4</definedName>
    <definedName name="_xlnm.Print_Area" localSheetId="23">'10_Form_3CD_31_to_44'!$A1:$D36</definedName>
    <definedName name="_xlnm.Print_Titles" localSheetId="23">'10_Form_3CD_31_to_44'!$4:$4</definedName>
    <definedName name="_xlnm.Print_Area" localSheetId="24">'11_3CD_Annx_Partners_9'!$A1:$F15</definedName>
    <definedName name="_xlnm.Print_Titles" localSheetId="24">'11_3CD_Annx_Partners_9'!$4:$4</definedName>
    <definedName name="_xlnm.Print_Area" localSheetId="25">'12_3CD_Annx_Depn_18'!$A1:$I20</definedName>
    <definedName name="_xlnm.Print_Titles" localSheetId="25">'12_3CD_Annx_Depn_18'!$4:$4</definedName>
    <definedName name="_xlnm.Print_Area" localSheetId="26">'13_3CD_Annx_Disallow_21_26'!$A1:$H20</definedName>
    <definedName name="_xlnm.Print_Titles" localSheetId="26">'13_3CD_Annx_Disallow_21_26'!$4:$4</definedName>
    <definedName name="_xlnm.Print_Area" localSheetId="27">'14_3CD_Annx_MSME_22_23'!$A1:$H18</definedName>
    <definedName name="_xlnm.Print_Titles" localSheetId="27">'14_3CD_Annx_MSME_22_23'!$4:$4</definedName>
    <definedName name="_xlnm.Print_Area" localSheetId="28">'15_3CD_Annx_43B_26'!$A1:$H18</definedName>
    <definedName name="_xlnm.Print_Titles" localSheetId="28">'15_3CD_Annx_43B_26'!$4:$4</definedName>
    <definedName name="_xlnm.Print_Area" localSheetId="29">'16_3CD_Annx_Loans_31'!$A1:$J20</definedName>
    <definedName name="_xlnm.Print_Titles" localSheetId="29">'16_3CD_Annx_Loans_31'!$4:$5</definedName>
    <definedName name="_xlnm.Print_Area" localSheetId="30">'17_3CD_Annx_BF_Loss_32'!$A1:$H18</definedName>
    <definedName name="_xlnm.Print_Titles" localSheetId="30">'17_3CD_Annx_BF_Loss_32'!$4:$4</definedName>
    <definedName name="_xlnm.Print_Area" localSheetId="31">'18_3CD_Annx_Deduction_19_33'!$A1:$F20</definedName>
    <definedName name="_xlnm.Print_Titles" localSheetId="31">'18_3CD_Annx_Deduction_19_33'!$4:$4</definedName>
    <definedName name="_xlnm.Print_Area" localSheetId="32">'19_3CD_Annx_TDS_34'!$A1:$J20</definedName>
    <definedName name="_xlnm.Print_Titles" localSheetId="32">'19_3CD_Annx_TDS_34'!$4:$4</definedName>
    <definedName name="_xlnm.Print_Area" localSheetId="33">'20_3CD_Annx_Quant_35'!$A1:$H19</definedName>
    <definedName name="_xlnm.Print_Titles" localSheetId="33">'20_3CD_Annx_Quant_35'!$4:$4</definedName>
    <definedName name="_xlnm.Print_Area" localSheetId="34">'21_3CD_Annx_GP_40'!$A1:$E15</definedName>
    <definedName name="_xlnm.Print_Titles" localSheetId="34">'21_3CD_Annx_GP_40'!$4:$4</definedName>
    <definedName name="_xlnm.Print_Area" localSheetId="35">'22_3CD_Annx_GST_44'!$A1:$G16</definedName>
    <definedName name="_xlnm.Print_Titles" localSheetId="35">'22_3CD_Annx_GST_44'!$4:$4</definedName>
    <definedName name="_xlnm.Print_Area" localSheetId="36">'19_Sample_Narrative_Notes'!$A1:$D26</definedName>
    <definedName name="_xlnm.Print_Titles" localSheetId="36">'19_Sample_Narrative_Notes'!$4:$4</definedName>
    <definedName name="_xlnm.Print_Area" localSheetId="37">'99_Legal_Sources'!$A1:$C12</definedName>
    <definedName name="_xlnm.Print_Titles" localSheetId="37">'99_Legal_Sources'!$4:$4</definedName>
  </definedNames>
  <calcPr calcId="171027" fullCalcOnLoad="1"/>
</workbook>
</file>

<file path=xl/sharedStrings.xml><?xml version="1.0" encoding="utf-8"?>
<sst xmlns="http://schemas.openxmlformats.org/spreadsheetml/2006/main" count="1686" uniqueCount="1116">
  <si>
    <t>Corporate Audit Report Pack</t>
  </si>
  <si>
    <t>Print-ready master format | A.Y. 2026-27 | Editable template</t>
  </si>
  <si>
    <t>Pack Contents</t>
  </si>
  <si>
    <t>Primary Use</t>
  </si>
  <si>
    <t>• Independent auditor's report format</t>
  </si>
  <si>
    <t>Statutory audit report master wording and signature block</t>
  </si>
  <si>
    <t>• Form 3CA + Form 3CD</t>
  </si>
  <si>
    <t>Tax audit report cover form in print-ready layout</t>
  </si>
  <si>
    <t>• Form 3CD clause-wise report</t>
  </si>
  <si>
    <t>Current official clause structure with editable response fields</t>
  </si>
  <si>
    <t>• 3CD annexures</t>
  </si>
  <si>
    <t>Clause-wise support tables for depreciation, disallowances, TDS, GST, loans, quantitative details and more</t>
  </si>
  <si>
    <t>• Financial statements</t>
  </si>
  <si>
    <t>Balance Sheet, Statement of Profit &amp; Loss / Income &amp; Expenditure, Cash Flow (where applicable)</t>
  </si>
  <si>
    <t>• Notes to accounts &amp; annexures</t>
  </si>
  <si>
    <t>Editable note schedules and a separate narrative note bank</t>
  </si>
  <si>
    <t>• Legal sources sheet</t>
  </si>
  <si>
    <t>Official URLs used for current form alignment</t>
  </si>
  <si>
    <t>Key editable metadata</t>
  </si>
  <si>
    <t>Entity name</t>
  </si>
  <si>
    <r>
      <t>KWIKTEAM SUPPORT SERVICES PRIVATE LIMITED_</t>
    </r>
  </si>
  <si>
    <t>Financial year</t>
  </si>
  <si>
    <r>
      <t>[01 Apr 2025 to 31 Mar 2026]_</t>
    </r>
  </si>
  <si>
    <t>Report date</t>
  </si>
  <si>
    <t>16/05/2026</t>
  </si>
  <si>
    <t>Firm name</t>
  </si>
  <si>
    <t>V J DESAI &amp; CO. LLP</t>
  </si>
  <si>
    <t>PAN</t>
  </si>
  <si>
    <r>
      <t>AABCK1234Z_</t>
    </r>
  </si>
  <si>
    <t>TAN</t>
  </si>
  <si>
    <r>
      <t>SRTK12345A_</t>
    </r>
  </si>
  <si>
    <t>GSTIN</t>
  </si>
  <si>
    <r>
      <t>24AABCK1234Z1Z5_</t>
    </r>
  </si>
  <si>
    <t>Assessment year</t>
  </si>
  <si>
    <r>
      <t>[2026-27]_</t>
    </r>
  </si>
  <si>
    <t>Signatory / Partner</t>
  </si>
  <si>
    <t>VIJAY J DESAI</t>
  </si>
  <si>
    <t>Membership</t>
  </si>
  <si>
    <t/>
  </si>
  <si>
    <t>FRN</t>
  </si>
  <si>
    <t>UDIN</t>
  </si>
  <si>
    <t>Control Sheet</t>
  </si>
  <si>
    <t>Central editable fields | Corporate Entity</t>
  </si>
  <si>
    <t>Entity Details</t>
  </si>
  <si>
    <t>KWIKTEAM SUPPORT SERVICES PRIVATE LIMITED</t>
  </si>
  <si>
    <t>Registered office / address</t>
  </si>
  <si>
    <t>SURAT, GUJARAT</t>
  </si>
  <si>
    <t>P.A. Number (PAN)</t>
  </si>
  <si>
    <t>AABCK1234Z</t>
  </si>
  <si>
    <t>T.A. Number (TAN)</t>
  </si>
  <si>
    <t>SRTK12345A</t>
  </si>
  <si>
    <t>GST No.</t>
  </si>
  <si>
    <t>24AABCK1234Z1Z5</t>
  </si>
  <si>
    <t>Entity type</t>
  </si>
  <si>
    <t>Corporate Entity</t>
  </si>
  <si>
    <t>Nature of business</t>
  </si>
  <si>
    <t>IT Support Services</t>
  </si>
  <si>
    <t>Previous year</t>
  </si>
  <si>
    <t>01 Apr 2025 to 31 Mar 2026</t>
  </si>
  <si>
    <t>2026-27</t>
  </si>
  <si>
    <t>Balance sheet date</t>
  </si>
  <si>
    <t>31st March, 2026</t>
  </si>
  <si>
    <t>____</t>
  </si>
  <si>
    <t>Comparative year-end</t>
  </si>
  <si>
    <t>31st March, 2025</t>
  </si>
  <si>
    <t>Rounding off / units</t>
  </si>
  <si>
    <t>Amount in Rs. / Lakhs / Hundreds / Thousands</t>
  </si>
  <si>
    <t>Audit Report Sign-off</t>
  </si>
  <si>
    <t>Audit firm name</t>
  </si>
  <si>
    <t>Signing partner / proprietor</t>
  </si>
  <si>
    <t>Firm registration no.</t>
  </si>
  <si>
    <t>123456W</t>
  </si>
  <si>
    <t>Membership no.</t>
  </si>
  <si>
    <t>M12345</t>
  </si>
  <si>
    <t>26012345AAAAAA1234</t>
  </si>
  <si>
    <t>Place</t>
  </si>
  <si>
    <t>SURAT</t>
  </si>
  <si>
    <t>Board / partner signatories</t>
  </si>
  <si>
    <t>1. Keep styles, margins and print areas unchanged; replace only figures and editable narrative blocks.</t>
  </si>
  <si>
    <t>2. Populate note schedules first; linked primary statements can then be refreshed / reviewed.</t>
  </si>
  <si>
    <t>3. Review signatory names, UDIN, report date, comparative dates and law-specific paragraphs before issue.</t>
  </si>
  <si>
    <t>4. Form 3CD sheets are arranged clause-wise with annexure references for fast review and population.</t>
  </si>
  <si>
    <t>Workbook Index</t>
  </si>
  <si>
    <t>Navigation map and recommended print sequence</t>
  </si>
  <si>
    <t>Seq.</t>
  </si>
  <si>
    <t>Sheet</t>
  </si>
  <si>
    <t>Category</t>
  </si>
  <si>
    <t>Purpose</t>
  </si>
  <si>
    <t>Go</t>
  </si>
  <si>
    <t>00_Cover</t>
  </si>
  <si>
    <t>Admin / Navigation</t>
  </si>
  <si>
    <t>Editable working / presentation sheet</t>
  </si>
  <si>
    <t>Open</t>
  </si>
  <si>
    <t>01_Control</t>
  </si>
  <si>
    <t>BS</t>
  </si>
  <si>
    <t>Financial Statements</t>
  </si>
  <si>
    <t>PL</t>
  </si>
  <si>
    <t>CFS</t>
  </si>
  <si>
    <t>Note BS-Liab</t>
  </si>
  <si>
    <t>FA</t>
  </si>
  <si>
    <t>Note BS-Asset</t>
  </si>
  <si>
    <t>Note PL</t>
  </si>
  <si>
    <t>31-36</t>
  </si>
  <si>
    <t>37-47</t>
  </si>
  <si>
    <t>FA - IT Act</t>
  </si>
  <si>
    <t>DT</t>
  </si>
  <si>
    <t>Sheet1</t>
  </si>
  <si>
    <t>03_Independent_Auditors_Report</t>
  </si>
  <si>
    <t>Statutory Audit</t>
  </si>
  <si>
    <t>04_Annexure_A_CARO_2020</t>
  </si>
  <si>
    <t>05_Annexure_B_IFC</t>
  </si>
  <si>
    <t>06_Form_3CA</t>
  </si>
  <si>
    <t>Tax Audit / Annexures</t>
  </si>
  <si>
    <t>07_Form_3CD_Part_A</t>
  </si>
  <si>
    <t>08_Form_3CD_09_to_20</t>
  </si>
  <si>
    <t>09_Form_3CD_21_to_30C</t>
  </si>
  <si>
    <t>10_Form_3CD_31_to_44</t>
  </si>
  <si>
    <t>11_3CD_Annx_Partners_9</t>
  </si>
  <si>
    <t>12_3CD_Annx_Depn_18</t>
  </si>
  <si>
    <t>13_3CD_Annx_Disallow_21_26</t>
  </si>
  <si>
    <t>14_3CD_Annx_MSME_22_23</t>
  </si>
  <si>
    <t>15_3CD_Annx_43B_26</t>
  </si>
  <si>
    <t>16_3CD_Annx_Loans_31</t>
  </si>
  <si>
    <t>17_3CD_Annx_BF_Loss_32</t>
  </si>
  <si>
    <t>18_3CD_Annx_Deduction_19_33</t>
  </si>
  <si>
    <t>19_3CD_Annx_TDS_34</t>
  </si>
  <si>
    <t>20_3CD_Annx_Quant_35</t>
  </si>
  <si>
    <t>21_3CD_Annx_GP_40</t>
  </si>
  <si>
    <t>22_3CD_Annx_GST_44</t>
  </si>
  <si>
    <t>19_Sample_Narrative_Notes</t>
  </si>
  <si>
    <t>99_Legal_Sources</t>
  </si>
  <si>
    <t>Reference</t>
  </si>
  <si>
    <t>Recommended print sequence: Cover → Statutory report → Tax audit report → Form 3CD → 3CD annexures → Financial statements → Notes to accounts.</t>
  </si>
  <si>
    <t>Balance Sheet as at 31st March, 2025</t>
  </si>
  <si>
    <t>(Amount in Rs. `000)</t>
  </si>
  <si>
    <t>Particulars</t>
  </si>
  <si>
    <t>Note No.</t>
  </si>
  <si>
    <t xml:space="preserve">As at </t>
  </si>
  <si>
    <t xml:space="preserve">I EQUITY AND LIABILITIES </t>
  </si>
  <si>
    <t>(1) Shareholders' funds</t>
  </si>
  <si>
    <t>(a) Share capital</t>
  </si>
  <si>
    <t>(b) Reserves and surplus</t>
  </si>
  <si>
    <t>(2) Share application money pending allotment</t>
  </si>
  <si>
    <t>(3) Non-Current liabilities</t>
  </si>
  <si>
    <t>(a) Long-term borrowings</t>
  </si>
  <si>
    <t>(b) Deferred tax liabilities (Net)</t>
  </si>
  <si>
    <t>(c) Other Long term liabilities</t>
  </si>
  <si>
    <t>(d) Long-term provisions</t>
  </si>
  <si>
    <t>(4) Current liabilities</t>
  </si>
  <si>
    <t>(a) Short-term borrowings</t>
  </si>
  <si>
    <t>(b) Trade payables</t>
  </si>
  <si>
    <t>(i) Micro and Small Enterprises</t>
  </si>
  <si>
    <t>(ii) Others</t>
  </si>
  <si>
    <t>(c) Other current liabilities</t>
  </si>
  <si>
    <t>(d) Short-term provisions</t>
  </si>
  <si>
    <t>TOTAL EQUITY AND LIABILITIES</t>
  </si>
  <si>
    <t>II ASSETS</t>
  </si>
  <si>
    <t>(1) Non-Current Assets</t>
  </si>
  <si>
    <t>(a) Property, Plant &amp; Equipment and Intangible Assets</t>
  </si>
  <si>
    <t>(i)Property, plant and equipment and Intangible Assets</t>
  </si>
  <si>
    <t>(ii) Intangible assets</t>
  </si>
  <si>
    <t>(iii) Capital work-in-Progress</t>
  </si>
  <si>
    <t>(b) Non-current investments</t>
  </si>
  <si>
    <t>(c) Deferred tax assets (Net)</t>
  </si>
  <si>
    <t>(d) Long-term loans and advances</t>
  </si>
  <si>
    <t>(e) Other non-current Assets</t>
  </si>
  <si>
    <t>(2) Current assets</t>
  </si>
  <si>
    <t>(a) Current investments</t>
  </si>
  <si>
    <t>(b) Inventories</t>
  </si>
  <si>
    <t>(c) Trade receivables</t>
  </si>
  <si>
    <t>(d) Cash and bank equivalents</t>
  </si>
  <si>
    <t>(e) Short-term loans and advances</t>
  </si>
  <si>
    <t>(f) Other current assets</t>
  </si>
  <si>
    <t>TOTAL ASSETS</t>
  </si>
  <si>
    <t>Significant accounting policies and estimates</t>
  </si>
  <si>
    <t>The accompanying notes form an integral part of the financial statements.</t>
  </si>
  <si>
    <t xml:space="preserve">As per our Audit Report of even date </t>
  </si>
  <si>
    <r>
      <rPr>
        <family val="1"/>
        <scheme val="major"/>
        <sz val="9"/>
        <rFont val="Cambria"/>
      </rPr>
      <t>For</t>
    </r>
    <r>
      <rPr>
        <b/>
        <family val="1"/>
        <scheme val="major"/>
        <sz val="9"/>
        <rFont val="Cambria"/>
      </rPr>
      <t>V J DESAI &amp; CO. LLP</t>
    </r>
  </si>
  <si>
    <t xml:space="preserve">For and on behalf of the Board of Directors of </t>
  </si>
  <si>
    <t>Chartered Accountants</t>
  </si>
  <si>
    <t>Firm's Registration No.: 123456W</t>
  </si>
  <si>
    <t>Partner</t>
  </si>
  <si>
    <t>Director</t>
  </si>
  <si>
    <t>Membership No.: 602XXX</t>
  </si>
  <si>
    <t>DIN:</t>
  </si>
  <si>
    <t>Place: SURAT</t>
  </si>
  <si>
    <t>Date:</t>
  </si>
  <si>
    <t>Statement of Profit &amp; Loss Account for the year ended as on 31st March, 2025</t>
  </si>
  <si>
    <t>For the year ended 31st March, 2026</t>
  </si>
  <si>
    <t>For the year ended 31st March, 2025</t>
  </si>
  <si>
    <t>I.</t>
  </si>
  <si>
    <t>Revenue from operations</t>
  </si>
  <si>
    <t>II.</t>
  </si>
  <si>
    <t>Other income</t>
  </si>
  <si>
    <t>III.</t>
  </si>
  <si>
    <t>Total Income (I+II)</t>
  </si>
  <si>
    <t>IV.</t>
  </si>
  <si>
    <t>Expenses</t>
  </si>
  <si>
    <t>Cost of materials consumed</t>
  </si>
  <si>
    <t>Purchases of Stock-in-Trade</t>
  </si>
  <si>
    <t>Cost of good sold</t>
  </si>
  <si>
    <t>Changes in inventories of finished goods, Work-in-progress and Stock-in-Trade</t>
  </si>
  <si>
    <t>Opex in V1</t>
  </si>
  <si>
    <t>Employee benefits expense</t>
  </si>
  <si>
    <t>Change in Opex</t>
  </si>
  <si>
    <t>Finance Costs</t>
  </si>
  <si>
    <t xml:space="preserve">Depreciation &amp; Amortisation Expenses </t>
  </si>
  <si>
    <t>Tfrd to Employee com</t>
  </si>
  <si>
    <t>Other expenses</t>
  </si>
  <si>
    <t>Remaining change</t>
  </si>
  <si>
    <t>Total Expenses</t>
  </si>
  <si>
    <t>Prepaid ins</t>
  </si>
  <si>
    <t>Remaining change in Ins</t>
  </si>
  <si>
    <t>V.</t>
  </si>
  <si>
    <t>Profit before exceptional and extraordinary items and tax</t>
  </si>
  <si>
    <t>PM</t>
  </si>
  <si>
    <t>(III-IV)</t>
  </si>
  <si>
    <t>VI.</t>
  </si>
  <si>
    <t>Exceptional items</t>
  </si>
  <si>
    <t>VII.</t>
  </si>
  <si>
    <t>Profit before extraordinary items and tax (V-VI)</t>
  </si>
  <si>
    <t>VIII.</t>
  </si>
  <si>
    <t>Extraordinary items</t>
  </si>
  <si>
    <t>IX.</t>
  </si>
  <si>
    <t>Profit before tax (VII-VIII)</t>
  </si>
  <si>
    <t>X.</t>
  </si>
  <si>
    <t>Tax expense:</t>
  </si>
  <si>
    <t xml:space="preserve">   (1) Current tax</t>
  </si>
  <si>
    <t xml:space="preserve">   (2) Deferred tax</t>
  </si>
  <si>
    <t>XI.</t>
  </si>
  <si>
    <t xml:space="preserve">Profit (loss) for period from continuing operations </t>
  </si>
  <si>
    <t>(VII-VIII)</t>
  </si>
  <si>
    <t>XII.</t>
  </si>
  <si>
    <t>Profit (loss) for period from discontinuing operations</t>
  </si>
  <si>
    <t>XIII.</t>
  </si>
  <si>
    <t>Tax expense of discontinuing operations</t>
  </si>
  <si>
    <t>XIV.</t>
  </si>
  <si>
    <t>Profit (loss) from discontinuing operations (after tax)</t>
  </si>
  <si>
    <t>(XII-XIII)</t>
  </si>
  <si>
    <t>XV.</t>
  </si>
  <si>
    <t>Profit / (Loss) for the period (XI+XIV)</t>
  </si>
  <si>
    <t>Earnings per  equity share ;</t>
  </si>
  <si>
    <t>(1) Basic</t>
  </si>
  <si>
    <t>(2) Diluted</t>
  </si>
  <si>
    <t>Cash Flow Statement for the year ended [31st March, 2025]</t>
  </si>
  <si>
    <t>As at 31st March, 2026</t>
  </si>
  <si>
    <t>As at 31st March, 2025</t>
  </si>
  <si>
    <t>A.</t>
  </si>
  <si>
    <t>Cash flows from operating activities</t>
  </si>
  <si>
    <t>Net profit before tax</t>
  </si>
  <si>
    <t>Adjustments for:</t>
  </si>
  <si>
    <t>Depreciation expense</t>
  </si>
  <si>
    <t>Interest income</t>
  </si>
  <si>
    <t>Profit on sale of assets</t>
  </si>
  <si>
    <t>Interest expense</t>
  </si>
  <si>
    <t>Operating profit before working capital changes</t>
  </si>
  <si>
    <t>Changes in working capital:</t>
  </si>
  <si>
    <t>Trade payables</t>
  </si>
  <si>
    <t>Other current liabilities</t>
  </si>
  <si>
    <t>Inventories</t>
  </si>
  <si>
    <t>Trade receivables</t>
  </si>
  <si>
    <t>Short term provision</t>
  </si>
  <si>
    <t>Other current assets</t>
  </si>
  <si>
    <t>Cash generated from operations</t>
  </si>
  <si>
    <t>Income tax paid</t>
  </si>
  <si>
    <t>Net cash generated from operating activities (A)</t>
  </si>
  <si>
    <t>B.</t>
  </si>
  <si>
    <t>Cash flows from investing activities</t>
  </si>
  <si>
    <t>Purchase of property, plant &amp; equipments</t>
  </si>
  <si>
    <t>Interest Income</t>
  </si>
  <si>
    <t>Net cash used in investing activities (B)</t>
  </si>
  <si>
    <t>C.</t>
  </si>
  <si>
    <t>Cash flows from financing activities</t>
  </si>
  <si>
    <t>Proceeds from issue of share capital</t>
  </si>
  <si>
    <t>Proceeds / Repayment of long-term Borrowings</t>
  </si>
  <si>
    <t>Payment of Other Loan term Liabilities</t>
  </si>
  <si>
    <t>Interest Paid</t>
  </si>
  <si>
    <t>Net cash used in financing activities (C)</t>
  </si>
  <si>
    <t>Net increase in cash and cash equivalents (A+B+C)</t>
  </si>
  <si>
    <t>Cash and cash equivalents at the beginning of period</t>
  </si>
  <si>
    <t>Cash and cash equivalents at the end of period</t>
  </si>
  <si>
    <t>Notes to cash flow statement</t>
  </si>
  <si>
    <t>The above cash flow statement has been prepared in accordance with the 'Indirect method' as set out in Accounting Standard - 3  on 'Cash Flow Statements'.</t>
  </si>
  <si>
    <t>The  accompanying notes form an integral part of the financial statements.</t>
  </si>
  <si>
    <t>This is the Cash Flow Statement referred to in our report of even date</t>
  </si>
  <si>
    <t>Schedules to Balance Sheet as at 31st March, 2025</t>
  </si>
  <si>
    <t>Share capital</t>
  </si>
  <si>
    <t>Authorised shares</t>
  </si>
  <si>
    <t xml:space="preserve">___ equity shares of face value of Rs.__ each </t>
  </si>
  <si>
    <t xml:space="preserve"> </t>
  </si>
  <si>
    <t>Issued, subscribed and fully paid up shares</t>
  </si>
  <si>
    <t>___ equity shares of face value of Rs.__ each</t>
  </si>
  <si>
    <t>(a)</t>
  </si>
  <si>
    <t>Reconciliation of the shares outstanding at the beginning and at the end of the reporting period</t>
  </si>
  <si>
    <t>Equity shares</t>
  </si>
  <si>
    <t>Number</t>
  </si>
  <si>
    <t>Amount</t>
  </si>
  <si>
    <t>Opening balance at the beginning of the year</t>
  </si>
  <si>
    <t>Movement during the year</t>
  </si>
  <si>
    <t>Outstanding at the end of the year</t>
  </si>
  <si>
    <t>(b)</t>
  </si>
  <si>
    <t>Particulars of shareholders holding more than 5% shares</t>
  </si>
  <si>
    <t>Shareholders Name</t>
  </si>
  <si>
    <t>No. of shares</t>
  </si>
  <si>
    <t>% of holding</t>
  </si>
  <si>
    <t>(c)</t>
  </si>
  <si>
    <t>Promoters Shareholding</t>
  </si>
  <si>
    <t>Promoter name</t>
  </si>
  <si>
    <t xml:space="preserve">As at
March 31, 2024</t>
  </si>
  <si>
    <t xml:space="preserve">As at
March 31, 2023</t>
  </si>
  <si>
    <t>% Change during the year</t>
  </si>
  <si>
    <t>No. of Shares</t>
  </si>
  <si>
    <t>% of Total Shares</t>
  </si>
  <si>
    <t>Total</t>
  </si>
  <si>
    <t>Reserves and surplus</t>
  </si>
  <si>
    <t>1. General Reserve</t>
  </si>
  <si>
    <t>2. Share Premium</t>
  </si>
  <si>
    <t>[a]</t>
  </si>
  <si>
    <t>Surplus in the Statement of Profit and Loss</t>
  </si>
  <si>
    <t>Opening balance</t>
  </si>
  <si>
    <t>Add/(Less) : Profit for the year</t>
  </si>
  <si>
    <t xml:space="preserve">Add/(Less) : Adj. for Deferered tax </t>
  </si>
  <si>
    <t xml:space="preserve">Add/(Less) : Excess/short provi. for Income tax </t>
  </si>
  <si>
    <t>[b]</t>
  </si>
  <si>
    <t>[a] + [b]</t>
  </si>
  <si>
    <t xml:space="preserve">Long-term borrowings </t>
  </si>
  <si>
    <t>(A) Secured Loans</t>
  </si>
  <si>
    <t xml:space="preserve">b) Term loans </t>
  </si>
  <si>
    <t>(i) from banks</t>
  </si>
  <si>
    <t>a) Loans and advances from related parties &amp; Others</t>
  </si>
  <si>
    <t>b) From Directors</t>
  </si>
  <si>
    <t>Other long term liabilities</t>
  </si>
  <si>
    <t>(a) Trade payables (if there is figure then all disclosures as per Note 9)</t>
  </si>
  <si>
    <t>(b) Rent deposit</t>
  </si>
  <si>
    <t>(c) Others (specify nature).</t>
  </si>
  <si>
    <t>Long-term provisions</t>
  </si>
  <si>
    <t>(a) Provision for employee benefits</t>
  </si>
  <si>
    <t>(b) Others (specify nature).</t>
  </si>
  <si>
    <t>Short-term borrowings</t>
  </si>
  <si>
    <t xml:space="preserve">(A) Secured </t>
  </si>
  <si>
    <t>(a) OD</t>
  </si>
  <si>
    <t>(b) CC</t>
  </si>
  <si>
    <t>(c) Term loan</t>
  </si>
  <si>
    <t xml:space="preserve">(B) Unsecured </t>
  </si>
  <si>
    <t>(a) Loans and advances from related parties</t>
  </si>
  <si>
    <t>(b) Other loans and advances (specify nature)</t>
  </si>
  <si>
    <t>Trade Payables</t>
  </si>
  <si>
    <t>Total outstanding dues of micro enterprises and small enterprises</t>
  </si>
  <si>
    <t>Total outstanding dues of creditors other than micro enterprises and small enterprises</t>
  </si>
  <si>
    <t>Trade Payables ageing schedule as on 31.03.2026</t>
  </si>
  <si>
    <t>Outstanding for following periods from due date of payment</t>
  </si>
  <si>
    <t>Less than 1 year</t>
  </si>
  <si>
    <t>1-2  years</t>
  </si>
  <si>
    <t>2-3 years</t>
  </si>
  <si>
    <t>More than 3 years</t>
  </si>
  <si>
    <t>(i)MSME</t>
  </si>
  <si>
    <t>NOTE- 6 :</t>
  </si>
  <si>
    <t>TRADE PAYABALES</t>
  </si>
  <si>
    <t>(ii)Others</t>
  </si>
  <si>
    <t>(A) MSMEs</t>
  </si>
  <si>
    <t>(a) Less than 1 Year</t>
  </si>
  <si>
    <t>(iii) Disputed dues –MSME</t>
  </si>
  <si>
    <t>(b) 1-2 Years</t>
  </si>
  <si>
    <t>(iv) Disputed dues - Others</t>
  </si>
  <si>
    <t>(c) 2-3 Years</t>
  </si>
  <si>
    <t>(d) More than 3 Years</t>
  </si>
  <si>
    <t>Trade Payables ageing schedule as on 31.03.2025</t>
  </si>
  <si>
    <t>(B) Others</t>
  </si>
  <si>
    <t>(C) Disputed Dues - MSMEs</t>
  </si>
  <si>
    <t>(D) Disputed Dues - Others</t>
  </si>
  <si>
    <t xml:space="preserve">Notes :- (The ageing requirement shall not apply to the trade payables which are not due for 
payment.)</t>
  </si>
  <si>
    <t>1.  There are no “Unbilled” and ''Not due'' trade payables, hence the same are not disclosed in the ageing schedule.</t>
  </si>
  <si>
    <t>2. As declared and certified by the management, the creditors referred to in part (ii) above are either Traders or Non MSME  as at the end of the year.</t>
  </si>
  <si>
    <t>Current maturities of finance lease obligations</t>
  </si>
  <si>
    <t>Interest accrued but not due on borrowings</t>
  </si>
  <si>
    <t>Interest accrued and due on borrowings</t>
  </si>
  <si>
    <t>Statutory Dues payable</t>
  </si>
  <si>
    <t>Advance from customer</t>
  </si>
  <si>
    <t>Provision for taxation (net of advance tax)</t>
  </si>
  <si>
    <t>Short-term provisions</t>
  </si>
  <si>
    <t>(b) Provision for income tax</t>
  </si>
  <si>
    <t>(b) Provision for expenses</t>
  </si>
  <si>
    <t>(This space has been intentionally left blank)</t>
  </si>
  <si>
    <t>Property, Plant and Equipment and Intangible Assets</t>
  </si>
  <si>
    <t>For the year 2026-27</t>
  </si>
  <si>
    <t>Usefull life (years)</t>
  </si>
  <si>
    <t xml:space="preserve">Gross block </t>
  </si>
  <si>
    <t xml:space="preserve">         Accumulated depreciation</t>
  </si>
  <si>
    <t>Net block</t>
  </si>
  <si>
    <t>As at 1 April 2025</t>
  </si>
  <si>
    <t>Additions during the year</t>
  </si>
  <si>
    <t>Disposals during the year</t>
  </si>
  <si>
    <t>Property, Plant and Equipment</t>
  </si>
  <si>
    <t>Land</t>
  </si>
  <si>
    <t>Factory Building</t>
  </si>
  <si>
    <t>Plant &amp; Machinery</t>
  </si>
  <si>
    <t>Electric Equipments</t>
  </si>
  <si>
    <t>Computers</t>
  </si>
  <si>
    <t>Office equipment</t>
  </si>
  <si>
    <t>Furniture and fixtures</t>
  </si>
  <si>
    <t>Vehicles</t>
  </si>
  <si>
    <t>Intangible Assets</t>
  </si>
  <si>
    <t>Software</t>
  </si>
  <si>
    <t>Total - Current year</t>
  </si>
  <si>
    <t>Total - Previous year</t>
  </si>
  <si>
    <t>Notes:</t>
  </si>
  <si>
    <t>2. The Company has not revalued its Property, Plant and Equipment during the year ended March 31, 2026 and March 31, 2026.</t>
  </si>
  <si>
    <t>Dividend distribution tax</t>
  </si>
  <si>
    <t>Non-current investments</t>
  </si>
  <si>
    <t>As at</t>
  </si>
  <si>
    <t>(Also disclose aggregate amount of Quoted and Unquoted investments)</t>
  </si>
  <si>
    <t>(a) Investment property</t>
  </si>
  <si>
    <t>(b) Investments in Equity Instruments</t>
  </si>
  <si>
    <t>(c) Other non-current investments (specify nature)</t>
  </si>
  <si>
    <t>Deferred tax assets</t>
  </si>
  <si>
    <t>(Amount in ` hundreds)</t>
  </si>
  <si>
    <t xml:space="preserve">or </t>
  </si>
  <si>
    <t>Excess of depreciation on fixed assets in accounts over depreciation as per Income Tax Act, 1961</t>
  </si>
  <si>
    <t>Long-term loans and advances</t>
  </si>
  <si>
    <t>(b) Capital Advances</t>
  </si>
  <si>
    <t>(c) Loans and advances to related parties (giving details thereof)</t>
  </si>
  <si>
    <t>(d) Other loans and advances (specify nature)</t>
  </si>
  <si>
    <t>Other non-current assets</t>
  </si>
  <si>
    <t>Security Deposits</t>
  </si>
  <si>
    <t>Others</t>
  </si>
  <si>
    <t xml:space="preserve">Total </t>
  </si>
  <si>
    <t>Current Investment</t>
  </si>
  <si>
    <t>Secured / Unsecured - specify</t>
  </si>
  <si>
    <t>(a) Investments in Equity Instruments</t>
  </si>
  <si>
    <t>(b) Other investments (specify nature)</t>
  </si>
  <si>
    <t>Stock-in-trade</t>
  </si>
  <si>
    <t>Trade Receivables</t>
  </si>
  <si>
    <t>Outstanding for a period exceeding six months from the date they are due for payment</t>
  </si>
  <si>
    <t>Other receivables</t>
  </si>
  <si>
    <t>Trade Receivables ageing schedule as on 31.03.2026</t>
  </si>
  <si>
    <t>&lt; 6 months</t>
  </si>
  <si>
    <t>6 months-1 year</t>
  </si>
  <si>
    <t xml:space="preserve">	
1-2 years</t>
  </si>
  <si>
    <t>&gt; 3 years</t>
  </si>
  <si>
    <t xml:space="preserve">    Undisputed Trade receivables – considered good</t>
  </si>
  <si>
    <t xml:space="preserve">   Undisputed Trade Receivables – considered doubtful</t>
  </si>
  <si>
    <t xml:space="preserve">   Disputed Trade Receivables considered good</t>
  </si>
  <si>
    <t xml:space="preserve">   Disputed Trade Receivables considered doubtful</t>
  </si>
  <si>
    <t>Note:</t>
  </si>
  <si>
    <t>There are no “Unbilled” and ''Not due'' trade receivables, hence the same are not disclosed in the ageing schedule.</t>
  </si>
  <si>
    <t>Cash and bank equivalents</t>
  </si>
  <si>
    <t>Cash and cash equivalents</t>
  </si>
  <si>
    <t>Balances with banks - Current accounts</t>
  </si>
  <si>
    <t>Cash on hand</t>
  </si>
  <si>
    <t>Other bank balances</t>
  </si>
  <si>
    <t>Deposits with original maturity period of more than 3 months but less than 12 months</t>
  </si>
  <si>
    <t>Short-term loans and advances</t>
  </si>
  <si>
    <t xml:space="preserve">Unsecured, considered good </t>
  </si>
  <si>
    <t>(a) Loans and advances to related parties (giving details thereof)</t>
  </si>
  <si>
    <t>Advance Income-tax (net of provisons for tax)</t>
  </si>
  <si>
    <t>TDS Receivable</t>
  </si>
  <si>
    <t>TCS Receivable</t>
  </si>
  <si>
    <t>GST Receivable</t>
  </si>
  <si>
    <t>Prepaid expenses</t>
  </si>
  <si>
    <t>Schedules to Profit &amp; Loss A/c. for Financial year 20__ - __</t>
  </si>
  <si>
    <t xml:space="preserve"> For the year ended 31st March, 2026</t>
  </si>
  <si>
    <t xml:space="preserve"> For the year ended 31st March, 2025</t>
  </si>
  <si>
    <t>Sale of products (Net off sales return)</t>
  </si>
  <si>
    <t>DON’T SHOW VAT, GST ETC. HERE. SHOW NET REVENUE</t>
  </si>
  <si>
    <t xml:space="preserve">Sale of services </t>
  </si>
  <si>
    <t>Commission income</t>
  </si>
  <si>
    <t>Other Income</t>
  </si>
  <si>
    <t>Gain on Forex fluctuation (Net)</t>
  </si>
  <si>
    <t>Miscellaneous income</t>
  </si>
  <si>
    <t>Raw Material Consumed</t>
  </si>
  <si>
    <t xml:space="preserve">  Opening Stock</t>
  </si>
  <si>
    <t xml:space="preserve">  Purchases</t>
  </si>
  <si>
    <t xml:space="preserve">  Less: Closing Stock</t>
  </si>
  <si>
    <t>Purchase of stock-in-trade</t>
  </si>
  <si>
    <t>Traded goods</t>
  </si>
  <si>
    <t xml:space="preserve">Changes in inventories </t>
  </si>
  <si>
    <t>Inventories at the end of the year</t>
  </si>
  <si>
    <t>Finished goods</t>
  </si>
  <si>
    <t>Inventories at the beginning of the year</t>
  </si>
  <si>
    <t>Net (increase)/decrease in inventory</t>
  </si>
  <si>
    <t>Salaries and wages</t>
  </si>
  <si>
    <t>Remuneration to directors</t>
  </si>
  <si>
    <t>If TDS is deducted u/s 192B</t>
  </si>
  <si>
    <t>Contribution to provident and other funds</t>
  </si>
  <si>
    <t>Staff welfare expense</t>
  </si>
  <si>
    <t>Finance Cost</t>
  </si>
  <si>
    <t>Interest Paid to Bank</t>
  </si>
  <si>
    <t>Interest Paid to Other</t>
  </si>
  <si>
    <t>Other Borrowing Cost</t>
  </si>
  <si>
    <t>Interest on short payment of advance Income-Tax</t>
  </si>
  <si>
    <t>aaaa</t>
  </si>
  <si>
    <t>Advertisement Expenses</t>
  </si>
  <si>
    <t>Bad Debts</t>
  </si>
  <si>
    <t>Commission and Incentive Expenses</t>
  </si>
  <si>
    <t>Design and Development Service Expense</t>
  </si>
  <si>
    <t>Donation Expenses</t>
  </si>
  <si>
    <t>Electrical Expenses</t>
  </si>
  <si>
    <t>Electricity Expenses</t>
  </si>
  <si>
    <t>Entertainment Expenses</t>
  </si>
  <si>
    <t>Exhibition and Meeting Expense</t>
  </si>
  <si>
    <t>Freight &amp; Transportation Expenses</t>
  </si>
  <si>
    <t>Insurance Expenses</t>
  </si>
  <si>
    <t>Interest, Late Fees, penalty on Statutory Dues</t>
  </si>
  <si>
    <t>Job Work Charges</t>
  </si>
  <si>
    <t xml:space="preserve">Kasar and Vatav </t>
  </si>
  <si>
    <t>Legal &amp; Professional Expenses</t>
  </si>
  <si>
    <t>Office Expenses</t>
  </si>
  <si>
    <t>Other Membership, Licence/Certification and Subscription Fees</t>
  </si>
  <si>
    <t>Petrol Expenses</t>
  </si>
  <si>
    <t>Postage and Courier Expenses</t>
  </si>
  <si>
    <t>Rates and Taxes</t>
  </si>
  <si>
    <t>Remuneration to Auditors</t>
  </si>
  <si>
    <t>Rent Expenses</t>
  </si>
  <si>
    <t>Repairs and Maintenance</t>
  </si>
  <si>
    <t xml:space="preserve">    Repairs to Buildings</t>
  </si>
  <si>
    <t xml:space="preserve">    Repairs of Machinery</t>
  </si>
  <si>
    <t xml:space="preserve">    Repairs of Others</t>
  </si>
  <si>
    <t>ROC Compliance Fees</t>
  </si>
  <si>
    <t>Security and Safety Charges</t>
  </si>
  <si>
    <t>Stationery and Printing Expenses</t>
  </si>
  <si>
    <t>Sundry Balance Written off</t>
  </si>
  <si>
    <t>Tea and Refreshment Expenses</t>
  </si>
  <si>
    <t>Telephone Expenses</t>
  </si>
  <si>
    <t>Travelling Expenses</t>
  </si>
  <si>
    <t xml:space="preserve">   - Domestic</t>
  </si>
  <si>
    <t xml:space="preserve">   - Foreign</t>
  </si>
  <si>
    <t>Warranty Expense</t>
  </si>
  <si>
    <t>Earnings per share</t>
  </si>
  <si>
    <t xml:space="preserve">Net Profit After Tax attributable to shareholders </t>
  </si>
  <si>
    <t>Nominal value per share (in Rs.)</t>
  </si>
  <si>
    <t>Weighted average number of equity shares outstanding during the year</t>
  </si>
  <si>
    <t>Basic earnings per share (in Rs.)</t>
  </si>
  <si>
    <t>Diluted earnings per share (in Rs.)</t>
  </si>
  <si>
    <t>Summary of other explanatory notes for the year ended 31st March, 2026</t>
  </si>
  <si>
    <t>Earnings in foreign currency</t>
  </si>
  <si>
    <t>31/03/2026</t>
  </si>
  <si>
    <t>Expenditure in foreign currency</t>
  </si>
  <si>
    <t>C. I. F. Value of Imports</t>
  </si>
  <si>
    <t>xx</t>
  </si>
  <si>
    <t>Employee Benefits</t>
  </si>
  <si>
    <t>No.</t>
  </si>
  <si>
    <t>Current Year</t>
  </si>
  <si>
    <t>Prev. Year</t>
  </si>
  <si>
    <t>(i)</t>
  </si>
  <si>
    <t>Wages and Salaries</t>
  </si>
  <si>
    <t>(ii)</t>
  </si>
  <si>
    <t>Paid Annual Leave</t>
  </si>
  <si>
    <t>(iii)</t>
  </si>
  <si>
    <t>Profit Sharing and Bonus payments</t>
  </si>
  <si>
    <t>(iv)</t>
  </si>
  <si>
    <t>Perquisites - Medical Care, Housing, Cars</t>
  </si>
  <si>
    <t>(v)</t>
  </si>
  <si>
    <t>Defined Contribution Plans</t>
  </si>
  <si>
    <t xml:space="preserve">Of this, Payments to KMP </t>
  </si>
  <si>
    <t>Related party disclosure</t>
  </si>
  <si>
    <t>a) List of related parties and relationships</t>
  </si>
  <si>
    <t>Description of relationship</t>
  </si>
  <si>
    <t>Names of related parties</t>
  </si>
  <si>
    <t>Key management personnel</t>
  </si>
  <si>
    <t>Ms. A, Director</t>
  </si>
  <si>
    <t>Ms. B, Director</t>
  </si>
  <si>
    <t xml:space="preserve">Mr. C, Director </t>
  </si>
  <si>
    <t>Other</t>
  </si>
  <si>
    <t xml:space="preserve">Ms. A, </t>
  </si>
  <si>
    <t>b) Details of related party transactions in the ordinary course of the business</t>
  </si>
  <si>
    <t>Nature of transactions</t>
  </si>
  <si>
    <t>In accordance with AS 18, disclosures in respect of transactions with identified related parties are given only for such period during which the relationship existed. Related party relationships as given above are as identified by the Company and relied upon by the auditors.</t>
  </si>
  <si>
    <t>RATIO</t>
  </si>
  <si>
    <t>Numerator</t>
  </si>
  <si>
    <t>Amount (Rs.)</t>
  </si>
  <si>
    <t>Current Year 2026-27</t>
  </si>
  <si>
    <t>Previous Year 2025-26</t>
  </si>
  <si>
    <t>Variance</t>
  </si>
  <si>
    <t>Denominator</t>
  </si>
  <si>
    <t>Current Ratio (In times)</t>
  </si>
  <si>
    <t>Total Current Assets</t>
  </si>
  <si>
    <t>Total Current Liabilities</t>
  </si>
  <si>
    <t>Debt-Equity Ratio (In times)</t>
  </si>
  <si>
    <t>Total Debt</t>
  </si>
  <si>
    <t>Shareholder'S Equity</t>
  </si>
  <si>
    <t xml:space="preserve">Earning Available for Debt Service </t>
  </si>
  <si>
    <t>Debt Service Coverage Ratio (In Times)</t>
  </si>
  <si>
    <t>Debt Service</t>
  </si>
  <si>
    <t>Return On Equity Ratio (In % )</t>
  </si>
  <si>
    <t>Net Profit After Tax</t>
  </si>
  <si>
    <t>Averages Shareholders Equity</t>
  </si>
  <si>
    <t>Inventory Turnover Ratio (In Times)</t>
  </si>
  <si>
    <t xml:space="preserve">Cost Of Goods Sold </t>
  </si>
  <si>
    <t>Average Inventories</t>
  </si>
  <si>
    <t>Trade Receivables Turnover Ratio (In Times)</t>
  </si>
  <si>
    <t>Revenue from Operations</t>
  </si>
  <si>
    <t>Average Trade Receivables</t>
  </si>
  <si>
    <t>Trade Payables Turnover Ratio (In Times)</t>
  </si>
  <si>
    <t>Net Credit Purchases</t>
  </si>
  <si>
    <t>Average Trade Payables</t>
  </si>
  <si>
    <t>Net Capital Turnover Ratio (In Times)</t>
  </si>
  <si>
    <t xml:space="preserve">Working Capital </t>
  </si>
  <si>
    <t>Net Profit Ratio (In % )</t>
  </si>
  <si>
    <t>Return On Capital Employed (In % )</t>
  </si>
  <si>
    <t>Earnings Before Interst &amp; Taxes</t>
  </si>
  <si>
    <t>Capital Employed</t>
  </si>
  <si>
    <t>Return On Investment (In % )</t>
  </si>
  <si>
    <t>Return/ Profit/ Earnings</t>
  </si>
  <si>
    <t>Average Investment Fund</t>
  </si>
  <si>
    <t>For Chart Flow</t>
  </si>
  <si>
    <t>K:\SOFTWARE\AUDIT\FINANCIAL</t>
  </si>
  <si>
    <t>NCE</t>
  </si>
  <si>
    <t>K:\SOFTWARE\AUDIT\AUDIT REPORT\FORMAT AR_NCE &amp; LLP</t>
  </si>
  <si>
    <t>Category of Assets</t>
  </si>
  <si>
    <t>Rate of Depreciation</t>
  </si>
  <si>
    <t>Opening WDV</t>
  </si>
  <si>
    <t xml:space="preserve">Additions/ (deductions) </t>
  </si>
  <si>
    <t>Depreciation</t>
  </si>
  <si>
    <t>Closing WDV</t>
  </si>
  <si>
    <t>Used for 180 days or more</t>
  </si>
  <si>
    <t>Less than 180 days</t>
  </si>
  <si>
    <t>Plant &amp; machinery</t>
  </si>
  <si>
    <t>Softaware</t>
  </si>
  <si>
    <t>Computation of Deferred Tax for the year ended 31st March, 2026</t>
  </si>
  <si>
    <t>Computation of Deferred Tax Assets / (Liability)</t>
  </si>
  <si>
    <t>WDV as on 31st March 2024 - as per Companies Act, 2013</t>
  </si>
  <si>
    <t>WDV as on 31st March 2024 - as per Income Tax Act, 1961</t>
  </si>
  <si>
    <t xml:space="preserve">Preliminary Expenses balances </t>
  </si>
  <si>
    <t>Timing Difference</t>
  </si>
  <si>
    <t>Tax on above at applicable Tax rate 25.168%</t>
  </si>
  <si>
    <t>Deferred Tax Assets to be shown in Balance Sheet</t>
  </si>
  <si>
    <t>Opening Deferred Tax</t>
  </si>
  <si>
    <t>Deferred Tax to be transferred to Profit and Loss Account</t>
  </si>
  <si>
    <t>INDEPENDENT AUDITOR'S REPORT</t>
  </si>
  <si>
    <t>Illustrative statutory audit report for a company</t>
  </si>
  <si>
    <t>[Illustrative editable format – tailor wording to entity-specific facts, reporting framework, materiality, modifications and legal applicability before issue.]</t>
  </si>
  <si>
    <t>Opinion</t>
  </si>
  <si>
    <t>We have audited the accompanying financial statements of KWIKTEAM SUPPORT SERVICES PRIVATE LIMITED ("the Company"), which comprise the Balance Sheet as at 31 March, 2026, the Statement of Profit and Loss, the Cash Flow Statement for the year then ended, and notes to the financial statements, including a summary of material accounting policies and other explanatory information. In our opinion and to the best of our information and according to the explanations given to us, the aforesaid financial statements give the information required by the Companies Act, 2013 ("the Act") in the manner so required and give a true and fair view in conformity with the accounting principles generally accepted in India, of the state of affairs of the Company as at 31 March, 2026, and of its [profit/loss] and its cash flows for the year ended on that date.</t>
  </si>
  <si>
    <t>Basis for Opinion</t>
  </si>
  <si>
    <t>We conducted our audit in accordance with the Standards on Auditing specified under section 143(10) of the Act. Our responsibilities under those Standards are further described in the section titled 'Auditor's Responsibilities for the Audit of the Financial Statements' below. We are independent of the Company in accordance with the Code of Ethics issued by the Institute of Chartered Accountants of India together with the ethical requirements that are relevant to our audit of the financial statements, and we have fulfilled our other ethical responsibilities in accordance with these requirements and the Code of Ethics. We believe that the audit evidence we have obtained is sufficient and appropriate to provide a basis for our opinion.</t>
  </si>
  <si>
    <t>Key Audit Matters</t>
  </si>
  <si>
    <t>[Insert Key Audit Matter(s), if applicable, in the format: 'Why the matter was considered to be one of most significance in the audit' and 'How the matter was addressed in the audit'. If no key audit matters are required to be communicated, replace this block with an appropriate statement.]</t>
  </si>
  <si>
    <t>Information Other than the Financial Statements and Auditor's Report Thereon</t>
  </si>
  <si>
    <t>The Company's Board of Directors is responsible for the other information. The other information comprises the information included in the Board's Report and its annexures, but does not include the financial statements and our auditor's report thereon. Our opinion on the financial statements does not cover the other information and we do not express any form of assurance conclusion thereon. In connection with our audit, our responsibility is to read the other information when it becomes available and, in doing so, consider whether the other information is materially inconsistent with the financial statements or our knowledge obtained during the audit or otherwise appears to be materially misstated.</t>
  </si>
  <si>
    <t>Responsibilities of Management and Those Charged with Governance for the Financial Statements</t>
  </si>
  <si>
    <t>The Company's Board of Directors is responsible for the matters stated in section 134(5) of the Act with respect to the preparation of these financial statements that give a true and fair view of the financial position, financial performance and cash flows of the Company in accordance with the accounting principles generally accepted in India, including the Accounting Standards specified under section 133 of the Act, read with the Companies (Accounts) Rules, 2014. This responsibility also includes maintenance of adequate accounting records, safeguarding of assets, prevention and detection of frauds and other irregularities, selection and application of appropriate accounting policies, making reasonable and prudent estimates, and designing, implementing and maintaining adequate internal financial controls.</t>
  </si>
  <si>
    <t>Auditor's Responsibilities for the Audit of the Financial Statements</t>
  </si>
  <si>
    <t>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 guarantee that an audit conducted in accordance with Standards on Auditing will always detect a material misstatement when it exists. Misstatements can arise from fraud or error and are considered material if they could reasonably be expected to influence the economic decisions of users taken on the basis of these financial statements. [Insert the full or abridged SA 700 responsibility wording preferred by your firm.]</t>
  </si>
  <si>
    <t>Report on Other Legal and Regulatory Requirements</t>
  </si>
  <si>
    <t xml:space="preserve">1. As required by the Companies (Auditor's Report) Order, 2020 ("CARO 2020"), issued by the Central Government of India in terms of section 143(11) of the Act, we give in Annexure A a statement on the matters specified in paragraphs 3 and 4 of the Order, to the extent applicable.
2. As required by section 143(3) of the Act, we report that: (a) we have sought and obtained all the information and explanations which to the best of our knowledge and belief were necessary; (b) in our opinion, proper books of account as required by law have been kept; (c) the Balance Sheet, Statement of Profit and Loss and Cash Flow Statement are in agreement with the books of account; (d) in our opinion, the aforesaid financial statements comply with the Accounting Standards specified under section 133 of the Act; (e) on the basis of written representations received, none of the directors is disqualified as on 31 March, 2026 under section 164(2); (f) with respect to adequacy and operating effectiveness of internal financial controls over financial reporting, refer Annexure B; (g) [insert reporting under section 197(16), if applicable].
3. With respect to the other matters to be included in the Auditor's Report in accordance with Rule 11 of the Companies (Audit and Auditors) Rules, 2014, in our opinion and to the best of our information and according to the explanations given to us: (i) the Company has disclosed the impact of pending litigations, if any; (ii) the Company has made provision, as required, for material foreseeable losses, if any, on long-term contracts including derivative contracts; (iii) there has been no delay in transferring amounts required to be transferred to the Investor Education and Protection Fund, if any; (iv) management representations regarding funds routed through intermediaries / funding parties have been obtained and nothing has come to our notice causing us to believe the representations are materially misstated; (v) dividend declared or paid during the year is in compliance with section 123, if applicable; and (vi) the Company has [used / not used] accounting software with an audit trail (edit log) feature as required under Rule 11(g), and the reporting thereon should be tailored to the facts for the year under audit.</t>
  </si>
  <si>
    <t xml:space="preserve">For V J DESAI &amp; CO. LLP
Chartered Accountants
Firm Registration No.: 123456W
VIJAY J DESAI
Partner / Proprietor
Membership No.: 
UDIN: 
Place: SURAT
Date: 16/05/2026</t>
  </si>
  <si>
    <t>Insert modified opinion, emphasis of matter, other matter, material uncertainty related to going concern, KAM details and annexure references where required.</t>
  </si>
  <si>
    <t>Annexure A to the Independent Auditor's Report</t>
  </si>
  <si>
    <t>Illustrative CARO 2020 clause-wise reporting matrix</t>
  </si>
  <si>
    <t>Clause</t>
  </si>
  <si>
    <t>Para</t>
  </si>
  <si>
    <t>Topic</t>
  </si>
  <si>
    <t>Illustrative reporting block (editable)</t>
  </si>
  <si>
    <t>WP / Ref.</t>
  </si>
  <si>
    <t>3(i)</t>
  </si>
  <si>
    <t>Property, Plant and Equipment / Intangible Assets</t>
  </si>
  <si>
    <t>[Insert clause-wise reporting on records, physical verification, title deeds, revaluation and benami proceedings.]</t>
  </si>
  <si>
    <t>[Ref]</t>
  </si>
  <si>
    <t>3(ii)</t>
  </si>
  <si>
    <t>Inventory and working capital limits</t>
  </si>
  <si>
    <t>[Insert reporting on physical verification of inventory, discrepancies and quarterly returns/statements filed with banks or financial institutions, if applicable.]</t>
  </si>
  <si>
    <t>3(iii)</t>
  </si>
  <si>
    <t>Investments, guarantees, securities, loans and advances</t>
  </si>
  <si>
    <t>[Insert reporting on terms, schedule of repayment, overdue amounts, renewals/evergreening and loans repayable on demand, as applicable.]</t>
  </si>
  <si>
    <t>3(iv)</t>
  </si>
  <si>
    <t>Compliance with sections 185 and 186</t>
  </si>
  <si>
    <t>[Insert conclusion on loans, investments, guarantees and security covered under the Act.]</t>
  </si>
  <si>
    <t>3(v)</t>
  </si>
  <si>
    <t>Deposits / deemed deposits</t>
  </si>
  <si>
    <t>[Insert reporting on acceptance of deposits or amounts deemed to be deposits and compliance with directives and sections 73 to 76.]</t>
  </si>
  <si>
    <t>3(vi)</t>
  </si>
  <si>
    <t>Cost records</t>
  </si>
  <si>
    <t>[Insert whether maintenance of cost records has been specified and whether such accounts and records have been made and maintained.]</t>
  </si>
  <si>
    <t>3(vii)</t>
  </si>
  <si>
    <t>Statutory dues</t>
  </si>
  <si>
    <t>[Insert reporting on regularity of undisputed statutory dues and disputed dues.]</t>
  </si>
  <si>
    <t>3(viii)</t>
  </si>
  <si>
    <t>Previously unrecorded income surrendered in tax assessments</t>
  </si>
  <si>
    <t>[Insert whether any transactions not recorded in books have been surrendered or disclosed as income in tax assessments and treatment thereof.]</t>
  </si>
  <si>
    <t>3(ix)</t>
  </si>
  <si>
    <t>Borrowings and utilisation of funds</t>
  </si>
  <si>
    <t>[Insert reporting on defaults in repayment, wilful defaulter status, application of term loans, utilisation of short-term funds and funds raised for subsidiaries/associates/JVs.]</t>
  </si>
  <si>
    <t>3(x)</t>
  </si>
  <si>
    <t>Funds raised through IPO / FPO / debt instruments / private placement</t>
  </si>
  <si>
    <t>[Insert reporting on utilisation of funds and compliance with sections 42 and 62.]</t>
  </si>
  <si>
    <t>3(xi)</t>
  </si>
  <si>
    <t>Fraud and whistle-blower complaints</t>
  </si>
  <si>
    <t>[Insert reporting on fraud by/on the company, section 143(12) filings and whistle-blower complaints considered.]</t>
  </si>
  <si>
    <t>3(xii)</t>
  </si>
  <si>
    <t>Nidhi company requirements</t>
  </si>
  <si>
    <t>[Insert only if applicable; otherwise state not applicable.]</t>
  </si>
  <si>
    <t>3(xiii)</t>
  </si>
  <si>
    <t>Related party transactions</t>
  </si>
  <si>
    <t>[Insert reporting on compliance with sections 177 and 188 and disclosure in the financial statements.]</t>
  </si>
  <si>
    <t>3(xiv)</t>
  </si>
  <si>
    <t>Internal audit system</t>
  </si>
  <si>
    <t>[Insert reporting on adequacy of internal audit system and whether internal audit reports were considered.]</t>
  </si>
  <si>
    <t>3(xv)</t>
  </si>
  <si>
    <t>Non-cash transactions with directors</t>
  </si>
  <si>
    <t>[Insert reporting on compliance with section 192.]</t>
  </si>
  <si>
    <t>3(xvi)</t>
  </si>
  <si>
    <t>Registration under RBI Act / Core Investment Company</t>
  </si>
  <si>
    <t>[Insert reporting where applicable.]</t>
  </si>
  <si>
    <t>3(xvii)</t>
  </si>
  <si>
    <t>Cash losses</t>
  </si>
  <si>
    <t>[Insert cash losses in the current and immediately preceding financial year, if any.]</t>
  </si>
  <si>
    <t>3(xviii)</t>
  </si>
  <si>
    <t>Resignation of statutory auditors</t>
  </si>
  <si>
    <t>[Insert reporting on issues considered due to auditor resignation, if any.]</t>
  </si>
  <si>
    <t>3(xix)</t>
  </si>
  <si>
    <t>Material uncertainty in meeting liabilities</t>
  </si>
  <si>
    <t>[Insert reporting on capability of meeting liabilities due within one year.]</t>
  </si>
  <si>
    <t>3(xx)</t>
  </si>
  <si>
    <t>CSR obligations</t>
  </si>
  <si>
    <t>[Insert reporting on unspent CSR amounts and transfers, where applicable.]</t>
  </si>
  <si>
    <t>Edit clause applicability and wording based on company size, exemptions, CARO applicability and audit conclusions. Replace non-applicable rows with explicit 'Not applicable' conclusions where appropriate.</t>
  </si>
  <si>
    <t>Annexure B to the Independent Auditor's Report</t>
  </si>
  <si>
    <t>Illustrative report on internal financial controls with reference to financial statements</t>
  </si>
  <si>
    <t>Report on the Internal Financial Controls with reference to Financial Statements</t>
  </si>
  <si>
    <t>We have audited the internal financial controls with reference to financial statements of KWIKTEAM SUPPORT SERVICES PRIVATE LIMITED as of 31 March, 2026 in conjunction with our audit of the financial statements of the Company for the year ended on that date.</t>
  </si>
  <si>
    <t>Management's Responsibility for Internal Financial Controls</t>
  </si>
  <si>
    <t>The Company's management is responsible for establishing and maintaining internal financial controls based on the criteria established by the Company considering the essential components of internal control stated in the Guidance Note on Audit of Internal Financial Controls Over Financial Reporting issued by the Institute of Chartered Accountants of India. These responsibilities include the design, implementation and maintenance of adequate internal financial controls that were operating effectively for ensuring the orderly and efficient conduct of business, including adherence to company policies, safeguarding of assets, prevention and detection of frauds and errors, accuracy and completeness of accounting records, and timely preparation of reliable financial information.</t>
  </si>
  <si>
    <t>Auditor's Responsibility</t>
  </si>
  <si>
    <t>Our responsibility is to express an opinion on the Company's internal financial controls with reference to financial statements based on our audit. We conducted our audit in accordance with the Guidance Note on Audit of Internal Financial Controls Over Financial Reporting and the Standards on Auditing, to the extent applicable. Those standards and the Guidance Note require that we plan and perform the audit to obtain reasonable assurance about whether adequate internal financial controls were established and maintained and whether such controls operated effectively in all material respects.</t>
  </si>
  <si>
    <t>Meaning of Internal Financial Controls with reference to Financial Statements</t>
  </si>
  <si>
    <t>A company's internal financial controls with reference to financial statements is a process designed to provide reasonable assurance regarding the reliability of financial reporting and the preparation of financial statements for external purposes in accordance with generally accepted accounting principles. Such controls include policies and procedures that (1) pertain to the maintenance of records that accurately and fairly reflect transactions; (2) provide reasonable assurance that transactions are recorded as necessary to permit preparation of financial statements; and (3) provide reasonable assurance regarding prevention or timely detection of unauthorised acquisition, use or disposition of assets.</t>
  </si>
  <si>
    <t>Inherent Limitations of Internal Financial Controls</t>
  </si>
  <si>
    <t>Because of the inherent limitations of internal financial controls with reference to financial statements, including the possibility of collusion or management override of controls, material misstatements due to error or fraud may occur and not be detected. Also, projections of any evaluation to future periods are subject to the risk that the controls may become inadequate because of changes in conditions or that the degree of compliance with the policies or procedures may deteriorate.</t>
  </si>
  <si>
    <t>In our opinion, the Company has, in all material respects, adequate internal financial controls with reference to financial statements and such internal financial controls were operating effectively as at 31 March, 2026, based on the internal control criteria established by the Company considering the essential components of internal control stated in the Guidance Note on Audit of Internal Financial Controls Over Financial Reporting issued by the Institute of Chartered Accountants of India.</t>
  </si>
  <si>
    <t>Modify or qualify this annexure where a material weakness or reporting exception exists.</t>
  </si>
  <si>
    <t>FORM NO. 3CA</t>
  </si>
  <si>
    <t>Audit report under section 44AB in a case where accounts have been audited under any other law</t>
  </si>
  <si>
    <t>[Illustrative format aligned to the current official form text. Tailor the wording and annexures before final issue.]</t>
  </si>
  <si>
    <t>1. I / We report that the statutory audit of M/s. KWIKTEAM SUPPORT SERVICES PRIVATE LIMITED, SURAT, GUJARAT, PAN: AABCK1234Z was conducted by V J DESAI &amp; CO. LLP in pursuance of the provisions of the Companies Act, 2013, and I / We annex hereto a copy of the audit report dated 16/05/2026 along with a copy of each of the audited Statement of Profit and Loss / Income and Expenditure Account, the audited Balance Sheet and documents declared by the said Act to be part of, or annexed to, such accounts.</t>
  </si>
  <si>
    <t>2. The statement of particulars required to be furnished under section 44AB is annexed herewith in Form No. 3CD.</t>
  </si>
  <si>
    <t>3. In my / our opinion and to the best of my / our information and according to examination of books of account including other relevant documents and explanations given to me / us, the particulars given in the said Form No. 3CD are true and correct subject to the following observations / qualifications, if any: (a) [ ] (b) [ ] (c) [ ].</t>
  </si>
  <si>
    <t xml:space="preserve">Signature and stamp / seal of the signatory
Place: SURAT    Name of the signatory: VIJAY J DESAI
Date: 16/05/2026      Full address: SURAT, GUJARAT
Membership No. / Certificate of Practice / Authority: </t>
  </si>
  <si>
    <t>Notes: Delete whichever is not applicable. Where any requirement is answered in the negative or with qualification, give reasons. The signatory should indicate the reference under which he / she is entitled to sign the report.</t>
  </si>
  <si>
    <t>FORM NO. 3CD – PART A</t>
  </si>
  <si>
    <t>Statement of particulars required to be furnished under section 44AB of the Income-tax Act, 1961</t>
  </si>
  <si>
    <t>Editable Response</t>
  </si>
  <si>
    <t>Ref.</t>
  </si>
  <si>
    <t>1</t>
  </si>
  <si>
    <t>Name of the assessee</t>
  </si>
  <si>
    <t>[Edit response]</t>
  </si>
  <si>
    <t>2</t>
  </si>
  <si>
    <t>Address</t>
  </si>
  <si>
    <t>3</t>
  </si>
  <si>
    <t>Permanent Account Number or Aadhaar Number</t>
  </si>
  <si>
    <t>4</t>
  </si>
  <si>
    <t>Whether liable to pay indirect tax (including GST); if yes, furnish registration number / GST number / other ID</t>
  </si>
  <si>
    <t>5</t>
  </si>
  <si>
    <t>Status</t>
  </si>
  <si>
    <t>6</t>
  </si>
  <si>
    <t>Previous year (from / to)</t>
  </si>
  <si>
    <t>7</t>
  </si>
  <si>
    <t>8</t>
  </si>
  <si>
    <t>Relevant clause of section 44AB under which audit conducted</t>
  </si>
  <si>
    <t>8A</t>
  </si>
  <si>
    <t>Whether opted for taxation under section 115BA / 115BAA / 115BAB / 115BAC / 115BAD / 115BAE</t>
  </si>
  <si>
    <t>Use the annexure and control sheets to maintain consistency across the tax audit report, financial statements and clause-wise disclosures.</t>
  </si>
  <si>
    <t>FORM NO. 3CD – PART B (Clauses 9 to 20)</t>
  </si>
  <si>
    <t>Editable clause-wise response matrix</t>
  </si>
  <si>
    <t>Particulars / requirement</t>
  </si>
  <si>
    <t>Editable response / conclusion</t>
  </si>
  <si>
    <t>Annexure Ref.</t>
  </si>
  <si>
    <t>9(a)</t>
  </si>
  <si>
    <t>If firm or association of persons, names of partners / members and their profit-sharing ratios</t>
  </si>
  <si>
    <t>[Insert response / conclusion / N.A. / see annexure]</t>
  </si>
  <si>
    <t>3CD_Annx_Partners_9</t>
  </si>
  <si>
    <t>9(b)</t>
  </si>
  <si>
    <t>Changes in partners / members or profit-sharing ratio since last date of preceding year</t>
  </si>
  <si>
    <t>10(a)</t>
  </si>
  <si>
    <t>Nature of business or profession carried on during the previous year</t>
  </si>
  <si>
    <t>10(b)</t>
  </si>
  <si>
    <t>Changes in the nature of business or profession</t>
  </si>
  <si>
    <t>11(a)</t>
  </si>
  <si>
    <t>Whether books of account are prescribed under section 44AA; if yes, list of books</t>
  </si>
  <si>
    <t>11(b)</t>
  </si>
  <si>
    <t>List of books of account maintained and addresses where kept, including system-generated books</t>
  </si>
  <si>
    <t>11(c)</t>
  </si>
  <si>
    <t>List of books of account and nature of relevant documents examined</t>
  </si>
  <si>
    <t>12</t>
  </si>
  <si>
    <t>Whether profit and loss account includes profits assessable on presumptive basis; if yes, amount and relevant sections (including 44AD, 44ADA, 44AE, 44BBC etc.)</t>
  </si>
  <si>
    <t>13(a)</t>
  </si>
  <si>
    <t>Method of accounting employed</t>
  </si>
  <si>
    <t>13(b)</t>
  </si>
  <si>
    <t>Whether there was any change in method of accounting vis-a-vis immediately preceding year</t>
  </si>
  <si>
    <t>13(c)</t>
  </si>
  <si>
    <t>If yes, details of change and effect on profit or loss</t>
  </si>
  <si>
    <t>13(d)</t>
  </si>
  <si>
    <t>Whether any adjustment is required for compliance with ICDS notified under section 145(2)</t>
  </si>
  <si>
    <t>13(e)</t>
  </si>
  <si>
    <t>If yes, give details of such adjustments</t>
  </si>
  <si>
    <t>13(f)</t>
  </si>
  <si>
    <t>Disclosure as per ICDS (I, II, III, IV, V, VII, IX and X)</t>
  </si>
  <si>
    <t>14(a)</t>
  </si>
  <si>
    <t>Method of valuation of closing stock employed in the previous year</t>
  </si>
  <si>
    <t>14(b)</t>
  </si>
  <si>
    <t>Deviation from section 145A method and effect on profit or loss</t>
  </si>
  <si>
    <t>15</t>
  </si>
  <si>
    <t>Particulars of capital asset converted into stock-in-trade</t>
  </si>
  <si>
    <t>16</t>
  </si>
  <si>
    <t>Amounts not credited to profit and loss account but taxable / chargeable to tax</t>
  </si>
  <si>
    <t>17</t>
  </si>
  <si>
    <t>Land or building transferred for consideration less than stamp duty value / assessable value</t>
  </si>
  <si>
    <t>18</t>
  </si>
  <si>
    <t>Particulars of depreciation allowable under the Income-tax Act, 1961</t>
  </si>
  <si>
    <t>3CD_Annx_Depn_18</t>
  </si>
  <si>
    <t>19</t>
  </si>
  <si>
    <t>Amounts admissible under specific sections</t>
  </si>
  <si>
    <t>3CD_Annx_Deduction_19_33</t>
  </si>
  <si>
    <t>20(a)</t>
  </si>
  <si>
    <t>Bonus or commission paid to employees where otherwise payable as profits or dividend</t>
  </si>
  <si>
    <t>20(b)</t>
  </si>
  <si>
    <t>Employees' contributions to funds referred to in section 36(1)(va)</t>
  </si>
  <si>
    <t>3CD_Annx_Disallow_21_26</t>
  </si>
  <si>
    <t>Tip: Use explicit 'Not applicable' conclusions for omitted / inapplicable clauses, and cross-reference supporting annexures or working papers in the final column.</t>
  </si>
  <si>
    <t>FORM NO. 3CD – PART B (Clauses 21 to 30C)</t>
  </si>
  <si>
    <t>21(a)</t>
  </si>
  <si>
    <t>Amounts debited to P&amp;L account in the nature of capital, personal, political advertisement, club expenses, penalties / fines, compounding fees, prohibited benefits / perquisites and settlement expenditure</t>
  </si>
  <si>
    <t>21(b)</t>
  </si>
  <si>
    <t>Amounts inadmissible under section 40(a)</t>
  </si>
  <si>
    <t>21(c)</t>
  </si>
  <si>
    <t>Amounts inadmissible under section 40(b) / 40(ba)</t>
  </si>
  <si>
    <t>21(d)</t>
  </si>
  <si>
    <t>Disallowance / deemed income under section 40A(3) / 40A(3A)</t>
  </si>
  <si>
    <t>21(e)</t>
  </si>
  <si>
    <t>Provision for gratuity not allowable under section 40A(7)</t>
  </si>
  <si>
    <t>21(f)</t>
  </si>
  <si>
    <t>Employer contribution not allowable under section 40A(9)</t>
  </si>
  <si>
    <t>21(g)</t>
  </si>
  <si>
    <t>Particulars of contingent liabilities</t>
  </si>
  <si>
    <t>21(h)</t>
  </si>
  <si>
    <t>Deduction inadmissible under section 14A</t>
  </si>
  <si>
    <t>21(i)</t>
  </si>
  <si>
    <t>Amount inadmissible under proviso to section 36(1)(iii)</t>
  </si>
  <si>
    <t>22</t>
  </si>
  <si>
    <t>MSMED Act interest inadmissible / amount payable to micro or small enterprise and overdue amount</t>
  </si>
  <si>
    <t>3CD_Annx_MSME_22_23</t>
  </si>
  <si>
    <t>23</t>
  </si>
  <si>
    <t>Payments made to persons specified under section 40A(2)(b)</t>
  </si>
  <si>
    <t>24</t>
  </si>
  <si>
    <t>Amounts deemed to be profits and gains under section 32AD / 33AB / 33ABA / 33AC</t>
  </si>
  <si>
    <t>25</t>
  </si>
  <si>
    <t>Any amount of profit chargeable under section 41 and computation thereof</t>
  </si>
  <si>
    <t>26</t>
  </si>
  <si>
    <t>Amounts referred to in section 43B</t>
  </si>
  <si>
    <t>3CD_Annx_43B_26</t>
  </si>
  <si>
    <t>27(a)</t>
  </si>
  <si>
    <t>CENVAT credits availed / utilised and treatment in accounts</t>
  </si>
  <si>
    <t>27(b)</t>
  </si>
  <si>
    <t>Prior period income or expenditure credited or debited to the profit and loss account</t>
  </si>
  <si>
    <t>29A</t>
  </si>
  <si>
    <t>Any amount includible under section 56(2)(ix)</t>
  </si>
  <si>
    <t>29B</t>
  </si>
  <si>
    <t>Any amount includible under section 56(2)(x)</t>
  </si>
  <si>
    <t>30</t>
  </si>
  <si>
    <t>Amount borrowed on hundi repaid otherwise than through account payee cheque</t>
  </si>
  <si>
    <t>30A</t>
  </si>
  <si>
    <t>Primary adjustment to transfer price under section 92CE</t>
  </si>
  <si>
    <t>30B</t>
  </si>
  <si>
    <t>Interest expenditure under section 94B</t>
  </si>
  <si>
    <t>30C</t>
  </si>
  <si>
    <t>Impermissible avoidance arrangement under section 96</t>
  </si>
  <si>
    <t>FORM NO. 3CD – PART B (Clauses 31 to 44)</t>
  </si>
  <si>
    <t>31(a)</t>
  </si>
  <si>
    <t>Loans or deposits exceeding limit under section 269SS taken or accepted during the previous year</t>
  </si>
  <si>
    <t>3CD_Annx_Loans_31</t>
  </si>
  <si>
    <t>31(b)</t>
  </si>
  <si>
    <t>Specified sums exceeding limit under section 269SS taken or accepted</t>
  </si>
  <si>
    <t>31(ba)</t>
  </si>
  <si>
    <t>Receipts exceeding limit under section 269ST otherwise than by account payee instrument / ECS</t>
  </si>
  <si>
    <t>31(bb)</t>
  </si>
  <si>
    <t>Receipts exceeding limit under section 269ST by non-account payee cheque / draft</t>
  </si>
  <si>
    <t>31(bc)</t>
  </si>
  <si>
    <t>Payments exceeding limit under section 269ST otherwise than by account payee instrument / ECS</t>
  </si>
  <si>
    <t>31(bd)</t>
  </si>
  <si>
    <t>Payments exceeding limit under section 269ST by non-account payee cheque / draft</t>
  </si>
  <si>
    <t>31(c)</t>
  </si>
  <si>
    <t>Repayment of loan / deposit / specified advance exceeding limit under section 269T</t>
  </si>
  <si>
    <t>31(d)</t>
  </si>
  <si>
    <t>Repayment of loan / deposit / specified advance exceeding limit under section 269T received otherwise than by banking mode</t>
  </si>
  <si>
    <t>31(e)</t>
  </si>
  <si>
    <t>Repayment of loan / deposit / specified advance by non-account payee cheque / draft</t>
  </si>
  <si>
    <t>32(a)</t>
  </si>
  <si>
    <t>Brought forward losses / depreciation allowance details</t>
  </si>
  <si>
    <t>3CD_Annx_BF_Loss_32</t>
  </si>
  <si>
    <t>32(b)</t>
  </si>
  <si>
    <t>Change in shareholding affecting carry forward under section 79</t>
  </si>
  <si>
    <t>32(c)</t>
  </si>
  <si>
    <t>Speculation loss under section 73</t>
  </si>
  <si>
    <t>32(d)</t>
  </si>
  <si>
    <t>Loss under section 73A in specified business</t>
  </si>
  <si>
    <t>32(e)</t>
  </si>
  <si>
    <t>Whether company deemed to be carrying speculation business under Explanation to section 73</t>
  </si>
  <si>
    <t>33</t>
  </si>
  <si>
    <t>Section-wise deductions admissible under Chapter VIA / Chapter III</t>
  </si>
  <si>
    <t>34(a)</t>
  </si>
  <si>
    <t>Whether required to deduct / collect tax; furnish details</t>
  </si>
  <si>
    <t>3CD_Annx_TDS_34</t>
  </si>
  <si>
    <t>34(b)</t>
  </si>
  <si>
    <t>Whether required to furnish TDS / TCS statements; furnish details</t>
  </si>
  <si>
    <t>34(c)</t>
  </si>
  <si>
    <t>Whether liable to interest under section 201(1A) / 206C(7)</t>
  </si>
  <si>
    <t>35(a)</t>
  </si>
  <si>
    <t>Quantitative details of principal items of goods traded</t>
  </si>
  <si>
    <t>3CD_Annx_Quant_35</t>
  </si>
  <si>
    <t>35(b)</t>
  </si>
  <si>
    <t>Quantitative details of principal raw materials / finished goods / by-products</t>
  </si>
  <si>
    <t>36A</t>
  </si>
  <si>
    <t>Dividend under section 2(22)(e)</t>
  </si>
  <si>
    <t>36B</t>
  </si>
  <si>
    <t>Buyback of shares under section 2(22)(f)</t>
  </si>
  <si>
    <t>37</t>
  </si>
  <si>
    <t>Cost audit carried out; disqualification or disagreement reported by cost auditor</t>
  </si>
  <si>
    <t>38</t>
  </si>
  <si>
    <t>Audit under Central Excise Act, 1944; disqualification or disagreement reported</t>
  </si>
  <si>
    <t>39</t>
  </si>
  <si>
    <t>Audit under section 72A of the Finance Act, 1994; disqualification or disagreement reported</t>
  </si>
  <si>
    <t>40</t>
  </si>
  <si>
    <t>Details regarding turnover, gross profit, etc. for previous and preceding previous year</t>
  </si>
  <si>
    <t>3CD_Annx_GP_40</t>
  </si>
  <si>
    <t>41</t>
  </si>
  <si>
    <t>Demand raised or refund issued under other tax laws during the previous year</t>
  </si>
  <si>
    <t>42</t>
  </si>
  <si>
    <t>Requirement to furnish Form 61 / 61A / 61B and compliance status</t>
  </si>
  <si>
    <t>43</t>
  </si>
  <si>
    <t>Requirement to furnish report under section 286 and related details</t>
  </si>
  <si>
    <t>44</t>
  </si>
  <si>
    <t>Break-up of total expenditure of entities registered or not registered under GST</t>
  </si>
  <si>
    <t>3CD_Annx_GST_44</t>
  </si>
  <si>
    <t>3CD Annexure – Clause 9</t>
  </si>
  <si>
    <t>Partners / members and profit-sharing ratios</t>
  </si>
  <si>
    <t>Name</t>
  </si>
  <si>
    <t>PAN / Aadhaar</t>
  </si>
  <si>
    <t>Opening ratio</t>
  </si>
  <si>
    <t>Closing ratio</t>
  </si>
  <si>
    <t>Change date</t>
  </si>
  <si>
    <t>Remarks</t>
  </si>
  <si>
    <t>Use for firms / AOPs / LLPs where applicable.</t>
  </si>
  <si>
    <t>3CD Annexure – Clause 18</t>
  </si>
  <si>
    <t>Depreciation schedule as per Income-tax Act, 1961</t>
  </si>
  <si>
    <t>Block of asset</t>
  </si>
  <si>
    <t>Rate %</t>
  </si>
  <si>
    <t>Adjustment to WDV</t>
  </si>
  <si>
    <t>Additions &lt;=180 days</t>
  </si>
  <si>
    <t>Additions &gt;180 days</t>
  </si>
  <si>
    <t>Deductions</t>
  </si>
  <si>
    <t>This annexure can be reconciled with the fixed asset schedule / tax depreciation working.</t>
  </si>
  <si>
    <t>3CD Annexure – Clauses 20 / 21 / 26</t>
  </si>
  <si>
    <t>Disallowances, employee contributions and section 43B support</t>
  </si>
  <si>
    <t>Date</t>
  </si>
  <si>
    <t>Nature / section</t>
  </si>
  <si>
    <t>Party / fund</t>
  </si>
  <si>
    <t>Description</t>
  </si>
  <si>
    <t>Amount as per books</t>
  </si>
  <si>
    <t>Amount allowable</t>
  </si>
  <si>
    <t>Amount disallowable</t>
  </si>
  <si>
    <t>Use this annexure for employee contribution delays, 40(a), 40A(3), 43B and related disallowance support.</t>
  </si>
  <si>
    <t>3CD Annexure – Clauses 22 &amp; 23</t>
  </si>
  <si>
    <t>MSMED Act dues and specified person payments</t>
  </si>
  <si>
    <t>Party</t>
  </si>
  <si>
    <t>MSME status / relationship</t>
  </si>
  <si>
    <t>Invoice / contract date</t>
  </si>
  <si>
    <t>Amount payable</t>
  </si>
  <si>
    <t>Paid within time</t>
  </si>
  <si>
    <t>Overdue amount</t>
  </si>
  <si>
    <t>Interest inadmissible</t>
  </si>
  <si>
    <t>Separate micro and small enterprises from other related parties and maintain linkage to supporting confirmations.</t>
  </si>
  <si>
    <t>3CD Annexure – Clause 26</t>
  </si>
  <si>
    <t>Nature of liability</t>
  </si>
  <si>
    <t>Opening unpaid</t>
  </si>
  <si>
    <t>Paid during year</t>
  </si>
  <si>
    <t>Closing unpaid</t>
  </si>
  <si>
    <t>Paid before return due date</t>
  </si>
  <si>
    <t>Allowable in current year</t>
  </si>
  <si>
    <t>Disallowable</t>
  </si>
  <si>
    <t>State whether indirect taxes / cess / levy are routed through profit and loss account.</t>
  </si>
  <si>
    <t>3CD Annexure – Clause 31</t>
  </si>
  <si>
    <t>Loans / deposits / specified sums / 269SS / 269ST / 269T compliance matrix</t>
  </si>
  <si>
    <t>Note 1 (current official Form 3CD code legend for clause 31 amount / receipt / repayment): A Cash payment, B Cash receipt, C Payment through non-account payee cheque, D Receipt through non-account payee cheque, E Transfer of asset, F Transfer of liability, G Conversion of assets, H Conversion of liabilities, I Journal entry [Debit], J Journal entry [Credit], K Any other mode [Debit], L Any other mode [Credit].</t>
  </si>
  <si>
    <t>Nature</t>
  </si>
  <si>
    <t>Name of lender / payer / payee</t>
  </si>
  <si>
    <t>Code</t>
  </si>
  <si>
    <t>Mode</t>
  </si>
  <si>
    <t>Max outstanding</t>
  </si>
  <si>
    <t>Squared up?</t>
  </si>
  <si>
    <t>Use separate rows for acceptance, receipt, payment and repayment events. Capture 269ST event-wise aggregation separately if needed.</t>
  </si>
  <si>
    <t>3CD Annexure – Clause 32</t>
  </si>
  <si>
    <t>Brought forward losses / depreciation and carry-forward restrictions</t>
  </si>
  <si>
    <t>AY</t>
  </si>
  <si>
    <t>Amount as returned</t>
  </si>
  <si>
    <t>Not allowed u/s 115BAA / 115BAC / 115BAD / 115BAE</t>
  </si>
  <si>
    <t>Adjusted / withdrawn</t>
  </si>
  <si>
    <t>Amount as assessed</t>
  </si>
  <si>
    <t>Relevant order ref.</t>
  </si>
  <si>
    <t>Also disclose section 79 impact, speculation loss and specified business loss where relevant.</t>
  </si>
  <si>
    <t>3CD Annexure – Clauses 19 &amp; 33</t>
  </si>
  <si>
    <t>Admissible deductions under specific sections / Chapter VIA / Chapter III</t>
  </si>
  <si>
    <t>Section</t>
  </si>
  <si>
    <t>Amount debited / claimed</t>
  </si>
  <si>
    <t>Amount admissible</t>
  </si>
  <si>
    <t>Conditions complied?</t>
  </si>
  <si>
    <t>Supporting ref.</t>
  </si>
  <si>
    <t>Use this annexure for section-wise reconciliation of deductions and approvals.</t>
  </si>
  <si>
    <t>3CD Annexure – Clause 34</t>
  </si>
  <si>
    <t>TDS / TCS deduction, statement filing and interest matrix</t>
  </si>
  <si>
    <t>Nature of payment / receipt</t>
  </si>
  <si>
    <t>Total payment / receipt</t>
  </si>
  <si>
    <t>Amount subject to TDS/TCS</t>
  </si>
  <si>
    <t>Tax deducted / collected</t>
  </si>
  <si>
    <t>Short deduction / collection</t>
  </si>
  <si>
    <t>Not deposited</t>
  </si>
  <si>
    <t>Interest u/s 201(1A)/206C(7)</t>
  </si>
  <si>
    <t>Separate statement filing non-compliances and omitted transactions in your detailed working papers.</t>
  </si>
  <si>
    <t>3CD Annexure – Clause 35</t>
  </si>
  <si>
    <t>Quantitative details of traded goods / raw materials / finished goods</t>
  </si>
  <si>
    <t>Item</t>
  </si>
  <si>
    <t>UOM</t>
  </si>
  <si>
    <t>Opening qty</t>
  </si>
  <si>
    <t>Purchases / production</t>
  </si>
  <si>
    <t>Consumption / sales</t>
  </si>
  <si>
    <t>Closing qty</t>
  </si>
  <si>
    <t>Shortage / excess</t>
  </si>
  <si>
    <t>Yield % / remarks</t>
  </si>
  <si>
    <t>Use separate tables within this sheet if both trading and manufacturing quantitative details are applicable.</t>
  </si>
  <si>
    <t>3CD Annexure – Clause 40</t>
  </si>
  <si>
    <t>Turnover / GP / NP / stock / material ratios for current and preceding year</t>
  </si>
  <si>
    <t>Preceding previous year</t>
  </si>
  <si>
    <t>Typical rows include total turnover, gross profit / turnover, net profit / turnover, stock-in-trade / turnover and material consumed / finished goods produced.</t>
  </si>
  <si>
    <t>3CD Annexure – Clause 44</t>
  </si>
  <si>
    <t>Total expenditure during year</t>
  </si>
  <si>
    <t>Registered – exempt goods/services</t>
  </si>
  <si>
    <t>Registered – composition</t>
  </si>
  <si>
    <t>Registered – other registered entities</t>
  </si>
  <si>
    <t>Total payment to registered entities</t>
  </si>
  <si>
    <t>Unregistered entities</t>
  </si>
  <si>
    <t>Map totals to purchase and expense ledgers and reconcile with annual GST data where available.</t>
  </si>
  <si>
    <t>Sample Narrative Notes to Accounts</t>
  </si>
  <si>
    <t>Editable note bank | Company</t>
  </si>
  <si>
    <t>Heading</t>
  </si>
  <si>
    <t>Sample wording (editable)</t>
  </si>
  <si>
    <t>Applicability</t>
  </si>
  <si>
    <t>Reporting Entity / Constitution</t>
  </si>
  <si>
    <t>[Name of entity] was incorporated / constituted in India and is engaged in [nature of business]. The registered office / principal place of business of the entity is [address]. These financial statements are prepared for the year ended [date].</t>
  </si>
  <si>
    <t>General</t>
  </si>
  <si>
    <t>Basis of Preparation</t>
  </si>
  <si>
    <t>The financial statements have been prepared in accordance with the historical cost convention on the accrual basis of accounting and in accordance with the applicable Accounting Standards and generally accepted accounting principles in India, read with the relevant provisions of the applicable statute, if any.</t>
  </si>
  <si>
    <t>Use of Estimates</t>
  </si>
  <si>
    <t>The preparation of financial statements requires management to make estimates and assumptions that affect the reported amounts of assets and liabilities, income and expenses, and disclosure of contingent liabilities at the date of the financial statements. Actual results could differ from those estimates and revisions are recognised prospectively.</t>
  </si>
  <si>
    <t>Current / Non-current Classification</t>
  </si>
  <si>
    <t>All assets and liabilities have been classified as current or non-current as per the entity's normal operating cycle and other criteria set out in the applicable presentation framework. Based on the nature of products / services and the time between acquisition of assets for processing and their realisation in cash and cash equivalents, the entity has ascertained its operating cycle as [twelve months / specify].</t>
  </si>
  <si>
    <t>Property, plant and equipment are stated at cost less accumulated depreciation and impairment losses, if any. Cost includes purchase price, duties and taxes (other than those subsequently recoverable), freight, installation and other directly attributable expenditure necessary to bring the asset to its working condition for its intended use.</t>
  </si>
  <si>
    <t>Depreciation / Amortisation</t>
  </si>
  <si>
    <t>Depreciation is provided on the [written down value / straight line] method over the useful lives of the assets as estimated by management / prescribed under the applicable law. Intangible assets are amortised over their estimated useful life on a systematic basis. Residual values and useful lives are reviewed at each reporting date, where relevant.</t>
  </si>
  <si>
    <t>Inventories are valued at the lower of cost and net realisable value. Cost is determined on the [FIFO / weighted average / specific identification] basis and includes all costs of purchase, conversion and other costs incurred in bringing inventories to their present location and condition.</t>
  </si>
  <si>
    <t>Revenue Recognition</t>
  </si>
  <si>
    <t>Revenue is recognised when the significant risks and rewards of ownership of goods are transferred to the customer or when services are rendered in accordance with the terms of the contract, and it is probable that the economic benefits will flow to the entity and the amount can be measured reliably. Revenue is measured net of returns, discounts, rebates and taxes collected on behalf of the Government.</t>
  </si>
  <si>
    <t>9</t>
  </si>
  <si>
    <t>Foreign Currency Transactions</t>
  </si>
  <si>
    <t>Transactions denominated in foreign currencies are recorded at the exchange rate prevailing on the date of the transaction. Monetary assets and liabilities in foreign currency outstanding at the reporting date are translated at the closing rate and resulting exchange differences are recognised in the Statement of Profit and Loss, except where capitalised or otherwise dealt with in accordance with the applicable accounting standard.</t>
  </si>
  <si>
    <t>10</t>
  </si>
  <si>
    <t>Borrowing Costs</t>
  </si>
  <si>
    <t>Borrowing costs attributable to the acquisition or construction of qualifying assets are capitalised as part of the cost of such assets until the time the asset is ready for its intended use. Other borrowing costs are recognised as an expense in the period in which they are incurred.</t>
  </si>
  <si>
    <t>11</t>
  </si>
  <si>
    <t>Investments</t>
  </si>
  <si>
    <t>Long-term investments are carried at cost less provision for diminution, other than temporary, if any. Current investments are carried at the lower of cost and fair value / net realisable value, as applicable.</t>
  </si>
  <si>
    <t>Short-term employee benefits are recognised as an expense at the undiscounted amount in the period in which the related service is rendered. Defined contribution plan obligations are recognised when contributions are due. Defined benefit obligations, if any, are provided for on the basis of actuarial valuation / management estimate as applicable. Leave encashment and gratuity obligations should be tailored to the entity's facts.</t>
  </si>
  <si>
    <t>13</t>
  </si>
  <si>
    <t>Taxes on Income</t>
  </si>
  <si>
    <t>Current tax is measured at the amount expected to be paid to the tax authorities in accordance with the applicable tax laws. Deferred tax is recognised on timing differences between accounting income and taxable income, subject to consideration of prudence / virtual certainty, where applicable.</t>
  </si>
  <si>
    <t>14</t>
  </si>
  <si>
    <t>Provisions, Contingent Liabilities and Contingent Assets</t>
  </si>
  <si>
    <t>Provisions are recognised when the entity has a present obligation as a result of a past event, it is probable that an outflow of resources will be required to settle the obligation and a reliable estimate can be made. Contingent liabilities are disclosed unless the possibility of an outflow is remote. Contingent assets are not recognised but are disclosed where an inflow of economic benefits is probable.</t>
  </si>
  <si>
    <t>Impairment of Assets</t>
  </si>
  <si>
    <t>The carrying amounts of assets are reviewed at each reporting date to determine whether there is any indication of impairment. If such indication exists, the recoverable amount is estimated and an impairment loss is recognised to the extent the carrying amount exceeds the recoverable amount.</t>
  </si>
  <si>
    <t>Related Party Disclosures</t>
  </si>
  <si>
    <t>Related party relationships and transactions are disclosed in accordance with the applicable accounting standard. Transactions with related parties are carried out in the ordinary course of business and at arm's length / on terms approved by management, where applicable.</t>
  </si>
  <si>
    <t>Where applicable</t>
  </si>
  <si>
    <t>MSME Disclosures</t>
  </si>
  <si>
    <t>Dues to micro and small enterprises have been disclosed to the extent information available with the entity based on the information furnished by suppliers regarding their registration status under the Micro, Small and Medium Enterprises Development Act, 2006.</t>
  </si>
  <si>
    <t>Events After the Reporting Date</t>
  </si>
  <si>
    <t>Events occurring after the reporting date that provide additional evidence of conditions existing at the reporting date are adjusted in the financial statements. Other material events occurring after the reporting date are disclosed where necessary.</t>
  </si>
  <si>
    <t>All entities</t>
  </si>
  <si>
    <t>Prior Period Items</t>
  </si>
  <si>
    <t>Income / expenditure relating to prior periods, if material, should be separately disclosed and explained. Comparative figures have been regrouped / reclassified wherever necessary to conform to current year presentation.</t>
  </si>
  <si>
    <t>20</t>
  </si>
  <si>
    <t>Going Concern</t>
  </si>
  <si>
    <t>The financial statements have been prepared on a going concern basis. Management has evaluated the entity's ability to continue as a going concern for at least twelve months from the reporting date and has not identified material uncertainty / has disclosed the relevant material uncertainty, as applicable.</t>
  </si>
  <si>
    <t>These narrative notes are intentionally generic. Replace with the firm's preferred wording, framework-specific language, materiality thresholds and entity-specific facts before issue.</t>
  </si>
  <si>
    <t>Legal &amp; Form Sources</t>
  </si>
  <si>
    <t>Official sources checked while aligning the templates</t>
  </si>
  <si>
    <t>Source</t>
  </si>
  <si>
    <t>URL</t>
  </si>
  <si>
    <t>Income-tax Department official forms page</t>
  </si>
  <si>
    <t>Official source for Form 3CA / 3CB / 3CD downloads</t>
  </si>
  <si>
    <t>https://incometaxindia.gov.in/Pages/downloads/most-used-forms.aspx</t>
  </si>
  <si>
    <t>Form 3CA</t>
  </si>
  <si>
    <t>Official Form 3CA text under Rule 6G(1)(a)</t>
  </si>
  <si>
    <t>https://incometaxindia.gov.in/forms/income-tax%20rules/103120000000007765.pdf</t>
  </si>
  <si>
    <t>Form 3CB</t>
  </si>
  <si>
    <t>Official Form 3CB text under Rule 6G(1)(b)</t>
  </si>
  <si>
    <t>https://incometaxindia.gov.in/forms/income-tax%20rules/103120000000007766.pdf</t>
  </si>
  <si>
    <t>Form 3CD</t>
  </si>
  <si>
    <t>Official current Form 3CD text under Rule 6G(2)</t>
  </si>
  <si>
    <t>https://incometaxindia.gov.in/Forms/Income-Tax%20Rules/103120000000007767.pdf</t>
  </si>
  <si>
    <t>Companies (Audit and Auditors) Second Amendment Rules, 2021</t>
  </si>
  <si>
    <t>Official MCA notification on Rule 11(g) effective wording</t>
  </si>
  <si>
    <t>https://www.mca.gov.in/Ministry/pdf/AuditAuditorsSecondAmendmentRules_13042021.pdf</t>
  </si>
  <si>
    <t>CARO 2020 applicability amendment</t>
  </si>
  <si>
    <t>Official MCA notification making CARO 2020 applicable from FY 2020-21</t>
  </si>
  <si>
    <t>https://www.mca.gov.in/Ministry/pdf/CompaniesSecondAmdtOrder_22122020.pdf</t>
  </si>
  <si>
    <t>ICAI Audit Trail Implementation Guide (Revised 2024 Edition)</t>
  </si>
  <si>
    <t>Reference support for illustrative reporting under Rule 11(g)</t>
  </si>
  <si>
    <t>https://www.icai.org/post/19704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</si>
</sst>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164" formatCode="#,##0.00;(#,##0.00);-"/>
    <numFmt numFmtId="165" formatCode="_(* #,##0_);_(* (#,##0);_(* &quot;-&quot;??_);_(@_)"/>
    <numFmt numFmtId="166" formatCode="_(* #,##0.00_);_(* (#,##0.00);_(* &quot;-&quot;??_);_(@_)"/>
    <numFmt numFmtId="167" formatCode="0.00_)"/>
    <numFmt numFmtId="168" formatCode="_-* #,##0_-;-* #,##0_-;_-* &quot;-&quot;??_-;_-@_-"/>
    <numFmt numFmtId="169" formatCode="_(* #,##0.0_);_(* (#,##0.0);_(* &quot;-&quot;??_);_(@_)"/>
    <numFmt numFmtId="170" formatCode="_ * #,##0.00_ ;_ * -#,##0.00_ ;_ * &quot;-&quot;??_ ;_ @_ "/>
    <numFmt numFmtId="171" formatCode="_ * #,##0_ ;_ * -#,##0_ ;_ * &quot;-&quot;??_ ;_ @_ "/>
    <numFmt numFmtId="172" formatCode="0.0000"/>
    <numFmt numFmtId="173" formatCode="0.000"/>
    <numFmt numFmtId="174" formatCode="[$-13C09]d mmmm yyyy;@"/>
    <numFmt numFmtId="175" formatCode="0.00&quot; Times&quot;"/>
    <numFmt numFmtId="176" formatCode="0.0%"/>
    <numFmt numFmtId="177" formatCode="0_);[Red](0)"/>
  </numFmts>
  <fonts count="79" x14ac:knownFonts="1">
    <font>
      <color theme="1"/>
      <family val="2"/>
      <scheme val="minor"/>
      <sz val="11"/>
      <name val="Calibri"/>
    </font>
    <font>
      <b/>
      <family val="2"/>
      <sz val="14"/>
      <name val="Arial"/>
    </font>
    <font>
      <family val="2"/>
      <sz val="14"/>
      <name val="Arial"/>
    </font>
    <font>
      <i/>
      <family val="2"/>
      <sz val="10"/>
      <name val="Arial"/>
    </font>
    <font>
      <family val="2"/>
      <sz val="10"/>
      <name val="Arial"/>
    </font>
    <font>
      <color rgb="FF1F1F1F"/>
      <family val="2"/>
      <sz val="10"/>
      <name val="Calibri"/>
    </font>
    <font>
      <b/>
      <family val="2"/>
      <sz val="10"/>
      <name val="Arial"/>
    </font>
    <font>
      <b/>
      <color rgb="FF1F1F1F"/>
      <family val="2"/>
      <sz val="10"/>
      <name val="Arial"/>
    </font>
    <font>
      <color theme="1"/>
      <family val="2"/>
      <sz val="10"/>
      <name val="Arial"/>
    </font>
    <font>
      <color rgb="FF1F1F1F"/>
      <family val="2"/>
      <sz val="10"/>
      <name val="Arial"/>
    </font>
    <font>
      <b/>
      <i/>
      <color rgb="FF000000"/>
      <family val="2"/>
      <sz val="10"/>
      <name val="Arial"/>
    </font>
    <font>
      <color theme="1"/>
      <family val="2"/>
      <sz val="11"/>
      <name val="Arial"/>
    </font>
    <font>
      <b/>
      <color rgb="FF000000"/>
      <family val="2"/>
      <sz val="14"/>
      <name val="Arial"/>
    </font>
    <font>
      <b/>
      <color rgb="FF000000"/>
      <family val="2"/>
      <sz val="11"/>
      <name val="Arial"/>
    </font>
    <font>
      <b/>
      <color rgb="FFFFFFFF"/>
      <family val="2"/>
      <sz val="11"/>
      <name val="Arial"/>
    </font>
    <font>
      <color rgb="FF1F1F1F"/>
      <family val="2"/>
      <sz val="11"/>
      <name val="Arial"/>
    </font>
    <font>
      <b/>
      <color rgb="FFFFFFFF"/>
      <family val="2"/>
      <sz val="18"/>
      <name val="Calibri"/>
    </font>
    <font>
      <i/>
      <color rgb="FFFFFFFF"/>
      <family val="2"/>
      <sz val="11"/>
      <name val="Calibri"/>
    </font>
    <font>
      <b/>
      <color rgb="FFFFFFFF"/>
      <family val="2"/>
      <sz val="10"/>
      <name val="Calibri"/>
    </font>
    <font>
      <b/>
      <color rgb="FF1F1F1F"/>
      <family val="2"/>
      <sz val="10"/>
      <name val="Calibri"/>
    </font>
    <font>
      <u/>
      <color rgb="FF1F4E79"/>
      <family val="2"/>
      <sz val="10"/>
      <name val="Calibri"/>
    </font>
    <font>
      <i/>
      <color rgb="FF666666"/>
      <family val="2"/>
      <sz val="9"/>
      <name val="Calibri"/>
    </font>
    <font>
      <family val="1"/>
      <scheme val="major"/>
      <sz val="9"/>
      <name val="Cambria"/>
    </font>
    <font>
      <b/>
      <family val="1"/>
      <scheme val="major"/>
      <sz val="12"/>
      <name val="Cambria"/>
    </font>
    <font>
      <b/>
      <family val="2"/>
      <scheme val="minor"/>
      <sz val="12"/>
      <name val="Calibri"/>
    </font>
    <font>
      <b/>
      <family val="1"/>
      <scheme val="major"/>
      <sz val="10"/>
      <name val="Cambria"/>
    </font>
    <font>
      <b/>
      <family val="2"/>
      <scheme val="minor"/>
      <sz val="11"/>
      <name val="Calibri"/>
    </font>
    <font>
      <i/>
      <color theme="1"/>
      <family val="1"/>
      <scheme val="major"/>
      <sz val="9"/>
      <name val="Cambria"/>
    </font>
    <font>
      <b/>
      <family val="2"/>
      <sz val="10"/>
      <name val="Calibri"/>
    </font>
    <font>
      <family val="2"/>
      <scheme val="minor"/>
      <sz val="11"/>
      <name val="Calibri"/>
    </font>
    <font>
      <b/>
      <sz val="8"/>
      <name val="Arival"/>
    </font>
    <font>
      <b/>
      <family val="1"/>
      <scheme val="major"/>
      <sz val="9"/>
      <name val="Cambria"/>
    </font>
    <font>
      <b/>
      <u/>
      <family val="1"/>
      <scheme val="major"/>
      <sz val="9"/>
      <name val="Cambria"/>
    </font>
    <font>
      <color rgb="FFFF0000"/>
      <family val="1"/>
      <scheme val="major"/>
      <sz val="9"/>
      <name val="Cambria"/>
    </font>
    <font>
      <color rgb="FF000000"/>
      <family val="1"/>
      <scheme val="major"/>
      <sz val="9"/>
      <name val="Cambria"/>
    </font>
    <font>
      <color indexed="8"/>
      <family val="1"/>
      <scheme val="major"/>
      <sz val="9"/>
      <name val="Cambria"/>
    </font>
    <font>
      <color theme="1"/>
      <family val="1"/>
      <scheme val="major"/>
      <sz val="9"/>
      <name val="Cambria"/>
    </font>
    <font>
      <b/>
      <family val="1"/>
      <scheme val="major"/>
      <sz val="11"/>
      <name val="Cambria"/>
    </font>
    <font>
      <b/>
      <family val="1"/>
      <sz val="9"/>
      <name val="Cambria"/>
    </font>
    <font>
      <b/>
      <color indexed="8"/>
      <family val="1"/>
      <scheme val="major"/>
      <sz val="9"/>
      <name val="Cambria"/>
    </font>
    <font>
      <b/>
      <family val="1"/>
      <sz val="9"/>
      <name val="Calibri"/>
    </font>
    <font>
      <b/>
      <color theme="1"/>
      <family val="1"/>
      <scheme val="major"/>
      <sz val="9"/>
      <name val="Cambria"/>
    </font>
    <font>
      <color theme="9" tint="-0.249977111117893"/>
      <family val="1"/>
      <scheme val="major"/>
      <sz val="9"/>
      <name val="Cambria"/>
    </font>
    <font>
      <b/>
      <color theme="9" tint="-0.249977111117893"/>
      <family val="1"/>
      <scheme val="major"/>
      <sz val="9"/>
      <name val="Cambria"/>
    </font>
    <font>
      <b/>
      <color theme="9" tint="-0.249977111117893"/>
      <family val="1"/>
      <sz val="9"/>
      <name val="Cambria"/>
    </font>
    <font>
      <u/>
      <family val="1"/>
      <scheme val="major"/>
      <sz val="9"/>
      <name val="Cambria"/>
    </font>
    <font>
      <b/>
      <color theme="1"/>
      <family val="1"/>
      <scheme val="major"/>
      <sz val="12"/>
      <name val="Cambria"/>
    </font>
    <font>
      <color theme="1"/>
      <family val="1"/>
      <scheme val="major"/>
      <sz val="12"/>
      <name val="Cambria"/>
    </font>
    <font>
      <b/>
      <color theme="1"/>
      <family val="1"/>
      <scheme val="major"/>
      <sz val="10"/>
      <name val="Cambria"/>
    </font>
    <font>
      <color theme="1"/>
      <family val="1"/>
      <scheme val="major"/>
      <sz val="10"/>
      <name val="Cambria"/>
    </font>
    <font>
      <b/>
      <color theme="1"/>
      <family val="1"/>
      <sz val="9"/>
      <name val="Calibri"/>
    </font>
    <font>
      <color theme="1"/>
      <sz val="9"/>
      <name val="Camria"/>
    </font>
    <font>
      <b/>
      <sz val="9"/>
      <name val="Rupee for"/>
    </font>
    <font>
      <b/>
      <color rgb="FFFF0000"/>
      <family val="1"/>
      <scheme val="major"/>
      <sz val="10"/>
      <name val="Cambria"/>
    </font>
    <font>
      <family val="1"/>
      <sz val="9"/>
      <name val="Cambria"/>
    </font>
    <font>
      <b/>
      <color rgb="FFFF0000"/>
      <family val="1"/>
      <scheme val="major"/>
      <sz val="9"/>
      <name val="Cambria"/>
    </font>
    <font>
      <b/>
      <family val="1"/>
      <sz val="10"/>
      <name val="Cambria"/>
    </font>
    <font>
      <b/>
      <u/>
      <family val="1"/>
      <scheme val="major"/>
      <sz val="10"/>
      <name val="Cambria"/>
    </font>
    <font>
      <family val="1"/>
      <scheme val="major"/>
      <sz val="10"/>
      <name val="Cambria"/>
    </font>
    <font>
      <b/>
      <family val="1"/>
      <scheme val="major"/>
      <sz val="8"/>
      <name val="Cambria"/>
    </font>
    <font>
      <b/>
      <color rgb="FF17365D"/>
      <family val="1"/>
      <scheme val="major"/>
      <sz val="9"/>
      <name val="Cambria"/>
    </font>
    <font>
      <b/>
      <color theme="1"/>
      <family val="1"/>
      <sz val="9"/>
      <name val="Cambria"/>
    </font>
    <font>
      <color rgb="FF333333"/>
      <family val="1"/>
      <scheme val="major"/>
      <sz val="10"/>
      <name val="Cambria"/>
    </font>
    <font>
      <b/>
      <color rgb="FFFF0000"/>
      <family val="2"/>
      <scheme val="minor"/>
      <sz val="11"/>
      <name val="Calibri"/>
    </font>
    <font>
      <color rgb="FFFF0000"/>
      <family val="1"/>
      <scheme val="major"/>
      <sz val="12"/>
      <name val="Cambria"/>
    </font>
    <font>
      <family val="2"/>
      <scheme val="minor"/>
      <sz val="9"/>
      <name val="Calibri"/>
    </font>
    <font>
      <b/>
      <color theme="1"/>
      <family val="2"/>
      <scheme val="minor"/>
      <sz val="11"/>
      <name val="Calibri"/>
    </font>
    <font>
      <u/>
      <color indexed="8"/>
      <family val="1"/>
      <scheme val="major"/>
      <sz val="9"/>
      <name val="Cambria"/>
    </font>
    <font>
      <b/>
      <color theme="1"/>
      <sz val="10"/>
      <name val="Cabria"/>
    </font>
    <font>
      <color theme="1"/>
      <sz val="10"/>
      <name val="Cabria"/>
    </font>
    <font>
      <color theme="1"/>
      <family val="1"/>
      <scheme val="major"/>
      <sz val="11"/>
      <name val="Cambria"/>
    </font>
    <font>
      <b/>
      <color theme="1"/>
      <family val="1"/>
      <scheme val="major"/>
      <sz val="11"/>
      <name val="Cambria"/>
    </font>
    <font>
      <b/>
      <family val="1"/>
      <sz val="12"/>
      <name val="Calibri"/>
    </font>
    <font>
      <family val="1"/>
      <sz val="10"/>
      <name val="Cambria"/>
    </font>
    <font>
      <b/>
      <u/>
      <family val="1"/>
      <sz val="10"/>
      <name val="Calibri"/>
    </font>
    <font>
      <family val="1"/>
      <sz val="10"/>
      <name val="Calibri"/>
    </font>
    <font>
      <b/>
      <family val="1"/>
      <sz val="10"/>
      <name val="Calibri"/>
    </font>
    <font>
      <b/>
      <color rgb="FFFFFFFF"/>
      <family val="2"/>
      <sz val="11"/>
      <name val="Calibri"/>
    </font>
    <font>
      <color rgb="FF0000FF"/>
      <family val="2"/>
      <sz val="10"/>
      <name val="Calibri"/>
    </font>
  </fonts>
  <fills count="16">
    <fill>
      <patternFill patternType="none"/>
    </fill>
    <fill>
      <patternFill patternType="gray125"/>
    </fill>
    <fill>
      <patternFill patternType="solid">
        <fgColor theme="4" tint="0.5999938962981048"/>
        <bgColor indexed="64"/>
      </patternFill>
    </fill>
    <fill>
      <patternFill patternType="solid">
        <fgColor theme="4" tint="-0.249977111117893"/>
        <bgColor indexed="64"/>
      </patternFill>
    </fill>
    <fill>
      <patternFill patternType="solid">
        <fgColor rgb="FFF3F4F6"/>
      </patternFill>
    </fill>
    <fill>
      <patternFill patternType="solid">
        <fgColor theme="4" tint="0.5999938962981048"/>
        <bgColor rgb="FFF3F4F6"/>
      </patternFill>
    </fill>
    <fill>
      <patternFill patternType="solid">
        <fgColor rgb="FFE2E8F0"/>
        <bgColor rgb="FFF3F4F6"/>
      </patternFill>
    </fill>
    <fill>
      <patternFill patternType="solid">
        <fgColor rgb="FF1F4E79"/>
      </patternFill>
    </fill>
    <fill>
      <patternFill patternType="solid">
        <fgColor rgb="FF17365D"/>
      </patternFill>
    </fill>
    <fill>
      <patternFill patternType="solid">
        <fgColor rgb="FFDCE6F1"/>
      </patternFill>
    </fill>
    <fill>
      <patternFill patternType="solid">
        <fgColor theme="0"/>
        <bgColor indexed="64"/>
      </patternFill>
    </fill>
    <fill>
      <patternFill patternType="solid">
        <fgColor rgb="FFFFFF00"/>
        <bgColor indexed="64"/>
      </patternFill>
    </fill>
    <fill>
      <patternFill patternType="solid">
        <fgColor rgb="FFF4F8FC"/>
      </patternFill>
    </fill>
    <fill>
      <patternFill patternType="solid">
        <fgColor theme="0" tint="-0.249977111117893"/>
        <bgColor indexed="64"/>
      </patternFill>
    </fill>
    <fill>
      <patternFill patternType="solid">
        <fgColor rgb="FFC9A227"/>
      </patternFill>
    </fill>
    <fill>
      <patternFill patternType="solid">
        <fgColor rgb="FFFFF2CC"/>
      </patternFill>
    </fill>
  </fills>
  <borders count="69">
    <border>
      <left/>
      <right/>
      <top/>
      <bottom/>
      <diagonal/>
    </border>
    <border>
      <left style="thin">
        <color indexed="64"/>
      </left>
      <right style="thin"/>
      <top style="thin">
        <color indexed="64"/>
      </top>
      <bottom style="thin"/>
      <diagonal/>
    </border>
    <border>
      <left/>
      <right style="thin">
        <color indexed="64"/>
      </right>
      <top style="thin">
        <color indexed="64"/>
      </top>
      <bottom style="thin">
        <color indexed="64"/>
      </bottom>
      <diagonal/>
    </border>
    <border>
      <left style="thin">
        <color indexed="64"/>
      </left>
      <right style="thin">
        <color rgb="FFB7BDC7"/>
      </right>
      <top/>
      <bottom style="thin">
        <color rgb="FFB7BDC7"/>
      </bottom>
      <diagonal/>
    </border>
    <border>
      <left style="thin">
        <color rgb="FFB7BDC7"/>
      </left>
      <right style="thin">
        <color rgb="FFB7BDC7"/>
      </right>
      <top/>
      <bottom style="thin">
        <color rgb="FFB7BDC7"/>
      </bottom>
      <diagonal/>
    </border>
    <border>
      <left style="thin">
        <color rgb="FFB7BDC7"/>
      </left>
      <right style="thin">
        <color indexed="64"/>
      </right>
      <top/>
      <bottom style="thin">
        <color rgb="FFB7BDC7"/>
      </bottom>
      <diagonal/>
    </border>
    <border>
      <left style="thin">
        <color indexed="64"/>
      </left>
      <right style="thin">
        <color rgb="FFB7BDC7"/>
      </right>
      <top style="thin">
        <color indexed="64"/>
      </top>
      <bottom style="thin">
        <color rgb="FFB7BDC7"/>
      </bottom>
      <diagonal/>
    </border>
    <border>
      <left style="thin">
        <color rgb="FFB7BDC7"/>
      </left>
      <right style="thin">
        <color rgb="FFB7BDC7"/>
      </right>
      <top style="thin">
        <color indexed="64"/>
      </top>
      <bottom style="thin">
        <color rgb="FFB7BDC7"/>
      </bottom>
      <diagonal/>
    </border>
    <border>
      <left style="thin">
        <color rgb="FFB7BDC7"/>
      </left>
      <right style="thin">
        <color indexed="64"/>
      </right>
      <top style="thin">
        <color indexed="64"/>
      </top>
      <bottom style="thin">
        <color rgb="FFB7BDC7"/>
      </bottom>
      <diagonal/>
    </border>
    <border>
      <left style="thin">
        <color indexed="64"/>
      </left>
      <right style="thin">
        <color rgb="FFB7BDC7"/>
      </right>
      <top style="thin">
        <color rgb="FFB7BDC7"/>
      </top>
      <bottom style="thin">
        <color rgb="FFB7BDC7"/>
      </bottom>
      <diagonal/>
    </border>
    <border>
      <left style="thin">
        <color rgb="FFB7BDC7"/>
      </left>
      <right style="thin">
        <color rgb="FFB7BDC7"/>
      </right>
      <top style="thin">
        <color rgb="FFB7BDC7"/>
      </top>
      <bottom style="thin">
        <color rgb="FFB7BDC7"/>
      </bottom>
      <diagonal/>
    </border>
    <border>
      <left style="thin">
        <color rgb="FFB7BDC7"/>
      </left>
      <right style="thin">
        <color indexed="64"/>
      </right>
      <top style="thin">
        <color rgb="FFB7BDC7"/>
      </top>
      <bottom style="thin">
        <color rgb="FFB7BDC7"/>
      </bottom>
      <diagonal/>
    </border>
    <border>
      <left style="thin">
        <color indexed="64"/>
      </left>
      <right style="thin">
        <color rgb="FFB7BDC7"/>
      </right>
      <top style="thin">
        <color rgb="FFB7BDC7"/>
      </top>
      <bottom style="thin">
        <color indexed="64"/>
      </bottom>
      <diagonal/>
    </border>
    <border>
      <left style="thin">
        <color rgb="FFB7BDC7"/>
      </left>
      <right style="thin">
        <color rgb="FFB7BDC7"/>
      </right>
      <top style="thin">
        <color rgb="FFB7BDC7"/>
      </top>
      <bottom style="thin">
        <color indexed="64"/>
      </bottom>
      <diagonal/>
    </border>
    <border>
      <left style="thin">
        <color rgb="FFB7BDC7"/>
      </left>
      <right style="thin">
        <color indexed="64"/>
      </right>
      <top style="thin">
        <color rgb="FFB7BDC7"/>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1"/>
      </left>
      <right/>
      <top style="thin"/>
      <bottom style="thin">
        <color theme="1"/>
      </bottom>
      <diagonal/>
    </border>
    <border>
      <left/>
      <right/>
      <top style="thin"/>
      <bottom style="thin">
        <color theme="1"/>
      </bottom>
      <diagonal/>
    </border>
    <border>
      <left/>
      <right style="thin">
        <color theme="1"/>
      </right>
      <top style="thin"/>
      <bottom style="thin">
        <color theme="1"/>
      </bottom>
      <diagonal/>
    </border>
    <border>
      <left style="thin">
        <color indexed="64"/>
      </left>
      <right/>
      <top style="thin">
        <color theme="1"/>
      </top>
      <bottom/>
      <diagonal/>
    </border>
    <border>
      <left/>
      <right/>
      <top style="thin">
        <color theme="1"/>
      </top>
      <bottom/>
      <diagonal/>
    </border>
    <border>
      <left/>
      <right style="thin"/>
      <top style="thin">
        <color theme="1"/>
      </top>
      <bottom/>
      <diagonal/>
    </border>
    <border>
      <left style="thin">
        <color theme="1"/>
      </left>
      <right/>
      <top style="thin">
        <color theme="1"/>
      </top>
      <bottom/>
      <diagonal/>
    </border>
    <border>
      <left/>
      <right/>
      <top style="thin">
        <color indexed="64"/>
      </top>
      <bottom/>
      <diagonal/>
    </border>
    <border>
      <left/>
      <right style="thin">
        <color theme="1"/>
      </right>
      <top style="thin"/>
      <bottom/>
      <diagonal/>
    </border>
    <border>
      <left style="thin">
        <color theme="1"/>
      </left>
      <right/>
      <top style="thin"/>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style="thin">
        <color theme="1"/>
      </right>
      <top style="thin">
        <color theme="1"/>
      </top>
      <bottom/>
      <diagonal/>
    </border>
    <border>
      <left style="thin">
        <color indexed="64"/>
      </left>
      <right/>
      <top style="thin">
        <color indexed="64"/>
      </top>
      <bottom/>
      <diagonal/>
    </border>
    <border>
      <left/>
      <right style="thin"/>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right style="thin">
        <color rgb="FFB7BDC7"/>
      </right>
      <top style="thin">
        <color rgb="FFB7BDC7"/>
      </top>
      <bottom style="thin">
        <color rgb="FFB7BDC7"/>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right/>
      <top/>
      <bottom style="thin">
        <color indexed="64"/>
      </bottom>
      <diagonal/>
    </border>
    <border>
      <left style="thin">
        <color indexed="64"/>
      </left>
      <right/>
      <top/>
      <bottom style="double"/>
      <diagonal/>
    </border>
    <border>
      <left style="thin">
        <color indexed="64"/>
      </left>
      <right style="thin">
        <color indexed="64"/>
      </right>
      <top/>
      <bottom style="double"/>
      <diagonal/>
    </border>
    <border>
      <left style="thin">
        <color indexed="64"/>
      </left>
      <right/>
      <top/>
      <bottom style="thin">
        <color indexed="64"/>
      </bottom>
      <diagonal/>
    </border>
    <border>
      <left/>
      <right style="thin"/>
      <top/>
      <bottom style="thin"/>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right/>
      <top style="thin"/>
      <bottom style="thin"/>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style="thin">
        <color indexed="64"/>
      </right>
      <top/>
      <bottom style="double">
        <color rgb="FF17365D"/>
      </bottom>
      <diagonal/>
    </border>
    <border>
      <left/>
      <right/>
      <top style="thin"/>
      <bottom/>
      <diagonal/>
    </border>
    <border>
      <left/>
      <right style="thin">
        <color indexed="64"/>
      </right>
      <top style="thin">
        <color indexed="64"/>
      </top>
      <bottom/>
      <diagonal/>
    </border>
    <border>
      <left style="thin">
        <color indexed="64"/>
      </left>
      <right style="thin">
        <color indexed="64"/>
      </right>
      <top style="thin"/>
      <bottom style="double">
        <color rgb="FF17365D"/>
      </bottom>
      <diagonal/>
    </border>
    <border>
      <left style="thin">
        <color theme="1"/>
      </left>
      <right style="thin">
        <color theme="1"/>
      </right>
      <top/>
      <bottom style="thin">
        <color theme="1"/>
      </bottom>
      <diagonal/>
    </border>
    <border>
      <left style="thin">
        <color theme="1"/>
      </left>
      <right style="thin">
        <color theme="1"/>
      </right>
      <top style="thin">
        <color indexed="64"/>
      </top>
      <bottom style="double">
        <color indexed="64"/>
      </bottom>
      <diagonal/>
    </border>
    <border>
      <left style="thin">
        <color theme="1"/>
      </left>
      <right/>
      <top style="thin">
        <color indexed="64"/>
      </top>
      <bottom style="double">
        <color indexed="64"/>
      </bottom>
      <diagonal/>
    </border>
    <border>
      <left/>
      <right/>
      <top/>
      <bottom style="double">
        <color rgb="FF17365D"/>
      </bottom>
      <diagonal/>
    </border>
    <border>
      <left style="thin">
        <color indexed="64"/>
      </left>
      <right style="thin">
        <color indexed="64"/>
      </right>
      <top style="thin">
        <color indexed="64"/>
      </top>
      <bottom style="thin">
        <color rgb="FFB7BDC7"/>
      </bottom>
      <diagonal/>
    </border>
    <border>
      <left style="thin">
        <color indexed="64"/>
      </left>
      <right style="thin">
        <color indexed="64"/>
      </right>
      <top/>
      <bottom style="double">
        <color indexed="64"/>
      </bottom>
      <diagonal/>
    </border>
  </borders>
  <cellStyleXfs count="1">
    <xf numFmtId="0" fontId="0" fillId="0" borderId="0"/>
  </cellStyleXfs>
  <cellXfs count="879">
    <xf numFmtId="0" fontId="0" fillId="0" borderId="0" xfId="0"/>
    <xf numFmtId="0" fontId="1" fillId="2" borderId="0" xfId="0" applyFont="1" applyFill="1" applyAlignment="1">
      <alignment horizontal="center" vertical="center"/>
    </xf>
    <xf numFmtId="0" fontId="2" fillId="2" borderId="0" xfId="0" applyFont="1" applyFill="1"/>
    <xf numFmtId="0" fontId="3" fillId="2" borderId="0" xfId="0" applyFont="1" applyFill="1" applyAlignment="1">
      <alignment horizontal="center" vertical="center"/>
    </xf>
    <xf numFmtId="0" fontId="4" fillId="2" borderId="0" xfId="0" applyFont="1" applyFill="1"/>
    <xf numFmtId="0" fontId="5" fillId="3" borderId="0" xfId="0" applyFont="1" applyFill="1" applyAlignment="1">
      <alignment horizontal="left" vertical="top" wrapText="1"/>
    </xf>
    <xf numFmtId="0" fontId="0" fillId="3" borderId="0" xfId="0" applyFill="1"/>
    <xf numFmtId="0" fontId="6" fillId="2" borderId="1" xfId="0" applyFont="1" applyFill="1" applyBorder="1" applyAlignment="1">
      <alignment horizontal="center" vertical="center"/>
    </xf>
    <xf numFmtId="0" fontId="4" fillId="2" borderId="1" xfId="0" applyFont="1" applyFill="1" applyBorder="1"/>
    <xf numFmtId="0" fontId="6" fillId="2" borderId="2" xfId="0" applyFont="1" applyFill="1" applyBorder="1" applyAlignment="1">
      <alignment horizontal="center" vertical="center"/>
    </xf>
    <xf numFmtId="0" fontId="7" fillId="4" borderId="3" xfId="0" applyFont="1" applyFill="1" applyBorder="1" applyAlignment="1">
      <alignment horizontal="left" vertical="top" wrapText="1"/>
    </xf>
    <xf numFmtId="0" fontId="8" fillId="4" borderId="4" xfId="0" applyFont="1" applyFill="1" applyBorder="1"/>
    <xf numFmtId="0" fontId="8" fillId="4" borderId="5" xfId="0" applyFont="1" applyFill="1" applyBorder="1"/>
    <xf numFmtId="0" fontId="9" fillId="4" borderId="6" xfId="0" applyFont="1" applyFill="1" applyBorder="1" applyAlignment="1">
      <alignment horizontal="left" vertical="top" wrapText="1"/>
    </xf>
    <xf numFmtId="0" fontId="8" fillId="4" borderId="7" xfId="0" applyFont="1" applyFill="1" applyBorder="1"/>
    <xf numFmtId="0" fontId="8" fillId="4" borderId="8" xfId="0" applyFont="1" applyFill="1" applyBorder="1"/>
    <xf numFmtId="0" fontId="7" fillId="4" borderId="9" xfId="0" applyFont="1" applyFill="1" applyBorder="1" applyAlignment="1">
      <alignment horizontal="left" vertical="top" wrapText="1"/>
    </xf>
    <xf numFmtId="0" fontId="8" fillId="4" borderId="10" xfId="0" applyFont="1" applyFill="1" applyBorder="1"/>
    <xf numFmtId="0" fontId="8" fillId="4" borderId="11" xfId="0" applyFont="1" applyFill="1" applyBorder="1"/>
    <xf numFmtId="0" fontId="9" fillId="4" borderId="9" xfId="0" applyFont="1" applyFill="1" applyBorder="1" applyAlignment="1">
      <alignment horizontal="left" vertical="top" wrapText="1"/>
    </xf>
    <xf numFmtId="0" fontId="7" fillId="4" borderId="12" xfId="0" applyFont="1" applyFill="1" applyBorder="1" applyAlignment="1">
      <alignment horizontal="left" vertical="top" wrapText="1"/>
    </xf>
    <xf numFmtId="0" fontId="8" fillId="4" borderId="13" xfId="0" applyFont="1" applyFill="1" applyBorder="1"/>
    <xf numFmtId="0" fontId="8" fillId="4" borderId="14" xfId="0" applyFont="1" applyFill="1" applyBorder="1"/>
    <xf numFmtId="0" fontId="9" fillId="4" borderId="12" xfId="0" applyFont="1" applyFill="1" applyBorder="1" applyAlignment="1">
      <alignment horizontal="left" vertical="top" wrapText="1"/>
    </xf>
    <xf numFmtId="164" fontId="10" fillId="5" borderId="1" xfId="0" applyNumberFormat="1" applyFont="1" applyFill="1" applyBorder="1" applyAlignment="1">
      <alignment horizontal="center" vertical="center" wrapText="1"/>
    </xf>
    <xf numFmtId="0" fontId="6" fillId="0" borderId="1" xfId="0" applyFont="1" applyBorder="1" applyAlignment="1">
      <alignment horizontal="left" vertical="center"/>
    </xf>
    <xf numFmtId="0" fontId="4" fillId="0" borderId="1" xfId="0" applyFont="1" applyBorder="1" applyAlignment="1">
      <alignment horizontal="left" vertical="top" wrapText="1"/>
    </xf>
    <xf numFmtId="0" fontId="11" fillId="0" borderId="0" xfId="0" applyFont="1"/>
    <xf numFmtId="164" fontId="12" fillId="6" borderId="15" xfId="0" applyNumberFormat="1" applyFont="1" applyFill="1" applyBorder="1" applyAlignment="1">
      <alignment horizontal="center" vertical="center" wrapText="1"/>
    </xf>
    <xf numFmtId="164" fontId="12" fillId="6" borderId="16" xfId="0" applyNumberFormat="1" applyFont="1" applyFill="1" applyBorder="1" applyAlignment="1">
      <alignment horizontal="center" vertical="center" wrapText="1"/>
    </xf>
    <xf numFmtId="164" fontId="12" fillId="6" borderId="2" xfId="0" applyNumberFormat="1" applyFont="1" applyFill="1" applyBorder="1" applyAlignment="1">
      <alignment horizontal="center" vertical="center" wrapText="1"/>
    </xf>
    <xf numFmtId="164" fontId="13" fillId="6" borderId="1" xfId="0" applyNumberFormat="1" applyFont="1" applyFill="1" applyBorder="1" applyAlignment="1">
      <alignment horizontal="center" vertical="center" wrapText="1"/>
    </xf>
    <xf numFmtId="164" fontId="13" fillId="6" borderId="16" xfId="0" applyNumberFormat="1" applyFont="1" applyFill="1" applyBorder="1" applyAlignment="1">
      <alignment horizontal="center" vertical="center" wrapText="1"/>
    </xf>
    <xf numFmtId="164" fontId="13" fillId="6" borderId="2" xfId="0" applyNumberFormat="1" applyFont="1" applyFill="1" applyBorder="1" applyAlignment="1">
      <alignment horizontal="center" vertical="center" wrapText="1"/>
    </xf>
    <xf numFmtId="0" fontId="14" fillId="7" borderId="17" xfId="0" applyFont="1" applyFill="1" applyBorder="1" applyAlignment="1">
      <alignment horizontal="center" vertical="center"/>
    </xf>
    <xf numFmtId="0" fontId="14" fillId="7" borderId="18" xfId="0" applyFont="1" applyFill="1" applyBorder="1" applyAlignment="1">
      <alignment horizontal="center" vertical="center"/>
    </xf>
    <xf numFmtId="0" fontId="14" fillId="7" borderId="19" xfId="0" applyFont="1" applyFill="1" applyBorder="1" applyAlignment="1">
      <alignment horizontal="center" vertical="center"/>
    </xf>
    <xf numFmtId="164" fontId="13" fillId="6" borderId="20" xfId="0" applyNumberFormat="1" applyFont="1" applyFill="1" applyBorder="1" applyAlignment="1">
      <alignment horizontal="center" vertical="center" wrapText="1"/>
    </xf>
    <xf numFmtId="164" fontId="13" fillId="6" borderId="21" xfId="0" applyNumberFormat="1" applyFont="1" applyFill="1" applyBorder="1" applyAlignment="1">
      <alignment horizontal="center" vertical="center" wrapText="1"/>
    </xf>
    <xf numFmtId="164" fontId="13" fillId="6" borderId="22" xfId="0" applyNumberFormat="1" applyFont="1" applyFill="1" applyBorder="1" applyAlignment="1">
      <alignment horizontal="center" vertical="center" wrapText="1"/>
    </xf>
    <xf numFmtId="0" fontId="7" fillId="0" borderId="23" xfId="0" applyFont="1" applyBorder="1" applyAlignment="1">
      <alignment vertical="center"/>
    </xf>
    <xf numFmtId="0" fontId="6" fillId="0" borderId="24" xfId="0" applyFont="1" applyBorder="1" applyAlignment="1">
      <alignment vertical="center"/>
    </xf>
    <xf numFmtId="0" fontId="6" fillId="0" borderId="25" xfId="0" applyFont="1" applyBorder="1" applyAlignment="1">
      <alignment vertical="center"/>
    </xf>
    <xf numFmtId="0" fontId="4" fillId="0" borderId="26" xfId="0" applyFont="1" applyBorder="1" applyAlignment="1">
      <alignment vertical="center" wrapText="1"/>
    </xf>
    <xf numFmtId="0" fontId="4" fillId="0" borderId="24" xfId="0" applyFont="1" applyBorder="1" applyAlignment="1">
      <alignment vertical="center" wrapText="1"/>
    </xf>
    <xf numFmtId="0" fontId="4" fillId="0" borderId="25" xfId="0" applyFont="1" applyBorder="1" applyAlignment="1">
      <alignment vertical="center" wrapText="1"/>
    </xf>
    <xf numFmtId="0" fontId="7" fillId="0" borderId="27" xfId="0" applyFont="1" applyBorder="1" applyAlignment="1">
      <alignment vertical="center"/>
    </xf>
    <xf numFmtId="0" fontId="6" fillId="0" borderId="0" xfId="0" applyFont="1" applyAlignment="1">
      <alignment vertical="center"/>
    </xf>
    <xf numFmtId="0" fontId="6" fillId="0" borderId="28" xfId="0" applyFont="1" applyBorder="1" applyAlignment="1">
      <alignment vertical="center"/>
    </xf>
    <xf numFmtId="0" fontId="4" fillId="0" borderId="27" xfId="0" applyFont="1" applyBorder="1" applyAlignment="1">
      <alignment vertical="center" wrapText="1"/>
    </xf>
    <xf numFmtId="0" fontId="4" fillId="0" borderId="0" xfId="0" applyFont="1" applyAlignment="1">
      <alignment vertical="center" wrapText="1"/>
    </xf>
    <xf numFmtId="0" fontId="4" fillId="0" borderId="28" xfId="0" applyFont="1" applyBorder="1" applyAlignment="1">
      <alignment vertical="center" wrapText="1"/>
    </xf>
    <xf numFmtId="0" fontId="4" fillId="0" borderId="0" xfId="0" applyFont="1" applyAlignment="1">
      <alignment vertical="center"/>
    </xf>
    <xf numFmtId="0" fontId="7" fillId="0" borderId="29" xfId="0" applyFont="1" applyBorder="1" applyAlignment="1">
      <alignment vertical="center"/>
    </xf>
    <xf numFmtId="0" fontId="6" fillId="0" borderId="30" xfId="0" applyFont="1" applyBorder="1" applyAlignment="1">
      <alignment vertical="center"/>
    </xf>
    <xf numFmtId="0" fontId="6" fillId="0" borderId="31" xfId="0" applyFont="1" applyBorder="1" applyAlignment="1">
      <alignment vertical="center"/>
    </xf>
    <xf numFmtId="0" fontId="4" fillId="0" borderId="29" xfId="0" applyFont="1" applyBorder="1" applyAlignment="1">
      <alignment vertical="center" wrapText="1"/>
    </xf>
    <xf numFmtId="0" fontId="4" fillId="0" borderId="30" xfId="0" applyFont="1" applyBorder="1" applyAlignment="1">
      <alignment vertical="center" wrapText="1"/>
    </xf>
    <xf numFmtId="0" fontId="4" fillId="0" borderId="31" xfId="0" applyFont="1" applyBorder="1" applyAlignment="1">
      <alignment vertical="center" wrapText="1"/>
    </xf>
    <xf numFmtId="0" fontId="4" fillId="0" borderId="26" xfId="0" applyFont="1" applyBorder="1" applyAlignment="1">
      <alignment horizontal="left" vertical="center" wrapText="1"/>
    </xf>
    <xf numFmtId="0" fontId="4" fillId="0" borderId="24" xfId="0" applyFont="1" applyBorder="1" applyAlignment="1">
      <alignment horizontal="left" vertical="center" wrapText="1"/>
    </xf>
    <xf numFmtId="0" fontId="4" fillId="0" borderId="25" xfId="0" applyFont="1" applyBorder="1" applyAlignment="1">
      <alignment horizontal="left" vertical="center" wrapText="1"/>
    </xf>
    <xf numFmtId="0" fontId="8" fillId="0" borderId="0" xfId="0" applyFont="1"/>
    <xf numFmtId="0" fontId="4" fillId="0" borderId="27" xfId="0" applyFont="1" applyBorder="1" applyAlignment="1">
      <alignment horizontal="left" vertical="center" wrapText="1"/>
    </xf>
    <xf numFmtId="0" fontId="4" fillId="0" borderId="0" xfId="0" applyFont="1" applyAlignment="1">
      <alignment horizontal="left" vertical="center" wrapText="1"/>
    </xf>
    <xf numFmtId="0" fontId="4" fillId="0" borderId="28" xfId="0" applyFont="1" applyBorder="1" applyAlignment="1">
      <alignment horizontal="left" vertical="center" wrapText="1"/>
    </xf>
    <xf numFmtId="0" fontId="4" fillId="0" borderId="29" xfId="0" applyFont="1" applyBorder="1" applyAlignment="1">
      <alignment horizontal="left" vertical="center" wrapText="1"/>
    </xf>
    <xf numFmtId="0" fontId="4" fillId="0" borderId="30" xfId="0" applyFont="1" applyBorder="1" applyAlignment="1">
      <alignment horizontal="left" vertical="center" wrapText="1"/>
    </xf>
    <xf numFmtId="0" fontId="4" fillId="0" borderId="31" xfId="0" applyFont="1" applyBorder="1" applyAlignment="1">
      <alignment horizontal="left" vertical="center" wrapText="1"/>
    </xf>
    <xf numFmtId="0" fontId="9" fillId="0" borderId="23" xfId="0" applyFont="1" applyBorder="1" applyAlignment="1">
      <alignment vertical="center" wrapText="1"/>
    </xf>
    <xf numFmtId="0" fontId="15" fillId="0" borderId="24" xfId="0" applyFont="1" applyBorder="1" applyAlignment="1">
      <alignment vertical="center" wrapText="1"/>
    </xf>
    <xf numFmtId="0" fontId="11" fillId="0" borderId="32" xfId="0" applyFont="1" applyBorder="1" applyAlignment="1">
      <alignment vertical="center"/>
    </xf>
    <xf numFmtId="0" fontId="9" fillId="0" borderId="27" xfId="0" applyFont="1" applyBorder="1" applyAlignment="1">
      <alignment vertical="center" wrapText="1"/>
    </xf>
    <xf numFmtId="0" fontId="15" fillId="0" borderId="0" xfId="0" applyFont="1" applyAlignment="1">
      <alignment vertical="center" wrapText="1"/>
    </xf>
    <xf numFmtId="0" fontId="11" fillId="0" borderId="28" xfId="0" applyFont="1" applyBorder="1" applyAlignment="1">
      <alignment vertical="center"/>
    </xf>
    <xf numFmtId="0" fontId="11" fillId="0" borderId="29" xfId="0" applyFont="1" applyBorder="1"/>
    <xf numFmtId="0" fontId="11" fillId="0" borderId="30" xfId="0" applyFont="1" applyBorder="1"/>
    <xf numFmtId="0" fontId="11" fillId="0" borderId="31" xfId="0" applyFont="1" applyBorder="1"/>
    <xf numFmtId="0" fontId="16" fillId="8" borderId="0" xfId="0" applyFont="1" applyFill="1" applyAlignment="1">
      <alignment horizontal="center" vertical="center"/>
    </xf>
    <xf numFmtId="0" fontId="0" fillId="8" borderId="0" xfId="0" applyFill="1"/>
    <xf numFmtId="0" fontId="17" fillId="8" borderId="0" xfId="0" applyFont="1" applyFill="1" applyAlignment="1">
      <alignment horizontal="center" vertical="center"/>
    </xf>
    <xf numFmtId="0" fontId="5" fillId="0" borderId="0" xfId="0" applyFont="1" applyAlignment="1">
      <alignment horizontal="left" vertical="top" wrapText="1"/>
    </xf>
    <xf numFmtId="0" fontId="18" fillId="7" borderId="10" xfId="0" applyFont="1" applyFill="1" applyBorder="1" applyAlignment="1">
      <alignment horizontal="center" vertical="center" wrapText="1"/>
    </xf>
    <xf numFmtId="0" fontId="5" fillId="4" borderId="10" xfId="0" applyFont="1" applyFill="1" applyBorder="1" applyAlignment="1">
      <alignment horizontal="center" vertical="center"/>
    </xf>
    <xf numFmtId="0" fontId="19" fillId="4" borderId="10" xfId="0" applyFont="1" applyFill="1" applyBorder="1"/>
    <xf numFmtId="0" fontId="5" fillId="4" borderId="10" xfId="0" applyFont="1" applyFill="1" applyBorder="1"/>
    <xf numFmtId="0" fontId="5" fillId="4" borderId="10" xfId="0" applyFont="1" applyFill="1" applyBorder="1" applyAlignment="1">
      <alignment horizontal="left" vertical="top" wrapText="1"/>
    </xf>
    <xf numFmtId="0" fontId="20" fillId="4" borderId="10" xfId="0" applyFont="1" applyFill="1" applyBorder="1" applyAlignment="1">
      <alignment horizontal="center" vertical="center"/>
    </xf>
    <xf numFmtId="0" fontId="21" fillId="4" borderId="0" xfId="0" applyFont="1" applyFill="1" applyAlignment="1">
      <alignment horizontal="left" vertical="top" wrapText="1"/>
    </xf>
    <xf numFmtId="0" fontId="0" fillId="4" borderId="0" xfId="0" applyFill="1"/>
    <xf numFmtId="0" fontId="22" fillId="0" borderId="0" xfId="0" applyFont="1"/>
    <xf numFmtId="165" fontId="22" fillId="0" borderId="0" xfId="0" applyNumberFormat="1" applyFont="1"/>
    <xf numFmtId="166" fontId="22" fillId="0" borderId="0" xfId="0" applyNumberFormat="1" applyFont="1"/>
    <xf numFmtId="0" fontId="23" fillId="0" borderId="0" xfId="0" applyFont="1" applyAlignment="1">
      <alignment horizontal="center" vertical="center"/>
    </xf>
    <xf numFmtId="0" fontId="24" fillId="0" borderId="0" xfId="0" applyFont="1" applyAlignment="1">
      <alignment horizontal="center" vertical="center"/>
    </xf>
    <xf numFmtId="0" fontId="25"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vertical="top"/>
    </xf>
    <xf numFmtId="0" fontId="28" fillId="0" borderId="0" xfId="0" applyFont="1" applyAlignment="1">
      <alignment horizontal="center" vertical="center"/>
    </xf>
    <xf numFmtId="0" fontId="29" fillId="0" borderId="0" xfId="0" applyFont="1"/>
    <xf numFmtId="167" fontId="28" fillId="0" borderId="1" xfId="0" applyNumberFormat="1" applyFont="1" applyBorder="1" applyAlignment="1">
      <alignment horizontal="center" vertical="center" wrapText="1"/>
    </xf>
    <xf numFmtId="0" fontId="28" fillId="0" borderId="1" xfId="0" applyFont="1" applyBorder="1" applyAlignment="1">
      <alignment horizontal="center" vertical="center" wrapText="1"/>
    </xf>
    <xf numFmtId="167" fontId="30" fillId="0" borderId="1" xfId="0" applyNumberFormat="1" applyFont="1" applyBorder="1" applyAlignment="1">
      <alignment horizontal="center" vertical="center" wrapText="1"/>
    </xf>
    <xf numFmtId="0" fontId="29" fillId="0" borderId="1" xfId="0" applyFont="1" applyBorder="1"/>
    <xf numFmtId="0" fontId="30" fillId="0" borderId="1" xfId="0" applyFont="1" applyBorder="1"/>
    <xf numFmtId="0" fontId="22" fillId="0" borderId="33" xfId="0" applyFont="1" applyBorder="1"/>
    <xf numFmtId="0" fontId="31" fillId="0" borderId="34" xfId="0" applyFont="1" applyBorder="1" applyAlignment="1">
      <alignment horizontal="center"/>
    </xf>
    <xf numFmtId="165" fontId="31" fillId="0" borderId="0" xfId="0" applyNumberFormat="1" applyFont="1" applyAlignment="1">
      <alignment horizontal="center"/>
    </xf>
    <xf numFmtId="165" fontId="31" fillId="0" borderId="35" xfId="0" applyNumberFormat="1" applyFont="1" applyBorder="1" applyAlignment="1">
      <alignment horizontal="right"/>
    </xf>
    <xf numFmtId="166" fontId="31" fillId="0" borderId="35" xfId="0" applyNumberFormat="1" applyFont="1" applyBorder="1" applyAlignment="1">
      <alignment horizontal="right"/>
    </xf>
    <xf numFmtId="0" fontId="19" fillId="0" borderId="36" xfId="0" applyFont="1" applyBorder="1" applyAlignment="1">
      <alignment vertical="center"/>
    </xf>
    <xf numFmtId="0" fontId="22" fillId="0" borderId="37" xfId="0" applyFont="1" applyBorder="1" applyAlignment="1">
      <alignment horizontal="center" vertical="top"/>
    </xf>
    <xf numFmtId="165" fontId="22" fillId="0" borderId="0" xfId="0" applyNumberFormat="1" applyFont="1" applyAlignment="1">
      <alignment horizontal="center"/>
    </xf>
    <xf numFmtId="165" fontId="22" fillId="0" borderId="38" xfId="0" applyNumberFormat="1" applyFont="1" applyBorder="1" applyAlignment="1">
      <alignment horizontal="right"/>
    </xf>
    <xf numFmtId="2" fontId="22" fillId="0" borderId="38" xfId="0" applyNumberFormat="1" applyFont="1" applyBorder="1" applyAlignment="1">
      <alignment horizontal="right"/>
    </xf>
    <xf numFmtId="0" fontId="32" fillId="0" borderId="36" xfId="0" applyFont="1" applyBorder="1" applyAlignment="1">
      <alignment vertical="top"/>
    </xf>
    <xf numFmtId="165" fontId="22" fillId="0" borderId="0" xfId="0" applyNumberFormat="1" applyFont="1" applyAlignment="1">
      <alignment horizontal="center" vertical="top"/>
    </xf>
    <xf numFmtId="165" fontId="22" fillId="0" borderId="38" xfId="0" applyNumberFormat="1" applyFont="1" applyBorder="1" applyAlignment="1">
      <alignment horizontal="right" vertical="top"/>
    </xf>
    <xf numFmtId="2" fontId="22" fillId="0" borderId="38" xfId="0" applyNumberFormat="1" applyFont="1" applyBorder="1" applyAlignment="1">
      <alignment horizontal="right" vertical="top"/>
    </xf>
    <xf numFmtId="0" fontId="31" fillId="0" borderId="36" xfId="0" applyFont="1" applyBorder="1" applyAlignment="1">
      <alignment vertical="top"/>
    </xf>
    <xf numFmtId="166" fontId="22" fillId="0" borderId="38" xfId="0" applyNumberFormat="1" applyFont="1" applyBorder="1" applyAlignment="1">
      <alignment horizontal="right" vertical="top"/>
    </xf>
    <xf numFmtId="0" fontId="22" fillId="0" borderId="36" xfId="0" applyFont="1" applyBorder="1" applyAlignment="1">
      <alignment vertical="top"/>
    </xf>
    <xf numFmtId="0" fontId="22" fillId="0" borderId="37" xfId="0" applyFont="1" applyBorder="1" applyAlignment="1">
      <alignment vertical="top"/>
    </xf>
    <xf numFmtId="0" fontId="22" fillId="0" borderId="0" xfId="0" applyFont="1" applyAlignment="1">
      <alignment horizontal="center" vertical="top"/>
    </xf>
    <xf numFmtId="166" fontId="31" fillId="0" borderId="38" xfId="0" applyNumberFormat="1" applyFont="1" applyBorder="1" applyAlignment="1">
      <alignment horizontal="right" vertical="top"/>
    </xf>
    <xf numFmtId="0" fontId="33" fillId="0" borderId="0" xfId="0" applyFont="1"/>
    <xf numFmtId="0" fontId="22" fillId="0" borderId="36" xfId="0" applyFont="1" applyBorder="1" applyAlignment="1">
      <alignment horizontal="left" vertical="top"/>
    </xf>
    <xf numFmtId="0" fontId="19" fillId="0" borderId="36" xfId="0" applyFont="1" applyBorder="1" applyAlignment="1">
      <alignment vertical="top"/>
    </xf>
    <xf numFmtId="166" fontId="34" fillId="0" borderId="38" xfId="0" applyNumberFormat="1" applyFont="1" applyBorder="1" applyAlignment="1">
      <alignment horizontal="right" vertical="top"/>
    </xf>
    <xf numFmtId="0" fontId="19" fillId="0" borderId="36" xfId="0" applyFont="1" applyBorder="1" applyAlignment="1">
      <alignment horizontal="left" vertical="top"/>
    </xf>
    <xf numFmtId="0" fontId="22" fillId="0" borderId="37" xfId="0" applyFont="1" applyBorder="1" applyAlignment="1">
      <alignment horizontal="left" vertical="top" wrapText="1"/>
    </xf>
    <xf numFmtId="168" fontId="22" fillId="0" borderId="36" xfId="0" applyNumberFormat="1" applyFont="1" applyBorder="1" applyAlignment="1">
      <alignment horizontal="left" vertical="top" wrapText="1"/>
    </xf>
    <xf numFmtId="0" fontId="22" fillId="0" borderId="37" xfId="0" applyFont="1" applyBorder="1"/>
    <xf numFmtId="168" fontId="22" fillId="0" borderId="36" xfId="0" applyNumberFormat="1" applyFont="1" applyBorder="1" applyAlignment="1">
      <alignment horizontal="justify" vertical="top" wrapText="1"/>
    </xf>
    <xf numFmtId="0" fontId="5" fillId="0" borderId="36" xfId="0" applyFont="1" applyBorder="1" applyAlignment="1">
      <alignment vertical="top"/>
    </xf>
    <xf numFmtId="0" fontId="5" fillId="0" borderId="0" xfId="0" applyFont="1" applyAlignment="1">
      <alignment horizontal="center" vertical="top"/>
    </xf>
    <xf numFmtId="166" fontId="5" fillId="0" borderId="38" xfId="0" applyNumberFormat="1" applyFont="1" applyBorder="1" applyAlignment="1">
      <alignment horizontal="right" vertical="top"/>
    </xf>
    <xf numFmtId="0" fontId="22" fillId="0" borderId="39" xfId="0" applyFont="1" applyBorder="1" applyAlignment="1">
      <alignment vertical="top"/>
    </xf>
    <xf numFmtId="0" fontId="22" fillId="0" borderId="40" xfId="0" applyFont="1" applyBorder="1" applyAlignment="1">
      <alignment vertical="top"/>
    </xf>
    <xf numFmtId="0" fontId="19" fillId="0" borderId="2" xfId="0" applyFont="1" applyBorder="1" applyAlignment="1">
      <alignment horizontal="center" vertical="top"/>
    </xf>
    <xf numFmtId="166" fontId="19" fillId="0" borderId="41" xfId="0" applyNumberFormat="1" applyFont="1" applyBorder="1" applyAlignment="1">
      <alignment horizontal="right" vertical="top"/>
    </xf>
    <xf numFmtId="0" fontId="31" fillId="0" borderId="36" xfId="0" applyFont="1" applyBorder="1" applyAlignment="1">
      <alignment horizontal="left" vertical="top"/>
    </xf>
    <xf numFmtId="49" fontId="5" fillId="0" borderId="36" xfId="0" applyNumberFormat="1" applyFont="1" applyBorder="1" applyAlignment="1">
      <alignment vertical="top"/>
    </xf>
    <xf numFmtId="0" fontId="22" fillId="0" borderId="0" xfId="0" applyFont="1" applyAlignment="1">
      <alignment vertical="top"/>
    </xf>
    <xf numFmtId="49" fontId="22" fillId="0" borderId="36" xfId="0" applyNumberFormat="1" applyFont="1" applyBorder="1" applyAlignment="1">
      <alignment horizontal="left" vertical="top" indent="1"/>
    </xf>
    <xf numFmtId="49" fontId="22" fillId="0" borderId="36" xfId="0" applyNumberFormat="1" applyFont="1" applyBorder="1" applyAlignment="1">
      <alignment vertical="top"/>
    </xf>
    <xf numFmtId="0" fontId="22" fillId="0" borderId="42" xfId="0" applyFont="1" applyBorder="1" applyAlignment="1">
      <alignment horizontal="left" vertical="top"/>
    </xf>
    <xf numFmtId="0" fontId="22" fillId="0" borderId="37" xfId="0" applyFont="1" applyBorder="1" applyAlignment="1">
      <alignment horizontal="left" vertical="top"/>
    </xf>
    <xf numFmtId="0" fontId="22" fillId="0" borderId="39" xfId="0" applyFont="1" applyBorder="1" applyAlignment="1">
      <alignment horizontal="left" vertical="top"/>
    </xf>
    <xf numFmtId="0" fontId="31" fillId="0" borderId="39" xfId="0" applyFont="1" applyBorder="1" applyAlignment="1">
      <alignment horizontal="center" vertical="top"/>
    </xf>
    <xf numFmtId="0" fontId="22" fillId="0" borderId="43" xfId="0" applyFont="1" applyBorder="1" applyAlignment="1">
      <alignment horizontal="center" vertical="top"/>
    </xf>
    <xf numFmtId="0" fontId="31" fillId="0" borderId="0" xfId="0" applyFont="1" applyAlignment="1">
      <alignment vertical="top"/>
    </xf>
    <xf numFmtId="166" fontId="22" fillId="0" borderId="0" xfId="0" applyNumberFormat="1" applyFont="1" applyAlignment="1">
      <alignment horizontal="center" vertical="top"/>
    </xf>
    <xf numFmtId="0" fontId="31" fillId="0" borderId="0" xfId="0" applyFont="1" applyAlignment="1">
      <alignment horizontal="center" vertical="top"/>
    </xf>
    <xf numFmtId="165" fontId="31" fillId="0" borderId="0" xfId="0" applyNumberFormat="1" applyFont="1" applyAlignment="1">
      <alignment horizontal="left" vertical="top"/>
    </xf>
    <xf numFmtId="166" fontId="31" fillId="0" borderId="0" xfId="0" applyNumberFormat="1" applyFont="1" applyAlignment="1">
      <alignment horizontal="left" vertical="top"/>
    </xf>
    <xf numFmtId="165" fontId="31" fillId="0" borderId="0" xfId="0" applyNumberFormat="1" applyFont="1" applyAlignment="1">
      <alignment vertical="top"/>
    </xf>
    <xf numFmtId="166" fontId="31" fillId="0" borderId="0" xfId="0" applyNumberFormat="1" applyFont="1" applyAlignment="1">
      <alignment vertical="top"/>
    </xf>
    <xf numFmtId="165" fontId="22" fillId="0" borderId="0" xfId="0" applyNumberFormat="1" applyFont="1" applyAlignment="1">
      <alignment vertical="top"/>
    </xf>
    <xf numFmtId="166" fontId="22" fillId="0" borderId="0" xfId="0" applyNumberFormat="1" applyFont="1" applyAlignment="1">
      <alignment vertical="top"/>
    </xf>
    <xf numFmtId="3" fontId="35" fillId="0" borderId="0" xfId="0" applyNumberFormat="1" applyFont="1" applyAlignment="1">
      <alignment vertical="top"/>
    </xf>
    <xf numFmtId="49" fontId="35" fillId="0" borderId="0" xfId="0" applyNumberFormat="1" applyFont="1" applyAlignment="1">
      <alignment vertical="top"/>
    </xf>
    <xf numFmtId="166" fontId="35" fillId="0" borderId="0" xfId="0" applyNumberFormat="1" applyFont="1" applyAlignment="1">
      <alignment horizontal="left" vertical="top"/>
    </xf>
    <xf numFmtId="0" fontId="22" fillId="0" borderId="0" xfId="0" applyFont="1" applyAlignment="1">
      <alignment horizontal="left" vertical="top"/>
    </xf>
    <xf numFmtId="0" fontId="36" fillId="0" borderId="0" xfId="0" applyFont="1"/>
    <xf numFmtId="166" fontId="36" fillId="0" borderId="0" xfId="0" applyNumberFormat="1" applyFont="1"/>
    <xf numFmtId="165" fontId="36" fillId="0" borderId="0" xfId="0" applyNumberFormat="1" applyFont="1"/>
    <xf numFmtId="0" fontId="31" fillId="0" borderId="0" xfId="0" applyFont="1" applyAlignment="1">
      <alignment vertical="center"/>
    </xf>
    <xf numFmtId="166" fontId="31" fillId="0" borderId="0" xfId="0" applyNumberFormat="1" applyFont="1" applyAlignment="1">
      <alignment vertical="center"/>
    </xf>
    <xf numFmtId="165" fontId="31" fillId="0" borderId="0" xfId="0" applyNumberFormat="1" applyFont="1" applyAlignment="1">
      <alignment vertical="center"/>
    </xf>
    <xf numFmtId="0" fontId="37" fillId="0" borderId="0" xfId="0" applyFont="1" applyAlignment="1">
      <alignment horizontal="center" vertical="center"/>
    </xf>
    <xf numFmtId="0" fontId="31" fillId="0" borderId="0" xfId="0" applyFont="1" applyAlignment="1">
      <alignment horizontal="center" vertical="center"/>
    </xf>
    <xf numFmtId="0" fontId="22" fillId="0" borderId="0" xfId="0" applyFont="1" applyAlignment="1">
      <alignment horizontal="centerContinuous" vertical="center"/>
    </xf>
    <xf numFmtId="0" fontId="22" fillId="0" borderId="0" xfId="0" applyFont="1" applyAlignment="1">
      <alignment vertical="center"/>
    </xf>
    <xf numFmtId="0" fontId="18" fillId="0" borderId="44" xfId="0" applyFont="1" applyBorder="1" applyAlignment="1">
      <alignment horizontal="center" vertical="center" wrapText="1"/>
    </xf>
    <xf numFmtId="0" fontId="18" fillId="0" borderId="10" xfId="0" applyFont="1" applyBorder="1" applyAlignment="1">
      <alignment horizontal="center" vertical="center" wrapText="1"/>
    </xf>
    <xf numFmtId="0" fontId="36" fillId="0" borderId="0" xfId="0" applyFont="1" applyAlignment="1">
      <alignment vertical="center"/>
    </xf>
    <xf numFmtId="0" fontId="35" fillId="0" borderId="45" xfId="0" applyFont="1" applyBorder="1" applyAlignment="1">
      <alignment horizontal="center" vertical="top"/>
    </xf>
    <xf numFmtId="0" fontId="38" fillId="0" borderId="0" xfId="0" applyFont="1" applyAlignment="1">
      <alignment vertical="top" wrapText="1"/>
    </xf>
    <xf numFmtId="0" fontId="38" fillId="0" borderId="46" xfId="0" applyFont="1" applyBorder="1" applyAlignment="1">
      <alignment vertical="top" wrapText="1"/>
    </xf>
    <xf numFmtId="0" fontId="35" fillId="0" borderId="0" xfId="0" applyFont="1" applyAlignment="1">
      <alignment horizontal="center" vertical="top"/>
    </xf>
    <xf numFmtId="166" fontId="39" fillId="0" borderId="47" xfId="0" applyNumberFormat="1" applyFont="1" applyBorder="1" applyAlignment="1">
      <alignment horizontal="right" vertical="top"/>
    </xf>
    <xf numFmtId="166" fontId="39" fillId="0" borderId="46" xfId="0" applyNumberFormat="1" applyFont="1" applyBorder="1" applyAlignment="1">
      <alignment horizontal="right" vertical="top"/>
    </xf>
    <xf numFmtId="0" fontId="36" fillId="0" borderId="45" xfId="0" applyFont="1" applyBorder="1"/>
    <xf numFmtId="0" fontId="31" fillId="0" borderId="33" xfId="0" applyFont="1" applyBorder="1" applyAlignment="1">
      <alignment horizontal="center" vertical="top"/>
    </xf>
    <xf numFmtId="0" fontId="22" fillId="0" borderId="24" xfId="0" applyFont="1" applyBorder="1" applyAlignment="1">
      <alignment horizontal="left" vertical="top"/>
    </xf>
    <xf numFmtId="0" fontId="36" fillId="0" borderId="24" xfId="0" applyFont="1" applyBorder="1" applyAlignment="1">
      <alignment vertical="top"/>
    </xf>
    <xf numFmtId="0" fontId="36" fillId="0" borderId="34" xfId="0" applyFont="1" applyBorder="1" applyAlignment="1">
      <alignment vertical="top"/>
    </xf>
    <xf numFmtId="0" fontId="35" fillId="0" borderId="35" xfId="0" applyFont="1" applyBorder="1" applyAlignment="1">
      <alignment horizontal="center" vertical="top"/>
    </xf>
    <xf numFmtId="166" fontId="35" fillId="0" borderId="35" xfId="0" applyNumberFormat="1" applyFont="1" applyBorder="1" applyAlignment="1">
      <alignment horizontal="right" vertical="top"/>
    </xf>
    <xf numFmtId="166" fontId="36" fillId="0" borderId="0" xfId="0" applyNumberFormat="1" applyFont="1" applyAlignment="1">
      <alignment vertical="center"/>
    </xf>
    <xf numFmtId="0" fontId="28" fillId="0" borderId="36" xfId="0" applyFont="1" applyBorder="1" applyAlignment="1">
      <alignment horizontal="center" vertical="top"/>
    </xf>
    <xf numFmtId="0" fontId="5" fillId="0" borderId="0" xfId="0" applyFont="1" applyAlignment="1">
      <alignment horizontal="left" vertical="top"/>
    </xf>
    <xf numFmtId="0" fontId="36" fillId="0" borderId="0" xfId="0" applyFont="1" applyAlignment="1">
      <alignment vertical="top"/>
    </xf>
    <xf numFmtId="0" fontId="36" fillId="0" borderId="37" xfId="0" applyFont="1" applyBorder="1" applyAlignment="1">
      <alignment vertical="top"/>
    </xf>
    <xf numFmtId="0" fontId="5" fillId="0" borderId="38" xfId="0" applyFont="1" applyBorder="1" applyAlignment="1">
      <alignment horizontal="center" vertical="top"/>
    </xf>
    <xf numFmtId="169" fontId="36" fillId="0" borderId="0" xfId="0" applyNumberFormat="1" applyFont="1"/>
    <xf numFmtId="0" fontId="19" fillId="0" borderId="36" xfId="0" applyFont="1" applyBorder="1" applyAlignment="1">
      <alignment horizontal="center" vertical="top"/>
    </xf>
    <xf numFmtId="0" fontId="19" fillId="0" borderId="0" xfId="0" applyFont="1" applyAlignment="1">
      <alignment vertical="top"/>
    </xf>
    <xf numFmtId="0" fontId="35" fillId="0" borderId="38" xfId="0" applyFont="1" applyBorder="1" applyAlignment="1">
      <alignment horizontal="center" vertical="top"/>
    </xf>
    <xf numFmtId="166" fontId="19" fillId="0" borderId="1" xfId="0" applyNumberFormat="1" applyFont="1" applyBorder="1" applyAlignment="1">
      <alignment horizontal="right" vertical="top"/>
    </xf>
    <xf numFmtId="165" fontId="39" fillId="0" borderId="0" xfId="0" applyNumberFormat="1" applyFont="1" applyAlignment="1">
      <alignment vertical="center"/>
    </xf>
    <xf numFmtId="0" fontId="35" fillId="0" borderId="36" xfId="0" applyFont="1" applyBorder="1" applyAlignment="1">
      <alignment horizontal="center" vertical="top"/>
    </xf>
    <xf numFmtId="0" fontId="35" fillId="0" borderId="0" xfId="0" applyFont="1" applyAlignment="1">
      <alignment vertical="top"/>
    </xf>
    <xf numFmtId="166" fontId="35" fillId="0" borderId="38" xfId="0" applyNumberFormat="1" applyFont="1" applyBorder="1" applyAlignment="1">
      <alignment horizontal="right" vertical="top"/>
    </xf>
    <xf numFmtId="0" fontId="22" fillId="0" borderId="36" xfId="0" applyFont="1" applyBorder="1" applyAlignment="1">
      <alignment horizontal="center" vertical="top"/>
    </xf>
    <xf numFmtId="0" fontId="22" fillId="0" borderId="38" xfId="0" applyFont="1" applyBorder="1" applyAlignment="1">
      <alignment horizontal="center" vertical="top"/>
    </xf>
    <xf numFmtId="9" fontId="36" fillId="0" borderId="0" xfId="0" applyNumberFormat="1" applyFont="1" applyAlignment="1">
      <alignment vertical="center"/>
    </xf>
    <xf numFmtId="0" fontId="22" fillId="0" borderId="0" xfId="0" applyFont="1" applyAlignment="1">
      <alignment vertical="top" wrapText="1"/>
    </xf>
    <xf numFmtId="0" fontId="22" fillId="0" borderId="37" xfId="0" applyFont="1" applyBorder="1" applyAlignment="1">
      <alignment vertical="top" wrapText="1"/>
    </xf>
    <xf numFmtId="0" fontId="22" fillId="0" borderId="38" xfId="0" applyFont="1" applyBorder="1" applyAlignment="1">
      <alignment horizontal="center" vertical="center"/>
    </xf>
    <xf numFmtId="166" fontId="22" fillId="0" borderId="38" xfId="0" applyNumberFormat="1" applyFont="1" applyBorder="1" applyAlignment="1">
      <alignment horizontal="right" vertical="center"/>
    </xf>
    <xf numFmtId="165" fontId="36" fillId="0" borderId="0" xfId="0" applyNumberFormat="1" applyFont="1" applyAlignment="1">
      <alignment vertical="center"/>
    </xf>
    <xf numFmtId="170" fontId="36" fillId="0" borderId="0" xfId="0" applyNumberFormat="1" applyFont="1" applyAlignment="1">
      <alignment vertical="center"/>
    </xf>
    <xf numFmtId="170" fontId="36" fillId="0" borderId="0" xfId="0" applyNumberFormat="1" applyFont="1"/>
    <xf numFmtId="0" fontId="5" fillId="0" borderId="0" xfId="0" applyFont="1" applyAlignment="1">
      <alignment vertical="top"/>
    </xf>
    <xf numFmtId="166" fontId="19" fillId="9" borderId="0" xfId="0" applyNumberFormat="1" applyFont="1" applyFill="1" applyAlignment="1">
      <alignment vertical="center"/>
    </xf>
    <xf numFmtId="165" fontId="31" fillId="0" borderId="0" xfId="0" applyNumberFormat="1" applyFont="1" applyAlignment="1">
      <alignment horizontal="right" vertical="center"/>
    </xf>
    <xf numFmtId="171" fontId="36" fillId="0" borderId="0" xfId="0" applyNumberFormat="1" applyFont="1"/>
    <xf numFmtId="0" fontId="39" fillId="0" borderId="36" xfId="0" applyFont="1" applyBorder="1" applyAlignment="1">
      <alignment horizontal="center" vertical="top"/>
    </xf>
    <xf numFmtId="0" fontId="39" fillId="0" borderId="0" xfId="0" applyFont="1" applyAlignment="1">
      <alignment vertical="top"/>
    </xf>
    <xf numFmtId="0" fontId="40" fillId="0" borderId="46" xfId="0" applyFont="1" applyBorder="1" applyAlignment="1">
      <alignment vertical="top" wrapText="1"/>
    </xf>
    <xf numFmtId="0" fontId="0" fillId="0" borderId="37" xfId="0" applyBorder="1"/>
    <xf numFmtId="166" fontId="39" fillId="0" borderId="38" xfId="0" applyNumberFormat="1" applyFont="1" applyBorder="1" applyAlignment="1">
      <alignment horizontal="right" vertical="top"/>
    </xf>
    <xf numFmtId="0" fontId="41" fillId="0" borderId="0" xfId="0" applyFont="1"/>
    <xf numFmtId="171" fontId="36" fillId="0" borderId="0" xfId="0" applyNumberFormat="1" applyFont="1" applyAlignment="1">
      <alignment vertical="center"/>
    </xf>
    <xf numFmtId="0" fontId="0" fillId="0" borderId="38" xfId="0" applyBorder="1"/>
    <xf numFmtId="165" fontId="19" fillId="9" borderId="0" xfId="0" applyNumberFormat="1" applyFont="1" applyFill="1" applyAlignment="1">
      <alignment vertical="center"/>
    </xf>
    <xf numFmtId="0" fontId="31" fillId="0" borderId="36" xfId="0" applyFont="1" applyBorder="1" applyAlignment="1">
      <alignment horizontal="center" vertical="top"/>
    </xf>
    <xf numFmtId="0" fontId="31" fillId="0" borderId="37" xfId="0" applyFont="1" applyBorder="1" applyAlignment="1">
      <alignment vertical="top"/>
    </xf>
    <xf numFmtId="0" fontId="22" fillId="0" borderId="38" xfId="0" applyFont="1" applyBorder="1" applyAlignment="1">
      <alignment vertical="top" wrapText="1"/>
    </xf>
    <xf numFmtId="166" fontId="31" fillId="0" borderId="41" xfId="0" applyNumberFormat="1" applyFont="1" applyBorder="1" applyAlignment="1">
      <alignment horizontal="right" vertical="top"/>
    </xf>
    <xf numFmtId="0" fontId="22" fillId="0" borderId="36" xfId="0" applyFont="1" applyBorder="1" applyAlignment="1">
      <alignment horizontal="center" vertical="top" wrapText="1"/>
    </xf>
    <xf numFmtId="0" fontId="33" fillId="0" borderId="39" xfId="0" applyFont="1" applyBorder="1" applyAlignment="1">
      <alignment horizontal="center" vertical="top"/>
    </xf>
    <xf numFmtId="0" fontId="33" fillId="0" borderId="48" xfId="0" applyFont="1" applyBorder="1" applyAlignment="1">
      <alignment vertical="top"/>
    </xf>
    <xf numFmtId="0" fontId="33" fillId="0" borderId="40" xfId="0" applyFont="1" applyBorder="1" applyAlignment="1">
      <alignment horizontal="center" vertical="top"/>
    </xf>
    <xf numFmtId="0" fontId="33" fillId="0" borderId="43" xfId="0" applyFont="1" applyBorder="1" applyAlignment="1">
      <alignment horizontal="center" vertical="top"/>
    </xf>
    <xf numFmtId="166" fontId="33" fillId="0" borderId="43" xfId="0" applyNumberFormat="1" applyFont="1" applyBorder="1" applyAlignment="1">
      <alignment horizontal="right" vertical="top"/>
    </xf>
    <xf numFmtId="166" fontId="36" fillId="0" borderId="0" xfId="0" applyNumberFormat="1" applyFont="1" applyAlignment="1">
      <alignment vertical="top"/>
    </xf>
    <xf numFmtId="165" fontId="36" fillId="0" borderId="0" xfId="0" applyNumberFormat="1" applyFont="1" applyAlignment="1">
      <alignment vertical="top"/>
    </xf>
    <xf numFmtId="3" fontId="39" fillId="0" borderId="0" xfId="0" applyNumberFormat="1" applyFont="1" applyAlignment="1">
      <alignment vertical="top"/>
    </xf>
    <xf numFmtId="3" fontId="39" fillId="0" borderId="0" xfId="0" applyNumberFormat="1" applyFont="1"/>
    <xf numFmtId="49" fontId="35" fillId="0" borderId="0" xfId="0" applyNumberFormat="1" applyFont="1"/>
    <xf numFmtId="166" fontId="39" fillId="0" borderId="0" xfId="0" applyNumberFormat="1" applyFont="1"/>
    <xf numFmtId="165" fontId="39" fillId="0" borderId="0" xfId="0" applyNumberFormat="1" applyFont="1"/>
    <xf numFmtId="0" fontId="42" fillId="0" borderId="0" xfId="0" applyFont="1"/>
    <xf numFmtId="166" fontId="42" fillId="0" borderId="0" xfId="0" applyNumberFormat="1" applyFont="1"/>
    <xf numFmtId="165" fontId="42" fillId="0" borderId="0" xfId="0" applyNumberFormat="1" applyFont="1"/>
    <xf numFmtId="0" fontId="31" fillId="0" borderId="0" xfId="0" applyFont="1" applyAlignment="1">
      <alignment horizontal="center"/>
    </xf>
    <xf numFmtId="0" fontId="43" fillId="0" borderId="0" xfId="0" applyFont="1" applyAlignment="1">
      <alignment horizontal="right" vertical="top"/>
    </xf>
    <xf numFmtId="167" fontId="44" fillId="0" borderId="0" xfId="0" applyNumberFormat="1" applyFont="1" applyAlignment="1">
      <alignment horizontal="center" wrapText="1"/>
    </xf>
    <xf numFmtId="166" fontId="43" fillId="0" borderId="0" xfId="0" applyNumberFormat="1" applyFont="1" applyAlignment="1">
      <alignment horizontal="center" vertical="center" wrapText="1"/>
    </xf>
    <xf numFmtId="0" fontId="31" fillId="0" borderId="33" xfId="0" applyFont="1" applyBorder="1"/>
    <xf numFmtId="0" fontId="31" fillId="0" borderId="24" xfId="0" applyFont="1" applyBorder="1"/>
    <xf numFmtId="0" fontId="22" fillId="0" borderId="24" xfId="0" applyFont="1" applyBorder="1"/>
    <xf numFmtId="0" fontId="22" fillId="0" borderId="34" xfId="0" applyFont="1" applyBorder="1"/>
    <xf numFmtId="166" fontId="38" fillId="0" borderId="35" xfId="0" applyNumberFormat="1" applyFont="1" applyBorder="1" applyAlignment="1">
      <alignment horizontal="right" wrapText="1"/>
    </xf>
    <xf numFmtId="0" fontId="19" fillId="0" borderId="0" xfId="0" applyFont="1" applyAlignment="1">
      <alignment vertical="center"/>
    </xf>
    <xf numFmtId="166" fontId="22" fillId="0" borderId="38" xfId="0" applyNumberFormat="1" applyFont="1" applyBorder="1" applyAlignment="1">
      <alignment horizontal="right"/>
    </xf>
    <xf numFmtId="0" fontId="22" fillId="0" borderId="36" xfId="0" applyFont="1" applyBorder="1"/>
    <xf numFmtId="166" fontId="19" fillId="0" borderId="38" xfId="0" applyNumberFormat="1" applyFont="1" applyBorder="1" applyAlignment="1">
      <alignment horizontal="right" vertical="center"/>
    </xf>
    <xf numFmtId="0" fontId="45" fillId="0" borderId="0" xfId="0" applyFont="1" applyAlignment="1">
      <alignment vertical="center"/>
    </xf>
    <xf numFmtId="16" fontId="42" fillId="0" borderId="0" xfId="0" applyNumberFormat="1" applyFont="1" applyAlignment="1">
      <alignment vertical="center"/>
    </xf>
    <xf numFmtId="16" fontId="42" fillId="0" borderId="0" xfId="0" applyNumberFormat="1" applyFont="1"/>
    <xf numFmtId="0" fontId="42" fillId="0" borderId="0" xfId="0" applyFont="1" applyAlignment="1">
      <alignment vertical="center"/>
    </xf>
    <xf numFmtId="2" fontId="42" fillId="0" borderId="0" xfId="0" applyNumberFormat="1" applyFont="1" applyAlignment="1">
      <alignment vertical="center"/>
    </xf>
    <xf numFmtId="166" fontId="31" fillId="0" borderId="35" xfId="0" applyNumberFormat="1" applyFont="1" applyBorder="1" applyAlignment="1">
      <alignment horizontal="right" vertical="center"/>
    </xf>
    <xf numFmtId="165" fontId="43" fillId="0" borderId="0" xfId="0" applyNumberFormat="1" applyFont="1"/>
    <xf numFmtId="0" fontId="5" fillId="0" borderId="0" xfId="0" applyFont="1" applyAlignment="1">
      <alignment vertical="center"/>
    </xf>
    <xf numFmtId="166" fontId="5" fillId="0" borderId="38" xfId="0" applyNumberFormat="1" applyFont="1" applyBorder="1" applyAlignment="1">
      <alignment horizontal="right" vertical="center"/>
    </xf>
    <xf numFmtId="2" fontId="42" fillId="0" borderId="0" xfId="0" applyNumberFormat="1" applyFont="1"/>
    <xf numFmtId="166" fontId="31" fillId="0" borderId="1" xfId="0" applyNumberFormat="1" applyFont="1" applyBorder="1" applyAlignment="1">
      <alignment horizontal="right" vertical="center"/>
    </xf>
    <xf numFmtId="170" fontId="42" fillId="0" borderId="0" xfId="0" applyNumberFormat="1" applyFont="1"/>
    <xf numFmtId="0" fontId="22" fillId="0" borderId="39" xfId="0" applyFont="1" applyBorder="1"/>
    <xf numFmtId="0" fontId="22" fillId="0" borderId="48" xfId="0" applyFont="1" applyBorder="1"/>
    <xf numFmtId="0" fontId="22" fillId="0" borderId="40" xfId="0" applyFont="1" applyBorder="1"/>
    <xf numFmtId="166" fontId="22" fillId="0" borderId="43" xfId="0" applyNumberFormat="1" applyFont="1" applyBorder="1" applyAlignment="1">
      <alignment horizontal="right"/>
    </xf>
    <xf numFmtId="0" fontId="22" fillId="0" borderId="0" xfId="0" applyFont="1" applyAlignment="1">
      <alignment horizontal="left"/>
    </xf>
    <xf numFmtId="0" fontId="22" fillId="0" borderId="0" xfId="0" applyFont="1" applyAlignment="1">
      <alignment horizontal="justify" vertical="justify" wrapText="1"/>
    </xf>
    <xf numFmtId="0" fontId="42" fillId="0" borderId="0" xfId="0" applyFont="1" applyAlignment="1">
      <alignment horizontal="justify" vertical="justify"/>
    </xf>
    <xf numFmtId="0" fontId="42" fillId="0" borderId="0" xfId="0" applyFont="1" applyAlignment="1">
      <alignment horizontal="justify" vertical="justify" wrapText="1"/>
    </xf>
    <xf numFmtId="0" fontId="42" fillId="0" borderId="0" xfId="0" applyFont="1" applyAlignment="1">
      <alignment horizontal="left" vertical="justify" wrapText="1"/>
    </xf>
    <xf numFmtId="0" fontId="31" fillId="0" borderId="0" xfId="0" applyFont="1"/>
    <xf numFmtId="0" fontId="43" fillId="0" borderId="0" xfId="0" applyFont="1"/>
    <xf numFmtId="3" fontId="22" fillId="0" borderId="0" xfId="0" applyNumberFormat="1" applyFont="1" applyAlignment="1">
      <alignment vertical="center"/>
    </xf>
    <xf numFmtId="3" fontId="22" fillId="0" borderId="0" xfId="0" applyNumberFormat="1" applyFont="1"/>
    <xf numFmtId="3" fontId="43" fillId="0" borderId="0" xfId="0" applyNumberFormat="1" applyFont="1"/>
    <xf numFmtId="49" fontId="22" fillId="0" borderId="0" xfId="0" applyNumberFormat="1" applyFont="1"/>
    <xf numFmtId="0" fontId="41" fillId="0" borderId="0" xfId="0" applyFont="1" applyAlignment="1">
      <alignment horizontal="center"/>
    </xf>
    <xf numFmtId="0" fontId="36" fillId="0" borderId="0" xfId="0" applyFont="1" applyAlignment="1">
      <alignment horizontal="left" wrapText="1"/>
    </xf>
    <xf numFmtId="0" fontId="46" fillId="0" borderId="0" xfId="0" applyFont="1" applyAlignment="1">
      <alignment horizontal="center" vertical="center"/>
    </xf>
    <xf numFmtId="0" fontId="47" fillId="0" borderId="0" xfId="0" applyFont="1" applyAlignment="1">
      <alignment horizontal="center"/>
    </xf>
    <xf numFmtId="166" fontId="47" fillId="0" borderId="0" xfId="0" applyNumberFormat="1" applyFont="1" applyAlignment="1">
      <alignment horizontal="center"/>
    </xf>
    <xf numFmtId="0" fontId="31" fillId="0" borderId="0" xfId="0" applyFont="1" applyAlignment="1">
      <alignment horizontal="left" vertical="center"/>
    </xf>
    <xf numFmtId="0" fontId="41" fillId="0" borderId="0" xfId="0" applyFont="1" applyAlignment="1">
      <alignment horizontal="left"/>
    </xf>
    <xf numFmtId="0" fontId="48" fillId="0" borderId="0" xfId="0" applyFont="1" applyAlignment="1">
      <alignment horizontal="center" vertical="center"/>
    </xf>
    <xf numFmtId="0" fontId="49" fillId="0" borderId="0" xfId="0" applyFont="1" applyAlignment="1">
      <alignment horizontal="center"/>
    </xf>
    <xf numFmtId="166" fontId="49" fillId="0" borderId="0" xfId="0" applyNumberFormat="1" applyFont="1" applyAlignment="1">
      <alignment horizontal="center"/>
    </xf>
    <xf numFmtId="0" fontId="50" fillId="0" borderId="0" xfId="0" applyFont="1" applyAlignment="1">
      <alignment horizontal="right" vertical="center"/>
    </xf>
    <xf numFmtId="0" fontId="41" fillId="0" borderId="1" xfId="0" applyFont="1" applyBorder="1" applyAlignment="1">
      <alignment horizontal="left" vertical="center"/>
    </xf>
    <xf numFmtId="166" fontId="31" fillId="0" borderId="1" xfId="0" applyNumberFormat="1" applyFont="1" applyBorder="1" applyAlignment="1">
      <alignment horizontal="center" vertical="center" wrapText="1"/>
    </xf>
    <xf numFmtId="0" fontId="39" fillId="0" borderId="36" xfId="0" applyFont="1" applyBorder="1" applyAlignment="1">
      <alignment horizontal="left" vertical="center"/>
    </xf>
    <xf numFmtId="0" fontId="35" fillId="0" borderId="0" xfId="0" applyFont="1"/>
    <xf numFmtId="166" fontId="36" fillId="0" borderId="36" xfId="0" applyNumberFormat="1" applyFont="1" applyBorder="1"/>
    <xf numFmtId="166" fontId="36" fillId="0" borderId="38" xfId="0" applyNumberFormat="1" applyFont="1" applyBorder="1"/>
    <xf numFmtId="0" fontId="22" fillId="0" borderId="36" xfId="0" applyFont="1" applyBorder="1" applyAlignment="1">
      <alignment horizontal="left" vertical="center"/>
    </xf>
    <xf numFmtId="0" fontId="22" fillId="0" borderId="0" xfId="0" applyFont="1" applyAlignment="1">
      <alignment horizontal="left" vertical="center" wrapText="1"/>
    </xf>
    <xf numFmtId="166" fontId="41" fillId="0" borderId="49" xfId="0" applyNumberFormat="1" applyFont="1" applyBorder="1" applyAlignment="1">
      <alignment vertical="center"/>
    </xf>
    <xf numFmtId="166" fontId="41" fillId="0" borderId="50" xfId="0" applyNumberFormat="1" applyFont="1" applyBorder="1" applyAlignment="1">
      <alignment vertical="center"/>
    </xf>
    <xf numFmtId="0" fontId="36" fillId="0" borderId="36" xfId="0" applyFont="1" applyBorder="1"/>
    <xf numFmtId="166" fontId="36" fillId="0" borderId="36" xfId="0" applyNumberFormat="1" applyFont="1" applyBorder="1" applyAlignment="1">
      <alignment vertical="center"/>
    </xf>
    <xf numFmtId="0" fontId="31" fillId="0" borderId="36" xfId="0" applyFont="1" applyBorder="1" applyAlignment="1">
      <alignment vertical="center"/>
    </xf>
    <xf numFmtId="166" fontId="36" fillId="0" borderId="38" xfId="0" applyNumberFormat="1" applyFont="1" applyBorder="1" applyAlignment="1">
      <alignment vertical="center"/>
    </xf>
    <xf numFmtId="0" fontId="36" fillId="0" borderId="51" xfId="0" applyFont="1" applyBorder="1"/>
    <xf numFmtId="0" fontId="36" fillId="0" borderId="48" xfId="0" applyFont="1" applyBorder="1"/>
    <xf numFmtId="0" fontId="36" fillId="0" borderId="52" xfId="0" applyFont="1" applyBorder="1"/>
    <xf numFmtId="166" fontId="41" fillId="0" borderId="53" xfId="0" applyNumberFormat="1" applyFont="1" applyBorder="1" applyAlignment="1">
      <alignment vertical="center"/>
    </xf>
    <xf numFmtId="166" fontId="41" fillId="0" borderId="41" xfId="0" applyNumberFormat="1" applyFont="1" applyBorder="1" applyAlignment="1">
      <alignment vertical="center"/>
    </xf>
    <xf numFmtId="165" fontId="31" fillId="0" borderId="0" xfId="0" applyNumberFormat="1" applyFont="1" applyAlignment="1">
      <alignment horizontal="right"/>
    </xf>
    <xf numFmtId="165" fontId="41" fillId="0" borderId="0" xfId="0" applyNumberFormat="1" applyFont="1"/>
    <xf numFmtId="49" fontId="31" fillId="0" borderId="0" xfId="0" applyNumberFormat="1" applyFont="1" applyAlignment="1">
      <alignment horizontal="center" vertical="top"/>
    </xf>
    <xf numFmtId="0" fontId="41" fillId="0" borderId="33" xfId="0" applyFont="1" applyBorder="1" applyAlignment="1">
      <alignment horizontal="left" vertical="center"/>
    </xf>
    <xf numFmtId="0" fontId="41" fillId="0" borderId="24" xfId="0" applyFont="1" applyBorder="1" applyAlignment="1">
      <alignment horizontal="left" vertical="center"/>
    </xf>
    <xf numFmtId="0" fontId="41" fillId="0" borderId="34" xfId="0" applyFont="1" applyBorder="1" applyAlignment="1">
      <alignment horizontal="left" vertical="center"/>
    </xf>
    <xf numFmtId="166" fontId="31" fillId="0" borderId="35" xfId="0" applyNumberFormat="1" applyFont="1" applyBorder="1" applyAlignment="1">
      <alignment horizontal="center" vertical="center" wrapText="1"/>
    </xf>
    <xf numFmtId="0" fontId="39" fillId="0" borderId="33" xfId="0" applyFont="1" applyBorder="1" applyAlignment="1">
      <alignment horizontal="left" vertical="top"/>
    </xf>
    <xf numFmtId="165" fontId="22" fillId="0" borderId="24" xfId="0" applyNumberFormat="1" applyFont="1" applyBorder="1" applyAlignment="1">
      <alignment horizontal="left" vertical="top" wrapText="1"/>
    </xf>
    <xf numFmtId="0" fontId="0" fillId="0" borderId="24" xfId="0" applyBorder="1"/>
    <xf numFmtId="0" fontId="0" fillId="0" borderId="34" xfId="0" applyBorder="1"/>
    <xf numFmtId="166" fontId="31" fillId="0" borderId="16" xfId="0" applyNumberFormat="1" applyFont="1" applyBorder="1" applyAlignment="1">
      <alignment horizontal="center" vertical="top"/>
    </xf>
    <xf numFmtId="165" fontId="31" fillId="0" borderId="54" xfId="0" applyNumberFormat="1" applyFont="1" applyBorder="1" applyAlignment="1">
      <alignment horizontal="center" vertical="top"/>
    </xf>
    <xf numFmtId="165" fontId="36" fillId="0" borderId="34" xfId="0" applyNumberFormat="1" applyFont="1" applyBorder="1" applyAlignment="1">
      <alignment vertical="top"/>
    </xf>
    <xf numFmtId="166" fontId="36" fillId="0" borderId="35" xfId="0" applyNumberFormat="1" applyFont="1" applyBorder="1" applyAlignment="1">
      <alignment vertical="top"/>
    </xf>
    <xf numFmtId="166" fontId="36" fillId="0" borderId="38" xfId="0" applyNumberFormat="1" applyFont="1" applyBorder="1" applyAlignment="1">
      <alignment vertical="top"/>
    </xf>
    <xf numFmtId="0" fontId="39" fillId="0" borderId="39" xfId="0" applyFont="1" applyBorder="1" applyAlignment="1">
      <alignment horizontal="left" vertical="top" wrapText="1"/>
    </xf>
    <xf numFmtId="0" fontId="22" fillId="0" borderId="48" xfId="0" applyFont="1" applyBorder="1" applyAlignment="1">
      <alignment vertical="top"/>
    </xf>
    <xf numFmtId="0" fontId="36" fillId="0" borderId="48" xfId="0" applyFont="1" applyBorder="1" applyAlignment="1">
      <alignment vertical="top"/>
    </xf>
    <xf numFmtId="0" fontId="0" fillId="0" borderId="48" xfId="0" applyBorder="1"/>
    <xf numFmtId="0" fontId="0" fillId="0" borderId="40" xfId="0" applyBorder="1"/>
    <xf numFmtId="165" fontId="41" fillId="0" borderId="55" xfId="0" applyNumberFormat="1" applyFont="1" applyBorder="1" applyAlignment="1">
      <alignment vertical="top"/>
    </xf>
    <xf numFmtId="166" fontId="41" fillId="0" borderId="41" xfId="0" applyNumberFormat="1" applyFont="1" applyBorder="1" applyAlignment="1">
      <alignment vertical="top"/>
    </xf>
    <xf numFmtId="0" fontId="39" fillId="0" borderId="0" xfId="0" applyFont="1" applyAlignment="1">
      <alignment horizontal="left" vertical="top"/>
    </xf>
    <xf numFmtId="165" fontId="41" fillId="0" borderId="0" xfId="0" applyNumberFormat="1" applyFont="1" applyAlignment="1">
      <alignment vertical="top"/>
    </xf>
    <xf numFmtId="0" fontId="31" fillId="0" borderId="0" xfId="0" applyFont="1" applyAlignment="1">
      <alignment horizontal="center" vertical="top" wrapText="1" shrinkToFit="1"/>
    </xf>
    <xf numFmtId="0" fontId="31" fillId="0" borderId="33" xfId="0" applyFont="1" applyBorder="1" applyAlignment="1">
      <alignment horizontal="left" vertical="center"/>
    </xf>
    <xf numFmtId="0" fontId="31" fillId="0" borderId="24" xfId="0" applyFont="1" applyBorder="1" applyAlignment="1">
      <alignment horizontal="left" vertical="center"/>
    </xf>
    <xf numFmtId="0" fontId="31" fillId="0" borderId="34" xfId="0" applyFont="1" applyBorder="1" applyAlignment="1">
      <alignment horizontal="left" vertical="center"/>
    </xf>
    <xf numFmtId="166" fontId="31" fillId="0" borderId="33" xfId="0" applyNumberFormat="1" applyFont="1" applyBorder="1" applyAlignment="1">
      <alignment horizontal="center" vertical="center" wrapText="1"/>
    </xf>
    <xf numFmtId="166" fontId="31" fillId="0" borderId="34" xfId="0" applyNumberFormat="1" applyFont="1" applyBorder="1" applyAlignment="1">
      <alignment horizontal="center" vertical="center" wrapText="1"/>
    </xf>
    <xf numFmtId="0" fontId="31" fillId="0" borderId="39" xfId="0" applyFont="1" applyBorder="1" applyAlignment="1">
      <alignment horizontal="left" vertical="center"/>
    </xf>
    <xf numFmtId="0" fontId="31" fillId="0" borderId="48" xfId="0" applyFont="1" applyBorder="1" applyAlignment="1">
      <alignment horizontal="left" vertical="center"/>
    </xf>
    <xf numFmtId="0" fontId="31" fillId="0" borderId="40" xfId="0" applyFont="1" applyBorder="1" applyAlignment="1">
      <alignment horizontal="left" vertical="center"/>
    </xf>
    <xf numFmtId="165" fontId="31" fillId="0" borderId="2" xfId="0" applyNumberFormat="1" applyFont="1" applyBorder="1" applyAlignment="1">
      <alignment horizontal="center" vertical="top" wrapText="1"/>
    </xf>
    <xf numFmtId="165" fontId="31" fillId="0" borderId="56" xfId="0" applyNumberFormat="1" applyFont="1" applyBorder="1" applyAlignment="1">
      <alignment horizontal="center" vertical="top" wrapText="1"/>
    </xf>
    <xf numFmtId="166" fontId="31" fillId="0" borderId="54" xfId="0" applyNumberFormat="1" applyFont="1" applyBorder="1" applyAlignment="1">
      <alignment horizontal="center" vertical="top"/>
    </xf>
    <xf numFmtId="9" fontId="51" fillId="0" borderId="35" xfId="0" applyNumberFormat="1" applyFont="1" applyBorder="1"/>
    <xf numFmtId="166" fontId="36" fillId="0" borderId="34" xfId="0" applyNumberFormat="1" applyFont="1" applyBorder="1" applyAlignment="1">
      <alignment vertical="top"/>
    </xf>
    <xf numFmtId="9" fontId="51" fillId="0" borderId="38" xfId="0" applyNumberFormat="1" applyFont="1" applyBorder="1"/>
    <xf numFmtId="166" fontId="36" fillId="0" borderId="37" xfId="0" applyNumberFormat="1" applyFont="1" applyBorder="1" applyAlignment="1">
      <alignment vertical="top"/>
    </xf>
    <xf numFmtId="0" fontId="22" fillId="0" borderId="39" xfId="0" applyFont="1" applyBorder="1" applyAlignment="1">
      <alignment vertical="top" wrapText="1"/>
    </xf>
    <xf numFmtId="165" fontId="33" fillId="0" borderId="43" xfId="0" applyNumberFormat="1" applyFont="1" applyBorder="1" applyAlignment="1">
      <alignment vertical="top"/>
    </xf>
    <xf numFmtId="9" fontId="51" fillId="0" borderId="43" xfId="0" applyNumberFormat="1" applyFont="1" applyBorder="1"/>
    <xf numFmtId="165" fontId="33" fillId="0" borderId="40" xfId="0" applyNumberFormat="1" applyFont="1" applyBorder="1" applyAlignment="1">
      <alignment vertical="top"/>
    </xf>
    <xf numFmtId="9" fontId="36" fillId="0" borderId="0" xfId="0" applyNumberFormat="1" applyFont="1" applyAlignment="1">
      <alignment vertical="top"/>
    </xf>
    <xf numFmtId="1" fontId="31" fillId="10" borderId="0" xfId="0" applyNumberFormat="1" applyFont="1" applyFill="1" applyAlignment="1">
      <alignment horizontal="left" vertical="center"/>
    </xf>
    <xf numFmtId="0" fontId="22" fillId="10" borderId="0" xfId="0" applyFont="1" applyFill="1"/>
    <xf numFmtId="2" fontId="52" fillId="0" borderId="0" xfId="0" applyNumberFormat="1" applyFont="1" applyAlignment="1">
      <alignment horizontal="right"/>
    </xf>
    <xf numFmtId="1" fontId="53" fillId="0" borderId="0" xfId="0" applyNumberFormat="1" applyFont="1" applyAlignment="1">
      <alignment horizontal="center" vertical="center"/>
    </xf>
    <xf numFmtId="1" fontId="31" fillId="0" borderId="1" xfId="0" applyNumberFormat="1" applyFont="1" applyBorder="1" applyAlignment="1">
      <alignment horizontal="left" vertical="center"/>
    </xf>
    <xf numFmtId="1" fontId="31" fillId="0" borderId="54" xfId="0" applyNumberFormat="1" applyFont="1" applyBorder="1" applyAlignment="1">
      <alignment horizontal="center" vertical="center" wrapText="1"/>
    </xf>
    <xf numFmtId="0" fontId="0" fillId="0" borderId="2" xfId="0" applyBorder="1"/>
    <xf numFmtId="1" fontId="31" fillId="0" borderId="57" xfId="0" applyNumberFormat="1" applyFont="1" applyBorder="1" applyAlignment="1">
      <alignment horizontal="right" vertical="center" wrapText="1"/>
    </xf>
    <xf numFmtId="0" fontId="0" fillId="0" borderId="36" xfId="0" applyBorder="1"/>
    <xf numFmtId="1" fontId="31" fillId="0" borderId="35" xfId="0" applyNumberFormat="1" applyFont="1" applyBorder="1" applyAlignment="1">
      <alignment horizontal="center" vertical="center" wrapText="1"/>
    </xf>
    <xf numFmtId="165" fontId="31" fillId="0" borderId="34" xfId="0" applyNumberFormat="1" applyFont="1" applyBorder="1" applyAlignment="1">
      <alignment horizontal="center" vertical="center" wrapText="1"/>
    </xf>
    <xf numFmtId="165" fontId="31" fillId="0" borderId="35" xfId="0" applyNumberFormat="1" applyFont="1" applyBorder="1" applyAlignment="1">
      <alignment horizontal="center" vertical="center" wrapText="1"/>
    </xf>
    <xf numFmtId="0" fontId="0" fillId="0" borderId="58" xfId="0" applyBorder="1"/>
    <xf numFmtId="1" fontId="53" fillId="0" borderId="0" xfId="0" applyNumberFormat="1" applyFont="1" applyAlignment="1">
      <alignment horizontal="center"/>
    </xf>
    <xf numFmtId="0" fontId="22" fillId="0" borderId="33" xfId="0" applyFont="1" applyBorder="1" applyAlignment="1">
      <alignment horizontal="left" vertical="top"/>
    </xf>
    <xf numFmtId="37" fontId="22" fillId="0" borderId="35" xfId="0" applyNumberFormat="1" applyFont="1" applyBorder="1" applyAlignment="1">
      <alignment vertical="top"/>
    </xf>
    <xf numFmtId="9" fontId="22" fillId="0" borderId="35" xfId="0" applyNumberFormat="1" applyFont="1" applyBorder="1" applyAlignment="1">
      <alignment horizontal="right" vertical="top"/>
    </xf>
    <xf numFmtId="165" fontId="22" fillId="0" borderId="35" xfId="0" applyNumberFormat="1" applyFont="1" applyBorder="1" applyAlignment="1">
      <alignment vertical="top"/>
    </xf>
    <xf numFmtId="166" fontId="22" fillId="0" borderId="35" xfId="0" applyNumberFormat="1" applyFont="1" applyBorder="1" applyAlignment="1">
      <alignment horizontal="left" vertical="top" wrapText="1"/>
    </xf>
    <xf numFmtId="37" fontId="22" fillId="0" borderId="38" xfId="0" applyNumberFormat="1" applyFont="1" applyBorder="1" applyAlignment="1">
      <alignment vertical="top"/>
    </xf>
    <xf numFmtId="9" fontId="22" fillId="0" borderId="38" xfId="0" applyNumberFormat="1" applyFont="1" applyBorder="1" applyAlignment="1">
      <alignment horizontal="right" vertical="top"/>
    </xf>
    <xf numFmtId="165" fontId="22" fillId="0" borderId="38" xfId="0" applyNumberFormat="1" applyFont="1" applyBorder="1" applyAlignment="1">
      <alignment vertical="top"/>
    </xf>
    <xf numFmtId="166" fontId="22" fillId="0" borderId="38" xfId="0" applyNumberFormat="1" applyFont="1" applyBorder="1" applyAlignment="1">
      <alignment horizontal="left" vertical="top" wrapText="1"/>
    </xf>
    <xf numFmtId="1" fontId="22" fillId="0" borderId="39" xfId="0" applyNumberFormat="1" applyFont="1" applyBorder="1" applyAlignment="1">
      <alignment horizontal="left" vertical="top"/>
    </xf>
    <xf numFmtId="165" fontId="22" fillId="0" borderId="43" xfId="0" applyNumberFormat="1" applyFont="1" applyBorder="1" applyAlignment="1">
      <alignment vertical="top"/>
    </xf>
    <xf numFmtId="9" fontId="22" fillId="0" borderId="43" xfId="0" applyNumberFormat="1" applyFont="1" applyBorder="1" applyAlignment="1">
      <alignment horizontal="right" vertical="top"/>
    </xf>
    <xf numFmtId="0" fontId="22" fillId="0" borderId="43" xfId="0" applyFont="1" applyBorder="1" applyAlignment="1">
      <alignment vertical="top"/>
    </xf>
    <xf numFmtId="1" fontId="22" fillId="0" borderId="43" xfId="0" applyNumberFormat="1" applyFont="1" applyBorder="1" applyAlignment="1">
      <alignment horizontal="left" vertical="top" wrapText="1"/>
    </xf>
    <xf numFmtId="1" fontId="19" fillId="0" borderId="39" xfId="0" applyNumberFormat="1" applyFont="1" applyBorder="1" applyAlignment="1">
      <alignment horizontal="left" vertical="top"/>
    </xf>
    <xf numFmtId="165" fontId="19" fillId="0" borderId="59" xfId="0" applyNumberFormat="1" applyFont="1" applyBorder="1" applyAlignment="1">
      <alignment horizontal="right" vertical="top" wrapText="1"/>
    </xf>
    <xf numFmtId="9" fontId="19" fillId="0" borderId="59" xfId="0" applyNumberFormat="1" applyFont="1" applyBorder="1" applyAlignment="1">
      <alignment horizontal="right" vertical="top" wrapText="1"/>
    </xf>
    <xf numFmtId="166" fontId="19" fillId="0" borderId="59" xfId="0" applyNumberFormat="1" applyFont="1" applyBorder="1" applyAlignment="1">
      <alignment horizontal="right" vertical="top" wrapText="1"/>
    </xf>
    <xf numFmtId="0" fontId="22" fillId="0" borderId="0" xfId="0" applyFont="1" applyAlignment="1">
      <alignment horizontal="justify" wrapText="1"/>
    </xf>
    <xf numFmtId="0" fontId="39" fillId="0" borderId="0" xfId="0" applyFont="1" applyAlignment="1">
      <alignment vertical="center"/>
    </xf>
    <xf numFmtId="0" fontId="22" fillId="0" borderId="33" xfId="0" applyFont="1" applyBorder="1" applyAlignment="1">
      <alignment vertical="top"/>
    </xf>
    <xf numFmtId="166" fontId="36" fillId="0" borderId="33" xfId="0" applyNumberFormat="1" applyFont="1" applyBorder="1" applyAlignment="1">
      <alignment vertical="top"/>
    </xf>
    <xf numFmtId="166" fontId="36" fillId="0" borderId="36" xfId="0" applyNumberFormat="1" applyFont="1" applyBorder="1" applyAlignment="1">
      <alignment vertical="top"/>
    </xf>
    <xf numFmtId="1" fontId="54" fillId="0" borderId="0" xfId="0" applyNumberFormat="1" applyFont="1" applyAlignment="1">
      <alignment horizontal="center"/>
    </xf>
    <xf numFmtId="166" fontId="36" fillId="0" borderId="53" xfId="0" applyNumberFormat="1" applyFont="1" applyBorder="1" applyAlignment="1">
      <alignment vertical="top"/>
    </xf>
    <xf numFmtId="0" fontId="39" fillId="0" borderId="36" xfId="0" applyFont="1" applyBorder="1" applyAlignment="1">
      <alignment vertical="top"/>
    </xf>
    <xf numFmtId="0" fontId="36" fillId="0" borderId="39" xfId="0" applyFont="1" applyBorder="1" applyAlignment="1">
      <alignment vertical="top"/>
    </xf>
    <xf numFmtId="166" fontId="36" fillId="0" borderId="39" xfId="0" applyNumberFormat="1" applyFont="1" applyBorder="1" applyAlignment="1">
      <alignment vertical="top"/>
    </xf>
    <xf numFmtId="166" fontId="36" fillId="0" borderId="43" xfId="0" applyNumberFormat="1" applyFont="1" applyBorder="1" applyAlignment="1">
      <alignment vertical="top"/>
    </xf>
    <xf numFmtId="0" fontId="19" fillId="0" borderId="39" xfId="0" applyFont="1" applyBorder="1" applyAlignment="1">
      <alignment horizontal="left" vertical="top"/>
    </xf>
    <xf numFmtId="165" fontId="31" fillId="0" borderId="40" xfId="0" applyNumberFormat="1" applyFont="1" applyBorder="1" applyAlignment="1">
      <alignment vertical="top"/>
    </xf>
    <xf numFmtId="166" fontId="19" fillId="0" borderId="59" xfId="0" applyNumberFormat="1" applyFont="1" applyBorder="1" applyAlignment="1">
      <alignment vertical="top"/>
    </xf>
    <xf numFmtId="1" fontId="48" fillId="0" borderId="0" xfId="0" applyNumberFormat="1" applyFont="1" applyAlignment="1">
      <alignment horizontal="left"/>
    </xf>
    <xf numFmtId="2" fontId="48" fillId="0" borderId="0" xfId="0" applyNumberFormat="1" applyFont="1" applyAlignment="1">
      <alignment horizontal="right"/>
    </xf>
    <xf numFmtId="1" fontId="48" fillId="0" borderId="0" xfId="0" applyNumberFormat="1" applyFont="1" applyAlignment="1">
      <alignment horizontal="center"/>
    </xf>
    <xf numFmtId="172" fontId="48" fillId="0" borderId="0" xfId="0" applyNumberFormat="1" applyFont="1" applyAlignment="1">
      <alignment horizontal="right"/>
    </xf>
    <xf numFmtId="0" fontId="49" fillId="0" borderId="0" xfId="0" applyFont="1"/>
    <xf numFmtId="0" fontId="31" fillId="0" borderId="33" xfId="0" applyFont="1" applyBorder="1" applyAlignment="1">
      <alignment horizontal="left" vertical="top"/>
    </xf>
    <xf numFmtId="0" fontId="36" fillId="0" borderId="60" xfId="0" applyFont="1" applyBorder="1" applyAlignment="1">
      <alignment vertical="top"/>
    </xf>
    <xf numFmtId="0" fontId="36" fillId="0" borderId="61" xfId="0" applyFont="1" applyBorder="1" applyAlignment="1">
      <alignment vertical="top"/>
    </xf>
    <xf numFmtId="2" fontId="31" fillId="0" borderId="35" xfId="0" applyNumberFormat="1" applyFont="1" applyBorder="1" applyAlignment="1">
      <alignment horizontal="center" vertical="top" wrapText="1"/>
    </xf>
    <xf numFmtId="2" fontId="31" fillId="0" borderId="61" xfId="0" applyNumberFormat="1" applyFont="1" applyBorder="1" applyAlignment="1">
      <alignment horizontal="center" vertical="top" wrapText="1"/>
    </xf>
    <xf numFmtId="0" fontId="55" fillId="0" borderId="33" xfId="0" applyFont="1" applyBorder="1" applyAlignment="1">
      <alignment horizontal="left" vertical="top"/>
    </xf>
    <xf numFmtId="0" fontId="36" fillId="0" borderId="36" xfId="0" applyFont="1" applyBorder="1" applyAlignment="1">
      <alignment vertical="top"/>
    </xf>
    <xf numFmtId="0" fontId="41" fillId="0" borderId="36" xfId="0" applyFont="1" applyBorder="1" applyAlignment="1">
      <alignment vertical="top"/>
    </xf>
    <xf numFmtId="0" fontId="19" fillId="0" borderId="15" xfId="0" applyFont="1" applyBorder="1" applyAlignment="1">
      <alignment horizontal="left" vertical="top"/>
    </xf>
    <xf numFmtId="0" fontId="0" fillId="0" borderId="16" xfId="0" applyBorder="1"/>
    <xf numFmtId="0" fontId="36" fillId="0" borderId="16" xfId="0" applyFont="1" applyBorder="1" applyAlignment="1">
      <alignment vertical="top"/>
    </xf>
    <xf numFmtId="165" fontId="31" fillId="0" borderId="2" xfId="0" applyNumberFormat="1" applyFont="1" applyBorder="1" applyAlignment="1">
      <alignment vertical="top"/>
    </xf>
    <xf numFmtId="166" fontId="19" fillId="0" borderId="62" xfId="0" applyNumberFormat="1" applyFont="1" applyBorder="1" applyAlignment="1">
      <alignment vertical="top"/>
    </xf>
    <xf numFmtId="0" fontId="56" fillId="0" borderId="0" xfId="0" applyFont="1" applyAlignment="1">
      <alignment horizontal="left" vertical="top"/>
    </xf>
    <xf numFmtId="166" fontId="41" fillId="0" borderId="0" xfId="0" applyNumberFormat="1" applyFont="1" applyAlignment="1">
      <alignment vertical="top"/>
    </xf>
    <xf numFmtId="0" fontId="31" fillId="0" borderId="0" xfId="0" applyFont="1" applyAlignment="1">
      <alignment vertical="center" wrapText="1"/>
    </xf>
    <xf numFmtId="2" fontId="31" fillId="0" borderId="0" xfId="0" applyNumberFormat="1" applyFont="1" applyAlignment="1">
      <alignment horizontal="center" vertical="top" wrapText="1"/>
    </xf>
    <xf numFmtId="2" fontId="31" fillId="0" borderId="38" xfId="0" applyNumberFormat="1" applyFont="1" applyBorder="1" applyAlignment="1">
      <alignment horizontal="center" vertical="top" wrapText="1"/>
    </xf>
    <xf numFmtId="0" fontId="36" fillId="0" borderId="36" xfId="0" applyFont="1" applyBorder="1" applyAlignment="1">
      <alignment horizontal="left" vertical="top" wrapText="1"/>
    </xf>
    <xf numFmtId="0" fontId="36" fillId="0" borderId="36" xfId="0" applyFont="1" applyBorder="1" applyAlignment="1">
      <alignment vertical="top" wrapText="1"/>
    </xf>
    <xf numFmtId="0" fontId="31" fillId="0" borderId="33" xfId="0" applyFont="1" applyBorder="1" applyAlignment="1">
      <alignment horizontal="left" vertical="top" wrapText="1"/>
    </xf>
    <xf numFmtId="0" fontId="41" fillId="0" borderId="36" xfId="0" applyFont="1" applyBorder="1" applyAlignment="1">
      <alignment vertical="top" wrapText="1"/>
    </xf>
    <xf numFmtId="0" fontId="36" fillId="0" borderId="56" xfId="0" applyFont="1" applyBorder="1" applyAlignment="1">
      <alignment vertical="top"/>
    </xf>
    <xf numFmtId="0" fontId="25" fillId="0" borderId="0" xfId="0" applyFont="1" applyAlignment="1">
      <alignment vertical="center"/>
    </xf>
    <xf numFmtId="1" fontId="25" fillId="0" borderId="0" xfId="0" applyNumberFormat="1" applyFont="1" applyAlignment="1">
      <alignment horizontal="left"/>
    </xf>
    <xf numFmtId="1" fontId="57" fillId="0" borderId="0" xfId="0" applyNumberFormat="1" applyFont="1" applyAlignment="1">
      <alignment horizontal="left"/>
    </xf>
    <xf numFmtId="165" fontId="25" fillId="0" borderId="0" xfId="0" applyNumberFormat="1" applyFont="1" applyAlignment="1">
      <alignment horizontal="right"/>
    </xf>
    <xf numFmtId="165" fontId="58" fillId="0" borderId="0" xfId="0" applyNumberFormat="1" applyFont="1" applyAlignment="1">
      <alignment horizontal="right" vertical="center"/>
    </xf>
    <xf numFmtId="0" fontId="25" fillId="0" borderId="57" xfId="0" applyFont="1" applyBorder="1" applyAlignment="1">
      <alignment horizontal="left" vertical="center"/>
    </xf>
    <xf numFmtId="0" fontId="0" fillId="0" borderId="32" xfId="0" applyBorder="1"/>
    <xf numFmtId="0" fontId="59" fillId="0" borderId="23" xfId="0" applyFont="1" applyBorder="1" applyAlignment="1">
      <alignment horizontal="center" vertical="center" wrapText="1"/>
    </xf>
    <xf numFmtId="0" fontId="0" fillId="0" borderId="21" xfId="0" applyBorder="1"/>
    <xf numFmtId="0" fontId="19" fillId="0" borderId="35" xfId="0" applyFont="1" applyBorder="1" applyAlignment="1">
      <alignment horizontal="center" vertical="center"/>
    </xf>
    <xf numFmtId="0" fontId="0" fillId="0" borderId="27" xfId="0" applyBorder="1"/>
    <xf numFmtId="0" fontId="19" fillId="0" borderId="1" xfId="0" applyFont="1" applyBorder="1" applyAlignment="1">
      <alignment horizontal="right" vertical="center" wrapText="1"/>
    </xf>
    <xf numFmtId="0" fontId="19" fillId="0" borderId="43" xfId="0" applyFont="1" applyBorder="1" applyAlignment="1">
      <alignment horizontal="center" vertical="center"/>
    </xf>
    <xf numFmtId="0" fontId="55" fillId="11" borderId="0" xfId="0" applyFont="1" applyFill="1"/>
    <xf numFmtId="0" fontId="22" fillId="0" borderId="57" xfId="0" applyFont="1" applyBorder="1" applyAlignment="1">
      <alignment horizontal="left" vertical="top"/>
    </xf>
    <xf numFmtId="166" fontId="22" fillId="0" borderId="58" xfId="0" applyNumberFormat="1" applyFont="1" applyBorder="1" applyAlignment="1">
      <alignment vertical="top"/>
    </xf>
    <xf numFmtId="166" fontId="22" fillId="0" borderId="27" xfId="0" applyNumberFormat="1" applyFont="1" applyBorder="1" applyAlignment="1">
      <alignment vertical="top"/>
    </xf>
    <xf numFmtId="166" fontId="31" fillId="0" borderId="58" xfId="0" applyNumberFormat="1" applyFont="1" applyBorder="1" applyAlignment="1">
      <alignment vertical="top"/>
    </xf>
    <xf numFmtId="0" fontId="22" fillId="0" borderId="58" xfId="0" applyFont="1" applyBorder="1" applyAlignment="1">
      <alignment horizontal="left" vertical="top"/>
    </xf>
    <xf numFmtId="0" fontId="0" fillId="0" borderId="28" xfId="0" applyBorder="1"/>
    <xf numFmtId="0" fontId="22" fillId="0" borderId="58" xfId="0" applyFont="1" applyBorder="1" applyAlignment="1">
      <alignment horizontal="left" vertical="top" wrapText="1"/>
    </xf>
    <xf numFmtId="0" fontId="22" fillId="0" borderId="63" xfId="0" applyFont="1" applyBorder="1" applyAlignment="1">
      <alignment horizontal="left"/>
    </xf>
    <xf numFmtId="0" fontId="0" fillId="0" borderId="31" xfId="0" applyBorder="1"/>
    <xf numFmtId="166" fontId="22" fillId="0" borderId="64" xfId="0" applyNumberFormat="1" applyFont="1" applyBorder="1"/>
    <xf numFmtId="166" fontId="22" fillId="0" borderId="65" xfId="0" applyNumberFormat="1" applyFont="1" applyBorder="1"/>
    <xf numFmtId="166" fontId="31" fillId="0" borderId="64" xfId="0" applyNumberFormat="1" applyFont="1" applyBorder="1"/>
    <xf numFmtId="166" fontId="31" fillId="0" borderId="0" xfId="0" applyNumberFormat="1" applyFont="1"/>
    <xf numFmtId="0" fontId="29" fillId="0" borderId="32" xfId="0" applyFont="1" applyBorder="1"/>
    <xf numFmtId="0" fontId="29" fillId="0" borderId="21" xfId="0" applyFont="1" applyBorder="1"/>
    <xf numFmtId="0" fontId="28" fillId="0" borderId="35" xfId="0" applyFont="1" applyBorder="1" applyAlignment="1">
      <alignment horizontal="center" vertical="center"/>
    </xf>
    <xf numFmtId="0" fontId="29" fillId="0" borderId="27" xfId="0" applyFont="1" applyBorder="1"/>
    <xf numFmtId="0" fontId="28" fillId="0" borderId="1" xfId="0" applyFont="1" applyBorder="1" applyAlignment="1">
      <alignment horizontal="right" vertical="center" wrapText="1"/>
    </xf>
    <xf numFmtId="0" fontId="28" fillId="0" borderId="43" xfId="0" applyFont="1" applyBorder="1" applyAlignment="1">
      <alignment horizontal="center" vertical="center"/>
    </xf>
    <xf numFmtId="0" fontId="29" fillId="0" borderId="28" xfId="0" applyFont="1" applyBorder="1"/>
    <xf numFmtId="0" fontId="29" fillId="0" borderId="31" xfId="0" applyFont="1" applyBorder="1"/>
    <xf numFmtId="0" fontId="58" fillId="0" borderId="0" xfId="0" applyFont="1" applyAlignment="1">
      <alignment horizontal="left"/>
    </xf>
    <xf numFmtId="166" fontId="58" fillId="0" borderId="0" xfId="0" applyNumberFormat="1" applyFont="1"/>
    <xf numFmtId="166" fontId="25" fillId="0" borderId="0" xfId="0" applyNumberFormat="1" applyFont="1"/>
    <xf numFmtId="0" fontId="25" fillId="0" borderId="0" xfId="0" applyFont="1" applyAlignment="1">
      <alignment horizontal="left" vertical="center"/>
    </xf>
    <xf numFmtId="0" fontId="58" fillId="0" borderId="0" xfId="0" applyFont="1"/>
    <xf numFmtId="0" fontId="25" fillId="0" borderId="0" xfId="0" applyFont="1"/>
    <xf numFmtId="0" fontId="22" fillId="0" borderId="0" xfId="0" applyFont="1" applyAlignment="1">
      <alignment horizontal="left" vertical="top" wrapText="1"/>
    </xf>
    <xf numFmtId="0" fontId="36" fillId="0" borderId="60" xfId="0" applyFont="1" applyBorder="1"/>
    <xf numFmtId="0" fontId="36" fillId="0" borderId="61" xfId="0" applyFont="1" applyBorder="1"/>
    <xf numFmtId="166" fontId="31" fillId="0" borderId="0" xfId="0" applyNumberFormat="1" applyFont="1" applyAlignment="1">
      <alignment horizontal="center" vertical="top" wrapText="1"/>
    </xf>
    <xf numFmtId="166" fontId="31" fillId="0" borderId="35" xfId="0" applyNumberFormat="1" applyFont="1" applyBorder="1" applyAlignment="1">
      <alignment horizontal="center" vertical="top" wrapText="1"/>
    </xf>
    <xf numFmtId="2" fontId="36" fillId="0" borderId="0" xfId="0" applyNumberFormat="1" applyFont="1" applyAlignment="1">
      <alignment vertical="top"/>
    </xf>
    <xf numFmtId="0" fontId="27" fillId="0" borderId="0" xfId="0" applyFont="1" applyAlignment="1">
      <alignment horizontal="center" vertical="center" wrapText="1"/>
    </xf>
    <xf numFmtId="0" fontId="22" fillId="0" borderId="0" xfId="0" applyFont="1" applyAlignment="1">
      <alignment horizontal="center" vertical="center"/>
    </xf>
    <xf numFmtId="14" fontId="22" fillId="0" borderId="0" xfId="0" applyNumberFormat="1" applyFont="1"/>
    <xf numFmtId="165" fontId="31" fillId="0" borderId="0" xfId="0" applyNumberFormat="1" applyFont="1"/>
    <xf numFmtId="165" fontId="31" fillId="0" borderId="0" xfId="0" applyNumberFormat="1" applyFont="1" applyAlignment="1">
      <alignment horizontal="center" vertical="center"/>
    </xf>
    <xf numFmtId="14" fontId="22" fillId="0" borderId="0" xfId="0" applyNumberFormat="1" applyFont="1" applyAlignment="1">
      <alignment horizontal="left"/>
    </xf>
    <xf numFmtId="49" fontId="23" fillId="0" borderId="0" xfId="0" applyNumberFormat="1" applyFont="1" applyAlignment="1">
      <alignment horizontal="left" vertical="center"/>
    </xf>
    <xf numFmtId="49" fontId="23" fillId="0" borderId="0" xfId="0" applyNumberFormat="1" applyFont="1" applyAlignment="1">
      <alignment horizontal="center" vertical="center"/>
    </xf>
    <xf numFmtId="0" fontId="31" fillId="12" borderId="0" xfId="0" applyFont="1" applyFill="1" applyAlignment="1">
      <alignment horizontal="center" vertical="center" wrapText="1"/>
    </xf>
    <xf numFmtId="0" fontId="28" fillId="0" borderId="0" xfId="0" applyFont="1" applyAlignment="1">
      <alignment horizontal="right" vertical="center"/>
    </xf>
    <xf numFmtId="165" fontId="28" fillId="0" borderId="35" xfId="0" applyNumberFormat="1" applyFont="1" applyBorder="1" applyAlignment="1">
      <alignment horizontal="center" vertical="center" wrapText="1"/>
    </xf>
    <xf numFmtId="165" fontId="31" fillId="0" borderId="54" xfId="0" applyNumberFormat="1" applyFont="1" applyBorder="1" applyAlignment="1">
      <alignment horizontal="center" vertical="center"/>
    </xf>
    <xf numFmtId="0" fontId="0" fillId="0" borderId="16" xfId="0" applyBorder="1" applyAlignment="1">
      <alignment vertical="center"/>
    </xf>
    <xf numFmtId="0" fontId="0" fillId="0" borderId="2" xfId="0" applyBorder="1" applyAlignment="1">
      <alignment vertical="center"/>
    </xf>
    <xf numFmtId="165" fontId="31" fillId="0" borderId="54" xfId="0" applyNumberFormat="1" applyFont="1" applyBorder="1" applyAlignment="1">
      <alignment horizontal="center" vertical="center" wrapText="1"/>
    </xf>
    <xf numFmtId="165" fontId="31" fillId="0" borderId="36" xfId="0" applyNumberFormat="1" applyFont="1" applyBorder="1"/>
    <xf numFmtId="165" fontId="28" fillId="0" borderId="43" xfId="0" applyNumberFormat="1" applyFont="1" applyBorder="1" applyAlignment="1">
      <alignment horizontal="center" vertical="center" wrapText="1"/>
    </xf>
    <xf numFmtId="165" fontId="31" fillId="0" borderId="43" xfId="0" applyNumberFormat="1" applyFont="1" applyBorder="1" applyAlignment="1">
      <alignment horizontal="center" vertical="center" wrapText="1"/>
    </xf>
    <xf numFmtId="165" fontId="28" fillId="0" borderId="1" xfId="0" applyNumberFormat="1" applyFont="1" applyBorder="1" applyAlignment="1">
      <alignment horizontal="center" vertical="center" wrapText="1"/>
    </xf>
    <xf numFmtId="165" fontId="31" fillId="0" borderId="36" xfId="0" applyNumberFormat="1" applyFont="1" applyBorder="1" applyAlignment="1">
      <alignment horizontal="center" vertical="center" wrapText="1"/>
    </xf>
    <xf numFmtId="165" fontId="31" fillId="0" borderId="33" xfId="0" applyNumberFormat="1" applyFont="1" applyBorder="1" applyAlignment="1">
      <alignment horizontal="left" vertical="top"/>
    </xf>
    <xf numFmtId="165" fontId="31" fillId="0" borderId="33" xfId="0" applyNumberFormat="1" applyFont="1" applyBorder="1" applyAlignment="1">
      <alignment vertical="center"/>
    </xf>
    <xf numFmtId="165" fontId="31" fillId="0" borderId="35" xfId="0" applyNumberFormat="1" applyFont="1" applyBorder="1" applyAlignment="1">
      <alignment horizontal="center" vertical="top"/>
    </xf>
    <xf numFmtId="165" fontId="31" fillId="0" borderId="61" xfId="0" applyNumberFormat="1" applyFont="1" applyBorder="1" applyAlignment="1">
      <alignment horizontal="center" vertical="top"/>
    </xf>
    <xf numFmtId="166" fontId="31" fillId="0" borderId="35" xfId="0" applyNumberFormat="1" applyFont="1" applyBorder="1" applyAlignment="1">
      <alignment horizontal="center" vertical="top"/>
    </xf>
    <xf numFmtId="165" fontId="31" fillId="0" borderId="36" xfId="0" applyNumberFormat="1" applyFont="1" applyBorder="1" applyAlignment="1">
      <alignment horizontal="center"/>
    </xf>
    <xf numFmtId="165" fontId="31" fillId="0" borderId="36" xfId="0" applyNumberFormat="1" applyFont="1" applyBorder="1" applyAlignment="1">
      <alignment horizontal="left" vertical="top" wrapText="1"/>
    </xf>
    <xf numFmtId="165" fontId="31" fillId="0" borderId="36" xfId="0" applyNumberFormat="1" applyFont="1" applyBorder="1" applyAlignment="1">
      <alignment vertical="center" wrapText="1"/>
    </xf>
    <xf numFmtId="166" fontId="35" fillId="0" borderId="38" xfId="0" applyNumberFormat="1" applyFont="1" applyBorder="1" applyAlignment="1">
      <alignment vertical="top"/>
    </xf>
    <xf numFmtId="165" fontId="35" fillId="0" borderId="38" xfId="0" applyNumberFormat="1" applyFont="1" applyBorder="1" applyAlignment="1">
      <alignment vertical="top"/>
    </xf>
    <xf numFmtId="166" fontId="35" fillId="0" borderId="37" xfId="0" applyNumberFormat="1" applyFont="1" applyBorder="1" applyAlignment="1">
      <alignment vertical="top"/>
    </xf>
    <xf numFmtId="166" fontId="35" fillId="0" borderId="36" xfId="0" applyNumberFormat="1" applyFont="1" applyBorder="1"/>
    <xf numFmtId="165" fontId="22" fillId="0" borderId="36" xfId="0" applyNumberFormat="1" applyFont="1" applyBorder="1" applyAlignment="1">
      <alignment horizontal="left" vertical="top"/>
    </xf>
    <xf numFmtId="165" fontId="22" fillId="0" borderId="36" xfId="0" applyNumberFormat="1" applyFont="1" applyBorder="1" applyAlignment="1">
      <alignment horizontal="center" vertical="center"/>
    </xf>
    <xf numFmtId="166" fontId="22" fillId="0" borderId="38" xfId="0" applyNumberFormat="1" applyFont="1" applyBorder="1" applyAlignment="1">
      <alignment vertical="top"/>
    </xf>
    <xf numFmtId="166" fontId="22" fillId="0" borderId="37" xfId="0" applyNumberFormat="1" applyFont="1" applyBorder="1" applyAlignment="1">
      <alignment vertical="top"/>
    </xf>
    <xf numFmtId="165" fontId="35" fillId="0" borderId="36" xfId="0" applyNumberFormat="1" applyFont="1" applyBorder="1"/>
    <xf numFmtId="0" fontId="22" fillId="0" borderId="36" xfId="0" applyFont="1" applyBorder="1" applyAlignment="1">
      <alignment horizontal="center" vertical="center"/>
    </xf>
    <xf numFmtId="165" fontId="19" fillId="0" borderId="15" xfId="0" applyNumberFormat="1" applyFont="1" applyBorder="1" applyAlignment="1">
      <alignment horizontal="left" vertical="top" wrapText="1"/>
    </xf>
    <xf numFmtId="165" fontId="19" fillId="0" borderId="2" xfId="0" applyNumberFormat="1" applyFont="1" applyBorder="1" applyAlignment="1">
      <alignment horizontal="left" vertical="top" wrapText="1"/>
    </xf>
    <xf numFmtId="166" fontId="19" fillId="0" borderId="1" xfId="0" applyNumberFormat="1" applyFont="1" applyBorder="1" applyAlignment="1">
      <alignment vertical="top"/>
    </xf>
    <xf numFmtId="165" fontId="35" fillId="0" borderId="0" xfId="0" applyNumberFormat="1" applyFont="1"/>
    <xf numFmtId="166" fontId="39" fillId="0" borderId="1" xfId="0" applyNumberFormat="1" applyFont="1" applyBorder="1" applyAlignment="1">
      <alignment vertical="top"/>
    </xf>
    <xf numFmtId="165" fontId="39" fillId="0" borderId="0" xfId="0" applyNumberFormat="1" applyFont="1" applyAlignment="1">
      <alignment vertical="top"/>
    </xf>
    <xf numFmtId="0" fontId="25" fillId="0" borderId="0" xfId="0" applyFont="1" applyAlignment="1">
      <alignment vertical="top"/>
    </xf>
    <xf numFmtId="0" fontId="58" fillId="0" borderId="0" xfId="0" applyFont="1" applyAlignment="1">
      <alignment vertical="top"/>
    </xf>
    <xf numFmtId="39" fontId="31" fillId="0" borderId="0" xfId="0" applyNumberFormat="1" applyFont="1" applyAlignment="1">
      <alignment vertical="top"/>
    </xf>
    <xf numFmtId="0" fontId="58" fillId="0" borderId="0" xfId="0" applyFont="1" applyAlignment="1">
      <alignment vertical="top" wrapText="1"/>
    </xf>
    <xf numFmtId="0" fontId="22" fillId="0" borderId="0" xfId="0" applyFont="1" applyAlignment="1">
      <alignment horizontal="left" vertical="center"/>
    </xf>
    <xf numFmtId="0" fontId="23" fillId="0" borderId="0" xfId="0" applyFont="1" applyAlignment="1">
      <alignment horizontal="center" vertical="center" wrapText="1"/>
    </xf>
    <xf numFmtId="0" fontId="60" fillId="0" borderId="0" xfId="0" applyFont="1" applyAlignment="1">
      <alignment horizontal="center" vertical="center"/>
    </xf>
    <xf numFmtId="0" fontId="36" fillId="0" borderId="0" xfId="0" applyFont="1" applyAlignment="1">
      <alignment wrapText="1"/>
    </xf>
    <xf numFmtId="0" fontId="22" fillId="0" borderId="0" xfId="0" applyFont="1" applyAlignment="1">
      <alignment horizontal="left" wrapText="1"/>
    </xf>
    <xf numFmtId="0" fontId="31" fillId="0" borderId="0" xfId="0" applyFont="1" applyAlignment="1">
      <alignment horizontal="right"/>
    </xf>
    <xf numFmtId="0" fontId="31" fillId="0" borderId="33" xfId="0" applyFont="1" applyBorder="1" applyAlignment="1">
      <alignment vertical="top"/>
    </xf>
    <xf numFmtId="0" fontId="22" fillId="0" borderId="60" xfId="0" applyFont="1" applyBorder="1" applyAlignment="1">
      <alignment vertical="top"/>
    </xf>
    <xf numFmtId="0" fontId="22" fillId="0" borderId="61" xfId="0" applyFont="1" applyBorder="1" applyAlignment="1">
      <alignment vertical="top"/>
    </xf>
    <xf numFmtId="0" fontId="31" fillId="0" borderId="39" xfId="0" applyFont="1" applyBorder="1" applyAlignment="1">
      <alignment vertical="center" wrapText="1"/>
    </xf>
    <xf numFmtId="166" fontId="31" fillId="0" borderId="43" xfId="0" applyNumberFormat="1" applyFont="1" applyBorder="1" applyAlignment="1">
      <alignment horizontal="center" vertical="center" wrapText="1"/>
    </xf>
    <xf numFmtId="0" fontId="22" fillId="0" borderId="24" xfId="0" applyFont="1" applyBorder="1" applyAlignment="1">
      <alignment vertical="top"/>
    </xf>
    <xf numFmtId="0" fontId="22" fillId="0" borderId="34" xfId="0" applyFont="1" applyBorder="1" applyAlignment="1">
      <alignment vertical="top"/>
    </xf>
    <xf numFmtId="166" fontId="22" fillId="0" borderId="35" xfId="0" applyNumberFormat="1" applyFont="1" applyBorder="1" applyAlignment="1">
      <alignment vertical="top"/>
    </xf>
    <xf numFmtId="0" fontId="22" fillId="0" borderId="36" xfId="0" applyFont="1" applyBorder="1" applyAlignment="1">
      <alignment vertical="top" wrapText="1"/>
    </xf>
    <xf numFmtId="166" fontId="22" fillId="0" borderId="43" xfId="0" applyNumberFormat="1" applyFont="1" applyBorder="1" applyAlignment="1">
      <alignment vertical="top"/>
    </xf>
    <xf numFmtId="0" fontId="28" fillId="0" borderId="15" xfId="0" applyFont="1" applyBorder="1" applyAlignment="1">
      <alignment horizontal="left" vertical="top"/>
    </xf>
    <xf numFmtId="0" fontId="29" fillId="0" borderId="16" xfId="0" applyFont="1" applyBorder="1"/>
    <xf numFmtId="0" fontId="22" fillId="0" borderId="16" xfId="0" applyFont="1" applyBorder="1" applyAlignment="1">
      <alignment vertical="top"/>
    </xf>
    <xf numFmtId="166" fontId="28" fillId="0" borderId="62" xfId="0" applyNumberFormat="1" applyFont="1" applyBorder="1" applyAlignment="1">
      <alignment vertical="top"/>
    </xf>
    <xf numFmtId="166" fontId="28" fillId="0" borderId="66" xfId="0" applyNumberFormat="1" applyFont="1" applyBorder="1" applyAlignment="1">
      <alignment vertical="top"/>
    </xf>
    <xf numFmtId="0" fontId="31" fillId="0" borderId="0" xfId="0" applyFont="1" applyAlignment="1">
      <alignment horizontal="left" vertical="top"/>
    </xf>
    <xf numFmtId="0" fontId="50" fillId="0" borderId="0" xfId="0" applyFont="1" applyAlignment="1">
      <alignment horizontal="right" vertical="top"/>
    </xf>
    <xf numFmtId="166" fontId="55" fillId="11" borderId="35" xfId="0" applyNumberFormat="1" applyFont="1" applyFill="1" applyBorder="1" applyAlignment="1">
      <alignment horizontal="center" vertical="center" wrapText="1"/>
    </xf>
    <xf numFmtId="0" fontId="22" fillId="0" borderId="36" xfId="0" applyFont="1" applyBorder="1" applyAlignment="1">
      <alignment horizontal="left" vertical="top" wrapText="1"/>
    </xf>
    <xf numFmtId="166" fontId="22" fillId="0" borderId="36" xfId="0" applyNumberFormat="1" applyFont="1" applyBorder="1" applyAlignment="1">
      <alignment vertical="top"/>
    </xf>
    <xf numFmtId="0" fontId="36" fillId="0" borderId="40" xfId="0" applyFont="1" applyBorder="1" applyAlignment="1">
      <alignment vertical="top"/>
    </xf>
    <xf numFmtId="166" fontId="22" fillId="0" borderId="39" xfId="0" applyNumberFormat="1" applyFont="1" applyBorder="1" applyAlignment="1">
      <alignment vertical="top"/>
    </xf>
    <xf numFmtId="166" fontId="19" fillId="0" borderId="66" xfId="0" applyNumberFormat="1" applyFont="1" applyBorder="1" applyAlignment="1">
      <alignment vertical="top"/>
    </xf>
    <xf numFmtId="166" fontId="55" fillId="0" borderId="0" xfId="0" applyNumberFormat="1" applyFont="1" applyAlignment="1">
      <alignment vertical="top"/>
    </xf>
    <xf numFmtId="0" fontId="41" fillId="0" borderId="0" xfId="0" applyFont="1" applyAlignment="1">
      <alignment horizontal="center" vertical="top"/>
    </xf>
    <xf numFmtId="0" fontId="48" fillId="0" borderId="0" xfId="0" applyFont="1" applyAlignment="1">
      <alignment vertical="top"/>
    </xf>
    <xf numFmtId="165" fontId="55" fillId="0" borderId="0" xfId="0" applyNumberFormat="1" applyFont="1" applyAlignment="1">
      <alignment vertical="top"/>
    </xf>
    <xf numFmtId="0" fontId="61" fillId="0" borderId="0" xfId="0" applyFont="1" applyAlignment="1">
      <alignment horizontal="right" vertical="top"/>
    </xf>
    <xf numFmtId="0" fontId="49" fillId="0" borderId="36" xfId="0" applyFont="1" applyBorder="1" applyAlignment="1">
      <alignment horizontal="left" vertical="top" wrapText="1"/>
    </xf>
    <xf numFmtId="0" fontId="49" fillId="0" borderId="0" xfId="0" applyFont="1" applyAlignment="1">
      <alignment vertical="top"/>
    </xf>
    <xf numFmtId="0" fontId="49" fillId="0" borderId="37" xfId="0" applyFont="1" applyBorder="1" applyAlignment="1">
      <alignment vertical="top"/>
    </xf>
    <xf numFmtId="166" fontId="49" fillId="0" borderId="37" xfId="0" applyNumberFormat="1" applyFont="1" applyBorder="1" applyAlignment="1">
      <alignment vertical="top"/>
    </xf>
    <xf numFmtId="166" fontId="49" fillId="0" borderId="38" xfId="0" applyNumberFormat="1" applyFont="1" applyBorder="1" applyAlignment="1">
      <alignment vertical="top"/>
    </xf>
    <xf numFmtId="0" fontId="49" fillId="0" borderId="36" xfId="0" applyFont="1" applyBorder="1" applyAlignment="1">
      <alignment horizontal="left" vertical="top"/>
    </xf>
    <xf numFmtId="0" fontId="62" fillId="0" borderId="36" xfId="0" applyFont="1" applyBorder="1" applyAlignment="1">
      <alignment vertical="top"/>
    </xf>
    <xf numFmtId="166" fontId="49" fillId="0" borderId="43" xfId="0" applyNumberFormat="1" applyFont="1" applyBorder="1" applyAlignment="1">
      <alignment vertical="top"/>
    </xf>
    <xf numFmtId="0" fontId="41" fillId="0" borderId="33" xfId="0" applyFont="1" applyBorder="1" applyAlignment="1">
      <alignment vertical="center"/>
    </xf>
    <xf numFmtId="166" fontId="31" fillId="0" borderId="60" xfId="0" applyNumberFormat="1" applyFont="1" applyBorder="1" applyAlignment="1">
      <alignment horizontal="center" vertical="center" wrapText="1"/>
    </xf>
    <xf numFmtId="0" fontId="31" fillId="0" borderId="51" xfId="0" applyFont="1" applyBorder="1" applyAlignment="1">
      <alignment vertical="center" wrapText="1"/>
    </xf>
    <xf numFmtId="0" fontId="36" fillId="0" borderId="52" xfId="0" applyFont="1" applyBorder="1" applyAlignment="1">
      <alignment vertical="top"/>
    </xf>
    <xf numFmtId="166" fontId="31" fillId="0" borderId="48" xfId="0" applyNumberFormat="1" applyFont="1" applyBorder="1" applyAlignment="1">
      <alignment horizontal="center" vertical="center" wrapText="1"/>
    </xf>
    <xf numFmtId="0" fontId="41" fillId="0" borderId="0" xfId="0" applyFont="1" applyAlignment="1">
      <alignment vertical="top"/>
    </xf>
    <xf numFmtId="0" fontId="36" fillId="0" borderId="33" xfId="0" applyFont="1" applyBorder="1" applyAlignment="1">
      <alignment vertical="top"/>
    </xf>
    <xf numFmtId="166" fontId="22" fillId="0" borderId="0" xfId="0" applyNumberFormat="1" applyFont="1" applyAlignment="1">
      <alignment horizontal="right" vertical="top"/>
    </xf>
    <xf numFmtId="0" fontId="63" fillId="0" borderId="0" xfId="0" applyFont="1" applyAlignment="1">
      <alignment vertical="center"/>
    </xf>
    <xf numFmtId="0" fontId="64" fillId="0" borderId="0" xfId="0" applyFont="1"/>
    <xf numFmtId="0" fontId="22" fillId="0" borderId="61" xfId="0" applyFont="1" applyBorder="1" applyAlignment="1">
      <alignment vertical="top" wrapText="1"/>
    </xf>
    <xf numFmtId="0" fontId="22" fillId="0" borderId="38" xfId="0" applyFont="1" applyBorder="1" applyAlignment="1">
      <alignment horizontal="left" vertical="top" wrapText="1"/>
    </xf>
    <xf numFmtId="0" fontId="48" fillId="0" borderId="35" xfId="0" applyFont="1" applyBorder="1" applyAlignment="1">
      <alignment horizontal="left" vertical="center"/>
    </xf>
    <xf numFmtId="0" fontId="48" fillId="0" borderId="15" xfId="0" applyFont="1" applyBorder="1" applyAlignment="1">
      <alignment horizontal="center" vertical="top" wrapText="1"/>
    </xf>
    <xf numFmtId="0" fontId="48" fillId="0" borderId="43" xfId="0" applyFont="1" applyBorder="1" applyAlignment="1">
      <alignment horizontal="left" vertical="center"/>
    </xf>
    <xf numFmtId="0" fontId="19" fillId="0" borderId="1" xfId="0" applyFont="1" applyBorder="1" applyAlignment="1">
      <alignment horizontal="center" vertical="top" wrapText="1"/>
    </xf>
    <xf numFmtId="0" fontId="19" fillId="0" borderId="1" xfId="0" applyFont="1" applyBorder="1" applyAlignment="1">
      <alignment horizontal="center" vertical="top"/>
    </xf>
    <xf numFmtId="0" fontId="36" fillId="0" borderId="38" xfId="0" applyFont="1" applyBorder="1" applyAlignment="1">
      <alignment horizontal="left" vertical="top" wrapText="1"/>
    </xf>
    <xf numFmtId="165" fontId="36" fillId="0" borderId="38" xfId="0" applyNumberFormat="1" applyFont="1" applyBorder="1" applyAlignment="1">
      <alignment horizontal="right" vertical="top"/>
    </xf>
    <xf numFmtId="165" fontId="36" fillId="0" borderId="37" xfId="0" applyNumberFormat="1" applyFont="1" applyBorder="1" applyAlignment="1">
      <alignment horizontal="right" vertical="top"/>
    </xf>
    <xf numFmtId="165" fontId="36" fillId="0" borderId="38" xfId="0" applyNumberFormat="1" applyFont="1" applyBorder="1" applyAlignment="1">
      <alignment vertical="top"/>
    </xf>
    <xf numFmtId="165" fontId="36" fillId="0" borderId="37" xfId="0" applyNumberFormat="1" applyFont="1" applyBorder="1" applyAlignment="1">
      <alignment vertical="top"/>
    </xf>
    <xf numFmtId="0" fontId="36" fillId="0" borderId="43" xfId="0" applyFont="1" applyBorder="1" applyAlignment="1">
      <alignment horizontal="left" vertical="top" wrapText="1"/>
    </xf>
    <xf numFmtId="165" fontId="36" fillId="0" borderId="43" xfId="0" applyNumberFormat="1" applyFont="1" applyBorder="1" applyAlignment="1">
      <alignment vertical="top"/>
    </xf>
    <xf numFmtId="165" fontId="36" fillId="0" borderId="52" xfId="0" applyNumberFormat="1" applyFont="1" applyBorder="1" applyAlignment="1">
      <alignment vertical="top"/>
    </xf>
    <xf numFmtId="0" fontId="36" fillId="0" borderId="0" xfId="0" applyFont="1" applyAlignment="1">
      <alignment horizontal="left" vertical="top" wrapText="1"/>
    </xf>
    <xf numFmtId="0" fontId="38" fillId="0" borderId="0" xfId="0" applyFont="1" applyAlignment="1">
      <alignment horizontal="right" vertical="top"/>
    </xf>
    <xf numFmtId="0" fontId="25" fillId="0" borderId="15" xfId="0" applyFont="1" applyBorder="1" applyAlignment="1">
      <alignment horizontal="center" vertical="top" wrapText="1"/>
    </xf>
    <xf numFmtId="0" fontId="28" fillId="0" borderId="1" xfId="0" applyFont="1" applyBorder="1" applyAlignment="1">
      <alignment horizontal="center" vertical="top" wrapText="1"/>
    </xf>
    <xf numFmtId="0" fontId="28" fillId="0" borderId="1" xfId="0" applyFont="1" applyBorder="1" applyAlignment="1">
      <alignment horizontal="center" vertical="top"/>
    </xf>
    <xf numFmtId="165" fontId="22" fillId="0" borderId="37" xfId="0" applyNumberFormat="1" applyFont="1" applyBorder="1" applyAlignment="1">
      <alignment horizontal="right" vertical="top"/>
    </xf>
    <xf numFmtId="165" fontId="22" fillId="0" borderId="37" xfId="0" applyNumberFormat="1" applyFont="1" applyBorder="1" applyAlignment="1">
      <alignment vertical="top"/>
    </xf>
    <xf numFmtId="0" fontId="22" fillId="0" borderId="43" xfId="0" applyFont="1" applyBorder="1" applyAlignment="1">
      <alignment horizontal="left" vertical="top" wrapText="1"/>
    </xf>
    <xf numFmtId="165" fontId="22" fillId="0" borderId="52" xfId="0" applyNumberFormat="1" applyFont="1" applyBorder="1" applyAlignment="1">
      <alignment vertical="top"/>
    </xf>
    <xf numFmtId="0" fontId="65" fillId="0" borderId="0" xfId="0" applyFont="1" applyAlignment="1">
      <alignment vertical="top"/>
    </xf>
    <xf numFmtId="39" fontId="36" fillId="0" borderId="35" xfId="0" applyNumberFormat="1" applyFont="1" applyBorder="1" applyAlignment="1">
      <alignment vertical="top"/>
    </xf>
    <xf numFmtId="0" fontId="41" fillId="0" borderId="36" xfId="0" applyFont="1" applyBorder="1" applyAlignment="1">
      <alignment horizontal="left" vertical="top" wrapText="1"/>
    </xf>
    <xf numFmtId="0" fontId="36" fillId="0" borderId="36" xfId="0" applyFont="1" applyBorder="1" applyAlignment="1">
      <alignment horizontal="left" vertical="top"/>
    </xf>
    <xf numFmtId="0" fontId="33" fillId="0" borderId="0" xfId="0" applyFont="1" applyAlignment="1">
      <alignment horizontal="justify" vertical="top" wrapText="1"/>
    </xf>
    <xf numFmtId="0" fontId="31" fillId="0" borderId="0" xfId="0" applyFont="1" applyAlignment="1">
      <alignment vertical="top" wrapText="1"/>
    </xf>
    <xf numFmtId="165" fontId="36" fillId="0" borderId="35" xfId="0" applyNumberFormat="1" applyFont="1" applyBorder="1" applyAlignment="1">
      <alignment vertical="top"/>
    </xf>
    <xf numFmtId="0" fontId="27" fillId="0" borderId="0" xfId="0" applyFont="1" applyAlignment="1">
      <alignment horizontal="center" vertical="top"/>
    </xf>
    <xf numFmtId="0" fontId="41" fillId="0" borderId="33" xfId="0" applyFont="1" applyBorder="1" applyAlignment="1">
      <alignment vertical="top"/>
    </xf>
    <xf numFmtId="0" fontId="31" fillId="0" borderId="51" xfId="0" applyFont="1" applyBorder="1" applyAlignment="1">
      <alignment vertical="top"/>
    </xf>
    <xf numFmtId="0" fontId="36" fillId="0" borderId="0" xfId="0" applyFont="1" applyAlignment="1">
      <alignment horizontal="left"/>
    </xf>
    <xf numFmtId="0" fontId="23" fillId="0" borderId="0" xfId="0" applyFont="1" applyAlignment="1">
      <alignment horizontal="center" vertical="top"/>
    </xf>
    <xf numFmtId="0" fontId="33" fillId="11" borderId="0" xfId="0" applyFont="1" applyFill="1" applyAlignment="1">
      <alignment vertical="top"/>
    </xf>
    <xf numFmtId="2" fontId="36" fillId="0" borderId="0" xfId="0" applyNumberFormat="1" applyFont="1" applyAlignment="1">
      <alignment vertical="center"/>
    </xf>
    <xf numFmtId="0" fontId="36" fillId="0" borderId="0" xfId="0" applyFont="1" applyAlignment="1">
      <alignment horizontal="left" vertical="top"/>
    </xf>
    <xf numFmtId="0" fontId="41" fillId="0" borderId="0" xfId="0" applyFont="1" applyAlignment="1">
      <alignment horizontal="left" vertical="top"/>
    </xf>
    <xf numFmtId="0" fontId="66" fillId="0" borderId="1" xfId="0" applyFont="1" applyBorder="1" applyAlignment="1">
      <alignment vertical="center"/>
    </xf>
    <xf numFmtId="166" fontId="28" fillId="0" borderId="35" xfId="0" applyNumberFormat="1" applyFont="1" applyBorder="1" applyAlignment="1">
      <alignment horizontal="center" vertical="center" wrapText="1"/>
    </xf>
    <xf numFmtId="165" fontId="31" fillId="0" borderId="37" xfId="0" applyNumberFormat="1" applyFont="1" applyBorder="1" applyAlignment="1">
      <alignment horizontal="right" vertical="top"/>
    </xf>
    <xf numFmtId="166" fontId="41" fillId="0" borderId="39" xfId="0" applyNumberFormat="1" applyFont="1" applyBorder="1" applyAlignment="1">
      <alignment vertical="top"/>
    </xf>
    <xf numFmtId="166" fontId="41" fillId="0" borderId="43" xfId="0" applyNumberFormat="1" applyFont="1" applyBorder="1" applyAlignment="1">
      <alignment vertical="top"/>
    </xf>
    <xf numFmtId="0" fontId="19" fillId="10" borderId="15" xfId="0" applyFont="1" applyFill="1" applyBorder="1" applyAlignment="1">
      <alignment horizontal="left" vertical="top"/>
    </xf>
    <xf numFmtId="0" fontId="56" fillId="10" borderId="0" xfId="0" applyFont="1" applyFill="1" applyAlignment="1">
      <alignment horizontal="left" vertical="top"/>
    </xf>
    <xf numFmtId="165" fontId="31" fillId="0" borderId="0" xfId="0" applyNumberFormat="1" applyFont="1" applyAlignment="1">
      <alignment horizontal="right" vertical="top"/>
    </xf>
    <xf numFmtId="166" fontId="31" fillId="0" borderId="0" xfId="0" applyNumberFormat="1" applyFont="1" applyAlignment="1">
      <alignment horizontal="right" vertical="top"/>
    </xf>
    <xf numFmtId="0" fontId="66" fillId="0" borderId="33" xfId="0" applyFont="1" applyBorder="1" applyAlignment="1">
      <alignment vertical="center"/>
    </xf>
    <xf numFmtId="0" fontId="66" fillId="0" borderId="24" xfId="0" applyFont="1" applyBorder="1" applyAlignment="1">
      <alignment vertical="center"/>
    </xf>
    <xf numFmtId="0" fontId="66" fillId="0" borderId="34" xfId="0" applyFont="1" applyBorder="1" applyAlignment="1">
      <alignment vertical="center"/>
    </xf>
    <xf numFmtId="166" fontId="28" fillId="0" borderId="1" xfId="0" applyNumberFormat="1" applyFont="1" applyBorder="1" applyAlignment="1">
      <alignment horizontal="center" vertical="center" wrapText="1"/>
    </xf>
    <xf numFmtId="0" fontId="41" fillId="0" borderId="60" xfId="0" applyFont="1" applyBorder="1" applyAlignment="1">
      <alignment vertical="top"/>
    </xf>
    <xf numFmtId="0" fontId="41" fillId="0" borderId="61" xfId="0" applyFont="1" applyBorder="1" applyAlignment="1">
      <alignment vertical="top"/>
    </xf>
    <xf numFmtId="0" fontId="41" fillId="0" borderId="37" xfId="0" applyFont="1" applyBorder="1" applyAlignment="1">
      <alignment vertical="top"/>
    </xf>
    <xf numFmtId="166" fontId="28" fillId="0" borderId="67" xfId="0" applyNumberFormat="1" applyFont="1" applyBorder="1" applyAlignment="1">
      <alignment horizontal="center" vertical="center" wrapText="1"/>
    </xf>
    <xf numFmtId="0" fontId="19" fillId="10" borderId="0" xfId="0" applyFont="1" applyFill="1" applyAlignment="1">
      <alignment horizontal="left" vertical="top"/>
    </xf>
    <xf numFmtId="166" fontId="19" fillId="0" borderId="0" xfId="0" applyNumberFormat="1" applyFont="1" applyAlignment="1">
      <alignment vertical="top"/>
    </xf>
    <xf numFmtId="39" fontId="36" fillId="0" borderId="0" xfId="0" applyNumberFormat="1" applyFont="1" applyAlignment="1">
      <alignment vertical="center"/>
    </xf>
    <xf numFmtId="166" fontId="41" fillId="0" borderId="54" xfId="0" applyNumberFormat="1" applyFont="1" applyBorder="1" applyAlignment="1">
      <alignment vertical="top"/>
    </xf>
    <xf numFmtId="0" fontId="41" fillId="0" borderId="51" xfId="0" applyFont="1" applyBorder="1" applyAlignment="1">
      <alignment vertical="top"/>
    </xf>
    <xf numFmtId="0" fontId="41" fillId="0" borderId="48" xfId="0" applyFont="1" applyBorder="1" applyAlignment="1">
      <alignment vertical="top"/>
    </xf>
    <xf numFmtId="0" fontId="35" fillId="0" borderId="36" xfId="0" applyFont="1" applyBorder="1" applyAlignment="1">
      <alignment vertical="top"/>
    </xf>
    <xf numFmtId="166" fontId="36" fillId="0" borderId="61" xfId="0" applyNumberFormat="1" applyFont="1" applyBorder="1" applyAlignment="1">
      <alignment vertical="top"/>
    </xf>
    <xf numFmtId="0" fontId="36" fillId="0" borderId="51" xfId="0" applyFont="1" applyBorder="1" applyAlignment="1">
      <alignment vertical="top"/>
    </xf>
    <xf numFmtId="2" fontId="36" fillId="0" borderId="38" xfId="0" applyNumberFormat="1" applyFont="1" applyBorder="1" applyAlignment="1">
      <alignment vertical="top"/>
    </xf>
    <xf numFmtId="2" fontId="36" fillId="0" borderId="36" xfId="0" applyNumberFormat="1" applyFont="1" applyBorder="1" applyAlignment="1">
      <alignment vertical="top"/>
    </xf>
    <xf numFmtId="173" fontId="36" fillId="0" borderId="0" xfId="0" applyNumberFormat="1" applyFont="1"/>
    <xf numFmtId="0" fontId="67" fillId="0" borderId="36" xfId="0" applyFont="1" applyBorder="1" applyAlignment="1">
      <alignment vertical="top"/>
    </xf>
    <xf numFmtId="2" fontId="36" fillId="0" borderId="0" xfId="0" applyNumberFormat="1" applyFont="1"/>
    <xf numFmtId="165" fontId="36" fillId="0" borderId="60" xfId="0" applyNumberFormat="1" applyFont="1" applyBorder="1" applyAlignment="1">
      <alignment vertical="top"/>
    </xf>
    <xf numFmtId="165" fontId="41" fillId="0" borderId="35" xfId="0" applyNumberFormat="1" applyFont="1" applyBorder="1" applyAlignment="1">
      <alignment horizontal="center" vertical="top"/>
    </xf>
    <xf numFmtId="165" fontId="36" fillId="0" borderId="36" xfId="0" applyNumberFormat="1" applyFont="1" applyBorder="1" applyAlignment="1">
      <alignment vertical="top"/>
    </xf>
    <xf numFmtId="0" fontId="33" fillId="0" borderId="0" xfId="0" applyFont="1" applyAlignment="1">
      <alignment vertical="top"/>
    </xf>
    <xf numFmtId="165" fontId="22" fillId="0" borderId="36" xfId="0" applyNumberFormat="1" applyFont="1" applyBorder="1" applyAlignment="1">
      <alignment vertical="top"/>
    </xf>
    <xf numFmtId="165" fontId="22" fillId="0" borderId="36" xfId="0" applyNumberFormat="1" applyFont="1" applyBorder="1" applyAlignment="1">
      <alignment horizontal="left" vertical="top" wrapText="1"/>
    </xf>
    <xf numFmtId="165" fontId="22" fillId="0" borderId="39" xfId="0" applyNumberFormat="1" applyFont="1" applyBorder="1" applyAlignment="1">
      <alignment horizontal="left" vertical="top" wrapText="1"/>
    </xf>
    <xf numFmtId="0" fontId="36" fillId="0" borderId="40" xfId="0" applyFont="1" applyBorder="1"/>
    <xf numFmtId="0" fontId="27" fillId="0" borderId="0" xfId="0" applyFont="1" applyAlignment="1">
      <alignment horizontal="center" vertical="top" wrapText="1"/>
    </xf>
    <xf numFmtId="0" fontId="41" fillId="0" borderId="0" xfId="0" applyFont="1" applyAlignment="1">
      <alignment horizontal="left" vertical="center"/>
    </xf>
    <xf numFmtId="0" fontId="23" fillId="0" borderId="0" xfId="0" applyFont="1" applyAlignment="1">
      <alignment horizontal="left" vertical="center"/>
    </xf>
    <xf numFmtId="0" fontId="27" fillId="0" borderId="0" xfId="0" applyFont="1" applyAlignment="1">
      <alignment horizontal="left"/>
    </xf>
    <xf numFmtId="0" fontId="36" fillId="0" borderId="0" xfId="0" applyFont="1" applyAlignment="1">
      <alignment horizontal="center"/>
    </xf>
    <xf numFmtId="0" fontId="41" fillId="0" borderId="0" xfId="0" applyFont="1" applyAlignment="1">
      <alignment horizontal="center" vertical="center"/>
    </xf>
    <xf numFmtId="0" fontId="41" fillId="13" borderId="15" xfId="0" applyFont="1" applyFill="1" applyBorder="1" applyAlignment="1">
      <alignment vertical="center" wrapText="1"/>
    </xf>
    <xf numFmtId="0" fontId="36" fillId="13" borderId="56" xfId="0" applyFont="1" applyFill="1" applyBorder="1"/>
    <xf numFmtId="174" fontId="41" fillId="13" borderId="54" xfId="0" applyNumberFormat="1" applyFont="1" applyFill="1" applyBorder="1" applyAlignment="1">
      <alignment horizontal="center" vertical="center" wrapText="1"/>
    </xf>
    <xf numFmtId="0" fontId="36" fillId="0" borderId="15" xfId="0" applyFont="1" applyBorder="1" applyAlignment="1">
      <alignment vertical="center" wrapText="1"/>
    </xf>
    <xf numFmtId="0" fontId="36" fillId="0" borderId="56" xfId="0" applyFont="1" applyBorder="1"/>
    <xf numFmtId="166" fontId="36" fillId="0" borderId="54" xfId="0" applyNumberFormat="1" applyFont="1" applyBorder="1" applyAlignment="1">
      <alignment horizontal="center" vertical="center" wrapText="1"/>
    </xf>
    <xf numFmtId="166" fontId="36" fillId="0" borderId="54" xfId="0" applyNumberFormat="1" applyFont="1" applyBorder="1" applyAlignment="1">
      <alignment vertical="center" wrapText="1"/>
    </xf>
    <xf numFmtId="166" fontId="36" fillId="0" borderId="0" xfId="0" applyNumberFormat="1" applyFont="1" applyAlignment="1">
      <alignment horizontal="center" wrapText="1"/>
    </xf>
    <xf numFmtId="166" fontId="36" fillId="0" borderId="0" xfId="0" applyNumberFormat="1" applyFont="1" applyAlignment="1">
      <alignment wrapText="1"/>
    </xf>
    <xf numFmtId="166" fontId="36" fillId="0" borderId="0" xfId="0" applyNumberFormat="1" applyFont="1" applyAlignment="1">
      <alignment horizontal="center" vertical="center" wrapText="1"/>
    </xf>
    <xf numFmtId="0" fontId="41" fillId="0" borderId="0" xfId="0" applyFont="1" applyAlignment="1">
      <alignment horizontal="left" wrapText="1"/>
    </xf>
    <xf numFmtId="0" fontId="41" fillId="0" borderId="0" xfId="0" applyFont="1" applyAlignment="1">
      <alignment horizontal="left" vertical="center" wrapText="1"/>
    </xf>
    <xf numFmtId="0" fontId="68" fillId="0" borderId="33" xfId="0" applyFont="1" applyBorder="1" applyAlignment="1">
      <alignment horizontal="center" vertical="center" wrapText="1"/>
    </xf>
    <xf numFmtId="0" fontId="68" fillId="0" borderId="33" xfId="0" applyFont="1" applyBorder="1" applyAlignment="1">
      <alignment horizontal="center" vertical="center"/>
    </xf>
    <xf numFmtId="0" fontId="36" fillId="0" borderId="24" xfId="0" applyFont="1" applyBorder="1"/>
    <xf numFmtId="0" fontId="68" fillId="0" borderId="34" xfId="0" applyFont="1" applyBorder="1" applyAlignment="1">
      <alignment vertical="center" wrapText="1"/>
    </xf>
    <xf numFmtId="0" fontId="68" fillId="0" borderId="35" xfId="0" applyFont="1" applyBorder="1" applyAlignment="1">
      <alignment vertical="center" wrapText="1"/>
    </xf>
    <xf numFmtId="0" fontId="68" fillId="0" borderId="2" xfId="0" applyFont="1" applyBorder="1" applyAlignment="1">
      <alignment vertical="center" wrapText="1"/>
    </xf>
    <xf numFmtId="0" fontId="69" fillId="0" borderId="33" xfId="0" applyFont="1" applyBorder="1" applyAlignment="1">
      <alignment vertical="center" wrapText="1"/>
    </xf>
    <xf numFmtId="0" fontId="69" fillId="0" borderId="34" xfId="0" applyFont="1" applyBorder="1" applyAlignment="1">
      <alignment vertical="center" wrapText="1"/>
    </xf>
    <xf numFmtId="0" fontId="36" fillId="0" borderId="35" xfId="0" applyFont="1" applyBorder="1"/>
    <xf numFmtId="0" fontId="68" fillId="0" borderId="36" xfId="0" applyFont="1" applyBorder="1" applyAlignment="1">
      <alignment horizontal="center" vertical="center" wrapText="1"/>
    </xf>
    <xf numFmtId="0" fontId="69" fillId="0" borderId="36" xfId="0" applyFont="1" applyBorder="1" applyAlignment="1">
      <alignment vertical="center" wrapText="1"/>
    </xf>
    <xf numFmtId="0" fontId="69" fillId="0" borderId="37" xfId="0" applyFont="1" applyBorder="1" applyAlignment="1">
      <alignment vertical="center" wrapText="1"/>
    </xf>
    <xf numFmtId="0" fontId="36" fillId="0" borderId="38" xfId="0" applyFont="1" applyBorder="1"/>
    <xf numFmtId="0" fontId="69" fillId="0" borderId="40" xfId="0" applyFont="1" applyBorder="1" applyAlignment="1">
      <alignment vertical="center" wrapText="1"/>
    </xf>
    <xf numFmtId="0" fontId="69" fillId="0" borderId="36" xfId="0" applyFont="1" applyBorder="1" applyAlignment="1">
      <alignment horizontal="center" vertical="center" wrapText="1"/>
    </xf>
    <xf numFmtId="0" fontId="69" fillId="0" borderId="15" xfId="0" applyFont="1" applyBorder="1" applyAlignment="1">
      <alignment vertical="center" wrapText="1"/>
    </xf>
    <xf numFmtId="0" fontId="36" fillId="0" borderId="16" xfId="0" applyFont="1" applyBorder="1"/>
    <xf numFmtId="0" fontId="69" fillId="0" borderId="2" xfId="0" applyFont="1" applyBorder="1" applyAlignment="1">
      <alignment vertical="center" wrapText="1"/>
    </xf>
    <xf numFmtId="0" fontId="36" fillId="0" borderId="1" xfId="0" applyFont="1" applyBorder="1"/>
    <xf numFmtId="0" fontId="69" fillId="0" borderId="39" xfId="0" applyFont="1" applyBorder="1" applyAlignment="1">
      <alignment horizontal="center" vertical="center" wrapText="1"/>
    </xf>
    <xf numFmtId="0" fontId="69" fillId="0" borderId="39" xfId="0" applyFont="1" applyBorder="1" applyAlignment="1">
      <alignment vertical="center" wrapText="1"/>
    </xf>
    <xf numFmtId="0" fontId="36" fillId="0" borderId="43" xfId="0" applyFont="1" applyBorder="1"/>
    <xf numFmtId="0" fontId="36" fillId="0" borderId="0" xfId="0" applyFont="1" applyAlignment="1">
      <alignment horizontal="justify" wrapText="1"/>
    </xf>
    <xf numFmtId="0" fontId="58" fillId="0" borderId="0" xfId="0" applyFont="1" applyAlignment="1">
      <alignment horizontal="center" vertical="top"/>
    </xf>
    <xf numFmtId="0" fontId="28" fillId="0" borderId="1" xfId="0" applyFont="1" applyBorder="1" applyAlignment="1">
      <alignment horizontal="left" vertical="center" wrapText="1"/>
    </xf>
    <xf numFmtId="0" fontId="28" fillId="0" borderId="15" xfId="0" applyFont="1" applyBorder="1" applyAlignment="1">
      <alignment horizontal="left" vertical="center"/>
    </xf>
    <xf numFmtId="0" fontId="28" fillId="0" borderId="16" xfId="0" applyFont="1" applyBorder="1" applyAlignment="1">
      <alignment horizontal="center" vertical="center" wrapText="1"/>
    </xf>
    <xf numFmtId="0" fontId="28" fillId="0" borderId="2" xfId="0" applyFont="1" applyBorder="1" applyAlignment="1">
      <alignment horizontal="center" vertical="center" wrapText="1"/>
    </xf>
    <xf numFmtId="0" fontId="28" fillId="0" borderId="0" xfId="0" applyFont="1" applyAlignment="1">
      <alignment horizontal="center" vertical="center" wrapText="1"/>
    </xf>
    <xf numFmtId="0" fontId="58" fillId="0" borderId="35" xfId="0" applyFont="1" applyBorder="1" applyAlignment="1">
      <alignment horizontal="left" vertical="top"/>
    </xf>
    <xf numFmtId="0" fontId="58" fillId="0" borderId="24" xfId="0" applyFont="1" applyBorder="1" applyAlignment="1">
      <alignment vertical="top"/>
    </xf>
    <xf numFmtId="0" fontId="58" fillId="0" borderId="34" xfId="0" applyFont="1" applyBorder="1" applyAlignment="1">
      <alignment vertical="top"/>
    </xf>
    <xf numFmtId="0" fontId="58" fillId="0" borderId="38" xfId="0" applyFont="1" applyBorder="1" applyAlignment="1">
      <alignment horizontal="left" vertical="top"/>
    </xf>
    <xf numFmtId="0" fontId="58" fillId="0" borderId="37" xfId="0" applyFont="1" applyBorder="1" applyAlignment="1">
      <alignment vertical="top"/>
    </xf>
    <xf numFmtId="0" fontId="58" fillId="0" borderId="43" xfId="0" applyFont="1" applyBorder="1" applyAlignment="1">
      <alignment horizontal="left" vertical="top"/>
    </xf>
    <xf numFmtId="0" fontId="58" fillId="0" borderId="48" xfId="0" applyFont="1" applyBorder="1" applyAlignment="1">
      <alignment vertical="top"/>
    </xf>
    <xf numFmtId="0" fontId="58" fillId="0" borderId="40" xfId="0" applyFont="1" applyBorder="1" applyAlignment="1">
      <alignment vertical="top"/>
    </xf>
    <xf numFmtId="0" fontId="58" fillId="0" borderId="0" xfId="0" applyFont="1" applyAlignment="1">
      <alignment horizontal="left" vertical="top"/>
    </xf>
    <xf numFmtId="0" fontId="25" fillId="0" borderId="0" xfId="0" applyFont="1" applyAlignment="1">
      <alignment horizontal="left" vertical="top" wrapText="1"/>
    </xf>
    <xf numFmtId="0" fontId="25" fillId="0" borderId="0" xfId="0" applyFont="1" applyAlignment="1">
      <alignment horizontal="right" vertical="top"/>
    </xf>
    <xf numFmtId="0" fontId="25" fillId="0" borderId="1" xfId="0" applyFont="1" applyBorder="1" applyAlignment="1">
      <alignment horizontal="left" vertical="top"/>
    </xf>
    <xf numFmtId="0" fontId="25" fillId="0" borderId="15" xfId="0" applyFont="1" applyBorder="1" applyAlignment="1">
      <alignment horizontal="left" vertical="top"/>
    </xf>
    <xf numFmtId="0" fontId="25" fillId="0" borderId="2" xfId="0" applyFont="1" applyBorder="1" applyAlignment="1">
      <alignment horizontal="left" vertical="top"/>
    </xf>
    <xf numFmtId="166" fontId="25" fillId="0" borderId="1" xfId="0" applyNumberFormat="1" applyFont="1" applyBorder="1" applyAlignment="1">
      <alignment horizontal="center" vertical="top" wrapText="1"/>
    </xf>
    <xf numFmtId="0" fontId="25" fillId="0" borderId="36" xfId="0" applyFont="1" applyBorder="1" applyAlignment="1">
      <alignment horizontal="left" vertical="top"/>
    </xf>
    <xf numFmtId="0" fontId="25" fillId="0" borderId="33" xfId="0" applyFont="1" applyBorder="1" applyAlignment="1">
      <alignment horizontal="left" vertical="top"/>
    </xf>
    <xf numFmtId="0" fontId="25" fillId="0" borderId="34" xfId="0" applyFont="1" applyBorder="1" applyAlignment="1">
      <alignment horizontal="left" vertical="top"/>
    </xf>
    <xf numFmtId="166" fontId="25" fillId="0" borderId="38" xfId="0" applyNumberFormat="1" applyFont="1" applyBorder="1" applyAlignment="1">
      <alignment horizontal="center" vertical="top" wrapText="1"/>
    </xf>
    <xf numFmtId="166" fontId="25" fillId="0" borderId="37" xfId="0" applyNumberFormat="1" applyFont="1" applyBorder="1" applyAlignment="1">
      <alignment horizontal="center" vertical="top" wrapText="1"/>
    </xf>
    <xf numFmtId="0" fontId="25" fillId="0" borderId="36" xfId="0" applyFont="1" applyBorder="1" applyAlignment="1">
      <alignment horizontal="left" vertical="top" wrapText="1"/>
    </xf>
    <xf numFmtId="0" fontId="25" fillId="0" borderId="37" xfId="0" applyFont="1" applyBorder="1" applyAlignment="1">
      <alignment horizontal="left" vertical="top"/>
    </xf>
    <xf numFmtId="0" fontId="25" fillId="0" borderId="39" xfId="0" applyFont="1" applyBorder="1" applyAlignment="1">
      <alignment horizontal="left" vertical="top" wrapText="1"/>
    </xf>
    <xf numFmtId="0" fontId="25" fillId="0" borderId="39" xfId="0" applyFont="1" applyBorder="1" applyAlignment="1">
      <alignment horizontal="left" vertical="top"/>
    </xf>
    <xf numFmtId="0" fontId="25" fillId="0" borderId="40" xfId="0" applyFont="1" applyBorder="1" applyAlignment="1">
      <alignment horizontal="left" vertical="top"/>
    </xf>
    <xf numFmtId="166" fontId="25" fillId="0" borderId="43" xfId="0" applyNumberFormat="1" applyFont="1" applyBorder="1" applyAlignment="1">
      <alignment horizontal="center" vertical="top" wrapText="1"/>
    </xf>
    <xf numFmtId="166" fontId="25" fillId="0" borderId="40" xfId="0" applyNumberFormat="1" applyFont="1" applyBorder="1" applyAlignment="1">
      <alignment horizontal="center" vertical="top" wrapText="1"/>
    </xf>
    <xf numFmtId="0" fontId="25" fillId="0" borderId="0" xfId="0" applyFont="1" applyAlignment="1">
      <alignment horizontal="left" vertical="top"/>
    </xf>
    <xf numFmtId="166" fontId="58" fillId="0" borderId="0" xfId="0" applyNumberFormat="1" applyFont="1" applyAlignment="1">
      <alignment vertical="top"/>
    </xf>
    <xf numFmtId="0" fontId="58" fillId="0" borderId="0" xfId="0" applyFont="1" applyAlignment="1">
      <alignment horizontal="justify" vertical="top" wrapText="1"/>
    </xf>
    <xf numFmtId="0" fontId="70" fillId="0" borderId="0" xfId="0" applyFont="1"/>
    <xf numFmtId="0" fontId="71" fillId="0" borderId="0" xfId="0" applyFont="1" applyAlignment="1">
      <alignment horizontal="center"/>
    </xf>
    <xf numFmtId="0" fontId="70" fillId="0" borderId="0" xfId="0" applyFont="1" applyAlignment="1">
      <alignment horizontal="center"/>
    </xf>
    <xf numFmtId="9" fontId="70" fillId="0" borderId="0" xfId="0" applyNumberFormat="1" applyFont="1" applyAlignment="1">
      <alignment horizontal="center"/>
    </xf>
    <xf numFmtId="0" fontId="46" fillId="0" borderId="0" xfId="0" applyFont="1" applyAlignment="1">
      <alignment horizontal="left" vertical="center"/>
    </xf>
    <xf numFmtId="0" fontId="71" fillId="0" borderId="0" xfId="0" applyFont="1" applyAlignment="1">
      <alignment horizontal="center" vertical="center"/>
    </xf>
    <xf numFmtId="9" fontId="71" fillId="0" borderId="0" xfId="0" applyNumberFormat="1" applyFont="1" applyAlignment="1">
      <alignment horizontal="center" vertical="center"/>
    </xf>
    <xf numFmtId="0" fontId="48" fillId="10" borderId="35" xfId="0" applyFont="1" applyFill="1" applyBorder="1" applyAlignment="1">
      <alignment horizontal="center" vertical="center"/>
    </xf>
    <xf numFmtId="0" fontId="48" fillId="0" borderId="35" xfId="0" applyFont="1" applyBorder="1" applyAlignment="1">
      <alignment horizontal="center" vertical="center"/>
    </xf>
    <xf numFmtId="0" fontId="48" fillId="10" borderId="1" xfId="0" applyFont="1" applyFill="1" applyBorder="1" applyAlignment="1">
      <alignment horizontal="center" vertical="center"/>
    </xf>
    <xf numFmtId="0" fontId="48" fillId="0" borderId="35" xfId="0" applyFont="1" applyBorder="1" applyAlignment="1">
      <alignment horizontal="center" vertical="center" wrapText="1"/>
    </xf>
    <xf numFmtId="9" fontId="71" fillId="0" borderId="35" xfId="0" applyNumberFormat="1" applyFont="1" applyBorder="1" applyAlignment="1">
      <alignment horizontal="center" vertical="center"/>
    </xf>
    <xf numFmtId="0" fontId="48" fillId="10" borderId="43" xfId="0" applyFont="1" applyFill="1" applyBorder="1" applyAlignment="1">
      <alignment horizontal="center" vertical="center"/>
    </xf>
    <xf numFmtId="0" fontId="48" fillId="0" borderId="43" xfId="0" applyFont="1" applyBorder="1" applyAlignment="1">
      <alignment horizontal="center" vertical="center"/>
    </xf>
    <xf numFmtId="0" fontId="48" fillId="0" borderId="43" xfId="0" applyFont="1" applyBorder="1" applyAlignment="1">
      <alignment horizontal="center" vertical="center" wrapText="1"/>
    </xf>
    <xf numFmtId="9" fontId="71" fillId="0" borderId="43" xfId="0" applyNumberFormat="1" applyFont="1" applyBorder="1" applyAlignment="1">
      <alignment horizontal="center" vertical="center"/>
    </xf>
    <xf numFmtId="0" fontId="70" fillId="0" borderId="35" xfId="0" applyFont="1" applyBorder="1" applyAlignment="1">
      <alignment horizontal="center" vertical="center"/>
    </xf>
    <xf numFmtId="0" fontId="49" fillId="0" borderId="35" xfId="0" applyFont="1" applyBorder="1" applyAlignment="1">
      <alignment horizontal="left" vertical="center" wrapText="1"/>
    </xf>
    <xf numFmtId="0" fontId="49" fillId="0" borderId="1" xfId="0" applyFont="1" applyBorder="1" applyAlignment="1">
      <alignment horizontal="justify" vertical="justify"/>
    </xf>
    <xf numFmtId="171" fontId="49" fillId="0" borderId="1" xfId="0" applyNumberFormat="1" applyFont="1" applyBorder="1" applyAlignment="1">
      <alignment horizontal="justify" vertical="justify"/>
    </xf>
    <xf numFmtId="175" fontId="49" fillId="0" borderId="35" xfId="0" applyNumberFormat="1" applyFont="1" applyBorder="1" applyAlignment="1">
      <alignment horizontal="center" vertical="center"/>
    </xf>
    <xf numFmtId="9" fontId="49" fillId="0" borderId="35" xfId="0" applyNumberFormat="1" applyFont="1" applyBorder="1" applyAlignment="1">
      <alignment horizontal="center" vertical="center"/>
    </xf>
    <xf numFmtId="0" fontId="70" fillId="0" borderId="43" xfId="0" applyFont="1" applyBorder="1" applyAlignment="1">
      <alignment horizontal="center" vertical="center"/>
    </xf>
    <xf numFmtId="0" fontId="49" fillId="0" borderId="43" xfId="0" applyFont="1" applyBorder="1" applyAlignment="1">
      <alignment horizontal="left" vertical="center" wrapText="1"/>
    </xf>
    <xf numFmtId="175" fontId="49" fillId="0" borderId="43" xfId="0" applyNumberFormat="1" applyFont="1" applyBorder="1" applyAlignment="1">
      <alignment horizontal="center" vertical="center"/>
    </xf>
    <xf numFmtId="9" fontId="49" fillId="0" borderId="43" xfId="0" applyNumberFormat="1" applyFont="1" applyBorder="1" applyAlignment="1">
      <alignment horizontal="center" vertical="center"/>
    </xf>
    <xf numFmtId="0" fontId="70" fillId="0" borderId="36" xfId="0" applyFont="1" applyBorder="1"/>
    <xf numFmtId="0" fontId="49" fillId="0" borderId="0" xfId="0" applyFont="1" applyAlignment="1">
      <alignment horizontal="left" vertical="center" wrapText="1"/>
    </xf>
    <xf numFmtId="0" fontId="49" fillId="0" borderId="0" xfId="0" applyFont="1" applyAlignment="1">
      <alignment horizontal="justify" vertical="justify"/>
    </xf>
    <xf numFmtId="171" fontId="49" fillId="0" borderId="0" xfId="0" applyNumberFormat="1" applyFont="1" applyAlignment="1">
      <alignment horizontal="justify" vertical="justify"/>
    </xf>
    <xf numFmtId="0" fontId="49" fillId="0" borderId="0" xfId="0" applyFont="1" applyAlignment="1">
      <alignment horizontal="center" vertical="center"/>
    </xf>
    <xf numFmtId="2" fontId="49" fillId="0" borderId="0" xfId="0" applyNumberFormat="1" applyFont="1" applyAlignment="1">
      <alignment horizontal="center" vertical="center"/>
    </xf>
    <xf numFmtId="9" fontId="49" fillId="0" borderId="37" xfId="0" applyNumberFormat="1" applyFont="1" applyBorder="1" applyAlignment="1">
      <alignment horizontal="center" vertical="center"/>
    </xf>
    <xf numFmtId="0" fontId="58" fillId="0" borderId="1" xfId="0" applyFont="1" applyBorder="1" applyAlignment="1">
      <alignment horizontal="justify" vertical="justify"/>
    </xf>
    <xf numFmtId="175" fontId="58" fillId="0" borderId="35" xfId="0" applyNumberFormat="1" applyFont="1" applyBorder="1" applyAlignment="1">
      <alignment horizontal="center" vertical="center"/>
    </xf>
    <xf numFmtId="175" fontId="58" fillId="0" borderId="43" xfId="0" applyNumberFormat="1" applyFont="1" applyBorder="1" applyAlignment="1">
      <alignment horizontal="center" vertical="center"/>
    </xf>
    <xf numFmtId="171" fontId="58" fillId="0" borderId="0" xfId="0" applyNumberFormat="1" applyFont="1" applyAlignment="1">
      <alignment horizontal="justify" vertical="justify"/>
    </xf>
    <xf numFmtId="0" fontId="49" fillId="0" borderId="24" xfId="0" applyFont="1" applyBorder="1" applyAlignment="1">
      <alignment horizontal="center" vertical="center"/>
    </xf>
    <xf numFmtId="2" fontId="58" fillId="0" borderId="0" xfId="0" applyNumberFormat="1" applyFont="1" applyAlignment="1">
      <alignment horizontal="center" vertical="center"/>
    </xf>
    <xf numFmtId="0" fontId="22" fillId="0" borderId="35" xfId="0" applyFont="1" applyBorder="1" applyAlignment="1">
      <alignment horizontal="left" vertical="center" wrapText="1"/>
    </xf>
    <xf numFmtId="0" fontId="22" fillId="0" borderId="43" xfId="0" applyFont="1" applyBorder="1" applyAlignment="1">
      <alignment horizontal="left" vertical="center" wrapText="1"/>
    </xf>
    <xf numFmtId="171" fontId="58" fillId="0" borderId="1" xfId="0" applyNumberFormat="1" applyFont="1" applyBorder="1" applyAlignment="1">
      <alignment horizontal="justify" vertical="justify"/>
    </xf>
    <xf numFmtId="0" fontId="58" fillId="0" borderId="36" xfId="0" applyFont="1" applyBorder="1" applyAlignment="1">
      <alignment horizontal="left" vertical="center"/>
    </xf>
    <xf numFmtId="0" fontId="58" fillId="0" borderId="0" xfId="0" applyFont="1" applyAlignment="1">
      <alignment horizontal="left" vertical="center" wrapText="1"/>
    </xf>
    <xf numFmtId="166" fontId="58" fillId="0" borderId="0" xfId="0" applyNumberFormat="1" applyFont="1" applyAlignment="1">
      <alignment horizontal="center" vertical="center"/>
    </xf>
    <xf numFmtId="9" fontId="49" fillId="0" borderId="37" xfId="0" applyNumberFormat="1" applyFont="1" applyBorder="1" applyAlignment="1">
      <alignment horizontal="center"/>
    </xf>
    <xf numFmtId="9" fontId="58" fillId="0" borderId="35" xfId="0" applyNumberFormat="1" applyFont="1" applyBorder="1" applyAlignment="1">
      <alignment horizontal="center" vertical="center"/>
    </xf>
    <xf numFmtId="9" fontId="58" fillId="0" borderId="43" xfId="0" applyNumberFormat="1" applyFont="1" applyBorder="1" applyAlignment="1">
      <alignment horizontal="center" vertical="center"/>
    </xf>
    <xf numFmtId="0" fontId="49" fillId="0" borderId="36" xfId="0" applyFont="1" applyBorder="1" applyAlignment="1">
      <alignment horizontal="left" vertical="center"/>
    </xf>
    <xf numFmtId="9" fontId="49" fillId="0" borderId="0" xfId="0" applyNumberFormat="1" applyFont="1" applyAlignment="1">
      <alignment horizontal="center" vertical="center"/>
    </xf>
    <xf numFmtId="9" fontId="58" fillId="0" borderId="0" xfId="0" applyNumberFormat="1" applyFont="1" applyAlignment="1">
      <alignment horizontal="center" vertical="center"/>
    </xf>
    <xf numFmtId="175" fontId="58" fillId="0" borderId="0" xfId="0" applyNumberFormat="1" applyFont="1" applyAlignment="1">
      <alignment horizontal="center" vertical="center"/>
    </xf>
    <xf numFmtId="0" fontId="70" fillId="0" borderId="36" xfId="0" applyFont="1" applyBorder="1" applyAlignment="1">
      <alignment horizontal="left" vertical="center"/>
    </xf>
    <xf numFmtId="176" fontId="58" fillId="0" borderId="35" xfId="0" applyNumberFormat="1" applyFont="1" applyBorder="1" applyAlignment="1">
      <alignment horizontal="center" vertical="center"/>
    </xf>
    <xf numFmtId="176" fontId="58" fillId="0" borderId="43" xfId="0" applyNumberFormat="1" applyFont="1" applyBorder="1" applyAlignment="1">
      <alignment horizontal="center" vertical="center"/>
    </xf>
    <xf numFmtId="176" fontId="58" fillId="0" borderId="0" xfId="0" applyNumberFormat="1" applyFont="1" applyAlignment="1">
      <alignment horizontal="center" vertical="center"/>
    </xf>
    <xf numFmtId="0" fontId="70" fillId="0" borderId="36" xfId="0" applyFont="1" applyBorder="1" applyAlignment="1">
      <alignment horizontal="center" vertical="center"/>
    </xf>
    <xf numFmtId="10" fontId="58" fillId="0" borderId="0" xfId="0" applyNumberFormat="1" applyFont="1" applyAlignment="1">
      <alignment horizontal="center" vertical="center"/>
    </xf>
    <xf numFmtId="10" fontId="58" fillId="0" borderId="35" xfId="0" applyNumberFormat="1" applyFont="1" applyBorder="1" applyAlignment="1">
      <alignment horizontal="center" vertical="center"/>
    </xf>
    <xf numFmtId="10" fontId="58" fillId="0" borderId="43" xfId="0" applyNumberFormat="1" applyFont="1" applyBorder="1" applyAlignment="1">
      <alignment horizontal="center" vertical="center"/>
    </xf>
    <xf numFmtId="0" fontId="58" fillId="0" borderId="0" xfId="0" applyFont="1" applyAlignment="1">
      <alignment horizontal="left" vertical="justify"/>
    </xf>
    <xf numFmtId="0" fontId="22" fillId="0" borderId="35" xfId="0" applyFont="1" applyBorder="1" applyAlignment="1">
      <alignment horizontal="left" vertical="top" wrapText="1"/>
    </xf>
    <xf numFmtId="0" fontId="70" fillId="0" borderId="39" xfId="0" applyFont="1" applyBorder="1"/>
    <xf numFmtId="0" fontId="58" fillId="0" borderId="48" xfId="0" applyFont="1" applyBorder="1" applyAlignment="1">
      <alignment horizontal="left" vertical="justify"/>
    </xf>
    <xf numFmtId="0" fontId="49" fillId="0" borderId="48" xfId="0" applyFont="1" applyBorder="1" applyAlignment="1">
      <alignment horizontal="justify" vertical="justify"/>
    </xf>
    <xf numFmtId="171" fontId="58" fillId="0" borderId="48" xfId="0" applyNumberFormat="1" applyFont="1" applyBorder="1" applyAlignment="1">
      <alignment horizontal="justify" vertical="justify"/>
    </xf>
    <xf numFmtId="10" fontId="58" fillId="0" borderId="48" xfId="0" applyNumberFormat="1" applyFont="1" applyBorder="1" applyAlignment="1">
      <alignment horizontal="center" vertical="center"/>
    </xf>
    <xf numFmtId="9" fontId="49" fillId="0" borderId="40" xfId="0" applyNumberFormat="1" applyFont="1" applyBorder="1" applyAlignment="1">
      <alignment horizontal="center" vertical="center"/>
    </xf>
    <xf numFmtId="0" fontId="70" fillId="0" borderId="0" xfId="0" applyFont="1" applyAlignment="1">
      <alignment horizontal="left"/>
    </xf>
    <xf numFmtId="0" fontId="66" fillId="0" borderId="0" xfId="0" applyFont="1"/>
    <xf numFmtId="171" fontId="58" fillId="0" borderId="0" xfId="0" applyNumberFormat="1" applyFont="1" applyAlignment="1">
      <alignment vertical="top"/>
    </xf>
    <xf numFmtId="0" fontId="28" fillId="0" borderId="35" xfId="0" applyFont="1" applyBorder="1" applyAlignment="1">
      <alignment horizontal="center" vertical="center" wrapText="1"/>
    </xf>
    <xf numFmtId="171" fontId="28" fillId="0" borderId="35" xfId="0" applyNumberFormat="1" applyFont="1" applyBorder="1" applyAlignment="1">
      <alignment horizontal="center" vertical="center" wrapText="1"/>
    </xf>
    <xf numFmtId="171" fontId="28" fillId="0" borderId="15" xfId="0" applyNumberFormat="1" applyFont="1" applyBorder="1" applyAlignment="1">
      <alignment horizontal="center" vertical="center" wrapText="1"/>
    </xf>
    <xf numFmtId="171" fontId="28" fillId="0" borderId="2" xfId="0" applyNumberFormat="1" applyFont="1" applyBorder="1" applyAlignment="1">
      <alignment horizontal="center" vertical="center" wrapText="1"/>
    </xf>
    <xf numFmtId="0" fontId="28" fillId="0" borderId="43" xfId="0" applyFont="1" applyBorder="1" applyAlignment="1">
      <alignment horizontal="center" vertical="center" wrapText="1"/>
    </xf>
    <xf numFmtId="171" fontId="28" fillId="0" borderId="43" xfId="0" applyNumberFormat="1" applyFont="1" applyBorder="1" applyAlignment="1">
      <alignment horizontal="center" vertical="center" wrapText="1"/>
    </xf>
    <xf numFmtId="171" fontId="28" fillId="0" borderId="1" xfId="0" applyNumberFormat="1" applyFont="1" applyBorder="1" applyAlignment="1">
      <alignment horizontal="center" vertical="center" wrapText="1"/>
    </xf>
    <xf numFmtId="165" fontId="58" fillId="0" borderId="35" xfId="0" applyNumberFormat="1" applyFont="1" applyBorder="1" applyAlignment="1">
      <alignment horizontal="left" vertical="top"/>
    </xf>
    <xf numFmtId="9" fontId="58" fillId="0" borderId="35" xfId="0" applyNumberFormat="1" applyFont="1" applyBorder="1" applyAlignment="1">
      <alignment vertical="top"/>
    </xf>
    <xf numFmtId="166" fontId="58" fillId="0" borderId="24" xfId="0" applyNumberFormat="1" applyFont="1" applyBorder="1" applyAlignment="1">
      <alignment vertical="top"/>
    </xf>
    <xf numFmtId="166" fontId="58" fillId="0" borderId="35" xfId="0" applyNumberFormat="1" applyFont="1" applyBorder="1" applyAlignment="1">
      <alignment vertical="top"/>
    </xf>
    <xf numFmtId="166" fontId="58" fillId="0" borderId="24" xfId="0" applyNumberFormat="1" applyFont="1" applyBorder="1" applyAlignment="1">
      <alignment vertical="top" wrapText="1"/>
    </xf>
    <xf numFmtId="165" fontId="58" fillId="0" borderId="38" xfId="0" applyNumberFormat="1" applyFont="1" applyBorder="1" applyAlignment="1">
      <alignment horizontal="left" vertical="top"/>
    </xf>
    <xf numFmtId="9" fontId="58" fillId="0" borderId="38" xfId="0" applyNumberFormat="1" applyFont="1" applyBorder="1" applyAlignment="1">
      <alignment horizontal="right" vertical="top"/>
    </xf>
    <xf numFmtId="166" fontId="58" fillId="0" borderId="38" xfId="0" applyNumberFormat="1" applyFont="1" applyBorder="1" applyAlignment="1">
      <alignment vertical="top"/>
    </xf>
    <xf numFmtId="166" fontId="58" fillId="0" borderId="0" xfId="0" applyNumberFormat="1" applyFont="1" applyAlignment="1">
      <alignment vertical="top" wrapText="1"/>
    </xf>
    <xf numFmtId="0" fontId="58" fillId="0" borderId="43" xfId="0" applyFont="1" applyBorder="1" applyAlignment="1">
      <alignment vertical="top"/>
    </xf>
    <xf numFmtId="166" fontId="58" fillId="0" borderId="48" xfId="0" applyNumberFormat="1" applyFont="1" applyBorder="1" applyAlignment="1">
      <alignment vertical="top"/>
    </xf>
    <xf numFmtId="166" fontId="58" fillId="0" borderId="43" xfId="0" applyNumberFormat="1" applyFont="1" applyBorder="1" applyAlignment="1">
      <alignment vertical="top"/>
    </xf>
    <xf numFmtId="0" fontId="19" fillId="0" borderId="66" xfId="0" applyFont="1" applyBorder="1" applyAlignment="1">
      <alignment vertical="top"/>
    </xf>
    <xf numFmtId="0" fontId="25" fillId="0" borderId="68" xfId="0" applyFont="1" applyBorder="1" applyAlignment="1">
      <alignment vertical="top"/>
    </xf>
    <xf numFmtId="0" fontId="29" fillId="0" borderId="0" xfId="0" applyFont="1" applyAlignment="1">
      <alignment vertical="top"/>
    </xf>
    <xf numFmtId="170" fontId="29" fillId="0" borderId="0" xfId="0" applyNumberFormat="1" applyFont="1" applyAlignment="1">
      <alignment vertical="top"/>
    </xf>
    <xf numFmtId="177" fontId="72" fillId="0" borderId="0" xfId="0" applyNumberFormat="1" applyFont="1" applyAlignment="1">
      <alignment horizontal="left" vertical="center"/>
    </xf>
    <xf numFmtId="177" fontId="73" fillId="10" borderId="0" xfId="0" applyNumberFormat="1" applyFont="1" applyFill="1" applyAlignment="1">
      <alignment vertical="top"/>
    </xf>
    <xf numFmtId="2" fontId="28" fillId="0" borderId="1" xfId="0" applyNumberFormat="1" applyFont="1" applyBorder="1" applyAlignment="1">
      <alignment horizontal="center" vertical="center" wrapText="1"/>
    </xf>
    <xf numFmtId="177" fontId="73" fillId="10" borderId="36" xfId="0" applyNumberFormat="1" applyFont="1" applyFill="1" applyBorder="1" applyAlignment="1">
      <alignment vertical="top"/>
    </xf>
    <xf numFmtId="177" fontId="73" fillId="10" borderId="37" xfId="0" applyNumberFormat="1" applyFont="1" applyFill="1" applyBorder="1" applyAlignment="1">
      <alignment vertical="top"/>
    </xf>
    <xf numFmtId="2" fontId="73" fillId="10" borderId="37" xfId="0" applyNumberFormat="1" applyFont="1" applyFill="1" applyBorder="1" applyAlignment="1">
      <alignment vertical="top"/>
    </xf>
    <xf numFmtId="177" fontId="74" fillId="10" borderId="36" xfId="0" applyNumberFormat="1" applyFont="1" applyFill="1" applyBorder="1" applyAlignment="1">
      <alignment horizontal="left" vertical="top"/>
    </xf>
    <xf numFmtId="166" fontId="73" fillId="10" borderId="37" xfId="0" applyNumberFormat="1" applyFont="1" applyFill="1" applyBorder="1" applyAlignment="1">
      <alignment vertical="top"/>
    </xf>
    <xf numFmtId="177" fontId="75" fillId="10" borderId="36" xfId="0" applyNumberFormat="1" applyFont="1" applyFill="1" applyBorder="1" applyAlignment="1">
      <alignment horizontal="left" vertical="top"/>
    </xf>
    <xf numFmtId="166" fontId="75" fillId="10" borderId="37" xfId="0" applyNumberFormat="1" applyFont="1" applyFill="1" applyBorder="1" applyAlignment="1">
      <alignment horizontal="right" vertical="top"/>
    </xf>
    <xf numFmtId="177" fontId="73" fillId="10" borderId="36" xfId="0" applyNumberFormat="1" applyFont="1" applyFill="1" applyBorder="1" applyAlignment="1">
      <alignment horizontal="left" vertical="top"/>
    </xf>
    <xf numFmtId="166" fontId="75" fillId="10" borderId="35" xfId="0" applyNumberFormat="1" applyFont="1" applyFill="1" applyBorder="1" applyAlignment="1">
      <alignment horizontal="right" vertical="top"/>
    </xf>
    <xf numFmtId="166" fontId="75" fillId="0" borderId="37" xfId="0" applyNumberFormat="1" applyFont="1" applyBorder="1" applyAlignment="1">
      <alignment horizontal="right" vertical="top"/>
    </xf>
    <xf numFmtId="166" fontId="73" fillId="0" borderId="37" xfId="0" applyNumberFormat="1" applyFont="1" applyBorder="1" applyAlignment="1">
      <alignment horizontal="right" vertical="top"/>
    </xf>
    <xf numFmtId="177" fontId="76" fillId="10" borderId="36" xfId="0" applyNumberFormat="1" applyFont="1" applyFill="1" applyBorder="1" applyAlignment="1">
      <alignment horizontal="left" vertical="top"/>
    </xf>
    <xf numFmtId="177" fontId="56" fillId="10" borderId="0" xfId="0" applyNumberFormat="1" applyFont="1" applyFill="1" applyAlignment="1">
      <alignment vertical="top"/>
    </xf>
    <xf numFmtId="177" fontId="56" fillId="10" borderId="37" xfId="0" applyNumberFormat="1" applyFont="1" applyFill="1" applyBorder="1" applyAlignment="1">
      <alignment horizontal="center" vertical="top"/>
    </xf>
    <xf numFmtId="166" fontId="76" fillId="0" borderId="37" xfId="0" applyNumberFormat="1" applyFont="1" applyBorder="1" applyAlignment="1">
      <alignment horizontal="right" vertical="top"/>
    </xf>
    <xf numFmtId="177" fontId="73" fillId="10" borderId="37" xfId="0" applyNumberFormat="1" applyFont="1" applyFill="1" applyBorder="1" applyAlignment="1">
      <alignment horizontal="center" vertical="top"/>
    </xf>
    <xf numFmtId="177" fontId="75" fillId="10" borderId="51" xfId="0" applyNumberFormat="1" applyFont="1" applyFill="1" applyBorder="1" applyAlignment="1">
      <alignment horizontal="left" vertical="top"/>
    </xf>
    <xf numFmtId="177" fontId="73" fillId="10" borderId="48" xfId="0" applyNumberFormat="1" applyFont="1" applyFill="1" applyBorder="1" applyAlignment="1">
      <alignment vertical="top"/>
    </xf>
    <xf numFmtId="177" fontId="73" fillId="10" borderId="52" xfId="0" applyNumberFormat="1" applyFont="1" applyFill="1" applyBorder="1" applyAlignment="1">
      <alignment vertical="top"/>
    </xf>
    <xf numFmtId="166" fontId="76" fillId="0" borderId="52" xfId="0" applyNumberFormat="1" applyFont="1" applyBorder="1" applyAlignment="1">
      <alignment horizontal="right" vertical="top"/>
    </xf>
    <xf numFmtId="166" fontId="29" fillId="0" borderId="0" xfId="0" applyNumberFormat="1" applyFont="1" applyAlignment="1">
      <alignment vertical="top"/>
    </xf>
    <xf numFmtId="170" fontId="26" fillId="0" borderId="0" xfId="0" applyNumberFormat="1" applyFont="1" applyAlignment="1">
      <alignment vertical="top"/>
    </xf>
    <xf numFmtId="166" fontId="26" fillId="0" borderId="0" xfId="0" applyNumberFormat="1" applyFont="1" applyAlignment="1">
      <alignment vertical="top"/>
    </xf>
    <xf numFmtId="0" fontId="5" fillId="14" borderId="0" xfId="0" applyFont="1" applyFill="1" applyAlignment="1">
      <alignment horizontal="left" vertical="top" wrapText="1"/>
    </xf>
    <xf numFmtId="0" fontId="0" fillId="14" borderId="0" xfId="0" applyFill="1"/>
    <xf numFmtId="0" fontId="21" fillId="4" borderId="10" xfId="0" applyFont="1" applyFill="1" applyBorder="1" applyAlignment="1">
      <alignment horizontal="center" vertical="center" wrapText="1"/>
    </xf>
    <xf numFmtId="0" fontId="0" fillId="4" borderId="10" xfId="0" applyFill="1" applyBorder="1"/>
    <xf numFmtId="0" fontId="77" fillId="7" borderId="10" xfId="0" applyFont="1" applyFill="1" applyBorder="1" applyAlignment="1">
      <alignment horizontal="center" vertical="center"/>
    </xf>
    <xf numFmtId="0" fontId="0" fillId="7" borderId="10" xfId="0" applyFill="1" applyBorder="1"/>
    <xf numFmtId="0" fontId="5" fillId="12" borderId="10" xfId="0" applyFont="1" applyFill="1" applyBorder="1" applyAlignment="1">
      <alignment horizontal="left" vertical="top" wrapText="1"/>
    </xf>
    <xf numFmtId="0" fontId="0" fillId="12" borderId="10" xfId="0" applyFill="1" applyBorder="1"/>
    <xf numFmtId="0" fontId="19" fillId="4" borderId="10" xfId="0" applyFont="1" applyFill="1" applyBorder="1" applyAlignment="1">
      <alignment horizontal="center" vertical="center"/>
    </xf>
    <xf numFmtId="0" fontId="19" fillId="4" borderId="10" xfId="0" applyFont="1" applyFill="1" applyBorder="1" applyAlignment="1">
      <alignment horizontal="left" vertical="top" wrapText="1"/>
    </xf>
    <xf numFmtId="0" fontId="78" fillId="15" borderId="10" xfId="0" applyFont="1" applyFill="1" applyBorder="1" applyAlignment="1">
      <alignment horizontal="left" vertical="top" wrapText="1"/>
    </xf>
    <xf numFmtId="0" fontId="78" fillId="15" borderId="10" xfId="0" applyFont="1" applyFill="1" applyBorder="1" applyAlignment="1">
      <alignment horizontal="center" vertical="center"/>
    </xf>
    <xf numFmtId="0" fontId="20" fillId="15" borderId="10" xfId="0" applyFont="1" applyFill="1" applyBorder="1" applyAlignment="1">
      <alignment horizontal="center" vertical="center"/>
    </xf>
    <xf numFmtId="0" fontId="19" fillId="4" borderId="66" xfId="0" applyFont="1" applyFill="1" applyBorder="1" applyAlignment="1">
      <alignment horizontal="right" vertical="center"/>
    </xf>
    <xf numFmtId="0" fontId="19" fillId="0" borderId="66" xfId="0" applyFont="1" applyBorder="1"/>
    <xf numFmtId="0" fontId="19" fillId="12" borderId="66" xfId="0" applyFont="1" applyFill="1" applyBorder="1" applyAlignment="1">
      <alignment horizontal="right" vertical="center"/>
    </xf>
    <xf numFmtId="0" fontId="21" fillId="4" borderId="10" xfId="0" applyFont="1" applyFill="1" applyBorder="1" applyAlignment="1">
      <alignment horizontal="left" vertical="top" wrapText="1"/>
    </xf>
    <xf numFmtId="0" fontId="20" fillId="4" borderId="10" xfId="0" applyFont="1" applyFill="1" applyBorder="1" applyAlignment="1">
      <alignment horizontal="left" vertical="top" wrapText="1"/>
    </xf>
  </cellXfs>
  <cellStyles count="1">
    <cellStyle name="Normal" xfId="0" builtinId="0"/>
  </cellStyles>
  <dxfs count="37">
    <dxf>
      <font>
        <color indexed="10"/>
        <condense/>
        <extend/>
      </font>
    </dxf>
    <dxf>
      <font>
        <color indexed="9"/>
        <condense/>
        <extend/>
      </font>
    </dxf>
    <dxf>
      <font>
        <color indexed="13"/>
        <condense/>
        <extend/>
      </font>
      <fill>
        <patternFill>
          <bgColor indexed="31"/>
        </patternFill>
      </fill>
    </dxf>
    <dxf>
      <font>
        <color indexed="12"/>
        <condense/>
        <extend/>
      </font>
      <fill>
        <patternFill>
          <bgColor indexed="42"/>
        </patternFill>
      </fill>
    </dxf>
    <dxf>
      <font>
        <color indexed="12"/>
        <condense/>
        <extend/>
      </font>
      <fill>
        <patternFill>
          <bgColor indexed="42"/>
        </patternFill>
      </fill>
    </dxf>
    <dxf>
      <font>
        <color indexed="12"/>
        <condense/>
        <extend/>
      </font>
      <fill>
        <patternFill>
          <bgColor indexed="42"/>
        </patternFill>
      </fill>
    </dxf>
    <dxf>
      <font>
        <color indexed="12"/>
        <condense/>
        <extend/>
      </font>
      <fill>
        <patternFill>
          <bgColor indexed="42"/>
        </patternFill>
      </fill>
    </dxf>
    <dxf>
      <font>
        <color indexed="12"/>
        <condense/>
        <extend/>
      </font>
      <fill>
        <patternFill>
          <bgColor indexed="42"/>
        </patternFill>
      </fill>
    </dxf>
    <dxf>
      <font>
        <color indexed="12"/>
        <condense/>
        <extend/>
      </font>
      <fill>
        <patternFill>
          <bgColor indexed="42"/>
        </patternFill>
      </fill>
    </dxf>
    <dxf>
      <font>
        <color indexed="12"/>
        <condense/>
        <extend/>
      </font>
      <fill>
        <patternFill>
          <bgColor indexed="42"/>
        </patternFill>
      </fill>
    </dxf>
    <dxf>
      <font>
        <color indexed="12"/>
        <condense/>
        <extend/>
      </font>
      <fill>
        <patternFill>
          <bgColor indexed="42"/>
        </patternFill>
      </fill>
    </dxf>
    <dxf>
      <font>
        <color indexed="12"/>
        <condense/>
        <extend/>
      </font>
      <fill>
        <patternFill>
          <bgColor indexed="42"/>
        </patternFill>
      </fill>
    </dxf>
    <dxf>
      <font>
        <color indexed="13"/>
        <condense/>
        <extend/>
      </font>
      <fill>
        <patternFill>
          <bgColor indexed="31"/>
        </patternFill>
      </fill>
    </dxf>
    <dxf>
      <font>
        <color indexed="12"/>
        <condense/>
        <extend/>
      </font>
      <fill>
        <patternFill>
          <bgColor indexed="42"/>
        </patternFill>
      </fill>
    </dxf>
    <dxf>
      <font>
        <color indexed="12"/>
        <condense/>
        <extend/>
      </font>
      <fill>
        <patternFill>
          <bgColor indexed="42"/>
        </patternFill>
      </fill>
    </dxf>
    <dxf>
      <font>
        <color indexed="12"/>
        <condense/>
        <extend/>
      </font>
      <fill>
        <patternFill>
          <bgColor indexed="42"/>
        </patternFill>
      </fill>
    </dxf>
    <dxf>
      <font>
        <color indexed="12"/>
        <condense/>
        <extend/>
      </font>
      <fill>
        <patternFill>
          <bgColor indexed="42"/>
        </patternFill>
      </fill>
    </dxf>
    <dxf>
      <font>
        <color indexed="12"/>
        <condense/>
        <extend/>
      </font>
      <fill>
        <patternFill>
          <bgColor indexed="42"/>
        </patternFill>
      </fill>
    </dxf>
    <dxf>
      <font>
        <color indexed="12"/>
        <condense/>
        <extend/>
      </font>
      <fill>
        <patternFill>
          <bgColor indexed="42"/>
        </patternFill>
      </fill>
    </dxf>
    <dxf>
      <font>
        <color indexed="12"/>
        <condense/>
        <extend/>
      </font>
      <fill>
        <patternFill>
          <bgColor indexed="42"/>
        </patternFill>
      </fill>
    </dxf>
    <dxf>
      <font>
        <color indexed="12"/>
        <condense/>
        <extend/>
      </font>
      <fill>
        <patternFill>
          <bgColor indexed="42"/>
        </patternFill>
      </fill>
    </dxf>
    <dxf>
      <font>
        <color indexed="12"/>
        <condense/>
        <extend/>
      </font>
      <fill>
        <patternFill>
          <bgColor indexed="42"/>
        </patternFill>
      </fill>
    </dxf>
    <dxf>
      <font>
        <color indexed="12"/>
        <condense/>
        <extend/>
      </font>
      <fill>
        <patternFill>
          <bgColor indexed="42"/>
        </patternFill>
      </fill>
    </dxf>
    <dxf>
      <font>
        <color indexed="12"/>
        <condense/>
        <extend/>
      </font>
      <fill>
        <patternFill>
          <bgColor indexed="42"/>
        </patternFill>
      </fill>
    </dxf>
    <dxf>
      <font>
        <color indexed="12"/>
        <condense/>
        <extend/>
      </font>
      <fill>
        <patternFill>
          <bgColor indexed="42"/>
        </patternFill>
      </fill>
    </dxf>
    <dxf>
      <font>
        <color indexed="12"/>
        <condense/>
        <extend/>
      </font>
      <fill>
        <patternFill>
          <bgColor indexed="42"/>
        </patternFill>
      </fill>
    </dxf>
    <dxf>
      <font>
        <color indexed="13"/>
        <condense/>
        <extend/>
      </font>
      <fill>
        <patternFill>
          <bgColor indexed="31"/>
        </patternFill>
      </fill>
    </dxf>
    <dxf>
      <font>
        <color indexed="12"/>
        <condense/>
        <extend/>
      </font>
      <fill>
        <patternFill>
          <bgColor indexed="42"/>
        </patternFill>
      </fill>
    </dxf>
    <dxf>
      <font>
        <color indexed="13"/>
        <condense/>
        <extend/>
      </font>
      <fill>
        <patternFill>
          <bgColor indexed="31"/>
        </patternFill>
      </fill>
    </dxf>
    <dxf>
      <font>
        <color indexed="12"/>
        <condense/>
        <extend/>
      </font>
      <fill>
        <patternFill>
          <bgColor indexed="42"/>
        </patternFill>
      </fill>
    </dxf>
    <dxf>
      <font>
        <color indexed="13"/>
        <condense/>
        <extend/>
      </font>
      <fill>
        <patternFill>
          <bgColor indexed="31"/>
        </patternFill>
      </fill>
    </dxf>
    <dxf>
      <font>
        <color indexed="12"/>
        <condense/>
        <extend/>
      </font>
      <fill>
        <patternFill>
          <bgColor indexed="42"/>
        </patternFill>
      </fill>
    </dxf>
    <dxf>
      <font>
        <color indexed="13"/>
        <condense/>
        <extend/>
      </font>
      <fill>
        <patternFill>
          <bgColor indexed="31"/>
        </patternFill>
      </fill>
    </dxf>
    <dxf>
      <font>
        <color indexed="12"/>
        <condense/>
        <extend/>
      </font>
      <fill>
        <patternFill>
          <bgColor indexed="42"/>
        </patternFill>
      </fill>
    </dxf>
    <dxf>
      <font>
        <color indexed="13"/>
        <condense/>
        <extend/>
      </font>
      <fill>
        <patternFill>
          <bgColor indexed="31"/>
        </patternFill>
      </fill>
    </dxf>
    <dxf>
      <font>
        <color indexed="12"/>
        <condense/>
        <extend/>
      </font>
      <fill>
        <patternFill>
          <bgColor indexed="42"/>
        </patternFill>
      </fill>
    </dxf>
    <dxf>
      <font>
        <color indexed="13"/>
        <condense/>
        <extend/>
      </font>
      <fill>
        <patternFill>
          <bgColor indexed="3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38.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 Id="rId22" Type="http://schemas.openxmlformats.org/officeDocument/2006/relationships/worksheet" Target="worksheets/sheet18.xml"/><Relationship Id="rId23" Type="http://schemas.openxmlformats.org/officeDocument/2006/relationships/worksheet" Target="worksheets/sheet19.xml"/><Relationship Id="rId24" Type="http://schemas.openxmlformats.org/officeDocument/2006/relationships/worksheet" Target="worksheets/sheet20.xml"/><Relationship Id="rId25" Type="http://schemas.openxmlformats.org/officeDocument/2006/relationships/worksheet" Target="worksheets/sheet21.xml"/><Relationship Id="rId26" Type="http://schemas.openxmlformats.org/officeDocument/2006/relationships/worksheet" Target="worksheets/sheet22.xml"/><Relationship Id="rId27" Type="http://schemas.openxmlformats.org/officeDocument/2006/relationships/worksheet" Target="worksheets/sheet23.xml"/><Relationship Id="rId28" Type="http://schemas.openxmlformats.org/officeDocument/2006/relationships/worksheet" Target="worksheets/sheet24.xml"/><Relationship Id="rId29" Type="http://schemas.openxmlformats.org/officeDocument/2006/relationships/worksheet" Target="worksheets/sheet25.xml"/><Relationship Id="rId30" Type="http://schemas.openxmlformats.org/officeDocument/2006/relationships/worksheet" Target="worksheets/sheet26.xml"/><Relationship Id="rId31" Type="http://schemas.openxmlformats.org/officeDocument/2006/relationships/worksheet" Target="worksheets/sheet27.xml"/><Relationship Id="rId32" Type="http://schemas.openxmlformats.org/officeDocument/2006/relationships/worksheet" Target="worksheets/sheet28.xml"/><Relationship Id="rId33" Type="http://schemas.openxmlformats.org/officeDocument/2006/relationships/worksheet" Target="worksheets/sheet29.xml"/><Relationship Id="rId34" Type="http://schemas.openxmlformats.org/officeDocument/2006/relationships/worksheet" Target="worksheets/sheet30.xml"/><Relationship Id="rId35" Type="http://schemas.openxmlformats.org/officeDocument/2006/relationships/worksheet" Target="worksheets/sheet31.xml"/><Relationship Id="rId36" Type="http://schemas.openxmlformats.org/officeDocument/2006/relationships/worksheet" Target="worksheets/sheet32.xml"/><Relationship Id="rId37" Type="http://schemas.openxmlformats.org/officeDocument/2006/relationships/worksheet" Target="worksheets/sheet33.xml"/><Relationship Id="rId38" Type="http://schemas.openxmlformats.org/officeDocument/2006/relationships/worksheet" Target="worksheets/sheet34.xml"/><Relationship Id="rId39" Type="http://schemas.openxmlformats.org/officeDocument/2006/relationships/worksheet" Target="worksheets/sheet35.xml"/><Relationship Id="rId40" Type="http://schemas.openxmlformats.org/officeDocument/2006/relationships/worksheet" Target="worksheets/sheet36.xml"/><Relationship Id="rId41" Type="http://schemas.openxmlformats.org/officeDocument/2006/relationships/worksheet" Target="worksheets/sheet37.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7.xml.rels><?xml version="1.0" encoding="UTF-8" standalone="yes"?>
<Relationships xmlns="http://schemas.openxmlformats.org/package/2006/relationships"><Relationship Id="rId1" Type="http://schemas.openxmlformats.org/officeDocument/2006/relationships/hyperlink" Target="https://incometaxindia.gov.in/Pages/downloads/most-used-forms.aspx" TargetMode="External"/><Relationship Id="rId2" Type="http://schemas.openxmlformats.org/officeDocument/2006/relationships/hyperlink" Target="https://incometaxindia.gov.in/forms/income-tax%20rules/103120000000007765.pdf" TargetMode="External"/><Relationship Id="rId3" Type="http://schemas.openxmlformats.org/officeDocument/2006/relationships/hyperlink" Target="https://incometaxindia.gov.in/forms/income-tax%20rules/103120000000007766.pdf" TargetMode="External"/><Relationship Id="rId4" Type="http://schemas.openxmlformats.org/officeDocument/2006/relationships/hyperlink" Target="https://incometaxindia.gov.in/Forms/Income-Tax%20Rules/103120000000007767.pdf" TargetMode="External"/><Relationship Id="rId5" Type="http://schemas.openxmlformats.org/officeDocument/2006/relationships/hyperlink" Target="https://www.mca.gov.in/Ministry/pdf/AuditAuditorsSecondAmendmentRules_13042021.pdf" TargetMode="External"/><Relationship Id="rId6" Type="http://schemas.openxmlformats.org/officeDocument/2006/relationships/hyperlink" Target="https://www.mca.gov.in/Ministry/pdf/CompaniesSecondAmdtOrder_22122020.pdf" TargetMode="External"/><Relationship Id="rId7" Type="http://schemas.openxmlformats.org/officeDocument/2006/relationships/hyperlink" Target="https://www.icai.org/post/197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7365D"/>
    <pageSetUpPr fitToPage="1"/>
  </sheetPr>
  <dimension ref="A1:H27"/>
  <sheetViews>
    <sheetView workbookViewId="0" showGridLines="0" zoomScale="90" zoomScaleNormal="100" view="pageBreakPreview">
      <selection activeCell="E9" sqref="E9"/>
    </sheetView>
  </sheetViews>
  <sheetFormatPr defaultRowHeight="15" outlineLevelRow="0" outlineLevelCol="0" x14ac:dyDescent="0"/>
  <cols>
    <col min="1" max="1" width="3" customWidth="1"/>
    <col min="2" max="7" width="18" customWidth="1"/>
    <col min="8" max="8" width="3" customWidth="1"/>
  </cols>
  <sheetData>
    <row r="1" ht="28.15" customHeight="1" spans="1:8" x14ac:dyDescent="0.25">
      <c r="A1" s="1" t="s">
        <v>0</v>
      </c>
      <c r="B1" s="2"/>
      <c r="C1" s="2"/>
      <c r="D1" s="2"/>
      <c r="E1" s="2"/>
      <c r="F1" s="2"/>
      <c r="G1" s="2"/>
      <c r="H1" s="2"/>
    </row>
    <row r="2" ht="19.9" customHeight="1" spans="1:8" x14ac:dyDescent="0.25">
      <c r="A2" s="3" t="s">
        <v>1</v>
      </c>
      <c r="B2" s="4"/>
      <c r="C2" s="4"/>
      <c r="D2" s="4"/>
      <c r="E2" s="4"/>
      <c r="F2" s="4"/>
      <c r="G2" s="4"/>
      <c r="H2" s="4"/>
    </row>
    <row r="3" ht="4.9" customHeight="1" spans="1:8" x14ac:dyDescent="0.25">
      <c r="A3" s="5"/>
      <c r="B3" s="6"/>
      <c r="C3" s="6"/>
      <c r="D3" s="6"/>
      <c r="E3" s="6"/>
      <c r="F3" s="6"/>
      <c r="G3" s="6"/>
      <c r="H3" s="6"/>
    </row>
    <row r="5" ht="22.15" customHeight="1" spans="2:7" x14ac:dyDescent="0.25">
      <c r="B5" s="7" t="s">
        <v>2</v>
      </c>
      <c r="C5" s="8"/>
      <c r="D5" s="8"/>
      <c r="E5" s="9" t="s">
        <v>3</v>
      </c>
      <c r="F5" s="8"/>
      <c r="G5" s="8"/>
    </row>
    <row r="6" ht="19.9" customHeight="1" spans="2:7" x14ac:dyDescent="0.25">
      <c r="B6" s="10" t="s">
        <v>4</v>
      </c>
      <c r="C6" s="11"/>
      <c r="D6" s="12"/>
      <c r="E6" s="13" t="s">
        <v>5</v>
      </c>
      <c r="F6" s="14"/>
      <c r="G6" s="15"/>
    </row>
    <row r="7" ht="19.9" customHeight="1" spans="2:7" x14ac:dyDescent="0.25">
      <c r="B7" s="16" t="s">
        <v>6</v>
      </c>
      <c r="C7" s="17"/>
      <c r="D7" s="18"/>
      <c r="E7" s="19" t="s">
        <v>7</v>
      </c>
      <c r="F7" s="17"/>
      <c r="G7" s="18"/>
    </row>
    <row r="8" ht="19.9" customHeight="1" spans="2:7" x14ac:dyDescent="0.25">
      <c r="B8" s="16" t="s">
        <v>8</v>
      </c>
      <c r="C8" s="17"/>
      <c r="D8" s="18"/>
      <c r="E8" s="19" t="s">
        <v>9</v>
      </c>
      <c r="F8" s="17"/>
      <c r="G8" s="18"/>
    </row>
    <row r="9" ht="30" customHeight="1" spans="2:7" x14ac:dyDescent="0.25">
      <c r="B9" s="16" t="s">
        <v>10</v>
      </c>
      <c r="C9" s="17"/>
      <c r="D9" s="18"/>
      <c r="E9" s="19" t="s">
        <v>11</v>
      </c>
      <c r="F9" s="17"/>
      <c r="G9" s="18"/>
    </row>
    <row r="10" ht="30" customHeight="1" spans="2:7" x14ac:dyDescent="0.25">
      <c r="B10" s="16" t="s">
        <v>12</v>
      </c>
      <c r="C10" s="17"/>
      <c r="D10" s="18"/>
      <c r="E10" s="19" t="s">
        <v>13</v>
      </c>
      <c r="F10" s="17"/>
      <c r="G10" s="18"/>
    </row>
    <row r="11" ht="19.9" customHeight="1" spans="2:7" x14ac:dyDescent="0.25">
      <c r="B11" s="16" t="s">
        <v>14</v>
      </c>
      <c r="C11" s="17"/>
      <c r="D11" s="18"/>
      <c r="E11" s="19" t="s">
        <v>15</v>
      </c>
      <c r="F11" s="17"/>
      <c r="G11" s="18"/>
    </row>
    <row r="12" ht="19.9" customHeight="1" spans="2:7" x14ac:dyDescent="0.25">
      <c r="B12" s="20" t="s">
        <v>16</v>
      </c>
      <c r="C12" s="21"/>
      <c r="D12" s="22"/>
      <c r="E12" s="23" t="s">
        <v>17</v>
      </c>
      <c r="F12" s="21"/>
      <c r="G12" s="22"/>
    </row>
    <row r="15" ht="22.15" customHeight="1" spans="2:7" x14ac:dyDescent="0.25">
      <c r="B15" s="24" t="s">
        <v>18</v>
      </c>
      <c r="C15" s="24"/>
      <c r="D15" s="24"/>
      <c r="E15" s="24"/>
      <c r="F15" s="24"/>
      <c r="G15" s="24"/>
    </row>
    <row r="16" ht="15" customHeight="1" spans="2:7" x14ac:dyDescent="0.25">
      <c r="B16" s="25" t="s">
        <v>19</v>
      </c>
      <c r="C16" s="25"/>
      <c r="D16" s="25"/>
      <c r="E16" s="26" t="s">
        <v>20</v>
      </c>
      <c r="F16" s="26"/>
      <c r="G16" s="26"/>
    </row>
    <row r="17" ht="15" customHeight="1" spans="2:7" x14ac:dyDescent="0.25">
      <c r="B17" s="25" t="s">
        <v>21</v>
      </c>
      <c r="C17" s="25"/>
      <c r="D17" s="25"/>
      <c r="E17" s="26" t="s">
        <v>22</v>
      </c>
      <c r="F17" s="26"/>
      <c r="G17" s="26"/>
    </row>
    <row r="18" ht="15" customHeight="1" spans="2:7" x14ac:dyDescent="0.25">
      <c r="B18" s="25" t="s">
        <v>23</v>
      </c>
      <c r="C18" s="25"/>
      <c r="D18" s="25"/>
      <c r="E18" s="26" t="s">
        <v>24</v>
      </c>
      <c r="F18" s="26"/>
      <c r="G18" s="26"/>
    </row>
    <row r="19" ht="15" customHeight="1" spans="2:7" x14ac:dyDescent="0.25">
      <c r="B19" s="25" t="s">
        <v>25</v>
      </c>
      <c r="C19" s="25"/>
      <c r="D19" s="25"/>
      <c r="E19" s="26" t="s">
        <v>26</v>
      </c>
      <c r="F19" s="26"/>
      <c r="G19" s="26"/>
    </row>
    <row r="20" ht="15" customHeight="1" spans="2:7" x14ac:dyDescent="0.25">
      <c r="B20" s="25" t="s">
        <v>27</v>
      </c>
      <c r="C20" s="25"/>
      <c r="D20" s="25"/>
      <c r="E20" s="26" t="s">
        <v>28</v>
      </c>
      <c r="F20" s="26"/>
      <c r="G20" s="26"/>
    </row>
    <row r="21" ht="15" customHeight="1" spans="2:7" x14ac:dyDescent="0.25">
      <c r="B21" s="25" t="s">
        <v>29</v>
      </c>
      <c r="C21" s="25"/>
      <c r="D21" s="25"/>
      <c r="E21" s="26" t="s">
        <v>30</v>
      </c>
      <c r="F21" s="26"/>
      <c r="G21" s="26"/>
    </row>
    <row r="22" ht="15" customHeight="1" spans="2:7" x14ac:dyDescent="0.25">
      <c r="B22" s="25" t="s">
        <v>31</v>
      </c>
      <c r="C22" s="25"/>
      <c r="D22" s="25"/>
      <c r="E22" s="26" t="s">
        <v>32</v>
      </c>
      <c r="F22" s="26"/>
      <c r="G22" s="26"/>
    </row>
    <row r="23" spans="2:7" x14ac:dyDescent="0.25">
      <c r="B23" s="25" t="s">
        <v>33</v>
      </c>
      <c r="C23" s="25"/>
      <c r="D23" s="25"/>
      <c r="E23" s="26" t="s">
        <v>34</v>
      </c>
      <c r="F23" s="26"/>
      <c r="G23" s="26"/>
    </row>
    <row r="24" ht="15" customHeight="1" spans="2:7" x14ac:dyDescent="0.25">
      <c r="B24" s="25" t="s">
        <v>35</v>
      </c>
      <c r="C24" s="25"/>
      <c r="D24" s="25"/>
      <c r="E24" s="26" t="s">
        <v>36</v>
      </c>
      <c r="F24" s="26"/>
      <c r="G24" s="26"/>
    </row>
    <row r="25" ht="25.9" customHeight="1" spans="2:7" x14ac:dyDescent="0.25">
      <c r="B25" s="25" t="s">
        <v>37</v>
      </c>
      <c r="C25" s="25"/>
      <c r="D25" s="25"/>
      <c r="E25" s="26" t="s">
        <v>38</v>
      </c>
      <c r="F25" s="26"/>
      <c r="G25" s="26"/>
    </row>
    <row r="26" spans="2:7" x14ac:dyDescent="0.25">
      <c r="B26" s="25" t="s">
        <v>39</v>
      </c>
      <c r="C26" s="25"/>
      <c r="D26" s="25"/>
      <c r="E26" s="26" t="s">
        <v>38</v>
      </c>
      <c r="F26" s="26"/>
      <c r="G26" s="26"/>
    </row>
    <row r="27" spans="2:7" x14ac:dyDescent="0.25">
      <c r="B27" s="25" t="s">
        <v>40</v>
      </c>
      <c r="C27" s="25"/>
      <c r="D27" s="25"/>
      <c r="E27" s="26" t="s">
        <v>38</v>
      </c>
      <c r="F27" s="26"/>
      <c r="G27" s="26"/>
    </row>
  </sheetData>
  <mergeCells count="44">
    <mergeCell ref="A1:H1"/>
    <mergeCell ref="A2:H2"/>
    <mergeCell ref="A3:H3"/>
    <mergeCell ref="B5:D5"/>
    <mergeCell ref="E5:G5"/>
    <mergeCell ref="B6:D6"/>
    <mergeCell ref="E6:G6"/>
    <mergeCell ref="B7:D7"/>
    <mergeCell ref="E7:G7"/>
    <mergeCell ref="B8:D8"/>
    <mergeCell ref="E8:G8"/>
    <mergeCell ref="B9:D9"/>
    <mergeCell ref="E9:G9"/>
    <mergeCell ref="B10:D10"/>
    <mergeCell ref="E10:G10"/>
    <mergeCell ref="B11:D11"/>
    <mergeCell ref="E11:G11"/>
    <mergeCell ref="B12:D12"/>
    <mergeCell ref="E12:G12"/>
    <mergeCell ref="B15:G15"/>
    <mergeCell ref="B16:D16"/>
    <mergeCell ref="E16:G16"/>
    <mergeCell ref="B17:D17"/>
    <mergeCell ref="E17:G17"/>
    <mergeCell ref="B18:D18"/>
    <mergeCell ref="E18:G18"/>
    <mergeCell ref="B19:D19"/>
    <mergeCell ref="E19:G19"/>
    <mergeCell ref="B20:D20"/>
    <mergeCell ref="E20:G20"/>
    <mergeCell ref="B21:D21"/>
    <mergeCell ref="E21:G21"/>
    <mergeCell ref="B22:D22"/>
    <mergeCell ref="E22:G22"/>
    <mergeCell ref="B23:D23"/>
    <mergeCell ref="E23:G23"/>
    <mergeCell ref="B24:D24"/>
    <mergeCell ref="E24:G24"/>
    <mergeCell ref="B25:D25"/>
    <mergeCell ref="E25:G25"/>
    <mergeCell ref="B26:D26"/>
    <mergeCell ref="E26:G26"/>
    <mergeCell ref="B27:D27"/>
    <mergeCell ref="E27:G27"/>
  </mergeCells>
  <printOptions horizontalCentered="1"/>
  <pageMargins left="0.35" right="0.35" top="0.55" bottom="0.55" header="0.2" footer="0.2"/>
  <pageSetup paperSize="9" orientation="portrait" horizontalDpi="4294967295" verticalDpi="4294967295" scale="86" fitToWidth="1" fitToHeight="0" firstPageNumber="1" useFirstPageNumber="1" copies="1"/>
  <headerFooter>
    <oddFooter>&amp;LCAFlow template&amp;RPage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A227"/>
    <pageSetUpPr fitToPage="1"/>
  </sheetPr>
  <dimension ref="A2:K32"/>
  <sheetViews>
    <sheetView workbookViewId="0" showGridLines="0" zoomScale="100" zoomScaleNormal="100">
      <pane ySplit="3" topLeftCell="A4" activePane="bottomLeft" state="frozen"/>
      <selection pane="bottomLeft" activeCell="M15" sqref="M15"/>
    </sheetView>
  </sheetViews>
  <sheetFormatPr defaultRowHeight="14.25" outlineLevelRow="0" outlineLevelCol="0" x14ac:dyDescent="0" customHeight="1"/>
  <cols>
    <col min="1" max="1" width="1.85546875" style="27" customWidth="1"/>
    <col min="2" max="2" width="4.42578125" style="27" customWidth="1"/>
    <col min="3" max="3" width="9.7109375" style="27" customWidth="1"/>
    <col min="4" max="4" width="8.5703125" style="27" customWidth="1"/>
    <col min="5" max="5" width="9.7109375" style="27" customWidth="1"/>
    <col min="6" max="6" width="10.140625" style="27" customWidth="1"/>
    <col min="7" max="7" width="4.28515625" style="27" customWidth="1"/>
    <col min="8" max="8" width="18.140625" style="27" customWidth="1"/>
    <col min="9" max="9" width="20.7109375" style="27" customWidth="1"/>
    <col min="10" max="10" width="2.140625" style="27" customWidth="1"/>
    <col min="11" max="16384" width="9.140625" style="27" customWidth="1"/>
  </cols>
  <sheetData>
    <row r="2" ht="29.25" customHeight="1" spans="1:10" x14ac:dyDescent="0.25">
      <c r="A2" s="28" t="s">
        <v>41</v>
      </c>
      <c r="B2" s="29"/>
      <c r="C2" s="29"/>
      <c r="D2" s="29"/>
      <c r="E2" s="29"/>
      <c r="F2" s="29"/>
      <c r="G2" s="29"/>
      <c r="H2" s="29"/>
      <c r="I2" s="29"/>
      <c r="J2" s="30"/>
    </row>
    <row r="3" ht="22.15" customHeight="1" spans="1:10" x14ac:dyDescent="0.25">
      <c r="A3" s="31" t="s">
        <v>42</v>
      </c>
      <c r="B3" s="32"/>
      <c r="C3" s="32"/>
      <c r="D3" s="32"/>
      <c r="E3" s="32"/>
      <c r="F3" s="32"/>
      <c r="G3" s="32"/>
      <c r="H3" s="32"/>
      <c r="I3" s="32"/>
      <c r="J3" s="33"/>
    </row>
    <row r="4" ht="15" customHeight="1" spans="1:10" x14ac:dyDescent="0.25">
      <c r="A4" s="34"/>
      <c r="B4" s="35"/>
      <c r="C4" s="35"/>
      <c r="D4" s="35"/>
      <c r="E4" s="35"/>
      <c r="F4" s="35"/>
      <c r="G4" s="35"/>
      <c r="H4" s="35"/>
      <c r="I4" s="35"/>
      <c r="J4" s="36"/>
    </row>
    <row r="5" ht="15" customHeight="1" spans="1:10" x14ac:dyDescent="0.25">
      <c r="A5" s="37" t="s">
        <v>43</v>
      </c>
      <c r="B5" s="38"/>
      <c r="C5" s="38"/>
      <c r="D5" s="38"/>
      <c r="E5" s="38"/>
      <c r="F5" s="38"/>
      <c r="G5" s="38"/>
      <c r="H5" s="38"/>
      <c r="I5" s="38"/>
      <c r="J5" s="39"/>
    </row>
    <row r="6" spans="1:10" x14ac:dyDescent="0.25">
      <c r="A6" s="40"/>
      <c r="B6" s="41" t="s">
        <v>19</v>
      </c>
      <c r="C6" s="41"/>
      <c r="D6" s="41"/>
      <c r="E6" s="42"/>
      <c r="F6" s="43" t="s">
        <v>44</v>
      </c>
      <c r="G6" s="44"/>
      <c r="H6" s="44"/>
      <c r="I6" s="44"/>
      <c r="J6" s="45"/>
    </row>
    <row r="7" spans="1:10" x14ac:dyDescent="0.25">
      <c r="A7" s="46"/>
      <c r="B7" s="47" t="s">
        <v>45</v>
      </c>
      <c r="C7" s="47"/>
      <c r="D7" s="47"/>
      <c r="E7" s="48"/>
      <c r="F7" s="49" t="s">
        <v>46</v>
      </c>
      <c r="G7" s="50"/>
      <c r="H7" s="50"/>
      <c r="I7" s="50"/>
      <c r="J7" s="51"/>
    </row>
    <row r="8" spans="1:10" x14ac:dyDescent="0.25">
      <c r="A8" s="46"/>
      <c r="B8" s="47" t="s">
        <v>47</v>
      </c>
      <c r="C8" s="47"/>
      <c r="D8" s="47"/>
      <c r="E8" s="48"/>
      <c r="F8" s="49" t="s">
        <v>48</v>
      </c>
      <c r="G8" s="50"/>
      <c r="H8" s="50"/>
      <c r="I8" s="50"/>
      <c r="J8" s="51"/>
    </row>
    <row r="9" spans="1:10" x14ac:dyDescent="0.25">
      <c r="A9" s="46"/>
      <c r="B9" s="47" t="s">
        <v>49</v>
      </c>
      <c r="C9" s="47"/>
      <c r="D9" s="47"/>
      <c r="E9" s="48"/>
      <c r="F9" s="49" t="s">
        <v>50</v>
      </c>
      <c r="G9" s="50"/>
      <c r="H9" s="50"/>
      <c r="I9" s="50"/>
      <c r="J9" s="51"/>
    </row>
    <row r="10" ht="22.15" customHeight="1" spans="1:10" x14ac:dyDescent="0.25">
      <c r="A10" s="46"/>
      <c r="B10" s="47" t="s">
        <v>51</v>
      </c>
      <c r="C10" s="47"/>
      <c r="D10" s="47"/>
      <c r="E10" s="48"/>
      <c r="F10" s="49" t="s">
        <v>52</v>
      </c>
      <c r="G10" s="50"/>
      <c r="H10" s="50"/>
      <c r="I10" s="50"/>
      <c r="J10" s="51"/>
    </row>
    <row r="11" spans="1:10" x14ac:dyDescent="0.25">
      <c r="A11" s="46"/>
      <c r="B11" s="47" t="s">
        <v>53</v>
      </c>
      <c r="C11" s="47"/>
      <c r="D11" s="47"/>
      <c r="E11" s="48"/>
      <c r="F11" s="49" t="s">
        <v>54</v>
      </c>
      <c r="G11" s="50"/>
      <c r="H11" s="50"/>
      <c r="I11" s="50"/>
      <c r="J11" s="51"/>
    </row>
    <row r="12" spans="1:10" x14ac:dyDescent="0.25">
      <c r="A12" s="46"/>
      <c r="B12" s="47" t="s">
        <v>55</v>
      </c>
      <c r="C12" s="47"/>
      <c r="D12" s="47"/>
      <c r="E12" s="48"/>
      <c r="F12" s="49" t="s">
        <v>56</v>
      </c>
      <c r="G12" s="50"/>
      <c r="H12" s="50"/>
      <c r="I12" s="50"/>
      <c r="J12" s="51"/>
    </row>
    <row r="13" spans="1:10" x14ac:dyDescent="0.25">
      <c r="A13" s="46"/>
      <c r="B13" s="47" t="s">
        <v>57</v>
      </c>
      <c r="C13" s="47"/>
      <c r="D13" s="47"/>
      <c r="E13" s="48"/>
      <c r="F13" s="49" t="s">
        <v>58</v>
      </c>
      <c r="G13" s="50"/>
      <c r="H13" s="50"/>
      <c r="I13" s="50"/>
      <c r="J13" s="51"/>
    </row>
    <row r="14" spans="1:10" x14ac:dyDescent="0.25">
      <c r="A14" s="46"/>
      <c r="B14" s="47" t="s">
        <v>33</v>
      </c>
      <c r="C14" s="47"/>
      <c r="D14" s="47"/>
      <c r="E14" s="48"/>
      <c r="F14" s="49" t="s">
        <v>59</v>
      </c>
      <c r="G14" s="50"/>
      <c r="H14" s="50"/>
      <c r="I14" s="50"/>
      <c r="J14" s="51"/>
    </row>
    <row r="15" ht="22.15" customHeight="1" spans="1:10" x14ac:dyDescent="0.25">
      <c r="A15" s="46"/>
      <c r="B15" s="47" t="s">
        <v>60</v>
      </c>
      <c r="C15" s="47"/>
      <c r="D15" s="47"/>
      <c r="E15" s="48"/>
      <c r="F15" s="49" t="s">
        <v>61</v>
      </c>
      <c r="G15" s="52" t="s">
        <v>62</v>
      </c>
      <c r="H15" s="50"/>
      <c r="I15" s="50"/>
      <c r="J15" s="51"/>
    </row>
    <row r="16" ht="25.9" customHeight="1" spans="1:10" x14ac:dyDescent="0.25">
      <c r="A16" s="46"/>
      <c r="B16" s="47" t="s">
        <v>63</v>
      </c>
      <c r="C16" s="47"/>
      <c r="D16" s="47"/>
      <c r="E16" s="48"/>
      <c r="F16" s="49" t="s">
        <v>64</v>
      </c>
      <c r="G16" s="52" t="s">
        <v>62</v>
      </c>
      <c r="H16" s="50"/>
      <c r="I16" s="50"/>
      <c r="J16" s="51"/>
    </row>
    <row r="17" ht="25.9" customHeight="1" spans="1:10" x14ac:dyDescent="0.25">
      <c r="A17" s="53"/>
      <c r="B17" s="54" t="s">
        <v>65</v>
      </c>
      <c r="C17" s="54"/>
      <c r="D17" s="54"/>
      <c r="E17" s="55"/>
      <c r="F17" s="56" t="s">
        <v>66</v>
      </c>
      <c r="G17" s="57"/>
      <c r="H17" s="57"/>
      <c r="I17" s="57"/>
      <c r="J17" s="58"/>
    </row>
    <row r="18" ht="25.9" customHeight="1" spans="1:10" x14ac:dyDescent="0.25">
      <c r="A18" s="37" t="s">
        <v>67</v>
      </c>
      <c r="B18" s="38"/>
      <c r="C18" s="38"/>
      <c r="D18" s="38"/>
      <c r="E18" s="38"/>
      <c r="F18" s="38"/>
      <c r="G18" s="38"/>
      <c r="H18" s="38"/>
      <c r="I18" s="38"/>
      <c r="J18" s="39"/>
    </row>
    <row r="19" ht="25.9" customHeight="1" spans="1:11" x14ac:dyDescent="0.25">
      <c r="A19" s="40"/>
      <c r="B19" s="41" t="s">
        <v>68</v>
      </c>
      <c r="C19" s="41"/>
      <c r="D19" s="41"/>
      <c r="E19" s="42"/>
      <c r="F19" s="59" t="s">
        <v>26</v>
      </c>
      <c r="G19" s="60"/>
      <c r="H19" s="60"/>
      <c r="I19" s="60"/>
      <c r="J19" s="61"/>
      <c r="K19" s="62"/>
    </row>
    <row r="20" spans="1:11" x14ac:dyDescent="0.25">
      <c r="A20" s="46"/>
      <c r="B20" s="47" t="s">
        <v>69</v>
      </c>
      <c r="C20" s="47"/>
      <c r="D20" s="47"/>
      <c r="E20" s="48"/>
      <c r="F20" s="63" t="s">
        <v>36</v>
      </c>
      <c r="G20" s="64"/>
      <c r="H20" s="64"/>
      <c r="I20" s="64"/>
      <c r="J20" s="65"/>
      <c r="K20" s="62"/>
    </row>
    <row r="21" spans="1:11" x14ac:dyDescent="0.25">
      <c r="A21" s="46"/>
      <c r="B21" s="47" t="s">
        <v>70</v>
      </c>
      <c r="C21" s="47"/>
      <c r="D21" s="47"/>
      <c r="E21" s="48"/>
      <c r="F21" s="63" t="s">
        <v>71</v>
      </c>
      <c r="G21" s="64"/>
      <c r="H21" s="64"/>
      <c r="I21" s="64"/>
      <c r="J21" s="65"/>
      <c r="K21" s="62"/>
    </row>
    <row r="22" spans="1:11" x14ac:dyDescent="0.25">
      <c r="A22" s="46"/>
      <c r="B22" s="47" t="s">
        <v>72</v>
      </c>
      <c r="C22" s="47"/>
      <c r="D22" s="47"/>
      <c r="E22" s="48"/>
      <c r="F22" s="63" t="s">
        <v>73</v>
      </c>
      <c r="G22" s="64"/>
      <c r="H22" s="64"/>
      <c r="I22" s="64"/>
      <c r="J22" s="65"/>
      <c r="K22" s="62"/>
    </row>
    <row r="23" spans="1:11" x14ac:dyDescent="0.25">
      <c r="A23" s="46"/>
      <c r="B23" s="47" t="s">
        <v>40</v>
      </c>
      <c r="C23" s="47"/>
      <c r="D23" s="47"/>
      <c r="E23" s="48"/>
      <c r="F23" s="63" t="s">
        <v>74</v>
      </c>
      <c r="G23" s="64"/>
      <c r="H23" s="64"/>
      <c r="I23" s="64"/>
      <c r="J23" s="65"/>
      <c r="K23" s="62"/>
    </row>
    <row r="24" spans="1:11" x14ac:dyDescent="0.25">
      <c r="A24" s="46"/>
      <c r="B24" s="47" t="s">
        <v>23</v>
      </c>
      <c r="C24" s="47"/>
      <c r="D24" s="47"/>
      <c r="E24" s="48"/>
      <c r="F24" s="63" t="s">
        <v>24</v>
      </c>
      <c r="G24" s="64"/>
      <c r="H24" s="64"/>
      <c r="I24" s="64"/>
      <c r="J24" s="65"/>
      <c r="K24" s="62"/>
    </row>
    <row r="25" spans="1:11" x14ac:dyDescent="0.25">
      <c r="A25" s="46"/>
      <c r="B25" s="47" t="s">
        <v>75</v>
      </c>
      <c r="C25" s="47"/>
      <c r="D25" s="47"/>
      <c r="E25" s="48"/>
      <c r="F25" s="63" t="s">
        <v>76</v>
      </c>
      <c r="G25" s="64"/>
      <c r="H25" s="64"/>
      <c r="I25" s="64"/>
      <c r="J25" s="65"/>
      <c r="K25" s="62"/>
    </row>
    <row r="26" spans="1:11" x14ac:dyDescent="0.25">
      <c r="A26" s="53"/>
      <c r="B26" s="54" t="s">
        <v>77</v>
      </c>
      <c r="C26" s="54"/>
      <c r="D26" s="54"/>
      <c r="E26" s="55"/>
      <c r="F26" s="66" t="s">
        <v>24</v>
      </c>
      <c r="G26" s="67"/>
      <c r="H26" s="67"/>
      <c r="I26" s="67"/>
      <c r="J26" s="68"/>
      <c r="K26" s="62"/>
    </row>
    <row r="27" ht="15" customHeight="1" spans="1:10" x14ac:dyDescent="0.25">
      <c r="A27" s="37" t="s">
        <v>38</v>
      </c>
      <c r="B27" s="38"/>
      <c r="C27" s="38"/>
      <c r="D27" s="38"/>
      <c r="E27" s="38"/>
      <c r="F27" s="38"/>
      <c r="G27" s="38"/>
      <c r="H27" s="38"/>
      <c r="I27" s="38"/>
      <c r="J27" s="39"/>
    </row>
    <row r="28" spans="1:10" x14ac:dyDescent="0.25">
      <c r="A28" s="69"/>
      <c r="B28" s="70" t="s">
        <v>78</v>
      </c>
      <c r="C28" s="70"/>
      <c r="D28" s="70"/>
      <c r="E28" s="70"/>
      <c r="F28" s="70"/>
      <c r="G28" s="70"/>
      <c r="H28" s="70"/>
      <c r="I28" s="70"/>
      <c r="J28" s="71"/>
    </row>
    <row r="29" spans="1:10" x14ac:dyDescent="0.25">
      <c r="A29" s="72"/>
      <c r="B29" s="73" t="s">
        <v>79</v>
      </c>
      <c r="C29" s="73"/>
      <c r="D29" s="73"/>
      <c r="E29" s="73"/>
      <c r="F29" s="73"/>
      <c r="G29" s="73"/>
      <c r="H29" s="73"/>
      <c r="I29" s="73"/>
      <c r="J29" s="74"/>
    </row>
    <row r="30" spans="1:10" x14ac:dyDescent="0.25">
      <c r="A30" s="72"/>
      <c r="B30" s="73" t="s">
        <v>80</v>
      </c>
      <c r="C30" s="73"/>
      <c r="D30" s="73"/>
      <c r="E30" s="73"/>
      <c r="F30" s="73"/>
      <c r="G30" s="73"/>
      <c r="H30" s="73"/>
      <c r="I30" s="73"/>
      <c r="J30" s="74"/>
    </row>
    <row r="31" spans="1:10" x14ac:dyDescent="0.25">
      <c r="A31" s="72"/>
      <c r="B31" s="73" t="s">
        <v>81</v>
      </c>
      <c r="C31" s="73"/>
      <c r="D31" s="73"/>
      <c r="E31" s="73"/>
      <c r="F31" s="73"/>
      <c r="G31" s="73"/>
      <c r="H31" s="73"/>
      <c r="I31" s="73"/>
      <c r="J31" s="74"/>
    </row>
    <row r="32" spans="1:10" x14ac:dyDescent="0.25">
      <c r="A32" s="75"/>
      <c r="B32" s="76"/>
      <c r="C32" s="76"/>
      <c r="D32" s="76"/>
      <c r="E32" s="76"/>
      <c r="F32" s="76"/>
      <c r="G32" s="76"/>
      <c r="H32" s="76"/>
      <c r="I32" s="76"/>
      <c r="J32" s="77"/>
    </row>
  </sheetData>
  <mergeCells count="48">
    <mergeCell ref="A2:J2"/>
    <mergeCell ref="A3:J3"/>
    <mergeCell ref="A4:J4"/>
    <mergeCell ref="A5:J5"/>
    <mergeCell ref="B6:E6"/>
    <mergeCell ref="F6:J6"/>
    <mergeCell ref="B7:E7"/>
    <mergeCell ref="F7:J7"/>
    <mergeCell ref="B8:E8"/>
    <mergeCell ref="F8:J8"/>
    <mergeCell ref="B9:E9"/>
    <mergeCell ref="F9:J9"/>
    <mergeCell ref="B10:E10"/>
    <mergeCell ref="F10:J10"/>
    <mergeCell ref="B11:E11"/>
    <mergeCell ref="F11:J11"/>
    <mergeCell ref="B12:E12"/>
    <mergeCell ref="F12:J12"/>
    <mergeCell ref="B13:E13"/>
    <mergeCell ref="F13:J13"/>
    <mergeCell ref="B14:E14"/>
    <mergeCell ref="F14:J14"/>
    <mergeCell ref="B15:E15"/>
    <mergeCell ref="B16:E16"/>
    <mergeCell ref="B17:E17"/>
    <mergeCell ref="F17:J17"/>
    <mergeCell ref="A18:J18"/>
    <mergeCell ref="B19:E19"/>
    <mergeCell ref="F19:J19"/>
    <mergeCell ref="B20:E20"/>
    <mergeCell ref="F20:J20"/>
    <mergeCell ref="B21:E21"/>
    <mergeCell ref="F21:J21"/>
    <mergeCell ref="B22:E22"/>
    <mergeCell ref="F22:J22"/>
    <mergeCell ref="B23:E23"/>
    <mergeCell ref="F23:J23"/>
    <mergeCell ref="B24:E24"/>
    <mergeCell ref="F24:J24"/>
    <mergeCell ref="B25:E25"/>
    <mergeCell ref="F25:J25"/>
    <mergeCell ref="B26:E26"/>
    <mergeCell ref="F26:J26"/>
    <mergeCell ref="A27:J27"/>
    <mergeCell ref="B28:I28"/>
    <mergeCell ref="B29:I29"/>
    <mergeCell ref="B30:I30"/>
    <mergeCell ref="B31:I31"/>
  </mergeCells>
  <printOptions horizontalCentered="1"/>
  <pageMargins left="0.35" right="0.35" top="0.55" bottom="0.55" header="0.2" footer="0.2"/>
  <pageSetup paperSize="9" orientation="portrait" horizontalDpi="4294967295" verticalDpi="4294967295" scale="100" fitToWidth="1" fitToHeight="0" firstPageNumber="1" useFirstPageNumber="1" copies="1"/>
  <headerFooter>
    <oddFooter>&amp;LCAFlow template&amp;RPage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7A8C"/>
    <pageSetUpPr fitToPage="1"/>
  </sheetPr>
  <dimension ref="A1:E42"/>
  <sheetViews>
    <sheetView workbookViewId="0" showGridLines="0" zoomScale="100" zoomScaleNormal="100">
      <selection activeCell="D10" sqref="D10"/>
    </sheetView>
  </sheetViews>
  <sheetFormatPr defaultRowHeight="15" outlineLevelRow="0" outlineLevelCol="0" x14ac:dyDescent="0"/>
  <cols>
    <col min="1" max="1" width="6" customWidth="1"/>
    <col min="2" max="2" width="28" customWidth="1"/>
    <col min="3" max="3" width="22" customWidth="1"/>
    <col min="4" max="4" width="42" customWidth="1"/>
    <col min="5" max="5" width="16" customWidth="1"/>
  </cols>
  <sheetData>
    <row r="1" ht="28.15" customHeight="1" spans="1:5" x14ac:dyDescent="0.25">
      <c r="A1" s="78" t="s">
        <v>82</v>
      </c>
      <c r="B1" s="79"/>
      <c r="C1" s="79"/>
      <c r="D1" s="79"/>
      <c r="E1" s="79"/>
    </row>
    <row r="2" ht="19.9" customHeight="1" spans="1:5" x14ac:dyDescent="0.25">
      <c r="A2" s="80" t="s">
        <v>83</v>
      </c>
      <c r="B2" s="79"/>
      <c r="C2" s="79"/>
      <c r="D2" s="79"/>
      <c r="E2" s="79"/>
    </row>
    <row r="3" ht="4.9" customHeight="1" spans="1:5" x14ac:dyDescent="0.25">
      <c r="A3" s="81"/>
      <c r="B3"/>
      <c r="C3"/>
      <c r="D3"/>
      <c r="E3"/>
    </row>
    <row r="4" spans="1:5" x14ac:dyDescent="0.25">
      <c r="A4" s="82" t="s">
        <v>84</v>
      </c>
      <c r="B4" s="82" t="s">
        <v>85</v>
      </c>
      <c r="C4" s="82" t="s">
        <v>86</v>
      </c>
      <c r="D4" s="82" t="s">
        <v>87</v>
      </c>
      <c r="E4" s="82" t="s">
        <v>88</v>
      </c>
    </row>
    <row r="5" spans="1:5" x14ac:dyDescent="0.25">
      <c r="A5" s="83">
        <v>1</v>
      </c>
      <c r="B5" s="84" t="s">
        <v>89</v>
      </c>
      <c r="C5" s="85" t="s">
        <v>90</v>
      </c>
      <c r="D5" s="86" t="s">
        <v>91</v>
      </c>
      <c r="E5" s="87" t="s">
        <v>92</v>
      </c>
    </row>
    <row r="6" spans="1:5" x14ac:dyDescent="0.25">
      <c r="A6" s="83">
        <v>2</v>
      </c>
      <c r="B6" s="84" t="s">
        <v>93</v>
      </c>
      <c r="C6" s="85" t="s">
        <v>90</v>
      </c>
      <c r="D6" s="86" t="s">
        <v>91</v>
      </c>
      <c r="E6" s="87" t="s">
        <v>92</v>
      </c>
    </row>
    <row r="7" spans="1:5" x14ac:dyDescent="0.25">
      <c r="A7" s="83">
        <v>3</v>
      </c>
      <c r="B7" s="84" t="s">
        <v>94</v>
      </c>
      <c r="C7" s="85" t="s">
        <v>95</v>
      </c>
      <c r="D7" s="86" t="s">
        <v>91</v>
      </c>
      <c r="E7" s="87" t="s">
        <v>92</v>
      </c>
    </row>
    <row r="8" spans="1:5" x14ac:dyDescent="0.25">
      <c r="A8" s="83">
        <v>4</v>
      </c>
      <c r="B8" s="84" t="s">
        <v>96</v>
      </c>
      <c r="C8" s="85" t="s">
        <v>95</v>
      </c>
      <c r="D8" s="86" t="s">
        <v>91</v>
      </c>
      <c r="E8" s="87" t="s">
        <v>92</v>
      </c>
    </row>
    <row r="9" spans="1:5" x14ac:dyDescent="0.25">
      <c r="A9" s="83">
        <v>5</v>
      </c>
      <c r="B9" s="84" t="s">
        <v>97</v>
      </c>
      <c r="C9" s="85" t="s">
        <v>95</v>
      </c>
      <c r="D9" s="86" t="s">
        <v>91</v>
      </c>
      <c r="E9" s="87" t="s">
        <v>92</v>
      </c>
    </row>
    <row r="10" spans="1:5" x14ac:dyDescent="0.25">
      <c r="A10" s="83">
        <v>6</v>
      </c>
      <c r="B10" s="84" t="s">
        <v>98</v>
      </c>
      <c r="C10" s="85" t="s">
        <v>95</v>
      </c>
      <c r="D10" s="86" t="s">
        <v>91</v>
      </c>
      <c r="E10" s="87" t="s">
        <v>92</v>
      </c>
    </row>
    <row r="11" spans="1:5" x14ac:dyDescent="0.25">
      <c r="A11" s="83">
        <v>7</v>
      </c>
      <c r="B11" s="84" t="s">
        <v>99</v>
      </c>
      <c r="C11" s="85" t="s">
        <v>95</v>
      </c>
      <c r="D11" s="86" t="s">
        <v>91</v>
      </c>
      <c r="E11" s="87" t="s">
        <v>92</v>
      </c>
    </row>
    <row r="12" spans="1:5" x14ac:dyDescent="0.25">
      <c r="A12" s="83">
        <v>8</v>
      </c>
      <c r="B12" s="84" t="s">
        <v>100</v>
      </c>
      <c r="C12" s="85" t="s">
        <v>95</v>
      </c>
      <c r="D12" s="86" t="s">
        <v>91</v>
      </c>
      <c r="E12" s="87" t="s">
        <v>92</v>
      </c>
    </row>
    <row r="13" spans="1:5" x14ac:dyDescent="0.25">
      <c r="A13" s="83">
        <v>9</v>
      </c>
      <c r="B13" s="84" t="s">
        <v>101</v>
      </c>
      <c r="C13" s="85" t="s">
        <v>95</v>
      </c>
      <c r="D13" s="86" t="s">
        <v>91</v>
      </c>
      <c r="E13" s="87" t="s">
        <v>92</v>
      </c>
    </row>
    <row r="14" spans="1:5" x14ac:dyDescent="0.25">
      <c r="A14" s="83">
        <v>10</v>
      </c>
      <c r="B14" s="84" t="s">
        <v>102</v>
      </c>
      <c r="C14" s="85" t="s">
        <v>95</v>
      </c>
      <c r="D14" s="86" t="s">
        <v>91</v>
      </c>
      <c r="E14" s="87" t="s">
        <v>92</v>
      </c>
    </row>
    <row r="15" spans="1:5" x14ac:dyDescent="0.25">
      <c r="A15" s="83">
        <v>11</v>
      </c>
      <c r="B15" s="84" t="s">
        <v>103</v>
      </c>
      <c r="C15" s="85" t="s">
        <v>95</v>
      </c>
      <c r="D15" s="86" t="s">
        <v>91</v>
      </c>
      <c r="E15" s="87" t="s">
        <v>92</v>
      </c>
    </row>
    <row r="16" spans="1:5" x14ac:dyDescent="0.25">
      <c r="A16" s="83">
        <v>12</v>
      </c>
      <c r="B16" s="84" t="s">
        <v>104</v>
      </c>
      <c r="C16" s="85" t="s">
        <v>95</v>
      </c>
      <c r="D16" s="86" t="s">
        <v>91</v>
      </c>
      <c r="E16" s="87" t="s">
        <v>92</v>
      </c>
    </row>
    <row r="17" spans="1:5" x14ac:dyDescent="0.25">
      <c r="A17" s="83">
        <v>13</v>
      </c>
      <c r="B17" s="84" t="s">
        <v>105</v>
      </c>
      <c r="C17" s="85" t="s">
        <v>95</v>
      </c>
      <c r="D17" s="86" t="s">
        <v>91</v>
      </c>
      <c r="E17" s="87" t="s">
        <v>92</v>
      </c>
    </row>
    <row r="18" spans="1:5" x14ac:dyDescent="0.25">
      <c r="A18" s="83">
        <v>14</v>
      </c>
      <c r="B18" s="84" t="s">
        <v>106</v>
      </c>
      <c r="C18" s="85" t="s">
        <v>95</v>
      </c>
      <c r="D18" s="86" t="s">
        <v>91</v>
      </c>
      <c r="E18" s="87" t="s">
        <v>92</v>
      </c>
    </row>
    <row r="19" spans="1:5" x14ac:dyDescent="0.25">
      <c r="A19" s="83">
        <v>15</v>
      </c>
      <c r="B19" s="84" t="s">
        <v>107</v>
      </c>
      <c r="C19" s="85" t="s">
        <v>108</v>
      </c>
      <c r="D19" s="86" t="s">
        <v>91</v>
      </c>
      <c r="E19" s="87" t="s">
        <v>92</v>
      </c>
    </row>
    <row r="20" spans="1:5" x14ac:dyDescent="0.25">
      <c r="A20" s="83">
        <v>16</v>
      </c>
      <c r="B20" s="84" t="s">
        <v>109</v>
      </c>
      <c r="C20" s="85" t="s">
        <v>108</v>
      </c>
      <c r="D20" s="86" t="s">
        <v>91</v>
      </c>
      <c r="E20" s="87" t="s">
        <v>92</v>
      </c>
    </row>
    <row r="21" spans="1:5" x14ac:dyDescent="0.25">
      <c r="A21" s="83">
        <v>17</v>
      </c>
      <c r="B21" s="84" t="s">
        <v>110</v>
      </c>
      <c r="C21" s="85" t="s">
        <v>108</v>
      </c>
      <c r="D21" s="86" t="s">
        <v>91</v>
      </c>
      <c r="E21" s="87" t="s">
        <v>92</v>
      </c>
    </row>
    <row r="22" spans="1:5" x14ac:dyDescent="0.25">
      <c r="A22" s="83">
        <v>18</v>
      </c>
      <c r="B22" s="84" t="s">
        <v>111</v>
      </c>
      <c r="C22" s="85" t="s">
        <v>112</v>
      </c>
      <c r="D22" s="86" t="s">
        <v>91</v>
      </c>
      <c r="E22" s="87" t="s">
        <v>92</v>
      </c>
    </row>
    <row r="23" spans="1:5" x14ac:dyDescent="0.25">
      <c r="A23" s="83">
        <v>19</v>
      </c>
      <c r="B23" s="84" t="s">
        <v>113</v>
      </c>
      <c r="C23" s="85" t="s">
        <v>112</v>
      </c>
      <c r="D23" s="86" t="s">
        <v>91</v>
      </c>
      <c r="E23" s="87" t="s">
        <v>92</v>
      </c>
    </row>
    <row r="24" spans="1:5" x14ac:dyDescent="0.25">
      <c r="A24" s="83">
        <v>20</v>
      </c>
      <c r="B24" s="84" t="s">
        <v>114</v>
      </c>
      <c r="C24" s="85" t="s">
        <v>112</v>
      </c>
      <c r="D24" s="86" t="s">
        <v>91</v>
      </c>
      <c r="E24" s="87" t="s">
        <v>92</v>
      </c>
    </row>
    <row r="25" spans="1:5" x14ac:dyDescent="0.25">
      <c r="A25" s="83">
        <v>21</v>
      </c>
      <c r="B25" s="84" t="s">
        <v>115</v>
      </c>
      <c r="C25" s="85" t="s">
        <v>112</v>
      </c>
      <c r="D25" s="86" t="s">
        <v>91</v>
      </c>
      <c r="E25" s="87" t="s">
        <v>92</v>
      </c>
    </row>
    <row r="26" spans="1:5" x14ac:dyDescent="0.25">
      <c r="A26" s="83">
        <v>22</v>
      </c>
      <c r="B26" s="84" t="s">
        <v>116</v>
      </c>
      <c r="C26" s="85" t="s">
        <v>112</v>
      </c>
      <c r="D26" s="86" t="s">
        <v>91</v>
      </c>
      <c r="E26" s="87" t="s">
        <v>92</v>
      </c>
    </row>
    <row r="27" spans="1:5" x14ac:dyDescent="0.25">
      <c r="A27" s="83">
        <v>23</v>
      </c>
      <c r="B27" s="84" t="s">
        <v>117</v>
      </c>
      <c r="C27" s="85" t="s">
        <v>112</v>
      </c>
      <c r="D27" s="86" t="s">
        <v>91</v>
      </c>
      <c r="E27" s="87" t="s">
        <v>92</v>
      </c>
    </row>
    <row r="28" spans="1:5" x14ac:dyDescent="0.25">
      <c r="A28" s="83">
        <v>24</v>
      </c>
      <c r="B28" s="84" t="s">
        <v>118</v>
      </c>
      <c r="C28" s="85" t="s">
        <v>112</v>
      </c>
      <c r="D28" s="86" t="s">
        <v>91</v>
      </c>
      <c r="E28" s="87" t="s">
        <v>92</v>
      </c>
    </row>
    <row r="29" spans="1:5" x14ac:dyDescent="0.25">
      <c r="A29" s="83">
        <v>25</v>
      </c>
      <c r="B29" s="84" t="s">
        <v>119</v>
      </c>
      <c r="C29" s="85" t="s">
        <v>112</v>
      </c>
      <c r="D29" s="86" t="s">
        <v>91</v>
      </c>
      <c r="E29" s="87" t="s">
        <v>92</v>
      </c>
    </row>
    <row r="30" spans="1:5" x14ac:dyDescent="0.25">
      <c r="A30" s="83">
        <v>26</v>
      </c>
      <c r="B30" s="84" t="s">
        <v>120</v>
      </c>
      <c r="C30" s="85" t="s">
        <v>112</v>
      </c>
      <c r="D30" s="86" t="s">
        <v>91</v>
      </c>
      <c r="E30" s="87" t="s">
        <v>92</v>
      </c>
    </row>
    <row r="31" spans="1:5" x14ac:dyDescent="0.25">
      <c r="A31" s="83">
        <v>27</v>
      </c>
      <c r="B31" s="84" t="s">
        <v>121</v>
      </c>
      <c r="C31" s="85" t="s">
        <v>112</v>
      </c>
      <c r="D31" s="86" t="s">
        <v>91</v>
      </c>
      <c r="E31" s="87" t="s">
        <v>92</v>
      </c>
    </row>
    <row r="32" spans="1:5" x14ac:dyDescent="0.25">
      <c r="A32" s="83">
        <v>28</v>
      </c>
      <c r="B32" s="84" t="s">
        <v>122</v>
      </c>
      <c r="C32" s="85" t="s">
        <v>112</v>
      </c>
      <c r="D32" s="86" t="s">
        <v>91</v>
      </c>
      <c r="E32" s="87" t="s">
        <v>92</v>
      </c>
    </row>
    <row r="33" spans="1:5" x14ac:dyDescent="0.25">
      <c r="A33" s="83">
        <v>29</v>
      </c>
      <c r="B33" s="84" t="s">
        <v>123</v>
      </c>
      <c r="C33" s="85" t="s">
        <v>112</v>
      </c>
      <c r="D33" s="86" t="s">
        <v>91</v>
      </c>
      <c r="E33" s="87" t="s">
        <v>92</v>
      </c>
    </row>
    <row r="34" spans="1:5" x14ac:dyDescent="0.25">
      <c r="A34" s="83">
        <v>30</v>
      </c>
      <c r="B34" s="84" t="s">
        <v>124</v>
      </c>
      <c r="C34" s="85" t="s">
        <v>112</v>
      </c>
      <c r="D34" s="86" t="s">
        <v>91</v>
      </c>
      <c r="E34" s="87" t="s">
        <v>92</v>
      </c>
    </row>
    <row r="35" spans="1:5" x14ac:dyDescent="0.25">
      <c r="A35" s="83">
        <v>31</v>
      </c>
      <c r="B35" s="84" t="s">
        <v>125</v>
      </c>
      <c r="C35" s="85" t="s">
        <v>112</v>
      </c>
      <c r="D35" s="86" t="s">
        <v>91</v>
      </c>
      <c r="E35" s="87" t="s">
        <v>92</v>
      </c>
    </row>
    <row r="36" spans="1:5" x14ac:dyDescent="0.25">
      <c r="A36" s="83">
        <v>32</v>
      </c>
      <c r="B36" s="84" t="s">
        <v>126</v>
      </c>
      <c r="C36" s="85" t="s">
        <v>95</v>
      </c>
      <c r="D36" s="86" t="s">
        <v>91</v>
      </c>
      <c r="E36" s="87" t="s">
        <v>92</v>
      </c>
    </row>
    <row r="37" spans="1:5" x14ac:dyDescent="0.25">
      <c r="A37" s="83">
        <v>33</v>
      </c>
      <c r="B37" s="84" t="s">
        <v>127</v>
      </c>
      <c r="C37" s="85" t="s">
        <v>95</v>
      </c>
      <c r="D37" s="86" t="s">
        <v>91</v>
      </c>
      <c r="E37" s="87" t="s">
        <v>92</v>
      </c>
    </row>
    <row r="38" spans="1:5" x14ac:dyDescent="0.25">
      <c r="A38" s="83">
        <v>34</v>
      </c>
      <c r="B38" s="84" t="s">
        <v>128</v>
      </c>
      <c r="C38" s="85" t="s">
        <v>95</v>
      </c>
      <c r="D38" s="86" t="s">
        <v>91</v>
      </c>
      <c r="E38" s="87" t="s">
        <v>92</v>
      </c>
    </row>
    <row r="39" spans="1:5" x14ac:dyDescent="0.25">
      <c r="A39" s="83">
        <v>35</v>
      </c>
      <c r="B39" s="84" t="s">
        <v>129</v>
      </c>
      <c r="C39" s="85" t="s">
        <v>112</v>
      </c>
      <c r="D39" s="86" t="s">
        <v>91</v>
      </c>
      <c r="E39" s="87" t="s">
        <v>92</v>
      </c>
    </row>
    <row r="40" spans="1:5" x14ac:dyDescent="0.25">
      <c r="A40" s="83">
        <v>36</v>
      </c>
      <c r="B40" s="84" t="s">
        <v>130</v>
      </c>
      <c r="C40" s="85" t="s">
        <v>131</v>
      </c>
      <c r="D40" s="86" t="s">
        <v>91</v>
      </c>
      <c r="E40" s="87" t="s">
        <v>92</v>
      </c>
    </row>
    <row r="42" ht="25.9" customHeight="1" spans="1:5" x14ac:dyDescent="0.25">
      <c r="A42" s="88" t="s">
        <v>132</v>
      </c>
      <c r="B42" s="89"/>
      <c r="C42" s="89"/>
      <c r="D42" s="89"/>
      <c r="E42" s="89"/>
    </row>
  </sheetData>
  <mergeCells count="4">
    <mergeCell ref="A1:E1"/>
    <mergeCell ref="A2:E2"/>
    <mergeCell ref="A3:E3"/>
    <mergeCell ref="A42:E42"/>
  </mergeCells>
  <printOptions horizontalCentered="1"/>
  <pageMargins left="0.35" right="0.35" top="0.55" bottom="0.55" header="0.2" footer="0.2"/>
  <pageSetup paperSize="9" orientation="portrait" horizontalDpi="4294967295" verticalDpi="4294967295" scale="100" fitToWidth="1" fitToHeight="0" firstPageNumber="1" useFirstPageNumber="1" copies="1"/>
  <headerFooter>
    <oddFooter>&amp;LCAFlow template&amp;RPage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G72"/>
  <sheetViews>
    <sheetView workbookViewId="0" showGridLines="0" zoomScale="100" zoomScaleNormal="100" view="pageBreakPreview">
      <selection activeCell="C18" sqref="C18"/>
    </sheetView>
  </sheetViews>
  <sheetFormatPr defaultRowHeight="12" outlineLevelRow="0" outlineLevelCol="0" x14ac:dyDescent="0" customHeight="1"/>
  <cols>
    <col min="1" max="1" width="2.28515625" style="90" customWidth="1"/>
    <col min="2" max="2" width="2.5703125" style="90" customWidth="1"/>
    <col min="3" max="3" width="40.5703125" style="90" customWidth="1"/>
    <col min="4" max="4" width="7.140625" style="90" customWidth="1"/>
    <col min="5" max="5" width="16" style="91" customWidth="1"/>
    <col min="6" max="6" width="16" style="92" customWidth="1"/>
    <col min="7" max="16384" width="9.140625" style="90" customWidth="1"/>
  </cols>
  <sheetData>
    <row r="2" ht="22.5" customHeight="1" spans="2:6" x14ac:dyDescent="0.25">
      <c r="B2" s="93" t="s">
        <v>44</v>
      </c>
      <c r="C2" s="94"/>
      <c r="D2" s="94"/>
      <c r="E2" s="94"/>
      <c r="F2" s="94"/>
    </row>
    <row r="3" ht="6" customHeight="1" spans="2:6" x14ac:dyDescent="0.25">
      <c r="B3" s="93"/>
      <c r="C3" s="94"/>
      <c r="D3" s="94"/>
      <c r="E3" s="94"/>
      <c r="F3" s="94"/>
    </row>
    <row r="4" ht="13.5" customHeight="1" spans="2:6" x14ac:dyDescent="0.25">
      <c r="B4" s="95" t="s">
        <v>133</v>
      </c>
      <c r="C4" s="96"/>
      <c r="D4" s="96"/>
      <c r="E4" s="96"/>
      <c r="F4" s="96"/>
    </row>
    <row r="5" ht="15.75" customHeight="1" spans="2:6" x14ac:dyDescent="0.25">
      <c r="B5" s="97"/>
      <c r="C5" s="90"/>
      <c r="D5" s="90"/>
      <c r="E5" s="98" t="s">
        <v>134</v>
      </c>
      <c r="F5" s="99"/>
    </row>
    <row r="6" ht="13.5" customHeight="1" spans="2:6" x14ac:dyDescent="0.25">
      <c r="B6" s="100" t="s">
        <v>135</v>
      </c>
      <c r="C6" s="101"/>
      <c r="D6" s="101" t="s">
        <v>136</v>
      </c>
      <c r="E6" s="102" t="s">
        <v>137</v>
      </c>
      <c r="F6" s="102" t="s">
        <v>137</v>
      </c>
    </row>
    <row r="7" ht="15" customHeight="1" spans="2:6" x14ac:dyDescent="0.25">
      <c r="B7" s="103"/>
      <c r="C7" s="103"/>
      <c r="D7" s="101"/>
      <c r="E7" s="104" t="s">
        <v>61</v>
      </c>
      <c r="F7" s="104" t="s">
        <v>64</v>
      </c>
    </row>
    <row r="8" ht="6" customHeight="1" spans="2:6" x14ac:dyDescent="0.25">
      <c r="B8" s="105"/>
      <c r="C8" s="106"/>
      <c r="D8" s="107"/>
      <c r="E8" s="108"/>
      <c r="F8" s="109"/>
    </row>
    <row r="9" ht="12.75" customHeight="1" spans="2:6" x14ac:dyDescent="0.25">
      <c r="B9" s="110" t="s">
        <v>138</v>
      </c>
      <c r="C9" s="111"/>
      <c r="D9" s="112"/>
      <c r="E9" s="113"/>
      <c r="F9" s="114"/>
    </row>
    <row r="10" ht="6" customHeight="1" spans="2:6" x14ac:dyDescent="0.25">
      <c r="B10" s="115"/>
      <c r="C10" s="111"/>
      <c r="D10" s="116"/>
      <c r="E10" s="117"/>
      <c r="F10" s="118"/>
    </row>
    <row r="11" spans="2:6" x14ac:dyDescent="0.25">
      <c r="B11" s="119" t="s">
        <v>139</v>
      </c>
      <c r="C11" s="111"/>
      <c r="D11" s="116"/>
      <c r="E11" s="120"/>
      <c r="F11" s="120"/>
    </row>
    <row r="12" spans="2:6" x14ac:dyDescent="0.25">
      <c r="B12" s="121" t="s">
        <v>140</v>
      </c>
      <c r="C12" s="122"/>
      <c r="D12" s="123">
        <v>2</v>
      </c>
      <c r="E12" s="120">
        <v>100000</v>
      </c>
      <c r="F12" s="120">
        <v>100000</v>
      </c>
    </row>
    <row r="13" spans="2:6" x14ac:dyDescent="0.25">
      <c r="B13" s="121" t="s">
        <v>141</v>
      </c>
      <c r="C13" s="122"/>
      <c r="D13" s="123">
        <v>3</v>
      </c>
      <c r="E13" s="120">
        <v>536933</v>
      </c>
      <c r="F13" s="120">
        <v>0</v>
      </c>
    </row>
    <row r="14" ht="8.1" customHeight="1" spans="2:6" x14ac:dyDescent="0.25">
      <c r="B14" s="121"/>
      <c r="C14" s="122"/>
      <c r="D14" s="123"/>
      <c r="E14" s="120"/>
      <c r="F14" s="120"/>
    </row>
    <row r="15" spans="2:7" x14ac:dyDescent="0.25">
      <c r="B15" s="119" t="s">
        <v>142</v>
      </c>
      <c r="C15" s="122"/>
      <c r="D15" s="123"/>
      <c r="E15" s="124">
        <v>0</v>
      </c>
      <c r="F15" s="124">
        <v>0</v>
      </c>
      <c r="G15" s="125" t="s">
        <v>38</v>
      </c>
    </row>
    <row r="16" ht="8.1" customHeight="1" spans="2:6" x14ac:dyDescent="0.25">
      <c r="B16" s="126"/>
      <c r="C16" s="122"/>
      <c r="D16" s="123"/>
      <c r="E16" s="124"/>
      <c r="F16" s="124"/>
    </row>
    <row r="17" ht="12.75" customHeight="1" spans="2:6" x14ac:dyDescent="0.25">
      <c r="B17" s="127" t="s">
        <v>143</v>
      </c>
      <c r="C17" s="122"/>
      <c r="D17" s="123"/>
      <c r="E17" s="124"/>
      <c r="F17" s="124"/>
    </row>
    <row r="18" spans="2:6" x14ac:dyDescent="0.25">
      <c r="B18" s="121" t="s">
        <v>144</v>
      </c>
      <c r="C18" s="122"/>
      <c r="D18" s="123" t="s">
        <v>38</v>
      </c>
      <c r="E18" s="120">
        <v>0</v>
      </c>
      <c r="F18" s="120">
        <v>0</v>
      </c>
    </row>
    <row r="19" spans="2:7" x14ac:dyDescent="0.25">
      <c r="B19" s="121" t="s">
        <v>145</v>
      </c>
      <c r="C19" s="122"/>
      <c r="D19" s="123" t="s">
        <v>38</v>
      </c>
      <c r="E19" s="120">
        <v>0</v>
      </c>
      <c r="F19" s="120">
        <v>0</v>
      </c>
      <c r="G19" s="125" t="s">
        <v>38</v>
      </c>
    </row>
    <row r="20" spans="2:6" x14ac:dyDescent="0.25">
      <c r="B20" s="121" t="s">
        <v>146</v>
      </c>
      <c r="C20" s="122"/>
      <c r="D20" s="123" t="s">
        <v>38</v>
      </c>
      <c r="E20" s="128">
        <v>0</v>
      </c>
      <c r="F20" s="128">
        <v>0</v>
      </c>
    </row>
    <row r="21" spans="2:6" x14ac:dyDescent="0.25">
      <c r="B21" s="121" t="s">
        <v>147</v>
      </c>
      <c r="C21" s="122"/>
      <c r="D21" s="123" t="s">
        <v>38</v>
      </c>
      <c r="E21" s="120">
        <v>0</v>
      </c>
      <c r="F21" s="120">
        <v>0</v>
      </c>
    </row>
    <row r="22" ht="8.1" customHeight="1" spans="2:6" x14ac:dyDescent="0.25">
      <c r="B22" s="126"/>
      <c r="C22" s="122"/>
      <c r="D22" s="123"/>
      <c r="E22" s="124"/>
      <c r="F22" s="124"/>
    </row>
    <row r="23" ht="12.75" customHeight="1" spans="2:6" x14ac:dyDescent="0.25">
      <c r="B23" s="129" t="s">
        <v>148</v>
      </c>
      <c r="C23" s="122"/>
      <c r="D23" s="123"/>
      <c r="E23" s="120"/>
      <c r="F23" s="120"/>
    </row>
    <row r="24" spans="2:6" x14ac:dyDescent="0.25">
      <c r="B24" s="121" t="s">
        <v>149</v>
      </c>
      <c r="C24" s="122"/>
      <c r="D24" s="123" t="s">
        <v>38</v>
      </c>
      <c r="E24" s="120">
        <v>0</v>
      </c>
      <c r="F24" s="120">
        <v>0</v>
      </c>
    </row>
    <row r="25" spans="2:6" x14ac:dyDescent="0.25">
      <c r="B25" s="121" t="s">
        <v>150</v>
      </c>
      <c r="C25" s="130"/>
      <c r="D25" s="123">
        <v>8</v>
      </c>
      <c r="E25" s="120"/>
      <c r="F25" s="120"/>
    </row>
    <row r="26" ht="12" customHeight="1" spans="2:6" x14ac:dyDescent="0.25">
      <c r="B26" s="131" t="s">
        <v>151</v>
      </c>
      <c r="C26" s="132"/>
      <c r="D26"/>
      <c r="E26" s="120">
        <f>'Note BS-Liab'!G106</f>
        <v>0</v>
      </c>
      <c r="F26" s="120">
        <f>'Note BS-Liab'!H106</f>
        <v>0</v>
      </c>
    </row>
    <row r="27" ht="12" customHeight="1" spans="2:6" x14ac:dyDescent="0.25">
      <c r="B27" s="133" t="s">
        <v>152</v>
      </c>
      <c r="C27" s="132"/>
      <c r="D27"/>
      <c r="E27" s="120">
        <v>500000</v>
      </c>
      <c r="F27" s="120">
        <v>400000</v>
      </c>
    </row>
    <row r="28" ht="12.75" customHeight="1" spans="2:6" x14ac:dyDescent="0.25">
      <c r="B28" s="134" t="s">
        <v>153</v>
      </c>
      <c r="C28" s="130"/>
      <c r="D28" s="135">
        <v>9</v>
      </c>
      <c r="E28" s="136">
        <v>200000</v>
      </c>
      <c r="F28" s="136">
        <v>150000</v>
      </c>
    </row>
    <row r="29" spans="2:6" x14ac:dyDescent="0.25">
      <c r="B29" s="121" t="s">
        <v>154</v>
      </c>
      <c r="C29" s="122"/>
      <c r="D29" s="123" t="s">
        <v>38</v>
      </c>
      <c r="E29" s="120">
        <v>0</v>
      </c>
      <c r="F29" s="120">
        <v>0</v>
      </c>
    </row>
    <row r="30" ht="8.1" customHeight="1" spans="2:6" x14ac:dyDescent="0.25">
      <c r="B30" s="137"/>
      <c r="C30" s="138"/>
      <c r="D30" s="123"/>
      <c r="E30" s="120"/>
      <c r="F30" s="120"/>
    </row>
    <row r="31" ht="12" customHeight="1" spans="2:6" x14ac:dyDescent="0.25">
      <c r="B31" s="137"/>
      <c r="C31" s="139" t="s">
        <v>155</v>
      </c>
      <c r="D31" s="123"/>
      <c r="E31" s="140">
        <f>SUM(E10:E30)</f>
        <v>0</v>
      </c>
      <c r="F31" s="140">
        <f>SUM(F10:F30)</f>
        <v>0</v>
      </c>
    </row>
    <row r="32" ht="6" customHeight="1" spans="2:6" x14ac:dyDescent="0.25">
      <c r="B32" s="141"/>
      <c r="C32" s="122"/>
      <c r="D32" s="123"/>
      <c r="E32" s="124"/>
      <c r="F32" s="124"/>
    </row>
    <row r="33" ht="12.75" customHeight="1" spans="2:6" x14ac:dyDescent="0.25">
      <c r="B33" s="129" t="s">
        <v>156</v>
      </c>
      <c r="C33" s="122"/>
      <c r="D33" s="123"/>
      <c r="E33" s="120"/>
      <c r="F33" s="120"/>
    </row>
    <row r="34" ht="8.1" customHeight="1" spans="2:6" x14ac:dyDescent="0.25">
      <c r="B34" s="141"/>
      <c r="C34" s="122"/>
      <c r="D34" s="123"/>
      <c r="E34" s="120"/>
      <c r="F34" s="120"/>
    </row>
    <row r="35" ht="12.75" customHeight="1" spans="2:6" x14ac:dyDescent="0.25">
      <c r="B35" s="129" t="s">
        <v>157</v>
      </c>
      <c r="C35" s="122"/>
      <c r="D35" s="123"/>
      <c r="E35" s="120"/>
      <c r="F35" s="120"/>
    </row>
    <row r="36" ht="12.75" customHeight="1" spans="2:6" x14ac:dyDescent="0.25">
      <c r="B36" s="142" t="s">
        <v>158</v>
      </c>
      <c r="C36" s="122"/>
      <c r="D36" s="143"/>
      <c r="E36" s="120"/>
      <c r="F36" s="120"/>
    </row>
    <row r="37" spans="2:6" x14ac:dyDescent="0.25">
      <c r="B37" s="144" t="s">
        <v>159</v>
      </c>
      <c r="C37" s="122"/>
      <c r="D37" s="123">
        <v>10</v>
      </c>
      <c r="E37" s="120">
        <v>600000</v>
      </c>
      <c r="F37" s="120">
        <v>700000</v>
      </c>
    </row>
    <row r="38" spans="2:6" x14ac:dyDescent="0.25">
      <c r="B38" s="144" t="s">
        <v>160</v>
      </c>
      <c r="C38" s="122"/>
      <c r="D38" s="123"/>
      <c r="E38" s="120"/>
      <c r="F38" s="120"/>
    </row>
    <row r="39" spans="2:6" x14ac:dyDescent="0.25">
      <c r="B39" s="144" t="s">
        <v>161</v>
      </c>
      <c r="C39" s="122"/>
      <c r="D39" s="123"/>
      <c r="E39" s="120"/>
      <c r="F39" s="120"/>
    </row>
    <row r="40" ht="12.75" customHeight="1" spans="2:6" x14ac:dyDescent="0.25">
      <c r="B40" s="142" t="s">
        <v>162</v>
      </c>
      <c r="C40" s="122"/>
      <c r="D40" s="135" t="s">
        <v>38</v>
      </c>
      <c r="E40" s="136">
        <v>0</v>
      </c>
      <c r="F40" s="136">
        <v>0</v>
      </c>
    </row>
    <row r="41" ht="12.75" customHeight="1" spans="2:6" x14ac:dyDescent="0.25">
      <c r="B41" s="134" t="s">
        <v>163</v>
      </c>
      <c r="C41" s="122"/>
      <c r="D41" s="135" t="s">
        <v>38</v>
      </c>
      <c r="E41" s="136">
        <v>0</v>
      </c>
      <c r="F41" s="136">
        <v>0</v>
      </c>
    </row>
    <row r="42" spans="2:6" x14ac:dyDescent="0.25">
      <c r="B42" s="145" t="s">
        <v>164</v>
      </c>
      <c r="C42" s="122"/>
      <c r="D42" s="123" t="s">
        <v>38</v>
      </c>
      <c r="E42" s="120">
        <v>0</v>
      </c>
      <c r="F42" s="120">
        <v>0</v>
      </c>
    </row>
    <row r="43" ht="12.75" customHeight="1" spans="2:6" x14ac:dyDescent="0.25">
      <c r="B43" s="134" t="s">
        <v>165</v>
      </c>
      <c r="C43" s="146"/>
      <c r="D43" s="135" t="s">
        <v>38</v>
      </c>
      <c r="E43" s="136">
        <v>0</v>
      </c>
      <c r="F43" s="136">
        <v>0</v>
      </c>
    </row>
    <row r="44" ht="8.1" customHeight="1" spans="2:6" x14ac:dyDescent="0.25">
      <c r="B44" s="134"/>
      <c r="C44" s="147"/>
      <c r="D44" s="135"/>
      <c r="E44" s="136"/>
      <c r="F44" s="136"/>
    </row>
    <row r="45" ht="12.75" customHeight="1" spans="2:6" x14ac:dyDescent="0.25">
      <c r="B45" s="129" t="s">
        <v>166</v>
      </c>
      <c r="C45" s="122"/>
      <c r="D45" s="123"/>
      <c r="E45" s="120"/>
      <c r="F45" s="120"/>
    </row>
    <row r="46" spans="2:6" x14ac:dyDescent="0.25">
      <c r="B46" s="121" t="s">
        <v>167</v>
      </c>
      <c r="C46" s="122"/>
      <c r="D46" s="123" t="s">
        <v>38</v>
      </c>
      <c r="E46" s="120">
        <v>0</v>
      </c>
      <c r="F46" s="120">
        <v>0</v>
      </c>
    </row>
    <row r="47" spans="2:6" x14ac:dyDescent="0.25">
      <c r="B47" s="121" t="s">
        <v>168</v>
      </c>
      <c r="C47" s="122"/>
      <c r="D47" s="123">
        <v>14</v>
      </c>
      <c r="E47" s="120">
        <v>200000</v>
      </c>
      <c r="F47" s="120">
        <v>150000</v>
      </c>
    </row>
    <row r="48" spans="2:6" x14ac:dyDescent="0.25">
      <c r="B48" s="121" t="s">
        <v>169</v>
      </c>
      <c r="C48" s="122"/>
      <c r="D48" s="123">
        <v>15</v>
      </c>
      <c r="E48" s="120">
        <v>400000</v>
      </c>
      <c r="F48" s="120">
        <v>300000</v>
      </c>
    </row>
    <row r="49" spans="2:6" x14ac:dyDescent="0.25">
      <c r="B49" s="121" t="s">
        <v>170</v>
      </c>
      <c r="C49" s="122"/>
      <c r="D49" s="123">
        <v>16</v>
      </c>
      <c r="E49" s="120">
        <v>136641</v>
      </c>
      <c r="F49" s="120">
        <v>100000</v>
      </c>
    </row>
    <row r="50" spans="2:6" x14ac:dyDescent="0.25">
      <c r="B50" s="145" t="s">
        <v>171</v>
      </c>
      <c r="C50" s="122"/>
      <c r="D50" s="123" t="s">
        <v>38</v>
      </c>
      <c r="E50" s="120">
        <v>0</v>
      </c>
      <c r="F50" s="120">
        <v>0</v>
      </c>
    </row>
    <row r="51" spans="2:6" x14ac:dyDescent="0.25">
      <c r="B51" s="145" t="s">
        <v>172</v>
      </c>
      <c r="C51" s="122"/>
      <c r="D51" s="123" t="s">
        <v>38</v>
      </c>
      <c r="E51" s="120">
        <v>0</v>
      </c>
      <c r="F51" s="120">
        <v>0</v>
      </c>
    </row>
    <row r="52" ht="8.1" customHeight="1" spans="2:6" x14ac:dyDescent="0.25">
      <c r="B52" s="148"/>
      <c r="C52" s="138"/>
      <c r="D52" s="123"/>
      <c r="E52" s="120"/>
      <c r="F52" s="120"/>
    </row>
    <row r="53" ht="12" customHeight="1" spans="2:6" x14ac:dyDescent="0.25">
      <c r="B53" s="149"/>
      <c r="C53" s="139" t="s">
        <v>173</v>
      </c>
      <c r="D53" s="150"/>
      <c r="E53" s="140">
        <f>SUM(E35:E52)</f>
        <v>0</v>
      </c>
      <c r="F53" s="140">
        <f>SUM(F35:F52)</f>
        <v>0</v>
      </c>
    </row>
    <row r="54" ht="12" customHeight="1" spans="2:6" x14ac:dyDescent="0.25">
      <c r="B54" s="151" t="s">
        <v>174</v>
      </c>
      <c r="C54" s="143"/>
      <c r="D54" s="123" t="s">
        <v>38</v>
      </c>
      <c r="E54" s="152"/>
      <c r="F54" s="152"/>
    </row>
    <row r="55" spans="2:6" x14ac:dyDescent="0.25">
      <c r="B55" s="151" t="s">
        <v>175</v>
      </c>
      <c r="C55" s="153"/>
      <c r="D55" s="154"/>
      <c r="E55" s="155"/>
      <c r="F55" s="155"/>
    </row>
    <row r="56" ht="5.1" customHeight="1" spans="2:6" x14ac:dyDescent="0.25">
      <c r="B56" s="151"/>
      <c r="C56" s="153"/>
      <c r="D56" s="154"/>
      <c r="E56" s="155"/>
      <c r="F56" s="155"/>
    </row>
    <row r="57" spans="2:6" x14ac:dyDescent="0.25">
      <c r="B57" s="143" t="s">
        <v>176</v>
      </c>
      <c r="C57" s="153"/>
      <c r="D57" s="154"/>
      <c r="E57" s="154"/>
      <c r="F57" s="155"/>
    </row>
    <row r="58" ht="5.1" customHeight="1" spans="2:6" x14ac:dyDescent="0.25">
      <c r="B58" s="143"/>
      <c r="C58" s="153"/>
      <c r="D58" s="154"/>
      <c r="E58" s="154"/>
      <c r="F58" s="155"/>
    </row>
    <row r="59" spans="2:6" x14ac:dyDescent="0.25">
      <c r="B59" s="151" t="s">
        <v>177</v>
      </c>
      <c r="C59" s="151"/>
      <c r="D59" s="143" t="s">
        <v>178</v>
      </c>
      <c r="E59" s="156"/>
      <c r="F59" s="157"/>
    </row>
    <row r="60" spans="2:6" x14ac:dyDescent="0.25">
      <c r="B60" s="143" t="s">
        <v>179</v>
      </c>
      <c r="C60" s="151"/>
      <c r="D60" s="151" t="str">
        <f>B2</f>
        <v>[NAME OF THE COMPANY]</v>
      </c>
      <c r="E60" s="156"/>
      <c r="F60" s="157"/>
    </row>
    <row r="61" spans="2:6" x14ac:dyDescent="0.25">
      <c r="B61" s="143" t="s">
        <v>180</v>
      </c>
      <c r="C61" s="156"/>
      <c r="D61" s="156"/>
      <c r="E61" s="156"/>
      <c r="F61" s="157"/>
    </row>
    <row r="62" spans="2:6" x14ac:dyDescent="0.25">
      <c r="B62" s="151"/>
      <c r="C62" s="156"/>
      <c r="D62" s="156"/>
      <c r="E62" s="156"/>
      <c r="F62" s="157"/>
    </row>
    <row r="63" spans="2:6" x14ac:dyDescent="0.25">
      <c r="B63" s="151"/>
      <c r="C63" s="156"/>
      <c r="D63" s="156"/>
      <c r="E63" s="156"/>
      <c r="F63" s="157"/>
    </row>
    <row r="64" spans="2:6" x14ac:dyDescent="0.25">
      <c r="B64" s="151"/>
      <c r="C64" s="156"/>
      <c r="D64" s="156"/>
      <c r="E64" s="156"/>
      <c r="F64" s="157"/>
    </row>
    <row r="65" spans="2:6" x14ac:dyDescent="0.25">
      <c r="B65" s="151" t="s">
        <v>36</v>
      </c>
      <c r="C65" s="151"/>
      <c r="D65" s="151" t="s">
        <v>38</v>
      </c>
      <c r="E65" s="156"/>
      <c r="F65" s="157" t="s">
        <v>38</v>
      </c>
    </row>
    <row r="66" spans="2:6" x14ac:dyDescent="0.25">
      <c r="B66" s="143" t="s">
        <v>181</v>
      </c>
      <c r="C66" s="143"/>
      <c r="D66" s="143" t="s">
        <v>182</v>
      </c>
      <c r="E66" s="158"/>
      <c r="F66" s="159" t="s">
        <v>182</v>
      </c>
    </row>
    <row r="67" spans="2:6" x14ac:dyDescent="0.25">
      <c r="B67" s="143" t="s">
        <v>183</v>
      </c>
      <c r="C67" s="143"/>
      <c r="D67" s="143" t="s">
        <v>184</v>
      </c>
      <c r="E67" s="158"/>
      <c r="F67" s="159" t="s">
        <v>184</v>
      </c>
    </row>
    <row r="68" ht="3.95" customHeight="1" spans="2:6" x14ac:dyDescent="0.25">
      <c r="B68" s="143"/>
      <c r="C68" s="143"/>
      <c r="D68" s="143"/>
      <c r="E68" s="158"/>
      <c r="F68" s="159"/>
    </row>
    <row r="69" spans="2:6" x14ac:dyDescent="0.25">
      <c r="B69" s="160" t="s">
        <v>185</v>
      </c>
      <c r="C69" s="160"/>
      <c r="D69" s="160" t="s">
        <v>185</v>
      </c>
      <c r="E69" s="158"/>
      <c r="F69" s="159" t="s">
        <v>185</v>
      </c>
    </row>
    <row r="70" spans="2:6" x14ac:dyDescent="0.25">
      <c r="B70" s="160" t="s">
        <v>186</v>
      </c>
      <c r="C70" s="161"/>
      <c r="D70" s="160" t="str">
        <f>B70</f>
        <v>Date:</v>
      </c>
      <c r="E70" s="158"/>
      <c r="F70" s="162" t="str">
        <f>D70</f>
        <v>Date:</v>
      </c>
    </row>
    <row r="71" hidden="1" spans="2:6" x14ac:dyDescent="0.25">
      <c r="B71" s="143"/>
      <c r="C71" s="163"/>
      <c r="D71" s="143"/>
      <c r="E71" s="158"/>
      <c r="F71" s="159"/>
    </row>
    <row r="72" hidden="1" spans="2:4" x14ac:dyDescent="0.25">
      <c r="B72" s="90"/>
      <c r="C72" s="90"/>
      <c r="D72" s="90"/>
    </row>
  </sheetData>
  <mergeCells count="8">
    <mergeCell ref="B2:F2"/>
    <mergeCell ref="B4:F4"/>
    <mergeCell ref="E5:F5"/>
    <mergeCell ref="B6:C7"/>
    <mergeCell ref="D6:D7"/>
    <mergeCell ref="B26:C26"/>
    <mergeCell ref="D25:D27"/>
    <mergeCell ref="B27:C27"/>
  </mergeCells>
  <conditionalFormatting sqref="E52:F52">
    <cfRule type="cellIs" dxfId="0" priority="5" operator="notEqual">
      <formula>0</formula>
    </cfRule>
    <cfRule type="cellIs" dxfId="1" priority="6" operator="equal">
      <formula>0</formula>
    </cfRule>
  </conditionalFormatting>
  <printOptions horizontalCentered="1"/>
  <pageMargins left="0.35" right="0.35" top="0.55" bottom="0.55" header="0.2" footer="0.2"/>
  <pageSetup paperSize="9" orientation="portrait" horizontalDpi="4294967295" verticalDpi="4294967295" scale="100" fitToWidth="1" fitToHeight="0" firstPageNumber="1" useFirstPageNumber="1" copies="1"/>
  <headerFooter>
    <oddFooter>&amp;LCAFlow template&amp;RPage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59"/>
  <sheetViews>
    <sheetView workbookViewId="0" showGridLines="0" zoomScale="100" zoomScaleNormal="100" view="pageBreakPreview">
      <selection activeCell="C12" sqref="C12"/>
    </sheetView>
  </sheetViews>
  <sheetFormatPr defaultRowHeight="15" outlineLevelRow="0" outlineLevelCol="0" x14ac:dyDescent="0"/>
  <cols>
    <col min="1" max="1" width="2.28515625" style="164" customWidth="1"/>
    <col min="2" max="2" width="4.28515625" style="164" customWidth="1"/>
    <col min="3" max="3" width="4.5703125" style="164" customWidth="1"/>
    <col min="4" max="4" width="27.42578125" style="164" customWidth="1"/>
    <col min="5" max="5" width="14.42578125" style="164" customWidth="1"/>
    <col min="6" max="6" width="9.28515625" style="164" customWidth="1"/>
    <col min="7" max="7" width="15.5703125" style="165" customWidth="1"/>
    <col min="8" max="8" width="15.28515625" style="166" customWidth="1"/>
    <col min="9" max="9" width="17.42578125" style="164" hidden="1" customWidth="1"/>
    <col min="10" max="15" width="13" hidden="1" customWidth="1"/>
    <col min="16" max="16" width="12.42578125" style="164" hidden="1" customWidth="1"/>
    <col min="17" max="17" width="12.7109375" style="164" hidden="1" customWidth="1"/>
    <col min="18" max="18" width="10.28515625" style="164" hidden="1" customWidth="1"/>
    <col min="19" max="19" width="9.28515625" style="164" hidden="1" customWidth="1"/>
    <col min="20" max="20" width="13" hidden="1" customWidth="1"/>
    <col min="21" max="21" width="13.5703125" style="164" hidden="1" customWidth="1"/>
    <col min="22" max="22" width="9.28515625" style="164" hidden="1" customWidth="1"/>
    <col min="23" max="23" width="15.42578125" style="164" hidden="1" customWidth="1"/>
    <col min="24" max="24" width="10.5703125" style="164" hidden="1" customWidth="1"/>
    <col min="25" max="25" width="11.7109375" style="164" hidden="1" customWidth="1"/>
    <col min="26" max="266" width="9.28515625" style="164" customWidth="1"/>
    <col min="267" max="267" width="4.7109375" style="164" customWidth="1"/>
    <col min="268" max="268" width="64.7109375" style="164" customWidth="1"/>
    <col min="269" max="269" width="9.7109375" style="164" customWidth="1"/>
    <col min="270" max="270" width="11.7109375" style="164" customWidth="1"/>
    <col min="271" max="271" width="18.7109375" style="164" customWidth="1"/>
    <col min="272" max="522" width="9.28515625" style="164" customWidth="1"/>
    <col min="523" max="523" width="4.7109375" style="164" customWidth="1"/>
    <col min="524" max="524" width="64.7109375" style="164" customWidth="1"/>
    <col min="525" max="525" width="9.7109375" style="164" customWidth="1"/>
    <col min="526" max="526" width="11.7109375" style="164" customWidth="1"/>
    <col min="527" max="527" width="18.7109375" style="164" customWidth="1"/>
    <col min="528" max="778" width="9.28515625" style="164" customWidth="1"/>
    <col min="779" max="779" width="4.7109375" style="164" customWidth="1"/>
    <col min="780" max="780" width="64.7109375" style="164" customWidth="1"/>
    <col min="781" max="781" width="9.7109375" style="164" customWidth="1"/>
    <col min="782" max="782" width="11.7109375" style="164" customWidth="1"/>
    <col min="783" max="783" width="18.7109375" style="164" customWidth="1"/>
    <col min="784" max="1034" width="9.28515625" style="164" customWidth="1"/>
    <col min="1035" max="1035" width="4.7109375" style="164" customWidth="1"/>
    <col min="1036" max="1036" width="64.7109375" style="164" customWidth="1"/>
    <col min="1037" max="1037" width="9.7109375" style="164" customWidth="1"/>
    <col min="1038" max="1038" width="11.7109375" style="164" customWidth="1"/>
    <col min="1039" max="1039" width="18.7109375" style="164" customWidth="1"/>
    <col min="1040" max="1290" width="9.28515625" style="164" customWidth="1"/>
    <col min="1291" max="1291" width="4.7109375" style="164" customWidth="1"/>
    <col min="1292" max="1292" width="64.7109375" style="164" customWidth="1"/>
    <col min="1293" max="1293" width="9.7109375" style="164" customWidth="1"/>
    <col min="1294" max="1294" width="11.7109375" style="164" customWidth="1"/>
    <col min="1295" max="1295" width="18.7109375" style="164" customWidth="1"/>
    <col min="1296" max="1546" width="9.28515625" style="164" customWidth="1"/>
    <col min="1547" max="1547" width="4.7109375" style="164" customWidth="1"/>
    <col min="1548" max="1548" width="64.7109375" style="164" customWidth="1"/>
    <col min="1549" max="1549" width="9.7109375" style="164" customWidth="1"/>
    <col min="1550" max="1550" width="11.7109375" style="164" customWidth="1"/>
    <col min="1551" max="1551" width="18.7109375" style="164" customWidth="1"/>
    <col min="1552" max="1802" width="9.28515625" style="164" customWidth="1"/>
    <col min="1803" max="1803" width="4.7109375" style="164" customWidth="1"/>
    <col min="1804" max="1804" width="64.7109375" style="164" customWidth="1"/>
    <col min="1805" max="1805" width="9.7109375" style="164" customWidth="1"/>
    <col min="1806" max="1806" width="11.7109375" style="164" customWidth="1"/>
    <col min="1807" max="1807" width="18.7109375" style="164" customWidth="1"/>
    <col min="1808" max="2058" width="9.28515625" style="164" customWidth="1"/>
    <col min="2059" max="2059" width="4.7109375" style="164" customWidth="1"/>
    <col min="2060" max="2060" width="64.7109375" style="164" customWidth="1"/>
    <col min="2061" max="2061" width="9.7109375" style="164" customWidth="1"/>
    <col min="2062" max="2062" width="11.7109375" style="164" customWidth="1"/>
    <col min="2063" max="2063" width="18.7109375" style="164" customWidth="1"/>
    <col min="2064" max="2314" width="9.28515625" style="164" customWidth="1"/>
    <col min="2315" max="2315" width="4.7109375" style="164" customWidth="1"/>
    <col min="2316" max="2316" width="64.7109375" style="164" customWidth="1"/>
    <col min="2317" max="2317" width="9.7109375" style="164" customWidth="1"/>
    <col min="2318" max="2318" width="11.7109375" style="164" customWidth="1"/>
    <col min="2319" max="2319" width="18.7109375" style="164" customWidth="1"/>
    <col min="2320" max="2570" width="9.28515625" style="164" customWidth="1"/>
    <col min="2571" max="2571" width="4.7109375" style="164" customWidth="1"/>
    <col min="2572" max="2572" width="64.7109375" style="164" customWidth="1"/>
    <col min="2573" max="2573" width="9.7109375" style="164" customWidth="1"/>
    <col min="2574" max="2574" width="11.7109375" style="164" customWidth="1"/>
    <col min="2575" max="2575" width="18.7109375" style="164" customWidth="1"/>
    <col min="2576" max="2826" width="9.28515625" style="164" customWidth="1"/>
    <col min="2827" max="2827" width="4.7109375" style="164" customWidth="1"/>
    <col min="2828" max="2828" width="64.7109375" style="164" customWidth="1"/>
    <col min="2829" max="2829" width="9.7109375" style="164" customWidth="1"/>
    <col min="2830" max="2830" width="11.7109375" style="164" customWidth="1"/>
    <col min="2831" max="2831" width="18.7109375" style="164" customWidth="1"/>
    <col min="2832" max="3082" width="9.28515625" style="164" customWidth="1"/>
    <col min="3083" max="3083" width="4.7109375" style="164" customWidth="1"/>
    <col min="3084" max="3084" width="64.7109375" style="164" customWidth="1"/>
    <col min="3085" max="3085" width="9.7109375" style="164" customWidth="1"/>
    <col min="3086" max="3086" width="11.7109375" style="164" customWidth="1"/>
    <col min="3087" max="3087" width="18.7109375" style="164" customWidth="1"/>
    <col min="3088" max="3338" width="9.28515625" style="164" customWidth="1"/>
    <col min="3339" max="3339" width="4.7109375" style="164" customWidth="1"/>
    <col min="3340" max="3340" width="64.7109375" style="164" customWidth="1"/>
    <col min="3341" max="3341" width="9.7109375" style="164" customWidth="1"/>
    <col min="3342" max="3342" width="11.7109375" style="164" customWidth="1"/>
    <col min="3343" max="3343" width="18.7109375" style="164" customWidth="1"/>
    <col min="3344" max="3594" width="9.28515625" style="164" customWidth="1"/>
    <col min="3595" max="3595" width="4.7109375" style="164" customWidth="1"/>
    <col min="3596" max="3596" width="64.7109375" style="164" customWidth="1"/>
    <col min="3597" max="3597" width="9.7109375" style="164" customWidth="1"/>
    <col min="3598" max="3598" width="11.7109375" style="164" customWidth="1"/>
    <col min="3599" max="3599" width="18.7109375" style="164" customWidth="1"/>
    <col min="3600" max="3850" width="9.28515625" style="164" customWidth="1"/>
    <col min="3851" max="3851" width="4.7109375" style="164" customWidth="1"/>
    <col min="3852" max="3852" width="64.7109375" style="164" customWidth="1"/>
    <col min="3853" max="3853" width="9.7109375" style="164" customWidth="1"/>
    <col min="3854" max="3854" width="11.7109375" style="164" customWidth="1"/>
    <col min="3855" max="3855" width="18.7109375" style="164" customWidth="1"/>
    <col min="3856" max="4106" width="9.28515625" style="164" customWidth="1"/>
    <col min="4107" max="4107" width="4.7109375" style="164" customWidth="1"/>
    <col min="4108" max="4108" width="64.7109375" style="164" customWidth="1"/>
    <col min="4109" max="4109" width="9.7109375" style="164" customWidth="1"/>
    <col min="4110" max="4110" width="11.7109375" style="164" customWidth="1"/>
    <col min="4111" max="4111" width="18.7109375" style="164" customWidth="1"/>
    <col min="4112" max="4362" width="9.28515625" style="164" customWidth="1"/>
    <col min="4363" max="4363" width="4.7109375" style="164" customWidth="1"/>
    <col min="4364" max="4364" width="64.7109375" style="164" customWidth="1"/>
    <col min="4365" max="4365" width="9.7109375" style="164" customWidth="1"/>
    <col min="4366" max="4366" width="11.7109375" style="164" customWidth="1"/>
    <col min="4367" max="4367" width="18.7109375" style="164" customWidth="1"/>
    <col min="4368" max="4618" width="9.28515625" style="164" customWidth="1"/>
    <col min="4619" max="4619" width="4.7109375" style="164" customWidth="1"/>
    <col min="4620" max="4620" width="64.7109375" style="164" customWidth="1"/>
    <col min="4621" max="4621" width="9.7109375" style="164" customWidth="1"/>
    <col min="4622" max="4622" width="11.7109375" style="164" customWidth="1"/>
    <col min="4623" max="4623" width="18.7109375" style="164" customWidth="1"/>
    <col min="4624" max="4874" width="9.28515625" style="164" customWidth="1"/>
    <col min="4875" max="4875" width="4.7109375" style="164" customWidth="1"/>
    <col min="4876" max="4876" width="64.7109375" style="164" customWidth="1"/>
    <col min="4877" max="4877" width="9.7109375" style="164" customWidth="1"/>
    <col min="4878" max="4878" width="11.7109375" style="164" customWidth="1"/>
    <col min="4879" max="4879" width="18.7109375" style="164" customWidth="1"/>
    <col min="4880" max="5130" width="9.28515625" style="164" customWidth="1"/>
    <col min="5131" max="5131" width="4.7109375" style="164" customWidth="1"/>
    <col min="5132" max="5132" width="64.7109375" style="164" customWidth="1"/>
    <col min="5133" max="5133" width="9.7109375" style="164" customWidth="1"/>
    <col min="5134" max="5134" width="11.7109375" style="164" customWidth="1"/>
    <col min="5135" max="5135" width="18.7109375" style="164" customWidth="1"/>
    <col min="5136" max="5386" width="9.28515625" style="164" customWidth="1"/>
    <col min="5387" max="5387" width="4.7109375" style="164" customWidth="1"/>
    <col min="5388" max="5388" width="64.7109375" style="164" customWidth="1"/>
    <col min="5389" max="5389" width="9.7109375" style="164" customWidth="1"/>
    <col min="5390" max="5390" width="11.7109375" style="164" customWidth="1"/>
    <col min="5391" max="5391" width="18.7109375" style="164" customWidth="1"/>
    <col min="5392" max="5642" width="9.28515625" style="164" customWidth="1"/>
    <col min="5643" max="5643" width="4.7109375" style="164" customWidth="1"/>
    <col min="5644" max="5644" width="64.7109375" style="164" customWidth="1"/>
    <col min="5645" max="5645" width="9.7109375" style="164" customWidth="1"/>
    <col min="5646" max="5646" width="11.7109375" style="164" customWidth="1"/>
    <col min="5647" max="5647" width="18.7109375" style="164" customWidth="1"/>
    <col min="5648" max="5898" width="9.28515625" style="164" customWidth="1"/>
    <col min="5899" max="5899" width="4.7109375" style="164" customWidth="1"/>
    <col min="5900" max="5900" width="64.7109375" style="164" customWidth="1"/>
    <col min="5901" max="5901" width="9.7109375" style="164" customWidth="1"/>
    <col min="5902" max="5902" width="11.7109375" style="164" customWidth="1"/>
    <col min="5903" max="5903" width="18.7109375" style="164" customWidth="1"/>
    <col min="5904" max="6154" width="9.28515625" style="164" customWidth="1"/>
    <col min="6155" max="6155" width="4.7109375" style="164" customWidth="1"/>
    <col min="6156" max="6156" width="64.7109375" style="164" customWidth="1"/>
    <col min="6157" max="6157" width="9.7109375" style="164" customWidth="1"/>
    <col min="6158" max="6158" width="11.7109375" style="164" customWidth="1"/>
    <col min="6159" max="6159" width="18.7109375" style="164" customWidth="1"/>
    <col min="6160" max="6410" width="9.28515625" style="164" customWidth="1"/>
    <col min="6411" max="6411" width="4.7109375" style="164" customWidth="1"/>
    <col min="6412" max="6412" width="64.7109375" style="164" customWidth="1"/>
    <col min="6413" max="6413" width="9.7109375" style="164" customWidth="1"/>
    <col min="6414" max="6414" width="11.7109375" style="164" customWidth="1"/>
    <col min="6415" max="6415" width="18.7109375" style="164" customWidth="1"/>
    <col min="6416" max="6666" width="9.28515625" style="164" customWidth="1"/>
    <col min="6667" max="6667" width="4.7109375" style="164" customWidth="1"/>
    <col min="6668" max="6668" width="64.7109375" style="164" customWidth="1"/>
    <col min="6669" max="6669" width="9.7109375" style="164" customWidth="1"/>
    <col min="6670" max="6670" width="11.7109375" style="164" customWidth="1"/>
    <col min="6671" max="6671" width="18.7109375" style="164" customWidth="1"/>
    <col min="6672" max="6922" width="9.28515625" style="164" customWidth="1"/>
    <col min="6923" max="6923" width="4.7109375" style="164" customWidth="1"/>
    <col min="6924" max="6924" width="64.7109375" style="164" customWidth="1"/>
    <col min="6925" max="6925" width="9.7109375" style="164" customWidth="1"/>
    <col min="6926" max="6926" width="11.7109375" style="164" customWidth="1"/>
    <col min="6927" max="6927" width="18.7109375" style="164" customWidth="1"/>
    <col min="6928" max="7178" width="9.28515625" style="164" customWidth="1"/>
    <col min="7179" max="7179" width="4.7109375" style="164" customWidth="1"/>
    <col min="7180" max="7180" width="64.7109375" style="164" customWidth="1"/>
    <col min="7181" max="7181" width="9.7109375" style="164" customWidth="1"/>
    <col min="7182" max="7182" width="11.7109375" style="164" customWidth="1"/>
    <col min="7183" max="7183" width="18.7109375" style="164" customWidth="1"/>
    <col min="7184" max="7434" width="9.28515625" style="164" customWidth="1"/>
    <col min="7435" max="7435" width="4.7109375" style="164" customWidth="1"/>
    <col min="7436" max="7436" width="64.7109375" style="164" customWidth="1"/>
    <col min="7437" max="7437" width="9.7109375" style="164" customWidth="1"/>
    <col min="7438" max="7438" width="11.7109375" style="164" customWidth="1"/>
    <col min="7439" max="7439" width="18.7109375" style="164" customWidth="1"/>
    <col min="7440" max="7690" width="9.28515625" style="164" customWidth="1"/>
    <col min="7691" max="7691" width="4.7109375" style="164" customWidth="1"/>
    <col min="7692" max="7692" width="64.7109375" style="164" customWidth="1"/>
    <col min="7693" max="7693" width="9.7109375" style="164" customWidth="1"/>
    <col min="7694" max="7694" width="11.7109375" style="164" customWidth="1"/>
    <col min="7695" max="7695" width="18.7109375" style="164" customWidth="1"/>
    <col min="7696" max="7946" width="9.28515625" style="164" customWidth="1"/>
    <col min="7947" max="7947" width="4.7109375" style="164" customWidth="1"/>
    <col min="7948" max="7948" width="64.7109375" style="164" customWidth="1"/>
    <col min="7949" max="7949" width="9.7109375" style="164" customWidth="1"/>
    <col min="7950" max="7950" width="11.7109375" style="164" customWidth="1"/>
    <col min="7951" max="7951" width="18.7109375" style="164" customWidth="1"/>
    <col min="7952" max="8202" width="9.28515625" style="164" customWidth="1"/>
    <col min="8203" max="8203" width="4.7109375" style="164" customWidth="1"/>
    <col min="8204" max="8204" width="64.7109375" style="164" customWidth="1"/>
    <col min="8205" max="8205" width="9.7109375" style="164" customWidth="1"/>
    <col min="8206" max="8206" width="11.7109375" style="164" customWidth="1"/>
    <col min="8207" max="8207" width="18.7109375" style="164" customWidth="1"/>
    <col min="8208" max="8458" width="9.28515625" style="164" customWidth="1"/>
    <col min="8459" max="8459" width="4.7109375" style="164" customWidth="1"/>
    <col min="8460" max="8460" width="64.7109375" style="164" customWidth="1"/>
    <col min="8461" max="8461" width="9.7109375" style="164" customWidth="1"/>
    <col min="8462" max="8462" width="11.7109375" style="164" customWidth="1"/>
    <col min="8463" max="8463" width="18.7109375" style="164" customWidth="1"/>
    <col min="8464" max="8714" width="9.28515625" style="164" customWidth="1"/>
    <col min="8715" max="8715" width="4.7109375" style="164" customWidth="1"/>
    <col min="8716" max="8716" width="64.7109375" style="164" customWidth="1"/>
    <col min="8717" max="8717" width="9.7109375" style="164" customWidth="1"/>
    <col min="8718" max="8718" width="11.7109375" style="164" customWidth="1"/>
    <col min="8719" max="8719" width="18.7109375" style="164" customWidth="1"/>
    <col min="8720" max="8970" width="9.28515625" style="164" customWidth="1"/>
    <col min="8971" max="8971" width="4.7109375" style="164" customWidth="1"/>
    <col min="8972" max="8972" width="64.7109375" style="164" customWidth="1"/>
    <col min="8973" max="8973" width="9.7109375" style="164" customWidth="1"/>
    <col min="8974" max="8974" width="11.7109375" style="164" customWidth="1"/>
    <col min="8975" max="8975" width="18.7109375" style="164" customWidth="1"/>
    <col min="8976" max="9226" width="9.28515625" style="164" customWidth="1"/>
    <col min="9227" max="9227" width="4.7109375" style="164" customWidth="1"/>
    <col min="9228" max="9228" width="64.7109375" style="164" customWidth="1"/>
    <col min="9229" max="9229" width="9.7109375" style="164" customWidth="1"/>
    <col min="9230" max="9230" width="11.7109375" style="164" customWidth="1"/>
    <col min="9231" max="9231" width="18.7109375" style="164" customWidth="1"/>
    <col min="9232" max="9482" width="9.28515625" style="164" customWidth="1"/>
    <col min="9483" max="9483" width="4.7109375" style="164" customWidth="1"/>
    <col min="9484" max="9484" width="64.7109375" style="164" customWidth="1"/>
    <col min="9485" max="9485" width="9.7109375" style="164" customWidth="1"/>
    <col min="9486" max="9486" width="11.7109375" style="164" customWidth="1"/>
    <col min="9487" max="9487" width="18.7109375" style="164" customWidth="1"/>
    <col min="9488" max="9738" width="9.28515625" style="164" customWidth="1"/>
    <col min="9739" max="9739" width="4.7109375" style="164" customWidth="1"/>
    <col min="9740" max="9740" width="64.7109375" style="164" customWidth="1"/>
    <col min="9741" max="9741" width="9.7109375" style="164" customWidth="1"/>
    <col min="9742" max="9742" width="11.7109375" style="164" customWidth="1"/>
    <col min="9743" max="9743" width="18.7109375" style="164" customWidth="1"/>
    <col min="9744" max="9994" width="9.28515625" style="164" customWidth="1"/>
    <col min="9995" max="9995" width="4.7109375" style="164" customWidth="1"/>
    <col min="9996" max="9996" width="64.7109375" style="164" customWidth="1"/>
    <col min="9997" max="9997" width="9.7109375" style="164" customWidth="1"/>
    <col min="9998" max="9998" width="11.7109375" style="164" customWidth="1"/>
    <col min="9999" max="9999" width="18.7109375" style="164" customWidth="1"/>
    <col min="10000" max="10250" width="9.28515625" style="164" customWidth="1"/>
    <col min="10251" max="10251" width="4.7109375" style="164" customWidth="1"/>
    <col min="10252" max="10252" width="64.7109375" style="164" customWidth="1"/>
    <col min="10253" max="10253" width="9.7109375" style="164" customWidth="1"/>
    <col min="10254" max="10254" width="11.7109375" style="164" customWidth="1"/>
    <col min="10255" max="10255" width="18.7109375" style="164" customWidth="1"/>
    <col min="10256" max="10506" width="9.28515625" style="164" customWidth="1"/>
    <col min="10507" max="10507" width="4.7109375" style="164" customWidth="1"/>
    <col min="10508" max="10508" width="64.7109375" style="164" customWidth="1"/>
    <col min="10509" max="10509" width="9.7109375" style="164" customWidth="1"/>
    <col min="10510" max="10510" width="11.7109375" style="164" customWidth="1"/>
    <col min="10511" max="10511" width="18.7109375" style="164" customWidth="1"/>
    <col min="10512" max="10762" width="9.28515625" style="164" customWidth="1"/>
    <col min="10763" max="10763" width="4.7109375" style="164" customWidth="1"/>
    <col min="10764" max="10764" width="64.7109375" style="164" customWidth="1"/>
    <col min="10765" max="10765" width="9.7109375" style="164" customWidth="1"/>
    <col min="10766" max="10766" width="11.7109375" style="164" customWidth="1"/>
    <col min="10767" max="10767" width="18.7109375" style="164" customWidth="1"/>
    <col min="10768" max="11018" width="9.28515625" style="164" customWidth="1"/>
    <col min="11019" max="11019" width="4.7109375" style="164" customWidth="1"/>
    <col min="11020" max="11020" width="64.7109375" style="164" customWidth="1"/>
    <col min="11021" max="11021" width="9.7109375" style="164" customWidth="1"/>
    <col min="11022" max="11022" width="11.7109375" style="164" customWidth="1"/>
    <col min="11023" max="11023" width="18.7109375" style="164" customWidth="1"/>
    <col min="11024" max="11274" width="9.28515625" style="164" customWidth="1"/>
    <col min="11275" max="11275" width="4.7109375" style="164" customWidth="1"/>
    <col min="11276" max="11276" width="64.7109375" style="164" customWidth="1"/>
    <col min="11277" max="11277" width="9.7109375" style="164" customWidth="1"/>
    <col min="11278" max="11278" width="11.7109375" style="164" customWidth="1"/>
    <col min="11279" max="11279" width="18.7109375" style="164" customWidth="1"/>
    <col min="11280" max="11530" width="9.28515625" style="164" customWidth="1"/>
    <col min="11531" max="11531" width="4.7109375" style="164" customWidth="1"/>
    <col min="11532" max="11532" width="64.7109375" style="164" customWidth="1"/>
    <col min="11533" max="11533" width="9.7109375" style="164" customWidth="1"/>
    <col min="11534" max="11534" width="11.7109375" style="164" customWidth="1"/>
    <col min="11535" max="11535" width="18.7109375" style="164" customWidth="1"/>
    <col min="11536" max="11786" width="9.28515625" style="164" customWidth="1"/>
    <col min="11787" max="11787" width="4.7109375" style="164" customWidth="1"/>
    <col min="11788" max="11788" width="64.7109375" style="164" customWidth="1"/>
    <col min="11789" max="11789" width="9.7109375" style="164" customWidth="1"/>
    <col min="11790" max="11790" width="11.7109375" style="164" customWidth="1"/>
    <col min="11791" max="11791" width="18.7109375" style="164" customWidth="1"/>
    <col min="11792" max="12042" width="9.28515625" style="164" customWidth="1"/>
    <col min="12043" max="12043" width="4.7109375" style="164" customWidth="1"/>
    <col min="12044" max="12044" width="64.7109375" style="164" customWidth="1"/>
    <col min="12045" max="12045" width="9.7109375" style="164" customWidth="1"/>
    <col min="12046" max="12046" width="11.7109375" style="164" customWidth="1"/>
    <col min="12047" max="12047" width="18.7109375" style="164" customWidth="1"/>
    <col min="12048" max="12298" width="9.28515625" style="164" customWidth="1"/>
    <col min="12299" max="12299" width="4.7109375" style="164" customWidth="1"/>
    <col min="12300" max="12300" width="64.7109375" style="164" customWidth="1"/>
    <col min="12301" max="12301" width="9.7109375" style="164" customWidth="1"/>
    <col min="12302" max="12302" width="11.7109375" style="164" customWidth="1"/>
    <col min="12303" max="12303" width="18.7109375" style="164" customWidth="1"/>
    <col min="12304" max="12554" width="9.28515625" style="164" customWidth="1"/>
    <col min="12555" max="12555" width="4.7109375" style="164" customWidth="1"/>
    <col min="12556" max="12556" width="64.7109375" style="164" customWidth="1"/>
    <col min="12557" max="12557" width="9.7109375" style="164" customWidth="1"/>
    <col min="12558" max="12558" width="11.7109375" style="164" customWidth="1"/>
    <col min="12559" max="12559" width="18.7109375" style="164" customWidth="1"/>
    <col min="12560" max="12810" width="9.28515625" style="164" customWidth="1"/>
    <col min="12811" max="12811" width="4.7109375" style="164" customWidth="1"/>
    <col min="12812" max="12812" width="64.7109375" style="164" customWidth="1"/>
    <col min="12813" max="12813" width="9.7109375" style="164" customWidth="1"/>
    <col min="12814" max="12814" width="11.7109375" style="164" customWidth="1"/>
    <col min="12815" max="12815" width="18.7109375" style="164" customWidth="1"/>
    <col min="12816" max="13066" width="9.28515625" style="164" customWidth="1"/>
    <col min="13067" max="13067" width="4.7109375" style="164" customWidth="1"/>
    <col min="13068" max="13068" width="64.7109375" style="164" customWidth="1"/>
    <col min="13069" max="13069" width="9.7109375" style="164" customWidth="1"/>
    <col min="13070" max="13070" width="11.7109375" style="164" customWidth="1"/>
    <col min="13071" max="13071" width="18.7109375" style="164" customWidth="1"/>
    <col min="13072" max="13322" width="9.28515625" style="164" customWidth="1"/>
    <col min="13323" max="13323" width="4.7109375" style="164" customWidth="1"/>
    <col min="13324" max="13324" width="64.7109375" style="164" customWidth="1"/>
    <col min="13325" max="13325" width="9.7109375" style="164" customWidth="1"/>
    <col min="13326" max="13326" width="11.7109375" style="164" customWidth="1"/>
    <col min="13327" max="13327" width="18.7109375" style="164" customWidth="1"/>
    <col min="13328" max="13578" width="9.28515625" style="164" customWidth="1"/>
    <col min="13579" max="13579" width="4.7109375" style="164" customWidth="1"/>
    <col min="13580" max="13580" width="64.7109375" style="164" customWidth="1"/>
    <col min="13581" max="13581" width="9.7109375" style="164" customWidth="1"/>
    <col min="13582" max="13582" width="11.7109375" style="164" customWidth="1"/>
    <col min="13583" max="13583" width="18.7109375" style="164" customWidth="1"/>
    <col min="13584" max="13834" width="9.28515625" style="164" customWidth="1"/>
    <col min="13835" max="13835" width="4.7109375" style="164" customWidth="1"/>
    <col min="13836" max="13836" width="64.7109375" style="164" customWidth="1"/>
    <col min="13837" max="13837" width="9.7109375" style="164" customWidth="1"/>
    <col min="13838" max="13838" width="11.7109375" style="164" customWidth="1"/>
    <col min="13839" max="13839" width="18.7109375" style="164" customWidth="1"/>
    <col min="13840" max="14090" width="9.28515625" style="164" customWidth="1"/>
    <col min="14091" max="14091" width="4.7109375" style="164" customWidth="1"/>
    <col min="14092" max="14092" width="64.7109375" style="164" customWidth="1"/>
    <col min="14093" max="14093" width="9.7109375" style="164" customWidth="1"/>
    <col min="14094" max="14094" width="11.7109375" style="164" customWidth="1"/>
    <col min="14095" max="14095" width="18.7109375" style="164" customWidth="1"/>
    <col min="14096" max="14346" width="9.28515625" style="164" customWidth="1"/>
    <col min="14347" max="14347" width="4.7109375" style="164" customWidth="1"/>
    <col min="14348" max="14348" width="64.7109375" style="164" customWidth="1"/>
    <col min="14349" max="14349" width="9.7109375" style="164" customWidth="1"/>
    <col min="14350" max="14350" width="11.7109375" style="164" customWidth="1"/>
    <col min="14351" max="14351" width="18.7109375" style="164" customWidth="1"/>
    <col min="14352" max="14602" width="9.28515625" style="164" customWidth="1"/>
    <col min="14603" max="14603" width="4.7109375" style="164" customWidth="1"/>
    <col min="14604" max="14604" width="64.7109375" style="164" customWidth="1"/>
    <col min="14605" max="14605" width="9.7109375" style="164" customWidth="1"/>
    <col min="14606" max="14606" width="11.7109375" style="164" customWidth="1"/>
    <col min="14607" max="14607" width="18.7109375" style="164" customWidth="1"/>
    <col min="14608" max="14858" width="9.28515625" style="164" customWidth="1"/>
    <col min="14859" max="14859" width="4.7109375" style="164" customWidth="1"/>
    <col min="14860" max="14860" width="64.7109375" style="164" customWidth="1"/>
    <col min="14861" max="14861" width="9.7109375" style="164" customWidth="1"/>
    <col min="14862" max="14862" width="11.7109375" style="164" customWidth="1"/>
    <col min="14863" max="14863" width="18.7109375" style="164" customWidth="1"/>
    <col min="14864" max="15114" width="9.28515625" style="164" customWidth="1"/>
    <col min="15115" max="15115" width="4.7109375" style="164" customWidth="1"/>
    <col min="15116" max="15116" width="64.7109375" style="164" customWidth="1"/>
    <col min="15117" max="15117" width="9.7109375" style="164" customWidth="1"/>
    <col min="15118" max="15118" width="11.7109375" style="164" customWidth="1"/>
    <col min="15119" max="15119" width="18.7109375" style="164" customWidth="1"/>
    <col min="15120" max="15370" width="9.28515625" style="164" customWidth="1"/>
    <col min="15371" max="15371" width="4.7109375" style="164" customWidth="1"/>
    <col min="15372" max="15372" width="64.7109375" style="164" customWidth="1"/>
    <col min="15373" max="15373" width="9.7109375" style="164" customWidth="1"/>
    <col min="15374" max="15374" width="11.7109375" style="164" customWidth="1"/>
    <col min="15375" max="15375" width="18.7109375" style="164" customWidth="1"/>
    <col min="15376" max="15626" width="9.28515625" style="164" customWidth="1"/>
    <col min="15627" max="15627" width="4.7109375" style="164" customWidth="1"/>
    <col min="15628" max="15628" width="64.7109375" style="164" customWidth="1"/>
    <col min="15629" max="15629" width="9.7109375" style="164" customWidth="1"/>
    <col min="15630" max="15630" width="11.7109375" style="164" customWidth="1"/>
    <col min="15631" max="15631" width="18.7109375" style="164" customWidth="1"/>
    <col min="15632" max="15882" width="9.28515625" style="164" customWidth="1"/>
    <col min="15883" max="15883" width="4.7109375" style="164" customWidth="1"/>
    <col min="15884" max="15884" width="64.7109375" style="164" customWidth="1"/>
    <col min="15885" max="15885" width="9.7109375" style="164" customWidth="1"/>
    <col min="15886" max="15886" width="11.7109375" style="164" customWidth="1"/>
    <col min="15887" max="15887" width="18.7109375" style="164" customWidth="1"/>
    <col min="15888" max="16138" width="9.28515625" style="164" customWidth="1"/>
    <col min="16139" max="16139" width="4.7109375" style="164" customWidth="1"/>
    <col min="16140" max="16140" width="64.7109375" style="164" customWidth="1"/>
    <col min="16141" max="16141" width="9.7109375" style="164" customWidth="1"/>
    <col min="16142" max="16142" width="11.7109375" style="164" customWidth="1"/>
    <col min="16143" max="16143" width="18.7109375" style="164" customWidth="1"/>
    <col min="16144" max="16384" width="9.28515625" style="164" customWidth="1"/>
  </cols>
  <sheetData>
    <row r="1" spans="3:8" x14ac:dyDescent="0.25">
      <c r="C1" s="167"/>
      <c r="D1" s="167"/>
      <c r="E1" s="167"/>
      <c r="F1" s="167"/>
      <c r="G1" s="168"/>
      <c r="H1" s="169"/>
    </row>
    <row r="2" ht="18" customHeight="1" spans="1:20" s="90" customFormat="1" x14ac:dyDescent="0.25">
      <c r="A2" s="99"/>
      <c r="B2" s="93" t="s">
        <v>44</v>
      </c>
      <c r="C2" s="93"/>
      <c r="D2" s="93"/>
      <c r="E2" s="93"/>
      <c r="F2" s="93"/>
      <c r="G2" s="93"/>
      <c r="H2" s="93"/>
      <c r="J2" s="99"/>
      <c r="K2" s="99"/>
      <c r="L2" s="99"/>
      <c r="M2" s="99"/>
      <c r="N2" s="99"/>
      <c r="O2" s="99"/>
      <c r="T2" s="99"/>
    </row>
    <row r="3" ht="6" customHeight="1" spans="1:20" s="90" customFormat="1" x14ac:dyDescent="0.25">
      <c r="A3" s="99"/>
      <c r="B3" s="93"/>
      <c r="C3" s="93"/>
      <c r="D3" s="93"/>
      <c r="E3" s="93"/>
      <c r="F3" s="93"/>
      <c r="G3" s="93"/>
      <c r="H3" s="93"/>
      <c r="J3" s="99"/>
      <c r="K3" s="99"/>
      <c r="L3" s="99"/>
      <c r="M3" s="99"/>
      <c r="N3" s="99"/>
      <c r="O3" s="99"/>
      <c r="T3" s="99"/>
    </row>
    <row r="4" ht="15" customHeight="1" spans="1:20" s="90" customFormat="1" x14ac:dyDescent="0.25">
      <c r="A4" s="99"/>
      <c r="B4" s="170" t="s">
        <v>187</v>
      </c>
      <c r="C4" s="170"/>
      <c r="D4" s="170"/>
      <c r="E4" s="170"/>
      <c r="F4" s="170"/>
      <c r="G4" s="170"/>
      <c r="H4" s="170"/>
      <c r="I4" s="96"/>
      <c r="J4" s="96"/>
      <c r="K4" s="96"/>
      <c r="L4" s="96"/>
      <c r="M4" s="96"/>
      <c r="N4" s="96"/>
      <c r="O4" s="96"/>
      <c r="P4" s="171">
        <f>1261304</f>
        <v>1261304</v>
      </c>
      <c r="Q4" s="96"/>
      <c r="R4" s="96"/>
      <c r="S4" s="171">
        <v>15206817.99</v>
      </c>
      <c r="T4" s="99"/>
    </row>
    <row r="5" ht="15.75" customHeight="1" spans="1:20" s="90" customFormat="1" x14ac:dyDescent="0.25">
      <c r="A5" s="99"/>
      <c r="D5" s="172"/>
      <c r="E5" s="172"/>
      <c r="F5" s="172"/>
      <c r="G5" s="98" t="s">
        <v>134</v>
      </c>
      <c r="H5" s="99"/>
      <c r="J5" s="99"/>
      <c r="K5" s="99"/>
      <c r="L5" s="99"/>
      <c r="M5" s="99"/>
      <c r="N5" s="99"/>
      <c r="O5" s="99"/>
      <c r="P5" s="173" t="e">
        <f>P4/BS!E12</f>
        <v>#DIV/0!</v>
      </c>
      <c r="S5" s="173">
        <f>(S4-H15-H16)/S4</f>
        <v>1</v>
      </c>
      <c r="T5" s="99"/>
    </row>
    <row r="6" ht="22.15" customHeight="1" spans="2:16" x14ac:dyDescent="0.25">
      <c r="B6" s="100" t="s">
        <v>135</v>
      </c>
      <c r="C6" s="100"/>
      <c r="D6" s="100"/>
      <c r="E6" s="100"/>
      <c r="F6" s="100" t="s">
        <v>136</v>
      </c>
      <c r="G6" s="100" t="s">
        <v>188</v>
      </c>
      <c r="H6" s="100" t="s">
        <v>189</v>
      </c>
      <c r="I6" s="174"/>
      <c r="J6" s="175"/>
      <c r="K6" s="175"/>
      <c r="L6" s="175"/>
      <c r="M6" s="175"/>
      <c r="N6" s="175"/>
      <c r="O6" s="175"/>
      <c r="P6" s="175" t="e">
        <f>P5*10</f>
        <v>#DIV/0!</v>
      </c>
    </row>
    <row r="7" ht="16.5" customHeight="1" spans="2:18" x14ac:dyDescent="0.25">
      <c r="B7" s="100"/>
      <c r="C7" s="100"/>
      <c r="D7" s="100"/>
      <c r="E7" s="100"/>
      <c r="F7" s="103"/>
      <c r="G7" s="103"/>
      <c r="H7" s="103"/>
      <c r="R7" s="176">
        <v>23366245.88</v>
      </c>
    </row>
    <row r="8" ht="1.5" customHeight="1" hidden="1" spans="2:9" x14ac:dyDescent="0.25">
      <c r="B8" s="177"/>
      <c r="C8" s="178"/>
      <c r="D8" s="178"/>
      <c r="E8" s="179"/>
      <c r="F8" s="180"/>
      <c r="G8" s="181"/>
      <c r="H8" s="182"/>
      <c r="I8" s="183"/>
    </row>
    <row r="9" spans="2:22" x14ac:dyDescent="0.25">
      <c r="B9" s="184" t="s">
        <v>190</v>
      </c>
      <c r="C9" s="185" t="s">
        <v>191</v>
      </c>
      <c r="D9" s="186"/>
      <c r="E9" s="187"/>
      <c r="F9" s="188" t="s">
        <v>38</v>
      </c>
      <c r="G9" s="189">
        <v>2000000</v>
      </c>
      <c r="H9" s="189">
        <v>1800000</v>
      </c>
      <c r="J9" s="166"/>
      <c r="K9" s="166"/>
      <c r="L9" s="166"/>
      <c r="M9" s="166"/>
      <c r="N9" s="166"/>
      <c r="O9" s="166"/>
      <c r="P9" s="190">
        <f>H9*1%</f>
        <v>0</v>
      </c>
      <c r="V9" s="166"/>
    </row>
    <row r="10" ht="15" customHeight="1" spans="2:22" x14ac:dyDescent="0.25">
      <c r="B10" s="191" t="s">
        <v>192</v>
      </c>
      <c r="C10" s="192" t="s">
        <v>193</v>
      </c>
      <c r="D10" s="193"/>
      <c r="E10" s="194"/>
      <c r="F10" s="195" t="s">
        <v>38</v>
      </c>
      <c r="G10" s="136">
        <v>50000</v>
      </c>
      <c r="H10" s="136">
        <v>40000</v>
      </c>
      <c r="J10" s="166"/>
      <c r="K10" s="166"/>
      <c r="L10" s="166"/>
      <c r="M10" s="166"/>
      <c r="N10" s="166"/>
      <c r="O10" s="166"/>
      <c r="V10" s="196"/>
    </row>
    <row r="11" spans="2:15" x14ac:dyDescent="0.25">
      <c r="B11" s="197" t="s">
        <v>194</v>
      </c>
      <c r="C11" s="198" t="s">
        <v>195</v>
      </c>
      <c r="D11" s="193"/>
      <c r="E11" s="194"/>
      <c r="F11" s="199"/>
      <c r="G11" s="200">
        <f>SUM(G9:G10)</f>
        <v>0</v>
      </c>
      <c r="H11" s="200">
        <f>SUM(H9:H10)</f>
        <v>0</v>
      </c>
      <c r="J11" s="166"/>
      <c r="K11" s="201"/>
      <c r="L11" s="201"/>
      <c r="M11" s="201"/>
      <c r="N11" s="201"/>
      <c r="O11" s="201"/>
    </row>
    <row r="12" ht="9.95" customHeight="1" spans="2:8" x14ac:dyDescent="0.25">
      <c r="B12" s="202"/>
      <c r="C12" s="203"/>
      <c r="D12" s="193"/>
      <c r="E12" s="194"/>
      <c r="F12" s="199"/>
      <c r="G12" s="204"/>
      <c r="H12" s="204"/>
    </row>
    <row r="13" spans="2:8" x14ac:dyDescent="0.25">
      <c r="B13" s="197" t="s">
        <v>196</v>
      </c>
      <c r="C13" s="198" t="s">
        <v>197</v>
      </c>
      <c r="D13" s="193"/>
      <c r="E13" s="194"/>
      <c r="F13" s="199"/>
      <c r="G13" s="204"/>
      <c r="H13" s="204"/>
    </row>
    <row r="14" ht="15" customHeight="1" spans="2:8" x14ac:dyDescent="0.25">
      <c r="B14" s="202"/>
      <c r="C14" s="143" t="s">
        <v>198</v>
      </c>
      <c r="D14" s="193"/>
      <c r="E14" s="194"/>
      <c r="F14" s="199" t="s">
        <v>38</v>
      </c>
      <c r="G14" s="204">
        <v>0</v>
      </c>
      <c r="H14" s="204">
        <v>0</v>
      </c>
    </row>
    <row r="15" ht="15" customHeight="1" spans="2:22" x14ac:dyDescent="0.25">
      <c r="B15" s="205"/>
      <c r="C15" s="143" t="s">
        <v>199</v>
      </c>
      <c r="D15" s="143"/>
      <c r="E15" s="122"/>
      <c r="F15" s="206" t="s">
        <v>38</v>
      </c>
      <c r="G15" s="120">
        <v>0</v>
      </c>
      <c r="H15" s="120">
        <v>0</v>
      </c>
      <c r="J15" s="166"/>
      <c r="K15" s="166"/>
      <c r="L15" s="166"/>
      <c r="M15" s="166"/>
      <c r="N15" s="166"/>
      <c r="O15" s="166"/>
      <c r="P15" s="207" t="e">
        <f>J15/H9</f>
        <v>#DIV/0!</v>
      </c>
      <c r="Q15" s="166"/>
      <c r="R15" s="176" t="s">
        <v>200</v>
      </c>
      <c r="T15" s="176">
        <v>1295973.117</v>
      </c>
      <c r="V15" s="166"/>
    </row>
    <row r="16" ht="25.5" customHeight="1" spans="2:25" x14ac:dyDescent="0.25">
      <c r="B16" s="205"/>
      <c r="C16" s="208" t="s">
        <v>201</v>
      </c>
      <c r="D16" s="208"/>
      <c r="E16" s="209"/>
      <c r="F16" s="210" t="s">
        <v>38</v>
      </c>
      <c r="G16" s="211">
        <f>'Note PL'!F47</f>
        <v>0</v>
      </c>
      <c r="H16" s="211">
        <f>'Note PL'!G47</f>
        <v>0</v>
      </c>
      <c r="J16" s="166"/>
      <c r="K16" s="166"/>
      <c r="L16" s="166"/>
      <c r="M16" s="166"/>
      <c r="N16" s="166"/>
      <c r="O16" s="166"/>
      <c r="X16" s="212" t="s">
        <v>202</v>
      </c>
      <c r="Y16" s="176">
        <v>4874197.76</v>
      </c>
    </row>
    <row r="17" ht="15" customHeight="1" spans="2:25" x14ac:dyDescent="0.25">
      <c r="B17" s="205"/>
      <c r="C17" s="163" t="s">
        <v>203</v>
      </c>
      <c r="D17" s="143"/>
      <c r="E17" s="122"/>
      <c r="F17" s="206" t="s">
        <v>38</v>
      </c>
      <c r="G17" s="120">
        <v>800000</v>
      </c>
      <c r="H17" s="120">
        <v>750000</v>
      </c>
      <c r="J17" s="166"/>
      <c r="K17" s="166"/>
      <c r="L17" s="166"/>
      <c r="M17" s="166"/>
      <c r="N17" s="166"/>
      <c r="O17" s="166"/>
      <c r="R17" s="176">
        <f>3520756</f>
        <v>3520756</v>
      </c>
      <c r="S17" s="212">
        <f>G17-R17</f>
        <v>-3520756</v>
      </c>
      <c r="V17" s="166"/>
      <c r="X17" s="213" t="s">
        <v>204</v>
      </c>
      <c r="Y17" s="212">
        <f>Y16-G20</f>
        <v>4874197.76</v>
      </c>
    </row>
    <row r="18" ht="15" customHeight="1" spans="2:25" x14ac:dyDescent="0.25">
      <c r="B18" s="205"/>
      <c r="C18" s="163" t="s">
        <v>205</v>
      </c>
      <c r="D18" s="143"/>
      <c r="E18" s="122"/>
      <c r="F18" s="206" t="s">
        <v>38</v>
      </c>
      <c r="G18" s="120">
        <v>50000</v>
      </c>
      <c r="H18" s="120">
        <v>45000</v>
      </c>
      <c r="J18" s="166"/>
      <c r="K18" s="166"/>
      <c r="L18" s="166"/>
      <c r="M18" s="166"/>
      <c r="N18" s="166"/>
      <c r="O18" s="166"/>
      <c r="S18" s="166"/>
      <c r="V18" s="166"/>
      <c r="X18" s="214"/>
      <c r="Y18" s="166"/>
    </row>
    <row r="19" ht="15" customHeight="1" spans="2:25" x14ac:dyDescent="0.25">
      <c r="B19" s="205"/>
      <c r="C19" s="215" t="s">
        <v>206</v>
      </c>
      <c r="D19" s="143"/>
      <c r="E19" s="122"/>
      <c r="F19" s="195" t="s">
        <v>38</v>
      </c>
      <c r="G19" s="136">
        <v>100000</v>
      </c>
      <c r="H19" s="136">
        <v>100000</v>
      </c>
      <c r="J19" s="166"/>
      <c r="K19" s="166"/>
      <c r="L19" s="166"/>
      <c r="M19" s="166"/>
      <c r="N19" s="166"/>
      <c r="O19" s="166"/>
      <c r="P19" s="216">
        <f>SUM(G17:G20)</f>
        <v>0</v>
      </c>
      <c r="U19" s="176">
        <v>8504233.76</v>
      </c>
      <c r="V19" s="166"/>
      <c r="X19" s="176" t="s">
        <v>207</v>
      </c>
      <c r="Y19" s="176"/>
    </row>
    <row r="20" spans="2:25" x14ac:dyDescent="0.25">
      <c r="B20" s="205"/>
      <c r="C20" s="192" t="s">
        <v>208</v>
      </c>
      <c r="D20" s="143"/>
      <c r="E20" s="122"/>
      <c r="F20" s="195" t="s">
        <v>38</v>
      </c>
      <c r="G20" s="136">
        <v>563067</v>
      </c>
      <c r="H20" s="136">
        <v>545000</v>
      </c>
      <c r="J20" s="166"/>
      <c r="K20" s="166"/>
      <c r="L20" s="166"/>
      <c r="M20" s="166"/>
      <c r="N20" s="166"/>
      <c r="O20" s="166"/>
      <c r="P20" s="216">
        <v>6724162.01</v>
      </c>
      <c r="R20" s="176">
        <v>4874197.76</v>
      </c>
      <c r="S20" s="212">
        <f>G20-R20</f>
        <v>-4874197.76</v>
      </c>
      <c r="U20" s="212">
        <f>U19-G20-G19-G17</f>
        <v>8504233.76</v>
      </c>
      <c r="V20" s="166"/>
      <c r="X20" s="176" t="s">
        <v>209</v>
      </c>
      <c r="Y20" s="212"/>
    </row>
    <row r="21" ht="12" customHeight="1" spans="2:25" x14ac:dyDescent="0.25">
      <c r="B21" s="202"/>
      <c r="C21" s="198" t="s">
        <v>210</v>
      </c>
      <c r="D21" s="193"/>
      <c r="E21" s="194"/>
      <c r="F21" s="199" t="s">
        <v>38</v>
      </c>
      <c r="G21" s="140">
        <v>0</v>
      </c>
      <c r="H21" s="140">
        <v>0</v>
      </c>
      <c r="K21" s="217"/>
      <c r="L21" s="217"/>
      <c r="M21" s="217"/>
      <c r="N21" s="217"/>
      <c r="O21" s="217"/>
      <c r="R21" s="176">
        <v>4821819</v>
      </c>
      <c r="S21" s="212">
        <f>G23-R21</f>
        <v>-4821819</v>
      </c>
      <c r="V21" s="165"/>
      <c r="X21" s="212" t="s">
        <v>211</v>
      </c>
      <c r="Y21" s="176">
        <v>203971.0943206827</v>
      </c>
    </row>
    <row r="22" ht="9.95" customHeight="1" spans="2:25" x14ac:dyDescent="0.25">
      <c r="B22" s="202"/>
      <c r="C22" s="203"/>
      <c r="D22" s="193"/>
      <c r="E22" s="194"/>
      <c r="F22" s="199"/>
      <c r="G22" s="120"/>
      <c r="H22" s="120"/>
      <c r="P22" s="166"/>
      <c r="U22" s="212" t="e">
        <f>U20-#REF!</f>
        <v>#REF!</v>
      </c>
      <c r="V22" s="218"/>
      <c r="X22" s="212" t="s">
        <v>212</v>
      </c>
      <c r="Y22" s="212"/>
    </row>
    <row r="23" spans="2:25" x14ac:dyDescent="0.25">
      <c r="B23" s="219" t="s">
        <v>213</v>
      </c>
      <c r="C23" s="220" t="s">
        <v>214</v>
      </c>
      <c r="D23" s="193"/>
      <c r="E23" s="194"/>
      <c r="F23" s="199"/>
      <c r="G23" s="120">
        <f>G11-G21</f>
        <v>0</v>
      </c>
      <c r="H23" s="120">
        <f>H11-H21</f>
        <v>0</v>
      </c>
      <c r="P23" s="212">
        <f>H23*5%</f>
        <v>0</v>
      </c>
      <c r="Q23" s="176" t="s">
        <v>215</v>
      </c>
      <c r="R23" s="176">
        <v>23178517</v>
      </c>
      <c r="S23" s="176">
        <f>S21*26%</f>
        <v>-1253672.94</v>
      </c>
      <c r="U23" s="166"/>
      <c r="V23" s="218"/>
      <c r="X23" s="166"/>
      <c r="Y23" s="166"/>
    </row>
    <row r="24" ht="12" customHeight="1" spans="2:25" x14ac:dyDescent="0.25">
      <c r="B24" s="219"/>
      <c r="C24" s="151" t="s">
        <v>216</v>
      </c>
      <c r="D24" s="193"/>
      <c r="E24" s="194"/>
      <c r="F24" s="199"/>
      <c r="G24" s="120"/>
      <c r="H24" s="120"/>
      <c r="P24" s="166"/>
      <c r="U24" s="166"/>
      <c r="V24" s="218"/>
      <c r="X24" s="166"/>
      <c r="Y24" s="166"/>
    </row>
    <row r="25" spans="2:22" x14ac:dyDescent="0.25">
      <c r="B25" s="219" t="s">
        <v>217</v>
      </c>
      <c r="C25" s="203" t="s">
        <v>218</v>
      </c>
      <c r="D25" s="193"/>
      <c r="E25" s="194"/>
      <c r="F25" s="199"/>
      <c r="G25" s="120"/>
      <c r="H25" s="120"/>
      <c r="I25" s="166"/>
      <c r="J25" s="165"/>
      <c r="K25" s="166"/>
      <c r="L25" s="166"/>
      <c r="M25" s="166"/>
      <c r="N25" s="166"/>
      <c r="O25" s="166"/>
      <c r="P25" s="165"/>
      <c r="S25" s="165"/>
      <c r="V25" s="218"/>
    </row>
    <row r="26" spans="2:25" x14ac:dyDescent="0.25">
      <c r="B26" s="219" t="s">
        <v>219</v>
      </c>
      <c r="C26" s="220" t="s">
        <v>220</v>
      </c>
      <c r="D26" s="193"/>
      <c r="E26" s="194"/>
      <c r="F26" s="199"/>
      <c r="G26" s="120"/>
      <c r="H26" s="120"/>
      <c r="P26" s="166"/>
      <c r="U26" s="166"/>
      <c r="V26" s="218"/>
      <c r="X26" s="166"/>
      <c r="Y26" s="166"/>
    </row>
    <row r="27" spans="2:22" x14ac:dyDescent="0.25">
      <c r="B27" s="219" t="s">
        <v>221</v>
      </c>
      <c r="C27" s="203" t="s">
        <v>222</v>
      </c>
      <c r="D27" s="193"/>
      <c r="E27" s="194"/>
      <c r="F27" s="199"/>
      <c r="G27" s="120">
        <v>0</v>
      </c>
      <c r="H27" s="120">
        <v>0</v>
      </c>
      <c r="I27" s="166"/>
      <c r="J27" s="165"/>
      <c r="K27" s="166"/>
      <c r="L27" s="166"/>
      <c r="M27" s="166"/>
      <c r="N27" s="166"/>
      <c r="O27" s="166"/>
      <c r="P27" s="165"/>
      <c r="S27" s="165"/>
      <c r="V27" s="218"/>
    </row>
    <row r="28" spans="2:24" x14ac:dyDescent="0.25">
      <c r="B28" s="219" t="s">
        <v>223</v>
      </c>
      <c r="C28" s="221" t="s">
        <v>224</v>
      </c>
      <c r="D28" s="164"/>
      <c r="E28" s="222"/>
      <c r="F28" s="199"/>
      <c r="G28" s="223">
        <f>G23-G27</f>
        <v>0</v>
      </c>
      <c r="H28" s="223">
        <f>H23-H27</f>
        <v>0</v>
      </c>
      <c r="P28" s="196"/>
      <c r="R28" s="212">
        <f>G21-R23</f>
        <v>-23178517</v>
      </c>
      <c r="V28" s="214"/>
      <c r="W28" s="224"/>
      <c r="X28" s="166"/>
    </row>
    <row r="29" ht="12" customHeight="1" spans="2:24" x14ac:dyDescent="0.25">
      <c r="B29" s="219" t="s">
        <v>225</v>
      </c>
      <c r="C29" s="220" t="s">
        <v>226</v>
      </c>
      <c r="D29" s="193"/>
      <c r="E29" s="194"/>
      <c r="F29" s="199" t="s">
        <v>38</v>
      </c>
      <c r="G29" s="204"/>
      <c r="H29" s="204"/>
      <c r="I29" s="166"/>
      <c r="J29" s="166"/>
      <c r="K29" s="166"/>
      <c r="L29" s="166"/>
      <c r="M29" s="166"/>
      <c r="N29" s="166"/>
      <c r="O29" s="166"/>
      <c r="S29" s="176">
        <v>1247640</v>
      </c>
      <c r="T29" s="225">
        <f>G30-S29</f>
        <v>-1247640</v>
      </c>
      <c r="V29" s="214"/>
      <c r="X29" s="166"/>
    </row>
    <row r="30" spans="2:24" x14ac:dyDescent="0.25">
      <c r="B30" s="219"/>
      <c r="C30" s="215" t="s">
        <v>227</v>
      </c>
      <c r="D30" s="193"/>
      <c r="E30" s="194"/>
      <c r="F30" s="226"/>
      <c r="G30" s="136">
        <v>0</v>
      </c>
      <c r="H30" s="136">
        <v>0</v>
      </c>
      <c r="I30" s="166"/>
      <c r="J30" s="165"/>
      <c r="K30" s="165"/>
      <c r="L30" s="165"/>
      <c r="M30" s="165"/>
      <c r="N30" s="165"/>
      <c r="O30" s="165"/>
      <c r="P30" s="227">
        <f>482100-G23</f>
        <v>482100</v>
      </c>
      <c r="U30" s="165"/>
      <c r="X30" s="166"/>
    </row>
    <row r="31" spans="2:24" x14ac:dyDescent="0.25">
      <c r="B31" s="219"/>
      <c r="C31" s="203" t="s">
        <v>228</v>
      </c>
      <c r="D31" s="193"/>
      <c r="E31" s="194"/>
      <c r="F31" s="226"/>
      <c r="G31" s="204">
        <v>0</v>
      </c>
      <c r="H31" s="204">
        <v>0</v>
      </c>
      <c r="I31" s="166"/>
      <c r="P31" s="190">
        <f>P30*26%</f>
        <v>125346</v>
      </c>
      <c r="X31" s="166"/>
    </row>
    <row r="32" spans="2:19" x14ac:dyDescent="0.25">
      <c r="B32" s="228" t="s">
        <v>229</v>
      </c>
      <c r="C32" s="220" t="s">
        <v>230</v>
      </c>
      <c r="D32" s="143"/>
      <c r="E32" s="122"/>
      <c r="F32" s="206"/>
      <c r="G32" s="124"/>
      <c r="H32" s="124"/>
      <c r="J32" s="214"/>
      <c r="P32" s="218"/>
      <c r="S32" s="212">
        <f>S21-T29</f>
        <v>-3574179</v>
      </c>
    </row>
    <row r="33" ht="12" customHeight="1" spans="2:19" x14ac:dyDescent="0.25">
      <c r="B33" s="228"/>
      <c r="C33" s="151" t="s">
        <v>231</v>
      </c>
      <c r="D33" s="143"/>
      <c r="E33" s="122"/>
      <c r="F33" s="206"/>
      <c r="G33" s="124"/>
      <c r="H33" s="124"/>
      <c r="J33" s="214"/>
      <c r="P33" s="218"/>
      <c r="S33" s="166"/>
    </row>
    <row r="34" spans="2:19" x14ac:dyDescent="0.25">
      <c r="B34" s="228" t="s">
        <v>232</v>
      </c>
      <c r="C34" s="203" t="s">
        <v>233</v>
      </c>
      <c r="D34" s="143"/>
      <c r="E34" s="122"/>
      <c r="F34" s="206"/>
      <c r="G34" s="124"/>
      <c r="H34" s="124"/>
      <c r="J34" s="214"/>
      <c r="P34" s="218"/>
      <c r="S34" s="166"/>
    </row>
    <row r="35" spans="2:19" x14ac:dyDescent="0.25">
      <c r="B35" s="228" t="s">
        <v>234</v>
      </c>
      <c r="C35" s="203" t="s">
        <v>235</v>
      </c>
      <c r="D35" s="143"/>
      <c r="E35" s="122"/>
      <c r="F35" s="206"/>
      <c r="G35" s="124"/>
      <c r="H35" s="124"/>
      <c r="J35" s="214"/>
      <c r="P35" s="218"/>
      <c r="S35" s="166"/>
    </row>
    <row r="36" spans="2:19" x14ac:dyDescent="0.25">
      <c r="B36" s="228" t="s">
        <v>236</v>
      </c>
      <c r="C36" s="220" t="s">
        <v>237</v>
      </c>
      <c r="D36" s="143"/>
      <c r="E36" s="122"/>
      <c r="F36" s="206"/>
      <c r="G36" s="124"/>
      <c r="H36" s="124"/>
      <c r="J36" s="214"/>
      <c r="P36" s="218"/>
      <c r="S36" s="166"/>
    </row>
    <row r="37" ht="12" customHeight="1" spans="2:19" x14ac:dyDescent="0.25">
      <c r="B37" s="228"/>
      <c r="C37" s="220" t="s">
        <v>238</v>
      </c>
      <c r="D37" s="143"/>
      <c r="E37" s="122"/>
      <c r="F37" s="206"/>
      <c r="G37" s="124"/>
      <c r="H37" s="124"/>
      <c r="J37" s="214"/>
      <c r="P37" s="218"/>
      <c r="S37" s="166"/>
    </row>
    <row r="38" ht="12" customHeight="1" spans="2:22" x14ac:dyDescent="0.25">
      <c r="B38" s="228" t="s">
        <v>239</v>
      </c>
      <c r="C38" s="151" t="s">
        <v>240</v>
      </c>
      <c r="D38" s="151"/>
      <c r="E38" s="229"/>
      <c r="F38" s="230"/>
      <c r="G38" s="231">
        <f>G28-G30+G31</f>
        <v>0</v>
      </c>
      <c r="H38" s="231">
        <f>H28-SUM(H30:H31)</f>
        <v>0</v>
      </c>
      <c r="I38" s="166"/>
      <c r="V38" s="166"/>
    </row>
    <row r="39" ht="5.1" customHeight="1" spans="2:10" x14ac:dyDescent="0.25">
      <c r="B39" s="232"/>
      <c r="C39" s="143"/>
      <c r="D39" s="143"/>
      <c r="E39" s="122"/>
      <c r="F39" s="230"/>
      <c r="G39" s="120"/>
      <c r="H39" s="120"/>
      <c r="J39" s="214"/>
    </row>
    <row r="40" spans="2:8" x14ac:dyDescent="0.25">
      <c r="B40" s="205"/>
      <c r="C40" s="151" t="s">
        <v>241</v>
      </c>
      <c r="D40" s="143"/>
      <c r="E40" s="122"/>
      <c r="F40" s="206" t="s">
        <v>38</v>
      </c>
      <c r="G40" s="120"/>
      <c r="H40" s="120"/>
    </row>
    <row r="41" spans="2:16" x14ac:dyDescent="0.25">
      <c r="B41" s="205"/>
      <c r="C41" s="143" t="s">
        <v>242</v>
      </c>
      <c r="D41" s="143"/>
      <c r="E41" s="122"/>
      <c r="F41" s="206"/>
      <c r="G41" s="120">
        <f>IFERROR(G38/'Note BS-Liab'!G21,0)</f>
        <v>0</v>
      </c>
      <c r="H41" s="120">
        <f>IFERROR(H38/'Note BS-Liab'!H21,0)</f>
        <v>0</v>
      </c>
      <c r="I41" s="165"/>
      <c r="J41" s="165"/>
      <c r="K41" s="165"/>
      <c r="L41" s="165"/>
      <c r="M41" s="165"/>
      <c r="N41" s="165"/>
      <c r="O41" s="165"/>
      <c r="P41" s="190" t="e">
        <f>G38/BS!E12*10</f>
        <v>#DIV/0!</v>
      </c>
    </row>
    <row r="42" spans="2:16" x14ac:dyDescent="0.25">
      <c r="B42" s="205"/>
      <c r="C42" s="143" t="s">
        <v>243</v>
      </c>
      <c r="D42" s="143"/>
      <c r="E42" s="122"/>
      <c r="F42" s="206"/>
      <c r="G42" s="120"/>
      <c r="H42" s="120"/>
      <c r="I42" s="165"/>
      <c r="J42" s="165"/>
      <c r="K42" s="165"/>
      <c r="L42" s="165"/>
      <c r="M42" s="165"/>
      <c r="N42" s="165"/>
      <c r="O42" s="165"/>
      <c r="P42" s="165"/>
    </row>
    <row r="43" ht="5.1" customHeight="1" spans="2:8" x14ac:dyDescent="0.25">
      <c r="B43" s="233"/>
      <c r="C43" s="234"/>
      <c r="D43" s="234"/>
      <c r="E43" s="235"/>
      <c r="F43" s="236"/>
      <c r="G43" s="237"/>
      <c r="H43" s="237"/>
    </row>
    <row r="44" spans="3:8" x14ac:dyDescent="0.25">
      <c r="C44" s="143" t="s">
        <v>175</v>
      </c>
      <c r="D44" s="193"/>
      <c r="E44" s="123"/>
      <c r="F44" s="123"/>
      <c r="G44" s="238"/>
      <c r="H44" s="239"/>
    </row>
    <row r="45" ht="5.1" customHeight="1" spans="3:8" x14ac:dyDescent="0.25">
      <c r="C45" s="143"/>
      <c r="D45" s="193"/>
      <c r="E45" s="123"/>
      <c r="F45" s="123"/>
      <c r="G45" s="238"/>
      <c r="H45" s="239"/>
    </row>
    <row r="46" spans="3:8" x14ac:dyDescent="0.25">
      <c r="C46" s="143" t="s">
        <v>176</v>
      </c>
      <c r="D46" s="193"/>
      <c r="E46" s="123"/>
      <c r="F46" s="123"/>
      <c r="G46" s="238"/>
      <c r="H46" s="239"/>
    </row>
    <row r="47" ht="5.1" customHeight="1" spans="3:8" x14ac:dyDescent="0.25">
      <c r="C47" s="193"/>
      <c r="D47" s="143"/>
      <c r="E47" s="143"/>
      <c r="F47" s="143"/>
      <c r="G47" s="159"/>
      <c r="H47" s="158"/>
    </row>
    <row r="48" ht="12.95" customHeight="1" spans="3:8" x14ac:dyDescent="0.25">
      <c r="C48" s="151" t="str">
        <f>BS!B59</f>
        <v>For [STATUTORY AUDITOR NAME]</v>
      </c>
      <c r="D48" s="143"/>
      <c r="E48" s="193"/>
      <c r="F48" s="143" t="s">
        <v>178</v>
      </c>
      <c r="G48" s="159"/>
      <c r="H48" s="158"/>
    </row>
    <row r="49" ht="12.95" customHeight="1" spans="3:8" x14ac:dyDescent="0.25">
      <c r="C49" s="143" t="s">
        <v>179</v>
      </c>
      <c r="D49" s="143"/>
      <c r="E49" s="193"/>
      <c r="F49" s="151" t="str">
        <f>B2</f>
        <v>[NAME OF THE COMPANY]</v>
      </c>
      <c r="G49" s="159"/>
      <c r="H49" s="158"/>
    </row>
    <row r="50" ht="12.95" customHeight="1" spans="3:8" x14ac:dyDescent="0.25">
      <c r="C50" s="143" t="str">
        <f>BS!B61</f>
        <v>Firm's Registration No.: [FRN]</v>
      </c>
      <c r="D50" s="158"/>
      <c r="E50" s="143"/>
      <c r="F50" s="158"/>
      <c r="G50" s="159"/>
      <c r="H50" s="158"/>
    </row>
    <row r="51" spans="3:8" x14ac:dyDescent="0.25">
      <c r="C51" s="143"/>
      <c r="D51" s="158"/>
      <c r="E51" s="143"/>
      <c r="F51" s="158"/>
      <c r="G51" s="159"/>
      <c r="H51" s="158"/>
    </row>
    <row r="52" spans="3:8" x14ac:dyDescent="0.25">
      <c r="C52" s="143"/>
      <c r="D52" s="158"/>
      <c r="E52" s="143"/>
      <c r="F52" s="158"/>
      <c r="G52" s="159"/>
      <c r="H52" s="158"/>
    </row>
    <row r="53" spans="3:8" x14ac:dyDescent="0.25">
      <c r="C53" s="143"/>
      <c r="D53" s="158"/>
      <c r="E53" s="143"/>
      <c r="F53" s="158"/>
      <c r="G53" s="159"/>
      <c r="H53" s="158"/>
    </row>
    <row r="54" spans="3:8" x14ac:dyDescent="0.25">
      <c r="C54" s="151" t="str">
        <f>BS!B65</f>
        <v>[SIGNING PARTNER / PROPRIETOR]</v>
      </c>
      <c r="D54" s="143"/>
      <c r="E54" s="193"/>
      <c r="F54" s="240" t="str">
        <f>BS!D65</f>
        <v>[DIRECTOR NAME]</v>
      </c>
      <c r="G54" s="157"/>
      <c r="H54" s="240" t="str">
        <f>BS!F65</f>
        <v>[DIRECTOR NAME]</v>
      </c>
    </row>
    <row r="55" ht="12.95" customHeight="1" spans="3:8" x14ac:dyDescent="0.25">
      <c r="C55" s="143" t="s">
        <v>181</v>
      </c>
      <c r="D55" s="143"/>
      <c r="E55" s="193"/>
      <c r="F55" s="143" t="s">
        <v>182</v>
      </c>
      <c r="G55" s="159"/>
      <c r="H55" s="143" t="s">
        <v>182</v>
      </c>
    </row>
    <row r="56" ht="12.95" customHeight="1" spans="3:8" x14ac:dyDescent="0.25">
      <c r="C56" s="143" t="str">
        <f>BS!B67</f>
        <v>Membership No.: 602XXX</v>
      </c>
      <c r="D56" s="143"/>
      <c r="E56" s="193"/>
      <c r="F56" s="160" t="str">
        <f>BS!D67</f>
        <v>DIN:</v>
      </c>
      <c r="G56" s="159"/>
      <c r="H56" s="160" t="str">
        <f>BS!F67</f>
        <v>DIN:</v>
      </c>
    </row>
    <row r="57" ht="12.95" customHeight="1" spans="3:8" x14ac:dyDescent="0.25">
      <c r="C57" s="143" t="str">
        <f>BS!B69</f>
        <v>Place: [PLACE]</v>
      </c>
      <c r="D57" s="160"/>
      <c r="E57" s="143"/>
      <c r="F57" s="160" t="str">
        <f>BS!D69</f>
        <v>Place: [PLACE]</v>
      </c>
      <c r="G57" s="158"/>
      <c r="H57" s="160" t="str">
        <f>BS!F69</f>
        <v>Place: [PLACE]</v>
      </c>
    </row>
    <row r="58" ht="12.95" customHeight="1" spans="3:8" x14ac:dyDescent="0.25">
      <c r="C58" s="160" t="str">
        <f>BS!B70</f>
        <v>Date:</v>
      </c>
      <c r="D58" s="161"/>
      <c r="E58" s="143"/>
      <c r="F58" s="160" t="str">
        <f>BS!D70</f>
        <v>Date:</v>
      </c>
      <c r="G58" s="158"/>
      <c r="H58" s="160" t="str">
        <f>BS!F70</f>
        <v>Date:</v>
      </c>
    </row>
    <row r="59" hidden="1" spans="3:15" x14ac:dyDescent="0.25">
      <c r="C59" s="241"/>
      <c r="D59" s="242"/>
      <c r="E59" s="241"/>
      <c r="F59" s="90"/>
      <c r="G59" s="243"/>
      <c r="H59" s="244"/>
      <c r="I59" s="90"/>
      <c r="J59" s="90"/>
      <c r="K59" s="90"/>
      <c r="L59" s="90"/>
      <c r="M59" s="90"/>
      <c r="N59" s="90"/>
      <c r="O59" s="90"/>
    </row>
  </sheetData>
  <mergeCells count="10">
    <mergeCell ref="B2:H2"/>
    <mergeCell ref="B4:H4"/>
    <mergeCell ref="G5:H5"/>
    <mergeCell ref="B6:E7"/>
    <mergeCell ref="F6:F7"/>
    <mergeCell ref="G6:G7"/>
    <mergeCell ref="H6:H7"/>
    <mergeCell ref="C16:E16"/>
    <mergeCell ref="C28:E28"/>
    <mergeCell ref="F29:F31"/>
  </mergeCells>
  <printOptions horizontalCentered="1"/>
  <pageMargins left="0.35" right="0.35" top="0.55" bottom="0.55" header="0.2" footer="0.2"/>
  <pageSetup paperSize="9" orientation="portrait" horizontalDpi="4294967295" verticalDpi="4294967295" scale="100" fitToWidth="1" fitToHeight="0" firstPageNumber="1" useFirstPageNumber="1" copies="1"/>
  <headerFooter>
    <oddFooter>&amp;LCAFlow template&amp;RPage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60"/>
  <sheetViews>
    <sheetView workbookViewId="0" showGridLines="0" zoomScale="100" zoomScaleNormal="100" view="pageBreakPreview">
      <selection activeCell="L9" sqref="L9"/>
    </sheetView>
  </sheetViews>
  <sheetFormatPr defaultRowHeight="15" outlineLevelRow="0" outlineLevelCol="0" x14ac:dyDescent="0" defaultColWidth="9.140625"/>
  <cols>
    <col min="1" max="1" width="3.42578125" style="245" customWidth="1"/>
    <col min="2" max="2" width="2.42578125" style="245" customWidth="1"/>
    <col min="3" max="3" width="19.28515625" style="245" customWidth="1"/>
    <col min="4" max="4" width="14.7109375" style="245" customWidth="1"/>
    <col min="5" max="5" width="12.7109375" style="245" customWidth="1"/>
    <col min="6" max="6" width="3.28515625" style="245" customWidth="1"/>
    <col min="7" max="7" width="9.28515625" style="245" customWidth="1"/>
    <col min="8" max="8" width="14.7109375" style="245" customWidth="1"/>
    <col min="9" max="9" width="15.42578125" style="246" customWidth="1"/>
    <col min="10" max="10" width="2.28515625" style="246" customWidth="1"/>
    <col min="11" max="11" width="13" customWidth="1"/>
    <col min="12" max="12" width="13.28515625" style="246" customWidth="1"/>
    <col min="13" max="13" width="16.5703125" style="245" customWidth="1"/>
    <col min="14" max="14" width="12.5703125" style="245" customWidth="1"/>
    <col min="15" max="15" width="11.7109375" style="245" customWidth="1"/>
    <col min="16" max="16" width="9.28515625" style="245" customWidth="1"/>
    <col min="17" max="17" width="13" customWidth="1"/>
    <col min="18" max="18" width="12.28515625" style="245" customWidth="1"/>
    <col min="19" max="19" width="9.42578125" style="245" customWidth="1"/>
    <col min="20" max="20" width="20.42578125" style="245" customWidth="1"/>
    <col min="21" max="21" width="12.7109375" style="247" customWidth="1"/>
    <col min="22" max="22" width="9.7109375" style="245" customWidth="1"/>
    <col min="23" max="23" width="9.28515625" style="245" customWidth="1"/>
    <col min="24" max="16383" width="9.140625" style="245" customWidth="1"/>
    <col min="16384" max="16384" width="79.5703125" style="245" customWidth="1"/>
  </cols>
  <sheetData>
    <row r="1" ht="19.5" customHeight="1" spans="1:21" s="90" customFormat="1" x14ac:dyDescent="0.25">
      <c r="A1" s="94"/>
      <c r="B1" s="93" t="s">
        <v>44</v>
      </c>
      <c r="C1" s="93"/>
      <c r="D1" s="93"/>
      <c r="E1" s="93"/>
      <c r="F1" s="93"/>
      <c r="G1" s="93"/>
      <c r="H1" s="93"/>
      <c r="I1" s="93"/>
      <c r="J1" s="248"/>
      <c r="K1" s="248"/>
      <c r="L1" s="92"/>
      <c r="Q1" s="99"/>
      <c r="U1" s="91"/>
    </row>
    <row r="2" ht="6" customHeight="1" spans="1:21" s="90" customFormat="1" x14ac:dyDescent="0.25">
      <c r="A2" s="96"/>
      <c r="B2" s="171"/>
      <c r="C2" s="95"/>
      <c r="D2" s="95"/>
      <c r="E2" s="95"/>
      <c r="F2" s="95"/>
      <c r="G2" s="95"/>
      <c r="H2" s="95"/>
      <c r="I2" s="95"/>
      <c r="J2" s="171"/>
      <c r="K2" s="171"/>
      <c r="L2" s="171"/>
      <c r="Q2" s="99"/>
      <c r="U2" s="91"/>
    </row>
    <row r="3" ht="15.75" customHeight="1" spans="1:21" s="90" customFormat="1" x14ac:dyDescent="0.25">
      <c r="A3" s="96"/>
      <c r="B3" s="170" t="s">
        <v>244</v>
      </c>
      <c r="C3" s="170"/>
      <c r="D3" s="170"/>
      <c r="E3" s="170"/>
      <c r="F3" s="170"/>
      <c r="G3" s="170"/>
      <c r="H3" s="170"/>
      <c r="I3" s="170"/>
      <c r="J3" s="248"/>
      <c r="K3" s="248"/>
      <c r="L3" s="92"/>
      <c r="Q3" s="99"/>
      <c r="U3" s="91"/>
    </row>
    <row r="4" ht="12.6" customHeight="1" spans="2:11" x14ac:dyDescent="0.25">
      <c r="B4" s="90"/>
      <c r="C4" s="98"/>
      <c r="D4" s="90"/>
      <c r="E4" s="90"/>
      <c r="F4" s="90"/>
      <c r="G4" s="90"/>
      <c r="H4" s="98" t="s">
        <v>134</v>
      </c>
      <c r="I4" s="99"/>
      <c r="J4" s="249"/>
      <c r="K4" s="249"/>
    </row>
    <row r="5" ht="15.75" customHeight="1" spans="2:12" x14ac:dyDescent="0.25">
      <c r="B5" s="101" t="s">
        <v>135</v>
      </c>
      <c r="C5" s="101"/>
      <c r="D5" s="101"/>
      <c r="E5" s="101"/>
      <c r="F5" s="101"/>
      <c r="G5" s="101"/>
      <c r="H5" s="100" t="s">
        <v>245</v>
      </c>
      <c r="I5" s="100" t="s">
        <v>246</v>
      </c>
      <c r="J5" s="250"/>
      <c r="K5" s="250"/>
      <c r="L5" s="251"/>
    </row>
    <row r="6" ht="12" customHeight="1" spans="2:11" x14ac:dyDescent="0.25">
      <c r="B6" s="101"/>
      <c r="C6" s="101"/>
      <c r="D6" s="101"/>
      <c r="E6" s="101"/>
      <c r="F6" s="101"/>
      <c r="G6" s="101"/>
      <c r="H6" s="103"/>
      <c r="I6" s="103"/>
      <c r="J6" s="250"/>
      <c r="K6" s="250"/>
    </row>
    <row r="7" ht="5.1" customHeight="1" spans="2:11" x14ac:dyDescent="0.25">
      <c r="B7" s="252"/>
      <c r="C7" s="253"/>
      <c r="D7" s="254"/>
      <c r="E7" s="254"/>
      <c r="F7" s="254"/>
      <c r="G7" s="255"/>
      <c r="H7" s="256"/>
      <c r="I7" s="256"/>
      <c r="J7" s="250"/>
      <c r="K7" s="250"/>
    </row>
    <row r="8" spans="2:11" x14ac:dyDescent="0.25">
      <c r="B8" s="110" t="s">
        <v>247</v>
      </c>
      <c r="C8" s="257" t="s">
        <v>248</v>
      </c>
      <c r="D8" s="143"/>
      <c r="E8" s="90"/>
      <c r="F8" s="90"/>
      <c r="G8" s="132"/>
      <c r="H8" s="258"/>
      <c r="I8" s="258"/>
      <c r="K8" s="246"/>
    </row>
    <row r="9" spans="2:14" x14ac:dyDescent="0.25">
      <c r="B9" s="259"/>
      <c r="C9" s="257" t="s">
        <v>249</v>
      </c>
      <c r="D9" s="90"/>
      <c r="E9" s="90"/>
      <c r="F9" s="90"/>
      <c r="G9" s="132"/>
      <c r="H9" s="260">
        <f>PL!G23</f>
        <v>0</v>
      </c>
      <c r="I9" s="260">
        <f>PL!H23</f>
        <v>0</v>
      </c>
      <c r="J9" s="247"/>
      <c r="K9" s="247"/>
      <c r="L9" s="247"/>
      <c r="M9" s="247"/>
      <c r="N9" s="247"/>
    </row>
    <row r="10" spans="2:22" x14ac:dyDescent="0.25">
      <c r="B10" s="259"/>
      <c r="C10" s="261" t="s">
        <v>250</v>
      </c>
      <c r="D10" s="90"/>
      <c r="E10" s="90"/>
      <c r="F10" s="90"/>
      <c r="G10" s="132"/>
      <c r="H10" s="258"/>
      <c r="I10" s="258"/>
      <c r="J10" s="247"/>
      <c r="K10" s="247"/>
      <c r="L10" s="247"/>
      <c r="M10" s="247"/>
      <c r="N10" s="262"/>
      <c r="O10" s="262"/>
      <c r="V10" s="263"/>
    </row>
    <row r="11" spans="2:15" x14ac:dyDescent="0.25">
      <c r="B11" s="259"/>
      <c r="C11" s="173" t="s">
        <v>251</v>
      </c>
      <c r="D11" s="90"/>
      <c r="E11" s="90"/>
      <c r="F11" s="90"/>
      <c r="G11" s="132"/>
      <c r="H11" s="211">
        <f>PL!G19</f>
        <v>0</v>
      </c>
      <c r="I11" s="211">
        <f>PL!H19</f>
        <v>0</v>
      </c>
      <c r="J11" s="247"/>
      <c r="K11" s="247"/>
      <c r="L11" s="247"/>
      <c r="M11" s="264"/>
      <c r="N11" s="265"/>
      <c r="O11" s="265"/>
    </row>
    <row r="12" spans="2:15" x14ac:dyDescent="0.25">
      <c r="B12" s="259"/>
      <c r="C12" s="173" t="s">
        <v>252</v>
      </c>
      <c r="D12" s="90"/>
      <c r="E12" s="90"/>
      <c r="F12" s="90"/>
      <c r="G12" s="132"/>
      <c r="H12" s="211"/>
      <c r="I12" s="211"/>
      <c r="J12" s="247"/>
      <c r="K12" s="247"/>
      <c r="L12" s="247"/>
      <c r="M12" s="264"/>
      <c r="N12" s="265"/>
      <c r="O12" s="265"/>
    </row>
    <row r="13" spans="2:15" x14ac:dyDescent="0.25">
      <c r="B13" s="259"/>
      <c r="C13" s="173" t="s">
        <v>253</v>
      </c>
      <c r="D13" s="90"/>
      <c r="E13" s="90"/>
      <c r="F13" s="90"/>
      <c r="G13" s="132"/>
      <c r="H13" s="211"/>
      <c r="I13" s="211"/>
      <c r="J13" s="247"/>
      <c r="K13" s="247"/>
      <c r="L13" s="247"/>
      <c r="M13" s="264"/>
      <c r="N13" s="265"/>
      <c r="O13" s="265"/>
    </row>
    <row r="14" spans="2:15" x14ac:dyDescent="0.25">
      <c r="B14" s="259"/>
      <c r="C14" s="173" t="s">
        <v>254</v>
      </c>
      <c r="D14" s="90"/>
      <c r="E14" s="90"/>
      <c r="F14" s="90"/>
      <c r="G14" s="132"/>
      <c r="H14" s="211"/>
      <c r="I14" s="211"/>
      <c r="J14" s="247"/>
      <c r="K14" s="247"/>
      <c r="L14" s="247"/>
      <c r="M14" s="264"/>
      <c r="N14" s="265"/>
      <c r="O14" s="265"/>
    </row>
    <row r="15" ht="3" customHeight="1" spans="2:21" x14ac:dyDescent="0.25">
      <c r="B15" s="259"/>
      <c r="C15" s="90"/>
      <c r="D15" s="90"/>
      <c r="E15" s="90"/>
      <c r="F15" s="90"/>
      <c r="G15" s="132"/>
      <c r="H15" s="258"/>
      <c r="I15" s="258"/>
      <c r="J15" s="247"/>
      <c r="K15" s="247"/>
      <c r="L15" s="247"/>
      <c r="M15" s="264"/>
      <c r="N15" s="265"/>
      <c r="O15" s="265"/>
      <c r="U15" s="245"/>
    </row>
    <row r="16" spans="2:15" x14ac:dyDescent="0.25">
      <c r="B16" s="259"/>
      <c r="C16" s="167" t="s">
        <v>255</v>
      </c>
      <c r="D16" s="90"/>
      <c r="E16" s="90"/>
      <c r="F16" s="90"/>
      <c r="G16" s="132"/>
      <c r="H16" s="266">
        <f>SUM(H9:H14)</f>
        <v>0</v>
      </c>
      <c r="I16" s="266">
        <f>SUM(I9:I14)</f>
        <v>0</v>
      </c>
      <c r="J16" s="267"/>
      <c r="K16" s="267"/>
      <c r="L16" s="267"/>
      <c r="M16" s="264"/>
      <c r="N16" s="265"/>
      <c r="O16" s="265"/>
    </row>
    <row r="17" ht="14.25" customHeight="1" spans="2:21" x14ac:dyDescent="0.25">
      <c r="B17" s="259"/>
      <c r="C17" s="167" t="s">
        <v>256</v>
      </c>
      <c r="D17" s="90"/>
      <c r="E17" s="90"/>
      <c r="F17" s="90"/>
      <c r="G17" s="132"/>
      <c r="H17" s="258"/>
      <c r="I17" s="258"/>
      <c r="J17" s="247"/>
      <c r="K17" s="247"/>
      <c r="L17" s="247"/>
      <c r="M17" s="264"/>
      <c r="N17" s="265"/>
      <c r="O17" s="265"/>
      <c r="U17" s="245"/>
    </row>
    <row r="18" spans="2:22" x14ac:dyDescent="0.25">
      <c r="B18" s="259"/>
      <c r="C18" s="173" t="s">
        <v>257</v>
      </c>
      <c r="D18" s="90"/>
      <c r="E18" s="90"/>
      <c r="F18" s="90"/>
      <c r="G18" s="132"/>
      <c r="H18" s="211">
        <f>+'Note BS-Liab'!G75-'Note BS-Liab'!H75</f>
        <v>0</v>
      </c>
      <c r="I18" s="211">
        <v>0</v>
      </c>
      <c r="J18" s="247"/>
      <c r="K18" s="247"/>
      <c r="L18" s="247"/>
      <c r="M18" s="264"/>
      <c r="N18" s="265"/>
      <c r="O18" s="265"/>
      <c r="V18" s="247"/>
    </row>
    <row r="19" spans="2:15" x14ac:dyDescent="0.25">
      <c r="B19" s="259"/>
      <c r="C19" s="268" t="s">
        <v>258</v>
      </c>
      <c r="D19" s="90"/>
      <c r="E19" s="90"/>
      <c r="F19" s="90"/>
      <c r="G19" s="132"/>
      <c r="H19" s="211">
        <f>SUM('Note BS-Liab'!G140:G143)-SUM('Note BS-Liab'!H140:H143)</f>
        <v>0</v>
      </c>
      <c r="I19" s="269">
        <v>0</v>
      </c>
      <c r="J19" s="247"/>
      <c r="K19" s="247"/>
      <c r="L19" s="247"/>
      <c r="N19" s="270"/>
      <c r="O19" s="270"/>
    </row>
    <row r="20" spans="2:15" x14ac:dyDescent="0.25">
      <c r="B20" s="259"/>
      <c r="C20" s="173" t="s">
        <v>259</v>
      </c>
      <c r="D20" s="90"/>
      <c r="E20" s="90"/>
      <c r="F20" s="90"/>
      <c r="G20" s="132"/>
      <c r="H20" s="211">
        <f>BS!F47-BS!E47</f>
        <v>0</v>
      </c>
      <c r="I20" s="211">
        <v>0</v>
      </c>
      <c r="J20" s="247"/>
      <c r="K20" s="247"/>
      <c r="L20" s="247"/>
      <c r="N20" s="270"/>
      <c r="O20" s="270"/>
    </row>
    <row r="21" spans="2:15" x14ac:dyDescent="0.25">
      <c r="B21" s="259"/>
      <c r="C21" s="173" t="s">
        <v>260</v>
      </c>
      <c r="D21" s="90"/>
      <c r="E21" s="90"/>
      <c r="F21" s="90"/>
      <c r="G21" s="132"/>
      <c r="H21" s="211">
        <f>BS!F48-BS!E48</f>
        <v>0</v>
      </c>
      <c r="I21" s="211">
        <v>0</v>
      </c>
      <c r="J21" s="247"/>
      <c r="K21" s="247"/>
      <c r="L21" s="247"/>
      <c r="N21" s="270"/>
      <c r="O21" s="270"/>
    </row>
    <row r="22" spans="2:15" x14ac:dyDescent="0.25">
      <c r="B22" s="259"/>
      <c r="C22" s="173" t="s">
        <v>261</v>
      </c>
      <c r="D22" s="90"/>
      <c r="E22" s="90"/>
      <c r="F22" s="90"/>
      <c r="G22" s="132"/>
      <c r="H22" s="211"/>
      <c r="I22" s="211"/>
      <c r="J22" s="247"/>
      <c r="K22" s="247"/>
      <c r="L22" s="247"/>
      <c r="N22" s="270"/>
      <c r="O22" s="270"/>
    </row>
    <row r="23" spans="2:15" x14ac:dyDescent="0.25">
      <c r="B23" s="259"/>
      <c r="C23" s="268" t="s">
        <v>262</v>
      </c>
      <c r="D23" s="90"/>
      <c r="E23" s="90"/>
      <c r="F23" s="90"/>
      <c r="G23" s="132"/>
      <c r="H23" s="269">
        <f>'Note BS-Asset'!H100-'Note BS-Asset'!G100+'Note BS-Asset'!H35-'Note BS-Asset'!G35</f>
        <v>0</v>
      </c>
      <c r="I23" s="269">
        <v>0</v>
      </c>
      <c r="J23" s="247"/>
      <c r="K23" s="247"/>
      <c r="L23" s="247"/>
      <c r="N23" s="270"/>
      <c r="O23" s="270"/>
    </row>
    <row r="24" spans="2:15" x14ac:dyDescent="0.25">
      <c r="B24" s="259"/>
      <c r="C24" s="167" t="s">
        <v>263</v>
      </c>
      <c r="D24" s="90"/>
      <c r="E24" s="90"/>
      <c r="F24" s="90"/>
      <c r="G24" s="132"/>
      <c r="H24" s="266">
        <f>SUM(H16:H23)</f>
        <v>0</v>
      </c>
      <c r="I24" s="266">
        <f>SUM(I16:I23)</f>
        <v>0</v>
      </c>
      <c r="J24" s="267"/>
      <c r="K24" s="267"/>
      <c r="L24" s="267"/>
      <c r="M24" s="264"/>
      <c r="N24" s="265"/>
      <c r="O24" s="265"/>
    </row>
    <row r="25" spans="2:19" x14ac:dyDescent="0.25">
      <c r="B25" s="259"/>
      <c r="C25" s="268" t="s">
        <v>264</v>
      </c>
      <c r="D25" s="90"/>
      <c r="E25" s="90"/>
      <c r="F25" s="90"/>
      <c r="G25" s="132"/>
      <c r="H25" s="269">
        <v>0</v>
      </c>
      <c r="I25" s="269">
        <v>0</v>
      </c>
      <c r="J25" s="247"/>
      <c r="K25" s="247"/>
      <c r="L25" s="247"/>
      <c r="M25" s="247"/>
      <c r="O25" s="247"/>
      <c r="R25" s="247"/>
      <c r="S25" s="247"/>
    </row>
    <row r="26" spans="2:18" x14ac:dyDescent="0.25">
      <c r="B26" s="259"/>
      <c r="C26" s="167" t="s">
        <v>265</v>
      </c>
      <c r="D26" s="90"/>
      <c r="E26" s="90"/>
      <c r="F26" s="90"/>
      <c r="G26" s="132"/>
      <c r="H26" s="271">
        <f>H24+H25</f>
        <v>0</v>
      </c>
      <c r="I26" s="271">
        <f>I24+I25</f>
        <v>0</v>
      </c>
      <c r="J26" s="267"/>
      <c r="K26" s="267"/>
      <c r="L26" s="267"/>
      <c r="M26" s="267"/>
      <c r="N26" s="267"/>
      <c r="R26" s="247"/>
    </row>
    <row r="27" ht="5.1" customHeight="1" spans="2:12" x14ac:dyDescent="0.25">
      <c r="B27" s="259"/>
      <c r="C27" s="90"/>
      <c r="D27" s="90"/>
      <c r="E27" s="90"/>
      <c r="F27" s="90"/>
      <c r="G27" s="132"/>
      <c r="H27" s="258"/>
      <c r="I27" s="258"/>
      <c r="J27" s="247"/>
      <c r="K27" s="247"/>
      <c r="L27" s="247"/>
    </row>
    <row r="28" spans="2:12" x14ac:dyDescent="0.25">
      <c r="B28" s="110" t="s">
        <v>266</v>
      </c>
      <c r="C28" s="257" t="s">
        <v>267</v>
      </c>
      <c r="D28" s="90"/>
      <c r="E28" s="90"/>
      <c r="F28" s="90"/>
      <c r="G28" s="132"/>
      <c r="H28" s="258"/>
      <c r="I28" s="258"/>
      <c r="J28" s="247"/>
      <c r="K28" s="247"/>
      <c r="L28" s="247"/>
    </row>
    <row r="29" spans="2:14" x14ac:dyDescent="0.25">
      <c r="B29" s="259"/>
      <c r="C29" s="173" t="s">
        <v>268</v>
      </c>
      <c r="D29" s="90"/>
      <c r="E29" s="90"/>
      <c r="F29" s="90"/>
      <c r="G29" s="132"/>
      <c r="H29" s="211">
        <f>-FA!E22</f>
        <v>0</v>
      </c>
      <c r="I29" s="211">
        <v>0</v>
      </c>
      <c r="J29" s="247"/>
      <c r="K29" s="247"/>
      <c r="L29" s="247"/>
      <c r="M29" s="247"/>
      <c r="N29" s="247"/>
    </row>
    <row r="30" spans="2:14" x14ac:dyDescent="0.25">
      <c r="B30" s="259"/>
      <c r="C30" s="173" t="s">
        <v>269</v>
      </c>
      <c r="D30" s="90"/>
      <c r="E30" s="90"/>
      <c r="F30" s="90"/>
      <c r="G30" s="132"/>
      <c r="H30" s="211"/>
      <c r="I30" s="211"/>
      <c r="J30" s="247"/>
      <c r="K30" s="247"/>
      <c r="L30" s="247"/>
      <c r="M30" s="247"/>
      <c r="N30" s="247"/>
    </row>
    <row r="31" spans="2:14" x14ac:dyDescent="0.25">
      <c r="B31" s="259"/>
      <c r="C31" s="167" t="s">
        <v>270</v>
      </c>
      <c r="D31" s="90"/>
      <c r="E31" s="90"/>
      <c r="F31" s="90"/>
      <c r="G31" s="132"/>
      <c r="H31" s="271">
        <f>SUM(H29:H30)</f>
        <v>0</v>
      </c>
      <c r="I31" s="271">
        <f>SUM(I29:I30)</f>
        <v>0</v>
      </c>
      <c r="J31" s="267"/>
      <c r="K31" s="267"/>
      <c r="L31" s="267"/>
      <c r="M31" s="267"/>
      <c r="N31" s="267"/>
    </row>
    <row r="32" ht="5.1" customHeight="1" spans="2:12" x14ac:dyDescent="0.25">
      <c r="B32" s="259"/>
      <c r="C32" s="90"/>
      <c r="D32" s="90"/>
      <c r="E32" s="90"/>
      <c r="F32" s="90"/>
      <c r="G32" s="132"/>
      <c r="H32" s="258"/>
      <c r="I32" s="258"/>
      <c r="J32" s="247"/>
      <c r="K32" s="247"/>
      <c r="L32" s="247"/>
    </row>
    <row r="33" spans="2:12" x14ac:dyDescent="0.25">
      <c r="B33" s="110" t="s">
        <v>271</v>
      </c>
      <c r="C33" s="257" t="s">
        <v>272</v>
      </c>
      <c r="D33" s="90"/>
      <c r="E33" s="90"/>
      <c r="F33" s="90"/>
      <c r="G33" s="132"/>
      <c r="H33" s="258"/>
      <c r="I33" s="258"/>
      <c r="J33" s="247"/>
      <c r="K33" s="247"/>
      <c r="L33" s="247"/>
    </row>
    <row r="34" spans="2:12" x14ac:dyDescent="0.25">
      <c r="B34" s="259"/>
      <c r="C34" s="173" t="s">
        <v>273</v>
      </c>
      <c r="D34" s="90"/>
      <c r="E34" s="90"/>
      <c r="F34" s="90"/>
      <c r="G34" s="132"/>
      <c r="H34" s="211">
        <v>0</v>
      </c>
      <c r="I34" s="211">
        <v>0</v>
      </c>
      <c r="J34" s="247"/>
      <c r="K34" s="247"/>
      <c r="L34" s="247"/>
    </row>
    <row r="35" spans="2:12" x14ac:dyDescent="0.25">
      <c r="B35" s="259"/>
      <c r="C35" s="173" t="s">
        <v>274</v>
      </c>
      <c r="D35" s="90"/>
      <c r="E35" s="90"/>
      <c r="F35" s="90"/>
      <c r="G35" s="132"/>
      <c r="H35" s="211"/>
      <c r="I35" s="211"/>
      <c r="J35" s="247"/>
      <c r="K35" s="247"/>
      <c r="L35" s="247"/>
    </row>
    <row r="36" spans="2:12" x14ac:dyDescent="0.25">
      <c r="B36" s="259"/>
      <c r="C36" s="173" t="s">
        <v>275</v>
      </c>
      <c r="D36" s="90"/>
      <c r="E36" s="90"/>
      <c r="F36" s="90"/>
      <c r="G36" s="132"/>
      <c r="H36" s="211"/>
      <c r="I36" s="211"/>
      <c r="J36" s="247"/>
      <c r="K36" s="247"/>
      <c r="L36" s="247"/>
    </row>
    <row r="37" spans="2:12" x14ac:dyDescent="0.25">
      <c r="B37" s="259"/>
      <c r="C37" s="173" t="s">
        <v>276</v>
      </c>
      <c r="D37" s="90"/>
      <c r="E37" s="90"/>
      <c r="F37" s="90"/>
      <c r="G37" s="132"/>
      <c r="H37" s="211"/>
      <c r="I37" s="211"/>
      <c r="J37" s="247"/>
      <c r="K37" s="247"/>
      <c r="L37" s="247"/>
    </row>
    <row r="38" spans="2:12" x14ac:dyDescent="0.25">
      <c r="B38" s="259"/>
      <c r="C38" s="167" t="s">
        <v>277</v>
      </c>
      <c r="D38" s="90"/>
      <c r="E38" s="90"/>
      <c r="F38" s="90"/>
      <c r="G38" s="132"/>
      <c r="H38" s="271">
        <f>SUM(H34:H37)</f>
        <v>0</v>
      </c>
      <c r="I38" s="271">
        <f>SUM(I34:I37)</f>
        <v>0</v>
      </c>
      <c r="J38" s="267"/>
      <c r="K38" s="267"/>
      <c r="L38" s="267"/>
    </row>
    <row r="39" ht="5.1" customHeight="1" spans="2:12" x14ac:dyDescent="0.25">
      <c r="B39" s="259"/>
      <c r="C39" s="90"/>
      <c r="D39" s="90"/>
      <c r="E39" s="90"/>
      <c r="F39" s="90"/>
      <c r="G39" s="132"/>
      <c r="H39" s="258"/>
      <c r="I39" s="258"/>
      <c r="J39" s="247"/>
      <c r="K39" s="247"/>
      <c r="L39" s="247"/>
    </row>
    <row r="40" spans="2:14" x14ac:dyDescent="0.25">
      <c r="B40" s="259"/>
      <c r="C40" s="167" t="s">
        <v>278</v>
      </c>
      <c r="D40" s="90"/>
      <c r="E40" s="90"/>
      <c r="F40" s="90"/>
      <c r="G40" s="132"/>
      <c r="H40" s="211">
        <f>H26+H31+H38</f>
        <v>0</v>
      </c>
      <c r="I40" s="211">
        <f>I26+I31+I38</f>
        <v>0</v>
      </c>
      <c r="J40" s="247"/>
      <c r="K40" s="247"/>
      <c r="L40" s="247"/>
      <c r="M40" s="267"/>
      <c r="N40" s="267"/>
    </row>
    <row r="41" spans="2:14" x14ac:dyDescent="0.25">
      <c r="B41" s="259"/>
      <c r="C41" s="173" t="s">
        <v>279</v>
      </c>
      <c r="D41" s="90"/>
      <c r="E41" s="90"/>
      <c r="F41" s="90"/>
      <c r="G41" s="132"/>
      <c r="H41" s="211">
        <f>I42</f>
        <v>0</v>
      </c>
      <c r="I41" s="211">
        <v>0</v>
      </c>
      <c r="J41" s="247"/>
      <c r="K41" s="247"/>
      <c r="L41" s="247"/>
      <c r="M41" s="272"/>
      <c r="N41" s="246"/>
    </row>
    <row r="42" spans="2:14" x14ac:dyDescent="0.25">
      <c r="B42" s="259"/>
      <c r="C42" s="167" t="s">
        <v>280</v>
      </c>
      <c r="D42" s="90"/>
      <c r="E42" s="90"/>
      <c r="F42" s="90"/>
      <c r="G42" s="132"/>
      <c r="H42" s="271">
        <f>SUM(H40:H41)</f>
        <v>0</v>
      </c>
      <c r="I42" s="271">
        <f>SUM(I40:I41)</f>
        <v>0</v>
      </c>
      <c r="J42" s="267"/>
      <c r="K42" s="267"/>
      <c r="L42" s="267"/>
      <c r="M42" s="272"/>
      <c r="N42" s="272"/>
    </row>
    <row r="43" ht="5.1" customHeight="1" spans="2:14" x14ac:dyDescent="0.25">
      <c r="B43" s="273"/>
      <c r="C43" s="274"/>
      <c r="D43" s="274"/>
      <c r="E43" s="274"/>
      <c r="F43" s="274"/>
      <c r="G43" s="275"/>
      <c r="H43" s="276"/>
      <c r="I43" s="276"/>
      <c r="J43" s="247"/>
      <c r="K43" s="247"/>
      <c r="L43" s="247"/>
      <c r="M43" s="246"/>
      <c r="N43" s="246"/>
    </row>
    <row r="44" ht="5.1" customHeight="1" spans="2:12" x14ac:dyDescent="0.25">
      <c r="B44" s="90"/>
      <c r="C44" s="277"/>
      <c r="D44" s="90"/>
      <c r="E44" s="90"/>
      <c r="F44" s="90"/>
      <c r="G44" s="90"/>
      <c r="H44" s="91"/>
      <c r="I44" s="91"/>
      <c r="J44" s="247"/>
      <c r="K44" s="247"/>
      <c r="L44" s="247"/>
    </row>
    <row r="45" spans="2:13" x14ac:dyDescent="0.25">
      <c r="B45" s="90"/>
      <c r="C45" s="167" t="s">
        <v>281</v>
      </c>
      <c r="D45" s="90"/>
      <c r="E45" s="90"/>
      <c r="F45" s="90"/>
      <c r="G45" s="90"/>
      <c r="H45" s="90"/>
      <c r="I45" s="91"/>
      <c r="J45" s="247"/>
      <c r="K45" s="247"/>
      <c r="L45" s="247"/>
      <c r="M45" s="247"/>
    </row>
    <row r="46" ht="24" customHeight="1" spans="2:14" x14ac:dyDescent="0.25">
      <c r="B46" s="143"/>
      <c r="C46" s="278" t="s">
        <v>282</v>
      </c>
      <c r="D46" s="245"/>
      <c r="E46" s="245"/>
      <c r="F46" s="245"/>
      <c r="G46" s="245"/>
      <c r="H46" s="245"/>
      <c r="I46" s="246"/>
      <c r="J46" s="279"/>
      <c r="K46" s="279"/>
      <c r="L46" s="280"/>
      <c r="M46" s="281"/>
      <c r="N46" s="281"/>
    </row>
    <row r="47" spans="2:9" x14ac:dyDescent="0.25">
      <c r="B47" s="90"/>
      <c r="C47" s="173" t="s">
        <v>283</v>
      </c>
      <c r="D47" s="90"/>
      <c r="E47" s="90"/>
      <c r="F47" s="90"/>
      <c r="G47" s="90"/>
      <c r="H47" s="90"/>
      <c r="I47" s="92"/>
    </row>
    <row r="48" ht="5.1" customHeight="1" spans="2:9" x14ac:dyDescent="0.25">
      <c r="B48" s="90"/>
      <c r="C48" s="90"/>
      <c r="D48" s="90"/>
      <c r="E48" s="90"/>
      <c r="F48" s="90"/>
      <c r="G48" s="90"/>
      <c r="H48" s="90"/>
      <c r="I48" s="92"/>
    </row>
    <row r="49" spans="2:9" x14ac:dyDescent="0.25">
      <c r="B49" s="90"/>
      <c r="C49" s="173" t="s">
        <v>284</v>
      </c>
      <c r="D49" s="90"/>
      <c r="E49" s="90"/>
      <c r="F49" s="90"/>
      <c r="G49" s="90"/>
      <c r="H49" s="90"/>
      <c r="I49" s="92"/>
    </row>
    <row r="50" ht="5.1" customHeight="1" spans="2:9" x14ac:dyDescent="0.25">
      <c r="B50" s="90"/>
      <c r="C50" s="90"/>
      <c r="D50" s="90"/>
      <c r="E50" s="90"/>
      <c r="F50" s="90"/>
      <c r="G50" s="90"/>
      <c r="H50" s="90"/>
      <c r="I50" s="92"/>
    </row>
    <row r="51" spans="2:9" x14ac:dyDescent="0.25">
      <c r="B51" s="90"/>
      <c r="C51" s="151" t="str">
        <f>BS!B59</f>
        <v>For [STATUTORY AUDITOR NAME]</v>
      </c>
      <c r="D51" s="90"/>
      <c r="E51" s="90"/>
      <c r="F51" s="90"/>
      <c r="G51" s="173" t="s">
        <v>178</v>
      </c>
      <c r="H51" s="90"/>
      <c r="I51" s="92"/>
    </row>
    <row r="52" spans="2:9" x14ac:dyDescent="0.25">
      <c r="B52" s="90"/>
      <c r="C52" s="173" t="s">
        <v>179</v>
      </c>
      <c r="D52" s="90"/>
      <c r="E52" s="90"/>
      <c r="F52" s="90"/>
      <c r="G52" s="167" t="str">
        <f>BS!D60</f>
        <v>[NAME OF THE COMPANY]</v>
      </c>
      <c r="H52" s="90"/>
      <c r="I52" s="92"/>
    </row>
    <row r="53" spans="2:9" x14ac:dyDescent="0.25">
      <c r="B53" s="90"/>
      <c r="C53" s="173" t="str">
        <f>BS!B61</f>
        <v>Firm's Registration No.: [FRN]</v>
      </c>
      <c r="D53" s="90"/>
      <c r="E53" s="90"/>
      <c r="F53" s="90"/>
      <c r="G53" s="90"/>
      <c r="H53" s="90"/>
      <c r="I53" s="92"/>
    </row>
    <row r="54" spans="2:9" x14ac:dyDescent="0.25">
      <c r="B54" s="90"/>
      <c r="C54" s="90"/>
      <c r="D54" s="90"/>
      <c r="E54" s="90"/>
      <c r="F54" s="90"/>
      <c r="G54" s="90"/>
      <c r="H54" s="90"/>
      <c r="I54" s="92"/>
    </row>
    <row r="55" spans="2:9" x14ac:dyDescent="0.25">
      <c r="B55" s="90"/>
      <c r="C55" s="90"/>
      <c r="D55" s="90"/>
      <c r="E55" s="90"/>
      <c r="F55" s="90"/>
      <c r="G55" s="90"/>
      <c r="H55" s="90"/>
      <c r="I55" s="92"/>
    </row>
    <row r="56" spans="2:12" x14ac:dyDescent="0.25">
      <c r="B56" s="90"/>
      <c r="C56" s="173" t="str">
        <f>BS!B65</f>
        <v>[SIGNING PARTNER / PROPRIETOR]</v>
      </c>
      <c r="D56" s="90"/>
      <c r="E56" s="90"/>
      <c r="F56" s="90"/>
      <c r="G56" s="167" t="str">
        <f>BS!D65</f>
        <v>[DIRECTOR NAME]</v>
      </c>
      <c r="H56" s="282"/>
      <c r="I56" s="167" t="str">
        <f>BS!F65</f>
        <v>[DIRECTOR NAME]</v>
      </c>
      <c r="J56" s="283"/>
      <c r="K56" s="283"/>
      <c r="L56" s="283"/>
    </row>
    <row r="57" spans="2:12" x14ac:dyDescent="0.25">
      <c r="B57" s="90"/>
      <c r="C57" s="173" t="s">
        <v>181</v>
      </c>
      <c r="D57" s="90"/>
      <c r="E57" s="90"/>
      <c r="F57" s="90"/>
      <c r="G57" s="173" t="s">
        <v>182</v>
      </c>
      <c r="H57" s="90"/>
      <c r="I57" s="173" t="s">
        <v>182</v>
      </c>
      <c r="J57" s="245"/>
      <c r="K57" s="245"/>
      <c r="L57" s="245"/>
    </row>
    <row r="58" spans="2:12" x14ac:dyDescent="0.25">
      <c r="B58" s="90"/>
      <c r="C58" s="173" t="str">
        <f>BS!B67</f>
        <v>Membership No.: 602XXX</v>
      </c>
      <c r="D58" s="90"/>
      <c r="E58" s="90"/>
      <c r="F58" s="90"/>
      <c r="G58" s="173" t="str">
        <f>BS!D67</f>
        <v>DIN:</v>
      </c>
      <c r="H58" s="90"/>
      <c r="I58" s="173" t="str">
        <f>BS!F67</f>
        <v>DIN:</v>
      </c>
      <c r="J58" s="245"/>
      <c r="K58" s="245"/>
      <c r="L58" s="245"/>
    </row>
    <row r="59" spans="2:12" x14ac:dyDescent="0.25">
      <c r="B59" s="90"/>
      <c r="C59" s="284" t="str">
        <f>BS!B69</f>
        <v>Place: [PLACE]</v>
      </c>
      <c r="D59" s="285"/>
      <c r="E59" s="90"/>
      <c r="F59" s="90"/>
      <c r="G59" s="284" t="str">
        <f>BS!D69</f>
        <v>Place: [PLACE]</v>
      </c>
      <c r="H59" s="91"/>
      <c r="I59" s="284" t="str">
        <f>BS!F69</f>
        <v>Place: [PLACE]</v>
      </c>
      <c r="J59" s="286"/>
      <c r="K59" s="286"/>
      <c r="L59" s="286"/>
    </row>
    <row r="60" spans="2:12" x14ac:dyDescent="0.25">
      <c r="B60" s="90"/>
      <c r="C60" s="284" t="str">
        <f>BS!B70</f>
        <v>Date:</v>
      </c>
      <c r="D60" s="287"/>
      <c r="E60" s="90"/>
      <c r="F60" s="90"/>
      <c r="G60" s="284" t="str">
        <f>BS!D70</f>
        <v>Date:</v>
      </c>
      <c r="H60" s="90"/>
      <c r="I60" s="284" t="str">
        <f>BS!F70</f>
        <v>Date:</v>
      </c>
      <c r="J60" s="286"/>
      <c r="K60" s="286"/>
      <c r="L60" s="286"/>
    </row>
  </sheetData>
  <mergeCells count="8">
    <mergeCell ref="B1:I1"/>
    <mergeCell ref="C2:I2"/>
    <mergeCell ref="B3:I3"/>
    <mergeCell ref="H4:I4"/>
    <mergeCell ref="B5:G6"/>
    <mergeCell ref="H5:H6"/>
    <mergeCell ref="I5:I6"/>
    <mergeCell ref="C46:I46"/>
  </mergeCells>
  <printOptions horizontalCentered="1"/>
  <pageMargins left="0.35" right="0.35" top="0.55" bottom="0.55" header="0.2" footer="0.2"/>
  <pageSetup paperSize="9" orientation="portrait" horizontalDpi="4294967295" verticalDpi="4294967295" scale="100" fitToWidth="1" fitToHeight="0" firstPageNumber="1" useFirstPageNumber="1" copies="1"/>
  <headerFooter>
    <oddFooter>&amp;LCAFlow template&amp;RPage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63"/>
  <sheetViews>
    <sheetView workbookViewId="0" showGridLines="0" zoomScale="120" zoomScaleNormal="100" view="pageBreakPreview">
      <selection activeCell="J10" sqref="J10"/>
    </sheetView>
  </sheetViews>
  <sheetFormatPr defaultRowHeight="12" outlineLevelRow="0" outlineLevelCol="0" x14ac:dyDescent="0" defaultColWidth="9.28515625" customHeight="1"/>
  <cols>
    <col min="1" max="1" width="4.5703125" style="288" customWidth="1"/>
    <col min="2" max="2" width="30.28515625" style="164" customWidth="1"/>
    <col min="3" max="3" width="8.7109375" style="164" customWidth="1"/>
    <col min="4" max="4" width="9.28515625" style="164" customWidth="1"/>
    <col min="5" max="5" width="11.7109375" style="164" customWidth="1"/>
    <col min="6" max="6" width="10.7109375" style="164" customWidth="1"/>
    <col min="7" max="7" width="11.28515625" style="165" customWidth="1"/>
    <col min="8" max="8" width="11.42578125" style="164" customWidth="1"/>
    <col min="9" max="9" width="12.28515625" style="164" customWidth="1"/>
    <col min="10" max="10" width="11.5703125" style="164" customWidth="1"/>
    <col min="11" max="11" width="11" style="164" customWidth="1"/>
    <col min="12" max="12" width="9.28515625" style="164" customWidth="1"/>
    <col min="13" max="13" width="10" style="164" customWidth="1"/>
    <col min="14" max="14" width="13.28515625" style="164" customWidth="1"/>
    <col min="15" max="16384" width="9.28515625" style="164" customWidth="1"/>
  </cols>
  <sheetData>
    <row r="1" spans="2:7" x14ac:dyDescent="0.25">
      <c r="B1" s="289"/>
      <c r="C1" s="289"/>
      <c r="D1" s="289"/>
      <c r="E1" s="289"/>
      <c r="F1" s="289"/>
      <c r="G1" s="289"/>
    </row>
    <row r="2" ht="15.75" customHeight="1" spans="1:8" x14ac:dyDescent="0.25">
      <c r="A2" s="290" t="s">
        <v>44</v>
      </c>
      <c r="B2" s="291"/>
      <c r="C2" s="291"/>
      <c r="D2" s="291"/>
      <c r="E2" s="291"/>
      <c r="F2" s="291"/>
      <c r="G2" s="292"/>
      <c r="H2" s="291"/>
    </row>
    <row r="3" spans="1:8" x14ac:dyDescent="0.25">
      <c r="A3" s="293"/>
      <c r="B3" s="164"/>
      <c r="C3" s="164"/>
      <c r="D3" s="164"/>
      <c r="E3" s="164"/>
      <c r="F3" s="164"/>
      <c r="G3" s="165"/>
      <c r="H3" s="294"/>
    </row>
    <row r="4" ht="15" customHeight="1" spans="1:8" x14ac:dyDescent="0.25">
      <c r="A4" s="295" t="s">
        <v>285</v>
      </c>
      <c r="B4" s="296"/>
      <c r="C4" s="296"/>
      <c r="D4" s="296"/>
      <c r="E4" s="296"/>
      <c r="F4" s="296"/>
      <c r="G4" s="297"/>
      <c r="H4" s="296"/>
    </row>
    <row r="5" ht="15" customHeight="1" spans="1:8" x14ac:dyDescent="0.25">
      <c r="A5" s="171">
        <f>+BS!D12</f>
        <v>2</v>
      </c>
      <c r="B5" s="167" t="s">
        <v>286</v>
      </c>
      <c r="C5" s="289"/>
      <c r="D5" s="289"/>
      <c r="E5" s="289"/>
      <c r="F5" s="289"/>
      <c r="G5" s="289"/>
      <c r="H5" s="298" t="str">
        <f>+CFS!H4</f>
        <v>(Amount in Rs. `000)</v>
      </c>
    </row>
    <row r="6" ht="24" customHeight="1" spans="2:8" x14ac:dyDescent="0.25">
      <c r="B6" s="299" t="s">
        <v>135</v>
      </c>
      <c r="C6" s="299"/>
      <c r="D6" s="299"/>
      <c r="E6" s="299"/>
      <c r="F6" s="299"/>
      <c r="G6" s="300" t="s">
        <v>245</v>
      </c>
      <c r="H6" s="300" t="s">
        <v>246</v>
      </c>
    </row>
    <row r="7" ht="15" customHeight="1" spans="2:8" x14ac:dyDescent="0.25">
      <c r="B7" s="301" t="s">
        <v>287</v>
      </c>
      <c r="C7" s="302"/>
      <c r="G7" s="303"/>
      <c r="H7" s="304"/>
    </row>
    <row r="8" ht="12" customHeight="1" spans="2:8" x14ac:dyDescent="0.25">
      <c r="B8" s="305" t="s">
        <v>288</v>
      </c>
      <c r="C8" s="306"/>
      <c r="D8" s="306"/>
      <c r="G8" s="307">
        <v>0</v>
      </c>
      <c r="H8" s="308">
        <v>0</v>
      </c>
    </row>
    <row r="9" ht="12" customHeight="1" spans="2:8" x14ac:dyDescent="0.25">
      <c r="B9" s="309"/>
      <c r="G9" s="310" t="s">
        <v>289</v>
      </c>
      <c r="H9" s="304"/>
    </row>
    <row r="10" ht="15" customHeight="1" spans="2:8" x14ac:dyDescent="0.25">
      <c r="B10" s="311" t="s">
        <v>290</v>
      </c>
      <c r="G10" s="303"/>
      <c r="H10" s="304"/>
    </row>
    <row r="11" ht="12" customHeight="1" spans="2:9" x14ac:dyDescent="0.25">
      <c r="B11" s="305" t="s">
        <v>291</v>
      </c>
      <c r="C11" s="306"/>
      <c r="D11" s="306"/>
      <c r="G11" s="310">
        <v>0</v>
      </c>
      <c r="H11" s="312">
        <v>0</v>
      </c>
      <c r="I11" s="166"/>
    </row>
    <row r="12" ht="12" customHeight="1" spans="2:8" x14ac:dyDescent="0.25">
      <c r="B12" s="313"/>
      <c r="C12" s="314"/>
      <c r="D12" s="314"/>
      <c r="E12" s="314"/>
      <c r="F12" s="315"/>
      <c r="G12" s="316">
        <f>SUM(G11)</f>
        <v>0</v>
      </c>
      <c r="H12" s="317">
        <f>SUM(H11)</f>
        <v>0</v>
      </c>
    </row>
    <row r="13" ht="12" customHeight="1" spans="6:8" x14ac:dyDescent="0.25">
      <c r="F13" s="318"/>
      <c r="G13" s="318"/>
      <c r="H13" s="319"/>
    </row>
    <row r="14" spans="1:2" x14ac:dyDescent="0.25">
      <c r="A14" s="320" t="s">
        <v>292</v>
      </c>
      <c r="B14" s="151" t="s">
        <v>293</v>
      </c>
    </row>
    <row r="15" spans="1:2" x14ac:dyDescent="0.25">
      <c r="A15" s="320"/>
      <c r="B15" s="151"/>
    </row>
    <row r="16" ht="24" customHeight="1" spans="2:8" x14ac:dyDescent="0.25">
      <c r="B16" s="321" t="s">
        <v>135</v>
      </c>
      <c r="C16" s="322"/>
      <c r="D16" s="322"/>
      <c r="E16" s="322"/>
      <c r="F16" s="323"/>
      <c r="G16" s="324" t="str">
        <f>+G6</f>
        <v>As at 31st March, 2026</v>
      </c>
      <c r="H16" s="324" t="str">
        <f>+H6</f>
        <v>As at 31st March, 2026</v>
      </c>
    </row>
    <row r="17" ht="15" customHeight="1" spans="2:8" x14ac:dyDescent="0.25">
      <c r="B17" s="325" t="s">
        <v>294</v>
      </c>
      <c r="C17" s="326"/>
      <c r="D17" s="186"/>
      <c r="E17" s="327"/>
      <c r="F17" s="328"/>
      <c r="G17" s="329" t="s">
        <v>295</v>
      </c>
      <c r="H17" s="330" t="s">
        <v>296</v>
      </c>
    </row>
    <row r="18" ht="15" customHeight="1" spans="2:8" x14ac:dyDescent="0.25">
      <c r="B18" s="126" t="s">
        <v>297</v>
      </c>
      <c r="C18" s="163"/>
      <c r="D18" s="193"/>
      <c r="F18" s="222"/>
      <c r="G18" s="331">
        <v>0</v>
      </c>
      <c r="H18" s="332">
        <v>0</v>
      </c>
    </row>
    <row r="19" ht="15" customHeight="1" spans="2:8" x14ac:dyDescent="0.25">
      <c r="B19" s="126" t="s">
        <v>298</v>
      </c>
      <c r="C19" s="143"/>
      <c r="D19" s="193"/>
      <c r="F19" s="222"/>
      <c r="G19" s="239">
        <v>0</v>
      </c>
      <c r="H19" s="333">
        <v>0</v>
      </c>
    </row>
    <row r="20" ht="12" customHeight="1" spans="2:8" x14ac:dyDescent="0.25">
      <c r="B20" s="126"/>
      <c r="C20" s="143"/>
      <c r="D20" s="193"/>
      <c r="F20" s="222"/>
      <c r="G20" s="239"/>
      <c r="H20" s="333"/>
    </row>
    <row r="21" ht="12" customHeight="1" spans="2:8" x14ac:dyDescent="0.25">
      <c r="B21" s="334" t="s">
        <v>299</v>
      </c>
      <c r="C21" s="335"/>
      <c r="D21" s="336"/>
      <c r="E21" s="337"/>
      <c r="F21" s="338"/>
      <c r="G21" s="339">
        <f>SUM(G18:G20)</f>
        <v>0</v>
      </c>
      <c r="H21" s="340">
        <f>SUM(H18:H20)</f>
        <v>0</v>
      </c>
    </row>
    <row r="22" ht="12" customHeight="1" spans="2:8" x14ac:dyDescent="0.25">
      <c r="B22" s="341"/>
      <c r="C22" s="143"/>
      <c r="D22" s="193"/>
      <c r="E22" s="342"/>
      <c r="F22" s="342"/>
      <c r="G22" s="342"/>
      <c r="H22" s="342"/>
    </row>
    <row r="23" spans="1:2" x14ac:dyDescent="0.25">
      <c r="A23" s="343" t="s">
        <v>300</v>
      </c>
      <c r="B23" s="151" t="s">
        <v>301</v>
      </c>
    </row>
    <row r="24" spans="1:8" x14ac:dyDescent="0.25">
      <c r="A24" s="343"/>
      <c r="B24" s="344" t="s">
        <v>302</v>
      </c>
      <c r="C24" s="345"/>
      <c r="D24" s="346"/>
      <c r="E24" s="347" t="str">
        <f>+G16</f>
        <v>As at 31st March, 2026</v>
      </c>
      <c r="F24" s="348"/>
      <c r="G24" s="347" t="str">
        <f>+H16</f>
        <v>As at 31st March, 2026</v>
      </c>
      <c r="H24" s="348"/>
    </row>
    <row r="25" ht="15.75" customHeight="1" spans="2:8" x14ac:dyDescent="0.25">
      <c r="B25" s="349"/>
      <c r="C25" s="350"/>
      <c r="D25" s="351"/>
      <c r="E25" s="352" t="s">
        <v>303</v>
      </c>
      <c r="F25" s="353" t="s">
        <v>304</v>
      </c>
      <c r="G25" s="354" t="s">
        <v>303</v>
      </c>
      <c r="H25" s="352" t="s">
        <v>304</v>
      </c>
    </row>
    <row r="26" spans="2:8" x14ac:dyDescent="0.25">
      <c r="B26" s="126"/>
      <c r="C26" s="143"/>
      <c r="D26" s="122"/>
      <c r="E26" s="332">
        <v>0</v>
      </c>
      <c r="F26" s="355">
        <v>0</v>
      </c>
      <c r="G26" s="356">
        <v>0</v>
      </c>
      <c r="H26" s="355">
        <v>0</v>
      </c>
    </row>
    <row r="27" spans="2:8" x14ac:dyDescent="0.25">
      <c r="B27" s="126"/>
      <c r="C27" s="143"/>
      <c r="D27" s="122"/>
      <c r="E27" s="333">
        <v>0</v>
      </c>
      <c r="F27" s="357">
        <v>0</v>
      </c>
      <c r="G27" s="358">
        <v>0</v>
      </c>
      <c r="H27" s="357">
        <v>0</v>
      </c>
    </row>
    <row r="28" spans="2:8" x14ac:dyDescent="0.25">
      <c r="B28" s="126"/>
      <c r="C28" s="143"/>
      <c r="D28" s="122"/>
      <c r="E28" s="333"/>
      <c r="F28" s="357"/>
      <c r="G28" s="358"/>
      <c r="H28" s="357"/>
    </row>
    <row r="29" spans="2:8" x14ac:dyDescent="0.25">
      <c r="B29" s="126"/>
      <c r="C29" s="143"/>
      <c r="D29" s="122"/>
      <c r="E29" s="333"/>
      <c r="F29" s="357"/>
      <c r="G29" s="358"/>
      <c r="H29" s="357"/>
    </row>
    <row r="30" ht="12" customHeight="1" spans="2:8" x14ac:dyDescent="0.25">
      <c r="B30" s="359"/>
      <c r="C30" s="335"/>
      <c r="D30" s="138"/>
      <c r="E30" s="360"/>
      <c r="F30" s="361"/>
      <c r="G30" s="362"/>
      <c r="H30" s="361"/>
    </row>
    <row r="31" ht="12" customHeight="1" spans="2:8" x14ac:dyDescent="0.25">
      <c r="B31" s="193"/>
      <c r="C31" s="193"/>
      <c r="D31" s="193"/>
      <c r="E31" s="193"/>
      <c r="F31" s="193"/>
      <c r="G31" s="238"/>
      <c r="H31" s="363"/>
    </row>
    <row r="32" ht="12" customHeight="1" spans="1:8" x14ac:dyDescent="0.25">
      <c r="A32" s="343" t="s">
        <v>305</v>
      </c>
      <c r="B32" s="364" t="s">
        <v>306</v>
      </c>
      <c r="C32" s="164"/>
      <c r="D32" s="164"/>
      <c r="E32" s="164"/>
      <c r="F32" s="365"/>
      <c r="G32" s="366"/>
      <c r="H32" s="90"/>
    </row>
    <row r="33" ht="24" customHeight="1" spans="1:8" x14ac:dyDescent="0.25">
      <c r="A33" s="367"/>
      <c r="B33" s="368" t="s">
        <v>307</v>
      </c>
      <c r="C33" s="328"/>
      <c r="D33" s="369" t="s">
        <v>308</v>
      </c>
      <c r="E33" s="370"/>
      <c r="F33" s="369" t="s">
        <v>309</v>
      </c>
      <c r="G33" s="370"/>
      <c r="H33" s="371" t="s">
        <v>310</v>
      </c>
    </row>
    <row r="34" ht="22.9" customHeight="1" spans="1:8" x14ac:dyDescent="0.25">
      <c r="A34" s="288"/>
      <c r="B34" s="372"/>
      <c r="C34" s="222"/>
      <c r="D34" s="373" t="s">
        <v>311</v>
      </c>
      <c r="E34" s="374" t="s">
        <v>312</v>
      </c>
      <c r="F34" s="373" t="s">
        <v>311</v>
      </c>
      <c r="G34" s="375" t="s">
        <v>312</v>
      </c>
      <c r="H34" s="376"/>
    </row>
    <row r="35" ht="13.15" customHeight="1" spans="1:8" x14ac:dyDescent="0.25">
      <c r="A35" s="377"/>
      <c r="B35" s="378"/>
      <c r="C35" s="185"/>
      <c r="D35" s="379"/>
      <c r="E35" s="380"/>
      <c r="F35" s="381"/>
      <c r="G35" s="380"/>
      <c r="H35" s="382">
        <f>E35-G35</f>
        <v>0</v>
      </c>
    </row>
    <row r="36" ht="13.15" customHeight="1" spans="1:8" x14ac:dyDescent="0.25">
      <c r="A36" s="377"/>
      <c r="B36" s="126"/>
      <c r="C36" s="163"/>
      <c r="D36" s="383"/>
      <c r="E36" s="384"/>
      <c r="F36" s="385"/>
      <c r="G36" s="384"/>
      <c r="H36" s="386"/>
    </row>
    <row r="37" ht="13.15" customHeight="1" spans="1:8" x14ac:dyDescent="0.25">
      <c r="A37" s="377"/>
      <c r="B37" s="387"/>
      <c r="C37" s="337"/>
      <c r="D37" s="388"/>
      <c r="E37" s="389"/>
      <c r="F37" s="390"/>
      <c r="G37" s="389"/>
      <c r="H37" s="391"/>
    </row>
    <row r="38" ht="15.75" customHeight="1" spans="2:8" x14ac:dyDescent="0.25">
      <c r="B38" s="392" t="s">
        <v>313</v>
      </c>
      <c r="C38" s="338"/>
      <c r="D38" s="393">
        <f>SUM(D35:D37)</f>
        <v>0</v>
      </c>
      <c r="E38" s="394">
        <f>SUM(E35:E37)</f>
        <v>0</v>
      </c>
      <c r="F38" s="393">
        <f>SUM(F35:F37)</f>
        <v>0</v>
      </c>
      <c r="G38" s="394">
        <f>SUM(G35:G37)</f>
        <v>0</v>
      </c>
      <c r="H38" s="395">
        <f>SUM(H35:H37)</f>
        <v>0</v>
      </c>
    </row>
    <row r="39" ht="12.75" customHeight="1" spans="2:8" x14ac:dyDescent="0.25">
      <c r="B39" s="396"/>
      <c r="C39" s="396"/>
      <c r="D39" s="396"/>
      <c r="E39" s="396"/>
      <c r="F39" s="396"/>
      <c r="G39" s="396"/>
      <c r="H39" s="396"/>
    </row>
    <row r="40" ht="12" customHeight="1" spans="1:8" x14ac:dyDescent="0.25">
      <c r="A40" s="171">
        <f>BS!D13</f>
        <v>3</v>
      </c>
      <c r="B40" s="397" t="s">
        <v>314</v>
      </c>
      <c r="G40" s="164"/>
      <c r="H40" s="298" t="str">
        <f>+H5</f>
        <v>(Amount in Rs. `000)</v>
      </c>
    </row>
    <row r="41" ht="24" customHeight="1" spans="1:8" x14ac:dyDescent="0.25">
      <c r="A41" s="248"/>
      <c r="B41" s="321" t="s">
        <v>135</v>
      </c>
      <c r="C41" s="322"/>
      <c r="D41" s="322"/>
      <c r="E41" s="322"/>
      <c r="F41" s="323"/>
      <c r="G41" s="324" t="str">
        <f>+G16</f>
        <v>As at 31st March, 2026</v>
      </c>
      <c r="H41" s="324" t="str">
        <f>+H16</f>
        <v>As at 31st March, 2026</v>
      </c>
    </row>
    <row r="42" spans="2:10" x14ac:dyDescent="0.25">
      <c r="B42" s="398" t="s">
        <v>315</v>
      </c>
      <c r="C42" s="186"/>
      <c r="D42" s="186"/>
      <c r="E42" s="186"/>
      <c r="F42" s="186"/>
      <c r="G42" s="399">
        <v>0</v>
      </c>
      <c r="H42" s="332">
        <v>0</v>
      </c>
      <c r="J42" s="166"/>
    </row>
    <row r="43" spans="2:10" x14ac:dyDescent="0.25">
      <c r="B43" s="121" t="s">
        <v>316</v>
      </c>
      <c r="C43" s="193"/>
      <c r="D43" s="193"/>
      <c r="E43" s="193"/>
      <c r="F43" s="193"/>
      <c r="G43" s="400">
        <v>0</v>
      </c>
      <c r="H43" s="333">
        <v>0</v>
      </c>
      <c r="J43" s="166"/>
    </row>
    <row r="44" spans="2:10" x14ac:dyDescent="0.25">
      <c r="B44" s="121"/>
      <c r="C44" s="193"/>
      <c r="D44" s="193"/>
      <c r="E44" s="193"/>
      <c r="F44" s="193"/>
      <c r="G44" s="400"/>
      <c r="H44" s="333"/>
      <c r="J44" s="166"/>
    </row>
    <row r="45" ht="12.75" customHeight="1" spans="2:10" x14ac:dyDescent="0.25">
      <c r="B45" s="121"/>
      <c r="C45" s="193"/>
      <c r="D45" s="193"/>
      <c r="E45" s="193"/>
      <c r="F45" s="401" t="s">
        <v>317</v>
      </c>
      <c r="G45" s="402">
        <f>SUM(G42:G44)</f>
        <v>0</v>
      </c>
      <c r="H45" s="402">
        <f>SUM(H42:H44)</f>
        <v>0</v>
      </c>
      <c r="J45" s="166"/>
    </row>
    <row r="46" ht="12.75" customHeight="1" spans="2:10" x14ac:dyDescent="0.25">
      <c r="B46" s="121"/>
      <c r="C46" s="193"/>
      <c r="D46" s="193"/>
      <c r="E46" s="193"/>
      <c r="F46" s="193"/>
      <c r="G46" s="400"/>
      <c r="H46" s="333"/>
      <c r="J46" s="166"/>
    </row>
    <row r="47" spans="2:8" x14ac:dyDescent="0.25">
      <c r="B47" s="403" t="s">
        <v>318</v>
      </c>
      <c r="C47" s="193"/>
      <c r="D47" s="193"/>
      <c r="E47" s="193"/>
      <c r="F47" s="193"/>
      <c r="G47" s="400"/>
      <c r="H47" s="333"/>
    </row>
    <row r="48" spans="2:10" x14ac:dyDescent="0.25">
      <c r="B48" s="121" t="s">
        <v>319</v>
      </c>
      <c r="C48" s="193"/>
      <c r="D48" s="193"/>
      <c r="E48" s="193"/>
      <c r="F48" s="193"/>
      <c r="G48" s="400">
        <f>H54</f>
        <v>0</v>
      </c>
      <c r="H48" s="333">
        <v>0</v>
      </c>
      <c r="J48" s="166"/>
    </row>
    <row r="49" spans="2:10" x14ac:dyDescent="0.25">
      <c r="B49" s="121" t="s">
        <v>320</v>
      </c>
      <c r="C49" s="193"/>
      <c r="D49" s="193"/>
      <c r="E49" s="193"/>
      <c r="F49" s="193"/>
      <c r="G49" s="400">
        <f>PL!G38</f>
        <v>0</v>
      </c>
      <c r="H49" s="333">
        <f>PL!H38</f>
        <v>0</v>
      </c>
      <c r="J49" s="166"/>
    </row>
    <row r="50" spans="2:10" x14ac:dyDescent="0.25">
      <c r="B50" s="121" t="s">
        <v>321</v>
      </c>
      <c r="C50" s="193"/>
      <c r="D50" s="193"/>
      <c r="E50" s="193"/>
      <c r="F50" s="193"/>
      <c r="G50" s="400">
        <v>0</v>
      </c>
      <c r="H50" s="333">
        <v>0</v>
      </c>
      <c r="J50" s="166"/>
    </row>
    <row r="51" spans="2:10" x14ac:dyDescent="0.25">
      <c r="B51" s="121" t="s">
        <v>322</v>
      </c>
      <c r="C51" s="193"/>
      <c r="D51" s="193"/>
      <c r="E51" s="193"/>
      <c r="F51" s="193"/>
      <c r="G51" s="400">
        <v>0</v>
      </c>
      <c r="H51" s="333">
        <v>0</v>
      </c>
      <c r="J51" s="166"/>
    </row>
    <row r="52" ht="12.75" customHeight="1" spans="2:10" x14ac:dyDescent="0.25">
      <c r="B52" s="121"/>
      <c r="C52" s="193"/>
      <c r="D52" s="193"/>
      <c r="E52" s="193"/>
      <c r="F52" s="401" t="s">
        <v>323</v>
      </c>
      <c r="G52" s="402">
        <f>SUM(G48:G51)</f>
        <v>0</v>
      </c>
      <c r="H52" s="402">
        <f>SUM(H48:H51)</f>
        <v>0</v>
      </c>
      <c r="J52" s="166"/>
    </row>
    <row r="53" ht="6" customHeight="1" spans="2:8" x14ac:dyDescent="0.25">
      <c r="B53" s="404"/>
      <c r="C53" s="336"/>
      <c r="D53" s="336"/>
      <c r="E53" s="336"/>
      <c r="F53" s="336"/>
      <c r="G53" s="405"/>
      <c r="H53" s="406"/>
    </row>
    <row r="54" ht="13.9" customHeight="1" spans="2:10" x14ac:dyDescent="0.25">
      <c r="B54" s="407" t="s">
        <v>313</v>
      </c>
      <c r="C54" s="337"/>
      <c r="D54" s="336"/>
      <c r="E54" s="336"/>
      <c r="F54" s="408" t="s">
        <v>324</v>
      </c>
      <c r="G54" s="409">
        <f>+G45+G52</f>
        <v>0</v>
      </c>
      <c r="H54" s="409">
        <f>+H45+H52</f>
        <v>0</v>
      </c>
      <c r="J54" s="166"/>
    </row>
    <row r="55" ht="12" customHeight="1" x14ac:dyDescent="0.25"/>
    <row r="56" ht="13.15" customHeight="1" spans="2:8" x14ac:dyDescent="0.25">
      <c r="B56" s="410"/>
      <c r="C56" s="410"/>
      <c r="D56" s="411"/>
      <c r="E56" s="412"/>
      <c r="F56" s="413"/>
      <c r="G56" s="414"/>
      <c r="H56" s="414"/>
    </row>
    <row r="57" ht="15.75" customHeight="1" spans="1:8" x14ac:dyDescent="0.25">
      <c r="A57" s="290" t="str">
        <f>+A2</f>
        <v>[NAME OF THE COMPANY]</v>
      </c>
      <c r="B57" s="291"/>
      <c r="C57" s="291"/>
      <c r="D57" s="291"/>
      <c r="E57" s="291"/>
      <c r="F57" s="291"/>
      <c r="G57" s="292"/>
      <c r="H57" s="291"/>
    </row>
    <row r="58" spans="1:8" x14ac:dyDescent="0.25">
      <c r="A58" s="293"/>
      <c r="B58" s="164"/>
      <c r="C58" s="164"/>
      <c r="D58" s="164"/>
      <c r="E58" s="164"/>
      <c r="F58" s="164"/>
      <c r="G58" s="165"/>
      <c r="H58" s="294"/>
    </row>
    <row r="59" ht="12.75" customHeight="1" spans="1:8" x14ac:dyDescent="0.25">
      <c r="A59" s="295" t="str">
        <f>+A4</f>
        <v>Schedules to Balance Sheet as at 31st March, 2026</v>
      </c>
      <c r="B59" s="296"/>
      <c r="C59" s="296"/>
      <c r="D59" s="296"/>
      <c r="E59" s="296"/>
      <c r="F59" s="296"/>
      <c r="G59" s="297"/>
      <c r="H59" s="296"/>
    </row>
    <row r="60" spans="1:2" x14ac:dyDescent="0.25">
      <c r="A60" s="171" t="str">
        <f>BS!D18</f>
        <v/>
      </c>
      <c r="B60" s="167" t="s">
        <v>325</v>
      </c>
    </row>
    <row r="61" ht="24" customHeight="1" spans="2:8" x14ac:dyDescent="0.25">
      <c r="B61" s="321" t="s">
        <v>135</v>
      </c>
      <c r="C61" s="322"/>
      <c r="D61" s="322"/>
      <c r="E61" s="322"/>
      <c r="F61" s="323"/>
      <c r="G61" s="324" t="str">
        <f>+G41</f>
        <v>As at 31st March, 2026</v>
      </c>
      <c r="H61" s="324" t="str">
        <f>+H41</f>
        <v>As at 31st March, 2026</v>
      </c>
    </row>
    <row r="62" spans="2:10" x14ac:dyDescent="0.25">
      <c r="B62" s="415" t="s">
        <v>326</v>
      </c>
      <c r="C62" s="416"/>
      <c r="D62" s="416"/>
      <c r="E62" s="416"/>
      <c r="F62" s="417"/>
      <c r="G62" s="418"/>
      <c r="H62" s="419"/>
      <c r="J62" s="420" t="s">
        <v>38</v>
      </c>
    </row>
    <row r="63" spans="2:8" x14ac:dyDescent="0.25">
      <c r="B63" s="421" t="s">
        <v>327</v>
      </c>
      <c r="C63" s="193"/>
      <c r="D63" s="193"/>
      <c r="E63" s="193"/>
      <c r="F63" s="194"/>
      <c r="G63" s="333"/>
      <c r="H63" s="358"/>
    </row>
    <row r="64" spans="2:8" x14ac:dyDescent="0.25">
      <c r="B64" s="421" t="s">
        <v>328</v>
      </c>
      <c r="C64" s="193"/>
      <c r="D64" s="193"/>
      <c r="E64" s="193"/>
      <c r="F64" s="194"/>
      <c r="G64" s="333">
        <v>0</v>
      </c>
      <c r="H64" s="358">
        <v>0</v>
      </c>
    </row>
    <row r="65" spans="2:8" x14ac:dyDescent="0.25">
      <c r="B65" s="421"/>
      <c r="C65" s="193"/>
      <c r="D65" s="193"/>
      <c r="E65" s="193"/>
      <c r="F65" s="194"/>
      <c r="G65" s="333"/>
      <c r="H65" s="358"/>
    </row>
    <row r="66" spans="2:8" x14ac:dyDescent="0.25">
      <c r="B66" s="422" t="s">
        <v>326</v>
      </c>
      <c r="C66" s="193"/>
      <c r="D66" s="193"/>
      <c r="E66" s="193"/>
      <c r="F66" s="194"/>
      <c r="G66" s="333"/>
      <c r="H66" s="358"/>
    </row>
    <row r="67" spans="2:8" x14ac:dyDescent="0.25">
      <c r="B67" s="421" t="s">
        <v>329</v>
      </c>
      <c r="C67" s="193"/>
      <c r="D67" s="193"/>
      <c r="E67" s="193"/>
      <c r="F67" s="194"/>
      <c r="G67" s="333">
        <v>0</v>
      </c>
      <c r="H67" s="358">
        <v>0</v>
      </c>
    </row>
    <row r="68" spans="2:8" x14ac:dyDescent="0.25">
      <c r="B68" s="421" t="s">
        <v>330</v>
      </c>
      <c r="C68" s="193"/>
      <c r="D68" s="193"/>
      <c r="E68" s="193"/>
      <c r="F68" s="194"/>
      <c r="G68" s="333">
        <v>0</v>
      </c>
      <c r="H68" s="358">
        <v>0</v>
      </c>
    </row>
    <row r="69" spans="2:8" x14ac:dyDescent="0.25">
      <c r="B69" s="421"/>
      <c r="C69" s="193"/>
      <c r="D69" s="193"/>
      <c r="E69" s="193"/>
      <c r="F69" s="194"/>
      <c r="G69" s="406"/>
      <c r="H69" s="358"/>
    </row>
    <row r="70" ht="13.9" customHeight="1" spans="2:8" x14ac:dyDescent="0.25">
      <c r="B70" s="423" t="s">
        <v>313</v>
      </c>
      <c r="C70" s="424"/>
      <c r="D70" s="425"/>
      <c r="E70" s="425"/>
      <c r="F70" s="426"/>
      <c r="G70" s="427">
        <f>SUM(G63:G69)</f>
        <v>0</v>
      </c>
      <c r="H70" s="427">
        <f>SUM(H63:H69)</f>
        <v>0</v>
      </c>
    </row>
    <row r="71" ht="13.9" customHeight="1" spans="2:8" x14ac:dyDescent="0.25">
      <c r="B71" s="428"/>
      <c r="C71" s="428"/>
      <c r="D71" s="193"/>
      <c r="E71" s="193"/>
      <c r="F71" s="156"/>
      <c r="G71" s="429"/>
      <c r="H71" s="429"/>
    </row>
    <row r="72" spans="1:2" x14ac:dyDescent="0.25">
      <c r="A72" s="171" t="str">
        <f>BS!D20</f>
        <v/>
      </c>
      <c r="B72" s="430" t="s">
        <v>331</v>
      </c>
    </row>
    <row r="73" ht="24" customHeight="1" spans="2:8" x14ac:dyDescent="0.25">
      <c r="B73" s="321" t="s">
        <v>135</v>
      </c>
      <c r="C73" s="322"/>
      <c r="D73" s="322"/>
      <c r="E73" s="322"/>
      <c r="F73" s="323"/>
      <c r="G73" s="300" t="str">
        <f>+G61</f>
        <v>As at 31st March, 2026</v>
      </c>
      <c r="H73" s="300" t="str">
        <f>+H61</f>
        <v>As at 31st March, 2026</v>
      </c>
    </row>
    <row r="74" spans="2:8" x14ac:dyDescent="0.25">
      <c r="B74" s="415"/>
      <c r="C74" s="416"/>
      <c r="D74" s="416"/>
      <c r="E74" s="416"/>
      <c r="F74" s="417"/>
      <c r="G74" s="431"/>
      <c r="H74" s="432"/>
    </row>
    <row r="75" spans="2:8" x14ac:dyDescent="0.25">
      <c r="B75" s="421" t="s">
        <v>332</v>
      </c>
      <c r="C75" s="193"/>
      <c r="D75" s="193"/>
      <c r="E75" s="193"/>
      <c r="F75" s="194"/>
      <c r="G75" s="333">
        <v>0</v>
      </c>
      <c r="H75" s="333">
        <v>0</v>
      </c>
    </row>
    <row r="76" spans="2:8" x14ac:dyDescent="0.25">
      <c r="B76" s="433" t="s">
        <v>333</v>
      </c>
      <c r="C76" s="164"/>
      <c r="D76" s="164"/>
      <c r="E76" s="164"/>
      <c r="F76" s="194"/>
      <c r="G76" s="333">
        <v>0</v>
      </c>
      <c r="H76" s="333">
        <v>0</v>
      </c>
    </row>
    <row r="77" spans="2:8" x14ac:dyDescent="0.25">
      <c r="B77" s="433" t="s">
        <v>334</v>
      </c>
      <c r="C77" s="164"/>
      <c r="D77" s="164"/>
      <c r="E77" s="164"/>
      <c r="F77" s="194"/>
      <c r="G77" s="333">
        <v>0</v>
      </c>
      <c r="H77" s="333">
        <v>0</v>
      </c>
    </row>
    <row r="78" spans="2:8" x14ac:dyDescent="0.25">
      <c r="B78" s="421"/>
      <c r="C78" s="193"/>
      <c r="D78" s="193"/>
      <c r="E78" s="193"/>
      <c r="F78" s="194"/>
      <c r="G78" s="406"/>
      <c r="H78" s="406"/>
    </row>
    <row r="79" ht="13.9" customHeight="1" spans="2:8" x14ac:dyDescent="0.25">
      <c r="B79" s="423" t="s">
        <v>313</v>
      </c>
      <c r="C79" s="424"/>
      <c r="D79" s="425"/>
      <c r="E79" s="425"/>
      <c r="F79" s="426"/>
      <c r="G79" s="427">
        <f>SUM(G75:G78)</f>
        <v>0</v>
      </c>
      <c r="H79" s="427">
        <f>SUM(H75:H78)</f>
        <v>0</v>
      </c>
    </row>
    <row r="80" ht="13.9" customHeight="1" spans="2:8" x14ac:dyDescent="0.25">
      <c r="B80" s="428"/>
      <c r="C80" s="428"/>
      <c r="D80" s="193"/>
      <c r="E80" s="193"/>
      <c r="F80" s="156"/>
      <c r="G80" s="429"/>
      <c r="H80" s="429"/>
    </row>
    <row r="81" spans="1:2" x14ac:dyDescent="0.25">
      <c r="A81" s="171" t="str">
        <f>BS!D21</f>
        <v/>
      </c>
      <c r="B81" s="167" t="s">
        <v>335</v>
      </c>
    </row>
    <row r="82" ht="24" customHeight="1" spans="2:8" x14ac:dyDescent="0.25">
      <c r="B82" s="321" t="s">
        <v>135</v>
      </c>
      <c r="C82" s="322"/>
      <c r="D82" s="322"/>
      <c r="E82" s="322"/>
      <c r="F82" s="323"/>
      <c r="G82" s="300" t="str">
        <f>+G73</f>
        <v>As at 31st March, 2026</v>
      </c>
      <c r="H82" s="300" t="str">
        <f>+H73</f>
        <v>As at 31st March, 2026</v>
      </c>
    </row>
    <row r="83" spans="2:8" x14ac:dyDescent="0.25">
      <c r="B83" s="415"/>
      <c r="C83" s="416"/>
      <c r="D83" s="416"/>
      <c r="E83" s="416"/>
      <c r="F83" s="417"/>
      <c r="G83" s="431"/>
      <c r="H83" s="418"/>
    </row>
    <row r="84" spans="2:8" x14ac:dyDescent="0.25">
      <c r="B84" s="434" t="s">
        <v>336</v>
      </c>
      <c r="C84" s="193"/>
      <c r="D84" s="193"/>
      <c r="E84" s="193"/>
      <c r="F84" s="194"/>
      <c r="G84" s="333">
        <v>0</v>
      </c>
      <c r="H84" s="333">
        <v>0</v>
      </c>
    </row>
    <row r="85" spans="2:8" x14ac:dyDescent="0.25">
      <c r="B85" s="433" t="s">
        <v>337</v>
      </c>
      <c r="C85" s="164"/>
      <c r="D85" s="164"/>
      <c r="E85" s="164"/>
      <c r="F85" s="194"/>
      <c r="G85" s="333">
        <v>0</v>
      </c>
      <c r="H85" s="333">
        <v>0</v>
      </c>
    </row>
    <row r="86" spans="2:8" x14ac:dyDescent="0.25">
      <c r="B86" s="421"/>
      <c r="C86" s="193"/>
      <c r="D86" s="193"/>
      <c r="E86" s="193"/>
      <c r="F86" s="194"/>
      <c r="G86" s="238"/>
      <c r="H86" s="406"/>
    </row>
    <row r="87" ht="13.9" customHeight="1" spans="2:8" x14ac:dyDescent="0.25">
      <c r="B87" s="423" t="s">
        <v>313</v>
      </c>
      <c r="C87" s="424"/>
      <c r="D87" s="425"/>
      <c r="E87" s="425"/>
      <c r="F87" s="426"/>
      <c r="G87" s="427">
        <f>SUM(G84:G86)</f>
        <v>0</v>
      </c>
      <c r="H87" s="427">
        <f>SUM(H84:H86)</f>
        <v>0</v>
      </c>
    </row>
    <row r="88" ht="13.9" customHeight="1" spans="2:8" x14ac:dyDescent="0.25">
      <c r="B88" s="428"/>
      <c r="C88" s="428"/>
      <c r="D88" s="193"/>
      <c r="E88" s="193"/>
      <c r="F88" s="156"/>
      <c r="G88" s="429"/>
      <c r="H88" s="429"/>
    </row>
    <row r="89" spans="1:2" x14ac:dyDescent="0.25">
      <c r="A89" s="171" t="str">
        <f>BS!D24</f>
        <v/>
      </c>
      <c r="B89" s="167" t="s">
        <v>338</v>
      </c>
    </row>
    <row r="90" ht="24" customHeight="1" spans="2:8" x14ac:dyDescent="0.25">
      <c r="B90" s="321" t="s">
        <v>135</v>
      </c>
      <c r="C90" s="322"/>
      <c r="D90" s="322"/>
      <c r="E90" s="322"/>
      <c r="F90" s="323"/>
      <c r="G90" s="300" t="str">
        <f>+G82</f>
        <v>As at 31st March, 2026</v>
      </c>
      <c r="H90" s="300" t="str">
        <f>+H82</f>
        <v>As at 31st March, 2026</v>
      </c>
    </row>
    <row r="91" spans="2:8" x14ac:dyDescent="0.25">
      <c r="B91" s="435" t="s">
        <v>339</v>
      </c>
      <c r="C91" s="416"/>
      <c r="D91" s="416"/>
      <c r="E91" s="416"/>
      <c r="F91" s="417"/>
      <c r="G91" s="431"/>
      <c r="H91" s="418"/>
    </row>
    <row r="92" spans="2:8" x14ac:dyDescent="0.25">
      <c r="B92" s="434" t="s">
        <v>340</v>
      </c>
      <c r="C92" s="193"/>
      <c r="D92" s="193"/>
      <c r="E92" s="193"/>
      <c r="F92" s="194"/>
      <c r="G92" s="333">
        <v>0</v>
      </c>
      <c r="H92" s="333">
        <v>0</v>
      </c>
    </row>
    <row r="93" spans="2:8" x14ac:dyDescent="0.25">
      <c r="B93" s="434" t="s">
        <v>341</v>
      </c>
      <c r="C93" s="193"/>
      <c r="D93" s="193"/>
      <c r="E93" s="193"/>
      <c r="F93" s="194"/>
      <c r="G93" s="333"/>
      <c r="H93" s="333"/>
    </row>
    <row r="94" spans="2:8" x14ac:dyDescent="0.25">
      <c r="B94" s="434" t="s">
        <v>342</v>
      </c>
      <c r="C94" s="193"/>
      <c r="D94" s="193"/>
      <c r="E94" s="193"/>
      <c r="F94" s="194"/>
      <c r="G94" s="333"/>
      <c r="H94" s="333"/>
    </row>
    <row r="95" spans="2:8" x14ac:dyDescent="0.25">
      <c r="B95" s="434"/>
      <c r="C95" s="193"/>
      <c r="D95" s="193"/>
      <c r="E95" s="193"/>
      <c r="F95" s="401"/>
      <c r="G95" s="333"/>
      <c r="H95" s="333"/>
    </row>
    <row r="96" spans="2:8" x14ac:dyDescent="0.25">
      <c r="B96" s="436" t="s">
        <v>343</v>
      </c>
      <c r="C96" s="193"/>
      <c r="D96" s="193"/>
      <c r="E96" s="193"/>
      <c r="F96" s="194"/>
      <c r="G96" s="333"/>
      <c r="H96" s="333"/>
    </row>
    <row r="97" spans="2:8" x14ac:dyDescent="0.25">
      <c r="B97" s="421" t="s">
        <v>344</v>
      </c>
      <c r="C97" s="193"/>
      <c r="D97" s="193"/>
      <c r="E97" s="193"/>
      <c r="F97" s="194"/>
      <c r="G97" s="333">
        <v>0</v>
      </c>
      <c r="H97" s="333">
        <v>0</v>
      </c>
    </row>
    <row r="98" spans="2:8" x14ac:dyDescent="0.25">
      <c r="B98" s="421" t="s">
        <v>345</v>
      </c>
      <c r="C98" s="193"/>
      <c r="D98" s="193"/>
      <c r="E98" s="193"/>
      <c r="F98" s="194"/>
      <c r="G98" s="333">
        <v>0</v>
      </c>
      <c r="H98" s="333">
        <v>0</v>
      </c>
    </row>
    <row r="99" spans="2:8" x14ac:dyDescent="0.25">
      <c r="B99" s="421"/>
      <c r="C99" s="193"/>
      <c r="D99" s="193"/>
      <c r="E99" s="193"/>
      <c r="F99" s="194"/>
      <c r="G99" s="238"/>
      <c r="H99" s="406"/>
    </row>
    <row r="100" ht="13.9" customHeight="1" spans="2:8" x14ac:dyDescent="0.25">
      <c r="B100" s="423" t="s">
        <v>313</v>
      </c>
      <c r="C100" s="424"/>
      <c r="D100" s="437"/>
      <c r="E100" s="437"/>
      <c r="F100" s="426"/>
      <c r="G100" s="427">
        <f>SUM(G92:G99)</f>
        <v>0</v>
      </c>
      <c r="H100" s="427">
        <f>SUM(H92:H99)</f>
        <v>0</v>
      </c>
    </row>
    <row r="101" ht="13.9" customHeight="1" spans="2:8" x14ac:dyDescent="0.25">
      <c r="B101" s="428"/>
      <c r="C101" s="428"/>
      <c r="D101" s="193"/>
      <c r="E101" s="193"/>
      <c r="F101" s="156"/>
      <c r="G101" s="429"/>
      <c r="H101" s="429"/>
    </row>
    <row r="102" spans="1:2" x14ac:dyDescent="0.25">
      <c r="A102" s="171" t="str">
        <f>BS!D25</f>
        <v/>
      </c>
      <c r="B102" s="167" t="s">
        <v>346</v>
      </c>
    </row>
    <row r="103" ht="24" customHeight="1" spans="2:8" x14ac:dyDescent="0.25">
      <c r="B103" s="321" t="s">
        <v>135</v>
      </c>
      <c r="C103" s="322"/>
      <c r="D103" s="322"/>
      <c r="E103" s="322"/>
      <c r="F103" s="323"/>
      <c r="G103" s="300" t="str">
        <f>+G90</f>
        <v>As at 31st March, 2026</v>
      </c>
      <c r="H103" s="300" t="str">
        <f>+H90</f>
        <v>As at 31st March, 2026</v>
      </c>
    </row>
    <row r="104" spans="2:8" x14ac:dyDescent="0.25">
      <c r="B104" s="415"/>
      <c r="C104" s="416"/>
      <c r="D104" s="416"/>
      <c r="E104" s="416"/>
      <c r="F104" s="417"/>
      <c r="G104" s="431"/>
      <c r="H104" s="418"/>
    </row>
    <row r="105" spans="2:8" x14ac:dyDescent="0.25">
      <c r="B105" s="421" t="s">
        <v>347</v>
      </c>
      <c r="C105" s="193"/>
      <c r="D105" s="193"/>
      <c r="E105" s="193"/>
      <c r="F105" s="194"/>
      <c r="G105" s="333">
        <v>0</v>
      </c>
      <c r="H105" s="333">
        <v>0</v>
      </c>
    </row>
    <row r="106" spans="2:8" x14ac:dyDescent="0.25">
      <c r="B106" s="433" t="s">
        <v>348</v>
      </c>
      <c r="C106" s="164"/>
      <c r="D106" s="164"/>
      <c r="E106" s="164"/>
      <c r="F106" s="194"/>
      <c r="G106" s="333">
        <v>0</v>
      </c>
      <c r="H106" s="333">
        <v>0</v>
      </c>
    </row>
    <row r="107" spans="2:8" x14ac:dyDescent="0.25">
      <c r="B107" s="421"/>
      <c r="C107" s="193"/>
      <c r="D107" s="193"/>
      <c r="E107" s="193"/>
      <c r="F107" s="194"/>
      <c r="G107" s="238"/>
      <c r="H107" s="406"/>
    </row>
    <row r="108" ht="13.9" customHeight="1" spans="2:8" x14ac:dyDescent="0.25">
      <c r="B108" s="423" t="s">
        <v>313</v>
      </c>
      <c r="C108" s="424"/>
      <c r="D108" s="437"/>
      <c r="E108" s="437"/>
      <c r="F108" s="426"/>
      <c r="G108" s="427">
        <f>SUM(G105:G107)</f>
        <v>0</v>
      </c>
      <c r="H108" s="427">
        <f>SUM(H105:H107)</f>
        <v>0</v>
      </c>
    </row>
    <row r="109" ht="13.9" customHeight="1" spans="2:8" x14ac:dyDescent="0.25">
      <c r="B109" s="428"/>
      <c r="C109" s="428"/>
      <c r="D109" s="193"/>
      <c r="E109" s="193"/>
      <c r="F109" s="156"/>
      <c r="G109" s="429"/>
      <c r="H109" s="429"/>
    </row>
    <row r="110" ht="13.9" customHeight="1" spans="2:8" x14ac:dyDescent="0.25">
      <c r="B110" s="428"/>
      <c r="C110" s="428"/>
      <c r="D110" s="193"/>
      <c r="E110" s="193"/>
      <c r="F110" s="156"/>
      <c r="G110" s="429"/>
      <c r="H110" s="429"/>
    </row>
    <row r="111" ht="15.75" customHeight="1" spans="1:8" x14ac:dyDescent="0.25">
      <c r="A111" s="290" t="str">
        <f>+A57</f>
        <v>[NAME OF THE COMPANY]</v>
      </c>
      <c r="B111" s="291"/>
      <c r="C111" s="291"/>
      <c r="D111" s="291"/>
      <c r="E111" s="291"/>
      <c r="F111" s="291"/>
      <c r="G111" s="292"/>
      <c r="H111" s="291"/>
    </row>
    <row r="112" spans="1:8" x14ac:dyDescent="0.25">
      <c r="A112" s="293"/>
      <c r="B112" s="164"/>
      <c r="C112" s="164"/>
      <c r="D112" s="164"/>
      <c r="E112" s="164"/>
      <c r="F112" s="164"/>
      <c r="G112" s="165"/>
      <c r="H112" s="294"/>
    </row>
    <row r="113" ht="12.75" customHeight="1" spans="1:8" x14ac:dyDescent="0.25">
      <c r="A113" s="295" t="str">
        <f>+A59</f>
        <v>Schedules to Balance Sheet as at 31st March, 2026</v>
      </c>
      <c r="B113" s="296"/>
      <c r="C113" s="296"/>
      <c r="D113" s="296"/>
      <c r="E113" s="296"/>
      <c r="F113" s="296"/>
      <c r="G113" s="297"/>
      <c r="H113" s="296"/>
    </row>
    <row r="114" ht="6.95" customHeight="1" spans="1:8" x14ac:dyDescent="0.25">
      <c r="A114" s="295"/>
      <c r="B114" s="296"/>
      <c r="C114" s="296"/>
      <c r="D114" s="296"/>
      <c r="E114" s="296"/>
      <c r="F114" s="296"/>
      <c r="G114" s="297"/>
      <c r="H114" s="296"/>
    </row>
    <row r="115" ht="13.15" customHeight="1" spans="2:8" x14ac:dyDescent="0.25">
      <c r="B115" s="438" t="s">
        <v>349</v>
      </c>
      <c r="C115" s="439"/>
      <c r="D115" s="439"/>
      <c r="E115" s="439"/>
      <c r="F115" s="440"/>
      <c r="G115" s="441"/>
      <c r="H115" s="442"/>
    </row>
    <row r="116" ht="21.75" customHeight="1" spans="2:8" x14ac:dyDescent="0.25">
      <c r="B116" s="443" t="s">
        <v>135</v>
      </c>
      <c r="C116" s="444"/>
      <c r="D116" s="445" t="s">
        <v>350</v>
      </c>
      <c r="E116" s="446"/>
      <c r="F116" s="446"/>
      <c r="G116" s="446"/>
      <c r="H116" s="447" t="s">
        <v>313</v>
      </c>
    </row>
    <row r="117" ht="28.5" customHeight="1" spans="2:10" x14ac:dyDescent="0.25">
      <c r="B117" s="448"/>
      <c r="C117"/>
      <c r="D117" s="449" t="s">
        <v>351</v>
      </c>
      <c r="E117" s="449" t="s">
        <v>352</v>
      </c>
      <c r="F117" s="449" t="s">
        <v>353</v>
      </c>
      <c r="G117" s="449" t="s">
        <v>354</v>
      </c>
      <c r="H117" s="450"/>
      <c r="J117" s="451" t="s">
        <v>38</v>
      </c>
    </row>
    <row r="118" ht="15" customHeight="1" spans="2:11" x14ac:dyDescent="0.25">
      <c r="B118" s="452" t="s">
        <v>355</v>
      </c>
      <c r="C118" s="444"/>
      <c r="D118" s="453">
        <f>G105</f>
        <v>0</v>
      </c>
      <c r="E118" s="453">
        <v>0</v>
      </c>
      <c r="F118" s="453">
        <v>0</v>
      </c>
      <c r="G118" s="454">
        <v>0</v>
      </c>
      <c r="H118" s="455">
        <f>SUM(D118:G118)</f>
        <v>0</v>
      </c>
      <c r="J118" s="164" t="s">
        <v>356</v>
      </c>
      <c r="K118" s="164" t="s">
        <v>357</v>
      </c>
    </row>
    <row r="119" ht="15" customHeight="1" spans="2:18" x14ac:dyDescent="0.25">
      <c r="B119" s="456" t="s">
        <v>358</v>
      </c>
      <c r="C119" s="457"/>
      <c r="D119" s="453">
        <f>G106</f>
        <v>0</v>
      </c>
      <c r="E119" s="453">
        <v>0</v>
      </c>
      <c r="F119" s="453">
        <v>0</v>
      </c>
      <c r="G119" s="454">
        <v>0</v>
      </c>
      <c r="H119" s="453">
        <f>SUM(D119:G119)</f>
        <v>0</v>
      </c>
      <c r="J119" s="164" t="s">
        <v>359</v>
      </c>
      <c r="L119" s="164" t="s">
        <v>360</v>
      </c>
      <c r="Q119" s="164">
        <v>17565774</v>
      </c>
      <c r="R119" s="164">
        <v>0</v>
      </c>
    </row>
    <row r="120" ht="15" customHeight="1" spans="2:18" x14ac:dyDescent="0.25">
      <c r="B120" s="456" t="s">
        <v>361</v>
      </c>
      <c r="C120" s="457"/>
      <c r="D120" s="453">
        <v>0</v>
      </c>
      <c r="E120" s="453">
        <v>0</v>
      </c>
      <c r="F120" s="453">
        <v>0</v>
      </c>
      <c r="G120" s="454">
        <v>0</v>
      </c>
      <c r="H120" s="455">
        <f>SUM(D120:G120)</f>
        <v>0</v>
      </c>
      <c r="L120" s="164" t="s">
        <v>362</v>
      </c>
      <c r="Q120" s="164">
        <v>0</v>
      </c>
      <c r="R120" s="164">
        <v>0</v>
      </c>
    </row>
    <row r="121" ht="15" customHeight="1" spans="2:18" x14ac:dyDescent="0.25">
      <c r="B121" s="458" t="s">
        <v>363</v>
      </c>
      <c r="C121" s="457"/>
      <c r="D121" s="453">
        <v>0</v>
      </c>
      <c r="E121" s="453">
        <v>0</v>
      </c>
      <c r="F121" s="453">
        <v>0</v>
      </c>
      <c r="G121" s="454">
        <v>0</v>
      </c>
      <c r="H121" s="455">
        <f>SUM(D121:G121)</f>
        <v>0</v>
      </c>
      <c r="L121" s="164" t="s">
        <v>364</v>
      </c>
      <c r="Q121" s="164">
        <v>0</v>
      </c>
      <c r="R121" s="164">
        <v>0</v>
      </c>
    </row>
    <row r="122" ht="15.75" customHeight="1" spans="2:18" x14ac:dyDescent="0.25">
      <c r="B122" s="459"/>
      <c r="C122" s="460"/>
      <c r="D122" s="461"/>
      <c r="E122" s="461"/>
      <c r="F122" s="461"/>
      <c r="G122" s="462"/>
      <c r="H122" s="463"/>
      <c r="L122" s="164" t="s">
        <v>365</v>
      </c>
      <c r="Q122" s="164">
        <v>0</v>
      </c>
      <c r="R122" s="164">
        <v>0</v>
      </c>
    </row>
    <row r="123" ht="15.75" customHeight="1" spans="2:8" x14ac:dyDescent="0.25">
      <c r="B123" s="277"/>
      <c r="D123" s="92"/>
      <c r="E123" s="92"/>
      <c r="F123" s="92"/>
      <c r="G123" s="92"/>
      <c r="H123" s="464"/>
    </row>
    <row r="124" ht="13.15" customHeight="1" spans="2:18" x14ac:dyDescent="0.25">
      <c r="B124" s="438" t="s">
        <v>366</v>
      </c>
      <c r="C124" s="439"/>
      <c r="D124" s="439"/>
      <c r="E124" s="439"/>
      <c r="F124" s="440"/>
      <c r="G124" s="441"/>
      <c r="H124" s="442"/>
      <c r="J124" s="164" t="s">
        <v>367</v>
      </c>
      <c r="L124" s="164" t="s">
        <v>360</v>
      </c>
      <c r="Q124" s="164">
        <v>41336817</v>
      </c>
      <c r="R124" s="164">
        <v>0</v>
      </c>
    </row>
    <row r="125" ht="21.75" customHeight="1" spans="2:18" x14ac:dyDescent="0.25">
      <c r="B125" s="443" t="s">
        <v>135</v>
      </c>
      <c r="C125" s="465"/>
      <c r="D125" s="445" t="s">
        <v>350</v>
      </c>
      <c r="E125" s="466"/>
      <c r="F125" s="466"/>
      <c r="G125" s="466"/>
      <c r="H125" s="467" t="s">
        <v>313</v>
      </c>
      <c r="L125" s="164" t="s">
        <v>362</v>
      </c>
      <c r="Q125" s="164">
        <v>0</v>
      </c>
      <c r="R125" s="164">
        <v>31761892</v>
      </c>
    </row>
    <row r="126" ht="28.5" customHeight="1" spans="2:18" x14ac:dyDescent="0.25">
      <c r="B126" s="468"/>
      <c r="C126" s="99"/>
      <c r="D126" s="469" t="s">
        <v>351</v>
      </c>
      <c r="E126" s="469" t="s">
        <v>352</v>
      </c>
      <c r="F126" s="469" t="s">
        <v>353</v>
      </c>
      <c r="G126" s="469" t="s">
        <v>354</v>
      </c>
      <c r="H126" s="470"/>
      <c r="L126" s="164" t="s">
        <v>364</v>
      </c>
      <c r="Q126" s="164">
        <v>0</v>
      </c>
      <c r="R126" s="164">
        <v>0</v>
      </c>
    </row>
    <row r="127" ht="15" customHeight="1" spans="2:18" x14ac:dyDescent="0.25">
      <c r="B127" s="452" t="s">
        <v>355</v>
      </c>
      <c r="C127" s="465"/>
      <c r="D127" s="453">
        <f>+H105</f>
        <v>0</v>
      </c>
      <c r="E127" s="453">
        <v>0</v>
      </c>
      <c r="F127" s="453">
        <v>0</v>
      </c>
      <c r="G127" s="454">
        <v>0</v>
      </c>
      <c r="H127" s="455">
        <f>SUM(D127:G127)</f>
        <v>0</v>
      </c>
      <c r="L127" s="164" t="s">
        <v>365</v>
      </c>
      <c r="Q127" s="164">
        <v>0</v>
      </c>
      <c r="R127" s="164">
        <v>0</v>
      </c>
    </row>
    <row r="128" ht="15" customHeight="1" spans="2:8" x14ac:dyDescent="0.25">
      <c r="B128" s="456" t="s">
        <v>358</v>
      </c>
      <c r="C128" s="471"/>
      <c r="D128" s="453">
        <f>+H106</f>
        <v>0</v>
      </c>
      <c r="E128" s="453">
        <v>0</v>
      </c>
      <c r="F128" s="453">
        <v>0</v>
      </c>
      <c r="G128" s="454">
        <v>0</v>
      </c>
      <c r="H128" s="453">
        <f>SUM(D128:G128)</f>
        <v>0</v>
      </c>
    </row>
    <row r="129" ht="15" customHeight="1" spans="2:18" x14ac:dyDescent="0.25">
      <c r="B129" s="456" t="s">
        <v>361</v>
      </c>
      <c r="C129" s="471"/>
      <c r="D129" s="453">
        <v>0</v>
      </c>
      <c r="E129" s="453">
        <v>0</v>
      </c>
      <c r="F129" s="453">
        <v>0</v>
      </c>
      <c r="G129" s="454">
        <v>0</v>
      </c>
      <c r="H129" s="455">
        <f>SUM(D129:G129)</f>
        <v>0</v>
      </c>
      <c r="J129" s="164" t="s">
        <v>368</v>
      </c>
      <c r="Q129" s="164">
        <v>0</v>
      </c>
      <c r="R129" s="164">
        <v>0</v>
      </c>
    </row>
    <row r="130" ht="15" customHeight="1" spans="2:18" x14ac:dyDescent="0.25">
      <c r="B130" s="458" t="s">
        <v>363</v>
      </c>
      <c r="C130" s="471"/>
      <c r="D130" s="453">
        <v>0</v>
      </c>
      <c r="E130" s="453">
        <v>0</v>
      </c>
      <c r="F130" s="453">
        <v>0</v>
      </c>
      <c r="G130" s="454">
        <v>0</v>
      </c>
      <c r="H130" s="455">
        <f>SUM(D130:G130)</f>
        <v>0</v>
      </c>
      <c r="J130" s="164" t="s">
        <v>369</v>
      </c>
      <c r="Q130" s="164">
        <v>0</v>
      </c>
      <c r="R130" s="164">
        <v>0</v>
      </c>
    </row>
    <row r="131" ht="15.75" customHeight="1" spans="2:8" x14ac:dyDescent="0.25">
      <c r="B131" s="459"/>
      <c r="C131" s="472"/>
      <c r="D131" s="461"/>
      <c r="E131" s="461"/>
      <c r="F131" s="461"/>
      <c r="G131" s="462"/>
      <c r="H131" s="463"/>
    </row>
    <row r="132" ht="6.95" customHeight="1" spans="2:8" x14ac:dyDescent="0.25">
      <c r="B132" s="473"/>
      <c r="C132" s="473"/>
      <c r="D132" s="474"/>
      <c r="E132" s="474"/>
      <c r="F132" s="474"/>
      <c r="G132" s="474"/>
      <c r="H132" s="475"/>
    </row>
    <row r="133" ht="13.15" customHeight="1" spans="2:8" x14ac:dyDescent="0.25">
      <c r="B133" s="476" t="s">
        <v>370</v>
      </c>
      <c r="C133" s="473"/>
      <c r="D133" s="473"/>
      <c r="E133" s="473"/>
      <c r="F133" s="473"/>
      <c r="G133" s="477"/>
      <c r="H133" s="478"/>
    </row>
    <row r="134" ht="13.15" customHeight="1" spans="2:8" x14ac:dyDescent="0.25">
      <c r="B134" s="163" t="s">
        <v>371</v>
      </c>
      <c r="C134" s="473"/>
      <c r="D134" s="473"/>
      <c r="E134" s="473"/>
      <c r="F134" s="473"/>
      <c r="G134" s="477"/>
      <c r="H134" s="478"/>
    </row>
    <row r="135" ht="26.45" customHeight="1" spans="2:8" x14ac:dyDescent="0.25">
      <c r="B135" s="479" t="s">
        <v>372</v>
      </c>
      <c r="C135" s="479"/>
      <c r="D135" s="479"/>
      <c r="E135" s="479"/>
      <c r="F135" s="479"/>
      <c r="G135" s="479"/>
      <c r="H135" s="479"/>
    </row>
    <row r="136" spans="2:8" x14ac:dyDescent="0.25">
      <c r="B136" s="282"/>
      <c r="C136" s="90"/>
      <c r="D136" s="90"/>
      <c r="E136" s="90"/>
      <c r="F136" s="90"/>
      <c r="G136" s="92"/>
      <c r="H136" s="90"/>
    </row>
    <row r="137" spans="1:2" x14ac:dyDescent="0.25">
      <c r="A137" s="171">
        <f>BS!D28</f>
        <v>9</v>
      </c>
      <c r="B137" s="167" t="s">
        <v>258</v>
      </c>
    </row>
    <row r="138" ht="24" customHeight="1" spans="2:8" x14ac:dyDescent="0.25">
      <c r="B138" s="321" t="s">
        <v>135</v>
      </c>
      <c r="C138" s="322"/>
      <c r="D138" s="322"/>
      <c r="E138" s="322"/>
      <c r="F138" s="323"/>
      <c r="G138" s="300" t="str">
        <f>+G103</f>
        <v>As at 31st March, 2026</v>
      </c>
      <c r="H138" s="300" t="str">
        <f>+H103</f>
        <v>As at 31st March, 2026</v>
      </c>
    </row>
    <row r="139" spans="2:8" x14ac:dyDescent="0.25">
      <c r="B139" s="344"/>
      <c r="C139" s="480"/>
      <c r="D139" s="480"/>
      <c r="E139" s="480"/>
      <c r="F139" s="481"/>
      <c r="G139" s="482"/>
      <c r="H139" s="483"/>
    </row>
    <row r="140" spans="2:8" x14ac:dyDescent="0.25">
      <c r="B140" s="421" t="s">
        <v>373</v>
      </c>
      <c r="C140" s="193"/>
      <c r="D140" s="193"/>
      <c r="E140" s="193"/>
      <c r="F140" s="194"/>
      <c r="G140" s="238">
        <v>0</v>
      </c>
      <c r="H140" s="333">
        <v>0</v>
      </c>
    </row>
    <row r="141" spans="2:8" x14ac:dyDescent="0.25">
      <c r="B141" s="421" t="s">
        <v>374</v>
      </c>
      <c r="C141" s="193"/>
      <c r="D141" s="193"/>
      <c r="E141" s="193"/>
      <c r="F141" s="194"/>
      <c r="G141" s="238">
        <v>0</v>
      </c>
      <c r="H141" s="333">
        <v>0</v>
      </c>
    </row>
    <row r="142" spans="2:11" x14ac:dyDescent="0.25">
      <c r="B142" s="421" t="s">
        <v>375</v>
      </c>
      <c r="C142" s="193"/>
      <c r="D142" s="193"/>
      <c r="E142" s="193"/>
      <c r="F142" s="194"/>
      <c r="G142" s="238">
        <v>0</v>
      </c>
      <c r="H142" s="333">
        <v>0</v>
      </c>
      <c r="I142" s="166"/>
      <c r="J142" s="166"/>
      <c r="K142" s="166"/>
    </row>
    <row r="143" spans="2:11" x14ac:dyDescent="0.25">
      <c r="B143" s="421" t="s">
        <v>376</v>
      </c>
      <c r="C143" s="193"/>
      <c r="D143" s="193"/>
      <c r="E143" s="193"/>
      <c r="F143" s="194"/>
      <c r="G143" s="238">
        <v>0</v>
      </c>
      <c r="H143" s="333">
        <v>0</v>
      </c>
      <c r="I143" s="166"/>
      <c r="J143" s="166"/>
      <c r="K143" s="166"/>
    </row>
    <row r="144" spans="2:8" x14ac:dyDescent="0.25">
      <c r="B144" s="421" t="s">
        <v>377</v>
      </c>
      <c r="C144" s="193"/>
      <c r="D144" s="193"/>
      <c r="E144" s="193"/>
      <c r="F144" s="194"/>
      <c r="G144" s="238">
        <v>0</v>
      </c>
      <c r="H144" s="333">
        <v>0</v>
      </c>
    </row>
    <row r="145" spans="2:8" x14ac:dyDescent="0.25">
      <c r="B145" s="421" t="s">
        <v>378</v>
      </c>
      <c r="C145" s="193"/>
      <c r="D145" s="193"/>
      <c r="E145" s="193"/>
      <c r="F145" s="194"/>
      <c r="G145" s="238">
        <v>0</v>
      </c>
      <c r="H145" s="333">
        <v>0</v>
      </c>
    </row>
    <row r="146" spans="2:8" x14ac:dyDescent="0.25">
      <c r="B146" s="421"/>
      <c r="C146" s="193"/>
      <c r="D146" s="193"/>
      <c r="E146" s="193"/>
      <c r="F146" s="194"/>
      <c r="G146" s="238"/>
      <c r="H146" s="333"/>
    </row>
    <row r="147" ht="13.9" customHeight="1" spans="2:8" x14ac:dyDescent="0.25">
      <c r="B147" s="423" t="s">
        <v>313</v>
      </c>
      <c r="C147" s="424"/>
      <c r="D147" s="437"/>
      <c r="E147" s="437"/>
      <c r="F147" s="426"/>
      <c r="G147" s="427">
        <f>SUM(G140:G146)</f>
        <v>0</v>
      </c>
      <c r="H147" s="427">
        <f>SUM(H140:H145)</f>
        <v>0</v>
      </c>
    </row>
    <row r="148" ht="12" customHeight="1" spans="2:8" x14ac:dyDescent="0.25">
      <c r="B148" s="193"/>
      <c r="C148" s="193"/>
      <c r="D148" s="193"/>
      <c r="E148" s="193"/>
      <c r="F148" s="193"/>
      <c r="G148" s="484"/>
      <c r="H148" s="484"/>
    </row>
    <row r="149" spans="1:2" x14ac:dyDescent="0.25">
      <c r="A149" s="171" t="str">
        <f>BS!D29</f>
        <v/>
      </c>
      <c r="B149" s="167" t="s">
        <v>379</v>
      </c>
    </row>
    <row r="150" ht="24" customHeight="1" spans="2:8" x14ac:dyDescent="0.25">
      <c r="B150" s="321" t="s">
        <v>135</v>
      </c>
      <c r="C150" s="322"/>
      <c r="D150" s="322"/>
      <c r="E150" s="322"/>
      <c r="F150" s="323"/>
      <c r="G150" s="300" t="str">
        <f>+G138</f>
        <v>As at 31st March, 2026</v>
      </c>
      <c r="H150" s="300" t="str">
        <f>+H138</f>
        <v>As at 31st March, 2026</v>
      </c>
    </row>
    <row r="151" spans="2:8" x14ac:dyDescent="0.25">
      <c r="B151" s="415"/>
      <c r="C151" s="416"/>
      <c r="D151" s="416"/>
      <c r="E151" s="416"/>
      <c r="F151" s="417"/>
      <c r="G151" s="431"/>
      <c r="H151" s="418"/>
    </row>
    <row r="152" spans="2:8" x14ac:dyDescent="0.25">
      <c r="B152" s="434" t="s">
        <v>336</v>
      </c>
      <c r="C152" s="193"/>
      <c r="D152" s="193"/>
      <c r="E152" s="193"/>
      <c r="F152" s="194"/>
      <c r="G152" s="333">
        <v>0</v>
      </c>
      <c r="H152" s="333">
        <v>0</v>
      </c>
    </row>
    <row r="153" spans="2:8" x14ac:dyDescent="0.25">
      <c r="B153" s="433" t="s">
        <v>380</v>
      </c>
      <c r="C153" s="164"/>
      <c r="D153" s="164"/>
      <c r="E153" s="164"/>
      <c r="F153" s="194"/>
      <c r="G153" s="333">
        <v>0</v>
      </c>
      <c r="H153" s="333">
        <v>0</v>
      </c>
    </row>
    <row r="154" spans="2:8" x14ac:dyDescent="0.25">
      <c r="B154" s="433" t="s">
        <v>381</v>
      </c>
      <c r="F154" s="194"/>
      <c r="G154" s="238">
        <v>0</v>
      </c>
      <c r="H154" s="333">
        <v>0</v>
      </c>
    </row>
    <row r="155" spans="2:8" x14ac:dyDescent="0.25">
      <c r="B155" s="433"/>
      <c r="F155" s="194"/>
      <c r="G155" s="238"/>
      <c r="H155" s="333"/>
    </row>
    <row r="156" spans="2:8" x14ac:dyDescent="0.25">
      <c r="B156" s="433"/>
      <c r="F156" s="194"/>
      <c r="G156" s="238"/>
      <c r="H156" s="333"/>
    </row>
    <row r="157" spans="2:8" x14ac:dyDescent="0.25">
      <c r="B157" s="433"/>
      <c r="F157" s="194"/>
      <c r="G157" s="238"/>
      <c r="H157" s="333"/>
    </row>
    <row r="158" spans="2:8" x14ac:dyDescent="0.25">
      <c r="B158" s="421"/>
      <c r="C158" s="193"/>
      <c r="D158" s="193"/>
      <c r="E158" s="193"/>
      <c r="F158" s="194"/>
      <c r="G158" s="238"/>
      <c r="H158" s="406"/>
    </row>
    <row r="159" ht="13.9" customHeight="1" spans="2:8" x14ac:dyDescent="0.25">
      <c r="B159" s="423" t="s">
        <v>313</v>
      </c>
      <c r="C159" s="424"/>
      <c r="D159" s="437"/>
      <c r="E159" s="437"/>
      <c r="F159" s="426"/>
      <c r="G159" s="427">
        <f>SUM(G152:G158)</f>
        <v>0</v>
      </c>
      <c r="H159" s="427">
        <f>SUM(H152:H158)</f>
        <v>0</v>
      </c>
    </row>
    <row r="160" ht="13.9" customHeight="1" spans="2:8" x14ac:dyDescent="0.25">
      <c r="B160" s="428"/>
      <c r="C160" s="428"/>
      <c r="D160" s="193"/>
      <c r="E160" s="193"/>
      <c r="F160" s="156"/>
      <c r="G160" s="429"/>
      <c r="H160" s="429"/>
    </row>
    <row r="163" spans="1:8" x14ac:dyDescent="0.25">
      <c r="A163" s="485" t="s">
        <v>382</v>
      </c>
      <c r="B163" s="164"/>
      <c r="C163" s="164"/>
      <c r="D163" s="164"/>
      <c r="E163" s="164"/>
      <c r="F163" s="164"/>
      <c r="G163" s="165"/>
      <c r="H163" s="164"/>
    </row>
  </sheetData>
  <mergeCells count="60">
    <mergeCell ref="A2:H2"/>
    <mergeCell ref="A3:G3"/>
    <mergeCell ref="A4:H4"/>
    <mergeCell ref="B6:F6"/>
    <mergeCell ref="B16:F16"/>
    <mergeCell ref="B24:D25"/>
    <mergeCell ref="E24:F24"/>
    <mergeCell ref="G24:H24"/>
    <mergeCell ref="B32:E32"/>
    <mergeCell ref="B33:C34"/>
    <mergeCell ref="D33:E33"/>
    <mergeCell ref="F33:G33"/>
    <mergeCell ref="A33:A34"/>
    <mergeCell ref="H33:H34"/>
    <mergeCell ref="B38:C38"/>
    <mergeCell ref="B41:F41"/>
    <mergeCell ref="B54:C54"/>
    <mergeCell ref="A57:H57"/>
    <mergeCell ref="A58:G58"/>
    <mergeCell ref="A59:H59"/>
    <mergeCell ref="B61:F61"/>
    <mergeCell ref="B70:C70"/>
    <mergeCell ref="B73:F73"/>
    <mergeCell ref="B76:E76"/>
    <mergeCell ref="B77:E77"/>
    <mergeCell ref="B79:C79"/>
    <mergeCell ref="B82:F82"/>
    <mergeCell ref="B85:E85"/>
    <mergeCell ref="B87:C87"/>
    <mergeCell ref="B90:F90"/>
    <mergeCell ref="B100:C100"/>
    <mergeCell ref="B103:F103"/>
    <mergeCell ref="B106:E106"/>
    <mergeCell ref="B108:C108"/>
    <mergeCell ref="A111:H111"/>
    <mergeCell ref="A112:G112"/>
    <mergeCell ref="A113:H113"/>
    <mergeCell ref="B116:C117"/>
    <mergeCell ref="D116:G116"/>
    <mergeCell ref="H116:H117"/>
    <mergeCell ref="B118:C118"/>
    <mergeCell ref="B119:C119"/>
    <mergeCell ref="B120:C120"/>
    <mergeCell ref="B121:C121"/>
    <mergeCell ref="B122:C122"/>
    <mergeCell ref="B125:C126"/>
    <mergeCell ref="D125:G125"/>
    <mergeCell ref="H125:H126"/>
    <mergeCell ref="B127:C127"/>
    <mergeCell ref="B128:C128"/>
    <mergeCell ref="B129:C129"/>
    <mergeCell ref="B130:C130"/>
    <mergeCell ref="B131:C131"/>
    <mergeCell ref="B135:H135"/>
    <mergeCell ref="B138:F138"/>
    <mergeCell ref="B147:C147"/>
    <mergeCell ref="B150:F150"/>
    <mergeCell ref="B153:E153"/>
    <mergeCell ref="B159:C159"/>
    <mergeCell ref="A163:H163"/>
  </mergeCells>
  <conditionalFormatting sqref="B35:C36">
    <cfRule type="cellIs" dxfId="2" priority="10" operator="lessThan">
      <formula>0</formula>
    </cfRule>
  </conditionalFormatting>
  <conditionalFormatting sqref="E24 G24 G41:H46">
    <cfRule type="cellIs" dxfId="3" priority="11" operator="lessThan">
      <formula>0</formula>
    </cfRule>
  </conditionalFormatting>
  <conditionalFormatting sqref="G6:H6 G61:H62">
    <cfRule type="cellIs" dxfId="4" priority="114" operator="lessThan">
      <formula>0</formula>
    </cfRule>
  </conditionalFormatting>
  <conditionalFormatting sqref="G16:H16">
    <cfRule type="cellIs" dxfId="5" priority="12" operator="lessThan">
      <formula>0</formula>
    </cfRule>
  </conditionalFormatting>
  <conditionalFormatting sqref="G73:H74">
    <cfRule type="cellIs" dxfId="6" priority="8" operator="lessThan">
      <formula>0</formula>
    </cfRule>
  </conditionalFormatting>
  <conditionalFormatting sqref="G82:H83">
    <cfRule type="cellIs" dxfId="7" priority="7" operator="lessThan">
      <formula>0</formula>
    </cfRule>
  </conditionalFormatting>
  <conditionalFormatting sqref="G90:H91">
    <cfRule type="cellIs" dxfId="8" priority="5" operator="lessThan">
      <formula>0</formula>
    </cfRule>
  </conditionalFormatting>
  <conditionalFormatting sqref="G103:H104">
    <cfRule type="cellIs" dxfId="9" priority="3" operator="lessThan">
      <formula>0</formula>
    </cfRule>
  </conditionalFormatting>
  <conditionalFormatting sqref="G138:H139">
    <cfRule type="cellIs" dxfId="10" priority="2" operator="lessThan">
      <formula>0</formula>
    </cfRule>
  </conditionalFormatting>
  <conditionalFormatting sqref="G150:H151">
    <cfRule type="cellIs" dxfId="11" priority="1" operator="lessThan">
      <formula>0</formula>
    </cfRule>
  </conditionalFormatting>
  <conditionalFormatting sqref="H17 B26:B29">
    <cfRule type="cellIs" dxfId="12" priority="141" operator="lessThan">
      <formula>0</formula>
    </cfRule>
  </conditionalFormatting>
  <conditionalFormatting sqref="H17">
    <cfRule type="cellIs" dxfId="13" priority="21" operator="lessThan">
      <formula>0</formula>
    </cfRule>
  </conditionalFormatting>
  <printOptions horizontalCentered="1"/>
  <pageMargins left="0.35" right="0.35" top="0.55" bottom="0.55" header="0.2" footer="0.2"/>
  <pageSetup paperSize="9" orientation="portrait" horizontalDpi="4294967295" verticalDpi="4294967295" scale="100" fitToWidth="1" fitToHeight="0" firstPageNumber="1" useFirstPageNumber="1" copies="1"/>
  <headerFooter>
    <oddFooter>&amp;LCAFlow template&amp;RPage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05"/>
  <sheetViews>
    <sheetView workbookViewId="0" showGridLines="0" zoomScale="100" zoomScaleNormal="100">
      <selection activeCell="A2" sqref="A2"/>
    </sheetView>
  </sheetViews>
  <sheetFormatPr defaultRowHeight="12" outlineLevelRow="0" outlineLevelCol="0" x14ac:dyDescent="0" defaultColWidth="9.28515625" customHeight="1"/>
  <cols>
    <col min="1" max="1" width="7.28515625" style="90" customWidth="1"/>
    <col min="2" max="2" width="18.85546875" style="277" customWidth="1"/>
    <col min="3" max="3" width="10.7109375" style="486" customWidth="1"/>
    <col min="4" max="4" width="10.28515625" style="90" customWidth="1"/>
    <col min="5" max="5" width="10.7109375" style="91" customWidth="1"/>
    <col min="6" max="6" width="11.42578125" style="90" customWidth="1"/>
    <col min="7" max="8" width="10.7109375" style="90" customWidth="1"/>
    <col min="9" max="9" width="11.28515625" style="90" customWidth="1"/>
    <col min="10" max="10" width="9" style="90" customWidth="1"/>
    <col min="11" max="12" width="10.28515625" style="90" customWidth="1"/>
    <col min="13" max="13" width="11.5703125" style="91" customWidth="1"/>
    <col min="14" max="14" width="8.7109375" style="90" customWidth="1"/>
    <col min="15" max="16384" width="9.28515625" style="90" customWidth="1"/>
  </cols>
  <sheetData>
    <row r="1" spans="14:14" x14ac:dyDescent="0.25">
      <c r="N1" s="487"/>
    </row>
    <row r="2" spans="1:14" x14ac:dyDescent="0.25">
      <c r="A2" s="167" t="str">
        <f>BS!B2</f>
        <v>[NAME OF THE COMPANY]</v>
      </c>
      <c r="B2" s="488"/>
      <c r="C2" s="489"/>
      <c r="D2" s="488"/>
      <c r="E2" s="488"/>
      <c r="F2" s="488"/>
      <c r="G2" s="488"/>
      <c r="H2" s="488"/>
      <c r="I2" s="488"/>
      <c r="J2" s="488"/>
      <c r="K2" s="488"/>
      <c r="L2" s="488"/>
      <c r="M2" s="488"/>
      <c r="N2" s="490"/>
    </row>
    <row r="3" ht="15" customHeight="1" spans="1:14" x14ac:dyDescent="0.25">
      <c r="A3" s="167"/>
      <c r="B3" s="488"/>
      <c r="C3" s="489"/>
      <c r="F3" s="488"/>
      <c r="G3" s="488"/>
      <c r="H3" s="488"/>
      <c r="I3" s="488"/>
      <c r="J3" s="488"/>
      <c r="K3" s="488"/>
      <c r="L3" s="488"/>
      <c r="M3" s="488"/>
      <c r="N3" s="490"/>
    </row>
    <row r="4" ht="15.75" customHeight="1" spans="1:13" x14ac:dyDescent="0.25">
      <c r="A4" s="93">
        <f>BS!D37</f>
        <v>10</v>
      </c>
      <c r="B4" s="491" t="s">
        <v>383</v>
      </c>
      <c r="C4" s="492"/>
      <c r="D4" s="143"/>
      <c r="E4" s="158"/>
      <c r="F4" s="143"/>
      <c r="G4" s="143"/>
      <c r="H4" s="143"/>
      <c r="I4" s="143"/>
      <c r="J4" s="143"/>
      <c r="K4" s="143"/>
      <c r="L4" s="143"/>
      <c r="M4" s="158"/>
    </row>
    <row r="5" ht="12.75" customHeight="1" spans="2:14" x14ac:dyDescent="0.25">
      <c r="B5" s="493" t="s">
        <v>384</v>
      </c>
      <c r="C5" s="493"/>
      <c r="D5" s="143"/>
      <c r="E5" s="158"/>
      <c r="F5" s="143"/>
      <c r="G5" s="143"/>
      <c r="H5" s="143"/>
      <c r="I5" s="143"/>
      <c r="J5" s="143"/>
      <c r="K5" s="143"/>
      <c r="L5" s="143"/>
      <c r="M5" s="494" t="str">
        <f>+BS!E5</f>
        <v>(Amount in Rs. `000)</v>
      </c>
      <c r="N5" s="488"/>
    </row>
    <row r="6" ht="19.5" customHeight="1" spans="2:14" x14ac:dyDescent="0.25">
      <c r="B6" s="495" t="s">
        <v>135</v>
      </c>
      <c r="C6" s="375" t="s">
        <v>385</v>
      </c>
      <c r="D6" s="496" t="s">
        <v>386</v>
      </c>
      <c r="E6" s="497"/>
      <c r="F6" s="497"/>
      <c r="G6" s="498"/>
      <c r="H6" s="499" t="s">
        <v>387</v>
      </c>
      <c r="I6" s="497"/>
      <c r="J6" s="497"/>
      <c r="K6" s="498"/>
      <c r="L6" s="496" t="s">
        <v>388</v>
      </c>
      <c r="M6" s="498"/>
      <c r="N6" s="500"/>
    </row>
    <row r="7" ht="39.75" customHeight="1" spans="2:14" s="123" customFormat="1" x14ac:dyDescent="0.25">
      <c r="B7" s="501"/>
      <c r="C7" s="502"/>
      <c r="D7" s="503" t="s">
        <v>389</v>
      </c>
      <c r="E7" s="503" t="s">
        <v>390</v>
      </c>
      <c r="F7" s="503" t="s">
        <v>391</v>
      </c>
      <c r="G7" s="503" t="str">
        <f>+'Note BS-Liab'!G6</f>
        <v>As at 31st March, 2026</v>
      </c>
      <c r="H7" s="503" t="s">
        <v>389</v>
      </c>
      <c r="I7" s="503" t="s">
        <v>390</v>
      </c>
      <c r="J7" s="503" t="s">
        <v>391</v>
      </c>
      <c r="K7" s="503" t="str">
        <f>+G7</f>
        <v>As at 31st March, 2026</v>
      </c>
      <c r="L7" s="503" t="str">
        <f>+K7</f>
        <v>As at 31st March, 2026</v>
      </c>
      <c r="M7" s="503" t="s">
        <v>245</v>
      </c>
      <c r="N7" s="504"/>
    </row>
    <row r="8" ht="15" customHeight="1" spans="2:14" x14ac:dyDescent="0.25">
      <c r="B8" s="505"/>
      <c r="C8" s="506"/>
      <c r="D8" s="507"/>
      <c r="E8" s="507"/>
      <c r="F8" s="507"/>
      <c r="G8" s="507"/>
      <c r="H8" s="508"/>
      <c r="I8" s="509"/>
      <c r="J8" s="507"/>
      <c r="K8" s="507"/>
      <c r="L8" s="507"/>
      <c r="M8" s="507"/>
      <c r="N8" s="510"/>
    </row>
    <row r="9" ht="24" customHeight="1" spans="2:14" x14ac:dyDescent="0.25">
      <c r="B9" s="511" t="s">
        <v>392</v>
      </c>
      <c r="C9" s="512"/>
      <c r="D9" s="513"/>
      <c r="E9" s="514"/>
      <c r="F9" s="513"/>
      <c r="G9" s="513"/>
      <c r="H9" s="515"/>
      <c r="I9" s="513"/>
      <c r="J9" s="513"/>
      <c r="K9" s="513"/>
      <c r="L9" s="513"/>
      <c r="M9" s="514"/>
      <c r="N9" s="516"/>
    </row>
    <row r="10" spans="2:15" x14ac:dyDescent="0.25">
      <c r="B10" s="517" t="s">
        <v>393</v>
      </c>
      <c r="C10" s="518"/>
      <c r="D10" s="519"/>
      <c r="E10" s="520"/>
      <c r="F10" s="519"/>
      <c r="G10" s="513"/>
      <c r="H10" s="513"/>
      <c r="I10" s="519"/>
      <c r="J10" s="513"/>
      <c r="K10" s="513"/>
      <c r="L10" s="513"/>
      <c r="M10" s="513"/>
      <c r="N10" s="521"/>
      <c r="O10" s="91"/>
    </row>
    <row r="11" spans="2:15" x14ac:dyDescent="0.25">
      <c r="B11" s="517" t="s">
        <v>394</v>
      </c>
      <c r="C11" s="522">
        <v>30</v>
      </c>
      <c r="D11" s="519">
        <v>0</v>
      </c>
      <c r="E11" s="520">
        <v>0</v>
      </c>
      <c r="F11" s="519">
        <v>0</v>
      </c>
      <c r="G11" s="513">
        <f>D11+E11-F11</f>
        <v>0</v>
      </c>
      <c r="H11" s="513">
        <v>0</v>
      </c>
      <c r="I11" s="519">
        <v>0</v>
      </c>
      <c r="J11" s="513">
        <v>0</v>
      </c>
      <c r="K11" s="513">
        <f>H11+I11-J11</f>
        <v>0</v>
      </c>
      <c r="L11" s="513">
        <f>+G11-K11</f>
        <v>0</v>
      </c>
      <c r="M11" s="513">
        <f>D11-H11</f>
        <v>0</v>
      </c>
      <c r="N11" s="521"/>
      <c r="O11" s="91"/>
    </row>
    <row r="12" spans="2:15" x14ac:dyDescent="0.25">
      <c r="B12" s="517" t="s">
        <v>395</v>
      </c>
      <c r="C12" s="522">
        <v>15</v>
      </c>
      <c r="D12" s="519">
        <v>0</v>
      </c>
      <c r="E12" s="520">
        <v>0</v>
      </c>
      <c r="F12" s="519">
        <v>0</v>
      </c>
      <c r="G12" s="513">
        <f t="shared" ref="G12:G13" si="0">D12+E12-F12</f>
        <v>0</v>
      </c>
      <c r="H12" s="513">
        <v>0</v>
      </c>
      <c r="I12" s="519">
        <v>0</v>
      </c>
      <c r="J12" s="513">
        <v>0</v>
      </c>
      <c r="K12" s="513">
        <f t="shared" ref="K12:K13" si="1">H12+I12-J12</f>
        <v>0</v>
      </c>
      <c r="L12" s="513">
        <f t="shared" ref="L12:L13" si="2">+G12-K12</f>
        <v>0</v>
      </c>
      <c r="M12" s="513">
        <f t="shared" ref="M12:M13" si="3">D12-H12</f>
        <v>0</v>
      </c>
      <c r="N12" s="521"/>
      <c r="O12" s="91"/>
    </row>
    <row r="13" spans="2:15" x14ac:dyDescent="0.25">
      <c r="B13" s="517" t="s">
        <v>396</v>
      </c>
      <c r="C13" s="522">
        <v>10</v>
      </c>
      <c r="D13" s="519">
        <v>0</v>
      </c>
      <c r="E13" s="520">
        <v>0</v>
      </c>
      <c r="F13" s="519">
        <v>0</v>
      </c>
      <c r="G13" s="513">
        <f t="shared" si="0"/>
        <v>0</v>
      </c>
      <c r="H13" s="513">
        <v>0</v>
      </c>
      <c r="I13" s="519">
        <v>0</v>
      </c>
      <c r="J13" s="513">
        <v>0</v>
      </c>
      <c r="K13" s="513">
        <f t="shared" si="1"/>
        <v>0</v>
      </c>
      <c r="L13" s="513">
        <f t="shared" si="2"/>
        <v>0</v>
      </c>
      <c r="M13" s="513">
        <f t="shared" si="3"/>
        <v>0</v>
      </c>
      <c r="N13" s="521"/>
      <c r="O13" s="91"/>
    </row>
    <row r="14" spans="2:15" x14ac:dyDescent="0.25">
      <c r="B14" s="517" t="s">
        <v>397</v>
      </c>
      <c r="C14" s="522">
        <v>3</v>
      </c>
      <c r="D14" s="519">
        <v>0</v>
      </c>
      <c r="E14" s="520">
        <v>0</v>
      </c>
      <c r="F14" s="519">
        <v>0</v>
      </c>
      <c r="G14" s="513">
        <f>D14+E14-F14</f>
        <v>0</v>
      </c>
      <c r="H14" s="513">
        <v>0</v>
      </c>
      <c r="I14" s="519">
        <v>0</v>
      </c>
      <c r="J14" s="513">
        <v>0</v>
      </c>
      <c r="K14" s="513">
        <f>H14+I14</f>
        <v>0</v>
      </c>
      <c r="L14" s="513">
        <f>G14-K14</f>
        <v>0</v>
      </c>
      <c r="M14" s="513">
        <f>D14-H14</f>
        <v>0</v>
      </c>
      <c r="N14" s="521"/>
      <c r="O14" s="91"/>
    </row>
    <row r="15" spans="2:15" x14ac:dyDescent="0.25">
      <c r="B15" s="517" t="s">
        <v>398</v>
      </c>
      <c r="C15" s="522">
        <v>5</v>
      </c>
      <c r="D15" s="519">
        <v>0</v>
      </c>
      <c r="E15" s="520">
        <v>0</v>
      </c>
      <c r="F15" s="519">
        <v>0</v>
      </c>
      <c r="G15" s="513">
        <f>D15+E15-F15</f>
        <v>0</v>
      </c>
      <c r="H15" s="513">
        <v>0</v>
      </c>
      <c r="I15" s="519">
        <v>0</v>
      </c>
      <c r="J15" s="513">
        <v>0</v>
      </c>
      <c r="K15" s="513">
        <f>H15+I15</f>
        <v>0</v>
      </c>
      <c r="L15" s="513">
        <f>G15-K15</f>
        <v>0</v>
      </c>
      <c r="M15" s="513">
        <f>D15-H15</f>
        <v>0</v>
      </c>
      <c r="N15" s="521"/>
      <c r="O15" s="91"/>
    </row>
    <row r="16" spans="2:15" x14ac:dyDescent="0.25">
      <c r="B16" s="517" t="s">
        <v>399</v>
      </c>
      <c r="C16" s="522">
        <v>10</v>
      </c>
      <c r="D16" s="519">
        <v>0</v>
      </c>
      <c r="E16" s="520">
        <v>0</v>
      </c>
      <c r="F16" s="519">
        <v>0</v>
      </c>
      <c r="G16" s="513">
        <f>D16+E16-F16</f>
        <v>0</v>
      </c>
      <c r="H16" s="513">
        <v>0</v>
      </c>
      <c r="I16" s="519">
        <v>0</v>
      </c>
      <c r="J16" s="513">
        <v>0</v>
      </c>
      <c r="K16" s="513">
        <f>H16+I16</f>
        <v>0</v>
      </c>
      <c r="L16" s="513">
        <f>G16-K16</f>
        <v>0</v>
      </c>
      <c r="M16" s="513">
        <f>D16-H16</f>
        <v>0</v>
      </c>
      <c r="N16" s="521"/>
      <c r="O16" s="91"/>
    </row>
    <row r="17" spans="2:14" x14ac:dyDescent="0.25">
      <c r="B17" s="517" t="s">
        <v>400</v>
      </c>
      <c r="C17" s="522">
        <v>8</v>
      </c>
      <c r="D17" s="519">
        <v>0</v>
      </c>
      <c r="E17" s="520">
        <v>0</v>
      </c>
      <c r="F17" s="519">
        <v>0</v>
      </c>
      <c r="G17" s="513">
        <f>D17+E17-F17</f>
        <v>0</v>
      </c>
      <c r="H17" s="513">
        <v>0</v>
      </c>
      <c r="I17" s="519">
        <v>0</v>
      </c>
      <c r="J17" s="513">
        <v>0</v>
      </c>
      <c r="K17" s="513">
        <f>H17+I17</f>
        <v>0</v>
      </c>
      <c r="L17" s="513">
        <f>G17-K17</f>
        <v>0</v>
      </c>
      <c r="M17" s="513">
        <f>D17-H17</f>
        <v>0</v>
      </c>
      <c r="N17" s="521"/>
    </row>
    <row r="18" spans="2:14" x14ac:dyDescent="0.25">
      <c r="B18" s="517"/>
      <c r="C18" s="522"/>
      <c r="D18" s="519"/>
      <c r="E18" s="520"/>
      <c r="F18" s="519"/>
      <c r="G18" s="513"/>
      <c r="H18" s="520"/>
      <c r="I18" s="519"/>
      <c r="J18" s="513"/>
      <c r="K18" s="513"/>
      <c r="L18" s="513"/>
      <c r="M18" s="513"/>
      <c r="N18" s="521"/>
    </row>
    <row r="19" spans="2:14" x14ac:dyDescent="0.25">
      <c r="B19" s="511" t="s">
        <v>401</v>
      </c>
      <c r="C19" s="522"/>
      <c r="D19" s="519"/>
      <c r="E19" s="520"/>
      <c r="F19" s="519"/>
      <c r="G19" s="513"/>
      <c r="H19" s="520"/>
      <c r="I19" s="519"/>
      <c r="J19" s="513"/>
      <c r="K19" s="513"/>
      <c r="L19" s="513"/>
      <c r="M19" s="513"/>
      <c r="N19" s="521"/>
    </row>
    <row r="20" spans="2:14" x14ac:dyDescent="0.25">
      <c r="B20" s="517" t="s">
        <v>402</v>
      </c>
      <c r="C20" s="522">
        <v>10</v>
      </c>
      <c r="D20" s="519">
        <v>0</v>
      </c>
      <c r="E20" s="520">
        <v>0</v>
      </c>
      <c r="F20" s="519">
        <v>0</v>
      </c>
      <c r="G20" s="513">
        <f>D20+E20-F20</f>
        <v>0</v>
      </c>
      <c r="H20" s="520">
        <v>0</v>
      </c>
      <c r="I20" s="519">
        <v>0</v>
      </c>
      <c r="J20" s="513">
        <v>0</v>
      </c>
      <c r="K20" s="513">
        <f>H20+I20</f>
        <v>0</v>
      </c>
      <c r="L20" s="513">
        <f>G20-K20</f>
        <v>0</v>
      </c>
      <c r="M20" s="513">
        <f>D20-H20</f>
        <v>0</v>
      </c>
      <c r="N20" s="521"/>
    </row>
    <row r="21" spans="2:14" x14ac:dyDescent="0.25">
      <c r="B21" s="517"/>
      <c r="C21" s="518"/>
      <c r="D21" s="513"/>
      <c r="E21" s="513"/>
      <c r="F21" s="513"/>
      <c r="G21" s="513"/>
      <c r="H21" s="515"/>
      <c r="I21" s="513"/>
      <c r="J21" s="513"/>
      <c r="K21" s="513"/>
      <c r="L21" s="513"/>
      <c r="M21" s="513"/>
      <c r="N21" s="521"/>
    </row>
    <row r="22" ht="12.75" customHeight="1" spans="2:16" x14ac:dyDescent="0.25">
      <c r="B22" s="523" t="s">
        <v>403</v>
      </c>
      <c r="C22" s="524"/>
      <c r="D22" s="525">
        <f>SUM(D10:D21)</f>
        <v>0</v>
      </c>
      <c r="E22" s="525">
        <f t="shared" ref="E22:M22" si="4">SUM(E10:E21)</f>
        <v>0</v>
      </c>
      <c r="F22" s="525">
        <f t="shared" si="4"/>
        <v>0</v>
      </c>
      <c r="G22" s="525">
        <f t="shared" si="4"/>
        <v>0</v>
      </c>
      <c r="H22" s="525">
        <f t="shared" si="4"/>
        <v>0</v>
      </c>
      <c r="I22" s="525">
        <f t="shared" si="4"/>
        <v>0</v>
      </c>
      <c r="J22" s="525">
        <f t="shared" si="4"/>
        <v>0</v>
      </c>
      <c r="K22" s="525">
        <f t="shared" si="4"/>
        <v>0</v>
      </c>
      <c r="L22" s="525">
        <f t="shared" si="4"/>
        <v>0</v>
      </c>
      <c r="M22" s="525">
        <f t="shared" si="4"/>
        <v>0</v>
      </c>
      <c r="N22" s="526"/>
      <c r="P22" s="91"/>
    </row>
    <row r="23" ht="12.75" customHeight="1" spans="2:16" x14ac:dyDescent="0.25">
      <c r="B23" s="523" t="s">
        <v>404</v>
      </c>
      <c r="C23" s="524"/>
      <c r="D23" s="527">
        <v>0</v>
      </c>
      <c r="E23" s="527">
        <v>0</v>
      </c>
      <c r="F23" s="527">
        <v>0</v>
      </c>
      <c r="G23" s="527">
        <v>0</v>
      </c>
      <c r="H23" s="527">
        <v>0</v>
      </c>
      <c r="I23" s="527">
        <v>0</v>
      </c>
      <c r="J23" s="527">
        <v>0</v>
      </c>
      <c r="K23" s="527">
        <v>0</v>
      </c>
      <c r="L23" s="527">
        <v>0</v>
      </c>
      <c r="M23" s="527">
        <v>0</v>
      </c>
      <c r="N23" s="526"/>
      <c r="P23" s="91"/>
    </row>
    <row r="24" spans="2:16" x14ac:dyDescent="0.25">
      <c r="B24" s="154"/>
      <c r="C24" s="489"/>
      <c r="D24" s="528"/>
      <c r="E24" s="528"/>
      <c r="F24" s="528"/>
      <c r="G24" s="528"/>
      <c r="H24" s="528"/>
      <c r="I24" s="528"/>
      <c r="J24" s="528"/>
      <c r="K24" s="528"/>
      <c r="L24" s="528"/>
      <c r="M24" s="528"/>
      <c r="N24" s="526"/>
      <c r="P24" s="91"/>
    </row>
    <row r="25" ht="13.15" customHeight="1" spans="2:13" x14ac:dyDescent="0.25">
      <c r="B25" s="529" t="s">
        <v>405</v>
      </c>
      <c r="C25" s="95"/>
      <c r="D25" s="530"/>
      <c r="E25" s="530"/>
      <c r="F25" s="530"/>
      <c r="G25" s="530"/>
      <c r="H25" s="530"/>
      <c r="I25" s="530"/>
      <c r="J25" s="530"/>
      <c r="K25" s="530"/>
      <c r="L25" s="530"/>
      <c r="M25" s="531"/>
    </row>
    <row r="26" ht="13.15" customHeight="1" spans="2:13" x14ac:dyDescent="0.25">
      <c r="B26" s="532" t="s">
        <v>406</v>
      </c>
      <c r="C26" s="532"/>
      <c r="D26" s="90"/>
      <c r="E26" s="91"/>
      <c r="F26" s="90"/>
      <c r="G26" s="90"/>
      <c r="H26" s="90"/>
      <c r="I26" s="90"/>
      <c r="J26" s="90"/>
      <c r="K26" s="90"/>
      <c r="L26" s="90"/>
      <c r="M26" s="531"/>
    </row>
    <row r="205" hidden="1" spans="2:3" x14ac:dyDescent="0.25">
      <c r="B205" s="533" t="s">
        <v>407</v>
      </c>
      <c r="C205" s="486"/>
    </row>
  </sheetData>
  <mergeCells count="8">
    <mergeCell ref="D6:G6"/>
    <mergeCell ref="H6:K6"/>
    <mergeCell ref="L6:M6"/>
    <mergeCell ref="B6:B7"/>
    <mergeCell ref="C6:C7"/>
    <mergeCell ref="B22:C22"/>
    <mergeCell ref="B23:C23"/>
    <mergeCell ref="B26:L26"/>
  </mergeCells>
  <printOptions horizontalCentered="1"/>
  <pageMargins left="0.35" right="0.35" top="0.55" bottom="0.55" header="0.2" footer="0.2"/>
  <pageSetup paperSize="9" orientation="landscape" horizontalDpi="4294967295" verticalDpi="4294967295" scale="92" fitToWidth="1" fitToHeight="0" firstPageNumber="1" useFirstPageNumber="1" copies="1"/>
  <headerFooter>
    <oddFooter>&amp;LCAFlow template&amp;RPage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22"/>
  <sheetViews>
    <sheetView workbookViewId="0" showGridLines="0" zoomScale="100" zoomScaleNormal="100" view="pageBreakPreview">
      <selection activeCell="F137" sqref="F137"/>
    </sheetView>
  </sheetViews>
  <sheetFormatPr defaultRowHeight="12" outlineLevelRow="0" outlineLevelCol="0" x14ac:dyDescent="0" defaultColWidth="9.28515625" customHeight="1"/>
  <cols>
    <col min="1" max="1" width="5.140625" style="164" customWidth="1"/>
    <col min="2" max="2" width="30.28515625" style="164" customWidth="1"/>
    <col min="3" max="3" width="8.28515625" style="164" customWidth="1"/>
    <col min="4" max="4" width="9.28515625" style="164" customWidth="1"/>
    <col min="5" max="5" width="11.7109375" style="164" customWidth="1"/>
    <col min="6" max="6" width="10.7109375" style="164" customWidth="1"/>
    <col min="7" max="7" width="11" style="165" customWidth="1"/>
    <col min="8" max="8" width="11.42578125" style="164" customWidth="1"/>
    <col min="9" max="9" width="13.28515625" style="164" customWidth="1"/>
    <col min="10" max="16384" width="9.28515625" style="164" customWidth="1"/>
  </cols>
  <sheetData>
    <row r="1" ht="15.75" customHeight="1" spans="1:8" x14ac:dyDescent="0.25">
      <c r="A1" s="534" t="str">
        <f>BS!B2</f>
        <v>[NAME OF THE COMPANY]</v>
      </c>
      <c r="B1" s="534"/>
      <c r="C1" s="534"/>
      <c r="D1" s="534"/>
      <c r="E1" s="534"/>
      <c r="F1" s="534"/>
      <c r="G1" s="534"/>
      <c r="H1" s="534"/>
    </row>
    <row r="2" ht="15.75" customHeight="1" spans="1:8" x14ac:dyDescent="0.25">
      <c r="A2" s="535"/>
      <c r="B2" s="536"/>
      <c r="C2" s="536"/>
      <c r="D2" s="536"/>
      <c r="E2" s="536"/>
      <c r="F2" s="536"/>
      <c r="G2" s="536"/>
      <c r="H2" s="536"/>
    </row>
    <row r="3" ht="15.75" customHeight="1" spans="1:8" x14ac:dyDescent="0.25">
      <c r="A3" s="171" t="s">
        <v>285</v>
      </c>
      <c r="B3" s="171"/>
      <c r="C3" s="171"/>
      <c r="D3" s="171"/>
      <c r="E3" s="171"/>
      <c r="F3" s="171"/>
      <c r="G3" s="171"/>
      <c r="H3" s="171"/>
    </row>
    <row r="4" ht="5.1" customHeight="1" spans="1:8" x14ac:dyDescent="0.25">
      <c r="A4" s="277"/>
      <c r="B4" s="537"/>
      <c r="C4" s="537"/>
      <c r="D4" s="537"/>
      <c r="E4" s="537"/>
      <c r="F4" s="537"/>
      <c r="G4" s="537"/>
      <c r="H4" s="90"/>
    </row>
    <row r="5" spans="1:8" s="90" customFormat="1" x14ac:dyDescent="0.25">
      <c r="A5" s="171" t="str">
        <f>BS!D40</f>
        <v/>
      </c>
      <c r="B5" s="167" t="s">
        <v>408</v>
      </c>
      <c r="G5" s="92"/>
      <c r="H5" s="538" t="str">
        <f>+BS!E5</f>
        <v>(Amount in Rs. `000)</v>
      </c>
    </row>
    <row r="6" ht="15" customHeight="1" spans="1:8" s="90" customFormat="1" x14ac:dyDescent="0.25">
      <c r="A6" s="99"/>
      <c r="B6" s="539" t="s">
        <v>135</v>
      </c>
      <c r="C6" s="540"/>
      <c r="D6" s="540"/>
      <c r="E6" s="540"/>
      <c r="F6" s="541"/>
      <c r="G6" s="324" t="s">
        <v>409</v>
      </c>
      <c r="H6" s="324" t="s">
        <v>409</v>
      </c>
    </row>
    <row r="7" ht="22.9" customHeight="1" spans="2:8" s="90" customFormat="1" x14ac:dyDescent="0.25">
      <c r="B7" s="542" t="s">
        <v>410</v>
      </c>
      <c r="C7" s="335"/>
      <c r="D7" s="335"/>
      <c r="E7" s="335"/>
      <c r="F7" s="138"/>
      <c r="G7" s="543" t="str">
        <f>+BS!E7</f>
        <v>31st March, 2026</v>
      </c>
      <c r="H7" s="543" t="str">
        <f>+BS!F7</f>
        <v>31st March, 2026</v>
      </c>
    </row>
    <row r="8" spans="2:8" s="90" customFormat="1" x14ac:dyDescent="0.25">
      <c r="B8" s="378" t="s">
        <v>411</v>
      </c>
      <c r="C8" s="544"/>
      <c r="D8" s="544"/>
      <c r="E8" s="544"/>
      <c r="F8" s="545"/>
      <c r="G8" s="519">
        <v>0</v>
      </c>
      <c r="H8" s="546">
        <v>0</v>
      </c>
    </row>
    <row r="9" ht="15" customHeight="1" spans="2:8" s="90" customFormat="1" x14ac:dyDescent="0.25">
      <c r="B9" s="547" t="s">
        <v>412</v>
      </c>
      <c r="C9" s="143"/>
      <c r="D9" s="143"/>
      <c r="E9" s="143"/>
      <c r="F9" s="122"/>
      <c r="G9" s="519">
        <v>0</v>
      </c>
      <c r="H9" s="519">
        <v>0</v>
      </c>
    </row>
    <row r="10" spans="2:8" s="90" customFormat="1" x14ac:dyDescent="0.25">
      <c r="B10" s="121" t="s">
        <v>413</v>
      </c>
      <c r="C10" s="143"/>
      <c r="D10" s="143"/>
      <c r="E10" s="143"/>
      <c r="F10" s="122"/>
      <c r="G10" s="519">
        <v>0</v>
      </c>
      <c r="H10" s="519">
        <v>0</v>
      </c>
    </row>
    <row r="11" spans="2:8" s="90" customFormat="1" x14ac:dyDescent="0.25">
      <c r="B11" s="137"/>
      <c r="C11" s="335"/>
      <c r="D11" s="335"/>
      <c r="E11" s="335"/>
      <c r="F11" s="138"/>
      <c r="G11" s="548"/>
      <c r="H11" s="548"/>
    </row>
    <row r="12" ht="13.9" customHeight="1" spans="1:9" s="90" customFormat="1" x14ac:dyDescent="0.25">
      <c r="A12" s="259"/>
      <c r="B12" s="549" t="s">
        <v>313</v>
      </c>
      <c r="C12" s="550"/>
      <c r="D12" s="551"/>
      <c r="E12" s="551"/>
      <c r="F12" s="426"/>
      <c r="G12" s="552">
        <f>SUM(G8:G11)</f>
        <v>0</v>
      </c>
      <c r="H12" s="553">
        <f>SUM(H8:H11)</f>
        <v>0</v>
      </c>
      <c r="I12" s="259"/>
    </row>
    <row r="13" ht="13.9" customHeight="1" spans="2:8" x14ac:dyDescent="0.25">
      <c r="B13" s="428"/>
      <c r="C13" s="428"/>
      <c r="D13" s="193"/>
      <c r="E13" s="193"/>
      <c r="F13" s="156"/>
      <c r="G13" s="429"/>
      <c r="H13" s="429"/>
    </row>
    <row r="14" ht="12" customHeight="1" spans="1:8" x14ac:dyDescent="0.25">
      <c r="A14" s="153" t="str">
        <f>BS!D41</f>
        <v/>
      </c>
      <c r="B14" s="554" t="s">
        <v>414</v>
      </c>
      <c r="C14" s="193"/>
      <c r="D14" s="193"/>
      <c r="E14" s="193"/>
      <c r="F14" s="193"/>
      <c r="G14" s="238"/>
      <c r="H14" s="555" t="s">
        <v>415</v>
      </c>
    </row>
    <row r="15" ht="24" customHeight="1" spans="1:12" x14ac:dyDescent="0.25">
      <c r="A15" s="288"/>
      <c r="B15" s="299" t="s">
        <v>135</v>
      </c>
      <c r="C15" s="299"/>
      <c r="D15" s="299"/>
      <c r="E15" s="299"/>
      <c r="F15" s="299"/>
      <c r="G15" s="300" t="str">
        <f>+'Note BS-Liab'!G6</f>
        <v>As at 31st March, 2026</v>
      </c>
      <c r="H15" s="300" t="str">
        <f>+'Note BS-Liab'!H6</f>
        <v>As at 31st March, 2026</v>
      </c>
      <c r="J15" s="556" t="s">
        <v>38</v>
      </c>
      <c r="K15" s="164" t="s">
        <v>416</v>
      </c>
      <c r="L15" s="164" t="s">
        <v>409</v>
      </c>
    </row>
    <row r="16" spans="1:8" x14ac:dyDescent="0.25">
      <c r="A16" s="193"/>
      <c r="B16" s="557"/>
      <c r="C16" s="164"/>
      <c r="D16" s="164"/>
      <c r="E16" s="164"/>
      <c r="F16" s="194"/>
      <c r="G16" s="400"/>
      <c r="H16" s="333"/>
    </row>
    <row r="17" ht="29.1" customHeight="1" spans="1:8" x14ac:dyDescent="0.25">
      <c r="A17" s="193"/>
      <c r="B17" s="547" t="s">
        <v>417</v>
      </c>
      <c r="C17" s="208"/>
      <c r="D17" s="208"/>
      <c r="E17" s="208"/>
      <c r="F17" s="209"/>
      <c r="G17" s="558">
        <v>0</v>
      </c>
      <c r="H17" s="333">
        <v>0</v>
      </c>
    </row>
    <row r="18" spans="1:8" x14ac:dyDescent="0.25">
      <c r="A18" s="193"/>
      <c r="B18" s="404"/>
      <c r="C18" s="336"/>
      <c r="D18" s="336"/>
      <c r="E18" s="336"/>
      <c r="F18" s="559"/>
      <c r="G18" s="560"/>
      <c r="H18" s="406"/>
    </row>
    <row r="19" ht="13.9" customHeight="1" spans="1:9" x14ac:dyDescent="0.25">
      <c r="A19" s="421"/>
      <c r="B19" s="423" t="s">
        <v>313</v>
      </c>
      <c r="C19" s="424"/>
      <c r="D19" s="425"/>
      <c r="E19" s="425"/>
      <c r="F19" s="426"/>
      <c r="G19" s="427">
        <f>SUM(G16:G17)</f>
        <v>0</v>
      </c>
      <c r="H19" s="561">
        <f>SUM(H16:H17)</f>
        <v>0</v>
      </c>
      <c r="I19" s="309"/>
    </row>
    <row r="20" ht="13.9" customHeight="1" spans="1:8" x14ac:dyDescent="0.25">
      <c r="A20" s="193"/>
      <c r="B20" s="428"/>
      <c r="C20" s="428"/>
      <c r="D20" s="193"/>
      <c r="E20" s="193"/>
      <c r="F20" s="156"/>
      <c r="G20" s="562"/>
      <c r="H20" s="429"/>
    </row>
    <row r="21" spans="1:2" x14ac:dyDescent="0.25">
      <c r="A21" s="171" t="str">
        <f>BS!D42</f>
        <v/>
      </c>
      <c r="B21" s="430" t="s">
        <v>418</v>
      </c>
    </row>
    <row r="22" ht="24" customHeight="1" spans="2:8" x14ac:dyDescent="0.25">
      <c r="B22" s="299" t="s">
        <v>135</v>
      </c>
      <c r="C22" s="299"/>
      <c r="D22" s="299"/>
      <c r="E22" s="299"/>
      <c r="F22" s="299"/>
      <c r="G22" s="300" t="str">
        <f>+G15</f>
        <v>As at 31st March, 2026</v>
      </c>
      <c r="H22" s="300" t="str">
        <f>+H15</f>
        <v>As at 31st March, 2026</v>
      </c>
    </row>
    <row r="23" spans="2:8" x14ac:dyDescent="0.25">
      <c r="B23" s="421" t="s">
        <v>419</v>
      </c>
      <c r="C23" s="193"/>
      <c r="D23" s="193"/>
      <c r="E23" s="193"/>
      <c r="F23" s="194"/>
      <c r="G23" s="333">
        <v>0</v>
      </c>
      <c r="H23" s="333">
        <v>0</v>
      </c>
    </row>
    <row r="24" spans="2:8" x14ac:dyDescent="0.25">
      <c r="B24" s="433" t="s">
        <v>420</v>
      </c>
      <c r="C24" s="164"/>
      <c r="D24" s="164"/>
      <c r="E24" s="164"/>
      <c r="F24" s="194"/>
      <c r="G24" s="333">
        <v>0</v>
      </c>
      <c r="H24" s="333">
        <v>0</v>
      </c>
    </row>
    <row r="25" spans="2:8" x14ac:dyDescent="0.25">
      <c r="B25" s="433" t="s">
        <v>421</v>
      </c>
      <c r="C25" s="164"/>
      <c r="D25" s="164"/>
      <c r="E25" s="164"/>
      <c r="F25" s="194"/>
      <c r="G25" s="333">
        <v>0</v>
      </c>
      <c r="H25" s="333">
        <v>0</v>
      </c>
    </row>
    <row r="26" spans="2:8" x14ac:dyDescent="0.25">
      <c r="B26" s="421"/>
      <c r="C26" s="193"/>
      <c r="D26" s="193"/>
      <c r="E26" s="193"/>
      <c r="F26" s="194"/>
      <c r="G26" s="406"/>
      <c r="H26" s="406"/>
    </row>
    <row r="27" ht="13.9" customHeight="1" spans="2:9" x14ac:dyDescent="0.25">
      <c r="B27" s="423" t="s">
        <v>313</v>
      </c>
      <c r="C27" s="424"/>
      <c r="D27" s="425"/>
      <c r="E27" s="425"/>
      <c r="F27" s="426"/>
      <c r="G27" s="427">
        <f>SUM(G23:G26)</f>
        <v>0</v>
      </c>
      <c r="H27" s="561">
        <f>SUM(H23:H26)</f>
        <v>0</v>
      </c>
      <c r="I27" s="309"/>
    </row>
    <row r="28" ht="13.9" customHeight="1" spans="2:8" x14ac:dyDescent="0.25">
      <c r="B28" s="428"/>
      <c r="C28" s="428"/>
      <c r="D28" s="193"/>
      <c r="E28" s="193"/>
      <c r="F28" s="156"/>
      <c r="G28" s="429"/>
      <c r="H28" s="429"/>
    </row>
    <row r="30" ht="13.15" customHeight="1" spans="1:8" x14ac:dyDescent="0.25">
      <c r="A30" s="563" t="str">
        <f>BS!D43</f>
        <v/>
      </c>
      <c r="B30" s="564" t="s">
        <v>422</v>
      </c>
      <c r="C30" s="428"/>
      <c r="D30" s="193"/>
      <c r="E30" s="193"/>
      <c r="F30" s="156"/>
      <c r="G30" s="565"/>
      <c r="H30" s="566"/>
    </row>
    <row r="31" ht="22.9" customHeight="1" spans="1:8" x14ac:dyDescent="0.25">
      <c r="A31" s="193"/>
      <c r="B31" s="299" t="s">
        <v>135</v>
      </c>
      <c r="C31" s="299"/>
      <c r="D31" s="299"/>
      <c r="E31" s="299"/>
      <c r="F31" s="299"/>
      <c r="G31" s="300" t="str">
        <f>+G22</f>
        <v>As at 31st March, 2026</v>
      </c>
      <c r="H31" s="300" t="str">
        <f>+H22</f>
        <v>As at 31st March, 2026</v>
      </c>
    </row>
    <row r="32" ht="13.15" customHeight="1" spans="1:8" x14ac:dyDescent="0.25">
      <c r="A32" s="193"/>
      <c r="B32" s="567" t="s">
        <v>423</v>
      </c>
      <c r="C32" s="568"/>
      <c r="D32" s="568"/>
      <c r="E32" s="568"/>
      <c r="F32" s="569"/>
      <c r="G32" s="570">
        <v>0</v>
      </c>
      <c r="H32" s="571">
        <v>0</v>
      </c>
    </row>
    <row r="33" ht="13.15" customHeight="1" spans="1:8" x14ac:dyDescent="0.25">
      <c r="A33" s="193"/>
      <c r="B33" s="572" t="s">
        <v>424</v>
      </c>
      <c r="C33" s="568"/>
      <c r="D33" s="568"/>
      <c r="E33" s="568"/>
      <c r="F33" s="569"/>
      <c r="G33" s="570">
        <v>0</v>
      </c>
      <c r="H33" s="571">
        <v>0</v>
      </c>
    </row>
    <row r="34" ht="13.15" customHeight="1" spans="1:8" x14ac:dyDescent="0.25">
      <c r="A34" s="193"/>
      <c r="B34" s="573"/>
      <c r="C34" s="568"/>
      <c r="D34" s="568"/>
      <c r="E34" s="568"/>
      <c r="F34" s="569"/>
      <c r="G34" s="570"/>
      <c r="H34" s="574"/>
    </row>
    <row r="35" ht="13.9" customHeight="1" spans="1:8" x14ac:dyDescent="0.25">
      <c r="A35" s="193"/>
      <c r="B35" s="423" t="s">
        <v>425</v>
      </c>
      <c r="C35" s="424"/>
      <c r="D35" s="425"/>
      <c r="E35" s="425"/>
      <c r="F35" s="426"/>
      <c r="G35" s="427">
        <f>SUM(G32:G33)</f>
        <v>0</v>
      </c>
      <c r="H35" s="427">
        <f>SUM(H32:H33)</f>
        <v>0</v>
      </c>
    </row>
    <row r="36" ht="13.9" customHeight="1" spans="1:8" x14ac:dyDescent="0.25">
      <c r="A36" s="193"/>
      <c r="B36" s="428"/>
      <c r="C36" s="428"/>
      <c r="D36" s="193"/>
      <c r="E36" s="193"/>
      <c r="F36" s="156"/>
      <c r="G36" s="562"/>
      <c r="H36" s="429"/>
    </row>
    <row r="37" spans="1:2" x14ac:dyDescent="0.25">
      <c r="A37" s="171" t="str">
        <f>BS!D46</f>
        <v/>
      </c>
      <c r="B37" s="167" t="s">
        <v>426</v>
      </c>
    </row>
    <row r="38" spans="2:8" x14ac:dyDescent="0.25">
      <c r="B38" s="575" t="s">
        <v>135</v>
      </c>
      <c r="C38" s="480"/>
      <c r="D38" s="480"/>
      <c r="E38" s="480"/>
      <c r="F38" s="481"/>
      <c r="G38" s="576" t="s">
        <v>409</v>
      </c>
      <c r="H38" s="324" t="s">
        <v>409</v>
      </c>
    </row>
    <row r="39" ht="22.9" customHeight="1" spans="2:8" x14ac:dyDescent="0.25">
      <c r="B39" s="577" t="s">
        <v>410</v>
      </c>
      <c r="C39" s="336"/>
      <c r="D39" s="336"/>
      <c r="E39" s="336"/>
      <c r="F39" s="578"/>
      <c r="G39" s="579" t="str">
        <f>+G7</f>
        <v>31st March, 2026</v>
      </c>
      <c r="H39" s="579" t="str">
        <f>+H7</f>
        <v>31st March, 2026</v>
      </c>
    </row>
    <row r="40" spans="2:8" x14ac:dyDescent="0.25">
      <c r="B40" s="435" t="s">
        <v>427</v>
      </c>
      <c r="C40" s="416"/>
      <c r="D40" s="416"/>
      <c r="E40" s="416"/>
      <c r="F40" s="417"/>
      <c r="G40" s="431"/>
      <c r="H40" s="418"/>
    </row>
    <row r="41" spans="2:8" x14ac:dyDescent="0.25">
      <c r="B41" s="434" t="s">
        <v>428</v>
      </c>
      <c r="C41" s="193"/>
      <c r="D41" s="193"/>
      <c r="E41" s="193"/>
      <c r="F41" s="194"/>
      <c r="G41" s="333">
        <v>0</v>
      </c>
      <c r="H41" s="333">
        <v>0</v>
      </c>
    </row>
    <row r="42" ht="24" customHeight="1" spans="2:8" x14ac:dyDescent="0.25">
      <c r="B42" s="434" t="s">
        <v>429</v>
      </c>
      <c r="C42" s="193"/>
      <c r="D42" s="193"/>
      <c r="E42" s="193"/>
      <c r="F42" s="194"/>
      <c r="G42" s="333">
        <v>0</v>
      </c>
      <c r="H42" s="333">
        <v>0</v>
      </c>
    </row>
    <row r="43" spans="2:8" x14ac:dyDescent="0.25">
      <c r="B43" s="421"/>
      <c r="C43" s="193"/>
      <c r="D43" s="193"/>
      <c r="E43" s="193"/>
      <c r="F43" s="194"/>
      <c r="G43" s="238"/>
      <c r="H43" s="406"/>
    </row>
    <row r="44" ht="13.9" customHeight="1" spans="2:8" x14ac:dyDescent="0.25">
      <c r="B44" s="423" t="s">
        <v>425</v>
      </c>
      <c r="C44" s="424"/>
      <c r="D44" s="425"/>
      <c r="E44" s="425"/>
      <c r="F44" s="426"/>
      <c r="G44" s="427">
        <f>SUM(G38:G42)</f>
        <v>0</v>
      </c>
      <c r="H44" s="427">
        <f>SUM(H38:H42)</f>
        <v>0</v>
      </c>
    </row>
    <row r="45" ht="13.9" customHeight="1" spans="2:8" x14ac:dyDescent="0.25">
      <c r="B45" s="428"/>
      <c r="C45" s="428"/>
      <c r="D45" s="193"/>
      <c r="E45" s="193"/>
      <c r="F45" s="156"/>
      <c r="G45" s="429"/>
      <c r="H45" s="429"/>
    </row>
    <row r="46" spans="1:8" x14ac:dyDescent="0.25">
      <c r="A46" s="171">
        <f>BS!D47</f>
        <v>14</v>
      </c>
      <c r="B46" s="580" t="s">
        <v>259</v>
      </c>
      <c r="C46" s="193"/>
      <c r="D46" s="193"/>
      <c r="E46" s="193"/>
      <c r="F46" s="193"/>
      <c r="G46" s="238"/>
      <c r="H46" s="566"/>
    </row>
    <row r="47" ht="24" customHeight="1" spans="1:8" x14ac:dyDescent="0.25">
      <c r="A47" s="151"/>
      <c r="B47" s="299" t="s">
        <v>135</v>
      </c>
      <c r="C47" s="299"/>
      <c r="D47" s="299"/>
      <c r="E47" s="299"/>
      <c r="F47" s="299"/>
      <c r="G47" s="300" t="str">
        <f>+G31</f>
        <v>As at 31st March, 2026</v>
      </c>
      <c r="H47" s="300" t="str">
        <f>+H31</f>
        <v>As at 31st March, 2026</v>
      </c>
    </row>
    <row r="48" spans="1:8" x14ac:dyDescent="0.25">
      <c r="A48" s="193"/>
      <c r="B48" s="581" t="s">
        <v>430</v>
      </c>
      <c r="C48" s="416"/>
      <c r="D48" s="416"/>
      <c r="E48" s="416"/>
      <c r="F48" s="417"/>
      <c r="G48" s="582">
        <f>'Note PL'!F39</f>
        <v>0</v>
      </c>
      <c r="H48" s="120">
        <f>'Note PL'!G39</f>
        <v>0</v>
      </c>
    </row>
    <row r="49" spans="1:8" x14ac:dyDescent="0.25">
      <c r="A49" s="193"/>
      <c r="B49" s="119"/>
      <c r="C49" s="193"/>
      <c r="D49" s="193"/>
      <c r="E49" s="193"/>
      <c r="F49" s="194"/>
      <c r="G49" s="238"/>
      <c r="H49" s="333"/>
    </row>
    <row r="50" ht="13.9" customHeight="1" spans="1:9" x14ac:dyDescent="0.25">
      <c r="A50" s="193"/>
      <c r="B50" s="423" t="s">
        <v>425</v>
      </c>
      <c r="C50" s="424"/>
      <c r="D50" s="425"/>
      <c r="E50" s="425"/>
      <c r="F50" s="426"/>
      <c r="G50" s="427">
        <f>SUM(G45:G48)</f>
        <v>0</v>
      </c>
      <c r="H50" s="427">
        <f>SUM(H45:H48)</f>
        <v>0</v>
      </c>
      <c r="I50" s="583" t="s">
        <v>38</v>
      </c>
    </row>
    <row r="51" ht="15" customHeight="1" spans="1:9" x14ac:dyDescent="0.25">
      <c r="A51" s="193"/>
      <c r="C51" s="428"/>
      <c r="D51" s="193"/>
      <c r="E51" s="193"/>
      <c r="F51" s="156"/>
      <c r="G51" s="429"/>
      <c r="H51" s="429"/>
      <c r="I51" s="584" t="s">
        <v>38</v>
      </c>
    </row>
    <row r="52" ht="9.95" customHeight="1" spans="1:9" x14ac:dyDescent="0.25">
      <c r="A52" s="193"/>
      <c r="C52" s="428"/>
      <c r="D52" s="193"/>
      <c r="E52" s="193"/>
      <c r="F52" s="156"/>
      <c r="G52" s="429"/>
      <c r="H52" s="429"/>
      <c r="I52" s="584"/>
    </row>
    <row r="53" ht="15" customHeight="1" spans="1:9" x14ac:dyDescent="0.25">
      <c r="A53" s="534" t="str">
        <f>+A1</f>
        <v>[NAME OF THE COMPANY]</v>
      </c>
      <c r="B53" s="534"/>
      <c r="C53" s="534"/>
      <c r="D53" s="534"/>
      <c r="E53" s="534"/>
      <c r="F53" s="534"/>
      <c r="G53" s="534"/>
      <c r="H53" s="534"/>
      <c r="I53" s="584"/>
    </row>
    <row r="54" ht="9.95" customHeight="1" spans="1:9" x14ac:dyDescent="0.25">
      <c r="A54" s="535"/>
      <c r="B54" s="536"/>
      <c r="C54" s="536"/>
      <c r="D54" s="536"/>
      <c r="E54" s="536"/>
      <c r="F54" s="536"/>
      <c r="G54" s="536"/>
      <c r="H54" s="536"/>
      <c r="I54" s="584"/>
    </row>
    <row r="55" ht="15" customHeight="1" spans="1:9" x14ac:dyDescent="0.25">
      <c r="A55" s="171" t="str">
        <f>+A3</f>
        <v>Schedules to Balance Sheet as at 31st March, 2026</v>
      </c>
      <c r="B55" s="171"/>
      <c r="C55" s="171"/>
      <c r="D55" s="171"/>
      <c r="E55" s="171"/>
      <c r="F55" s="171"/>
      <c r="G55" s="171"/>
      <c r="H55" s="171"/>
      <c r="I55" s="584"/>
    </row>
    <row r="56" ht="9.95" customHeight="1" spans="1:9" x14ac:dyDescent="0.25">
      <c r="A56" s="171"/>
      <c r="B56" s="171"/>
      <c r="C56" s="171"/>
      <c r="D56" s="171"/>
      <c r="E56" s="171"/>
      <c r="F56" s="171"/>
      <c r="G56" s="171"/>
      <c r="H56" s="171"/>
      <c r="I56" s="584"/>
    </row>
    <row r="57" ht="12" customHeight="1" spans="1:8" x14ac:dyDescent="0.25">
      <c r="A57" s="563">
        <f>BS!D48</f>
        <v>15</v>
      </c>
      <c r="B57" s="151" t="s">
        <v>431</v>
      </c>
      <c r="C57" s="193"/>
      <c r="D57" s="193"/>
      <c r="E57" s="193"/>
      <c r="F57" s="193"/>
      <c r="G57" s="238"/>
      <c r="H57" s="555" t="s">
        <v>415</v>
      </c>
    </row>
    <row r="58" ht="24" customHeight="1" spans="1:8" x14ac:dyDescent="0.25">
      <c r="A58" s="193"/>
      <c r="B58" s="299" t="s">
        <v>135</v>
      </c>
      <c r="C58" s="299"/>
      <c r="D58" s="299"/>
      <c r="E58" s="299"/>
      <c r="F58" s="299"/>
      <c r="G58" s="300" t="str">
        <f>+G47</f>
        <v>As at 31st March, 2026</v>
      </c>
      <c r="H58" s="300" t="str">
        <f>+H47</f>
        <v>As at 31st March, 2026</v>
      </c>
    </row>
    <row r="59" ht="15" customHeight="1" spans="1:8" x14ac:dyDescent="0.25">
      <c r="A59" s="193"/>
      <c r="B59" s="378" t="s">
        <v>432</v>
      </c>
      <c r="C59" s="327"/>
      <c r="D59" s="327"/>
      <c r="E59" s="327"/>
      <c r="F59" s="585"/>
      <c r="G59" s="238">
        <v>0</v>
      </c>
      <c r="H59" s="332">
        <v>0</v>
      </c>
    </row>
    <row r="60" ht="15" customHeight="1" spans="1:8" x14ac:dyDescent="0.25">
      <c r="A60" s="193"/>
      <c r="B60" s="586" t="s">
        <v>433</v>
      </c>
      <c r="C60" s="164"/>
      <c r="D60" s="164"/>
      <c r="E60" s="164"/>
      <c r="F60" s="222"/>
      <c r="G60" s="238">
        <v>0</v>
      </c>
      <c r="H60" s="333">
        <v>0</v>
      </c>
    </row>
    <row r="61" spans="1:8" x14ac:dyDescent="0.25">
      <c r="A61" s="193"/>
      <c r="B61" s="557"/>
      <c r="C61" s="479"/>
      <c r="D61" s="479"/>
      <c r="E61" s="479"/>
      <c r="F61" s="130"/>
      <c r="G61" s="238"/>
      <c r="H61" s="333"/>
    </row>
    <row r="62" ht="13.9" customHeight="1" spans="1:8" x14ac:dyDescent="0.25">
      <c r="A62" s="193"/>
      <c r="B62" s="423" t="s">
        <v>425</v>
      </c>
      <c r="C62" s="424"/>
      <c r="D62" s="425"/>
      <c r="E62" s="425"/>
      <c r="F62" s="426"/>
      <c r="G62" s="427">
        <f>SUM(G57:G60)</f>
        <v>0</v>
      </c>
      <c r="H62" s="427">
        <f>SUM(H57:H60)</f>
        <v>0</v>
      </c>
    </row>
    <row r="63" ht="13.9" customHeight="1" spans="1:8" x14ac:dyDescent="0.25">
      <c r="A63" s="193"/>
      <c r="B63" s="428"/>
      <c r="C63" s="428"/>
      <c r="D63" s="193"/>
      <c r="E63" s="193"/>
      <c r="F63" s="156"/>
      <c r="G63" s="429"/>
      <c r="H63" s="429"/>
    </row>
    <row r="64" ht="13.15" customHeight="1" spans="1:8" x14ac:dyDescent="0.25">
      <c r="A64" s="193"/>
      <c r="B64" s="564" t="s">
        <v>434</v>
      </c>
      <c r="C64" s="568"/>
      <c r="D64" s="568"/>
      <c r="E64" s="568"/>
      <c r="F64" s="568"/>
      <c r="G64" s="568"/>
      <c r="H64" s="566"/>
    </row>
    <row r="65" ht="13.15" customHeight="1" spans="1:8" x14ac:dyDescent="0.25">
      <c r="A65" s="193"/>
      <c r="B65" s="587" t="s">
        <v>135</v>
      </c>
      <c r="C65" s="588" t="s">
        <v>350</v>
      </c>
      <c r="D65" s="424"/>
      <c r="E65" s="424"/>
      <c r="F65" s="424"/>
      <c r="G65" s="424"/>
      <c r="H65" s="447" t="s">
        <v>313</v>
      </c>
    </row>
    <row r="66" ht="25.5" customHeight="1" spans="1:8" x14ac:dyDescent="0.25">
      <c r="A66" s="193"/>
      <c r="B66" s="589"/>
      <c r="C66" s="590" t="s">
        <v>435</v>
      </c>
      <c r="D66" s="590" t="s">
        <v>436</v>
      </c>
      <c r="E66" s="590" t="s">
        <v>437</v>
      </c>
      <c r="F66" s="591" t="s">
        <v>353</v>
      </c>
      <c r="G66" s="591" t="s">
        <v>438</v>
      </c>
      <c r="H66" s="450"/>
    </row>
    <row r="67" ht="24" customHeight="1" spans="1:8" x14ac:dyDescent="0.25">
      <c r="A67" s="193"/>
      <c r="B67" s="592" t="s">
        <v>439</v>
      </c>
      <c r="C67" s="593">
        <f>G60</f>
        <v>0</v>
      </c>
      <c r="D67" s="593">
        <v>0</v>
      </c>
      <c r="E67" s="593">
        <v>0</v>
      </c>
      <c r="F67" s="593">
        <v>0</v>
      </c>
      <c r="G67" s="593">
        <v>0</v>
      </c>
      <c r="H67" s="594">
        <f>C67</f>
        <v>0</v>
      </c>
    </row>
    <row r="68" ht="24" customHeight="1" spans="1:8" x14ac:dyDescent="0.25">
      <c r="A68" s="193"/>
      <c r="B68" s="592" t="s">
        <v>440</v>
      </c>
      <c r="C68" s="595">
        <v>0</v>
      </c>
      <c r="D68" s="595">
        <v>0</v>
      </c>
      <c r="E68" s="595">
        <v>0</v>
      </c>
      <c r="F68" s="595">
        <v>0</v>
      </c>
      <c r="G68" s="595">
        <v>0</v>
      </c>
      <c r="H68" s="596">
        <v>0</v>
      </c>
    </row>
    <row r="69" ht="24" customHeight="1" spans="1:8" x14ac:dyDescent="0.25">
      <c r="A69" s="193"/>
      <c r="B69" s="592" t="s">
        <v>441</v>
      </c>
      <c r="C69" s="595">
        <v>0</v>
      </c>
      <c r="D69" s="595">
        <v>0</v>
      </c>
      <c r="E69" s="595">
        <v>0</v>
      </c>
      <c r="F69" s="595">
        <v>0</v>
      </c>
      <c r="G69" s="595">
        <v>0</v>
      </c>
      <c r="H69" s="596">
        <v>0</v>
      </c>
    </row>
    <row r="70" ht="24" customHeight="1" spans="1:8" x14ac:dyDescent="0.25">
      <c r="A70" s="193"/>
      <c r="B70" s="597" t="s">
        <v>442</v>
      </c>
      <c r="C70" s="598">
        <v>0</v>
      </c>
      <c r="D70" s="598">
        <v>0</v>
      </c>
      <c r="E70" s="598">
        <v>0</v>
      </c>
      <c r="F70" s="598">
        <v>0</v>
      </c>
      <c r="G70" s="598">
        <v>0</v>
      </c>
      <c r="H70" s="599">
        <v>0</v>
      </c>
    </row>
    <row r="71" spans="1:8" x14ac:dyDescent="0.25">
      <c r="A71" s="193"/>
      <c r="B71" s="600"/>
      <c r="C71" s="238"/>
      <c r="D71" s="238"/>
      <c r="E71" s="238"/>
      <c r="F71" s="238"/>
      <c r="G71" s="238"/>
      <c r="H71" s="238"/>
    </row>
    <row r="72" ht="12.75" customHeight="1" spans="1:9" x14ac:dyDescent="0.25">
      <c r="A72" s="193"/>
      <c r="B72" s="529" t="s">
        <v>434</v>
      </c>
      <c r="C72" s="530"/>
      <c r="D72" s="530"/>
      <c r="E72" s="530"/>
      <c r="F72" s="530"/>
      <c r="G72" s="530"/>
      <c r="H72" s="601"/>
      <c r="I72" s="90"/>
    </row>
    <row r="73" ht="15" customHeight="1" spans="1:9" x14ac:dyDescent="0.25">
      <c r="A73" s="193"/>
      <c r="B73" s="587" t="s">
        <v>135</v>
      </c>
      <c r="C73" s="602" t="s">
        <v>350</v>
      </c>
      <c r="D73" s="550"/>
      <c r="E73" s="550"/>
      <c r="F73" s="550"/>
      <c r="G73" s="550"/>
      <c r="H73" s="467" t="s">
        <v>313</v>
      </c>
      <c r="I73" s="90"/>
    </row>
    <row r="74" ht="25.5" customHeight="1" spans="1:9" x14ac:dyDescent="0.25">
      <c r="A74" s="193"/>
      <c r="B74" s="589"/>
      <c r="C74" s="603" t="s">
        <v>435</v>
      </c>
      <c r="D74" s="603" t="s">
        <v>436</v>
      </c>
      <c r="E74" s="603" t="s">
        <v>437</v>
      </c>
      <c r="F74" s="604" t="s">
        <v>353</v>
      </c>
      <c r="G74" s="604" t="s">
        <v>438</v>
      </c>
      <c r="H74" s="470"/>
      <c r="I74" s="90"/>
    </row>
    <row r="75" ht="24" customHeight="1" spans="1:9" x14ac:dyDescent="0.25">
      <c r="A75" s="193"/>
      <c r="B75" s="586" t="s">
        <v>439</v>
      </c>
      <c r="C75" s="117">
        <f>+H60</f>
        <v>0</v>
      </c>
      <c r="D75" s="117">
        <v>0</v>
      </c>
      <c r="E75" s="117">
        <v>0</v>
      </c>
      <c r="F75" s="117">
        <v>0</v>
      </c>
      <c r="G75" s="117">
        <v>0</v>
      </c>
      <c r="H75" s="605">
        <f>C75</f>
        <v>0</v>
      </c>
      <c r="I75" s="90"/>
    </row>
    <row r="76" ht="24" customHeight="1" spans="1:9" x14ac:dyDescent="0.25">
      <c r="A76" s="193"/>
      <c r="B76" s="586" t="s">
        <v>440</v>
      </c>
      <c r="C76" s="385">
        <v>0</v>
      </c>
      <c r="D76" s="385">
        <v>0</v>
      </c>
      <c r="E76" s="385">
        <v>0</v>
      </c>
      <c r="F76" s="385">
        <v>0</v>
      </c>
      <c r="G76" s="385">
        <v>0</v>
      </c>
      <c r="H76" s="606">
        <v>0</v>
      </c>
      <c r="I76" s="90"/>
    </row>
    <row r="77" ht="24" customHeight="1" spans="1:9" x14ac:dyDescent="0.25">
      <c r="A77" s="193"/>
      <c r="B77" s="586" t="s">
        <v>441</v>
      </c>
      <c r="C77" s="385">
        <v>0</v>
      </c>
      <c r="D77" s="385">
        <v>0</v>
      </c>
      <c r="E77" s="385">
        <v>0</v>
      </c>
      <c r="F77" s="385">
        <v>0</v>
      </c>
      <c r="G77" s="385">
        <v>0</v>
      </c>
      <c r="H77" s="606">
        <v>0</v>
      </c>
      <c r="I77" s="90"/>
    </row>
    <row r="78" ht="24" customHeight="1" spans="1:9" x14ac:dyDescent="0.25">
      <c r="A78" s="193"/>
      <c r="B78" s="607" t="s">
        <v>442</v>
      </c>
      <c r="C78" s="388">
        <v>0</v>
      </c>
      <c r="D78" s="388">
        <v>0</v>
      </c>
      <c r="E78" s="388">
        <v>0</v>
      </c>
      <c r="F78" s="388">
        <v>0</v>
      </c>
      <c r="G78" s="388">
        <v>0</v>
      </c>
      <c r="H78" s="608">
        <v>0</v>
      </c>
      <c r="I78" s="90"/>
    </row>
    <row r="79" spans="1:8" x14ac:dyDescent="0.25">
      <c r="A79" s="193"/>
      <c r="B79" s="600"/>
      <c r="C79" s="238"/>
      <c r="D79" s="238"/>
      <c r="E79" s="238"/>
      <c r="F79" s="238"/>
      <c r="G79" s="238"/>
      <c r="H79" s="238"/>
    </row>
    <row r="80" spans="1:8" x14ac:dyDescent="0.25">
      <c r="A80" s="143"/>
      <c r="B80" s="151" t="s">
        <v>443</v>
      </c>
      <c r="C80" s="159"/>
      <c r="D80" s="159"/>
      <c r="E80" s="159"/>
      <c r="F80" s="159"/>
      <c r="G80" s="159"/>
      <c r="H80" s="159"/>
    </row>
    <row r="81" spans="1:8" x14ac:dyDescent="0.25">
      <c r="A81" s="143"/>
      <c r="B81" s="143" t="s">
        <v>444</v>
      </c>
      <c r="C81" s="159"/>
      <c r="D81" s="159"/>
      <c r="E81" s="159"/>
      <c r="F81" s="159"/>
      <c r="G81" s="159"/>
      <c r="H81" s="159"/>
    </row>
    <row r="82" ht="12" customHeight="1" spans="1:8" x14ac:dyDescent="0.25">
      <c r="A82" s="609"/>
      <c r="B82" s="208"/>
      <c r="C82" s="159"/>
      <c r="D82" s="159"/>
      <c r="E82" s="159"/>
      <c r="F82" s="159"/>
      <c r="G82" s="159"/>
      <c r="H82" s="159"/>
    </row>
    <row r="83" spans="1:8" x14ac:dyDescent="0.25">
      <c r="A83" s="153">
        <f>BS!D49</f>
        <v>16</v>
      </c>
      <c r="B83" s="151" t="s">
        <v>445</v>
      </c>
      <c r="C83" s="193"/>
      <c r="D83" s="193"/>
      <c r="E83" s="193"/>
      <c r="F83" s="193"/>
      <c r="G83" s="238"/>
      <c r="H83" s="193"/>
    </row>
    <row r="84" ht="24" customHeight="1" spans="1:8" x14ac:dyDescent="0.25">
      <c r="A84" s="193"/>
      <c r="B84" s="299" t="s">
        <v>135</v>
      </c>
      <c r="C84" s="299"/>
      <c r="D84" s="299"/>
      <c r="E84" s="299"/>
      <c r="F84" s="299"/>
      <c r="G84" s="300" t="str">
        <f>+G58</f>
        <v>As at 31st March, 2026</v>
      </c>
      <c r="H84" s="300" t="str">
        <f>+H58</f>
        <v>As at 31st March, 2026</v>
      </c>
    </row>
    <row r="85" spans="1:8" x14ac:dyDescent="0.25">
      <c r="A85" s="193"/>
      <c r="B85" s="539" t="s">
        <v>446</v>
      </c>
      <c r="C85" s="416"/>
      <c r="D85" s="416"/>
      <c r="E85" s="416"/>
      <c r="F85" s="416"/>
      <c r="G85" s="610"/>
      <c r="H85" s="610"/>
    </row>
    <row r="86" ht="15" customHeight="1" spans="1:8" x14ac:dyDescent="0.25">
      <c r="A86" s="193"/>
      <c r="B86" s="547" t="s">
        <v>447</v>
      </c>
      <c r="C86" s="193"/>
      <c r="D86" s="193"/>
      <c r="E86" s="193"/>
      <c r="F86" s="193"/>
      <c r="G86" s="333">
        <v>0</v>
      </c>
      <c r="H86" s="333">
        <v>0</v>
      </c>
    </row>
    <row r="87" spans="1:8" x14ac:dyDescent="0.25">
      <c r="A87" s="193"/>
      <c r="B87" s="433" t="s">
        <v>448</v>
      </c>
      <c r="C87" s="193"/>
      <c r="D87" s="193"/>
      <c r="E87" s="193"/>
      <c r="F87" s="193"/>
      <c r="G87" s="333">
        <v>0</v>
      </c>
      <c r="H87" s="333">
        <v>0</v>
      </c>
    </row>
    <row r="88" spans="1:8" x14ac:dyDescent="0.25">
      <c r="A88" s="193"/>
      <c r="B88" s="121"/>
      <c r="C88" s="193"/>
      <c r="D88" s="193"/>
      <c r="E88" s="193"/>
      <c r="F88" s="193"/>
      <c r="G88" s="333"/>
      <c r="H88" s="333"/>
    </row>
    <row r="89" spans="1:8" x14ac:dyDescent="0.25">
      <c r="A89" s="193"/>
      <c r="B89" s="611" t="s">
        <v>449</v>
      </c>
      <c r="C89" s="193"/>
      <c r="D89" s="193"/>
      <c r="E89" s="193"/>
      <c r="F89" s="193"/>
      <c r="G89" s="333"/>
      <c r="H89" s="333"/>
    </row>
    <row r="90" spans="1:8" x14ac:dyDescent="0.25">
      <c r="A90" s="193"/>
      <c r="B90" s="612" t="s">
        <v>450</v>
      </c>
      <c r="F90" s="193"/>
      <c r="G90" s="333">
        <v>0</v>
      </c>
      <c r="H90" s="333">
        <v>0</v>
      </c>
    </row>
    <row r="91" spans="1:8" x14ac:dyDescent="0.25">
      <c r="A91" s="193"/>
      <c r="B91" s="433"/>
      <c r="C91" s="600"/>
      <c r="D91" s="600"/>
      <c r="E91" s="600"/>
      <c r="F91" s="193"/>
      <c r="G91" s="333"/>
      <c r="H91" s="333"/>
    </row>
    <row r="92" ht="13.9" customHeight="1" spans="1:8" x14ac:dyDescent="0.25">
      <c r="A92" s="193"/>
      <c r="B92" s="423" t="s">
        <v>425</v>
      </c>
      <c r="C92" s="424"/>
      <c r="D92" s="425"/>
      <c r="E92" s="425"/>
      <c r="F92" s="426"/>
      <c r="G92" s="427">
        <f>SUM(G86:G90)</f>
        <v>0</v>
      </c>
      <c r="H92" s="427">
        <f>SUM(H86:H90)</f>
        <v>0</v>
      </c>
    </row>
    <row r="93" ht="12.75" customHeight="1" spans="1:8" x14ac:dyDescent="0.25">
      <c r="A93" s="193"/>
      <c r="B93" s="613"/>
      <c r="C93" s="164"/>
      <c r="D93" s="164"/>
      <c r="E93" s="164"/>
      <c r="F93" s="164"/>
      <c r="G93" s="165"/>
      <c r="H93" s="164"/>
    </row>
    <row r="94" spans="1:8" x14ac:dyDescent="0.25">
      <c r="A94" s="563" t="str">
        <f>BS!D50</f>
        <v/>
      </c>
      <c r="B94" s="614" t="s">
        <v>451</v>
      </c>
      <c r="C94" s="193"/>
      <c r="D94" s="193"/>
      <c r="E94" s="193"/>
      <c r="F94" s="193"/>
      <c r="G94" s="238"/>
      <c r="H94" s="566"/>
    </row>
    <row r="95" ht="24" customHeight="1" spans="1:8" x14ac:dyDescent="0.25">
      <c r="A95" s="193"/>
      <c r="B95" s="299" t="s">
        <v>135</v>
      </c>
      <c r="C95" s="299"/>
      <c r="D95" s="299"/>
      <c r="E95" s="299"/>
      <c r="F95" s="299"/>
      <c r="G95" s="300" t="str">
        <f>+G84</f>
        <v>As at 31st March, 2026</v>
      </c>
      <c r="H95" s="300" t="str">
        <f>+H84</f>
        <v>As at 31st March, 2026</v>
      </c>
    </row>
    <row r="96" spans="1:10" x14ac:dyDescent="0.25">
      <c r="A96" s="193"/>
      <c r="B96" s="415" t="s">
        <v>452</v>
      </c>
      <c r="C96" s="193"/>
      <c r="D96" s="193"/>
      <c r="E96" s="193"/>
      <c r="F96" s="194"/>
      <c r="G96" s="615">
        <v>0</v>
      </c>
      <c r="H96" s="615">
        <v>0</v>
      </c>
      <c r="J96" s="420" t="s">
        <v>38</v>
      </c>
    </row>
    <row r="97" spans="1:8" x14ac:dyDescent="0.25">
      <c r="A97" s="193"/>
      <c r="B97" s="612" t="s">
        <v>453</v>
      </c>
      <c r="C97" s="193"/>
      <c r="D97" s="193"/>
      <c r="E97" s="193"/>
      <c r="F97" s="194"/>
      <c r="G97" s="595">
        <v>0</v>
      </c>
      <c r="H97" s="595">
        <v>0</v>
      </c>
    </row>
    <row r="98" spans="1:8" x14ac:dyDescent="0.25">
      <c r="A98" s="193"/>
      <c r="B98" s="612" t="s">
        <v>337</v>
      </c>
      <c r="C98" s="193"/>
      <c r="D98" s="193"/>
      <c r="E98" s="193"/>
      <c r="F98" s="194"/>
      <c r="G98" s="595">
        <v>0</v>
      </c>
      <c r="H98" s="595">
        <v>0</v>
      </c>
    </row>
    <row r="99" spans="1:8" x14ac:dyDescent="0.25">
      <c r="A99" s="193"/>
      <c r="B99" s="421"/>
      <c r="C99" s="193"/>
      <c r="D99" s="193"/>
      <c r="E99" s="193"/>
      <c r="F99" s="194"/>
      <c r="G99" s="598"/>
      <c r="H99" s="598"/>
    </row>
    <row r="100" ht="13.9" customHeight="1" spans="1:8" x14ac:dyDescent="0.25">
      <c r="A100" s="193"/>
      <c r="B100" s="423" t="s">
        <v>425</v>
      </c>
      <c r="C100" s="424"/>
      <c r="D100" s="425"/>
      <c r="E100" s="425"/>
      <c r="F100" s="426"/>
      <c r="G100" s="427">
        <f>SUM(G96:G99)</f>
        <v>0</v>
      </c>
      <c r="H100" s="427">
        <f>SUM(H96:H99)</f>
        <v>0</v>
      </c>
    </row>
    <row r="101" ht="12" customHeight="1" spans="1:8" x14ac:dyDescent="0.25">
      <c r="A101" s="616"/>
      <c r="B101" s="164"/>
      <c r="C101" s="164"/>
      <c r="D101" s="164"/>
      <c r="E101" s="164"/>
      <c r="F101" s="164"/>
      <c r="G101" s="165"/>
      <c r="H101" s="164"/>
    </row>
    <row r="102" ht="12" customHeight="1" spans="1:1" x14ac:dyDescent="0.25">
      <c r="A102" s="616"/>
    </row>
    <row r="103" ht="15" customHeight="1" spans="1:9" x14ac:dyDescent="0.25">
      <c r="A103" s="534" t="str">
        <f>+A53</f>
        <v>[NAME OF THE COMPANY]</v>
      </c>
      <c r="B103" s="534"/>
      <c r="C103" s="534"/>
      <c r="D103" s="534"/>
      <c r="E103" s="534"/>
      <c r="F103" s="534"/>
      <c r="G103" s="534"/>
      <c r="H103" s="534"/>
      <c r="I103" s="584"/>
    </row>
    <row r="104" ht="9.95" customHeight="1" spans="1:9" x14ac:dyDescent="0.25">
      <c r="A104" s="535"/>
      <c r="B104" s="536"/>
      <c r="C104" s="536"/>
      <c r="D104" s="536"/>
      <c r="E104" s="536"/>
      <c r="F104" s="536"/>
      <c r="G104" s="536"/>
      <c r="H104" s="536"/>
      <c r="I104" s="584"/>
    </row>
    <row r="105" ht="15" customHeight="1" spans="1:9" x14ac:dyDescent="0.25">
      <c r="A105" s="171" t="str">
        <f>+A55</f>
        <v>Schedules to Balance Sheet as at 31st March, 2026</v>
      </c>
      <c r="B105" s="171"/>
      <c r="C105" s="171"/>
      <c r="D105" s="171"/>
      <c r="E105" s="171"/>
      <c r="F105" s="171"/>
      <c r="G105" s="171"/>
      <c r="H105" s="171"/>
      <c r="I105" s="584"/>
    </row>
    <row r="106" ht="15" customHeight="1" spans="1:9" x14ac:dyDescent="0.25">
      <c r="A106" s="171"/>
      <c r="B106" s="171"/>
      <c r="C106" s="171"/>
      <c r="D106" s="171"/>
      <c r="E106" s="171"/>
      <c r="F106" s="171"/>
      <c r="G106" s="171"/>
      <c r="H106" s="171"/>
      <c r="I106" s="584"/>
    </row>
    <row r="107" spans="1:8" x14ac:dyDescent="0.25">
      <c r="A107" s="563" t="str">
        <f>BS!D51</f>
        <v/>
      </c>
      <c r="B107" s="151" t="s">
        <v>262</v>
      </c>
      <c r="C107" s="193"/>
      <c r="D107" s="193"/>
      <c r="E107" s="193"/>
      <c r="F107" s="193"/>
      <c r="G107" s="238"/>
      <c r="H107" s="566"/>
    </row>
    <row r="108" spans="1:8" x14ac:dyDescent="0.25">
      <c r="A108" s="193"/>
      <c r="B108" s="617" t="s">
        <v>135</v>
      </c>
      <c r="C108" s="416"/>
      <c r="D108" s="416"/>
      <c r="E108" s="416"/>
      <c r="F108" s="417"/>
      <c r="G108" s="576" t="s">
        <v>409</v>
      </c>
      <c r="H108" s="324" t="s">
        <v>409</v>
      </c>
    </row>
    <row r="109" ht="22.9" customHeight="1" spans="1:8" x14ac:dyDescent="0.25">
      <c r="A109" s="193"/>
      <c r="B109" s="618"/>
      <c r="C109" s="336"/>
      <c r="D109" s="336"/>
      <c r="E109" s="336"/>
      <c r="F109" s="578"/>
      <c r="G109" s="579" t="str">
        <f>+G7</f>
        <v>31st March, 2026</v>
      </c>
      <c r="H109" s="579" t="str">
        <f>+H7</f>
        <v>31st March, 2026</v>
      </c>
    </row>
    <row r="110" spans="1:8" x14ac:dyDescent="0.25">
      <c r="A110" s="193"/>
      <c r="B110" s="612" t="s">
        <v>454</v>
      </c>
      <c r="C110" s="193"/>
      <c r="D110" s="193"/>
      <c r="E110" s="193"/>
      <c r="F110" s="194"/>
      <c r="G110" s="239">
        <v>0</v>
      </c>
      <c r="H110" s="595">
        <v>0</v>
      </c>
    </row>
    <row r="111" spans="1:8" x14ac:dyDescent="0.25">
      <c r="A111" s="193"/>
      <c r="B111" s="612" t="s">
        <v>455</v>
      </c>
      <c r="C111" s="193"/>
      <c r="D111" s="193"/>
      <c r="E111" s="193"/>
      <c r="F111" s="194"/>
      <c r="G111" s="239">
        <v>0</v>
      </c>
      <c r="H111" s="595">
        <v>0</v>
      </c>
    </row>
    <row r="112" spans="1:8" x14ac:dyDescent="0.25">
      <c r="A112" s="193"/>
      <c r="B112" s="612" t="s">
        <v>456</v>
      </c>
      <c r="C112" s="193"/>
      <c r="D112" s="193"/>
      <c r="E112" s="193"/>
      <c r="F112" s="194"/>
      <c r="G112" s="239">
        <v>0</v>
      </c>
      <c r="H112" s="595">
        <v>0</v>
      </c>
    </row>
    <row r="113" spans="1:8" x14ac:dyDescent="0.25">
      <c r="A113" s="193"/>
      <c r="B113" s="612" t="s">
        <v>457</v>
      </c>
      <c r="C113" s="193"/>
      <c r="D113" s="193"/>
      <c r="E113" s="193"/>
      <c r="F113" s="194"/>
      <c r="G113" s="239">
        <v>0</v>
      </c>
      <c r="H113" s="595">
        <v>0</v>
      </c>
    </row>
    <row r="114" spans="1:8" x14ac:dyDescent="0.25">
      <c r="A114" s="193"/>
      <c r="B114" s="421" t="s">
        <v>458</v>
      </c>
      <c r="C114" s="193"/>
      <c r="D114" s="193"/>
      <c r="E114" s="193"/>
      <c r="F114" s="194"/>
      <c r="G114" s="238">
        <v>0</v>
      </c>
      <c r="H114" s="333">
        <v>0</v>
      </c>
    </row>
    <row r="115" spans="1:8" x14ac:dyDescent="0.25">
      <c r="A115" s="193"/>
      <c r="B115" s="421"/>
      <c r="C115" s="193"/>
      <c r="D115" s="193"/>
      <c r="E115" s="193"/>
      <c r="F115" s="194"/>
      <c r="G115" s="238"/>
      <c r="H115" s="333"/>
    </row>
    <row r="116" ht="13.9" customHeight="1" spans="1:8" x14ac:dyDescent="0.25">
      <c r="A116" s="193"/>
      <c r="B116" s="423" t="s">
        <v>425</v>
      </c>
      <c r="C116" s="424"/>
      <c r="D116" s="425"/>
      <c r="E116" s="425"/>
      <c r="F116" s="426"/>
      <c r="G116" s="427">
        <f>SUM(G110:G114)</f>
        <v>0</v>
      </c>
      <c r="H116" s="427">
        <f>SUM(H110:H114)</f>
        <v>0</v>
      </c>
    </row>
    <row r="117" ht="12" customHeight="1" spans="1:8" x14ac:dyDescent="0.25">
      <c r="A117" s="616"/>
      <c r="B117" s="164"/>
      <c r="C117" s="164"/>
      <c r="D117" s="164"/>
      <c r="E117" s="164"/>
      <c r="F117" s="164"/>
      <c r="G117" s="165"/>
      <c r="H117" s="164"/>
    </row>
    <row r="120" spans="1:8" x14ac:dyDescent="0.25">
      <c r="A120" s="485" t="s">
        <v>382</v>
      </c>
      <c r="B120" s="164"/>
      <c r="C120" s="164"/>
      <c r="D120" s="164"/>
      <c r="E120" s="164"/>
      <c r="F120" s="164"/>
      <c r="G120" s="165"/>
      <c r="H120" s="164"/>
    </row>
    <row r="122" ht="13.15" customHeight="1" hidden="1" spans="1:8" x14ac:dyDescent="0.25">
      <c r="A122" s="193"/>
      <c r="B122" s="428"/>
      <c r="C122" s="428"/>
      <c r="D122" s="193"/>
      <c r="E122" s="193"/>
      <c r="F122" s="156"/>
      <c r="G122" s="429"/>
      <c r="H122" s="429"/>
    </row>
  </sheetData>
  <mergeCells count="38">
    <mergeCell ref="A1:H1"/>
    <mergeCell ref="A3:H3"/>
    <mergeCell ref="B12:C12"/>
    <mergeCell ref="B15:F15"/>
    <mergeCell ref="B16:E16"/>
    <mergeCell ref="B17:F17"/>
    <mergeCell ref="B19:C19"/>
    <mergeCell ref="B22:F22"/>
    <mergeCell ref="B24:E24"/>
    <mergeCell ref="B25:E25"/>
    <mergeCell ref="B27:C27"/>
    <mergeCell ref="B31:F31"/>
    <mergeCell ref="B35:C35"/>
    <mergeCell ref="B44:C44"/>
    <mergeCell ref="B47:F47"/>
    <mergeCell ref="B50:C50"/>
    <mergeCell ref="A53:H53"/>
    <mergeCell ref="A55:H55"/>
    <mergeCell ref="B58:F58"/>
    <mergeCell ref="B60:F60"/>
    <mergeCell ref="B62:C62"/>
    <mergeCell ref="C65:G65"/>
    <mergeCell ref="B65:B66"/>
    <mergeCell ref="H65:H66"/>
    <mergeCell ref="C73:G73"/>
    <mergeCell ref="B73:B74"/>
    <mergeCell ref="H73:H74"/>
    <mergeCell ref="B84:F84"/>
    <mergeCell ref="B92:C92"/>
    <mergeCell ref="B93:H93"/>
    <mergeCell ref="B95:F95"/>
    <mergeCell ref="B100:C100"/>
    <mergeCell ref="A101:H101"/>
    <mergeCell ref="A103:H103"/>
    <mergeCell ref="A105:H105"/>
    <mergeCell ref="B116:C116"/>
    <mergeCell ref="A117:H117"/>
    <mergeCell ref="A120:H120"/>
  </mergeCells>
  <conditionalFormatting sqref="G6:H7">
    <cfRule type="cellIs" dxfId="14" priority="9" operator="lessThan">
      <formula>0</formula>
    </cfRule>
  </conditionalFormatting>
  <conditionalFormatting sqref="G15:H15">
    <cfRule type="cellIs" dxfId="15" priority="6" operator="lessThan">
      <formula>0</formula>
    </cfRule>
  </conditionalFormatting>
  <conditionalFormatting sqref="G22:H22">
    <cfRule type="cellIs" dxfId="16" priority="16" operator="lessThan">
      <formula>0</formula>
    </cfRule>
  </conditionalFormatting>
  <conditionalFormatting sqref="G31:H31">
    <cfRule type="cellIs" dxfId="17" priority="4" operator="lessThan">
      <formula>0</formula>
    </cfRule>
  </conditionalFormatting>
  <conditionalFormatting sqref="G38:H40">
    <cfRule type="cellIs" dxfId="18" priority="15" operator="lessThan">
      <formula>0</formula>
    </cfRule>
  </conditionalFormatting>
  <conditionalFormatting sqref="G47:H47">
    <cfRule type="cellIs" dxfId="19" priority="14" operator="lessThan">
      <formula>0</formula>
    </cfRule>
  </conditionalFormatting>
  <conditionalFormatting sqref="G58:H58">
    <cfRule type="cellIs" dxfId="20" priority="3" operator="lessThan">
      <formula>0</formula>
    </cfRule>
  </conditionalFormatting>
  <conditionalFormatting sqref="G84:H84">
    <cfRule type="cellIs" dxfId="21" priority="2" operator="lessThan">
      <formula>0</formula>
    </cfRule>
  </conditionalFormatting>
  <conditionalFormatting sqref="G95:H95">
    <cfRule type="cellIs" dxfId="22" priority="1" operator="lessThan">
      <formula>0</formula>
    </cfRule>
  </conditionalFormatting>
  <conditionalFormatting sqref="G108:H109">
    <cfRule type="cellIs" dxfId="23" priority="10" operator="lessThan">
      <formula>0</formula>
    </cfRule>
  </conditionalFormatting>
  <conditionalFormatting sqref="J15">
    <cfRule type="cellIs" dxfId="24" priority="5" operator="lessThan">
      <formula>0</formula>
    </cfRule>
  </conditionalFormatting>
  <printOptions horizontalCentered="1"/>
  <pageMargins left="0.35" right="0.35" top="0.55" bottom="0.55" header="0.2" footer="0.2"/>
  <pageSetup paperSize="9" orientation="portrait" horizontalDpi="4294967295" verticalDpi="4294967295" scale="100" fitToWidth="1" fitToHeight="0" firstPageNumber="1" useFirstPageNumber="1" copies="1"/>
  <headerFooter>
    <oddFooter>&amp;LCAFlow template&amp;RPage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34"/>
  <sheetViews>
    <sheetView workbookViewId="0" showGridLines="0" zoomScale="100" zoomScaleNormal="100" view="pageBreakPreview">
      <selection activeCell="I105" sqref="I105"/>
    </sheetView>
  </sheetViews>
  <sheetFormatPr defaultRowHeight="12" outlineLevelRow="0" outlineLevelCol="0" x14ac:dyDescent="0" defaultColWidth="9.28515625" customHeight="1"/>
  <cols>
    <col min="1" max="1" width="5.7109375" style="619" customWidth="1"/>
    <col min="2" max="2" width="15.7109375" style="164" customWidth="1"/>
    <col min="3" max="3" width="14.5703125" style="164" customWidth="1"/>
    <col min="4" max="4" width="12.7109375" style="164" customWidth="1"/>
    <col min="5" max="5" width="9.42578125" style="164" customWidth="1"/>
    <col min="6" max="6" width="17.7109375" style="165" customWidth="1"/>
    <col min="7" max="7" width="17.7109375" style="164" customWidth="1"/>
    <col min="8" max="8" width="21.42578125" style="164" customWidth="1"/>
    <col min="9" max="9" width="14.7109375" style="164" customWidth="1"/>
    <col min="10" max="10" width="11" style="164" customWidth="1"/>
    <col min="11" max="12" width="15.42578125" style="164" customWidth="1"/>
    <col min="13" max="13" width="14.42578125" style="164" customWidth="1"/>
    <col min="14" max="16384" width="9.28515625" style="164" customWidth="1"/>
  </cols>
  <sheetData>
    <row r="1" ht="15.75" customHeight="1" spans="1:9" x14ac:dyDescent="0.25">
      <c r="A1" s="620" t="str">
        <f>BS!B2</f>
        <v>[NAME OF THE COMPANY]</v>
      </c>
      <c r="B1" s="620"/>
      <c r="C1" s="620"/>
      <c r="D1" s="620"/>
      <c r="E1" s="620"/>
      <c r="F1" s="620"/>
      <c r="G1" s="620"/>
      <c r="H1" s="193"/>
      <c r="I1" s="193"/>
    </row>
    <row r="2" spans="1:11" x14ac:dyDescent="0.25">
      <c r="A2" s="554"/>
      <c r="B2" s="193"/>
      <c r="C2" s="193"/>
      <c r="D2" s="193"/>
      <c r="E2" s="193"/>
      <c r="F2" s="238"/>
      <c r="G2" s="193"/>
      <c r="H2" s="193"/>
      <c r="I2" s="621" t="s">
        <v>38</v>
      </c>
      <c r="J2" s="622">
        <f>0.01*PL!G9</f>
        <v>0</v>
      </c>
      <c r="K2" s="622">
        <f>0.01*PL!H9</f>
        <v>0</v>
      </c>
    </row>
    <row r="3" ht="15.75" customHeight="1" spans="1:9" x14ac:dyDescent="0.25">
      <c r="A3" s="93" t="s">
        <v>459</v>
      </c>
      <c r="B3" s="93"/>
      <c r="C3" s="93"/>
      <c r="D3" s="93"/>
      <c r="E3" s="93"/>
      <c r="F3" s="93"/>
      <c r="G3" s="93"/>
      <c r="H3" s="193"/>
      <c r="I3" s="193"/>
    </row>
    <row r="4" spans="1:9" x14ac:dyDescent="0.25">
      <c r="A4" s="623"/>
      <c r="B4" s="193"/>
      <c r="C4" s="193"/>
      <c r="D4" s="193"/>
      <c r="E4" s="193"/>
      <c r="F4" s="238"/>
      <c r="G4" s="566"/>
      <c r="H4" s="193"/>
      <c r="I4" s="193"/>
    </row>
    <row r="5" ht="12" customHeight="1" spans="1:9" x14ac:dyDescent="0.25">
      <c r="A5" s="624" t="str">
        <f>PL!F9</f>
        <v/>
      </c>
      <c r="B5" s="580" t="s">
        <v>191</v>
      </c>
      <c r="C5" s="193"/>
      <c r="D5" s="193"/>
      <c r="E5" s="193"/>
      <c r="F5" s="238"/>
      <c r="G5" s="98" t="str">
        <f>+BS!E5</f>
        <v>(Amount in Rs. `000)</v>
      </c>
      <c r="H5" s="193"/>
      <c r="I5" s="193"/>
    </row>
    <row r="6" ht="30" customHeight="1" spans="1:7" x14ac:dyDescent="0.25">
      <c r="A6" s="624"/>
      <c r="B6" s="625" t="s">
        <v>135</v>
      </c>
      <c r="C6" s="625"/>
      <c r="D6" s="625"/>
      <c r="E6" s="625"/>
      <c r="F6" s="626" t="s">
        <v>460</v>
      </c>
      <c r="G6" s="626" t="s">
        <v>461</v>
      </c>
    </row>
    <row r="7" spans="1:9" x14ac:dyDescent="0.25">
      <c r="A7" s="623"/>
      <c r="B7" s="421" t="s">
        <v>462</v>
      </c>
      <c r="C7" s="193"/>
      <c r="D7" s="193"/>
      <c r="E7" s="627"/>
      <c r="F7" s="399">
        <v>0</v>
      </c>
      <c r="G7" s="332">
        <v>0</v>
      </c>
      <c r="H7" s="193"/>
      <c r="I7" s="193" t="s">
        <v>463</v>
      </c>
    </row>
    <row r="8" spans="1:9" x14ac:dyDescent="0.25">
      <c r="A8" s="623"/>
      <c r="B8" s="421" t="s">
        <v>464</v>
      </c>
      <c r="C8" s="193"/>
      <c r="D8" s="193"/>
      <c r="E8" s="627"/>
      <c r="F8" s="400">
        <v>0</v>
      </c>
      <c r="G8" s="333">
        <v>0</v>
      </c>
      <c r="H8" s="193"/>
      <c r="I8" s="193"/>
    </row>
    <row r="9" spans="1:9" x14ac:dyDescent="0.25">
      <c r="A9" s="623"/>
      <c r="B9" s="421" t="s">
        <v>465</v>
      </c>
      <c r="C9" s="193"/>
      <c r="D9" s="193"/>
      <c r="E9" s="627"/>
      <c r="F9" s="400">
        <v>0</v>
      </c>
      <c r="G9" s="333">
        <v>0</v>
      </c>
      <c r="H9" s="193"/>
      <c r="I9" s="193"/>
    </row>
    <row r="10" ht="6.95" customHeight="1" spans="1:9" x14ac:dyDescent="0.25">
      <c r="A10" s="623"/>
      <c r="B10" s="421"/>
      <c r="C10" s="193"/>
      <c r="D10" s="193"/>
      <c r="E10" s="627"/>
      <c r="F10" s="628"/>
      <c r="G10" s="629"/>
      <c r="H10" s="193"/>
      <c r="I10" s="193"/>
    </row>
    <row r="11" ht="13.9" customHeight="1" spans="1:9" x14ac:dyDescent="0.25">
      <c r="A11" s="623"/>
      <c r="B11" s="630" t="s">
        <v>313</v>
      </c>
      <c r="C11" s="424"/>
      <c r="D11" s="425"/>
      <c r="E11" s="426"/>
      <c r="F11" s="427">
        <f>SUM(F7:F10)</f>
        <v>0</v>
      </c>
      <c r="G11" s="427">
        <f>SUM(G7:G10)</f>
        <v>0</v>
      </c>
      <c r="H11" s="193"/>
      <c r="I11" s="193"/>
    </row>
    <row r="12" ht="13.9" customHeight="1" spans="1:9" x14ac:dyDescent="0.25">
      <c r="A12" s="623"/>
      <c r="B12" s="631"/>
      <c r="C12" s="631"/>
      <c r="D12" s="193"/>
      <c r="E12" s="156"/>
      <c r="F12" s="342"/>
      <c r="G12" s="342"/>
      <c r="H12" s="193"/>
      <c r="I12" s="193"/>
    </row>
    <row r="13" spans="1:9" x14ac:dyDescent="0.25">
      <c r="A13" s="624" t="str">
        <f>PL!F10</f>
        <v/>
      </c>
      <c r="B13" s="580" t="s">
        <v>466</v>
      </c>
      <c r="C13" s="193"/>
      <c r="D13" s="193"/>
      <c r="E13" s="632"/>
      <c r="F13" s="633"/>
      <c r="G13" s="566"/>
      <c r="H13" s="193"/>
      <c r="I13" s="193"/>
    </row>
    <row r="14" ht="30" customHeight="1" spans="1:7" x14ac:dyDescent="0.25">
      <c r="A14" s="624"/>
      <c r="B14" s="634" t="s">
        <v>135</v>
      </c>
      <c r="C14" s="635"/>
      <c r="D14" s="635"/>
      <c r="E14" s="636"/>
      <c r="F14" s="637" t="str">
        <f>+F6</f>
        <v> For the year ended 31st March, 2026</v>
      </c>
      <c r="G14" s="637" t="str">
        <f>+G6</f>
        <v> For the year ended 31st March, 2026</v>
      </c>
    </row>
    <row r="15" spans="1:9" x14ac:dyDescent="0.25">
      <c r="A15" s="623"/>
      <c r="B15" s="581" t="s">
        <v>252</v>
      </c>
      <c r="C15" s="638"/>
      <c r="D15" s="638"/>
      <c r="E15" s="639"/>
      <c r="F15" s="238">
        <v>0</v>
      </c>
      <c r="G15" s="332">
        <v>0</v>
      </c>
      <c r="H15" s="193"/>
      <c r="I15" s="193"/>
    </row>
    <row r="16" spans="1:9" x14ac:dyDescent="0.25">
      <c r="A16" s="623"/>
      <c r="B16" s="421" t="s">
        <v>467</v>
      </c>
      <c r="C16" s="580"/>
      <c r="D16" s="580"/>
      <c r="E16" s="640"/>
      <c r="F16" s="238">
        <v>0</v>
      </c>
      <c r="G16" s="333">
        <v>0</v>
      </c>
      <c r="H16" s="193"/>
      <c r="I16" s="193"/>
    </row>
    <row r="17" spans="1:9" x14ac:dyDescent="0.25">
      <c r="A17" s="623"/>
      <c r="B17" s="421" t="s">
        <v>468</v>
      </c>
      <c r="C17" s="193"/>
      <c r="D17" s="193"/>
      <c r="E17" s="627"/>
      <c r="F17" s="238">
        <v>0</v>
      </c>
      <c r="G17" s="333">
        <v>0</v>
      </c>
      <c r="H17" s="193"/>
      <c r="I17" s="193"/>
    </row>
    <row r="18" ht="6.95" customHeight="1" spans="1:9" x14ac:dyDescent="0.25">
      <c r="A18" s="623"/>
      <c r="B18" s="421"/>
      <c r="C18" s="193"/>
      <c r="D18" s="193"/>
      <c r="E18" s="627"/>
      <c r="F18" s="238"/>
      <c r="G18" s="333"/>
      <c r="H18" s="193"/>
      <c r="I18" s="193"/>
    </row>
    <row r="19" ht="13.9" customHeight="1" spans="1:9" x14ac:dyDescent="0.25">
      <c r="A19" s="623"/>
      <c r="B19" s="630" t="s">
        <v>313</v>
      </c>
      <c r="C19" s="424"/>
      <c r="D19" s="425"/>
      <c r="E19" s="426"/>
      <c r="F19" s="427">
        <f>SUM(F15:F18)</f>
        <v>0</v>
      </c>
      <c r="G19" s="427">
        <f>SUM(G15:G18)</f>
        <v>0</v>
      </c>
      <c r="H19" s="193"/>
      <c r="I19" s="193"/>
    </row>
    <row r="20" ht="12" customHeight="1" spans="1:9" x14ac:dyDescent="0.25">
      <c r="A20" s="623"/>
      <c r="B20" s="193"/>
      <c r="C20" s="193"/>
      <c r="D20" s="193"/>
      <c r="E20" s="193"/>
      <c r="F20" s="238"/>
      <c r="G20" s="193"/>
      <c r="H20" s="193"/>
      <c r="I20" s="193"/>
    </row>
    <row r="21" spans="1:9" x14ac:dyDescent="0.25">
      <c r="A21" s="624" t="str">
        <f>PL!F10</f>
        <v/>
      </c>
      <c r="B21" s="580" t="s">
        <v>198</v>
      </c>
      <c r="C21" s="193"/>
      <c r="D21" s="193"/>
      <c r="E21" s="193"/>
      <c r="F21" s="238"/>
      <c r="G21" s="566"/>
      <c r="H21" s="193"/>
      <c r="I21" s="193"/>
    </row>
    <row r="22" ht="30" customHeight="1" spans="1:9" x14ac:dyDescent="0.25">
      <c r="A22" s="624"/>
      <c r="B22" s="634" t="s">
        <v>135</v>
      </c>
      <c r="C22" s="635"/>
      <c r="D22" s="635"/>
      <c r="E22" s="636"/>
      <c r="F22" s="641" t="str">
        <f>+F14</f>
        <v> For the year ended 31st March, 2026</v>
      </c>
      <c r="G22" s="641" t="str">
        <f>+G14</f>
        <v> For the year ended 31st March, 2026</v>
      </c>
      <c r="H22" s="193"/>
      <c r="I22" s="193"/>
    </row>
    <row r="23" spans="1:9" x14ac:dyDescent="0.25">
      <c r="A23" s="623"/>
      <c r="B23" s="617" t="s">
        <v>469</v>
      </c>
      <c r="C23" s="416"/>
      <c r="D23" s="416"/>
      <c r="E23" s="417"/>
      <c r="F23" s="332"/>
      <c r="G23" s="332"/>
      <c r="H23" s="193"/>
      <c r="I23" s="193"/>
    </row>
    <row r="24" spans="1:9" x14ac:dyDescent="0.25">
      <c r="A24" s="623"/>
      <c r="B24" s="421" t="s">
        <v>470</v>
      </c>
      <c r="C24" s="193"/>
      <c r="D24" s="193"/>
      <c r="E24" s="194"/>
      <c r="F24" s="238">
        <v>0</v>
      </c>
      <c r="G24" s="333">
        <v>0</v>
      </c>
      <c r="H24" s="193"/>
      <c r="I24" s="193"/>
    </row>
    <row r="25" spans="1:9" x14ac:dyDescent="0.25">
      <c r="A25" s="623"/>
      <c r="B25" s="421" t="s">
        <v>471</v>
      </c>
      <c r="C25" s="193"/>
      <c r="D25" s="193"/>
      <c r="E25" s="194"/>
      <c r="F25" s="238">
        <v>0</v>
      </c>
      <c r="G25" s="333">
        <v>0</v>
      </c>
      <c r="H25" s="193"/>
      <c r="I25" s="193"/>
    </row>
    <row r="26" spans="1:9" x14ac:dyDescent="0.25">
      <c r="A26" s="623"/>
      <c r="B26" s="421" t="s">
        <v>472</v>
      </c>
      <c r="C26" s="193"/>
      <c r="D26" s="193"/>
      <c r="E26" s="194"/>
      <c r="F26" s="238">
        <v>0</v>
      </c>
      <c r="G26" s="333">
        <v>0</v>
      </c>
      <c r="H26" s="193"/>
      <c r="I26" s="193"/>
    </row>
    <row r="27" ht="6.95" customHeight="1" spans="1:9" x14ac:dyDescent="0.25">
      <c r="A27" s="623"/>
      <c r="B27" s="421"/>
      <c r="C27" s="193"/>
      <c r="D27" s="193"/>
      <c r="E27" s="194"/>
      <c r="F27" s="238"/>
      <c r="G27" s="333"/>
      <c r="H27" s="193"/>
      <c r="I27" s="193"/>
    </row>
    <row r="28" ht="13.9" customHeight="1" spans="1:9" x14ac:dyDescent="0.25">
      <c r="A28" s="623"/>
      <c r="B28" s="630" t="s">
        <v>313</v>
      </c>
      <c r="C28" s="424"/>
      <c r="D28" s="425"/>
      <c r="E28" s="426"/>
      <c r="F28" s="427">
        <f>+F24+F25-F26</f>
        <v>0</v>
      </c>
      <c r="G28" s="427">
        <f>+G24+G25-G26</f>
        <v>0</v>
      </c>
      <c r="H28" s="193"/>
      <c r="I28" s="193"/>
    </row>
    <row r="29" ht="13.9" customHeight="1" spans="1:9" x14ac:dyDescent="0.25">
      <c r="A29" s="623"/>
      <c r="B29" s="642"/>
      <c r="D29" s="193"/>
      <c r="E29" s="156"/>
      <c r="F29" s="643"/>
      <c r="G29" s="643"/>
      <c r="H29" s="193"/>
      <c r="I29" s="193"/>
    </row>
    <row r="30" spans="1:9" x14ac:dyDescent="0.25">
      <c r="A30" s="624" t="str">
        <f>PL!F15</f>
        <v/>
      </c>
      <c r="B30" s="580" t="s">
        <v>473</v>
      </c>
      <c r="C30" s="193"/>
      <c r="D30" s="193"/>
      <c r="E30" s="193"/>
      <c r="F30" s="238"/>
      <c r="G30" s="566"/>
      <c r="H30" s="193"/>
      <c r="I30" s="193"/>
    </row>
    <row r="31" ht="30" customHeight="1" spans="1:9" x14ac:dyDescent="0.25">
      <c r="A31" s="624"/>
      <c r="B31" s="634" t="s">
        <v>135</v>
      </c>
      <c r="C31" s="635"/>
      <c r="D31" s="635"/>
      <c r="E31" s="636"/>
      <c r="F31" s="641" t="str">
        <f>+F14</f>
        <v> For the year ended 31st March, 2026</v>
      </c>
      <c r="G31" s="641" t="str">
        <f>+G14</f>
        <v> For the year ended 31st March, 2026</v>
      </c>
      <c r="H31" s="193"/>
      <c r="I31" s="193"/>
    </row>
    <row r="32" spans="1:9" x14ac:dyDescent="0.25">
      <c r="A32" s="623"/>
      <c r="B32" s="581" t="s">
        <v>474</v>
      </c>
      <c r="C32" s="416"/>
      <c r="D32" s="416"/>
      <c r="E32" s="417"/>
      <c r="F32" s="332">
        <v>0</v>
      </c>
      <c r="G32" s="332">
        <v>0</v>
      </c>
      <c r="H32" s="193"/>
      <c r="I32" s="193"/>
    </row>
    <row r="33" ht="6.95" customHeight="1" spans="1:9" x14ac:dyDescent="0.25">
      <c r="A33" s="623"/>
      <c r="B33" s="421"/>
      <c r="C33" s="193"/>
      <c r="D33" s="193"/>
      <c r="E33" s="194"/>
      <c r="F33" s="238"/>
      <c r="G33" s="333"/>
      <c r="H33" s="193"/>
      <c r="I33" s="193"/>
    </row>
    <row r="34" ht="13.9" customHeight="1" spans="1:9" x14ac:dyDescent="0.25">
      <c r="A34" s="623"/>
      <c r="B34" s="630" t="s">
        <v>313</v>
      </c>
      <c r="C34" s="424"/>
      <c r="D34" s="425"/>
      <c r="E34" s="426"/>
      <c r="F34" s="427">
        <f>SUM(F32:F33)</f>
        <v>0</v>
      </c>
      <c r="G34" s="427">
        <f>SUM(G32:G33)</f>
        <v>0</v>
      </c>
      <c r="H34" s="193"/>
      <c r="I34" s="193"/>
    </row>
    <row r="35" ht="13.9" customHeight="1" spans="1:9" x14ac:dyDescent="0.25">
      <c r="A35" s="623"/>
      <c r="B35" s="631"/>
      <c r="C35" s="631"/>
      <c r="D35" s="193"/>
      <c r="E35" s="156"/>
      <c r="F35" s="429"/>
      <c r="G35" s="429"/>
      <c r="H35" s="193"/>
      <c r="I35" s="193"/>
    </row>
    <row r="36" spans="1:9" x14ac:dyDescent="0.25">
      <c r="A36" s="624" t="str">
        <f>PL!F16</f>
        <v/>
      </c>
      <c r="B36" s="580" t="s">
        <v>475</v>
      </c>
      <c r="C36" s="193"/>
      <c r="D36" s="193"/>
      <c r="E36" s="193"/>
      <c r="F36" s="239"/>
      <c r="G36" s="566"/>
      <c r="H36" s="193"/>
      <c r="I36" s="193"/>
    </row>
    <row r="37" ht="30" customHeight="1" spans="1:9" x14ac:dyDescent="0.25">
      <c r="A37" s="624"/>
      <c r="B37" s="634" t="s">
        <v>135</v>
      </c>
      <c r="C37" s="635"/>
      <c r="D37" s="635"/>
      <c r="E37" s="636"/>
      <c r="F37" s="641" t="str">
        <f>+F31</f>
        <v> For the year ended 31st March, 2026</v>
      </c>
      <c r="G37" s="637" t="str">
        <f>+G31</f>
        <v> For the year ended 31st March, 2026</v>
      </c>
      <c r="H37" s="193"/>
      <c r="I37" s="193"/>
    </row>
    <row r="38" spans="1:9" x14ac:dyDescent="0.25">
      <c r="A38" s="624"/>
      <c r="B38" s="617" t="s">
        <v>476</v>
      </c>
      <c r="C38" s="416"/>
      <c r="D38" s="416"/>
      <c r="E38" s="417"/>
      <c r="F38" s="332"/>
      <c r="G38" s="333"/>
      <c r="H38" s="193"/>
      <c r="I38" s="193"/>
    </row>
    <row r="39" spans="1:10" x14ac:dyDescent="0.25">
      <c r="A39" s="624"/>
      <c r="B39" s="421" t="s">
        <v>477</v>
      </c>
      <c r="C39" s="193"/>
      <c r="D39" s="193"/>
      <c r="E39" s="194"/>
      <c r="F39" s="333">
        <v>0</v>
      </c>
      <c r="G39" s="333">
        <v>0</v>
      </c>
      <c r="H39" s="239"/>
      <c r="I39" s="239"/>
      <c r="J39" s="644">
        <f>0.0015*100</f>
        <v>0.15</v>
      </c>
    </row>
    <row r="40" ht="6.95" customHeight="1" spans="1:10" x14ac:dyDescent="0.25">
      <c r="A40" s="624"/>
      <c r="B40" s="421"/>
      <c r="C40" s="193"/>
      <c r="D40" s="193"/>
      <c r="E40" s="194"/>
      <c r="F40" s="333"/>
      <c r="G40" s="333"/>
      <c r="H40" s="239"/>
      <c r="I40" s="239"/>
      <c r="J40" s="166"/>
    </row>
    <row r="41" spans="1:9" x14ac:dyDescent="0.25">
      <c r="A41" s="624"/>
      <c r="B41" s="421"/>
      <c r="C41" s="193"/>
      <c r="D41" s="193"/>
      <c r="E41" s="194"/>
      <c r="F41" s="645">
        <f>SUM(F39:F40)</f>
        <v>0</v>
      </c>
      <c r="G41" s="645">
        <f>SUM(G39:G40)</f>
        <v>0</v>
      </c>
      <c r="H41" s="193"/>
      <c r="I41" s="193"/>
    </row>
    <row r="42" spans="1:9" x14ac:dyDescent="0.25">
      <c r="A42" s="623"/>
      <c r="B42" s="422" t="s">
        <v>478</v>
      </c>
      <c r="C42" s="193"/>
      <c r="D42" s="193"/>
      <c r="E42" s="194"/>
      <c r="F42" s="333"/>
      <c r="G42" s="333"/>
      <c r="H42" s="193"/>
      <c r="I42" s="193"/>
    </row>
    <row r="43" spans="1:9" x14ac:dyDescent="0.25">
      <c r="A43" s="623"/>
      <c r="B43" s="421" t="s">
        <v>477</v>
      </c>
      <c r="C43" s="193"/>
      <c r="D43" s="193"/>
      <c r="E43" s="194"/>
      <c r="F43" s="333">
        <f>G39</f>
        <v>0</v>
      </c>
      <c r="G43" s="333">
        <v>0</v>
      </c>
      <c r="H43" s="193"/>
      <c r="I43" s="193"/>
    </row>
    <row r="44" ht="6.95" customHeight="1" spans="1:9" x14ac:dyDescent="0.25">
      <c r="A44" s="623"/>
      <c r="B44" s="421"/>
      <c r="C44" s="193"/>
      <c r="D44" s="193"/>
      <c r="E44" s="194"/>
      <c r="F44" s="333"/>
      <c r="G44" s="333"/>
      <c r="H44" s="193"/>
      <c r="I44" s="193"/>
    </row>
    <row r="45" spans="1:9" x14ac:dyDescent="0.25">
      <c r="A45" s="623"/>
      <c r="B45" s="422"/>
      <c r="C45" s="193"/>
      <c r="D45" s="193"/>
      <c r="E45" s="194"/>
      <c r="F45" s="645">
        <f>SUM(F43:F44)</f>
        <v>0</v>
      </c>
      <c r="G45" s="645">
        <f>SUM(G43:G44)</f>
        <v>0</v>
      </c>
      <c r="H45" s="193"/>
      <c r="I45" s="193"/>
    </row>
    <row r="46" ht="6.75" customHeight="1" spans="1:9" x14ac:dyDescent="0.25">
      <c r="A46" s="623"/>
      <c r="B46" s="422"/>
      <c r="C46" s="193"/>
      <c r="D46" s="193"/>
      <c r="E46" s="194"/>
      <c r="F46" s="333"/>
      <c r="G46" s="333"/>
      <c r="H46" s="193"/>
      <c r="I46" s="193"/>
    </row>
    <row r="47" ht="12" customHeight="1" spans="1:9" x14ac:dyDescent="0.25">
      <c r="A47" s="623"/>
      <c r="B47" s="646" t="s">
        <v>479</v>
      </c>
      <c r="C47" s="647"/>
      <c r="D47" s="336"/>
      <c r="E47" s="578"/>
      <c r="F47" s="340">
        <f>F45-F41</f>
        <v>0</v>
      </c>
      <c r="G47" s="340">
        <f>G45-G41</f>
        <v>0</v>
      </c>
      <c r="H47" s="193"/>
      <c r="I47" s="193"/>
    </row>
    <row r="48" ht="12" customHeight="1" spans="1:9" x14ac:dyDescent="0.25">
      <c r="A48" s="623"/>
      <c r="B48" s="580"/>
      <c r="C48" s="580"/>
      <c r="D48" s="193"/>
      <c r="E48" s="193"/>
      <c r="F48" s="342"/>
      <c r="G48" s="342"/>
      <c r="H48" s="193"/>
      <c r="I48" s="193"/>
    </row>
    <row r="49" spans="1:9" x14ac:dyDescent="0.25">
      <c r="A49" s="554" t="str">
        <f>PL!F17</f>
        <v/>
      </c>
      <c r="B49" s="151" t="s">
        <v>203</v>
      </c>
      <c r="C49" s="193"/>
      <c r="D49" s="193"/>
      <c r="E49" s="193"/>
      <c r="F49" s="239"/>
      <c r="G49" s="566"/>
      <c r="H49" s="193"/>
      <c r="I49" s="193"/>
    </row>
    <row r="50" ht="30" customHeight="1" spans="1:9" x14ac:dyDescent="0.25">
      <c r="A50" s="554"/>
      <c r="B50" s="634" t="s">
        <v>135</v>
      </c>
      <c r="C50" s="635"/>
      <c r="D50" s="635"/>
      <c r="E50" s="636"/>
      <c r="F50" s="641" t="str">
        <f>+F37</f>
        <v> For the year ended 31st March, 2026</v>
      </c>
      <c r="G50" s="637" t="str">
        <f>+G37</f>
        <v> For the year ended 31st March, 2026</v>
      </c>
      <c r="H50" s="193"/>
      <c r="I50" s="193"/>
    </row>
    <row r="51" spans="1:9" x14ac:dyDescent="0.25">
      <c r="A51" s="623"/>
      <c r="B51" s="398" t="s">
        <v>480</v>
      </c>
      <c r="C51" s="186"/>
      <c r="D51" s="186"/>
      <c r="E51" s="187"/>
      <c r="F51" s="332">
        <v>0</v>
      </c>
      <c r="G51" s="333">
        <v>0</v>
      </c>
      <c r="H51" s="193"/>
      <c r="I51" s="193"/>
    </row>
    <row r="52" spans="1:9" x14ac:dyDescent="0.25">
      <c r="A52" s="623"/>
      <c r="B52" s="121" t="s">
        <v>481</v>
      </c>
      <c r="C52" s="193"/>
      <c r="D52" s="193"/>
      <c r="E52" s="194"/>
      <c r="F52" s="333">
        <v>0</v>
      </c>
      <c r="G52" s="333">
        <v>0</v>
      </c>
      <c r="H52" s="193" t="s">
        <v>482</v>
      </c>
      <c r="I52" s="193"/>
    </row>
    <row r="53" spans="1:9" x14ac:dyDescent="0.25">
      <c r="A53" s="623"/>
      <c r="B53" s="121" t="s">
        <v>483</v>
      </c>
      <c r="C53" s="193"/>
      <c r="D53" s="193"/>
      <c r="E53" s="194"/>
      <c r="F53" s="333">
        <v>0</v>
      </c>
      <c r="G53" s="333">
        <v>0</v>
      </c>
      <c r="H53" s="193"/>
      <c r="I53" s="193"/>
    </row>
    <row r="54" spans="1:9" x14ac:dyDescent="0.25">
      <c r="A54" s="623"/>
      <c r="B54" s="648" t="s">
        <v>484</v>
      </c>
      <c r="C54" s="193"/>
      <c r="D54" s="193"/>
      <c r="E54" s="194"/>
      <c r="F54" s="333">
        <v>0</v>
      </c>
      <c r="G54" s="333">
        <v>0</v>
      </c>
      <c r="H54" s="193"/>
      <c r="I54" s="193"/>
    </row>
    <row r="55" ht="6.95" customHeight="1" spans="1:9" x14ac:dyDescent="0.25">
      <c r="A55" s="623"/>
      <c r="B55" s="404"/>
      <c r="C55" s="336"/>
      <c r="D55" s="336"/>
      <c r="E55" s="559"/>
      <c r="F55" s="333"/>
      <c r="G55" s="333"/>
      <c r="H55" s="193"/>
      <c r="I55" s="193"/>
    </row>
    <row r="56" ht="13.9" customHeight="1" spans="1:12" x14ac:dyDescent="0.25">
      <c r="A56" s="623"/>
      <c r="B56" s="630" t="s">
        <v>313</v>
      </c>
      <c r="C56" s="424"/>
      <c r="D56" s="425"/>
      <c r="E56" s="426"/>
      <c r="F56" s="427">
        <f>SUM(F51:F55)</f>
        <v>0</v>
      </c>
      <c r="G56" s="427">
        <f>SUM(G51:G55)</f>
        <v>0</v>
      </c>
      <c r="H56" s="193"/>
      <c r="I56" s="193"/>
      <c r="L56" s="166"/>
    </row>
    <row r="57" ht="12.75" customHeight="1" spans="1:12" x14ac:dyDescent="0.25">
      <c r="A57" s="623"/>
      <c r="B57" s="193"/>
      <c r="C57" s="193"/>
      <c r="D57" s="193"/>
      <c r="E57" s="193"/>
      <c r="F57" s="193"/>
      <c r="G57" s="193"/>
      <c r="H57" s="193"/>
      <c r="I57" s="193"/>
      <c r="L57" s="166"/>
    </row>
    <row r="58" spans="1:12" x14ac:dyDescent="0.25">
      <c r="A58" s="623"/>
      <c r="B58" s="193"/>
      <c r="C58" s="193"/>
      <c r="D58" s="193"/>
      <c r="E58" s="193"/>
      <c r="F58" s="342"/>
      <c r="G58" s="342"/>
      <c r="H58" s="193"/>
      <c r="I58" s="193"/>
      <c r="L58" s="166"/>
    </row>
    <row r="59" ht="15.75" customHeight="1" spans="1:9" x14ac:dyDescent="0.25">
      <c r="A59" s="620" t="str">
        <f>+A1</f>
        <v>[NAME OF THE COMPANY]</v>
      </c>
      <c r="B59" s="620"/>
      <c r="C59" s="620"/>
      <c r="D59" s="620"/>
      <c r="E59" s="620"/>
      <c r="F59" s="620"/>
      <c r="G59" s="620"/>
      <c r="H59" s="193"/>
      <c r="I59" s="193"/>
    </row>
    <row r="60" spans="1:9" x14ac:dyDescent="0.25">
      <c r="A60" s="554"/>
      <c r="B60" s="193"/>
      <c r="C60" s="193"/>
      <c r="D60" s="193"/>
      <c r="E60" s="193"/>
      <c r="F60" s="238"/>
      <c r="G60" s="193"/>
      <c r="H60" s="193"/>
      <c r="I60" s="193"/>
    </row>
    <row r="61" ht="15.75" customHeight="1" spans="1:9" x14ac:dyDescent="0.25">
      <c r="A61" s="93" t="str">
        <f>+A3</f>
        <v>Schedules to Profit &amp; Loss A/c. for Financial year 20__ - __</v>
      </c>
      <c r="B61" s="93"/>
      <c r="C61" s="93"/>
      <c r="D61" s="93"/>
      <c r="E61" s="93"/>
      <c r="F61" s="93"/>
      <c r="G61" s="93"/>
      <c r="H61" s="193"/>
      <c r="I61" s="193"/>
    </row>
    <row r="62" spans="1:9" x14ac:dyDescent="0.25">
      <c r="A62" s="554"/>
      <c r="B62" s="151"/>
      <c r="C62" s="193"/>
      <c r="D62" s="193"/>
      <c r="E62" s="193"/>
      <c r="F62" s="239"/>
      <c r="G62" s="239"/>
      <c r="H62" s="193"/>
      <c r="I62" s="193"/>
    </row>
    <row r="63" spans="1:9" x14ac:dyDescent="0.25">
      <c r="A63" s="554" t="str">
        <f>PL!F18</f>
        <v/>
      </c>
      <c r="B63" s="151" t="s">
        <v>485</v>
      </c>
      <c r="C63" s="193"/>
      <c r="D63" s="193"/>
      <c r="E63" s="193"/>
      <c r="F63" s="239"/>
      <c r="G63" s="566" t="str">
        <f>+G5</f>
        <v>(Amount in Rs. `000)</v>
      </c>
      <c r="H63" s="193"/>
      <c r="I63" s="193"/>
    </row>
    <row r="64" ht="30" customHeight="1" spans="1:9" x14ac:dyDescent="0.25">
      <c r="A64" s="554"/>
      <c r="B64" s="634" t="s">
        <v>135</v>
      </c>
      <c r="C64" s="635"/>
      <c r="D64" s="635"/>
      <c r="E64" s="636"/>
      <c r="F64" s="641" t="str">
        <f>+F50</f>
        <v> For the year ended 31st March, 2026</v>
      </c>
      <c r="G64" s="637" t="str">
        <f>+G50</f>
        <v> For the year ended 31st March, 2026</v>
      </c>
      <c r="H64" s="193"/>
      <c r="I64" s="193"/>
    </row>
    <row r="65" spans="1:9" x14ac:dyDescent="0.25">
      <c r="A65" s="623"/>
      <c r="B65" s="398" t="s">
        <v>486</v>
      </c>
      <c r="C65" s="416"/>
      <c r="D65" s="416"/>
      <c r="E65" s="417"/>
      <c r="F65" s="649">
        <v>0</v>
      </c>
      <c r="G65" s="333">
        <v>0</v>
      </c>
      <c r="H65" s="193"/>
      <c r="I65" s="193"/>
    </row>
    <row r="66" spans="1:9" x14ac:dyDescent="0.25">
      <c r="A66" s="623"/>
      <c r="B66" s="121" t="s">
        <v>487</v>
      </c>
      <c r="C66" s="193"/>
      <c r="D66" s="193"/>
      <c r="E66" s="194"/>
      <c r="F66" s="358">
        <v>0</v>
      </c>
      <c r="G66" s="333">
        <v>0</v>
      </c>
      <c r="H66" s="193"/>
      <c r="I66" s="193"/>
    </row>
    <row r="67" spans="1:9" x14ac:dyDescent="0.25">
      <c r="A67" s="623"/>
      <c r="B67" s="121" t="s">
        <v>488</v>
      </c>
      <c r="C67" s="193"/>
      <c r="D67" s="193"/>
      <c r="E67" s="194"/>
      <c r="F67" s="358"/>
      <c r="G67" s="333"/>
      <c r="H67" s="193"/>
      <c r="I67" s="193"/>
    </row>
    <row r="68" spans="1:9" x14ac:dyDescent="0.25">
      <c r="A68" s="623"/>
      <c r="B68" s="121" t="s">
        <v>489</v>
      </c>
      <c r="C68" s="193"/>
      <c r="D68" s="193"/>
      <c r="E68" s="194"/>
      <c r="F68" s="358">
        <v>0</v>
      </c>
      <c r="G68" s="333">
        <v>0</v>
      </c>
      <c r="H68" s="193"/>
      <c r="I68" s="193"/>
    </row>
    <row r="69" spans="1:9" x14ac:dyDescent="0.25">
      <c r="A69" s="623"/>
      <c r="B69" s="650"/>
      <c r="C69" s="336"/>
      <c r="D69" s="336"/>
      <c r="E69" s="578"/>
      <c r="F69" s="358"/>
      <c r="G69" s="333"/>
      <c r="H69" s="193"/>
      <c r="I69" s="193"/>
    </row>
    <row r="70" ht="13.9" customHeight="1" spans="1:12" x14ac:dyDescent="0.25">
      <c r="A70" s="623"/>
      <c r="B70" s="630" t="s">
        <v>313</v>
      </c>
      <c r="C70" s="424"/>
      <c r="D70" s="425"/>
      <c r="E70" s="426"/>
      <c r="F70" s="427">
        <f>SUM(F65:F68)</f>
        <v>0</v>
      </c>
      <c r="G70" s="427">
        <f>SUM(G65:G68)</f>
        <v>0</v>
      </c>
      <c r="H70" s="193"/>
      <c r="I70" s="193"/>
      <c r="L70" s="166"/>
    </row>
    <row r="71" ht="11.65" customHeight="1" spans="1:9" x14ac:dyDescent="0.25">
      <c r="A71" s="163"/>
      <c r="B71" s="164"/>
      <c r="C71" s="164"/>
      <c r="D71" s="164"/>
      <c r="E71" s="193"/>
      <c r="F71" s="239"/>
      <c r="G71" s="566"/>
      <c r="H71" s="193"/>
      <c r="I71" s="193"/>
    </row>
    <row r="72" ht="12" customHeight="1" spans="1:9" x14ac:dyDescent="0.25">
      <c r="A72" s="554" t="str">
        <f>PL!F20</f>
        <v/>
      </c>
      <c r="B72" s="151" t="s">
        <v>208</v>
      </c>
      <c r="C72" s="193"/>
      <c r="D72" s="193"/>
      <c r="E72" s="193"/>
      <c r="F72" s="239"/>
      <c r="G72" s="555"/>
      <c r="H72" s="193"/>
      <c r="I72" s="193"/>
    </row>
    <row r="73" ht="30" customHeight="1" spans="1:9" x14ac:dyDescent="0.25">
      <c r="A73" s="554"/>
      <c r="B73" s="625" t="s">
        <v>135</v>
      </c>
      <c r="C73" s="625"/>
      <c r="D73" s="625"/>
      <c r="E73" s="625"/>
      <c r="F73" s="637" t="str">
        <f>+F64</f>
        <v> For the year ended 31st March, 2026</v>
      </c>
      <c r="G73" s="637" t="str">
        <f>+G64</f>
        <v> For the year ended 31st March, 2026</v>
      </c>
      <c r="H73" s="193"/>
      <c r="I73" s="193"/>
    </row>
    <row r="74" spans="1:9" x14ac:dyDescent="0.25">
      <c r="A74" s="623"/>
      <c r="B74" s="415"/>
      <c r="C74" s="186"/>
      <c r="D74" s="186"/>
      <c r="E74" s="187"/>
      <c r="F74" s="651"/>
      <c r="G74" s="432"/>
      <c r="H74" s="193"/>
      <c r="I74" s="193" t="s">
        <v>490</v>
      </c>
    </row>
    <row r="75" spans="1:8" x14ac:dyDescent="0.25">
      <c r="A75" s="623"/>
      <c r="B75" s="309" t="s">
        <v>491</v>
      </c>
      <c r="C75" s="193"/>
      <c r="D75" s="193"/>
      <c r="E75" s="194"/>
      <c r="F75" s="333">
        <v>0</v>
      </c>
      <c r="G75" s="333">
        <v>0</v>
      </c>
      <c r="H75" s="193"/>
    </row>
    <row r="76" spans="1:8" x14ac:dyDescent="0.25">
      <c r="A76" s="623"/>
      <c r="B76" s="652" t="s">
        <v>492</v>
      </c>
      <c r="C76" s="193"/>
      <c r="D76" s="193"/>
      <c r="E76" s="194"/>
      <c r="F76" s="333">
        <v>0</v>
      </c>
      <c r="G76" s="333">
        <v>0</v>
      </c>
      <c r="H76" s="193"/>
    </row>
    <row r="77" spans="1:8" x14ac:dyDescent="0.25">
      <c r="A77" s="623"/>
      <c r="B77" s="309" t="s">
        <v>493</v>
      </c>
      <c r="C77" s="193"/>
      <c r="D77" s="193"/>
      <c r="E77" s="194"/>
      <c r="F77" s="333">
        <v>0</v>
      </c>
      <c r="G77" s="333">
        <v>0</v>
      </c>
      <c r="H77" s="193"/>
    </row>
    <row r="78" spans="1:8" x14ac:dyDescent="0.25">
      <c r="A78" s="623"/>
      <c r="B78" s="421" t="s">
        <v>494</v>
      </c>
      <c r="C78" s="193"/>
      <c r="D78" s="193"/>
      <c r="E78" s="194"/>
      <c r="F78" s="333">
        <v>0</v>
      </c>
      <c r="G78" s="333">
        <v>0</v>
      </c>
      <c r="H78" s="193"/>
    </row>
    <row r="79" spans="1:11" x14ac:dyDescent="0.25">
      <c r="A79" s="623"/>
      <c r="B79" s="652" t="s">
        <v>495</v>
      </c>
      <c r="C79" s="193"/>
      <c r="D79" s="193"/>
      <c r="E79" s="194"/>
      <c r="F79" s="333">
        <v>0</v>
      </c>
      <c r="G79" s="333">
        <v>0</v>
      </c>
      <c r="H79" s="239"/>
      <c r="J79" s="653"/>
      <c r="K79" s="166"/>
    </row>
    <row r="80" spans="1:11" x14ac:dyDescent="0.25">
      <c r="A80" s="623"/>
      <c r="B80" s="421" t="s">
        <v>496</v>
      </c>
      <c r="C80" s="193"/>
      <c r="D80" s="193"/>
      <c r="E80" s="194"/>
      <c r="F80" s="333">
        <v>0</v>
      </c>
      <c r="G80" s="333">
        <v>0</v>
      </c>
      <c r="H80" s="239"/>
      <c r="J80" s="653"/>
      <c r="K80" s="166"/>
    </row>
    <row r="81" spans="1:11" x14ac:dyDescent="0.25">
      <c r="A81" s="623"/>
      <c r="B81" s="421" t="s">
        <v>497</v>
      </c>
      <c r="C81" s="193"/>
      <c r="D81" s="193"/>
      <c r="E81" s="194"/>
      <c r="F81" s="333">
        <v>0</v>
      </c>
      <c r="G81" s="333">
        <v>0</v>
      </c>
      <c r="H81" s="239"/>
      <c r="J81" s="653"/>
      <c r="K81" s="166"/>
    </row>
    <row r="82" spans="1:11" x14ac:dyDescent="0.25">
      <c r="A82" s="623"/>
      <c r="B82" s="421" t="s">
        <v>498</v>
      </c>
      <c r="C82" s="193"/>
      <c r="D82" s="193"/>
      <c r="E82" s="194"/>
      <c r="F82" s="333">
        <v>0</v>
      </c>
      <c r="G82" s="333">
        <v>0</v>
      </c>
      <c r="H82" s="239"/>
      <c r="J82" s="653"/>
      <c r="K82" s="166"/>
    </row>
    <row r="83" spans="1:11" x14ac:dyDescent="0.25">
      <c r="A83" s="623"/>
      <c r="B83" s="309" t="s">
        <v>499</v>
      </c>
      <c r="C83" s="193"/>
      <c r="D83" s="193"/>
      <c r="E83" s="194"/>
      <c r="F83" s="333">
        <v>0</v>
      </c>
      <c r="G83" s="333">
        <v>0</v>
      </c>
      <c r="H83" s="239"/>
      <c r="J83" s="653"/>
      <c r="K83" s="166"/>
    </row>
    <row r="84" spans="1:11" x14ac:dyDescent="0.25">
      <c r="A84" s="623"/>
      <c r="B84" s="421" t="s">
        <v>500</v>
      </c>
      <c r="C84" s="193"/>
      <c r="D84" s="193"/>
      <c r="E84" s="194"/>
      <c r="F84" s="333">
        <v>0</v>
      </c>
      <c r="G84" s="333">
        <v>0</v>
      </c>
      <c r="H84" s="239"/>
      <c r="J84" s="653"/>
      <c r="K84" s="166"/>
    </row>
    <row r="85" spans="1:11" x14ac:dyDescent="0.25">
      <c r="A85" s="623"/>
      <c r="B85" s="421" t="s">
        <v>501</v>
      </c>
      <c r="C85" s="193"/>
      <c r="D85" s="193"/>
      <c r="E85" s="194"/>
      <c r="F85" s="333">
        <v>0</v>
      </c>
      <c r="G85" s="333">
        <v>0</v>
      </c>
      <c r="H85" s="239"/>
      <c r="J85" s="653"/>
      <c r="K85" s="166"/>
    </row>
    <row r="86" spans="1:11" x14ac:dyDescent="0.25">
      <c r="A86" s="623"/>
      <c r="B86" s="421" t="s">
        <v>502</v>
      </c>
      <c r="C86" s="193"/>
      <c r="D86" s="193"/>
      <c r="E86" s="194"/>
      <c r="F86" s="333">
        <v>0</v>
      </c>
      <c r="G86" s="333">
        <v>0</v>
      </c>
      <c r="H86" s="239"/>
      <c r="J86" s="653"/>
      <c r="K86" s="166"/>
    </row>
    <row r="87" spans="1:11" x14ac:dyDescent="0.25">
      <c r="A87" s="623"/>
      <c r="B87" s="652" t="s">
        <v>503</v>
      </c>
      <c r="C87" s="193"/>
      <c r="D87" s="193"/>
      <c r="E87" s="194"/>
      <c r="F87" s="333">
        <v>0</v>
      </c>
      <c r="G87" s="333">
        <v>0</v>
      </c>
      <c r="H87" s="239"/>
      <c r="J87" s="653"/>
      <c r="K87" s="166"/>
    </row>
    <row r="88" spans="1:11" x14ac:dyDescent="0.25">
      <c r="A88" s="623"/>
      <c r="B88" s="421" t="s">
        <v>504</v>
      </c>
      <c r="C88" s="193"/>
      <c r="D88" s="193"/>
      <c r="E88" s="194"/>
      <c r="F88" s="333">
        <v>0</v>
      </c>
      <c r="G88" s="333">
        <v>0</v>
      </c>
      <c r="H88" s="239"/>
      <c r="J88" s="653"/>
      <c r="K88" s="166"/>
    </row>
    <row r="89" spans="1:12" x14ac:dyDescent="0.25">
      <c r="A89" s="623"/>
      <c r="B89" s="652" t="s">
        <v>505</v>
      </c>
      <c r="C89" s="193"/>
      <c r="D89" s="193"/>
      <c r="E89" s="194"/>
      <c r="F89" s="333">
        <v>0</v>
      </c>
      <c r="G89" s="333">
        <v>0</v>
      </c>
      <c r="H89" s="239"/>
      <c r="J89" s="653"/>
      <c r="K89" s="166"/>
      <c r="L89" s="165"/>
    </row>
    <row r="90" spans="1:12" x14ac:dyDescent="0.25">
      <c r="A90" s="623"/>
      <c r="B90" s="421" t="s">
        <v>506</v>
      </c>
      <c r="C90" s="193"/>
      <c r="D90" s="193"/>
      <c r="E90" s="194"/>
      <c r="F90" s="333">
        <v>0</v>
      </c>
      <c r="G90" s="333">
        <v>0</v>
      </c>
      <c r="H90" s="239"/>
      <c r="J90" s="653"/>
      <c r="K90" s="166"/>
      <c r="L90" s="165"/>
    </row>
    <row r="91" spans="1:12" x14ac:dyDescent="0.25">
      <c r="A91" s="623"/>
      <c r="B91" s="648" t="s">
        <v>507</v>
      </c>
      <c r="C91" s="193"/>
      <c r="D91" s="193"/>
      <c r="E91" s="194"/>
      <c r="F91" s="333">
        <v>0</v>
      </c>
      <c r="G91" s="333">
        <v>0</v>
      </c>
      <c r="H91" s="239"/>
      <c r="I91" s="193"/>
      <c r="J91" s="653"/>
      <c r="K91" s="166"/>
      <c r="L91" s="165"/>
    </row>
    <row r="92" spans="1:12" x14ac:dyDescent="0.25">
      <c r="A92" s="623"/>
      <c r="B92" s="648" t="s">
        <v>508</v>
      </c>
      <c r="C92" s="193"/>
      <c r="D92" s="193"/>
      <c r="E92" s="194"/>
      <c r="F92" s="333">
        <v>0</v>
      </c>
      <c r="G92" s="333">
        <v>0</v>
      </c>
      <c r="H92" s="239"/>
      <c r="I92" s="193"/>
      <c r="J92" s="653"/>
      <c r="K92" s="166"/>
      <c r="L92" s="165"/>
    </row>
    <row r="93" spans="1:12" x14ac:dyDescent="0.25">
      <c r="A93" s="623"/>
      <c r="B93" s="648" t="s">
        <v>509</v>
      </c>
      <c r="C93" s="193"/>
      <c r="D93" s="193"/>
      <c r="E93" s="194"/>
      <c r="F93" s="333">
        <v>0</v>
      </c>
      <c r="G93" s="333">
        <v>0</v>
      </c>
      <c r="H93" s="239"/>
      <c r="I93" s="193"/>
      <c r="J93" s="653"/>
      <c r="K93" s="166"/>
      <c r="L93" s="165"/>
    </row>
    <row r="94" spans="1:12" x14ac:dyDescent="0.25">
      <c r="A94" s="623"/>
      <c r="B94" s="648" t="s">
        <v>510</v>
      </c>
      <c r="C94" s="193"/>
      <c r="D94" s="193"/>
      <c r="E94" s="194"/>
      <c r="F94" s="333">
        <v>0</v>
      </c>
      <c r="G94" s="333">
        <v>0</v>
      </c>
      <c r="H94" s="239"/>
      <c r="I94" s="193"/>
      <c r="J94" s="653"/>
      <c r="K94" s="166"/>
      <c r="L94" s="165"/>
    </row>
    <row r="95" spans="1:12" x14ac:dyDescent="0.25">
      <c r="A95" s="623"/>
      <c r="B95" s="648" t="s">
        <v>511</v>
      </c>
      <c r="C95" s="193"/>
      <c r="D95" s="193"/>
      <c r="E95" s="194"/>
      <c r="F95" s="333">
        <v>0</v>
      </c>
      <c r="G95" s="333">
        <v>0</v>
      </c>
      <c r="H95" s="239"/>
      <c r="I95" s="193"/>
      <c r="J95" s="653"/>
      <c r="K95" s="166"/>
      <c r="L95" s="165"/>
    </row>
    <row r="96" spans="1:12" x14ac:dyDescent="0.25">
      <c r="A96" s="623"/>
      <c r="B96" s="648" t="s">
        <v>512</v>
      </c>
      <c r="C96" s="193"/>
      <c r="D96" s="193"/>
      <c r="E96" s="194"/>
      <c r="F96" s="333">
        <v>0</v>
      </c>
      <c r="G96" s="333">
        <v>0</v>
      </c>
      <c r="H96" s="239"/>
      <c r="I96" s="193"/>
      <c r="J96" s="653"/>
      <c r="K96" s="166"/>
      <c r="L96" s="165"/>
    </row>
    <row r="97" spans="1:12" x14ac:dyDescent="0.25">
      <c r="A97" s="623"/>
      <c r="B97" s="654" t="s">
        <v>513</v>
      </c>
      <c r="C97" s="193"/>
      <c r="D97" s="193"/>
      <c r="E97" s="194"/>
      <c r="F97" s="333">
        <v>0</v>
      </c>
      <c r="G97" s="333">
        <v>0</v>
      </c>
      <c r="H97" s="239"/>
      <c r="I97" s="193"/>
      <c r="J97" s="653"/>
      <c r="K97" s="166"/>
      <c r="L97" s="165"/>
    </row>
    <row r="98" spans="1:12" x14ac:dyDescent="0.25">
      <c r="A98" s="623"/>
      <c r="B98" s="648" t="s">
        <v>514</v>
      </c>
      <c r="C98" s="193"/>
      <c r="D98" s="193"/>
      <c r="E98" s="194"/>
      <c r="F98" s="333"/>
      <c r="G98" s="333"/>
      <c r="H98" s="239"/>
      <c r="I98" s="193"/>
      <c r="J98" s="653"/>
      <c r="K98" s="166"/>
      <c r="L98" s="165"/>
    </row>
    <row r="99" spans="1:12" x14ac:dyDescent="0.25">
      <c r="A99" s="623"/>
      <c r="B99" s="648" t="s">
        <v>515</v>
      </c>
      <c r="C99" s="193"/>
      <c r="D99" s="193"/>
      <c r="E99" s="194"/>
      <c r="F99" s="333"/>
      <c r="G99" s="333"/>
      <c r="H99" s="239"/>
      <c r="I99" s="193"/>
      <c r="J99" s="653"/>
      <c r="K99" s="166"/>
      <c r="L99" s="165"/>
    </row>
    <row r="100" spans="1:12" x14ac:dyDescent="0.25">
      <c r="A100" s="623"/>
      <c r="B100" s="648" t="s">
        <v>516</v>
      </c>
      <c r="C100" s="193"/>
      <c r="D100" s="193"/>
      <c r="E100" s="194"/>
      <c r="F100" s="333"/>
      <c r="G100" s="333"/>
      <c r="H100" s="239"/>
      <c r="I100" s="193"/>
      <c r="J100" s="653"/>
      <c r="K100" s="166"/>
      <c r="L100" s="165"/>
    </row>
    <row r="101" spans="1:12" x14ac:dyDescent="0.25">
      <c r="A101" s="623"/>
      <c r="B101" s="648" t="s">
        <v>517</v>
      </c>
      <c r="C101" s="193"/>
      <c r="D101" s="193"/>
      <c r="E101" s="194"/>
      <c r="F101" s="333">
        <v>0</v>
      </c>
      <c r="G101" s="333">
        <v>0</v>
      </c>
      <c r="H101" s="239"/>
      <c r="I101" s="193"/>
      <c r="J101" s="653"/>
      <c r="K101" s="166"/>
      <c r="L101" s="165"/>
    </row>
    <row r="102" spans="1:12" x14ac:dyDescent="0.25">
      <c r="A102" s="623"/>
      <c r="B102" s="648" t="s">
        <v>518</v>
      </c>
      <c r="C102" s="193"/>
      <c r="D102" s="193"/>
      <c r="E102" s="194"/>
      <c r="F102" s="333">
        <v>0</v>
      </c>
      <c r="G102" s="333">
        <v>0</v>
      </c>
      <c r="H102" s="239"/>
      <c r="I102" s="193"/>
      <c r="J102" s="653"/>
      <c r="K102" s="166"/>
      <c r="L102" s="165"/>
    </row>
    <row r="103" spans="1:12" x14ac:dyDescent="0.25">
      <c r="A103" s="623"/>
      <c r="B103" s="648" t="s">
        <v>519</v>
      </c>
      <c r="C103" s="193"/>
      <c r="D103" s="193"/>
      <c r="E103" s="194"/>
      <c r="F103" s="333">
        <v>0</v>
      </c>
      <c r="G103" s="333">
        <v>0</v>
      </c>
      <c r="H103" s="239"/>
      <c r="I103" s="193"/>
      <c r="J103" s="653"/>
      <c r="K103" s="166"/>
      <c r="L103" s="165"/>
    </row>
    <row r="104" spans="1:12" x14ac:dyDescent="0.25">
      <c r="A104" s="623"/>
      <c r="B104" s="648" t="s">
        <v>520</v>
      </c>
      <c r="C104" s="193"/>
      <c r="D104" s="193"/>
      <c r="E104" s="194"/>
      <c r="F104" s="333">
        <v>0</v>
      </c>
      <c r="G104" s="333">
        <v>0</v>
      </c>
      <c r="H104" s="239"/>
      <c r="I104" s="193"/>
      <c r="J104" s="653"/>
      <c r="K104" s="166"/>
      <c r="L104" s="165"/>
    </row>
    <row r="105" spans="1:12" x14ac:dyDescent="0.25">
      <c r="A105" s="623"/>
      <c r="B105" s="648" t="s">
        <v>521</v>
      </c>
      <c r="C105" s="193"/>
      <c r="D105" s="193"/>
      <c r="E105" s="194"/>
      <c r="F105" s="333">
        <v>0</v>
      </c>
      <c r="G105" s="333">
        <v>0</v>
      </c>
      <c r="H105" s="239"/>
      <c r="I105" s="193"/>
      <c r="J105" s="653"/>
      <c r="K105" s="166"/>
      <c r="L105" s="165"/>
    </row>
    <row r="106" spans="1:12" x14ac:dyDescent="0.25">
      <c r="A106" s="623"/>
      <c r="B106" s="648" t="s">
        <v>522</v>
      </c>
      <c r="C106" s="193"/>
      <c r="D106" s="193"/>
      <c r="E106" s="194"/>
      <c r="F106" s="333">
        <v>0</v>
      </c>
      <c r="G106" s="333">
        <v>0</v>
      </c>
      <c r="H106" s="239"/>
      <c r="I106" s="193"/>
      <c r="J106" s="653"/>
      <c r="K106" s="166"/>
      <c r="L106" s="165"/>
    </row>
    <row r="107" spans="1:12" x14ac:dyDescent="0.25">
      <c r="A107" s="623"/>
      <c r="B107" s="654" t="s">
        <v>523</v>
      </c>
      <c r="C107" s="193"/>
      <c r="D107" s="193"/>
      <c r="E107" s="194"/>
      <c r="F107" s="333">
        <v>0</v>
      </c>
      <c r="G107" s="333">
        <v>0</v>
      </c>
      <c r="H107" s="239"/>
      <c r="I107" s="193"/>
      <c r="J107" s="653"/>
      <c r="K107" s="166"/>
      <c r="L107" s="165"/>
    </row>
    <row r="108" spans="1:12" x14ac:dyDescent="0.25">
      <c r="A108" s="623"/>
      <c r="B108" s="648" t="s">
        <v>524</v>
      </c>
      <c r="C108" s="193"/>
      <c r="D108" s="193"/>
      <c r="E108" s="194"/>
      <c r="F108" s="333"/>
      <c r="G108" s="333"/>
      <c r="H108" s="239"/>
      <c r="I108" s="193"/>
      <c r="J108" s="653"/>
      <c r="K108" s="166"/>
      <c r="L108" s="165"/>
    </row>
    <row r="109" spans="1:12" x14ac:dyDescent="0.25">
      <c r="A109" s="623"/>
      <c r="B109" s="648" t="s">
        <v>525</v>
      </c>
      <c r="C109" s="193"/>
      <c r="D109" s="193"/>
      <c r="E109" s="194"/>
      <c r="F109" s="333"/>
      <c r="G109" s="333"/>
      <c r="H109" s="239"/>
      <c r="I109" s="193"/>
      <c r="J109" s="653"/>
      <c r="K109" s="166"/>
      <c r="L109" s="165"/>
    </row>
    <row r="110" spans="1:12" x14ac:dyDescent="0.25">
      <c r="A110" s="623"/>
      <c r="B110" s="648" t="s">
        <v>526</v>
      </c>
      <c r="C110" s="193"/>
      <c r="D110" s="193"/>
      <c r="E110" s="194"/>
      <c r="F110" s="333">
        <v>0</v>
      </c>
      <c r="G110" s="333">
        <v>0</v>
      </c>
      <c r="H110" s="239"/>
      <c r="I110" s="193"/>
      <c r="J110" s="653"/>
      <c r="K110" s="166"/>
      <c r="L110" s="165"/>
    </row>
    <row r="111" spans="1:11" x14ac:dyDescent="0.25">
      <c r="A111" s="623"/>
      <c r="B111" s="404"/>
      <c r="C111" s="336"/>
      <c r="D111" s="336"/>
      <c r="E111" s="559"/>
      <c r="F111" s="333"/>
      <c r="G111" s="333"/>
      <c r="H111" s="239"/>
      <c r="I111" s="193"/>
      <c r="J111" s="653"/>
      <c r="K111" s="166"/>
    </row>
    <row r="112" ht="13.9" customHeight="1" spans="1:11" x14ac:dyDescent="0.25">
      <c r="A112" s="623"/>
      <c r="B112" s="630" t="s">
        <v>313</v>
      </c>
      <c r="C112" s="424"/>
      <c r="D112" s="425"/>
      <c r="E112" s="426"/>
      <c r="F112" s="427">
        <f>SUM(F75:F111)</f>
        <v>0</v>
      </c>
      <c r="G112" s="427">
        <f>SUM(G75:G111)</f>
        <v>0</v>
      </c>
      <c r="H112" s="342"/>
      <c r="I112" s="342"/>
      <c r="J112" s="319"/>
      <c r="K112" s="319"/>
    </row>
    <row r="113" ht="12.75" customHeight="1" spans="1:9" x14ac:dyDescent="0.25">
      <c r="A113" s="623"/>
      <c r="B113" s="156"/>
      <c r="C113" s="239"/>
      <c r="D113" s="239"/>
      <c r="E113" s="239"/>
      <c r="F113" s="238"/>
      <c r="G113" s="238"/>
      <c r="H113" s="193"/>
      <c r="I113" s="193"/>
    </row>
    <row r="114" spans="1:8" x14ac:dyDescent="0.25">
      <c r="A114" s="624" t="str">
        <f>PL!F40</f>
        <v/>
      </c>
      <c r="B114" s="154" t="s">
        <v>527</v>
      </c>
      <c r="C114" s="239"/>
      <c r="D114" s="239"/>
      <c r="E114" s="239"/>
      <c r="F114" s="239"/>
      <c r="G114" s="566"/>
      <c r="H114" s="193"/>
    </row>
    <row r="115" ht="30" customHeight="1" spans="1:10" x14ac:dyDescent="0.25">
      <c r="A115" s="624"/>
      <c r="B115" s="625" t="s">
        <v>135</v>
      </c>
      <c r="C115" s="625"/>
      <c r="D115" s="625"/>
      <c r="E115" s="625"/>
      <c r="F115" s="641" t="str">
        <f>+F73</f>
        <v> For the year ended 31st March, 2026</v>
      </c>
      <c r="G115" s="641" t="str">
        <f>+G73</f>
        <v> For the year ended 31st March, 2026</v>
      </c>
      <c r="H115" s="193"/>
      <c r="I115" s="484"/>
      <c r="J115" s="655"/>
    </row>
    <row r="116" spans="1:9" x14ac:dyDescent="0.25">
      <c r="A116" s="624"/>
      <c r="B116" s="505"/>
      <c r="C116" s="656"/>
      <c r="D116" s="656"/>
      <c r="E116" s="656"/>
      <c r="F116" s="615"/>
      <c r="G116" s="657"/>
      <c r="H116" s="193"/>
      <c r="I116" s="484"/>
    </row>
    <row r="117" spans="1:9" x14ac:dyDescent="0.25">
      <c r="A117" s="624"/>
      <c r="B117" s="658" t="s">
        <v>528</v>
      </c>
      <c r="C117" s="239"/>
      <c r="D117" s="239"/>
      <c r="E117" s="239"/>
      <c r="F117" s="519">
        <f>PL!G38</f>
        <v>0</v>
      </c>
      <c r="G117" s="519">
        <f>PL!H38</f>
        <v>0</v>
      </c>
      <c r="H117" s="659" t="s">
        <v>38</v>
      </c>
      <c r="I117" s="484"/>
    </row>
    <row r="118" spans="1:9" x14ac:dyDescent="0.25">
      <c r="A118" s="624"/>
      <c r="B118" s="660" t="s">
        <v>529</v>
      </c>
      <c r="C118" s="239"/>
      <c r="D118" s="239"/>
      <c r="E118" s="239"/>
      <c r="F118" s="519">
        <v>0</v>
      </c>
      <c r="G118" s="519">
        <v>0</v>
      </c>
      <c r="H118" s="193"/>
      <c r="I118" s="193"/>
    </row>
    <row r="119" spans="1:9" x14ac:dyDescent="0.25">
      <c r="A119" s="624"/>
      <c r="B119" s="661" t="s">
        <v>530</v>
      </c>
      <c r="C119" s="164"/>
      <c r="D119" s="164"/>
      <c r="E119" s="164"/>
      <c r="F119" s="385">
        <v>0</v>
      </c>
      <c r="G119" s="385">
        <v>0</v>
      </c>
      <c r="H119" s="193"/>
      <c r="I119" s="193"/>
    </row>
    <row r="120" spans="1:9" x14ac:dyDescent="0.25">
      <c r="A120" s="624"/>
      <c r="B120" s="661" t="s">
        <v>531</v>
      </c>
      <c r="C120" s="164"/>
      <c r="D120" s="164"/>
      <c r="E120" s="164"/>
      <c r="F120" s="519"/>
      <c r="G120" s="519"/>
      <c r="H120" s="193"/>
      <c r="I120" s="193"/>
    </row>
    <row r="121" spans="1:9" x14ac:dyDescent="0.25">
      <c r="A121" s="624"/>
      <c r="B121" s="662" t="s">
        <v>532</v>
      </c>
      <c r="C121" s="314"/>
      <c r="D121" s="314"/>
      <c r="E121" s="663"/>
      <c r="F121" s="548">
        <f>IFERROR((F117/F119)*100,0)</f>
        <v>0</v>
      </c>
      <c r="G121" s="548">
        <f>IFERROR((G117/G119)*100,0)</f>
        <v>0</v>
      </c>
      <c r="H121" s="193"/>
      <c r="I121" s="193"/>
    </row>
    <row r="122" spans="1:9" x14ac:dyDescent="0.25">
      <c r="A122" s="623"/>
      <c r="B122" s="193"/>
      <c r="C122" s="193"/>
      <c r="D122" s="193"/>
      <c r="E122" s="193"/>
      <c r="F122" s="238" t="s">
        <v>289</v>
      </c>
      <c r="G122" s="238"/>
      <c r="H122" s="193"/>
      <c r="I122" s="484"/>
    </row>
    <row r="123" spans="1:9" x14ac:dyDescent="0.25">
      <c r="A123" s="623"/>
      <c r="B123" s="193"/>
      <c r="C123" s="193"/>
      <c r="D123" s="193"/>
      <c r="E123" s="193"/>
      <c r="F123" s="238"/>
      <c r="G123" s="193"/>
      <c r="H123" s="193"/>
      <c r="I123" s="193"/>
    </row>
    <row r="124" spans="1:8" x14ac:dyDescent="0.25">
      <c r="A124" s="623"/>
      <c r="B124" s="193"/>
      <c r="C124" s="193"/>
      <c r="D124" s="193"/>
      <c r="E124" s="193"/>
      <c r="F124" s="238"/>
      <c r="G124" s="193"/>
      <c r="H124" s="193"/>
    </row>
    <row r="125" spans="1:8" x14ac:dyDescent="0.25">
      <c r="A125" s="623"/>
      <c r="B125" s="193"/>
      <c r="C125" s="193"/>
      <c r="D125" s="193"/>
      <c r="E125" s="193"/>
      <c r="F125" s="238"/>
      <c r="G125" s="193"/>
      <c r="H125" s="193"/>
    </row>
    <row r="126" spans="1:8" x14ac:dyDescent="0.25">
      <c r="A126" s="623"/>
      <c r="B126" s="193"/>
      <c r="C126" s="193"/>
      <c r="D126" s="193"/>
      <c r="E126" s="193"/>
      <c r="F126" s="238"/>
      <c r="G126" s="193"/>
      <c r="H126" s="193"/>
    </row>
    <row r="127" spans="1:8" x14ac:dyDescent="0.25">
      <c r="A127" s="664" t="s">
        <v>382</v>
      </c>
      <c r="B127" s="164"/>
      <c r="C127" s="164"/>
      <c r="D127" s="164"/>
      <c r="E127" s="164"/>
      <c r="F127" s="165"/>
      <c r="G127" s="164"/>
      <c r="H127" s="193"/>
    </row>
    <row r="128" spans="1:8" x14ac:dyDescent="0.25">
      <c r="A128" s="623"/>
      <c r="B128" s="193"/>
      <c r="C128" s="193"/>
      <c r="D128" s="193"/>
      <c r="E128" s="193"/>
      <c r="F128" s="238"/>
      <c r="G128" s="193"/>
      <c r="H128" s="193"/>
    </row>
    <row r="129" spans="1:8" x14ac:dyDescent="0.25">
      <c r="A129" s="623"/>
      <c r="B129" s="193"/>
      <c r="C129" s="193"/>
      <c r="D129" s="193"/>
      <c r="E129" s="193"/>
      <c r="F129" s="238"/>
      <c r="G129" s="193"/>
      <c r="H129" s="193"/>
    </row>
    <row r="130" spans="1:8" x14ac:dyDescent="0.25">
      <c r="A130" s="623"/>
      <c r="B130" s="193"/>
      <c r="C130" s="193"/>
      <c r="D130" s="193"/>
      <c r="E130" s="193"/>
      <c r="F130" s="238"/>
      <c r="G130" s="193"/>
      <c r="H130" s="193"/>
    </row>
    <row r="134" spans="9:9" x14ac:dyDescent="0.25">
      <c r="I134" s="484"/>
    </row>
  </sheetData>
  <autoFilter ref="I74:I134"/>
  <mergeCells count="25">
    <mergeCell ref="A1:G1"/>
    <mergeCell ref="A3:G3"/>
    <mergeCell ref="B6:E6"/>
    <mergeCell ref="B11:C11"/>
    <mergeCell ref="B14:E14"/>
    <mergeCell ref="B19:C19"/>
    <mergeCell ref="B22:E22"/>
    <mergeCell ref="B28:C28"/>
    <mergeCell ref="B31:E31"/>
    <mergeCell ref="B34:C34"/>
    <mergeCell ref="B37:E37"/>
    <mergeCell ref="B50:E50"/>
    <mergeCell ref="B56:C56"/>
    <mergeCell ref="A59:G59"/>
    <mergeCell ref="A61:G61"/>
    <mergeCell ref="B64:E64"/>
    <mergeCell ref="B70:C70"/>
    <mergeCell ref="A71:D71"/>
    <mergeCell ref="B73:E73"/>
    <mergeCell ref="B112:C112"/>
    <mergeCell ref="B115:E115"/>
    <mergeCell ref="B119:E119"/>
    <mergeCell ref="B120:E120"/>
    <mergeCell ref="B121:E121"/>
    <mergeCell ref="A127:G127"/>
  </mergeCells>
  <conditionalFormatting sqref="F6:G6 F14:G14 F31:G31 F37:G37 F50:G50 G74">
    <cfRule type="cellIs" dxfId="25" priority="61" operator="lessThan">
      <formula>0</formula>
    </cfRule>
    <cfRule type="cellIs" dxfId="26" priority="62" operator="lessThan">
      <formula>0</formula>
    </cfRule>
  </conditionalFormatting>
  <conditionalFormatting sqref="F22:G22">
    <cfRule type="cellIs" dxfId="27" priority="1" operator="lessThan">
      <formula>0</formula>
    </cfRule>
    <cfRule type="cellIs" dxfId="28" priority="2" operator="lessThan">
      <formula>0</formula>
    </cfRule>
  </conditionalFormatting>
  <conditionalFormatting sqref="F64:G64">
    <cfRule type="cellIs" dxfId="29" priority="7" operator="lessThan">
      <formula>0</formula>
    </cfRule>
    <cfRule type="cellIs" dxfId="30" priority="8" operator="lessThan">
      <formula>0</formula>
    </cfRule>
  </conditionalFormatting>
  <conditionalFormatting sqref="F73:G73">
    <cfRule type="cellIs" dxfId="31" priority="5" operator="lessThan">
      <formula>0</formula>
    </cfRule>
    <cfRule type="cellIs" dxfId="32" priority="6" operator="lessThan">
      <formula>0</formula>
    </cfRule>
  </conditionalFormatting>
  <conditionalFormatting sqref="F115:G115">
    <cfRule type="cellIs" dxfId="33" priority="3" operator="lessThan">
      <formula>0</formula>
    </cfRule>
    <cfRule type="cellIs" dxfId="34" priority="4" operator="lessThan">
      <formula>0</formula>
    </cfRule>
  </conditionalFormatting>
  <printOptions horizontalCentered="1"/>
  <pageMargins left="0.35" right="0.35" top="0.55" bottom="0.55" header="0.2" footer="0.2"/>
  <pageSetup paperSize="9" orientation="portrait" horizontalDpi="4294967295" verticalDpi="4294967295" scale="100" fitToWidth="1" fitToHeight="0" firstPageNumber="1" useFirstPageNumber="1" copies="1"/>
  <headerFooter>
    <oddFooter>&amp;LCAFlow template&amp;RPage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G1:G123"/>
  <sheetViews>
    <sheetView workbookViewId="0" showGridLines="0" zoomScale="100" zoomScaleNormal="100" view="pageBreakPreview">
      <selection activeCell="J24" sqref="J24"/>
    </sheetView>
  </sheetViews>
  <sheetFormatPr defaultRowHeight="12" outlineLevelRow="0" outlineLevelCol="0" x14ac:dyDescent="0" defaultColWidth="9.28515625" customHeight="1"/>
  <cols>
    <col min="1" max="1" width="2.5703125" style="164" customWidth="1"/>
    <col min="2" max="2" width="8.7109375" style="164" customWidth="1"/>
    <col min="3" max="3" width="29.42578125" style="164" customWidth="1"/>
    <col min="4" max="4" width="8.5703125" style="164" customWidth="1"/>
    <col min="5" max="5" width="10.42578125" style="165" customWidth="1"/>
    <col min="6" max="6" width="16.5703125" style="164" customWidth="1"/>
    <col min="7" max="7" width="17.42578125" style="164" customWidth="1"/>
    <col min="8" max="8" width="2.140625" style="164" customWidth="1"/>
    <col min="9" max="9" width="11" style="164" customWidth="1"/>
    <col min="10" max="10" width="9.28515625" style="164" customWidth="1"/>
    <col min="11" max="11" width="10" style="164" customWidth="1"/>
    <col min="12" max="12" width="13.28515625" style="164" customWidth="1"/>
    <col min="13" max="16384" width="9.28515625" style="164" customWidth="1"/>
  </cols>
  <sheetData>
    <row r="1" spans="2:5" x14ac:dyDescent="0.25">
      <c r="B1" s="665" t="str">
        <f>BS!B2</f>
        <v>[NAME OF THE COMPANY]</v>
      </c>
      <c r="C1" s="294"/>
      <c r="D1" s="294"/>
      <c r="E1" s="294"/>
    </row>
    <row r="2" spans="2:5" x14ac:dyDescent="0.25">
      <c r="B2" s="665"/>
      <c r="C2" s="294"/>
      <c r="D2" s="294"/>
      <c r="E2" s="294"/>
    </row>
    <row r="3" ht="15.75" customHeight="1" spans="2:5" x14ac:dyDescent="0.25">
      <c r="B3" s="666" t="s">
        <v>533</v>
      </c>
      <c r="C3" s="294"/>
      <c r="D3" s="294"/>
      <c r="E3" s="294"/>
    </row>
    <row r="4" spans="2:5" x14ac:dyDescent="0.25">
      <c r="B4" s="667"/>
      <c r="C4" s="164"/>
      <c r="D4" s="619"/>
      <c r="E4" s="619"/>
    </row>
    <row r="5" spans="1:7" x14ac:dyDescent="0.25">
      <c r="A5" s="668"/>
      <c r="B5" s="669" t="s">
        <v>38</v>
      </c>
      <c r="C5" s="665" t="s">
        <v>534</v>
      </c>
      <c r="G5" s="224"/>
    </row>
    <row r="6" ht="15.75" customHeight="1" spans="1:7" x14ac:dyDescent="0.25">
      <c r="A6" s="668"/>
      <c r="B6" s="668"/>
      <c r="C6" s="670" t="s">
        <v>135</v>
      </c>
      <c r="D6" s="671"/>
      <c r="E6" s="672" t="s">
        <v>535</v>
      </c>
      <c r="F6" s="370"/>
      <c r="G6" s="672" t="s">
        <v>535</v>
      </c>
    </row>
    <row r="7" ht="15.75" customHeight="1" spans="1:7" x14ac:dyDescent="0.25">
      <c r="A7" s="668"/>
      <c r="B7" s="668"/>
      <c r="C7" s="673"/>
      <c r="D7" s="674"/>
      <c r="E7" s="675">
        <f>'Note PL'!F9</f>
        <v>0</v>
      </c>
      <c r="F7" s="370"/>
      <c r="G7" s="676">
        <v>0</v>
      </c>
    </row>
    <row r="8" ht="15.75" customHeight="1" spans="1:7" x14ac:dyDescent="0.25">
      <c r="A8" s="668"/>
      <c r="B8" s="668"/>
      <c r="C8" s="536"/>
      <c r="E8" s="677"/>
      <c r="F8" s="677"/>
      <c r="G8" s="678"/>
    </row>
    <row r="9" ht="15.75" customHeight="1" spans="1:7" x14ac:dyDescent="0.25">
      <c r="A9" s="668"/>
      <c r="B9" s="668"/>
      <c r="C9" s="665" t="s">
        <v>536</v>
      </c>
      <c r="E9" s="677"/>
      <c r="F9" s="679"/>
      <c r="G9" s="679"/>
    </row>
    <row r="10" ht="15.75" customHeight="1" spans="1:7" x14ac:dyDescent="0.25">
      <c r="A10" s="668"/>
      <c r="B10" s="668"/>
      <c r="C10" s="670" t="s">
        <v>135</v>
      </c>
      <c r="D10" s="671"/>
      <c r="E10" s="672" t="s">
        <v>535</v>
      </c>
      <c r="F10" s="370"/>
      <c r="G10" s="672" t="s">
        <v>535</v>
      </c>
    </row>
    <row r="11" ht="15.75" customHeight="1" spans="1:7" x14ac:dyDescent="0.25">
      <c r="A11" s="668"/>
      <c r="B11" s="668"/>
      <c r="C11" s="673"/>
      <c r="D11" s="674"/>
      <c r="E11" s="675">
        <f>'Note PL'!F13</f>
        <v>0</v>
      </c>
      <c r="F11" s="370"/>
      <c r="G11" s="676">
        <v>0</v>
      </c>
    </row>
    <row r="12" ht="15.75" customHeight="1" spans="1:7" x14ac:dyDescent="0.25">
      <c r="A12" s="668"/>
      <c r="B12" s="668"/>
      <c r="C12" s="680"/>
      <c r="E12" s="677"/>
      <c r="F12" s="677"/>
      <c r="G12" s="677"/>
    </row>
    <row r="13" ht="15.75" customHeight="1" spans="1:7" x14ac:dyDescent="0.25">
      <c r="A13" s="668"/>
      <c r="B13" s="669" t="s">
        <v>38</v>
      </c>
      <c r="C13" s="681" t="s">
        <v>537</v>
      </c>
      <c r="E13" s="677"/>
      <c r="F13" s="679" t="s">
        <v>538</v>
      </c>
      <c r="G13" s="679" t="s">
        <v>538</v>
      </c>
    </row>
    <row r="14" ht="15.75" customHeight="1" spans="1:7" x14ac:dyDescent="0.25">
      <c r="A14" s="668"/>
      <c r="B14" s="288"/>
      <c r="C14" s="680"/>
      <c r="E14" s="677"/>
      <c r="F14" s="677"/>
      <c r="G14" s="677"/>
    </row>
    <row r="15" spans="1:2" x14ac:dyDescent="0.25">
      <c r="A15" s="668"/>
      <c r="B15" s="668"/>
    </row>
    <row r="16" ht="12" customHeight="1" spans="1:3" x14ac:dyDescent="0.25">
      <c r="A16" s="668"/>
      <c r="B16" s="669" t="s">
        <v>38</v>
      </c>
      <c r="C16" s="224" t="s">
        <v>539</v>
      </c>
    </row>
    <row r="17" ht="12" customHeight="1" spans="1:2" x14ac:dyDescent="0.25">
      <c r="A17" s="668"/>
      <c r="B17" s="668"/>
    </row>
    <row r="18" ht="12" customHeight="1" spans="1:7" x14ac:dyDescent="0.25">
      <c r="A18" s="668"/>
      <c r="B18" s="682" t="s">
        <v>540</v>
      </c>
      <c r="C18" s="683" t="s">
        <v>135</v>
      </c>
      <c r="D18" s="684"/>
      <c r="E18" s="685"/>
      <c r="F18" s="686" t="s">
        <v>541</v>
      </c>
      <c r="G18" s="687" t="s">
        <v>542</v>
      </c>
    </row>
    <row r="19" ht="12" customHeight="1" spans="1:7" x14ac:dyDescent="0.25">
      <c r="A19" s="668"/>
      <c r="B19" s="682" t="s">
        <v>543</v>
      </c>
      <c r="C19" s="688" t="s">
        <v>544</v>
      </c>
      <c r="D19" s="684"/>
      <c r="E19" s="689"/>
      <c r="F19" s="690"/>
      <c r="G19" s="689"/>
    </row>
    <row r="20" ht="12" customHeight="1" spans="1:7" x14ac:dyDescent="0.25">
      <c r="A20" s="668"/>
      <c r="B20" s="691" t="s">
        <v>545</v>
      </c>
      <c r="C20" s="692" t="s">
        <v>546</v>
      </c>
      <c r="E20" s="693"/>
      <c r="F20" s="694"/>
      <c r="G20" s="693"/>
    </row>
    <row r="21" ht="12" customHeight="1" spans="1:7" x14ac:dyDescent="0.25">
      <c r="A21" s="668"/>
      <c r="B21" s="691" t="s">
        <v>547</v>
      </c>
      <c r="C21" s="692" t="s">
        <v>548</v>
      </c>
      <c r="E21" s="693"/>
      <c r="F21" s="694"/>
      <c r="G21" s="693"/>
    </row>
    <row r="22" ht="12" customHeight="1" spans="1:7" x14ac:dyDescent="0.25">
      <c r="A22" s="668"/>
      <c r="B22" s="691" t="s">
        <v>549</v>
      </c>
      <c r="C22" s="692" t="s">
        <v>550</v>
      </c>
      <c r="E22" s="693"/>
      <c r="F22" s="694"/>
      <c r="G22" s="693"/>
    </row>
    <row r="23" ht="12" customHeight="1" spans="1:7" x14ac:dyDescent="0.25">
      <c r="A23" s="668"/>
      <c r="B23" s="691" t="s">
        <v>551</v>
      </c>
      <c r="C23" s="692" t="s">
        <v>552</v>
      </c>
      <c r="E23" s="693"/>
      <c r="F23" s="694"/>
      <c r="G23" s="695"/>
    </row>
    <row r="24" ht="12" customHeight="1" spans="1:7" x14ac:dyDescent="0.25">
      <c r="A24" s="668"/>
      <c r="B24" s="696"/>
      <c r="C24" s="697" t="s">
        <v>313</v>
      </c>
      <c r="D24" s="698"/>
      <c r="E24" s="699"/>
      <c r="F24" s="700"/>
      <c r="G24" s="699"/>
    </row>
    <row r="25" ht="12" customHeight="1" spans="1:7" x14ac:dyDescent="0.25">
      <c r="A25" s="668"/>
      <c r="B25" s="701"/>
      <c r="C25" s="702" t="s">
        <v>553</v>
      </c>
      <c r="D25" s="314"/>
      <c r="E25" s="695"/>
      <c r="F25" s="703"/>
      <c r="G25" s="699"/>
    </row>
    <row r="26" spans="1:7" x14ac:dyDescent="0.25">
      <c r="A26" s="668"/>
      <c r="B26" s="668"/>
      <c r="C26" s="704"/>
      <c r="D26" s="164"/>
      <c r="E26" s="165"/>
      <c r="F26" s="704"/>
      <c r="G26" s="704"/>
    </row>
    <row r="27" ht="15.75" customHeight="1" spans="1:1" x14ac:dyDescent="0.25">
      <c r="A27" s="668"/>
    </row>
    <row r="28" ht="15.75" customHeight="1" spans="1:7" x14ac:dyDescent="0.25">
      <c r="A28" s="668"/>
      <c r="B28" s="669" t="s">
        <v>38</v>
      </c>
      <c r="C28" s="529" t="s">
        <v>554</v>
      </c>
      <c r="D28" s="530"/>
      <c r="E28" s="530"/>
      <c r="F28" s="530"/>
      <c r="G28" s="530"/>
    </row>
    <row r="29" ht="15" customHeight="1" spans="1:7" x14ac:dyDescent="0.25">
      <c r="A29" s="668"/>
      <c r="B29" s="705"/>
      <c r="C29" s="529" t="s">
        <v>555</v>
      </c>
      <c r="E29" s="530"/>
      <c r="F29" s="530"/>
      <c r="G29" s="530"/>
    </row>
    <row r="30" ht="15.75" customHeight="1" spans="1:7" x14ac:dyDescent="0.25">
      <c r="A30" s="668"/>
      <c r="C30" s="529"/>
      <c r="D30" s="530"/>
      <c r="E30" s="530"/>
      <c r="F30" s="530"/>
      <c r="G30" s="530"/>
    </row>
    <row r="31" ht="17.25" customHeight="1" spans="1:7" x14ac:dyDescent="0.25">
      <c r="A31" s="668"/>
      <c r="C31" s="706" t="s">
        <v>556</v>
      </c>
      <c r="D31" s="707" t="s">
        <v>557</v>
      </c>
      <c r="E31" s="708"/>
      <c r="F31" s="709"/>
      <c r="G31" s="710"/>
    </row>
    <row r="32" ht="12.75" customHeight="1" spans="1:7" x14ac:dyDescent="0.25">
      <c r="A32" s="668"/>
      <c r="B32" s="705"/>
      <c r="C32" s="711" t="s">
        <v>558</v>
      </c>
      <c r="D32" s="712" t="s">
        <v>559</v>
      </c>
      <c r="E32" s="712"/>
      <c r="F32" s="713"/>
      <c r="G32" s="530"/>
    </row>
    <row r="33" ht="12.75" customHeight="1" spans="1:7" x14ac:dyDescent="0.25">
      <c r="A33" s="668"/>
      <c r="B33" s="705"/>
      <c r="C33" s="714"/>
      <c r="D33" s="530" t="s">
        <v>560</v>
      </c>
      <c r="E33" s="530"/>
      <c r="F33" s="715"/>
      <c r="G33" s="530"/>
    </row>
    <row r="34" ht="12.75" customHeight="1" spans="1:7" x14ac:dyDescent="0.25">
      <c r="A34" s="668"/>
      <c r="B34" s="705"/>
      <c r="C34" s="714"/>
      <c r="D34" s="530" t="s">
        <v>561</v>
      </c>
      <c r="E34" s="530"/>
      <c r="F34" s="715"/>
      <c r="G34" s="530"/>
    </row>
    <row r="35" ht="12.75" customHeight="1" spans="1:7" x14ac:dyDescent="0.25">
      <c r="A35" s="668"/>
      <c r="B35" s="705"/>
      <c r="C35" s="714"/>
      <c r="D35" s="530"/>
      <c r="E35" s="530"/>
      <c r="F35" s="715"/>
      <c r="G35" s="530"/>
    </row>
    <row r="36" ht="12.75" customHeight="1" spans="1:7" x14ac:dyDescent="0.25">
      <c r="A36" s="668"/>
      <c r="B36" s="705"/>
      <c r="C36" s="716" t="s">
        <v>562</v>
      </c>
      <c r="D36" s="717" t="s">
        <v>563</v>
      </c>
      <c r="E36" s="717"/>
      <c r="F36" s="718"/>
      <c r="G36" s="530"/>
    </row>
    <row r="37" ht="12.75" customHeight="1" spans="1:7" x14ac:dyDescent="0.25">
      <c r="A37" s="668"/>
      <c r="B37" s="705"/>
      <c r="C37" s="719"/>
      <c r="D37" s="530"/>
      <c r="E37" s="530"/>
      <c r="F37" s="530"/>
      <c r="G37" s="530"/>
    </row>
    <row r="38" ht="12.75" customHeight="1" spans="1:7" x14ac:dyDescent="0.25">
      <c r="A38" s="668"/>
      <c r="B38" s="705"/>
      <c r="C38" s="529" t="s">
        <v>564</v>
      </c>
      <c r="D38" s="720"/>
      <c r="E38" s="720"/>
      <c r="F38" s="721"/>
      <c r="G38" s="530"/>
    </row>
    <row r="39" ht="12.75" customHeight="1" spans="1:7" x14ac:dyDescent="0.25">
      <c r="A39" s="668"/>
      <c r="B39" s="705"/>
      <c r="C39" s="529"/>
      <c r="D39" s="720"/>
      <c r="E39" s="720"/>
      <c r="F39" s="721"/>
      <c r="G39" s="530"/>
    </row>
    <row r="40" ht="12.75" customHeight="1" spans="1:7" x14ac:dyDescent="0.25">
      <c r="A40" s="668"/>
      <c r="B40" s="705"/>
      <c r="C40" s="722" t="s">
        <v>135</v>
      </c>
      <c r="D40" s="723" t="s">
        <v>565</v>
      </c>
      <c r="E40" s="724"/>
      <c r="F40" s="725" t="s">
        <v>61</v>
      </c>
      <c r="G40" s="725" t="s">
        <v>64</v>
      </c>
    </row>
    <row r="41" ht="12.75" customHeight="1" spans="1:7" x14ac:dyDescent="0.25">
      <c r="A41" s="668"/>
      <c r="B41" s="705"/>
      <c r="C41" s="726"/>
      <c r="D41" s="727"/>
      <c r="E41" s="728"/>
      <c r="F41" s="729"/>
      <c r="G41" s="730"/>
    </row>
    <row r="42" ht="12.75" customHeight="1" spans="1:7" x14ac:dyDescent="0.25">
      <c r="A42" s="668"/>
      <c r="B42" s="530"/>
      <c r="C42" s="731"/>
      <c r="D42" s="726"/>
      <c r="E42" s="732"/>
      <c r="F42" s="729"/>
      <c r="G42" s="730"/>
    </row>
    <row r="43" ht="12.75" customHeight="1" spans="1:7" x14ac:dyDescent="0.25">
      <c r="A43" s="668"/>
      <c r="B43" s="530"/>
      <c r="C43" s="731"/>
      <c r="D43" s="726"/>
      <c r="E43" s="732"/>
      <c r="F43" s="729"/>
      <c r="G43" s="730"/>
    </row>
    <row r="44" ht="18" customHeight="1" spans="1:7" x14ac:dyDescent="0.25">
      <c r="A44" s="668"/>
      <c r="B44" s="530"/>
      <c r="C44" s="731"/>
      <c r="D44" s="726"/>
      <c r="E44" s="732"/>
      <c r="F44" s="729"/>
      <c r="G44" s="730"/>
    </row>
    <row r="45" ht="12.75" customHeight="1" spans="1:7" x14ac:dyDescent="0.25">
      <c r="A45" s="668"/>
      <c r="B45" s="530"/>
      <c r="C45" s="731"/>
      <c r="D45" s="726"/>
      <c r="E45" s="732"/>
      <c r="F45" s="729"/>
      <c r="G45" s="730"/>
    </row>
    <row r="46" ht="12.75" customHeight="1" spans="1:7" x14ac:dyDescent="0.25">
      <c r="A46" s="668"/>
      <c r="B46" s="530"/>
      <c r="C46" s="731"/>
      <c r="D46" s="726"/>
      <c r="E46" s="732"/>
      <c r="F46" s="729"/>
      <c r="G46" s="730"/>
    </row>
    <row r="47" ht="12.75" customHeight="1" spans="1:7" x14ac:dyDescent="0.25">
      <c r="A47" s="668"/>
      <c r="B47" s="530"/>
      <c r="C47" s="731"/>
      <c r="D47" s="726"/>
      <c r="E47" s="732"/>
      <c r="F47" s="729"/>
      <c r="G47" s="730"/>
    </row>
    <row r="48" ht="12.75" customHeight="1" spans="1:7" x14ac:dyDescent="0.25">
      <c r="A48" s="668"/>
      <c r="B48" s="530"/>
      <c r="C48" s="731"/>
      <c r="D48" s="726"/>
      <c r="E48" s="732"/>
      <c r="F48" s="729"/>
      <c r="G48" s="730"/>
    </row>
    <row r="49" ht="12.75" customHeight="1" spans="1:7" x14ac:dyDescent="0.25">
      <c r="A49" s="668"/>
      <c r="B49" s="530"/>
      <c r="C49" s="731"/>
      <c r="D49" s="726"/>
      <c r="E49" s="732"/>
      <c r="F49" s="729"/>
      <c r="G49" s="730"/>
    </row>
    <row r="50" ht="12.75" customHeight="1" spans="1:7" x14ac:dyDescent="0.25">
      <c r="A50" s="668"/>
      <c r="B50" s="530"/>
      <c r="C50" s="731"/>
      <c r="D50" s="726"/>
      <c r="E50" s="732"/>
      <c r="F50" s="729"/>
      <c r="G50" s="730"/>
    </row>
    <row r="51" ht="12.75" customHeight="1" spans="2:7" x14ac:dyDescent="0.25">
      <c r="B51" s="530"/>
      <c r="C51" s="731"/>
      <c r="D51" s="726"/>
      <c r="E51" s="732"/>
      <c r="F51" s="729"/>
      <c r="G51" s="730"/>
    </row>
    <row r="52" ht="12.75" customHeight="1" spans="2:7" x14ac:dyDescent="0.25">
      <c r="B52" s="530"/>
      <c r="C52" s="733"/>
      <c r="D52" s="734"/>
      <c r="E52" s="735"/>
      <c r="F52" s="736"/>
      <c r="G52" s="737"/>
    </row>
    <row r="53" ht="12.75" customHeight="1" spans="2:7" x14ac:dyDescent="0.25">
      <c r="B53" s="530"/>
      <c r="C53" s="719"/>
      <c r="D53" s="738"/>
      <c r="E53" s="738"/>
      <c r="F53" s="739"/>
      <c r="G53" s="739"/>
    </row>
    <row r="54" ht="42.75" customHeight="1" spans="2:7" x14ac:dyDescent="0.25">
      <c r="B54" s="530"/>
      <c r="C54" s="740" t="s">
        <v>566</v>
      </c>
      <c r="D54" s="530"/>
      <c r="E54" s="530"/>
      <c r="F54" s="530"/>
      <c r="G54" s="530"/>
    </row>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spans="7:7" x14ac:dyDescent="0.25">
      <c r="G123" s="669"/>
    </row>
  </sheetData>
  <mergeCells count="8">
    <mergeCell ref="B4:C4"/>
    <mergeCell ref="E6:F6"/>
    <mergeCell ref="E7:F7"/>
    <mergeCell ref="E10:F10"/>
    <mergeCell ref="E11:F11"/>
    <mergeCell ref="D26:E26"/>
    <mergeCell ref="F39:G39"/>
    <mergeCell ref="C54:G54"/>
  </mergeCells>
  <printOptions horizontalCentered="1"/>
  <pageMargins left="0.35" right="0.35" top="0.55" bottom="0.55" header="0.2" footer="0.2"/>
  <pageSetup paperSize="9" orientation="portrait" horizontalDpi="4294967295" verticalDpi="4294967295" scale="100" fitToWidth="1" fitToHeight="0" firstPageNumber="1" useFirstPageNumber="1" copies="1"/>
  <headerFooter>
    <oddFooter>&amp;LCAFlow template&amp;RPage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50"/>
  <sheetViews>
    <sheetView workbookViewId="0" showGridLines="0" zoomScale="100" zoomScaleNormal="100" view="pageBreakPreview">
      <selection activeCell="C51" sqref="C51"/>
    </sheetView>
  </sheetViews>
  <sheetFormatPr defaultRowHeight="14.25" outlineLevelRow="0" outlineLevelCol="0" x14ac:dyDescent="0" defaultColWidth="9.140625" customHeight="1"/>
  <cols>
    <col min="1" max="1" width="1.7109375" style="741" customWidth="1"/>
    <col min="2" max="2" width="7.85546875" style="741" customWidth="1"/>
    <col min="3" max="3" width="18" style="741" customWidth="1"/>
    <col min="4" max="4" width="27.5703125" style="741" customWidth="1"/>
    <col min="5" max="5" width="13.7109375" style="741" customWidth="1"/>
    <col min="6" max="6" width="12.140625" style="742" customWidth="1"/>
    <col min="7" max="7" width="12.28515625" style="743" customWidth="1"/>
    <col min="8" max="8" width="10" style="744" customWidth="1"/>
    <col min="9" max="9" width="1.7109375" style="741" customWidth="1"/>
    <col min="10" max="16384" width="9.140625" style="741" customWidth="1"/>
  </cols>
  <sheetData>
    <row r="1" ht="15.75" customHeight="1" spans="2:2" x14ac:dyDescent="0.25">
      <c r="B1" s="745" t="str">
        <f>BS!B2</f>
        <v>[NAME OF THE COMPANY]</v>
      </c>
    </row>
    <row r="2" ht="5.1" customHeight="1" x14ac:dyDescent="0.25"/>
    <row r="3" ht="14.1" customHeight="1" spans="2:8" x14ac:dyDescent="0.25">
      <c r="B3" s="666" t="s">
        <v>533</v>
      </c>
      <c r="C3" s="746"/>
      <c r="D3" s="746"/>
      <c r="E3" s="746"/>
      <c r="F3" s="746"/>
      <c r="G3" s="746"/>
      <c r="H3" s="747"/>
    </row>
    <row r="4" ht="9" customHeight="1" spans="2:8" x14ac:dyDescent="0.25">
      <c r="B4" s="666"/>
      <c r="C4" s="746"/>
      <c r="D4" s="746"/>
      <c r="E4" s="746"/>
      <c r="F4" s="746"/>
      <c r="G4" s="746"/>
      <c r="H4" s="747"/>
    </row>
    <row r="5" ht="15.75" customHeight="1" spans="2:8" x14ac:dyDescent="0.25">
      <c r="B5" s="669" t="s">
        <v>38</v>
      </c>
      <c r="C5" s="665" t="s">
        <v>567</v>
      </c>
      <c r="D5" s="746"/>
      <c r="E5" s="746"/>
      <c r="F5" s="746"/>
      <c r="G5" s="746"/>
      <c r="H5" s="747"/>
    </row>
    <row r="6" ht="5.25" customHeight="1" x14ac:dyDescent="0.25"/>
    <row r="7" ht="20.25" customHeight="1" spans="2:8" x14ac:dyDescent="0.25">
      <c r="B7" s="748" t="s">
        <v>540</v>
      </c>
      <c r="C7" s="749" t="s">
        <v>135</v>
      </c>
      <c r="D7" s="750" t="s">
        <v>568</v>
      </c>
      <c r="E7" s="748" t="s">
        <v>569</v>
      </c>
      <c r="F7" s="751" t="s">
        <v>570</v>
      </c>
      <c r="G7" s="751" t="s">
        <v>571</v>
      </c>
      <c r="H7" s="752" t="s">
        <v>572</v>
      </c>
    </row>
    <row r="8" spans="2:8" x14ac:dyDescent="0.25">
      <c r="B8" s="753"/>
      <c r="C8" s="754"/>
      <c r="D8" s="753" t="s">
        <v>573</v>
      </c>
      <c r="E8" s="753"/>
      <c r="F8" s="755"/>
      <c r="G8" s="755"/>
      <c r="H8" s="756"/>
    </row>
    <row r="9" ht="14.25" customHeight="1" spans="2:8" x14ac:dyDescent="0.25">
      <c r="B9" s="757">
        <v>1</v>
      </c>
      <c r="C9" s="758" t="s">
        <v>574</v>
      </c>
      <c r="D9" s="759" t="s">
        <v>575</v>
      </c>
      <c r="E9" s="760">
        <v>0</v>
      </c>
      <c r="F9" s="761">
        <f>+IFERROR(E9/E10,0)</f>
        <v>0</v>
      </c>
      <c r="G9" s="761">
        <v>0</v>
      </c>
      <c r="H9" s="762">
        <f>+IFERROR(((F9-G9)/G9),0)</f>
        <v>0</v>
      </c>
    </row>
    <row r="10" spans="2:8" x14ac:dyDescent="0.25">
      <c r="B10" s="763"/>
      <c r="C10" s="764"/>
      <c r="D10" s="759" t="s">
        <v>576</v>
      </c>
      <c r="E10" s="760">
        <v>0</v>
      </c>
      <c r="F10" s="765"/>
      <c r="G10" s="765"/>
      <c r="H10" s="766"/>
    </row>
    <row r="11" ht="8.1" customHeight="1" spans="2:8" x14ac:dyDescent="0.25">
      <c r="B11" s="767"/>
      <c r="C11" s="768"/>
      <c r="D11" s="769"/>
      <c r="E11" s="770"/>
      <c r="F11" s="771"/>
      <c r="G11" s="772"/>
      <c r="H11" s="773"/>
    </row>
    <row r="12" ht="14.25" customHeight="1" spans="2:8" x14ac:dyDescent="0.25">
      <c r="B12" s="757">
        <v>2</v>
      </c>
      <c r="C12" s="758" t="s">
        <v>577</v>
      </c>
      <c r="D12" s="774" t="s">
        <v>578</v>
      </c>
      <c r="E12" s="760">
        <v>0</v>
      </c>
      <c r="F12" s="761">
        <f>+IFERROR(E12/E13,0)</f>
        <v>0</v>
      </c>
      <c r="G12" s="775">
        <v>0</v>
      </c>
      <c r="H12" s="762">
        <f>IFERROR(((F12-G12)/G12),0)</f>
        <v>0</v>
      </c>
    </row>
    <row r="13" spans="2:8" x14ac:dyDescent="0.25">
      <c r="B13" s="763"/>
      <c r="C13" s="764"/>
      <c r="D13" s="759" t="s">
        <v>579</v>
      </c>
      <c r="E13" s="760">
        <v>0</v>
      </c>
      <c r="F13" s="765"/>
      <c r="G13" s="776"/>
      <c r="H13" s="766"/>
    </row>
    <row r="14" ht="8.1" customHeight="1" spans="2:8" x14ac:dyDescent="0.25">
      <c r="B14" s="767"/>
      <c r="C14" s="768"/>
      <c r="D14" s="769" t="s">
        <v>38</v>
      </c>
      <c r="E14" s="777"/>
      <c r="F14" s="778"/>
      <c r="G14" s="779"/>
      <c r="H14" s="773"/>
    </row>
    <row r="15" ht="15" customHeight="1" spans="2:14" x14ac:dyDescent="0.25">
      <c r="B15" s="757">
        <v>3</v>
      </c>
      <c r="C15" s="780" t="str">
        <f>N15</f>
        <v>Debt Service Coverage Ratio (In Times)</v>
      </c>
      <c r="D15" s="759" t="s">
        <v>580</v>
      </c>
      <c r="E15" s="760">
        <v>0</v>
      </c>
      <c r="F15" s="775" t="str">
        <f>+IF(ISNUMBER(E15/E16),E15/E16,"N.A.")</f>
        <v>N.A.</v>
      </c>
      <c r="G15" s="775">
        <v>0</v>
      </c>
      <c r="H15" s="762">
        <f>+IFERROR(((F15-G15)/G15),0)</f>
        <v>0</v>
      </c>
      <c r="N15" s="741" t="s">
        <v>581</v>
      </c>
    </row>
    <row r="16" ht="20.25" customHeight="1" spans="2:14" x14ac:dyDescent="0.25">
      <c r="B16" s="763"/>
      <c r="C16" s="781"/>
      <c r="D16" s="759" t="s">
        <v>582</v>
      </c>
      <c r="E16" s="782">
        <v>0</v>
      </c>
      <c r="F16" s="776"/>
      <c r="G16" s="776"/>
      <c r="H16" s="766"/>
      <c r="N16" s="741" t="s">
        <v>38</v>
      </c>
    </row>
    <row r="17" spans="2:14" x14ac:dyDescent="0.25">
      <c r="B17" s="783"/>
      <c r="C17" s="784"/>
      <c r="D17" s="769"/>
      <c r="E17" s="770"/>
      <c r="F17" s="785"/>
      <c r="G17" s="779"/>
      <c r="H17" s="773"/>
      <c r="N17" s="741" t="s">
        <v>38</v>
      </c>
    </row>
    <row r="18" ht="8.1" customHeight="1" spans="2:8" x14ac:dyDescent="0.25">
      <c r="B18" s="767"/>
      <c r="C18" s="784"/>
      <c r="D18" s="769"/>
      <c r="E18" s="777">
        <v>0</v>
      </c>
      <c r="F18" s="785"/>
      <c r="G18" s="779"/>
      <c r="H18" s="786"/>
    </row>
    <row r="19" ht="15" customHeight="1" spans="2:14" x14ac:dyDescent="0.25">
      <c r="B19" s="757">
        <v>4</v>
      </c>
      <c r="C19" s="780" t="s">
        <v>583</v>
      </c>
      <c r="D19" s="759" t="s">
        <v>584</v>
      </c>
      <c r="E19" s="760">
        <v>0</v>
      </c>
      <c r="F19" s="762">
        <f>+IFERROR(E19/E20,0)</f>
        <v>0</v>
      </c>
      <c r="G19" s="787">
        <v>0</v>
      </c>
      <c r="H19" s="762">
        <f>+IFERROR(((F19-G19)/G19),0)</f>
        <v>0</v>
      </c>
      <c r="N19" s="741" t="s">
        <v>583</v>
      </c>
    </row>
    <row r="20" spans="2:14" x14ac:dyDescent="0.25">
      <c r="B20" s="763"/>
      <c r="C20" s="781"/>
      <c r="D20" s="759" t="s">
        <v>585</v>
      </c>
      <c r="E20" s="760">
        <v>0</v>
      </c>
      <c r="F20" s="766"/>
      <c r="G20" s="788"/>
      <c r="H20" s="766"/>
      <c r="N20" s="741" t="s">
        <v>38</v>
      </c>
    </row>
    <row r="21" spans="2:8" x14ac:dyDescent="0.25">
      <c r="B21" s="789"/>
      <c r="C21" s="306"/>
      <c r="D21" s="769"/>
      <c r="E21" s="770"/>
      <c r="F21" s="790"/>
      <c r="G21" s="791"/>
      <c r="H21" s="773"/>
    </row>
    <row r="22" ht="9" customHeight="1" spans="2:14" x14ac:dyDescent="0.25">
      <c r="B22" s="767"/>
      <c r="C22" s="784"/>
      <c r="D22" s="769"/>
      <c r="E22" s="770"/>
      <c r="F22" s="792"/>
      <c r="G22" s="792"/>
      <c r="H22" s="786"/>
      <c r="N22" s="741" t="s">
        <v>38</v>
      </c>
    </row>
    <row r="23" ht="15" customHeight="1" spans="2:14" x14ac:dyDescent="0.25">
      <c r="B23" s="757">
        <v>5</v>
      </c>
      <c r="C23" s="780" t="s">
        <v>586</v>
      </c>
      <c r="D23" s="759" t="s">
        <v>587</v>
      </c>
      <c r="E23" s="760">
        <v>0</v>
      </c>
      <c r="F23" s="775" t="str">
        <f t="shared" ref="F23" si="0">+IF(ISNUMBER(E23/E24),E23/E24,"N.A.")</f>
        <v>N.A.</v>
      </c>
      <c r="G23" s="775">
        <v>0</v>
      </c>
      <c r="H23" s="762">
        <f>+IFERROR(((F23-G23)/G23),0)</f>
        <v>0</v>
      </c>
      <c r="N23" s="741" t="s">
        <v>586</v>
      </c>
    </row>
    <row r="24" ht="23.25" customHeight="1" spans="2:14" x14ac:dyDescent="0.25">
      <c r="B24" s="763"/>
      <c r="C24" s="781"/>
      <c r="D24" s="759" t="s">
        <v>588</v>
      </c>
      <c r="E24" s="760">
        <v>0</v>
      </c>
      <c r="F24" s="776"/>
      <c r="G24" s="776"/>
      <c r="H24" s="766"/>
      <c r="K24" s="741">
        <f t="shared" ref="K24:K26" si="1">PROPER(C24)</f>
      </c>
      <c r="N24" s="741" t="s">
        <v>38</v>
      </c>
    </row>
    <row r="25" spans="2:8" x14ac:dyDescent="0.25">
      <c r="B25" s="793"/>
      <c r="C25" s="306"/>
      <c r="D25" s="769"/>
      <c r="E25" s="770"/>
      <c r="F25" s="792"/>
      <c r="G25" s="792"/>
      <c r="H25" s="773"/>
    </row>
    <row r="26" ht="8.1" customHeight="1" spans="2:14" x14ac:dyDescent="0.25">
      <c r="B26" s="767"/>
      <c r="C26" s="784"/>
      <c r="D26" s="769" t="s">
        <v>38</v>
      </c>
      <c r="E26" s="770"/>
      <c r="F26" s="785"/>
      <c r="G26" s="779"/>
      <c r="H26" s="786"/>
      <c r="K26" s="741">
        <f t="shared" si="1"/>
      </c>
      <c r="N26" s="741" t="s">
        <v>38</v>
      </c>
    </row>
    <row r="27" ht="15" customHeight="1" spans="2:14" x14ac:dyDescent="0.25">
      <c r="B27" s="757">
        <v>6</v>
      </c>
      <c r="C27" s="780" t="s">
        <v>589</v>
      </c>
      <c r="D27" s="759" t="s">
        <v>590</v>
      </c>
      <c r="E27" s="760">
        <v>0</v>
      </c>
      <c r="F27" s="775" t="str">
        <f t="shared" ref="F27" si="2">+IF(ISNUMBER(E27/E28),E27/E28,"N.A.")</f>
        <v>N.A.</v>
      </c>
      <c r="G27" s="775">
        <v>0</v>
      </c>
      <c r="H27" s="762">
        <f>+IFERROR(((F27-G27)/G27),0)</f>
        <v>0</v>
      </c>
      <c r="N27" s="741" t="s">
        <v>589</v>
      </c>
    </row>
    <row r="28" ht="26.25" customHeight="1" spans="2:14" x14ac:dyDescent="0.25">
      <c r="B28" s="763"/>
      <c r="C28" s="781"/>
      <c r="D28" s="759" t="s">
        <v>591</v>
      </c>
      <c r="E28" s="760">
        <v>0</v>
      </c>
      <c r="F28" s="776"/>
      <c r="G28" s="776"/>
      <c r="H28" s="766"/>
      <c r="N28" s="741" t="s">
        <v>38</v>
      </c>
    </row>
    <row r="29" ht="15" customHeight="1" spans="2:14" x14ac:dyDescent="0.25">
      <c r="B29" s="789"/>
      <c r="C29" s="784"/>
      <c r="D29" s="769"/>
      <c r="E29" s="770"/>
      <c r="F29" s="779"/>
      <c r="G29" s="779"/>
      <c r="H29" s="773"/>
      <c r="N29" s="741" t="s">
        <v>38</v>
      </c>
    </row>
    <row r="30" ht="6.75" customHeight="1" spans="2:8" x14ac:dyDescent="0.25">
      <c r="B30" s="789"/>
      <c r="C30" s="784"/>
      <c r="D30" s="769"/>
      <c r="E30" s="770"/>
      <c r="F30" s="779"/>
      <c r="G30" s="779"/>
      <c r="H30" s="773"/>
    </row>
    <row r="31" ht="15" customHeight="1" spans="2:14" x14ac:dyDescent="0.25">
      <c r="B31" s="757">
        <v>7</v>
      </c>
      <c r="C31" s="780" t="s">
        <v>592</v>
      </c>
      <c r="D31" s="759" t="s">
        <v>593</v>
      </c>
      <c r="E31" s="760">
        <v>0</v>
      </c>
      <c r="F31" s="775" t="str">
        <f>+IF(ISNUMBER(E31/E32),E31/E32,"N.A.")</f>
        <v>N.A.</v>
      </c>
      <c r="G31" s="775">
        <v>0</v>
      </c>
      <c r="H31" s="762">
        <f>+IFERROR(((F31-G31)/G31),0)</f>
        <v>0</v>
      </c>
      <c r="N31" s="741" t="s">
        <v>592</v>
      </c>
    </row>
    <row r="32" ht="24.75" customHeight="1" spans="2:14" x14ac:dyDescent="0.25">
      <c r="B32" s="763"/>
      <c r="C32" s="781"/>
      <c r="D32" s="759" t="s">
        <v>594</v>
      </c>
      <c r="E32" s="760">
        <v>0</v>
      </c>
      <c r="F32" s="776"/>
      <c r="G32" s="776"/>
      <c r="H32" s="766"/>
      <c r="N32" s="741" t="s">
        <v>38</v>
      </c>
    </row>
    <row r="33" spans="2:8" x14ac:dyDescent="0.25">
      <c r="B33" s="789"/>
      <c r="C33" s="306"/>
      <c r="D33" s="769"/>
      <c r="E33" s="770"/>
      <c r="F33" s="792"/>
      <c r="G33" s="792"/>
      <c r="H33" s="773"/>
    </row>
    <row r="34" ht="8.1" customHeight="1" spans="2:14" x14ac:dyDescent="0.25">
      <c r="B34" s="767"/>
      <c r="C34" s="784"/>
      <c r="D34" s="769"/>
      <c r="E34" s="770"/>
      <c r="F34" s="779"/>
      <c r="G34" s="779"/>
      <c r="H34" s="786"/>
      <c r="N34" s="741" t="s">
        <v>38</v>
      </c>
    </row>
    <row r="35" ht="15" customHeight="1" spans="2:14" x14ac:dyDescent="0.25">
      <c r="B35" s="757">
        <v>8</v>
      </c>
      <c r="C35" s="780" t="s">
        <v>595</v>
      </c>
      <c r="D35" s="759" t="s">
        <v>590</v>
      </c>
      <c r="E35" s="760">
        <v>0</v>
      </c>
      <c r="F35" s="775">
        <f>+IFERROR(E35/E36,0)</f>
        <v>0</v>
      </c>
      <c r="G35" s="775">
        <v>0</v>
      </c>
      <c r="H35" s="762">
        <f>+IFERROR(((F35-G35)/G35),0)</f>
        <v>0</v>
      </c>
      <c r="N35" s="741" t="s">
        <v>595</v>
      </c>
    </row>
    <row r="36" ht="23.25" customHeight="1" spans="2:14" x14ac:dyDescent="0.25">
      <c r="B36" s="763"/>
      <c r="C36" s="781"/>
      <c r="D36" s="759" t="s">
        <v>596</v>
      </c>
      <c r="E36" s="760">
        <v>0</v>
      </c>
      <c r="F36" s="776"/>
      <c r="G36" s="776"/>
      <c r="H36" s="766"/>
      <c r="N36" s="741" t="s">
        <v>38</v>
      </c>
    </row>
    <row r="37" ht="8.1" customHeight="1" spans="2:14" x14ac:dyDescent="0.25">
      <c r="B37" s="767"/>
      <c r="C37" s="784"/>
      <c r="D37" s="769"/>
      <c r="E37" s="770"/>
      <c r="F37" s="779"/>
      <c r="G37" s="779"/>
      <c r="H37" s="786"/>
      <c r="N37" s="741" t="s">
        <v>38</v>
      </c>
    </row>
    <row r="38" ht="14.25" customHeight="1" spans="2:14" x14ac:dyDescent="0.25">
      <c r="B38" s="757">
        <v>9</v>
      </c>
      <c r="C38" s="780" t="s">
        <v>597</v>
      </c>
      <c r="D38" s="759" t="s">
        <v>584</v>
      </c>
      <c r="E38" s="760">
        <v>0</v>
      </c>
      <c r="F38" s="794">
        <f>+IFERROR(E38/E39,0)</f>
        <v>0</v>
      </c>
      <c r="G38" s="794">
        <v>0</v>
      </c>
      <c r="H38" s="762">
        <f>+IFERROR(((F38-G38)/G38),0)</f>
        <v>0</v>
      </c>
      <c r="N38" s="741" t="s">
        <v>597</v>
      </c>
    </row>
    <row r="39" spans="2:14" x14ac:dyDescent="0.25">
      <c r="B39" s="763"/>
      <c r="C39" s="781"/>
      <c r="D39" s="759" t="s">
        <v>590</v>
      </c>
      <c r="E39" s="760">
        <v>0</v>
      </c>
      <c r="F39" s="795"/>
      <c r="G39" s="795"/>
      <c r="H39" s="766"/>
      <c r="N39" s="741" t="s">
        <v>38</v>
      </c>
    </row>
    <row r="40" spans="2:8" x14ac:dyDescent="0.25">
      <c r="B40" s="789"/>
      <c r="C40" s="306"/>
      <c r="D40" s="769"/>
      <c r="E40" s="770"/>
      <c r="F40" s="796"/>
      <c r="G40" s="796"/>
      <c r="H40" s="773"/>
    </row>
    <row r="41" ht="8.1" customHeight="1" spans="2:14" x14ac:dyDescent="0.25">
      <c r="B41" s="797"/>
      <c r="C41" s="784"/>
      <c r="D41" s="769"/>
      <c r="E41" s="770"/>
      <c r="F41" s="798"/>
      <c r="G41" s="785"/>
      <c r="H41" s="773"/>
      <c r="N41" s="741" t="s">
        <v>38</v>
      </c>
    </row>
    <row r="42" ht="15" customHeight="1" spans="2:14" x14ac:dyDescent="0.25">
      <c r="B42" s="757">
        <v>10</v>
      </c>
      <c r="C42" s="780" t="s">
        <v>598</v>
      </c>
      <c r="D42" s="759" t="s">
        <v>599</v>
      </c>
      <c r="E42" s="760">
        <v>0</v>
      </c>
      <c r="F42" s="799">
        <f>+IFERROR(E42/E43,0)</f>
        <v>0</v>
      </c>
      <c r="G42" s="799">
        <v>0</v>
      </c>
      <c r="H42" s="762">
        <f>+IFERROR(((F42-G42)/G42),0)</f>
        <v>0</v>
      </c>
      <c r="N42" s="741" t="s">
        <v>598</v>
      </c>
    </row>
    <row r="43" spans="2:14" x14ac:dyDescent="0.25">
      <c r="B43" s="763"/>
      <c r="C43" s="781"/>
      <c r="D43" s="759" t="s">
        <v>600</v>
      </c>
      <c r="E43" s="760">
        <v>0</v>
      </c>
      <c r="F43" s="800"/>
      <c r="G43" s="800"/>
      <c r="H43" s="766"/>
      <c r="N43" s="741" t="s">
        <v>38</v>
      </c>
    </row>
    <row r="44" ht="15" customHeight="1" spans="2:14" x14ac:dyDescent="0.25">
      <c r="B44" s="789"/>
      <c r="C44" s="784"/>
      <c r="D44" s="769"/>
      <c r="E44" s="770"/>
      <c r="F44" s="779"/>
      <c r="G44" s="779"/>
      <c r="H44" s="773"/>
      <c r="N44" s="741" t="s">
        <v>38</v>
      </c>
    </row>
    <row r="45" ht="8.1" customHeight="1" spans="2:14" x14ac:dyDescent="0.25">
      <c r="B45" s="767"/>
      <c r="C45" s="801"/>
      <c r="D45" s="769"/>
      <c r="E45" s="777"/>
      <c r="F45" s="798"/>
      <c r="G45" s="798"/>
      <c r="H45" s="773"/>
      <c r="N45" s="741" t="s">
        <v>38</v>
      </c>
    </row>
    <row r="46" ht="15.75" customHeight="1" spans="2:14" x14ac:dyDescent="0.25">
      <c r="B46" s="757">
        <v>11</v>
      </c>
      <c r="C46" s="802" t="s">
        <v>601</v>
      </c>
      <c r="D46" s="774" t="s">
        <v>602</v>
      </c>
      <c r="E46" s="782">
        <v>0</v>
      </c>
      <c r="F46" s="799" t="str">
        <f>+IF(ISNUMBER(E46/E47),E46/E47,"N.A.")</f>
        <v>N.A.</v>
      </c>
      <c r="G46" s="799">
        <v>0</v>
      </c>
      <c r="H46" s="762">
        <f>+IFERROR(((F46-G46)/G46),0)</f>
        <v>0</v>
      </c>
      <c r="N46" s="741" t="s">
        <v>601</v>
      </c>
    </row>
    <row r="47" spans="2:14" x14ac:dyDescent="0.25">
      <c r="B47" s="763"/>
      <c r="C47" s="607"/>
      <c r="D47" s="774" t="s">
        <v>603</v>
      </c>
      <c r="E47" s="782">
        <v>0</v>
      </c>
      <c r="F47" s="800"/>
      <c r="G47" s="800"/>
      <c r="H47" s="766"/>
      <c r="N47" s="741" t="s">
        <v>38</v>
      </c>
    </row>
    <row r="48" spans="2:8" x14ac:dyDescent="0.25">
      <c r="B48" s="789"/>
      <c r="C48" s="784"/>
      <c r="D48" s="769"/>
      <c r="E48" s="770"/>
      <c r="F48" s="779"/>
      <c r="G48" s="779"/>
      <c r="H48" s="773"/>
    </row>
    <row r="49" ht="4.5" customHeight="1" spans="2:14" x14ac:dyDescent="0.25">
      <c r="B49" s="803"/>
      <c r="C49" s="804"/>
      <c r="D49" s="805"/>
      <c r="E49" s="806"/>
      <c r="F49" s="807"/>
      <c r="G49" s="807"/>
      <c r="H49" s="808"/>
      <c r="N49" s="741">
        <f t="shared" ref="N49" si="3">PROPER(C49)</f>
      </c>
    </row>
    <row r="50" spans="3:4" x14ac:dyDescent="0.25">
      <c r="C50" s="809"/>
      <c r="D50" s="414"/>
    </row>
  </sheetData>
  <mergeCells count="61">
    <mergeCell ref="B7:B8"/>
    <mergeCell ref="C7:C8"/>
    <mergeCell ref="E7:E8"/>
    <mergeCell ref="F7:F8"/>
    <mergeCell ref="G7:G8"/>
    <mergeCell ref="H7:H8"/>
    <mergeCell ref="B9:B10"/>
    <mergeCell ref="C9:C10"/>
    <mergeCell ref="F9:F10"/>
    <mergeCell ref="G9:G10"/>
    <mergeCell ref="H9:H10"/>
    <mergeCell ref="B12:B13"/>
    <mergeCell ref="C12:C13"/>
    <mergeCell ref="F12:F13"/>
    <mergeCell ref="G12:G13"/>
    <mergeCell ref="H12:H13"/>
    <mergeCell ref="B15:B16"/>
    <mergeCell ref="C15:C16"/>
    <mergeCell ref="F15:F16"/>
    <mergeCell ref="G15:G16"/>
    <mergeCell ref="H15:H16"/>
    <mergeCell ref="B19:B20"/>
    <mergeCell ref="C19:C20"/>
    <mergeCell ref="F19:F20"/>
    <mergeCell ref="G19:G20"/>
    <mergeCell ref="H19:H20"/>
    <mergeCell ref="B23:B24"/>
    <mergeCell ref="C23:C24"/>
    <mergeCell ref="F23:F24"/>
    <mergeCell ref="G23:G24"/>
    <mergeCell ref="H23:H24"/>
    <mergeCell ref="B27:B28"/>
    <mergeCell ref="C27:C28"/>
    <mergeCell ref="F27:F28"/>
    <mergeCell ref="G27:G28"/>
    <mergeCell ref="H27:H28"/>
    <mergeCell ref="B31:B32"/>
    <mergeCell ref="C31:C32"/>
    <mergeCell ref="F31:F32"/>
    <mergeCell ref="G31:G32"/>
    <mergeCell ref="H31:H32"/>
    <mergeCell ref="B35:B36"/>
    <mergeCell ref="C35:C36"/>
    <mergeCell ref="F35:F36"/>
    <mergeCell ref="G35:G36"/>
    <mergeCell ref="H35:H36"/>
    <mergeCell ref="B38:B39"/>
    <mergeCell ref="C38:C39"/>
    <mergeCell ref="F38:F39"/>
    <mergeCell ref="G38:G39"/>
    <mergeCell ref="H38:H39"/>
    <mergeCell ref="B42:B43"/>
    <mergeCell ref="C42:C43"/>
    <mergeCell ref="F42:F43"/>
    <mergeCell ref="G42:G43"/>
    <mergeCell ref="H42:H43"/>
    <mergeCell ref="B46:B47"/>
    <mergeCell ref="C46:C47"/>
    <mergeCell ref="F46:F47"/>
    <mergeCell ref="G46:G47"/>
    <mergeCell ref="H46:H47"/>
  </mergeCells>
  <conditionalFormatting sqref="G7:H8 I9:J9">
    <cfRule type="cellIs" dxfId="35" priority="1" operator="lessThan">
      <formula>0</formula>
    </cfRule>
  </conditionalFormatting>
  <conditionalFormatting sqref="I9:J9">
    <cfRule type="cellIs" dxfId="36" priority="2" operator="lessThan">
      <formula>0</formula>
    </cfRule>
  </conditionalFormatting>
  <printOptions horizontalCentered="1"/>
  <pageMargins left="0.35" right="0.35" top="0.55" bottom="0.55" header="0.2" footer="0.2"/>
  <pageSetup paperSize="9" orientation="portrait" horizontalDpi="4294967295" verticalDpi="4294967295" scale="93" fitToWidth="1" fitToHeight="0" firstPageNumber="1" useFirstPageNumber="1" copies="1"/>
  <headerFooter>
    <oddFooter>&amp;LCAFlow template&amp;RPage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5"/>
  <sheetViews>
    <sheetView workbookViewId="0" showGridLines="0" zoomScale="100" zoomScaleNormal="100">
      <selection activeCell="G19" sqref="G19"/>
    </sheetView>
  </sheetViews>
  <sheetFormatPr defaultRowHeight="12.75" outlineLevelRow="0" outlineLevelCol="0" x14ac:dyDescent="0" defaultColWidth="8.7109375" customHeight="1"/>
  <cols>
    <col min="1" max="1" width="21.28515625" style="530" customWidth="1"/>
    <col min="2" max="2" width="9.28515625" style="530" customWidth="1"/>
    <col min="3" max="4" width="13.5703125" style="811" customWidth="1"/>
    <col min="5" max="5" width="12.7109375" style="811" customWidth="1"/>
    <col min="6" max="6" width="11.28515625" style="811" customWidth="1"/>
    <col min="7" max="7" width="12.5703125" style="811" customWidth="1"/>
    <col min="8" max="8" width="12.7109375" style="811" customWidth="1"/>
    <col min="9" max="16384" width="8.7109375" style="530" customWidth="1"/>
  </cols>
  <sheetData>
    <row r="1" spans="1:2" x14ac:dyDescent="0.25">
      <c r="A1" s="529" t="str">
        <f>BS!B2</f>
        <v>[NAME OF THE COMPANY]</v>
      </c>
      <c r="B1" s="529"/>
    </row>
    <row r="2" spans="1:2" x14ac:dyDescent="0.25">
      <c r="A2" s="529"/>
      <c r="B2" s="529"/>
    </row>
    <row r="3" ht="13.9" customHeight="1" spans="8:8" x14ac:dyDescent="0.25">
      <c r="H3" s="494" t="str">
        <f>+BS!E5</f>
        <v>(Amount in Rs. `000)</v>
      </c>
    </row>
    <row r="4" ht="24" customHeight="1" spans="1:8" s="529" customFormat="1" x14ac:dyDescent="0.25">
      <c r="A4" s="812" t="s">
        <v>608</v>
      </c>
      <c r="B4" s="812" t="s">
        <v>609</v>
      </c>
      <c r="C4" s="813" t="s">
        <v>610</v>
      </c>
      <c r="D4" s="814" t="s">
        <v>611</v>
      </c>
      <c r="E4" s="815"/>
      <c r="F4" s="813" t="s">
        <v>313</v>
      </c>
      <c r="G4" s="813" t="s">
        <v>612</v>
      </c>
      <c r="H4" s="813" t="s">
        <v>613</v>
      </c>
    </row>
    <row r="5" ht="29.25" customHeight="1" spans="1:8" s="529" customFormat="1" x14ac:dyDescent="0.25">
      <c r="A5" s="816"/>
      <c r="B5" s="816"/>
      <c r="C5" s="817"/>
      <c r="D5" s="818" t="s">
        <v>614</v>
      </c>
      <c r="E5" s="818" t="s">
        <v>615</v>
      </c>
      <c r="F5" s="817"/>
      <c r="G5" s="817"/>
      <c r="H5" s="817"/>
    </row>
    <row r="6" spans="1:8" x14ac:dyDescent="0.25">
      <c r="A6" s="819" t="s">
        <v>394</v>
      </c>
      <c r="B6" s="820">
        <v>0.4</v>
      </c>
      <c r="C6" s="821">
        <v>0</v>
      </c>
      <c r="D6" s="822">
        <v>0</v>
      </c>
      <c r="E6" s="821">
        <v>0</v>
      </c>
      <c r="F6" s="822">
        <f>+C6+D6+E6</f>
        <v>0</v>
      </c>
      <c r="G6" s="823">
        <f>ROUND(((C6+D6)*B6)+(E6*B6/2),1)</f>
        <v>0</v>
      </c>
      <c r="H6" s="822">
        <f>F6-G6</f>
        <v>0</v>
      </c>
    </row>
    <row r="7" spans="1:8" x14ac:dyDescent="0.25">
      <c r="A7" s="824" t="s">
        <v>397</v>
      </c>
      <c r="B7" s="825">
        <v>0.4</v>
      </c>
      <c r="C7" s="739">
        <v>0</v>
      </c>
      <c r="D7" s="826">
        <v>0</v>
      </c>
      <c r="E7" s="739">
        <v>0</v>
      </c>
      <c r="F7" s="826">
        <f>+C7+D7+E7</f>
        <v>0</v>
      </c>
      <c r="G7" s="827">
        <f>ROUND(((C7+D7)*B7)+(E7*B7/2),1)</f>
        <v>0</v>
      </c>
      <c r="H7" s="826">
        <f>F7-G7</f>
        <v>0</v>
      </c>
    </row>
    <row r="8" spans="1:8" x14ac:dyDescent="0.25">
      <c r="A8" s="824" t="s">
        <v>616</v>
      </c>
      <c r="B8" s="825">
        <v>0.15</v>
      </c>
      <c r="C8" s="739">
        <v>0</v>
      </c>
      <c r="D8" s="826">
        <v>0</v>
      </c>
      <c r="E8" s="739">
        <v>0</v>
      </c>
      <c r="F8" s="826">
        <f t="shared" ref="F8:F9" si="0">+C8+D8+E8</f>
        <v>0</v>
      </c>
      <c r="G8" s="827">
        <f t="shared" ref="G8:G9" si="1">ROUND(((C8+D8)*B8)+(E8*B8/2),1)</f>
        <v>0</v>
      </c>
      <c r="H8" s="826">
        <f t="shared" ref="H8:H9" si="2">F8-G8</f>
        <v>0</v>
      </c>
    </row>
    <row r="9" spans="1:8" x14ac:dyDescent="0.25">
      <c r="A9" s="824" t="s">
        <v>398</v>
      </c>
      <c r="B9" s="825">
        <v>0.15</v>
      </c>
      <c r="C9" s="739">
        <v>0</v>
      </c>
      <c r="D9" s="826">
        <v>0</v>
      </c>
      <c r="E9" s="739">
        <v>0</v>
      </c>
      <c r="F9" s="826">
        <f t="shared" si="0"/>
        <v>0</v>
      </c>
      <c r="G9" s="827">
        <f t="shared" si="1"/>
        <v>0</v>
      </c>
      <c r="H9" s="826">
        <f t="shared" si="2"/>
        <v>0</v>
      </c>
    </row>
    <row r="10" spans="1:8" x14ac:dyDescent="0.25">
      <c r="A10" s="824" t="s">
        <v>399</v>
      </c>
      <c r="B10" s="825">
        <v>0.1</v>
      </c>
      <c r="C10" s="739">
        <v>0</v>
      </c>
      <c r="D10" s="826">
        <v>0</v>
      </c>
      <c r="E10" s="739">
        <v>0</v>
      </c>
      <c r="F10" s="826">
        <f t="shared" ref="F10:F12" si="3">+C10+D10+E10</f>
        <v>0</v>
      </c>
      <c r="G10" s="827">
        <f>ROUND(((C10+D10)*B10)+(E10*B10/2),1)</f>
        <v>0</v>
      </c>
      <c r="H10" s="826">
        <f>F10-G10</f>
        <v>0</v>
      </c>
    </row>
    <row r="11" spans="1:8" x14ac:dyDescent="0.25">
      <c r="A11" s="824" t="s">
        <v>400</v>
      </c>
      <c r="B11" s="825">
        <v>0.15</v>
      </c>
      <c r="C11" s="739">
        <v>0</v>
      </c>
      <c r="D11" s="826">
        <v>0</v>
      </c>
      <c r="E11" s="739">
        <v>0</v>
      </c>
      <c r="F11" s="826">
        <f t="shared" si="3"/>
        <v>0</v>
      </c>
      <c r="G11" s="827">
        <f>ROUND(((C11+D11)*B11)+(E11*B11/2),1)</f>
        <v>0</v>
      </c>
      <c r="H11" s="826">
        <f>F11-G11</f>
        <v>0</v>
      </c>
    </row>
    <row r="12" spans="1:8" x14ac:dyDescent="0.25">
      <c r="A12" s="824" t="s">
        <v>617</v>
      </c>
      <c r="B12" s="825">
        <v>0.25</v>
      </c>
      <c r="C12" s="739">
        <v>0</v>
      </c>
      <c r="D12" s="826">
        <v>0</v>
      </c>
      <c r="E12" s="739">
        <v>0</v>
      </c>
      <c r="F12" s="826">
        <f t="shared" si="3"/>
        <v>0</v>
      </c>
      <c r="G12" s="827">
        <f>ROUND(((C12+D12)*B12)+(E12*B12/2),1)</f>
        <v>0</v>
      </c>
      <c r="H12" s="826">
        <f>F12-G12</f>
        <v>0</v>
      </c>
    </row>
    <row r="13" ht="13.9" customHeight="1" spans="1:8" x14ac:dyDescent="0.25">
      <c r="A13" s="828"/>
      <c r="B13" s="828"/>
      <c r="C13" s="829"/>
      <c r="D13" s="830"/>
      <c r="E13" s="829"/>
      <c r="F13" s="830"/>
      <c r="G13" s="829"/>
      <c r="H13" s="830"/>
    </row>
    <row r="14" ht="13.9" customHeight="1" spans="1:8" x14ac:dyDescent="0.25">
      <c r="A14" s="831" t="s">
        <v>313</v>
      </c>
      <c r="B14" s="832"/>
      <c r="C14" s="427">
        <f t="shared" ref="C14:H14" si="4">SUM(C6:C13)</f>
        <v>0</v>
      </c>
      <c r="D14" s="427">
        <f t="shared" si="4"/>
        <v>0</v>
      </c>
      <c r="E14" s="427">
        <f t="shared" si="4"/>
        <v>0</v>
      </c>
      <c r="F14" s="427">
        <f t="shared" si="4"/>
        <v>0</v>
      </c>
      <c r="G14" s="427">
        <f t="shared" si="4"/>
        <v>0</v>
      </c>
      <c r="H14" s="427">
        <f t="shared" si="4"/>
        <v>0</v>
      </c>
    </row>
    <row r="15" ht="13.9" customHeight="1" spans="3:8" x14ac:dyDescent="0.25">
      <c r="C15" s="739"/>
      <c r="D15" s="739"/>
      <c r="E15" s="739"/>
      <c r="F15" s="739"/>
      <c r="G15" s="739"/>
      <c r="H15" s="739"/>
    </row>
  </sheetData>
  <mergeCells count="7">
    <mergeCell ref="D4:E4"/>
    <mergeCell ref="A4:A5"/>
    <mergeCell ref="B4:B5"/>
    <mergeCell ref="C4:C5"/>
    <mergeCell ref="F4:F5"/>
    <mergeCell ref="G4:G5"/>
    <mergeCell ref="H4:H5"/>
  </mergeCells>
  <printOptions horizontalCentered="1"/>
  <pageMargins left="0.35" right="0.35" top="0.55" bottom="0.55" header="0.2" footer="0.2"/>
  <pageSetup paperSize="9" orientation="landscape" horizontalDpi="4294967295" verticalDpi="4294967295" scale="84" fitToWidth="1" fitToHeight="0" firstPageNumber="1" useFirstPageNumber="1" copies="1"/>
  <headerFooter>
    <oddFooter>&amp;LCAFlow template&amp;RPage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1"/>
  <sheetViews>
    <sheetView workbookViewId="0" showGridLines="0" zoomScale="100" zoomScaleNormal="100">
      <selection activeCell="E11" sqref="E11"/>
    </sheetView>
  </sheetViews>
  <sheetFormatPr defaultRowHeight="15" outlineLevelRow="0" outlineLevelCol="0" x14ac:dyDescent="0" defaultColWidth="8.7109375"/>
  <cols>
    <col min="1" max="1" width="23.7109375" style="833" customWidth="1"/>
    <col min="2" max="2" width="8.7109375" style="833" customWidth="1"/>
    <col min="3" max="3" width="12.5703125" style="834" customWidth="1"/>
    <col min="4" max="4" width="11.28515625" style="833" customWidth="1"/>
    <col min="5" max="5" width="12.5703125" style="833" customWidth="1"/>
    <col min="6" max="7" width="14.42578125" style="833" customWidth="1"/>
    <col min="8" max="16384" width="8.7109375" style="833" customWidth="1"/>
  </cols>
  <sheetData>
    <row r="1" spans="1:1" x14ac:dyDescent="0.25">
      <c r="A1" s="529" t="str">
        <f>BS!B2</f>
        <v>[NAME OF THE COMPANY]</v>
      </c>
    </row>
    <row r="2" spans="1:1" x14ac:dyDescent="0.25">
      <c r="A2" s="529"/>
    </row>
    <row r="3" spans="1:1" x14ac:dyDescent="0.25">
      <c r="A3" s="529"/>
    </row>
    <row r="4" ht="15.75" customHeight="1" spans="1:5" x14ac:dyDescent="0.25">
      <c r="A4" s="835" t="s">
        <v>618</v>
      </c>
      <c r="B4" s="836"/>
      <c r="C4" s="836"/>
      <c r="D4" s="836"/>
      <c r="E4" s="836"/>
    </row>
    <row r="5" ht="28.5" customHeight="1" spans="1:5" x14ac:dyDescent="0.25">
      <c r="A5" s="100" t="s">
        <v>135</v>
      </c>
      <c r="B5" s="101"/>
      <c r="C5" s="101"/>
      <c r="D5" s="101"/>
      <c r="E5" s="837" t="str">
        <f>+BS!E5</f>
        <v>(Amount in Rs. `000)</v>
      </c>
    </row>
    <row r="6" spans="1:5" x14ac:dyDescent="0.25">
      <c r="A6" s="838"/>
      <c r="B6" s="836"/>
      <c r="C6" s="836"/>
      <c r="D6" s="839"/>
      <c r="E6" s="840"/>
    </row>
    <row r="7" spans="1:5" x14ac:dyDescent="0.25">
      <c r="A7" s="841" t="s">
        <v>619</v>
      </c>
      <c r="B7" s="836"/>
      <c r="C7" s="836"/>
      <c r="D7" s="839"/>
      <c r="E7" s="840"/>
    </row>
    <row r="8" spans="1:5" x14ac:dyDescent="0.25">
      <c r="A8" s="838"/>
      <c r="B8" s="836"/>
      <c r="C8" s="836"/>
      <c r="D8" s="839"/>
      <c r="E8" s="842"/>
    </row>
    <row r="9" spans="1:5" x14ac:dyDescent="0.25">
      <c r="A9" s="843" t="s">
        <v>620</v>
      </c>
      <c r="B9" s="836"/>
      <c r="C9" s="836"/>
      <c r="D9" s="839"/>
      <c r="E9" s="844">
        <f>FA!L22</f>
        <v>0</v>
      </c>
    </row>
    <row r="10" spans="1:5" x14ac:dyDescent="0.25">
      <c r="A10" s="843" t="s">
        <v>621</v>
      </c>
      <c r="B10" s="836"/>
      <c r="C10" s="836"/>
      <c r="D10" s="839"/>
      <c r="E10" s="844">
        <f>'FA - IT Act'!H14</f>
        <v>0</v>
      </c>
    </row>
    <row r="11" spans="1:5" x14ac:dyDescent="0.25">
      <c r="A11" s="845"/>
      <c r="B11" s="836"/>
      <c r="C11" s="836"/>
      <c r="D11" s="839"/>
      <c r="E11" s="846">
        <f>E10-E9</f>
        <v>0</v>
      </c>
    </row>
    <row r="12" spans="1:5" x14ac:dyDescent="0.25">
      <c r="A12" s="843" t="s">
        <v>622</v>
      </c>
      <c r="B12" s="836"/>
      <c r="C12" s="836"/>
      <c r="D12" s="839"/>
      <c r="E12" s="847">
        <v>0</v>
      </c>
    </row>
    <row r="13" spans="1:5" x14ac:dyDescent="0.25">
      <c r="A13" s="845"/>
      <c r="B13" s="836"/>
      <c r="C13" s="836"/>
      <c r="D13" s="839"/>
      <c r="E13" s="848"/>
    </row>
    <row r="14" spans="1:5" x14ac:dyDescent="0.25">
      <c r="A14" s="849" t="s">
        <v>623</v>
      </c>
      <c r="B14" s="850"/>
      <c r="C14" s="850"/>
      <c r="D14" s="851"/>
      <c r="E14" s="852">
        <f>SUM(E11:E13)</f>
        <v>0</v>
      </c>
    </row>
    <row r="15" spans="1:5" x14ac:dyDescent="0.25">
      <c r="A15" s="843" t="s">
        <v>624</v>
      </c>
      <c r="B15" s="836"/>
      <c r="C15" s="836"/>
      <c r="D15" s="851"/>
      <c r="E15" s="847">
        <f>E14*22%*1.1*1.04</f>
        <v>0</v>
      </c>
    </row>
    <row r="16" spans="1:5" x14ac:dyDescent="0.25">
      <c r="A16" s="849" t="s">
        <v>625</v>
      </c>
      <c r="B16" s="850"/>
      <c r="C16" s="850"/>
      <c r="D16" s="851"/>
      <c r="E16" s="852">
        <f>E15</f>
        <v>0</v>
      </c>
    </row>
    <row r="17" spans="1:5" x14ac:dyDescent="0.25">
      <c r="A17" s="845"/>
      <c r="B17" s="836"/>
      <c r="C17" s="836"/>
      <c r="D17" s="853"/>
      <c r="E17" s="848"/>
    </row>
    <row r="18" spans="1:5" x14ac:dyDescent="0.25">
      <c r="A18" s="843" t="s">
        <v>626</v>
      </c>
      <c r="B18" s="836"/>
      <c r="C18" s="836"/>
      <c r="D18" s="839"/>
      <c r="E18" s="852">
        <f>BS!F19</f>
        <v>0</v>
      </c>
    </row>
    <row r="19" spans="1:5" x14ac:dyDescent="0.25">
      <c r="A19" s="854" t="s">
        <v>627</v>
      </c>
      <c r="B19" s="855"/>
      <c r="C19" s="855"/>
      <c r="D19" s="856"/>
      <c r="E19" s="857">
        <f>E16-E18</f>
        <v>0</v>
      </c>
    </row>
    <row r="20" hidden="1" spans="1:1" x14ac:dyDescent="0.25">
      <c r="A20" s="529"/>
    </row>
    <row r="21" hidden="1" spans="1:6" x14ac:dyDescent="0.25">
      <c r="A21" s="858"/>
      <c r="B21" s="858"/>
      <c r="F21" s="859"/>
    </row>
    <row r="22" hidden="1" spans="1:6" x14ac:dyDescent="0.25">
      <c r="A22" s="858"/>
      <c r="B22" s="858"/>
      <c r="F22" s="834"/>
    </row>
    <row r="23" hidden="1" spans="1:6" x14ac:dyDescent="0.25">
      <c r="A23" s="858"/>
      <c r="B23" s="858"/>
      <c r="F23" s="834"/>
    </row>
    <row r="24" hidden="1" spans="1:6" x14ac:dyDescent="0.25">
      <c r="A24" s="858"/>
      <c r="B24" s="858"/>
      <c r="F24" s="834"/>
    </row>
    <row r="25" hidden="1" spans="1:6" x14ac:dyDescent="0.25">
      <c r="A25" s="858"/>
      <c r="B25" s="858"/>
      <c r="F25" s="834"/>
    </row>
    <row r="26" hidden="1" spans="1:6" x14ac:dyDescent="0.25">
      <c r="A26" s="858"/>
      <c r="B26" s="858"/>
      <c r="F26" s="834"/>
    </row>
    <row r="27" hidden="1" spans="1:6" x14ac:dyDescent="0.25">
      <c r="A27" s="860"/>
      <c r="B27" s="860"/>
      <c r="F27" s="859"/>
    </row>
    <row r="28" hidden="1" spans="1:6" x14ac:dyDescent="0.25">
      <c r="A28" s="858"/>
      <c r="B28" s="858"/>
      <c r="F28" s="834"/>
    </row>
    <row r="29" hidden="1" spans="6:6" x14ac:dyDescent="0.25">
      <c r="F29" s="834"/>
    </row>
    <row r="30" hidden="1" spans="6:6" x14ac:dyDescent="0.25">
      <c r="F30" s="834"/>
    </row>
    <row r="31" hidden="1" spans="6:6" x14ac:dyDescent="0.25">
      <c r="F31" s="834"/>
    </row>
  </sheetData>
  <mergeCells count="1">
    <mergeCell ref="A5:D5"/>
  </mergeCells>
  <printOptions horizontalCentered="1"/>
  <pageMargins left="0.35" right="0.35" top="0.55" bottom="0.55" header="0.2" footer="0.2"/>
  <pageSetup paperSize="9" orientation="portrait" horizontalDpi="4294967295" verticalDpi="4294967295" scale="100" fitToWidth="1" fitToHeight="0" firstPageNumber="1" useFirstPageNumber="1" copies="1"/>
  <headerFooter>
    <oddFooter>&amp;LCAFlow template&amp;RPage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sheetViews>
  <sheetFormatPr defaultRowHeight="15" outlineLevelRow="0" outlineLevelCol="0" x14ac:dyDescent="0"/>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H29"/>
  <sheetViews>
    <sheetView workbookViewId="0" showGridLines="0" zoomScale="100" zoomScaleNormal="100"/>
  </sheetViews>
  <sheetFormatPr defaultRowHeight="15" outlineLevelRow="0" outlineLevelCol="0" x14ac:dyDescent="0"/>
  <cols>
    <col min="1" max="1" width="3" customWidth="1"/>
    <col min="2" max="7" width="18" customWidth="1"/>
    <col min="8" max="8" width="3" customWidth="1"/>
  </cols>
  <sheetData>
    <row r="1" ht="28.15" customHeight="1" spans="1:8" x14ac:dyDescent="0.25">
      <c r="A1" s="78" t="s">
        <v>628</v>
      </c>
      <c r="B1" s="79"/>
      <c r="C1" s="79"/>
      <c r="D1" s="79"/>
      <c r="E1" s="79"/>
      <c r="F1" s="79"/>
      <c r="G1" s="79"/>
      <c r="H1" s="79"/>
    </row>
    <row r="2" ht="19.9" customHeight="1" spans="1:8" x14ac:dyDescent="0.25">
      <c r="A2" s="80" t="s">
        <v>629</v>
      </c>
      <c r="B2" s="79"/>
      <c r="C2" s="79"/>
      <c r="D2" s="79"/>
      <c r="E2" s="79"/>
      <c r="F2" s="79"/>
      <c r="G2" s="79"/>
      <c r="H2" s="79"/>
    </row>
    <row r="3" ht="4.9" customHeight="1" spans="1:8" x14ac:dyDescent="0.25">
      <c r="A3" s="861"/>
      <c r="B3" s="862"/>
      <c r="C3" s="862"/>
      <c r="D3" s="862"/>
      <c r="E3" s="862"/>
      <c r="F3" s="862"/>
      <c r="G3" s="862"/>
      <c r="H3" s="862"/>
    </row>
    <row r="4" ht="25.9" customHeight="1" spans="2:7" x14ac:dyDescent="0.25">
      <c r="B4" s="863" t="s">
        <v>630</v>
      </c>
      <c r="C4" s="864"/>
      <c r="D4" s="864"/>
      <c r="E4" s="864"/>
      <c r="F4" s="864"/>
      <c r="G4" s="864"/>
    </row>
    <row r="6" ht="22.15" customHeight="1" spans="2:7" x14ac:dyDescent="0.25">
      <c r="B6" s="865" t="s">
        <v>631</v>
      </c>
      <c r="C6" s="866"/>
      <c r="D6" s="866"/>
      <c r="E6" s="866"/>
      <c r="F6" s="866"/>
      <c r="G6" s="866"/>
    </row>
    <row r="7" ht="117" customHeight="1" spans="2:7" x14ac:dyDescent="0.25">
      <c r="B7" s="867" t="s">
        <v>632</v>
      </c>
      <c r="C7" s="868"/>
      <c r="D7" s="868"/>
      <c r="E7" s="868"/>
      <c r="F7" s="868"/>
      <c r="G7" s="868"/>
    </row>
    <row r="9" ht="22.15" customHeight="1" spans="2:7" x14ac:dyDescent="0.25">
      <c r="B9" s="865" t="s">
        <v>633</v>
      </c>
      <c r="C9" s="866"/>
      <c r="D9" s="866"/>
      <c r="E9" s="866"/>
      <c r="F9" s="866"/>
      <c r="G9" s="866"/>
    </row>
    <row r="10" ht="103.9" customHeight="1" spans="2:7" x14ac:dyDescent="0.25">
      <c r="B10" s="867" t="s">
        <v>634</v>
      </c>
      <c r="C10" s="868"/>
      <c r="D10" s="868"/>
      <c r="E10" s="868"/>
      <c r="F10" s="868"/>
      <c r="G10" s="868"/>
    </row>
    <row r="12" ht="22.15" customHeight="1" spans="2:7" x14ac:dyDescent="0.25">
      <c r="B12" s="865" t="s">
        <v>635</v>
      </c>
      <c r="C12" s="866"/>
      <c r="D12" s="866"/>
      <c r="E12" s="866"/>
      <c r="F12" s="866"/>
      <c r="G12" s="866"/>
    </row>
    <row r="13" ht="52.15" customHeight="1" spans="2:7" x14ac:dyDescent="0.25">
      <c r="B13" s="867" t="s">
        <v>636</v>
      </c>
      <c r="C13" s="868"/>
      <c r="D13" s="868"/>
      <c r="E13" s="868"/>
      <c r="F13" s="868"/>
      <c r="G13" s="868"/>
    </row>
    <row r="15" ht="22.15" customHeight="1" spans="2:7" x14ac:dyDescent="0.25">
      <c r="B15" s="865" t="s">
        <v>637</v>
      </c>
      <c r="C15" s="866"/>
      <c r="D15" s="866"/>
      <c r="E15" s="866"/>
      <c r="F15" s="866"/>
      <c r="G15" s="866"/>
    </row>
    <row r="16" ht="103.9" customHeight="1" spans="2:7" x14ac:dyDescent="0.25">
      <c r="B16" s="867" t="s">
        <v>638</v>
      </c>
      <c r="C16" s="868"/>
      <c r="D16" s="868"/>
      <c r="E16" s="868"/>
      <c r="F16" s="868"/>
      <c r="G16" s="868"/>
    </row>
    <row r="18" ht="22.15" customHeight="1" spans="2:7" x14ac:dyDescent="0.25">
      <c r="B18" s="865" t="s">
        <v>639</v>
      </c>
      <c r="C18" s="866"/>
      <c r="D18" s="866"/>
      <c r="E18" s="866"/>
      <c r="F18" s="866"/>
      <c r="G18" s="866"/>
    </row>
    <row r="19" ht="117" customHeight="1" spans="2:7" x14ac:dyDescent="0.25">
      <c r="B19" s="867" t="s">
        <v>640</v>
      </c>
      <c r="C19" s="868"/>
      <c r="D19" s="868"/>
      <c r="E19" s="868"/>
      <c r="F19" s="868"/>
      <c r="G19" s="868"/>
    </row>
    <row r="21" ht="22.15" customHeight="1" spans="2:7" x14ac:dyDescent="0.25">
      <c r="B21" s="865" t="s">
        <v>641</v>
      </c>
      <c r="C21" s="866"/>
      <c r="D21" s="866"/>
      <c r="E21" s="866"/>
      <c r="F21" s="866"/>
      <c r="G21" s="866"/>
    </row>
    <row r="22" ht="103.9" customHeight="1" spans="2:7" x14ac:dyDescent="0.25">
      <c r="B22" s="867" t="s">
        <v>642</v>
      </c>
      <c r="C22" s="868"/>
      <c r="D22" s="868"/>
      <c r="E22" s="868"/>
      <c r="F22" s="868"/>
      <c r="G22" s="868"/>
    </row>
    <row r="24" ht="22.15" customHeight="1" spans="2:7" x14ac:dyDescent="0.25">
      <c r="B24" s="865" t="s">
        <v>643</v>
      </c>
      <c r="C24" s="866"/>
      <c r="D24" s="866"/>
      <c r="E24" s="866"/>
      <c r="F24" s="866"/>
      <c r="G24" s="866"/>
    </row>
    <row r="25" ht="325.15" customHeight="1" spans="2:7" x14ac:dyDescent="0.25">
      <c r="B25" s="867" t="s">
        <v>644</v>
      </c>
      <c r="C25" s="868"/>
      <c r="D25" s="868"/>
      <c r="E25" s="868"/>
      <c r="F25" s="868"/>
      <c r="G25" s="868"/>
    </row>
    <row r="27" ht="109.9" customHeight="1" spans="2:7" x14ac:dyDescent="0.25">
      <c r="B27" s="86" t="s">
        <v>645</v>
      </c>
      <c r="C27" s="864"/>
      <c r="D27" s="864"/>
      <c r="E27" s="864"/>
      <c r="F27" s="864"/>
      <c r="G27" s="864"/>
    </row>
    <row r="29" ht="25.9" customHeight="1" spans="2:7" x14ac:dyDescent="0.25">
      <c r="B29" s="88" t="s">
        <v>646</v>
      </c>
      <c r="C29" s="89"/>
      <c r="D29" s="89"/>
      <c r="E29" s="89"/>
      <c r="F29" s="89"/>
      <c r="G29" s="89"/>
    </row>
  </sheetData>
  <mergeCells count="20">
    <mergeCell ref="A1:H1"/>
    <mergeCell ref="A2:H2"/>
    <mergeCell ref="A3:H3"/>
    <mergeCell ref="B4:G4"/>
    <mergeCell ref="B6:G6"/>
    <mergeCell ref="B7:G7"/>
    <mergeCell ref="B9:G9"/>
    <mergeCell ref="B10:G10"/>
    <mergeCell ref="B12:G12"/>
    <mergeCell ref="B13:G13"/>
    <mergeCell ref="B15:G15"/>
    <mergeCell ref="B16:G16"/>
    <mergeCell ref="B18:G18"/>
    <mergeCell ref="B19:G19"/>
    <mergeCell ref="B21:G21"/>
    <mergeCell ref="B22:G22"/>
    <mergeCell ref="B24:G24"/>
    <mergeCell ref="B25:G25"/>
    <mergeCell ref="B27:G27"/>
    <mergeCell ref="B29:G29"/>
  </mergeCells>
  <printOptions horizontalCentered="1"/>
  <pageMargins left="0.35" right="0.35" top="0.55" bottom="0.55" header="0.2" footer="0.2"/>
  <pageSetup paperSize="9" orientation="portrait" horizontalDpi="4294967295" verticalDpi="4294967295" scale="100" fitToWidth="1" fitToHeight="0" firstPageNumber="1" useFirstPageNumber="1" copies="1"/>
  <headerFooter>
    <oddFooter>&amp;LCAFlow template&amp;RPage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H26"/>
  <sheetViews>
    <sheetView workbookViewId="0" showGridLines="0" zoomScale="100" zoomScaleNormal="100"/>
  </sheetViews>
  <sheetFormatPr defaultRowHeight="15" outlineLevelRow="0" outlineLevelCol="0" x14ac:dyDescent="0"/>
  <cols>
    <col min="1" max="1" width="6" customWidth="1"/>
    <col min="2" max="2" width="12" customWidth="1"/>
    <col min="3" max="3" width="28" customWidth="1"/>
    <col min="4" max="4" width="62" customWidth="1"/>
    <col min="5" max="5" width="18" customWidth="1"/>
  </cols>
  <sheetData>
    <row r="1" ht="28.15" customHeight="1" spans="1:5" x14ac:dyDescent="0.25">
      <c r="A1" s="78" t="s">
        <v>647</v>
      </c>
      <c r="B1" s="79"/>
      <c r="C1" s="79"/>
      <c r="D1" s="79"/>
      <c r="E1" s="79"/>
    </row>
    <row r="2" ht="19.9" customHeight="1" spans="1:8" x14ac:dyDescent="0.25">
      <c r="A2" s="80" t="s">
        <v>648</v>
      </c>
      <c r="B2" s="79"/>
      <c r="C2" s="79"/>
      <c r="D2" s="79"/>
      <c r="E2" s="79"/>
      <c r="H2">
        <v>31</v>
      </c>
    </row>
    <row r="3" ht="4.9" customHeight="1" spans="1:5" x14ac:dyDescent="0.25">
      <c r="A3" s="861"/>
      <c r="B3" s="862"/>
      <c r="C3" s="862"/>
      <c r="D3" s="862"/>
      <c r="E3" s="862"/>
    </row>
    <row r="4" spans="1:5" x14ac:dyDescent="0.25">
      <c r="A4" s="82" t="s">
        <v>649</v>
      </c>
      <c r="B4" s="82" t="s">
        <v>650</v>
      </c>
      <c r="C4" s="82" t="s">
        <v>651</v>
      </c>
      <c r="D4" s="82" t="s">
        <v>652</v>
      </c>
      <c r="E4" s="82" t="s">
        <v>653</v>
      </c>
    </row>
    <row r="5" ht="28.15" customHeight="1" spans="1:5" x14ac:dyDescent="0.25">
      <c r="A5" s="83">
        <v>1</v>
      </c>
      <c r="B5" s="869" t="s">
        <v>654</v>
      </c>
      <c r="C5" s="870" t="s">
        <v>655</v>
      </c>
      <c r="D5" s="871" t="s">
        <v>656</v>
      </c>
      <c r="E5" s="872" t="s">
        <v>657</v>
      </c>
    </row>
    <row r="6" ht="39" customHeight="1" spans="1:5" x14ac:dyDescent="0.25">
      <c r="A6" s="83">
        <v>2</v>
      </c>
      <c r="B6" s="869" t="s">
        <v>658</v>
      </c>
      <c r="C6" s="870" t="s">
        <v>659</v>
      </c>
      <c r="D6" s="871" t="s">
        <v>660</v>
      </c>
      <c r="E6" s="872" t="s">
        <v>657</v>
      </c>
    </row>
    <row r="7" ht="28.15" customHeight="1" spans="1:5" x14ac:dyDescent="0.25">
      <c r="A7" s="83">
        <v>3</v>
      </c>
      <c r="B7" s="869" t="s">
        <v>661</v>
      </c>
      <c r="C7" s="870" t="s">
        <v>662</v>
      </c>
      <c r="D7" s="871" t="s">
        <v>663</v>
      </c>
      <c r="E7" s="872" t="s">
        <v>657</v>
      </c>
    </row>
    <row r="8" ht="28.15" customHeight="1" spans="1:5" x14ac:dyDescent="0.25">
      <c r="A8" s="83">
        <v>4</v>
      </c>
      <c r="B8" s="869" t="s">
        <v>664</v>
      </c>
      <c r="C8" s="870" t="s">
        <v>665</v>
      </c>
      <c r="D8" s="871" t="s">
        <v>666</v>
      </c>
      <c r="E8" s="872" t="s">
        <v>657</v>
      </c>
    </row>
    <row r="9" ht="28.15" customHeight="1" spans="1:5" x14ac:dyDescent="0.25">
      <c r="A9" s="83">
        <v>5</v>
      </c>
      <c r="B9" s="869" t="s">
        <v>667</v>
      </c>
      <c r="C9" s="870" t="s">
        <v>668</v>
      </c>
      <c r="D9" s="871" t="s">
        <v>669</v>
      </c>
      <c r="E9" s="872" t="s">
        <v>657</v>
      </c>
    </row>
    <row r="10" ht="28.15" customHeight="1" spans="1:5" x14ac:dyDescent="0.25">
      <c r="A10" s="83">
        <v>6</v>
      </c>
      <c r="B10" s="869" t="s">
        <v>670</v>
      </c>
      <c r="C10" s="870" t="s">
        <v>671</v>
      </c>
      <c r="D10" s="871" t="s">
        <v>672</v>
      </c>
      <c r="E10" s="872" t="s">
        <v>657</v>
      </c>
    </row>
    <row r="11" ht="28.15" customHeight="1" spans="1:5" x14ac:dyDescent="0.25">
      <c r="A11" s="83">
        <v>7</v>
      </c>
      <c r="B11" s="869" t="s">
        <v>673</v>
      </c>
      <c r="C11" s="870" t="s">
        <v>674</v>
      </c>
      <c r="D11" s="871" t="s">
        <v>675</v>
      </c>
      <c r="E11" s="872" t="s">
        <v>657</v>
      </c>
    </row>
    <row r="12" ht="39" customHeight="1" spans="1:5" x14ac:dyDescent="0.25">
      <c r="A12" s="83">
        <v>8</v>
      </c>
      <c r="B12" s="869" t="s">
        <v>676</v>
      </c>
      <c r="C12" s="870" t="s">
        <v>677</v>
      </c>
      <c r="D12" s="871" t="s">
        <v>678</v>
      </c>
      <c r="E12" s="872" t="s">
        <v>657</v>
      </c>
    </row>
    <row r="13" ht="39" customHeight="1" spans="1:5" x14ac:dyDescent="0.25">
      <c r="A13" s="83">
        <v>9</v>
      </c>
      <c r="B13" s="869" t="s">
        <v>679</v>
      </c>
      <c r="C13" s="870" t="s">
        <v>680</v>
      </c>
      <c r="D13" s="871" t="s">
        <v>681</v>
      </c>
      <c r="E13" s="872" t="s">
        <v>657</v>
      </c>
    </row>
    <row r="14" ht="28.15" customHeight="1" spans="1:5" x14ac:dyDescent="0.25">
      <c r="A14" s="83">
        <v>10</v>
      </c>
      <c r="B14" s="869" t="s">
        <v>682</v>
      </c>
      <c r="C14" s="870" t="s">
        <v>683</v>
      </c>
      <c r="D14" s="871" t="s">
        <v>684</v>
      </c>
      <c r="E14" s="872" t="s">
        <v>657</v>
      </c>
    </row>
    <row r="15" ht="28.15" customHeight="1" spans="1:5" x14ac:dyDescent="0.25">
      <c r="A15" s="83">
        <v>11</v>
      </c>
      <c r="B15" s="869" t="s">
        <v>685</v>
      </c>
      <c r="C15" s="870" t="s">
        <v>686</v>
      </c>
      <c r="D15" s="871" t="s">
        <v>687</v>
      </c>
      <c r="E15" s="872" t="s">
        <v>657</v>
      </c>
    </row>
    <row r="16" ht="28.15" customHeight="1" spans="1:5" x14ac:dyDescent="0.25">
      <c r="A16" s="83">
        <v>12</v>
      </c>
      <c r="B16" s="869" t="s">
        <v>688</v>
      </c>
      <c r="C16" s="870" t="s">
        <v>689</v>
      </c>
      <c r="D16" s="871" t="s">
        <v>690</v>
      </c>
      <c r="E16" s="872" t="s">
        <v>657</v>
      </c>
    </row>
    <row r="17" ht="28.15" customHeight="1" spans="1:5" x14ac:dyDescent="0.25">
      <c r="A17" s="83">
        <v>13</v>
      </c>
      <c r="B17" s="869" t="s">
        <v>691</v>
      </c>
      <c r="C17" s="870" t="s">
        <v>692</v>
      </c>
      <c r="D17" s="871" t="s">
        <v>693</v>
      </c>
      <c r="E17" s="872" t="s">
        <v>657</v>
      </c>
    </row>
    <row r="18" ht="28.15" customHeight="1" spans="1:5" x14ac:dyDescent="0.25">
      <c r="A18" s="83">
        <v>14</v>
      </c>
      <c r="B18" s="869" t="s">
        <v>694</v>
      </c>
      <c r="C18" s="870" t="s">
        <v>695</v>
      </c>
      <c r="D18" s="871" t="s">
        <v>696</v>
      </c>
      <c r="E18" s="872" t="s">
        <v>657</v>
      </c>
    </row>
    <row r="19" ht="28.15" customHeight="1" spans="1:5" x14ac:dyDescent="0.25">
      <c r="A19" s="83">
        <v>15</v>
      </c>
      <c r="B19" s="869" t="s">
        <v>697</v>
      </c>
      <c r="C19" s="870" t="s">
        <v>698</v>
      </c>
      <c r="D19" s="871" t="s">
        <v>699</v>
      </c>
      <c r="E19" s="872" t="s">
        <v>657</v>
      </c>
    </row>
    <row r="20" ht="28.15" customHeight="1" spans="1:5" x14ac:dyDescent="0.25">
      <c r="A20" s="83">
        <v>16</v>
      </c>
      <c r="B20" s="869" t="s">
        <v>700</v>
      </c>
      <c r="C20" s="870" t="s">
        <v>701</v>
      </c>
      <c r="D20" s="871" t="s">
        <v>702</v>
      </c>
      <c r="E20" s="872" t="s">
        <v>657</v>
      </c>
    </row>
    <row r="21" ht="28.15" customHeight="1" spans="1:5" x14ac:dyDescent="0.25">
      <c r="A21" s="83">
        <v>17</v>
      </c>
      <c r="B21" s="869" t="s">
        <v>703</v>
      </c>
      <c r="C21" s="870" t="s">
        <v>704</v>
      </c>
      <c r="D21" s="871" t="s">
        <v>705</v>
      </c>
      <c r="E21" s="872" t="s">
        <v>657</v>
      </c>
    </row>
    <row r="22" ht="28.15" customHeight="1" spans="1:5" x14ac:dyDescent="0.25">
      <c r="A22" s="83">
        <v>18</v>
      </c>
      <c r="B22" s="869" t="s">
        <v>706</v>
      </c>
      <c r="C22" s="870" t="s">
        <v>707</v>
      </c>
      <c r="D22" s="871" t="s">
        <v>708</v>
      </c>
      <c r="E22" s="872" t="s">
        <v>657</v>
      </c>
    </row>
    <row r="23" ht="28.15" customHeight="1" spans="1:5" x14ac:dyDescent="0.25">
      <c r="A23" s="83">
        <v>19</v>
      </c>
      <c r="B23" s="869" t="s">
        <v>709</v>
      </c>
      <c r="C23" s="870" t="s">
        <v>710</v>
      </c>
      <c r="D23" s="871" t="s">
        <v>711</v>
      </c>
      <c r="E23" s="872" t="s">
        <v>657</v>
      </c>
    </row>
    <row r="24" ht="28.15" customHeight="1" spans="1:5" x14ac:dyDescent="0.25">
      <c r="A24" s="83">
        <v>20</v>
      </c>
      <c r="B24" s="869" t="s">
        <v>712</v>
      </c>
      <c r="C24" s="870" t="s">
        <v>713</v>
      </c>
      <c r="D24" s="871" t="s">
        <v>714</v>
      </c>
      <c r="E24" s="872" t="s">
        <v>657</v>
      </c>
    </row>
    <row r="26" ht="39" customHeight="1" spans="1:5" x14ac:dyDescent="0.25">
      <c r="A26" s="88" t="s">
        <v>715</v>
      </c>
      <c r="B26" s="89"/>
      <c r="C26" s="89"/>
      <c r="D26" s="89"/>
      <c r="E26" s="89"/>
    </row>
  </sheetData>
  <mergeCells count="4">
    <mergeCell ref="A1:E1"/>
    <mergeCell ref="A2:E2"/>
    <mergeCell ref="A3:E3"/>
    <mergeCell ref="A26:E26"/>
  </mergeCells>
  <printOptions horizontalCentered="1"/>
  <pageMargins left="0.35" right="0.35" top="0.55" bottom="0.55" header="0.2" footer="0.2"/>
  <pageSetup paperSize="9" orientation="landscape" horizontalDpi="4294967295" verticalDpi="4294967295" scale="100" fitToWidth="1" fitToHeight="0" firstPageNumber="1" useFirstPageNumber="1" copies="1"/>
  <headerFooter>
    <oddFooter>&amp;LCAFlow template&amp;RPage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H26"/>
  <sheetViews>
    <sheetView workbookViewId="0" showGridLines="0" zoomScale="100" zoomScaleNormal="100"/>
  </sheetViews>
  <sheetFormatPr defaultRowHeight="15" outlineLevelRow="0" outlineLevelCol="0" x14ac:dyDescent="0"/>
  <cols>
    <col min="1" max="1" width="3" customWidth="1"/>
    <col min="2" max="7" width="18" customWidth="1"/>
    <col min="8" max="8" width="3" customWidth="1"/>
  </cols>
  <sheetData>
    <row r="1" ht="28.15" customHeight="1" spans="1:8" x14ac:dyDescent="0.25">
      <c r="A1" s="78" t="s">
        <v>716</v>
      </c>
      <c r="B1" s="79"/>
      <c r="C1" s="79"/>
      <c r="D1" s="79"/>
      <c r="E1" s="79"/>
      <c r="F1" s="79"/>
      <c r="G1" s="79"/>
      <c r="H1" s="79"/>
    </row>
    <row r="2" ht="19.9" customHeight="1" spans="1:8" x14ac:dyDescent="0.25">
      <c r="A2" s="80" t="s">
        <v>717</v>
      </c>
      <c r="B2" s="79"/>
      <c r="C2" s="79"/>
      <c r="D2" s="79"/>
      <c r="E2" s="79"/>
      <c r="F2" s="79"/>
      <c r="G2" s="79"/>
      <c r="H2" s="79"/>
    </row>
    <row r="3" ht="4.9" customHeight="1" spans="1:8" x14ac:dyDescent="0.25">
      <c r="A3" s="861"/>
      <c r="B3" s="862"/>
      <c r="C3" s="862"/>
      <c r="D3" s="862"/>
      <c r="E3" s="862"/>
      <c r="F3" s="862"/>
      <c r="G3" s="862"/>
      <c r="H3" s="862"/>
    </row>
    <row r="4" ht="25.9" customHeight="1" spans="2:7" x14ac:dyDescent="0.25">
      <c r="B4" s="863" t="s">
        <v>630</v>
      </c>
      <c r="C4" s="864"/>
      <c r="D4" s="864"/>
      <c r="E4" s="864"/>
      <c r="F4" s="864"/>
      <c r="G4" s="864"/>
    </row>
    <row r="6" ht="22.15" customHeight="1" spans="2:7" x14ac:dyDescent="0.25">
      <c r="B6" s="865" t="s">
        <v>718</v>
      </c>
      <c r="C6" s="866"/>
      <c r="D6" s="866"/>
      <c r="E6" s="866"/>
      <c r="F6" s="866"/>
      <c r="G6" s="866"/>
    </row>
    <row r="7" ht="39" customHeight="1" spans="2:7" x14ac:dyDescent="0.25">
      <c r="B7" s="867" t="s">
        <v>719</v>
      </c>
      <c r="C7" s="868"/>
      <c r="D7" s="868"/>
      <c r="E7" s="868"/>
      <c r="F7" s="868"/>
      <c r="G7" s="868"/>
    </row>
    <row r="9" ht="22.15" customHeight="1" spans="2:7" x14ac:dyDescent="0.25">
      <c r="B9" s="865" t="s">
        <v>720</v>
      </c>
      <c r="C9" s="866"/>
      <c r="D9" s="866"/>
      <c r="E9" s="866"/>
      <c r="F9" s="866"/>
      <c r="G9" s="866"/>
    </row>
    <row r="10" ht="117" customHeight="1" spans="2:7" x14ac:dyDescent="0.25">
      <c r="B10" s="867" t="s">
        <v>721</v>
      </c>
      <c r="C10" s="868"/>
      <c r="D10" s="868"/>
      <c r="E10" s="868"/>
      <c r="F10" s="868"/>
      <c r="G10" s="868"/>
    </row>
    <row r="12" ht="22.15" customHeight="1" spans="2:7" x14ac:dyDescent="0.25">
      <c r="B12" s="865" t="s">
        <v>722</v>
      </c>
      <c r="C12" s="866"/>
      <c r="D12" s="866"/>
      <c r="E12" s="866"/>
      <c r="F12" s="866"/>
      <c r="G12" s="866"/>
    </row>
    <row r="13" ht="91.15" customHeight="1" spans="2:7" x14ac:dyDescent="0.25">
      <c r="B13" s="867" t="s">
        <v>723</v>
      </c>
      <c r="C13" s="868"/>
      <c r="D13" s="868"/>
      <c r="E13" s="868"/>
      <c r="F13" s="868"/>
      <c r="G13" s="868"/>
    </row>
    <row r="15" ht="22.15" customHeight="1" spans="2:7" x14ac:dyDescent="0.25">
      <c r="B15" s="865" t="s">
        <v>724</v>
      </c>
      <c r="C15" s="866"/>
      <c r="D15" s="866"/>
      <c r="E15" s="866"/>
      <c r="F15" s="866"/>
      <c r="G15" s="866"/>
    </row>
    <row r="16" ht="103.9" customHeight="1" spans="2:7" x14ac:dyDescent="0.25">
      <c r="B16" s="867" t="s">
        <v>725</v>
      </c>
      <c r="C16" s="868"/>
      <c r="D16" s="868"/>
      <c r="E16" s="868"/>
      <c r="F16" s="868"/>
      <c r="G16" s="868"/>
    </row>
    <row r="18" ht="22.15" customHeight="1" spans="2:7" x14ac:dyDescent="0.25">
      <c r="B18" s="865" t="s">
        <v>726</v>
      </c>
      <c r="C18" s="866"/>
      <c r="D18" s="866"/>
      <c r="E18" s="866"/>
      <c r="F18" s="866"/>
      <c r="G18" s="866"/>
    </row>
    <row r="19" ht="78" customHeight="1" spans="2:7" x14ac:dyDescent="0.25">
      <c r="B19" s="867" t="s">
        <v>727</v>
      </c>
      <c r="C19" s="868"/>
      <c r="D19" s="868"/>
      <c r="E19" s="868"/>
      <c r="F19" s="868"/>
      <c r="G19" s="868"/>
    </row>
    <row r="21" ht="22.15" customHeight="1" spans="2:7" x14ac:dyDescent="0.25">
      <c r="B21" s="865" t="s">
        <v>631</v>
      </c>
      <c r="C21" s="866"/>
      <c r="D21" s="866"/>
      <c r="E21" s="866"/>
      <c r="F21" s="866"/>
      <c r="G21" s="866"/>
    </row>
    <row r="22" ht="78" customHeight="1" spans="2:7" x14ac:dyDescent="0.25">
      <c r="B22" s="867" t="s">
        <v>728</v>
      </c>
      <c r="C22" s="868"/>
      <c r="D22" s="868"/>
      <c r="E22" s="868"/>
      <c r="F22" s="868"/>
      <c r="G22" s="868"/>
    </row>
    <row r="24" ht="109.9" customHeight="1" spans="2:7" x14ac:dyDescent="0.25">
      <c r="B24" s="86" t="s">
        <v>645</v>
      </c>
      <c r="C24" s="864"/>
      <c r="D24" s="864"/>
      <c r="E24" s="864"/>
      <c r="F24" s="864"/>
      <c r="G24" s="864"/>
    </row>
    <row r="26" ht="15" customHeight="1" spans="2:7" x14ac:dyDescent="0.25">
      <c r="B26" s="88" t="s">
        <v>729</v>
      </c>
      <c r="C26" s="89"/>
      <c r="D26" s="89"/>
      <c r="E26" s="89"/>
      <c r="F26" s="89"/>
      <c r="G26" s="89"/>
    </row>
  </sheetData>
  <mergeCells count="18">
    <mergeCell ref="A1:H1"/>
    <mergeCell ref="A2:H2"/>
    <mergeCell ref="A3:H3"/>
    <mergeCell ref="B4:G4"/>
    <mergeCell ref="B6:G6"/>
    <mergeCell ref="B7:G7"/>
    <mergeCell ref="B9:G9"/>
    <mergeCell ref="B10:G10"/>
    <mergeCell ref="B12:G12"/>
    <mergeCell ref="B13:G13"/>
    <mergeCell ref="B15:G15"/>
    <mergeCell ref="B16:G16"/>
    <mergeCell ref="B18:G18"/>
    <mergeCell ref="B19:G19"/>
    <mergeCell ref="B21:G21"/>
    <mergeCell ref="B22:G22"/>
    <mergeCell ref="B24:G24"/>
    <mergeCell ref="B26:G26"/>
  </mergeCells>
  <printOptions horizontalCentered="1"/>
  <pageMargins left="0.35" right="0.35" top="0.55" bottom="0.55" header="0.2" footer="0.2"/>
  <pageSetup paperSize="9" orientation="portrait" horizontalDpi="4294967295" verticalDpi="4294967295" scale="100" fitToWidth="1" fitToHeight="0" firstPageNumber="1" useFirstPageNumber="1" copies="1"/>
  <headerFooter>
    <oddFooter>&amp;LCAFlow template&amp;RPage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7A8C"/>
    <pageSetUpPr fitToPage="1"/>
  </sheetPr>
  <dimension ref="A1:H14"/>
  <sheetViews>
    <sheetView workbookViewId="0" showGridLines="0" zoomScale="100" zoomScaleNormal="100"/>
  </sheetViews>
  <sheetFormatPr defaultRowHeight="15" outlineLevelRow="0" outlineLevelCol="0" x14ac:dyDescent="0"/>
  <cols>
    <col min="1" max="1" width="3" customWidth="1"/>
    <col min="2" max="7" width="18" customWidth="1"/>
    <col min="8" max="8" width="3" customWidth="1"/>
  </cols>
  <sheetData>
    <row r="1" ht="28.15" customHeight="1" spans="1:8" x14ac:dyDescent="0.25">
      <c r="A1" s="78" t="s">
        <v>730</v>
      </c>
      <c r="B1" s="79"/>
      <c r="C1" s="79"/>
      <c r="D1" s="79"/>
      <c r="E1" s="79"/>
      <c r="F1" s="79"/>
      <c r="G1" s="79"/>
      <c r="H1" s="79"/>
    </row>
    <row r="2" ht="19.9" customHeight="1" spans="1:8" x14ac:dyDescent="0.25">
      <c r="A2" s="80" t="s">
        <v>731</v>
      </c>
      <c r="B2" s="79"/>
      <c r="C2" s="79"/>
      <c r="D2" s="79"/>
      <c r="E2" s="79"/>
      <c r="F2" s="79"/>
      <c r="G2" s="79"/>
      <c r="H2" s="79"/>
    </row>
    <row r="3" ht="4.9" customHeight="1" spans="1:8" x14ac:dyDescent="0.25">
      <c r="A3" s="861"/>
      <c r="B3" s="862"/>
      <c r="C3" s="862"/>
      <c r="D3" s="862"/>
      <c r="E3" s="862"/>
      <c r="F3" s="862"/>
      <c r="G3" s="862"/>
      <c r="H3" s="862"/>
    </row>
    <row r="4" ht="24" customHeight="1" spans="2:7" x14ac:dyDescent="0.25">
      <c r="B4" s="863" t="s">
        <v>732</v>
      </c>
      <c r="C4" s="864"/>
      <c r="D4" s="864"/>
      <c r="E4" s="864"/>
      <c r="F4" s="864"/>
      <c r="G4" s="864"/>
    </row>
    <row r="6" ht="64.9" customHeight="1" spans="2:7" x14ac:dyDescent="0.25">
      <c r="B6" s="867" t="s">
        <v>733</v>
      </c>
      <c r="C6" s="868"/>
      <c r="D6" s="868"/>
      <c r="E6" s="868"/>
      <c r="F6" s="868"/>
      <c r="G6" s="868"/>
    </row>
    <row r="8" ht="42" customHeight="1" spans="2:7" x14ac:dyDescent="0.25">
      <c r="B8" s="867" t="s">
        <v>734</v>
      </c>
      <c r="C8" s="868"/>
      <c r="D8" s="868"/>
      <c r="E8" s="868"/>
      <c r="F8" s="868"/>
      <c r="G8" s="868"/>
    </row>
    <row r="10" ht="52.15" customHeight="1" spans="2:7" x14ac:dyDescent="0.25">
      <c r="B10" s="867" t="s">
        <v>735</v>
      </c>
      <c r="C10" s="868"/>
      <c r="D10" s="868"/>
      <c r="E10" s="868"/>
      <c r="F10" s="868"/>
      <c r="G10" s="868"/>
    </row>
    <row r="12" ht="79.9" customHeight="1" spans="2:7" x14ac:dyDescent="0.25">
      <c r="B12" s="86" t="s">
        <v>736</v>
      </c>
      <c r="C12" s="864"/>
      <c r="D12" s="864"/>
      <c r="E12" s="864"/>
      <c r="F12" s="864"/>
      <c r="G12" s="864"/>
    </row>
    <row r="14" ht="39" customHeight="1" spans="2:7" x14ac:dyDescent="0.25">
      <c r="B14" s="88" t="s">
        <v>737</v>
      </c>
      <c r="C14" s="89"/>
      <c r="D14" s="89"/>
      <c r="E14" s="89"/>
      <c r="F14" s="89"/>
      <c r="G14" s="89"/>
    </row>
  </sheetData>
  <mergeCells count="9">
    <mergeCell ref="A1:H1"/>
    <mergeCell ref="A2:H2"/>
    <mergeCell ref="A3:H3"/>
    <mergeCell ref="B4:G4"/>
    <mergeCell ref="B6:G6"/>
    <mergeCell ref="B8:G8"/>
    <mergeCell ref="B10:G10"/>
    <mergeCell ref="B12:G12"/>
    <mergeCell ref="B14:G14"/>
  </mergeCells>
  <printOptions horizontalCentered="1"/>
  <pageMargins left="0.35" right="0.35" top="0.55" bottom="0.55" header="0.2" footer="0.2"/>
  <pageSetup paperSize="9" orientation="portrait" horizontalDpi="4294967295" verticalDpi="4294967295" scale="100" fitToWidth="1" fitToHeight="0" firstPageNumber="1" useFirstPageNumber="1" copies="1"/>
  <headerFooter>
    <oddFooter>&amp;LCAFlow template&amp;RPage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7A8C"/>
    <pageSetUpPr fitToPage="1"/>
  </sheetPr>
  <dimension ref="A1:D15"/>
  <sheetViews>
    <sheetView workbookViewId="0" showGridLines="0" zoomScale="100" zoomScaleNormal="100"/>
  </sheetViews>
  <sheetFormatPr defaultRowHeight="15" outlineLevelRow="0" outlineLevelCol="0" x14ac:dyDescent="0"/>
  <cols>
    <col min="1" max="1" width="8" customWidth="1"/>
    <col min="2" max="2" width="64" customWidth="1"/>
    <col min="3" max="3" width="42" customWidth="1"/>
    <col min="4" max="4" width="18" customWidth="1"/>
  </cols>
  <sheetData>
    <row r="1" ht="28.15" customHeight="1" spans="1:4" x14ac:dyDescent="0.25">
      <c r="A1" s="78" t="s">
        <v>738</v>
      </c>
      <c r="B1" s="79"/>
      <c r="C1" s="79"/>
      <c r="D1" s="79"/>
    </row>
    <row r="2" ht="19.9" customHeight="1" spans="1:4" x14ac:dyDescent="0.25">
      <c r="A2" s="80" t="s">
        <v>739</v>
      </c>
      <c r="B2" s="79"/>
      <c r="C2" s="79"/>
      <c r="D2" s="79"/>
    </row>
    <row r="3" ht="4.9" customHeight="1" spans="1:4" x14ac:dyDescent="0.25">
      <c r="A3" s="861"/>
      <c r="B3" s="862"/>
      <c r="C3" s="862"/>
      <c r="D3" s="862"/>
    </row>
    <row r="4" ht="22.15" customHeight="1" spans="1:4" x14ac:dyDescent="0.25">
      <c r="A4" s="82" t="s">
        <v>649</v>
      </c>
      <c r="B4" s="82" t="s">
        <v>135</v>
      </c>
      <c r="C4" s="82" t="s">
        <v>740</v>
      </c>
      <c r="D4" s="82" t="s">
        <v>741</v>
      </c>
    </row>
    <row r="5" ht="22.15" customHeight="1" spans="1:4" x14ac:dyDescent="0.25">
      <c r="A5" s="869" t="s">
        <v>742</v>
      </c>
      <c r="B5" s="86" t="s">
        <v>743</v>
      </c>
      <c r="C5" s="871" t="s">
        <v>744</v>
      </c>
      <c r="D5" s="872"/>
    </row>
    <row r="6" ht="22.15" customHeight="1" spans="1:4" x14ac:dyDescent="0.25">
      <c r="A6" s="869" t="s">
        <v>745</v>
      </c>
      <c r="B6" s="86" t="s">
        <v>746</v>
      </c>
      <c r="C6" s="871" t="s">
        <v>744</v>
      </c>
      <c r="D6" s="872"/>
    </row>
    <row r="7" ht="22.15" customHeight="1" spans="1:4" x14ac:dyDescent="0.25">
      <c r="A7" s="869" t="s">
        <v>747</v>
      </c>
      <c r="B7" s="86" t="s">
        <v>748</v>
      </c>
      <c r="C7" s="871" t="s">
        <v>744</v>
      </c>
      <c r="D7" s="872"/>
    </row>
    <row r="8" ht="25.9" customHeight="1" spans="1:4" x14ac:dyDescent="0.25">
      <c r="A8" s="869" t="s">
        <v>749</v>
      </c>
      <c r="B8" s="86" t="s">
        <v>750</v>
      </c>
      <c r="C8" s="871" t="s">
        <v>744</v>
      </c>
      <c r="D8" s="872"/>
    </row>
    <row r="9" ht="22.15" customHeight="1" spans="1:4" x14ac:dyDescent="0.25">
      <c r="A9" s="869" t="s">
        <v>751</v>
      </c>
      <c r="B9" s="86" t="s">
        <v>752</v>
      </c>
      <c r="C9" s="871" t="s">
        <v>744</v>
      </c>
      <c r="D9" s="872"/>
    </row>
    <row r="10" ht="22.15" customHeight="1" spans="1:4" x14ac:dyDescent="0.25">
      <c r="A10" s="869" t="s">
        <v>753</v>
      </c>
      <c r="B10" s="86" t="s">
        <v>754</v>
      </c>
      <c r="C10" s="871" t="s">
        <v>744</v>
      </c>
      <c r="D10" s="872"/>
    </row>
    <row r="11" ht="22.15" customHeight="1" spans="1:4" x14ac:dyDescent="0.25">
      <c r="A11" s="869" t="s">
        <v>755</v>
      </c>
      <c r="B11" s="86" t="s">
        <v>33</v>
      </c>
      <c r="C11" s="871" t="s">
        <v>744</v>
      </c>
      <c r="D11" s="872"/>
    </row>
    <row r="12" ht="22.15" customHeight="1" spans="1:4" x14ac:dyDescent="0.25">
      <c r="A12" s="869" t="s">
        <v>756</v>
      </c>
      <c r="B12" s="86" t="s">
        <v>757</v>
      </c>
      <c r="C12" s="871" t="s">
        <v>744</v>
      </c>
      <c r="D12" s="872"/>
    </row>
    <row r="13" ht="25.9" customHeight="1" spans="1:4" x14ac:dyDescent="0.25">
      <c r="A13" s="869" t="s">
        <v>758</v>
      </c>
      <c r="B13" s="86" t="s">
        <v>759</v>
      </c>
      <c r="C13" s="871" t="s">
        <v>744</v>
      </c>
      <c r="D13" s="872"/>
    </row>
    <row r="15" ht="25.9" customHeight="1" spans="1:4" x14ac:dyDescent="0.25">
      <c r="A15" s="88" t="s">
        <v>760</v>
      </c>
      <c r="B15" s="89"/>
      <c r="C15" s="89"/>
      <c r="D15" s="89"/>
    </row>
  </sheetData>
  <mergeCells count="4">
    <mergeCell ref="A1:D1"/>
    <mergeCell ref="A2:D2"/>
    <mergeCell ref="A3:D3"/>
    <mergeCell ref="A15:D15"/>
  </mergeCells>
  <printOptions horizontalCentered="1"/>
  <pageMargins left="0.35" right="0.35" top="0.55" bottom="0.55" header="0.2" footer="0.2"/>
  <pageSetup paperSize="9" orientation="landscape" horizontalDpi="4294967295" verticalDpi="4294967295" scale="100" fitToWidth="1" fitToHeight="0" firstPageNumber="1" useFirstPageNumber="1" copies="1"/>
  <headerFooter>
    <oddFooter>&amp;LCAFlow template&amp;RPage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7A8C"/>
    <pageSetUpPr fitToPage="1"/>
  </sheetPr>
  <dimension ref="A1:D29"/>
  <sheetViews>
    <sheetView workbookViewId="0" showGridLines="0" zoomScale="100" zoomScaleNormal="100"/>
  </sheetViews>
  <sheetFormatPr defaultRowHeight="15" outlineLevelRow="0" outlineLevelCol="0" x14ac:dyDescent="0"/>
  <cols>
    <col min="1" max="1" width="8" customWidth="1"/>
    <col min="2" max="2" width="68" customWidth="1"/>
    <col min="3" max="3" width="40" customWidth="1"/>
    <col min="4" max="4" width="24" customWidth="1"/>
  </cols>
  <sheetData>
    <row r="1" ht="28.15" customHeight="1" spans="1:4" x14ac:dyDescent="0.25">
      <c r="A1" s="78" t="s">
        <v>761</v>
      </c>
      <c r="B1" s="79"/>
      <c r="C1" s="79"/>
      <c r="D1" s="79"/>
    </row>
    <row r="2" ht="19.9" customHeight="1" spans="1:4" x14ac:dyDescent="0.25">
      <c r="A2" s="80" t="s">
        <v>762</v>
      </c>
      <c r="B2" s="79"/>
      <c r="C2" s="79"/>
      <c r="D2" s="79"/>
    </row>
    <row r="3" ht="4.9" customHeight="1" spans="1:4" x14ac:dyDescent="0.25">
      <c r="A3" s="861"/>
      <c r="B3" s="862"/>
      <c r="C3" s="862"/>
      <c r="D3" s="862"/>
    </row>
    <row r="4" ht="22.15" customHeight="1" spans="1:4" x14ac:dyDescent="0.25">
      <c r="A4" s="82" t="s">
        <v>649</v>
      </c>
      <c r="B4" s="82" t="s">
        <v>763</v>
      </c>
      <c r="C4" s="82" t="s">
        <v>764</v>
      </c>
      <c r="D4" s="82" t="s">
        <v>765</v>
      </c>
    </row>
    <row r="5" ht="25.9" customHeight="1" spans="1:4" x14ac:dyDescent="0.25">
      <c r="A5" s="869" t="s">
        <v>766</v>
      </c>
      <c r="B5" s="86" t="s">
        <v>767</v>
      </c>
      <c r="C5" s="871" t="s">
        <v>768</v>
      </c>
      <c r="D5" s="873" t="s">
        <v>769</v>
      </c>
    </row>
    <row r="6" ht="25.9" customHeight="1" spans="1:4" x14ac:dyDescent="0.25">
      <c r="A6" s="869" t="s">
        <v>770</v>
      </c>
      <c r="B6" s="86" t="s">
        <v>771</v>
      </c>
      <c r="C6" s="871" t="s">
        <v>768</v>
      </c>
      <c r="D6" s="873" t="s">
        <v>769</v>
      </c>
    </row>
    <row r="7" ht="24" customHeight="1" spans="1:4" x14ac:dyDescent="0.25">
      <c r="A7" s="869" t="s">
        <v>772</v>
      </c>
      <c r="B7" s="86" t="s">
        <v>773</v>
      </c>
      <c r="C7" s="871" t="s">
        <v>768</v>
      </c>
      <c r="D7" s="872"/>
    </row>
    <row r="8" ht="24" customHeight="1" spans="1:4" x14ac:dyDescent="0.25">
      <c r="A8" s="869" t="s">
        <v>774</v>
      </c>
      <c r="B8" s="86" t="s">
        <v>775</v>
      </c>
      <c r="C8" s="871" t="s">
        <v>768</v>
      </c>
      <c r="D8" s="872"/>
    </row>
    <row r="9" ht="25.9" customHeight="1" spans="1:4" x14ac:dyDescent="0.25">
      <c r="A9" s="869" t="s">
        <v>776</v>
      </c>
      <c r="B9" s="86" t="s">
        <v>777</v>
      </c>
      <c r="C9" s="871" t="s">
        <v>768</v>
      </c>
      <c r="D9" s="872"/>
    </row>
    <row r="10" ht="25.9" customHeight="1" spans="1:4" x14ac:dyDescent="0.25">
      <c r="A10" s="869" t="s">
        <v>778</v>
      </c>
      <c r="B10" s="86" t="s">
        <v>779</v>
      </c>
      <c r="C10" s="871" t="s">
        <v>768</v>
      </c>
      <c r="D10" s="872"/>
    </row>
    <row r="11" ht="24" customHeight="1" spans="1:4" x14ac:dyDescent="0.25">
      <c r="A11" s="869" t="s">
        <v>780</v>
      </c>
      <c r="B11" s="86" t="s">
        <v>781</v>
      </c>
      <c r="C11" s="871" t="s">
        <v>768</v>
      </c>
      <c r="D11" s="872"/>
    </row>
    <row r="12" ht="39" customHeight="1" spans="1:4" x14ac:dyDescent="0.25">
      <c r="A12" s="869" t="s">
        <v>782</v>
      </c>
      <c r="B12" s="86" t="s">
        <v>783</v>
      </c>
      <c r="C12" s="871" t="s">
        <v>768</v>
      </c>
      <c r="D12" s="872"/>
    </row>
    <row r="13" ht="24" customHeight="1" spans="1:4" x14ac:dyDescent="0.25">
      <c r="A13" s="869" t="s">
        <v>784</v>
      </c>
      <c r="B13" s="86" t="s">
        <v>785</v>
      </c>
      <c r="C13" s="871" t="s">
        <v>768</v>
      </c>
      <c r="D13" s="872"/>
    </row>
    <row r="14" ht="25.9" customHeight="1" spans="1:4" x14ac:dyDescent="0.25">
      <c r="A14" s="869" t="s">
        <v>786</v>
      </c>
      <c r="B14" s="86" t="s">
        <v>787</v>
      </c>
      <c r="C14" s="871" t="s">
        <v>768</v>
      </c>
      <c r="D14" s="872"/>
    </row>
    <row r="15" ht="24" customHeight="1" spans="1:4" x14ac:dyDescent="0.25">
      <c r="A15" s="869" t="s">
        <v>788</v>
      </c>
      <c r="B15" s="86" t="s">
        <v>789</v>
      </c>
      <c r="C15" s="871" t="s">
        <v>768</v>
      </c>
      <c r="D15" s="872"/>
    </row>
    <row r="16" ht="25.9" customHeight="1" spans="1:4" x14ac:dyDescent="0.25">
      <c r="A16" s="869" t="s">
        <v>790</v>
      </c>
      <c r="B16" s="86" t="s">
        <v>791</v>
      </c>
      <c r="C16" s="871" t="s">
        <v>768</v>
      </c>
      <c r="D16" s="872"/>
    </row>
    <row r="17" ht="24" customHeight="1" spans="1:4" x14ac:dyDescent="0.25">
      <c r="A17" s="869" t="s">
        <v>792</v>
      </c>
      <c r="B17" s="86" t="s">
        <v>793</v>
      </c>
      <c r="C17" s="871" t="s">
        <v>768</v>
      </c>
      <c r="D17" s="872"/>
    </row>
    <row r="18" ht="24" customHeight="1" spans="1:4" x14ac:dyDescent="0.25">
      <c r="A18" s="869" t="s">
        <v>794</v>
      </c>
      <c r="B18" s="86" t="s">
        <v>795</v>
      </c>
      <c r="C18" s="871" t="s">
        <v>768</v>
      </c>
      <c r="D18" s="872"/>
    </row>
    <row r="19" ht="24" customHeight="1" spans="1:4" x14ac:dyDescent="0.25">
      <c r="A19" s="869" t="s">
        <v>796</v>
      </c>
      <c r="B19" s="86" t="s">
        <v>797</v>
      </c>
      <c r="C19" s="871" t="s">
        <v>768</v>
      </c>
      <c r="D19" s="872"/>
    </row>
    <row r="20" ht="24" customHeight="1" spans="1:4" x14ac:dyDescent="0.25">
      <c r="A20" s="869" t="s">
        <v>798</v>
      </c>
      <c r="B20" s="86" t="s">
        <v>799</v>
      </c>
      <c r="C20" s="871" t="s">
        <v>768</v>
      </c>
      <c r="D20" s="872"/>
    </row>
    <row r="21" ht="24" customHeight="1" spans="1:4" x14ac:dyDescent="0.25">
      <c r="A21" s="869" t="s">
        <v>800</v>
      </c>
      <c r="B21" s="86" t="s">
        <v>801</v>
      </c>
      <c r="C21" s="871" t="s">
        <v>768</v>
      </c>
      <c r="D21" s="872"/>
    </row>
    <row r="22" ht="25.9" customHeight="1" spans="1:4" x14ac:dyDescent="0.25">
      <c r="A22" s="869" t="s">
        <v>802</v>
      </c>
      <c r="B22" s="86" t="s">
        <v>803</v>
      </c>
      <c r="C22" s="871" t="s">
        <v>768</v>
      </c>
      <c r="D22" s="872"/>
    </row>
    <row r="23" ht="25.9" customHeight="1" spans="1:4" x14ac:dyDescent="0.25">
      <c r="A23" s="869" t="s">
        <v>804</v>
      </c>
      <c r="B23" s="86" t="s">
        <v>805</v>
      </c>
      <c r="C23" s="871" t="s">
        <v>768</v>
      </c>
      <c r="D23" s="872"/>
    </row>
    <row r="24" ht="24" customHeight="1" spans="1:4" x14ac:dyDescent="0.25">
      <c r="A24" s="869" t="s">
        <v>806</v>
      </c>
      <c r="B24" s="86" t="s">
        <v>807</v>
      </c>
      <c r="C24" s="871" t="s">
        <v>768</v>
      </c>
      <c r="D24" s="873" t="s">
        <v>808</v>
      </c>
    </row>
    <row r="25" ht="24" customHeight="1" spans="1:4" x14ac:dyDescent="0.25">
      <c r="A25" s="869" t="s">
        <v>809</v>
      </c>
      <c r="B25" s="86" t="s">
        <v>810</v>
      </c>
      <c r="C25" s="871" t="s">
        <v>768</v>
      </c>
      <c r="D25" s="873" t="s">
        <v>811</v>
      </c>
    </row>
    <row r="26" ht="25.9" customHeight="1" spans="1:4" x14ac:dyDescent="0.25">
      <c r="A26" s="869" t="s">
        <v>812</v>
      </c>
      <c r="B26" s="86" t="s">
        <v>813</v>
      </c>
      <c r="C26" s="871" t="s">
        <v>768</v>
      </c>
      <c r="D26" s="872"/>
    </row>
    <row r="27" ht="24" customHeight="1" spans="1:4" x14ac:dyDescent="0.25">
      <c r="A27" s="869" t="s">
        <v>814</v>
      </c>
      <c r="B27" s="86" t="s">
        <v>815</v>
      </c>
      <c r="C27" s="871" t="s">
        <v>768</v>
      </c>
      <c r="D27" s="873" t="s">
        <v>816</v>
      </c>
    </row>
    <row r="29" ht="25.9" customHeight="1" spans="1:4" x14ac:dyDescent="0.25">
      <c r="A29" s="88" t="s">
        <v>817</v>
      </c>
      <c r="B29" s="89"/>
      <c r="C29" s="89"/>
      <c r="D29" s="89"/>
    </row>
  </sheetData>
  <mergeCells count="4">
    <mergeCell ref="A1:D1"/>
    <mergeCell ref="A2:D2"/>
    <mergeCell ref="A3:D3"/>
    <mergeCell ref="A29:D29"/>
  </mergeCells>
  <printOptions horizontalCentered="1"/>
  <pageMargins left="0.35" right="0.35" top="0.55" bottom="0.55" header="0.2" footer="0.2"/>
  <pageSetup paperSize="9" orientation="landscape" horizontalDpi="4294967295" verticalDpi="4294967295" scale="100" fitToWidth="1" fitToHeight="0" firstPageNumber="1" useFirstPageNumber="1" copies="1"/>
  <headerFooter>
    <oddFooter>&amp;LCAFlow template&amp;RPage &amp;P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7A8C"/>
    <pageSetUpPr fitToPage="1"/>
  </sheetPr>
  <dimension ref="A1:D28"/>
  <sheetViews>
    <sheetView workbookViewId="0" showGridLines="0" zoomScale="100" zoomScaleNormal="100"/>
  </sheetViews>
  <sheetFormatPr defaultRowHeight="15" outlineLevelRow="0" outlineLevelCol="0" x14ac:dyDescent="0"/>
  <cols>
    <col min="1" max="1" width="8" customWidth="1"/>
    <col min="2" max="2" width="68" customWidth="1"/>
    <col min="3" max="3" width="40" customWidth="1"/>
    <col min="4" max="4" width="24" customWidth="1"/>
  </cols>
  <sheetData>
    <row r="1" ht="28.15" customHeight="1" spans="1:4" x14ac:dyDescent="0.25">
      <c r="A1" s="78" t="s">
        <v>818</v>
      </c>
      <c r="B1" s="79"/>
      <c r="C1" s="79"/>
      <c r="D1" s="79"/>
    </row>
    <row r="2" ht="19.9" customHeight="1" spans="1:4" x14ac:dyDescent="0.25">
      <c r="A2" s="80" t="s">
        <v>762</v>
      </c>
      <c r="B2" s="79"/>
      <c r="C2" s="79"/>
      <c r="D2" s="79"/>
    </row>
    <row r="3" ht="4.9" customHeight="1" spans="1:4" x14ac:dyDescent="0.25">
      <c r="A3" s="861"/>
      <c r="B3" s="862"/>
      <c r="C3" s="862"/>
      <c r="D3" s="862"/>
    </row>
    <row r="4" ht="22.15" customHeight="1" spans="1:4" x14ac:dyDescent="0.25">
      <c r="A4" s="82" t="s">
        <v>649</v>
      </c>
      <c r="B4" s="82" t="s">
        <v>763</v>
      </c>
      <c r="C4" s="82" t="s">
        <v>764</v>
      </c>
      <c r="D4" s="82" t="s">
        <v>765</v>
      </c>
    </row>
    <row r="5" ht="39" customHeight="1" spans="1:4" x14ac:dyDescent="0.25">
      <c r="A5" s="869" t="s">
        <v>819</v>
      </c>
      <c r="B5" s="86" t="s">
        <v>820</v>
      </c>
      <c r="C5" s="871" t="s">
        <v>768</v>
      </c>
      <c r="D5" s="873" t="s">
        <v>816</v>
      </c>
    </row>
    <row r="6" ht="24" customHeight="1" spans="1:4" x14ac:dyDescent="0.25">
      <c r="A6" s="869" t="s">
        <v>821</v>
      </c>
      <c r="B6" s="86" t="s">
        <v>822</v>
      </c>
      <c r="C6" s="871" t="s">
        <v>768</v>
      </c>
      <c r="D6" s="873" t="s">
        <v>816</v>
      </c>
    </row>
    <row r="7" ht="24" customHeight="1" spans="1:4" x14ac:dyDescent="0.25">
      <c r="A7" s="869" t="s">
        <v>823</v>
      </c>
      <c r="B7" s="86" t="s">
        <v>824</v>
      </c>
      <c r="C7" s="871" t="s">
        <v>768</v>
      </c>
      <c r="D7" s="873" t="s">
        <v>816</v>
      </c>
    </row>
    <row r="8" ht="24" customHeight="1" spans="1:4" x14ac:dyDescent="0.25">
      <c r="A8" s="869" t="s">
        <v>825</v>
      </c>
      <c r="B8" s="86" t="s">
        <v>826</v>
      </c>
      <c r="C8" s="871" t="s">
        <v>768</v>
      </c>
      <c r="D8" s="873" t="s">
        <v>816</v>
      </c>
    </row>
    <row r="9" ht="24" customHeight="1" spans="1:4" x14ac:dyDescent="0.25">
      <c r="A9" s="869" t="s">
        <v>827</v>
      </c>
      <c r="B9" s="86" t="s">
        <v>828</v>
      </c>
      <c r="C9" s="871" t="s">
        <v>768</v>
      </c>
      <c r="D9" s="873" t="s">
        <v>816</v>
      </c>
    </row>
    <row r="10" ht="24" customHeight="1" spans="1:4" x14ac:dyDescent="0.25">
      <c r="A10" s="869" t="s">
        <v>829</v>
      </c>
      <c r="B10" s="86" t="s">
        <v>830</v>
      </c>
      <c r="C10" s="871" t="s">
        <v>768</v>
      </c>
      <c r="D10" s="873" t="s">
        <v>816</v>
      </c>
    </row>
    <row r="11" ht="24" customHeight="1" spans="1:4" x14ac:dyDescent="0.25">
      <c r="A11" s="869" t="s">
        <v>831</v>
      </c>
      <c r="B11" s="86" t="s">
        <v>832</v>
      </c>
      <c r="C11" s="871" t="s">
        <v>768</v>
      </c>
      <c r="D11" s="872"/>
    </row>
    <row r="12" ht="24" customHeight="1" spans="1:4" x14ac:dyDescent="0.25">
      <c r="A12" s="869" t="s">
        <v>833</v>
      </c>
      <c r="B12" s="86" t="s">
        <v>834</v>
      </c>
      <c r="C12" s="871" t="s">
        <v>768</v>
      </c>
      <c r="D12" s="872"/>
    </row>
    <row r="13" ht="24" customHeight="1" spans="1:4" x14ac:dyDescent="0.25">
      <c r="A13" s="869" t="s">
        <v>835</v>
      </c>
      <c r="B13" s="86" t="s">
        <v>836</v>
      </c>
      <c r="C13" s="871" t="s">
        <v>768</v>
      </c>
      <c r="D13" s="872"/>
    </row>
    <row r="14" ht="25.9" customHeight="1" spans="1:4" x14ac:dyDescent="0.25">
      <c r="A14" s="869" t="s">
        <v>837</v>
      </c>
      <c r="B14" s="86" t="s">
        <v>838</v>
      </c>
      <c r="C14" s="871" t="s">
        <v>768</v>
      </c>
      <c r="D14" s="873" t="s">
        <v>839</v>
      </c>
    </row>
    <row r="15" ht="24" customHeight="1" spans="1:4" x14ac:dyDescent="0.25">
      <c r="A15" s="869" t="s">
        <v>840</v>
      </c>
      <c r="B15" s="86" t="s">
        <v>841</v>
      </c>
      <c r="C15" s="871" t="s">
        <v>768</v>
      </c>
      <c r="D15" s="873" t="s">
        <v>839</v>
      </c>
    </row>
    <row r="16" ht="25.9" customHeight="1" spans="1:4" x14ac:dyDescent="0.25">
      <c r="A16" s="869" t="s">
        <v>842</v>
      </c>
      <c r="B16" s="86" t="s">
        <v>843</v>
      </c>
      <c r="C16" s="871" t="s">
        <v>768</v>
      </c>
      <c r="D16" s="872"/>
    </row>
    <row r="17" ht="24" customHeight="1" spans="1:4" x14ac:dyDescent="0.25">
      <c r="A17" s="869" t="s">
        <v>844</v>
      </c>
      <c r="B17" s="86" t="s">
        <v>845</v>
      </c>
      <c r="C17" s="871" t="s">
        <v>768</v>
      </c>
      <c r="D17" s="872"/>
    </row>
    <row r="18" ht="24" customHeight="1" spans="1:4" x14ac:dyDescent="0.25">
      <c r="A18" s="869" t="s">
        <v>846</v>
      </c>
      <c r="B18" s="86" t="s">
        <v>847</v>
      </c>
      <c r="C18" s="871" t="s">
        <v>768</v>
      </c>
      <c r="D18" s="873" t="s">
        <v>848</v>
      </c>
    </row>
    <row r="19" ht="24" customHeight="1" spans="1:4" x14ac:dyDescent="0.25">
      <c r="A19" s="869" t="s">
        <v>849</v>
      </c>
      <c r="B19" s="86" t="s">
        <v>850</v>
      </c>
      <c r="C19" s="871" t="s">
        <v>768</v>
      </c>
      <c r="D19" s="872"/>
    </row>
    <row r="20" ht="25.9" customHeight="1" spans="1:4" x14ac:dyDescent="0.25">
      <c r="A20" s="869" t="s">
        <v>851</v>
      </c>
      <c r="B20" s="86" t="s">
        <v>852</v>
      </c>
      <c r="C20" s="871" t="s">
        <v>768</v>
      </c>
      <c r="D20" s="872"/>
    </row>
    <row r="21" ht="24" customHeight="1" spans="1:4" x14ac:dyDescent="0.25">
      <c r="A21" s="869" t="s">
        <v>853</v>
      </c>
      <c r="B21" s="86" t="s">
        <v>854</v>
      </c>
      <c r="C21" s="871" t="s">
        <v>768</v>
      </c>
      <c r="D21" s="872"/>
    </row>
    <row r="22" ht="24" customHeight="1" spans="1:4" x14ac:dyDescent="0.25">
      <c r="A22" s="869" t="s">
        <v>855</v>
      </c>
      <c r="B22" s="86" t="s">
        <v>856</v>
      </c>
      <c r="C22" s="871" t="s">
        <v>768</v>
      </c>
      <c r="D22" s="872"/>
    </row>
    <row r="23" ht="24" customHeight="1" spans="1:4" x14ac:dyDescent="0.25">
      <c r="A23" s="869" t="s">
        <v>857</v>
      </c>
      <c r="B23" s="86" t="s">
        <v>858</v>
      </c>
      <c r="C23" s="871" t="s">
        <v>768</v>
      </c>
      <c r="D23" s="872"/>
    </row>
    <row r="24" ht="24" customHeight="1" spans="1:4" x14ac:dyDescent="0.25">
      <c r="A24" s="869" t="s">
        <v>859</v>
      </c>
      <c r="B24" s="86" t="s">
        <v>860</v>
      </c>
      <c r="C24" s="871" t="s">
        <v>768</v>
      </c>
      <c r="D24" s="872"/>
    </row>
    <row r="25" ht="24" customHeight="1" spans="1:4" x14ac:dyDescent="0.25">
      <c r="A25" s="869" t="s">
        <v>861</v>
      </c>
      <c r="B25" s="86" t="s">
        <v>862</v>
      </c>
      <c r="C25" s="871" t="s">
        <v>768</v>
      </c>
      <c r="D25" s="872"/>
    </row>
    <row r="26" ht="24" customHeight="1" spans="1:4" x14ac:dyDescent="0.25">
      <c r="A26" s="869" t="s">
        <v>863</v>
      </c>
      <c r="B26" s="86" t="s">
        <v>864</v>
      </c>
      <c r="C26" s="871" t="s">
        <v>768</v>
      </c>
      <c r="D26" s="872"/>
    </row>
    <row r="28" ht="25.9" customHeight="1" spans="1:4" x14ac:dyDescent="0.25">
      <c r="A28" s="88" t="s">
        <v>817</v>
      </c>
      <c r="B28" s="89"/>
      <c r="C28" s="89"/>
      <c r="D28" s="89"/>
    </row>
  </sheetData>
  <mergeCells count="4">
    <mergeCell ref="A1:D1"/>
    <mergeCell ref="A2:D2"/>
    <mergeCell ref="A3:D3"/>
    <mergeCell ref="A28:D28"/>
  </mergeCells>
  <printOptions horizontalCentered="1"/>
  <pageMargins left="0.35" right="0.35" top="0.55" bottom="0.55" header="0.2" footer="0.2"/>
  <pageSetup paperSize="9" orientation="landscape" horizontalDpi="4294967295" verticalDpi="4294967295" scale="100" fitToWidth="1" fitToHeight="0" firstPageNumber="1" useFirstPageNumber="1" copies="1"/>
  <headerFooter>
    <oddFooter>&amp;LCAFlow template&amp;RPage &amp;P of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7A8C"/>
    <pageSetUpPr fitToPage="1"/>
  </sheetPr>
  <dimension ref="A1:D36"/>
  <sheetViews>
    <sheetView workbookViewId="0" showGridLines="0" zoomScale="100" zoomScaleNormal="100"/>
  </sheetViews>
  <sheetFormatPr defaultRowHeight="15" outlineLevelRow="0" outlineLevelCol="0" x14ac:dyDescent="0"/>
  <cols>
    <col min="1" max="1" width="8" customWidth="1"/>
    <col min="2" max="2" width="68" customWidth="1"/>
    <col min="3" max="3" width="40" customWidth="1"/>
    <col min="4" max="4" width="24" customWidth="1"/>
  </cols>
  <sheetData>
    <row r="1" ht="28.15" customHeight="1" spans="1:4" x14ac:dyDescent="0.25">
      <c r="A1" s="78" t="s">
        <v>865</v>
      </c>
      <c r="B1" s="79"/>
      <c r="C1" s="79"/>
      <c r="D1" s="79"/>
    </row>
    <row r="2" ht="19.9" customHeight="1" spans="1:4" x14ac:dyDescent="0.25">
      <c r="A2" s="80" t="s">
        <v>762</v>
      </c>
      <c r="B2" s="79"/>
      <c r="C2" s="79"/>
      <c r="D2" s="79"/>
    </row>
    <row r="3" ht="4.9" customHeight="1" spans="1:4" x14ac:dyDescent="0.25">
      <c r="A3" s="861"/>
      <c r="B3" s="862"/>
      <c r="C3" s="862"/>
      <c r="D3" s="862"/>
    </row>
    <row r="4" ht="22.15" customHeight="1" spans="1:4" x14ac:dyDescent="0.25">
      <c r="A4" s="82" t="s">
        <v>649</v>
      </c>
      <c r="B4" s="82" t="s">
        <v>763</v>
      </c>
      <c r="C4" s="82" t="s">
        <v>764</v>
      </c>
      <c r="D4" s="82" t="s">
        <v>765</v>
      </c>
    </row>
    <row r="5" ht="25.9" customHeight="1" spans="1:4" x14ac:dyDescent="0.25">
      <c r="A5" s="869" t="s">
        <v>866</v>
      </c>
      <c r="B5" s="86" t="s">
        <v>867</v>
      </c>
      <c r="C5" s="871" t="s">
        <v>768</v>
      </c>
      <c r="D5" s="873" t="s">
        <v>868</v>
      </c>
    </row>
    <row r="6" ht="24" customHeight="1" spans="1:4" x14ac:dyDescent="0.25">
      <c r="A6" s="869" t="s">
        <v>869</v>
      </c>
      <c r="B6" s="86" t="s">
        <v>870</v>
      </c>
      <c r="C6" s="871" t="s">
        <v>768</v>
      </c>
      <c r="D6" s="873" t="s">
        <v>868</v>
      </c>
    </row>
    <row r="7" ht="25.9" customHeight="1" spans="1:4" x14ac:dyDescent="0.25">
      <c r="A7" s="869" t="s">
        <v>871</v>
      </c>
      <c r="B7" s="86" t="s">
        <v>872</v>
      </c>
      <c r="C7" s="871" t="s">
        <v>768</v>
      </c>
      <c r="D7" s="873" t="s">
        <v>868</v>
      </c>
    </row>
    <row r="8" ht="25.9" customHeight="1" spans="1:4" x14ac:dyDescent="0.25">
      <c r="A8" s="869" t="s">
        <v>873</v>
      </c>
      <c r="B8" s="86" t="s">
        <v>874</v>
      </c>
      <c r="C8" s="871" t="s">
        <v>768</v>
      </c>
      <c r="D8" s="873" t="s">
        <v>868</v>
      </c>
    </row>
    <row r="9" ht="25.9" customHeight="1" spans="1:4" x14ac:dyDescent="0.25">
      <c r="A9" s="869" t="s">
        <v>875</v>
      </c>
      <c r="B9" s="86" t="s">
        <v>876</v>
      </c>
      <c r="C9" s="871" t="s">
        <v>768</v>
      </c>
      <c r="D9" s="873" t="s">
        <v>868</v>
      </c>
    </row>
    <row r="10" ht="25.9" customHeight="1" spans="1:4" x14ac:dyDescent="0.25">
      <c r="A10" s="869" t="s">
        <v>877</v>
      </c>
      <c r="B10" s="86" t="s">
        <v>878</v>
      </c>
      <c r="C10" s="871" t="s">
        <v>768</v>
      </c>
      <c r="D10" s="873" t="s">
        <v>868</v>
      </c>
    </row>
    <row r="11" ht="25.9" customHeight="1" spans="1:4" x14ac:dyDescent="0.25">
      <c r="A11" s="869" t="s">
        <v>879</v>
      </c>
      <c r="B11" s="86" t="s">
        <v>880</v>
      </c>
      <c r="C11" s="871" t="s">
        <v>768</v>
      </c>
      <c r="D11" s="873" t="s">
        <v>868</v>
      </c>
    </row>
    <row r="12" ht="25.9" customHeight="1" spans="1:4" x14ac:dyDescent="0.25">
      <c r="A12" s="869" t="s">
        <v>881</v>
      </c>
      <c r="B12" s="86" t="s">
        <v>882</v>
      </c>
      <c r="C12" s="871" t="s">
        <v>768</v>
      </c>
      <c r="D12" s="873" t="s">
        <v>868</v>
      </c>
    </row>
    <row r="13" ht="25.9" customHeight="1" spans="1:4" x14ac:dyDescent="0.25">
      <c r="A13" s="869" t="s">
        <v>883</v>
      </c>
      <c r="B13" s="86" t="s">
        <v>884</v>
      </c>
      <c r="C13" s="871" t="s">
        <v>768</v>
      </c>
      <c r="D13" s="873" t="s">
        <v>868</v>
      </c>
    </row>
    <row r="14" ht="24" customHeight="1" spans="1:4" x14ac:dyDescent="0.25">
      <c r="A14" s="869" t="s">
        <v>885</v>
      </c>
      <c r="B14" s="86" t="s">
        <v>886</v>
      </c>
      <c r="C14" s="871" t="s">
        <v>768</v>
      </c>
      <c r="D14" s="873" t="s">
        <v>887</v>
      </c>
    </row>
    <row r="15" ht="24" customHeight="1" spans="1:4" x14ac:dyDescent="0.25">
      <c r="A15" s="869" t="s">
        <v>888</v>
      </c>
      <c r="B15" s="86" t="s">
        <v>889</v>
      </c>
      <c r="C15" s="871" t="s">
        <v>768</v>
      </c>
      <c r="D15" s="873" t="s">
        <v>887</v>
      </c>
    </row>
    <row r="16" ht="24" customHeight="1" spans="1:4" x14ac:dyDescent="0.25">
      <c r="A16" s="869" t="s">
        <v>890</v>
      </c>
      <c r="B16" s="86" t="s">
        <v>891</v>
      </c>
      <c r="C16" s="871" t="s">
        <v>768</v>
      </c>
      <c r="D16" s="873" t="s">
        <v>887</v>
      </c>
    </row>
    <row r="17" ht="24" customHeight="1" spans="1:4" x14ac:dyDescent="0.25">
      <c r="A17" s="869" t="s">
        <v>892</v>
      </c>
      <c r="B17" s="86" t="s">
        <v>893</v>
      </c>
      <c r="C17" s="871" t="s">
        <v>768</v>
      </c>
      <c r="D17" s="873" t="s">
        <v>887</v>
      </c>
    </row>
    <row r="18" ht="25.9" customHeight="1" spans="1:4" x14ac:dyDescent="0.25">
      <c r="A18" s="869" t="s">
        <v>894</v>
      </c>
      <c r="B18" s="86" t="s">
        <v>895</v>
      </c>
      <c r="C18" s="871" t="s">
        <v>768</v>
      </c>
      <c r="D18" s="873" t="s">
        <v>887</v>
      </c>
    </row>
    <row r="19" ht="24" customHeight="1" spans="1:4" x14ac:dyDescent="0.25">
      <c r="A19" s="869" t="s">
        <v>896</v>
      </c>
      <c r="B19" s="86" t="s">
        <v>897</v>
      </c>
      <c r="C19" s="871" t="s">
        <v>768</v>
      </c>
      <c r="D19" s="873" t="s">
        <v>811</v>
      </c>
    </row>
    <row r="20" ht="24" customHeight="1" spans="1:4" x14ac:dyDescent="0.25">
      <c r="A20" s="869" t="s">
        <v>898</v>
      </c>
      <c r="B20" s="86" t="s">
        <v>899</v>
      </c>
      <c r="C20" s="871" t="s">
        <v>768</v>
      </c>
      <c r="D20" s="873" t="s">
        <v>900</v>
      </c>
    </row>
    <row r="21" ht="24" customHeight="1" spans="1:4" x14ac:dyDescent="0.25">
      <c r="A21" s="869" t="s">
        <v>901</v>
      </c>
      <c r="B21" s="86" t="s">
        <v>902</v>
      </c>
      <c r="C21" s="871" t="s">
        <v>768</v>
      </c>
      <c r="D21" s="873" t="s">
        <v>900</v>
      </c>
    </row>
    <row r="22" ht="24" customHeight="1" spans="1:4" x14ac:dyDescent="0.25">
      <c r="A22" s="869" t="s">
        <v>903</v>
      </c>
      <c r="B22" s="86" t="s">
        <v>904</v>
      </c>
      <c r="C22" s="871" t="s">
        <v>768</v>
      </c>
      <c r="D22" s="873" t="s">
        <v>900</v>
      </c>
    </row>
    <row r="23" ht="24" customHeight="1" spans="1:4" x14ac:dyDescent="0.25">
      <c r="A23" s="869" t="s">
        <v>905</v>
      </c>
      <c r="B23" s="86" t="s">
        <v>906</v>
      </c>
      <c r="C23" s="871" t="s">
        <v>768</v>
      </c>
      <c r="D23" s="873" t="s">
        <v>907</v>
      </c>
    </row>
    <row r="24" ht="25.9" customHeight="1" spans="1:4" x14ac:dyDescent="0.25">
      <c r="A24" s="869" t="s">
        <v>908</v>
      </c>
      <c r="B24" s="86" t="s">
        <v>909</v>
      </c>
      <c r="C24" s="871" t="s">
        <v>768</v>
      </c>
      <c r="D24" s="873" t="s">
        <v>907</v>
      </c>
    </row>
    <row r="25" ht="24" customHeight="1" spans="1:4" x14ac:dyDescent="0.25">
      <c r="A25" s="869" t="s">
        <v>910</v>
      </c>
      <c r="B25" s="86" t="s">
        <v>911</v>
      </c>
      <c r="C25" s="871" t="s">
        <v>768</v>
      </c>
      <c r="D25" s="872"/>
    </row>
    <row r="26" ht="24" customHeight="1" spans="1:4" x14ac:dyDescent="0.25">
      <c r="A26" s="869" t="s">
        <v>912</v>
      </c>
      <c r="B26" s="86" t="s">
        <v>913</v>
      </c>
      <c r="C26" s="871" t="s">
        <v>768</v>
      </c>
      <c r="D26" s="872"/>
    </row>
    <row r="27" ht="25.9" customHeight="1" spans="1:4" x14ac:dyDescent="0.25">
      <c r="A27" s="869" t="s">
        <v>914</v>
      </c>
      <c r="B27" s="86" t="s">
        <v>915</v>
      </c>
      <c r="C27" s="871" t="s">
        <v>768</v>
      </c>
      <c r="D27" s="872"/>
    </row>
    <row r="28" ht="25.9" customHeight="1" spans="1:4" x14ac:dyDescent="0.25">
      <c r="A28" s="869" t="s">
        <v>916</v>
      </c>
      <c r="B28" s="86" t="s">
        <v>917</v>
      </c>
      <c r="C28" s="871" t="s">
        <v>768</v>
      </c>
      <c r="D28" s="872"/>
    </row>
    <row r="29" ht="25.9" customHeight="1" spans="1:4" x14ac:dyDescent="0.25">
      <c r="A29" s="869" t="s">
        <v>918</v>
      </c>
      <c r="B29" s="86" t="s">
        <v>919</v>
      </c>
      <c r="C29" s="871" t="s">
        <v>768</v>
      </c>
      <c r="D29" s="872"/>
    </row>
    <row r="30" ht="25.9" customHeight="1" spans="1:4" x14ac:dyDescent="0.25">
      <c r="A30" s="869" t="s">
        <v>920</v>
      </c>
      <c r="B30" s="86" t="s">
        <v>921</v>
      </c>
      <c r="C30" s="871" t="s">
        <v>768</v>
      </c>
      <c r="D30" s="873" t="s">
        <v>922</v>
      </c>
    </row>
    <row r="31" ht="25.9" customHeight="1" spans="1:4" x14ac:dyDescent="0.25">
      <c r="A31" s="869" t="s">
        <v>923</v>
      </c>
      <c r="B31" s="86" t="s">
        <v>924</v>
      </c>
      <c r="C31" s="871" t="s">
        <v>768</v>
      </c>
      <c r="D31" s="872"/>
    </row>
    <row r="32" ht="24" customHeight="1" spans="1:4" x14ac:dyDescent="0.25">
      <c r="A32" s="869" t="s">
        <v>925</v>
      </c>
      <c r="B32" s="86" t="s">
        <v>926</v>
      </c>
      <c r="C32" s="871" t="s">
        <v>768</v>
      </c>
      <c r="D32" s="872"/>
    </row>
    <row r="33" ht="24" customHeight="1" spans="1:4" x14ac:dyDescent="0.25">
      <c r="A33" s="869" t="s">
        <v>927</v>
      </c>
      <c r="B33" s="86" t="s">
        <v>928</v>
      </c>
      <c r="C33" s="871" t="s">
        <v>768</v>
      </c>
      <c r="D33" s="872"/>
    </row>
    <row r="34" ht="25.9" customHeight="1" spans="1:4" x14ac:dyDescent="0.25">
      <c r="A34" s="869" t="s">
        <v>929</v>
      </c>
      <c r="B34" s="86" t="s">
        <v>930</v>
      </c>
      <c r="C34" s="871" t="s">
        <v>768</v>
      </c>
      <c r="D34" s="873" t="s">
        <v>931</v>
      </c>
    </row>
    <row r="36" ht="25.9" customHeight="1" spans="1:4" x14ac:dyDescent="0.25">
      <c r="A36" s="88" t="s">
        <v>817</v>
      </c>
      <c r="B36" s="89"/>
      <c r="C36" s="89"/>
      <c r="D36" s="89"/>
    </row>
  </sheetData>
  <mergeCells count="4">
    <mergeCell ref="A1:D1"/>
    <mergeCell ref="A2:D2"/>
    <mergeCell ref="A3:D3"/>
    <mergeCell ref="A36:D36"/>
  </mergeCells>
  <printOptions horizontalCentered="1"/>
  <pageMargins left="0.35" right="0.35" top="0.55" bottom="0.55" header="0.2" footer="0.2"/>
  <pageSetup paperSize="9" orientation="landscape" horizontalDpi="4294967295" verticalDpi="4294967295" scale="100" fitToWidth="1" fitToHeight="0" firstPageNumber="1" useFirstPageNumber="1" copies="1"/>
  <headerFooter>
    <oddFooter>&amp;LCAFlow template&amp;RPage &amp;P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AD47"/>
    <pageSetUpPr fitToPage="1"/>
  </sheetPr>
  <dimension ref="A1:F14"/>
  <sheetViews>
    <sheetView workbookViewId="0" showGridLines="0" zoomScale="100" zoomScaleNormal="100"/>
  </sheetViews>
  <sheetFormatPr defaultRowHeight="15" outlineLevelRow="0" outlineLevelCol="0" x14ac:dyDescent="0"/>
  <cols>
    <col min="1" max="1" width="22" customWidth="1"/>
    <col min="2" max="2" width="20" customWidth="1"/>
    <col min="3" max="5" width="16" customWidth="1"/>
    <col min="6" max="6" width="28" customWidth="1"/>
  </cols>
  <sheetData>
    <row r="1" ht="28.15" customHeight="1" spans="1:6" x14ac:dyDescent="0.25">
      <c r="A1" s="78" t="s">
        <v>932</v>
      </c>
      <c r="B1" s="79"/>
      <c r="C1" s="79"/>
      <c r="D1" s="79"/>
      <c r="E1" s="79"/>
      <c r="F1" s="79"/>
    </row>
    <row r="2" ht="19.9" customHeight="1" spans="1:6" x14ac:dyDescent="0.25">
      <c r="A2" s="80" t="s">
        <v>933</v>
      </c>
      <c r="B2" s="79"/>
      <c r="C2" s="79"/>
      <c r="D2" s="79"/>
      <c r="E2" s="79"/>
      <c r="F2" s="79"/>
    </row>
    <row r="3" ht="4.9" customHeight="1" spans="1:6" x14ac:dyDescent="0.25">
      <c r="A3" s="861"/>
      <c r="B3" s="862"/>
      <c r="C3" s="862"/>
      <c r="D3" s="862"/>
      <c r="E3" s="862"/>
      <c r="F3" s="862"/>
    </row>
    <row r="4" ht="22.15" customHeight="1" spans="1:6" x14ac:dyDescent="0.25">
      <c r="A4" s="82" t="s">
        <v>934</v>
      </c>
      <c r="B4" s="82" t="s">
        <v>935</v>
      </c>
      <c r="C4" s="82" t="s">
        <v>936</v>
      </c>
      <c r="D4" s="82" t="s">
        <v>937</v>
      </c>
      <c r="E4" s="82" t="s">
        <v>938</v>
      </c>
      <c r="F4" s="82" t="s">
        <v>939</v>
      </c>
    </row>
    <row r="5" ht="19.9" customHeight="1" spans="1:6" x14ac:dyDescent="0.25">
      <c r="A5" s="871"/>
      <c r="B5" s="871"/>
      <c r="C5" s="871"/>
      <c r="D5" s="871"/>
      <c r="E5" s="871"/>
      <c r="F5" s="871"/>
    </row>
    <row r="6" ht="19.9" customHeight="1" spans="1:6" x14ac:dyDescent="0.25">
      <c r="A6" s="871"/>
      <c r="B6" s="871"/>
      <c r="C6" s="871"/>
      <c r="D6" s="871"/>
      <c r="E6" s="871"/>
      <c r="F6" s="871"/>
    </row>
    <row r="7" ht="19.9" customHeight="1" spans="1:6" x14ac:dyDescent="0.25">
      <c r="A7" s="871"/>
      <c r="B7" s="871"/>
      <c r="C7" s="871"/>
      <c r="D7" s="871"/>
      <c r="E7" s="871"/>
      <c r="F7" s="871"/>
    </row>
    <row r="8" ht="19.9" customHeight="1" spans="1:6" x14ac:dyDescent="0.25">
      <c r="A8" s="871"/>
      <c r="B8" s="871"/>
      <c r="C8" s="871"/>
      <c r="D8" s="871"/>
      <c r="E8" s="871"/>
      <c r="F8" s="871"/>
    </row>
    <row r="9" ht="19.9" customHeight="1" spans="1:6" x14ac:dyDescent="0.25">
      <c r="A9" s="871"/>
      <c r="B9" s="871"/>
      <c r="C9" s="871"/>
      <c r="D9" s="871"/>
      <c r="E9" s="871"/>
      <c r="F9" s="871"/>
    </row>
    <row r="10" ht="19.9" customHeight="1" spans="1:6" x14ac:dyDescent="0.25">
      <c r="A10" s="871"/>
      <c r="B10" s="871"/>
      <c r="C10" s="871"/>
      <c r="D10" s="871"/>
      <c r="E10" s="871"/>
      <c r="F10" s="871"/>
    </row>
    <row r="11" ht="19.9" customHeight="1" spans="1:6" x14ac:dyDescent="0.25">
      <c r="A11" s="871"/>
      <c r="B11" s="871"/>
      <c r="C11" s="871"/>
      <c r="D11" s="871"/>
      <c r="E11" s="871"/>
      <c r="F11" s="871"/>
    </row>
    <row r="12" ht="19.9" customHeight="1" spans="1:6" x14ac:dyDescent="0.25">
      <c r="A12" s="871"/>
      <c r="B12" s="871"/>
      <c r="C12" s="871"/>
      <c r="D12" s="871"/>
      <c r="E12" s="871"/>
      <c r="F12" s="871"/>
    </row>
    <row r="14" ht="15" customHeight="1" spans="1:6" x14ac:dyDescent="0.25">
      <c r="A14" s="88" t="s">
        <v>940</v>
      </c>
      <c r="B14" s="89"/>
      <c r="C14" s="89"/>
      <c r="D14" s="89"/>
      <c r="E14" s="89"/>
      <c r="F14" s="89"/>
    </row>
  </sheetData>
  <mergeCells count="4">
    <mergeCell ref="A1:F1"/>
    <mergeCell ref="A2:F2"/>
    <mergeCell ref="A3:F3"/>
    <mergeCell ref="A14:F14"/>
  </mergeCells>
  <printOptions horizontalCentered="1"/>
  <pageMargins left="0.35" right="0.35" top="0.55" bottom="0.55" header="0.2" footer="0.2"/>
  <pageSetup paperSize="9" orientation="landscape" horizontalDpi="4294967295" verticalDpi="4294967295" scale="100" fitToWidth="1" fitToHeight="0" firstPageNumber="1" useFirstPageNumber="1" copies="1"/>
  <headerFooter>
    <oddFooter>&amp;LCAFlow template&amp;RPage &amp;P of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AD47"/>
    <pageSetUpPr fitToPage="1"/>
  </sheetPr>
  <dimension ref="A1:I19"/>
  <sheetViews>
    <sheetView workbookViewId="0" showGridLines="0" zoomScale="100" zoomScaleNormal="100"/>
  </sheetViews>
  <sheetFormatPr defaultRowHeight="15" outlineLevelRow="0" outlineLevelCol="0" x14ac:dyDescent="0"/>
  <cols>
    <col min="1" max="1" width="28" customWidth="1"/>
    <col min="2" max="2" width="12" customWidth="1"/>
    <col min="3" max="4" width="15" customWidth="1"/>
    <col min="5" max="6" width="16" customWidth="1"/>
    <col min="7" max="8" width="14" customWidth="1"/>
    <col min="9" max="9" width="15" customWidth="1"/>
  </cols>
  <sheetData>
    <row r="1" ht="28.15" customHeight="1" spans="1:9" x14ac:dyDescent="0.25">
      <c r="A1" s="78" t="s">
        <v>941</v>
      </c>
      <c r="B1" s="79"/>
      <c r="C1" s="79"/>
      <c r="D1" s="79"/>
      <c r="E1" s="79"/>
      <c r="F1" s="79"/>
      <c r="G1" s="79"/>
      <c r="H1" s="79"/>
      <c r="I1" s="79"/>
    </row>
    <row r="2" ht="19.9" customHeight="1" spans="1:9" x14ac:dyDescent="0.25">
      <c r="A2" s="80" t="s">
        <v>942</v>
      </c>
      <c r="B2" s="79"/>
      <c r="C2" s="79"/>
      <c r="D2" s="79"/>
      <c r="E2" s="79"/>
      <c r="F2" s="79"/>
      <c r="G2" s="79"/>
      <c r="H2" s="79"/>
      <c r="I2" s="79"/>
    </row>
    <row r="3" ht="4.9" customHeight="1" spans="1:9" x14ac:dyDescent="0.25">
      <c r="A3" s="861"/>
      <c r="B3" s="862"/>
      <c r="C3" s="862"/>
      <c r="D3" s="862"/>
      <c r="E3" s="862"/>
      <c r="F3" s="862"/>
      <c r="G3" s="862"/>
      <c r="H3" s="862"/>
      <c r="I3" s="862"/>
    </row>
    <row r="4" ht="22.15" customHeight="1" spans="1:9" x14ac:dyDescent="0.25">
      <c r="A4" s="82" t="s">
        <v>943</v>
      </c>
      <c r="B4" s="82" t="s">
        <v>944</v>
      </c>
      <c r="C4" s="82" t="s">
        <v>610</v>
      </c>
      <c r="D4" s="82" t="s">
        <v>945</v>
      </c>
      <c r="E4" s="82" t="s">
        <v>946</v>
      </c>
      <c r="F4" s="82" t="s">
        <v>947</v>
      </c>
      <c r="G4" s="82" t="s">
        <v>948</v>
      </c>
      <c r="H4" s="82" t="s">
        <v>612</v>
      </c>
      <c r="I4" s="82" t="s">
        <v>613</v>
      </c>
    </row>
    <row r="5" ht="19.9" customHeight="1" spans="1:9" x14ac:dyDescent="0.25">
      <c r="A5" s="871"/>
      <c r="B5" s="871"/>
      <c r="C5" s="871"/>
      <c r="D5" s="871"/>
      <c r="E5" s="871"/>
      <c r="F5" s="871"/>
      <c r="G5" s="871"/>
      <c r="H5" s="871"/>
      <c r="I5" s="871"/>
    </row>
    <row r="6" ht="19.9" customHeight="1" spans="1:9" x14ac:dyDescent="0.25">
      <c r="A6" s="871"/>
      <c r="B6" s="871"/>
      <c r="C6" s="871"/>
      <c r="D6" s="871"/>
      <c r="E6" s="871"/>
      <c r="F6" s="871"/>
      <c r="G6" s="871"/>
      <c r="H6" s="871"/>
      <c r="I6" s="871"/>
    </row>
    <row r="7" ht="19.9" customHeight="1" spans="1:9" x14ac:dyDescent="0.25">
      <c r="A7" s="871"/>
      <c r="B7" s="871"/>
      <c r="C7" s="871"/>
      <c r="D7" s="871"/>
      <c r="E7" s="871"/>
      <c r="F7" s="871"/>
      <c r="G7" s="871"/>
      <c r="H7" s="871"/>
      <c r="I7" s="871"/>
    </row>
    <row r="8" ht="19.9" customHeight="1" spans="1:9" x14ac:dyDescent="0.25">
      <c r="A8" s="871"/>
      <c r="B8" s="871"/>
      <c r="C8" s="871"/>
      <c r="D8" s="871"/>
      <c r="E8" s="871"/>
      <c r="F8" s="871"/>
      <c r="G8" s="871"/>
      <c r="H8" s="871"/>
      <c r="I8" s="871"/>
    </row>
    <row r="9" ht="19.9" customHeight="1" spans="1:9" x14ac:dyDescent="0.25">
      <c r="A9" s="871"/>
      <c r="B9" s="871"/>
      <c r="C9" s="871"/>
      <c r="D9" s="871"/>
      <c r="E9" s="871"/>
      <c r="F9" s="871"/>
      <c r="G9" s="871"/>
      <c r="H9" s="871"/>
      <c r="I9" s="871"/>
    </row>
    <row r="10" ht="19.9" customHeight="1" spans="1:9" x14ac:dyDescent="0.25">
      <c r="A10" s="871"/>
      <c r="B10" s="871"/>
      <c r="C10" s="871"/>
      <c r="D10" s="871"/>
      <c r="E10" s="871"/>
      <c r="F10" s="871"/>
      <c r="G10" s="871"/>
      <c r="H10" s="871"/>
      <c r="I10" s="871"/>
    </row>
    <row r="11" ht="19.9" customHeight="1" spans="1:9" x14ac:dyDescent="0.25">
      <c r="A11" s="871"/>
      <c r="B11" s="871"/>
      <c r="C11" s="871"/>
      <c r="D11" s="871"/>
      <c r="E11" s="871"/>
      <c r="F11" s="871"/>
      <c r="G11" s="871"/>
      <c r="H11" s="871"/>
      <c r="I11" s="871"/>
    </row>
    <row r="12" ht="19.9" customHeight="1" spans="1:9" x14ac:dyDescent="0.25">
      <c r="A12" s="871"/>
      <c r="B12" s="871"/>
      <c r="C12" s="871"/>
      <c r="D12" s="871"/>
      <c r="E12" s="871"/>
      <c r="F12" s="871"/>
      <c r="G12" s="871"/>
      <c r="H12" s="871"/>
      <c r="I12" s="871"/>
    </row>
    <row r="13" ht="19.9" customHeight="1" spans="1:9" x14ac:dyDescent="0.25">
      <c r="A13" s="871"/>
      <c r="B13" s="871"/>
      <c r="C13" s="871"/>
      <c r="D13" s="871"/>
      <c r="E13" s="871"/>
      <c r="F13" s="871"/>
      <c r="G13" s="871"/>
      <c r="H13" s="871"/>
      <c r="I13" s="871"/>
    </row>
    <row r="14" ht="19.9" customHeight="1" spans="1:9" x14ac:dyDescent="0.25">
      <c r="A14" s="871"/>
      <c r="B14" s="871"/>
      <c r="C14" s="871"/>
      <c r="D14" s="871"/>
      <c r="E14" s="871"/>
      <c r="F14" s="871"/>
      <c r="G14" s="871"/>
      <c r="H14" s="871"/>
      <c r="I14" s="871"/>
    </row>
    <row r="15" ht="19.9" customHeight="1" spans="1:9" x14ac:dyDescent="0.25">
      <c r="A15" s="871"/>
      <c r="B15" s="871"/>
      <c r="C15" s="871"/>
      <c r="D15" s="871"/>
      <c r="E15" s="871"/>
      <c r="F15" s="871"/>
      <c r="G15" s="871"/>
      <c r="H15" s="871"/>
      <c r="I15" s="871"/>
    </row>
    <row r="16" ht="19.9" customHeight="1" spans="1:9" x14ac:dyDescent="0.25">
      <c r="A16" s="871"/>
      <c r="B16" s="871"/>
      <c r="C16" s="871"/>
      <c r="D16" s="871"/>
      <c r="E16" s="871"/>
      <c r="F16" s="871"/>
      <c r="G16" s="871"/>
      <c r="H16" s="871"/>
      <c r="I16" s="871"/>
    </row>
    <row r="17" ht="19.9" customHeight="1" spans="1:9" x14ac:dyDescent="0.25">
      <c r="A17" s="874" t="s">
        <v>313</v>
      </c>
      <c r="B17" s="875"/>
      <c r="C17" s="876">
        <f t="shared" ref="C17:I17" si="0">SUM(C5:C16)</f>
        <v>0</v>
      </c>
      <c r="D17" s="876">
        <f t="shared" si="0"/>
        <v>0</v>
      </c>
      <c r="E17" s="876">
        <f t="shared" si="0"/>
        <v>0</v>
      </c>
      <c r="F17" s="876">
        <f t="shared" si="0"/>
        <v>0</v>
      </c>
      <c r="G17" s="876">
        <f t="shared" si="0"/>
        <v>0</v>
      </c>
      <c r="H17" s="876">
        <f t="shared" si="0"/>
        <v>0</v>
      </c>
      <c r="I17" s="876">
        <f t="shared" si="0"/>
        <v>0</v>
      </c>
    </row>
    <row r="19" ht="15" customHeight="1" spans="1:9" x14ac:dyDescent="0.25">
      <c r="A19" s="88" t="s">
        <v>949</v>
      </c>
      <c r="B19" s="89"/>
      <c r="C19" s="89"/>
      <c r="D19" s="89"/>
      <c r="E19" s="89"/>
      <c r="F19" s="89"/>
      <c r="G19" s="89"/>
      <c r="H19" s="89"/>
      <c r="I19" s="89"/>
    </row>
  </sheetData>
  <mergeCells count="4">
    <mergeCell ref="A1:I1"/>
    <mergeCell ref="A2:I2"/>
    <mergeCell ref="A3:I3"/>
    <mergeCell ref="A19:I19"/>
  </mergeCells>
  <printOptions horizontalCentered="1"/>
  <pageMargins left="0.35" right="0.35" top="0.55" bottom="0.55" header="0.2" footer="0.2"/>
  <pageSetup paperSize="9" orientation="landscape" horizontalDpi="4294967295" verticalDpi="4294967295" scale="100" fitToWidth="1" fitToHeight="0" firstPageNumber="1" useFirstPageNumber="1" copies="1"/>
  <headerFooter>
    <oddFooter>&amp;LCAFlow template&amp;RPage &amp;P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AD47"/>
    <pageSetUpPr fitToPage="1"/>
  </sheetPr>
  <dimension ref="A1:H19"/>
  <sheetViews>
    <sheetView workbookViewId="0" showGridLines="0" zoomScale="100" zoomScaleNormal="100"/>
  </sheetViews>
  <sheetFormatPr defaultRowHeight="15" outlineLevelRow="0" outlineLevelCol="0" x14ac:dyDescent="0"/>
  <cols>
    <col min="1" max="1" width="14" customWidth="1"/>
    <col min="2" max="2" width="20" customWidth="1"/>
    <col min="3" max="3" width="22" customWidth="1"/>
    <col min="4" max="4" width="28" customWidth="1"/>
    <col min="5" max="7" width="16" customWidth="1"/>
    <col min="8" max="8" width="22" customWidth="1"/>
  </cols>
  <sheetData>
    <row r="1" ht="28.15" customHeight="1" spans="1:8" x14ac:dyDescent="0.25">
      <c r="A1" s="78" t="s">
        <v>950</v>
      </c>
      <c r="B1" s="79"/>
      <c r="C1" s="79"/>
      <c r="D1" s="79"/>
      <c r="E1" s="79"/>
      <c r="F1" s="79"/>
      <c r="G1" s="79"/>
      <c r="H1" s="79"/>
    </row>
    <row r="2" ht="19.9" customHeight="1" spans="1:8" x14ac:dyDescent="0.25">
      <c r="A2" s="80" t="s">
        <v>951</v>
      </c>
      <c r="B2" s="79"/>
      <c r="C2" s="79"/>
      <c r="D2" s="79"/>
      <c r="E2" s="79"/>
      <c r="F2" s="79"/>
      <c r="G2" s="79"/>
      <c r="H2" s="79"/>
    </row>
    <row r="3" ht="4.9" customHeight="1" spans="1:8" x14ac:dyDescent="0.25">
      <c r="A3" s="861"/>
      <c r="B3" s="862"/>
      <c r="C3" s="862"/>
      <c r="D3" s="862"/>
      <c r="E3" s="862"/>
      <c r="F3" s="862"/>
      <c r="G3" s="862"/>
      <c r="H3" s="862"/>
    </row>
    <row r="4" ht="22.15" customHeight="1" spans="1:8" x14ac:dyDescent="0.25">
      <c r="A4" s="82" t="s">
        <v>952</v>
      </c>
      <c r="B4" s="82" t="s">
        <v>953</v>
      </c>
      <c r="C4" s="82" t="s">
        <v>954</v>
      </c>
      <c r="D4" s="82" t="s">
        <v>955</v>
      </c>
      <c r="E4" s="82" t="s">
        <v>956</v>
      </c>
      <c r="F4" s="82" t="s">
        <v>957</v>
      </c>
      <c r="G4" s="82" t="s">
        <v>958</v>
      </c>
      <c r="H4" s="82" t="s">
        <v>939</v>
      </c>
    </row>
    <row r="5" ht="19.9" customHeight="1" spans="1:8" x14ac:dyDescent="0.25">
      <c r="A5" s="871"/>
      <c r="B5" s="871"/>
      <c r="C5" s="871"/>
      <c r="D5" s="871"/>
      <c r="E5" s="871"/>
      <c r="F5" s="871"/>
      <c r="G5" s="871"/>
      <c r="H5" s="871"/>
    </row>
    <row r="6" ht="19.9" customHeight="1" spans="1:8" x14ac:dyDescent="0.25">
      <c r="A6" s="871"/>
      <c r="B6" s="871"/>
      <c r="C6" s="871"/>
      <c r="D6" s="871"/>
      <c r="E6" s="871"/>
      <c r="F6" s="871"/>
      <c r="G6" s="871"/>
      <c r="H6" s="871"/>
    </row>
    <row r="7" ht="19.9" customHeight="1" spans="1:8" x14ac:dyDescent="0.25">
      <c r="A7" s="871"/>
      <c r="B7" s="871"/>
      <c r="C7" s="871"/>
      <c r="D7" s="871"/>
      <c r="E7" s="871"/>
      <c r="F7" s="871"/>
      <c r="G7" s="871"/>
      <c r="H7" s="871"/>
    </row>
    <row r="8" ht="19.9" customHeight="1" spans="1:8" x14ac:dyDescent="0.25">
      <c r="A8" s="871"/>
      <c r="B8" s="871"/>
      <c r="C8" s="871"/>
      <c r="D8" s="871"/>
      <c r="E8" s="871"/>
      <c r="F8" s="871"/>
      <c r="G8" s="871"/>
      <c r="H8" s="871"/>
    </row>
    <row r="9" ht="19.9" customHeight="1" spans="1:8" x14ac:dyDescent="0.25">
      <c r="A9" s="871"/>
      <c r="B9" s="871"/>
      <c r="C9" s="871"/>
      <c r="D9" s="871"/>
      <c r="E9" s="871"/>
      <c r="F9" s="871"/>
      <c r="G9" s="871"/>
      <c r="H9" s="871"/>
    </row>
    <row r="10" ht="19.9" customHeight="1" spans="1:8" x14ac:dyDescent="0.25">
      <c r="A10" s="871"/>
      <c r="B10" s="871"/>
      <c r="C10" s="871"/>
      <c r="D10" s="871"/>
      <c r="E10" s="871"/>
      <c r="F10" s="871"/>
      <c r="G10" s="871"/>
      <c r="H10" s="871"/>
    </row>
    <row r="11" ht="19.9" customHeight="1" spans="1:8" x14ac:dyDescent="0.25">
      <c r="A11" s="871"/>
      <c r="B11" s="871"/>
      <c r="C11" s="871"/>
      <c r="D11" s="871"/>
      <c r="E11" s="871"/>
      <c r="F11" s="871"/>
      <c r="G11" s="871"/>
      <c r="H11" s="871"/>
    </row>
    <row r="12" ht="19.9" customHeight="1" spans="1:8" x14ac:dyDescent="0.25">
      <c r="A12" s="871"/>
      <c r="B12" s="871"/>
      <c r="C12" s="871"/>
      <c r="D12" s="871"/>
      <c r="E12" s="871"/>
      <c r="F12" s="871"/>
      <c r="G12" s="871"/>
      <c r="H12" s="871"/>
    </row>
    <row r="13" ht="19.9" customHeight="1" spans="1:8" x14ac:dyDescent="0.25">
      <c r="A13" s="871"/>
      <c r="B13" s="871"/>
      <c r="C13" s="871"/>
      <c r="D13" s="871"/>
      <c r="E13" s="871"/>
      <c r="F13" s="871"/>
      <c r="G13" s="871"/>
      <c r="H13" s="871"/>
    </row>
    <row r="14" ht="19.9" customHeight="1" spans="1:8" x14ac:dyDescent="0.25">
      <c r="A14" s="871"/>
      <c r="B14" s="871"/>
      <c r="C14" s="871"/>
      <c r="D14" s="871"/>
      <c r="E14" s="871"/>
      <c r="F14" s="871"/>
      <c r="G14" s="871"/>
      <c r="H14" s="871"/>
    </row>
    <row r="15" ht="19.9" customHeight="1" spans="1:8" x14ac:dyDescent="0.25">
      <c r="A15" s="871"/>
      <c r="B15" s="871"/>
      <c r="C15" s="871"/>
      <c r="D15" s="871"/>
      <c r="E15" s="871"/>
      <c r="F15" s="871"/>
      <c r="G15" s="871"/>
      <c r="H15" s="871"/>
    </row>
    <row r="16" ht="19.9" customHeight="1" spans="1:8" x14ac:dyDescent="0.25">
      <c r="A16" s="871"/>
      <c r="B16" s="871"/>
      <c r="C16" s="871"/>
      <c r="D16" s="871"/>
      <c r="E16" s="871"/>
      <c r="F16" s="871"/>
      <c r="G16" s="871"/>
      <c r="H16" s="871"/>
    </row>
    <row r="17" ht="19.9" customHeight="1" spans="1:8" x14ac:dyDescent="0.25">
      <c r="A17" s="875"/>
      <c r="B17" s="875"/>
      <c r="C17" s="875"/>
      <c r="D17" s="874" t="s">
        <v>313</v>
      </c>
      <c r="E17" s="876">
        <f>SUM(E5:E16)</f>
        <v>0</v>
      </c>
      <c r="F17" s="876">
        <f>SUM(F5:F16)</f>
        <v>0</v>
      </c>
      <c r="G17" s="876">
        <f>SUM(G5:G16)</f>
        <v>0</v>
      </c>
      <c r="H17" s="875"/>
    </row>
    <row r="19" ht="25.9" customHeight="1" spans="1:8" x14ac:dyDescent="0.25">
      <c r="A19" s="88" t="s">
        <v>959</v>
      </c>
      <c r="B19" s="89"/>
      <c r="C19" s="89"/>
      <c r="D19" s="89"/>
      <c r="E19" s="89"/>
      <c r="F19" s="89"/>
      <c r="G19" s="89"/>
      <c r="H19" s="89"/>
    </row>
  </sheetData>
  <mergeCells count="4">
    <mergeCell ref="A1:H1"/>
    <mergeCell ref="A2:H2"/>
    <mergeCell ref="A3:H3"/>
    <mergeCell ref="A19:H19"/>
  </mergeCells>
  <printOptions horizontalCentered="1"/>
  <pageMargins left="0.35" right="0.35" top="0.55" bottom="0.55" header="0.2" footer="0.2"/>
  <pageSetup paperSize="9" orientation="landscape" horizontalDpi="4294967295" verticalDpi="4294967295" scale="100" fitToWidth="1" fitToHeight="0" firstPageNumber="1" useFirstPageNumber="1" copies="1"/>
  <headerFooter>
    <oddFooter>&amp;LCAFlow template&amp;RPage &amp;P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AD47"/>
    <pageSetUpPr fitToPage="1"/>
  </sheetPr>
  <dimension ref="A1:H17"/>
  <sheetViews>
    <sheetView workbookViewId="0" showGridLines="0" zoomScale="100" zoomScaleNormal="100"/>
  </sheetViews>
  <sheetFormatPr defaultRowHeight="15" outlineLevelRow="0" outlineLevelCol="0" x14ac:dyDescent="0"/>
  <cols>
    <col min="1" max="2" width="24" customWidth="1"/>
    <col min="3" max="7" width="16" customWidth="1"/>
    <col min="8" max="8" width="22" customWidth="1"/>
  </cols>
  <sheetData>
    <row r="1" ht="28.15" customHeight="1" spans="1:8" x14ac:dyDescent="0.25">
      <c r="A1" s="78" t="s">
        <v>960</v>
      </c>
      <c r="B1" s="79"/>
      <c r="C1" s="79"/>
      <c r="D1" s="79"/>
      <c r="E1" s="79"/>
      <c r="F1" s="79"/>
      <c r="G1" s="79"/>
      <c r="H1" s="79"/>
    </row>
    <row r="2" ht="19.9" customHeight="1" spans="1:8" x14ac:dyDescent="0.25">
      <c r="A2" s="80" t="s">
        <v>961</v>
      </c>
      <c r="B2" s="79"/>
      <c r="C2" s="79"/>
      <c r="D2" s="79"/>
      <c r="E2" s="79"/>
      <c r="F2" s="79"/>
      <c r="G2" s="79"/>
      <c r="H2" s="79"/>
    </row>
    <row r="3" ht="4.9" customHeight="1" spans="1:8" x14ac:dyDescent="0.25">
      <c r="A3" s="861"/>
      <c r="B3" s="862"/>
      <c r="C3" s="862"/>
      <c r="D3" s="862"/>
      <c r="E3" s="862"/>
      <c r="F3" s="862"/>
      <c r="G3" s="862"/>
      <c r="H3" s="862"/>
    </row>
    <row r="4" ht="22.15" customHeight="1" spans="1:8" x14ac:dyDescent="0.25">
      <c r="A4" s="82" t="s">
        <v>962</v>
      </c>
      <c r="B4" s="82" t="s">
        <v>963</v>
      </c>
      <c r="C4" s="82" t="s">
        <v>964</v>
      </c>
      <c r="D4" s="82" t="s">
        <v>965</v>
      </c>
      <c r="E4" s="82" t="s">
        <v>966</v>
      </c>
      <c r="F4" s="82" t="s">
        <v>967</v>
      </c>
      <c r="G4" s="82" t="s">
        <v>968</v>
      </c>
      <c r="H4" s="82" t="s">
        <v>939</v>
      </c>
    </row>
    <row r="5" ht="19.9" customHeight="1" spans="1:8" x14ac:dyDescent="0.25">
      <c r="A5" s="871"/>
      <c r="B5" s="871"/>
      <c r="C5" s="871"/>
      <c r="D5" s="871"/>
      <c r="E5" s="871"/>
      <c r="F5" s="871"/>
      <c r="G5" s="871"/>
      <c r="H5" s="871"/>
    </row>
    <row r="6" ht="19.9" customHeight="1" spans="1:8" x14ac:dyDescent="0.25">
      <c r="A6" s="871"/>
      <c r="B6" s="871"/>
      <c r="C6" s="871"/>
      <c r="D6" s="871"/>
      <c r="E6" s="871"/>
      <c r="F6" s="871"/>
      <c r="G6" s="871"/>
      <c r="H6" s="871"/>
    </row>
    <row r="7" ht="19.9" customHeight="1" spans="1:8" x14ac:dyDescent="0.25">
      <c r="A7" s="871"/>
      <c r="B7" s="871"/>
      <c r="C7" s="871"/>
      <c r="D7" s="871"/>
      <c r="E7" s="871"/>
      <c r="F7" s="871"/>
      <c r="G7" s="871"/>
      <c r="H7" s="871"/>
    </row>
    <row r="8" ht="19.9" customHeight="1" spans="1:8" x14ac:dyDescent="0.25">
      <c r="A8" s="871"/>
      <c r="B8" s="871"/>
      <c r="C8" s="871"/>
      <c r="D8" s="871"/>
      <c r="E8" s="871"/>
      <c r="F8" s="871"/>
      <c r="G8" s="871"/>
      <c r="H8" s="871"/>
    </row>
    <row r="9" ht="19.9" customHeight="1" spans="1:8" x14ac:dyDescent="0.25">
      <c r="A9" s="871"/>
      <c r="B9" s="871"/>
      <c r="C9" s="871"/>
      <c r="D9" s="871"/>
      <c r="E9" s="871"/>
      <c r="F9" s="871"/>
      <c r="G9" s="871"/>
      <c r="H9" s="871"/>
    </row>
    <row r="10" ht="19.9" customHeight="1" spans="1:8" x14ac:dyDescent="0.25">
      <c r="A10" s="871"/>
      <c r="B10" s="871"/>
      <c r="C10" s="871"/>
      <c r="D10" s="871"/>
      <c r="E10" s="871"/>
      <c r="F10" s="871"/>
      <c r="G10" s="871"/>
      <c r="H10" s="871"/>
    </row>
    <row r="11" ht="19.9" customHeight="1" spans="1:8" x14ac:dyDescent="0.25">
      <c r="A11" s="871"/>
      <c r="B11" s="871"/>
      <c r="C11" s="871"/>
      <c r="D11" s="871"/>
      <c r="E11" s="871"/>
      <c r="F11" s="871"/>
      <c r="G11" s="871"/>
      <c r="H11" s="871"/>
    </row>
    <row r="12" ht="19.9" customHeight="1" spans="1:8" x14ac:dyDescent="0.25">
      <c r="A12" s="871"/>
      <c r="B12" s="871"/>
      <c r="C12" s="871"/>
      <c r="D12" s="871"/>
      <c r="E12" s="871"/>
      <c r="F12" s="871"/>
      <c r="G12" s="871"/>
      <c r="H12" s="871"/>
    </row>
    <row r="13" ht="19.9" customHeight="1" spans="1:8" x14ac:dyDescent="0.25">
      <c r="A13" s="871"/>
      <c r="B13" s="871"/>
      <c r="C13" s="871"/>
      <c r="D13" s="871"/>
      <c r="E13" s="871"/>
      <c r="F13" s="871"/>
      <c r="G13" s="871"/>
      <c r="H13" s="871"/>
    </row>
    <row r="14" ht="19.9" customHeight="1" spans="1:8" x14ac:dyDescent="0.25">
      <c r="A14" s="871"/>
      <c r="B14" s="871"/>
      <c r="C14" s="871"/>
      <c r="D14" s="871"/>
      <c r="E14" s="871"/>
      <c r="F14" s="871"/>
      <c r="G14" s="871"/>
      <c r="H14" s="871"/>
    </row>
    <row r="15" ht="19.9" customHeight="1" spans="1:8" x14ac:dyDescent="0.25">
      <c r="A15" s="875"/>
      <c r="B15" s="875"/>
      <c r="C15" s="874" t="s">
        <v>313</v>
      </c>
      <c r="D15" s="876">
        <f>SUM(D5:D14)</f>
        <v>0</v>
      </c>
      <c r="E15" s="875"/>
      <c r="F15" s="876">
        <f>SUM(F5:F14)</f>
        <v>0</v>
      </c>
      <c r="G15" s="876">
        <f>SUM(G5:G14)</f>
        <v>0</v>
      </c>
      <c r="H15" s="875"/>
    </row>
    <row r="17" ht="25.9" customHeight="1" spans="1:8" x14ac:dyDescent="0.25">
      <c r="A17" s="88" t="s">
        <v>969</v>
      </c>
      <c r="B17" s="89"/>
      <c r="C17" s="89"/>
      <c r="D17" s="89"/>
      <c r="E17" s="89"/>
      <c r="F17" s="89"/>
      <c r="G17" s="89"/>
      <c r="H17" s="89"/>
    </row>
  </sheetData>
  <mergeCells count="4">
    <mergeCell ref="A1:H1"/>
    <mergeCell ref="A2:H2"/>
    <mergeCell ref="A3:H3"/>
    <mergeCell ref="A17:H17"/>
  </mergeCells>
  <printOptions horizontalCentered="1"/>
  <pageMargins left="0.35" right="0.35" top="0.55" bottom="0.55" header="0.2" footer="0.2"/>
  <pageSetup paperSize="9" orientation="landscape" horizontalDpi="4294967295" verticalDpi="4294967295" scale="100" fitToWidth="1" fitToHeight="0" firstPageNumber="1" useFirstPageNumber="1" copies="1"/>
  <headerFooter>
    <oddFooter>&amp;LCAFlow template&amp;RPage &amp;P of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AD47"/>
    <pageSetUpPr fitToPage="1"/>
  </sheetPr>
  <dimension ref="A1:H17"/>
  <sheetViews>
    <sheetView workbookViewId="0" showGridLines="0" zoomScale="100" zoomScaleNormal="100"/>
  </sheetViews>
  <sheetFormatPr defaultRowHeight="15" outlineLevelRow="0" outlineLevelCol="0" x14ac:dyDescent="0"/>
  <cols>
    <col min="1" max="1" width="28" customWidth="1"/>
    <col min="2" max="4" width="14" customWidth="1"/>
    <col min="5" max="5" width="18" customWidth="1"/>
    <col min="6" max="7" width="16" customWidth="1"/>
    <col min="8" max="8" width="22" customWidth="1"/>
  </cols>
  <sheetData>
    <row r="1" ht="28.15" customHeight="1" spans="1:8" x14ac:dyDescent="0.25">
      <c r="A1" s="78" t="s">
        <v>970</v>
      </c>
      <c r="B1" s="79"/>
      <c r="C1" s="79"/>
      <c r="D1" s="79"/>
      <c r="E1" s="79"/>
      <c r="F1" s="79"/>
      <c r="G1" s="79"/>
      <c r="H1" s="79"/>
    </row>
    <row r="2" ht="19.9" customHeight="1" spans="1:8" x14ac:dyDescent="0.25">
      <c r="A2" s="80" t="s">
        <v>847</v>
      </c>
      <c r="B2" s="79"/>
      <c r="C2" s="79"/>
      <c r="D2" s="79"/>
      <c r="E2" s="79"/>
      <c r="F2" s="79"/>
      <c r="G2" s="79"/>
      <c r="H2" s="79"/>
    </row>
    <row r="3" ht="4.9" customHeight="1" spans="1:8" x14ac:dyDescent="0.25">
      <c r="A3" s="861"/>
      <c r="B3" s="862"/>
      <c r="C3" s="862"/>
      <c r="D3" s="862"/>
      <c r="E3" s="862"/>
      <c r="F3" s="862"/>
      <c r="G3" s="862"/>
      <c r="H3" s="862"/>
    </row>
    <row r="4" ht="22.15" customHeight="1" spans="1:8" x14ac:dyDescent="0.25">
      <c r="A4" s="82" t="s">
        <v>971</v>
      </c>
      <c r="B4" s="82" t="s">
        <v>972</v>
      </c>
      <c r="C4" s="82" t="s">
        <v>973</v>
      </c>
      <c r="D4" s="82" t="s">
        <v>974</v>
      </c>
      <c r="E4" s="82" t="s">
        <v>975</v>
      </c>
      <c r="F4" s="82" t="s">
        <v>976</v>
      </c>
      <c r="G4" s="82" t="s">
        <v>977</v>
      </c>
      <c r="H4" s="82" t="s">
        <v>939</v>
      </c>
    </row>
    <row r="5" ht="19.9" customHeight="1" spans="1:8" x14ac:dyDescent="0.25">
      <c r="A5" s="871"/>
      <c r="B5" s="871"/>
      <c r="C5" s="871"/>
      <c r="D5" s="871"/>
      <c r="E5" s="871"/>
      <c r="F5" s="871"/>
      <c r="G5" s="871"/>
      <c r="H5" s="871"/>
    </row>
    <row r="6" ht="19.9" customHeight="1" spans="1:8" x14ac:dyDescent="0.25">
      <c r="A6" s="871"/>
      <c r="B6" s="871"/>
      <c r="C6" s="871"/>
      <c r="D6" s="871"/>
      <c r="E6" s="871"/>
      <c r="F6" s="871"/>
      <c r="G6" s="871"/>
      <c r="H6" s="871"/>
    </row>
    <row r="7" ht="19.9" customHeight="1" spans="1:8" x14ac:dyDescent="0.25">
      <c r="A7" s="871"/>
      <c r="B7" s="871"/>
      <c r="C7" s="871"/>
      <c r="D7" s="871"/>
      <c r="E7" s="871"/>
      <c r="F7" s="871"/>
      <c r="G7" s="871"/>
      <c r="H7" s="871"/>
    </row>
    <row r="8" ht="19.9" customHeight="1" spans="1:8" x14ac:dyDescent="0.25">
      <c r="A8" s="871"/>
      <c r="B8" s="871"/>
      <c r="C8" s="871"/>
      <c r="D8" s="871"/>
      <c r="E8" s="871"/>
      <c r="F8" s="871"/>
      <c r="G8" s="871"/>
      <c r="H8" s="871"/>
    </row>
    <row r="9" ht="19.9" customHeight="1" spans="1:8" x14ac:dyDescent="0.25">
      <c r="A9" s="871"/>
      <c r="B9" s="871"/>
      <c r="C9" s="871"/>
      <c r="D9" s="871"/>
      <c r="E9" s="871"/>
      <c r="F9" s="871"/>
      <c r="G9" s="871"/>
      <c r="H9" s="871"/>
    </row>
    <row r="10" ht="19.9" customHeight="1" spans="1:8" x14ac:dyDescent="0.25">
      <c r="A10" s="871"/>
      <c r="B10" s="871"/>
      <c r="C10" s="871"/>
      <c r="D10" s="871"/>
      <c r="E10" s="871"/>
      <c r="F10" s="871"/>
      <c r="G10" s="871"/>
      <c r="H10" s="871"/>
    </row>
    <row r="11" ht="19.9" customHeight="1" spans="1:8" x14ac:dyDescent="0.25">
      <c r="A11" s="871"/>
      <c r="B11" s="871"/>
      <c r="C11" s="871"/>
      <c r="D11" s="871"/>
      <c r="E11" s="871"/>
      <c r="F11" s="871"/>
      <c r="G11" s="871"/>
      <c r="H11" s="871"/>
    </row>
    <row r="12" ht="19.9" customHeight="1" spans="1:8" x14ac:dyDescent="0.25">
      <c r="A12" s="871"/>
      <c r="B12" s="871"/>
      <c r="C12" s="871"/>
      <c r="D12" s="871"/>
      <c r="E12" s="871"/>
      <c r="F12" s="871"/>
      <c r="G12" s="871"/>
      <c r="H12" s="871"/>
    </row>
    <row r="13" ht="19.9" customHeight="1" spans="1:8" x14ac:dyDescent="0.25">
      <c r="A13" s="871"/>
      <c r="B13" s="871"/>
      <c r="C13" s="871"/>
      <c r="D13" s="871"/>
      <c r="E13" s="871"/>
      <c r="F13" s="871"/>
      <c r="G13" s="871"/>
      <c r="H13" s="871"/>
    </row>
    <row r="14" ht="19.9" customHeight="1" spans="1:8" x14ac:dyDescent="0.25">
      <c r="A14" s="871"/>
      <c r="B14" s="871"/>
      <c r="C14" s="871"/>
      <c r="D14" s="871"/>
      <c r="E14" s="871"/>
      <c r="F14" s="871"/>
      <c r="G14" s="871"/>
      <c r="H14" s="871"/>
    </row>
    <row r="15" ht="19.9" customHeight="1" spans="1:8" x14ac:dyDescent="0.25">
      <c r="A15" s="874" t="s">
        <v>313</v>
      </c>
      <c r="B15" s="876">
        <f t="shared" ref="B15:G15" si="0">SUM(B5:B14)</f>
        <v>0</v>
      </c>
      <c r="C15" s="876">
        <f t="shared" si="0"/>
        <v>0</v>
      </c>
      <c r="D15" s="876">
        <f t="shared" si="0"/>
        <v>0</v>
      </c>
      <c r="E15" s="876">
        <f t="shared" si="0"/>
        <v>0</v>
      </c>
      <c r="F15" s="876">
        <f t="shared" si="0"/>
        <v>0</v>
      </c>
      <c r="G15" s="876">
        <f t="shared" si="0"/>
        <v>0</v>
      </c>
      <c r="H15" s="875"/>
    </row>
    <row r="17" ht="15" customHeight="1" spans="1:8" x14ac:dyDescent="0.25">
      <c r="A17" s="88" t="s">
        <v>978</v>
      </c>
      <c r="B17" s="89"/>
      <c r="C17" s="89"/>
      <c r="D17" s="89"/>
      <c r="E17" s="89"/>
      <c r="F17" s="89"/>
      <c r="G17" s="89"/>
      <c r="H17" s="89"/>
    </row>
  </sheetData>
  <mergeCells count="4">
    <mergeCell ref="A1:H1"/>
    <mergeCell ref="A2:H2"/>
    <mergeCell ref="A3:H3"/>
    <mergeCell ref="A17:H17"/>
  </mergeCells>
  <printOptions horizontalCentered="1"/>
  <pageMargins left="0.35" right="0.35" top="0.55" bottom="0.55" header="0.2" footer="0.2"/>
  <pageSetup paperSize="9" orientation="landscape" horizontalDpi="4294967295" verticalDpi="4294967295" scale="100" fitToWidth="1" fitToHeight="0" firstPageNumber="1" useFirstPageNumber="1" copies="1"/>
  <headerFooter>
    <oddFooter>&amp;LCAFlow template&amp;RPage &amp;P of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AD47"/>
    <pageSetUpPr fitToPage="1"/>
  </sheetPr>
  <dimension ref="A1:J19"/>
  <sheetViews>
    <sheetView workbookViewId="0" showGridLines="0" zoomScale="100" zoomScaleNormal="100"/>
  </sheetViews>
  <sheetFormatPr defaultRowHeight="15" outlineLevelRow="0" outlineLevelCol="0" x14ac:dyDescent="0"/>
  <cols>
    <col min="1" max="1" width="18" customWidth="1"/>
    <col min="2" max="2" width="30" customWidth="1"/>
    <col min="3" max="3" width="18" customWidth="1"/>
    <col min="4" max="5" width="14" customWidth="1"/>
    <col min="6" max="6" width="10" customWidth="1"/>
    <col min="7" max="7" width="18" customWidth="1"/>
    <col min="8" max="8" width="16" customWidth="1"/>
    <col min="9" max="9" width="12" customWidth="1"/>
    <col min="10" max="10" width="22" customWidth="1"/>
  </cols>
  <sheetData>
    <row r="1" ht="28.15" customHeight="1" spans="1:10" x14ac:dyDescent="0.25">
      <c r="A1" s="78" t="s">
        <v>979</v>
      </c>
      <c r="B1" s="79"/>
      <c r="C1" s="79"/>
      <c r="D1" s="79"/>
      <c r="E1" s="79"/>
      <c r="F1" s="79"/>
      <c r="G1" s="79"/>
      <c r="H1" s="79"/>
      <c r="I1" s="79"/>
      <c r="J1" s="79"/>
    </row>
    <row r="2" ht="19.9" customHeight="1" spans="1:10" x14ac:dyDescent="0.25">
      <c r="A2" s="80" t="s">
        <v>980</v>
      </c>
      <c r="B2" s="79"/>
      <c r="C2" s="79"/>
      <c r="D2" s="79"/>
      <c r="E2" s="79"/>
      <c r="F2" s="79"/>
      <c r="G2" s="79"/>
      <c r="H2" s="79"/>
      <c r="I2" s="79"/>
      <c r="J2" s="79"/>
    </row>
    <row r="3" ht="4.9" customHeight="1" spans="1:10" x14ac:dyDescent="0.25">
      <c r="A3" s="861"/>
      <c r="B3" s="862"/>
      <c r="C3" s="862"/>
      <c r="D3" s="862"/>
      <c r="E3" s="862"/>
      <c r="F3" s="862"/>
      <c r="G3" s="862"/>
      <c r="H3" s="862"/>
      <c r="I3" s="862"/>
      <c r="J3" s="862"/>
    </row>
    <row r="4" ht="48" customHeight="1" spans="1:10" x14ac:dyDescent="0.25">
      <c r="A4" s="877" t="s">
        <v>981</v>
      </c>
      <c r="B4" s="864"/>
      <c r="C4" s="864"/>
      <c r="D4" s="864"/>
      <c r="E4" s="864"/>
      <c r="F4" s="864"/>
      <c r="G4" s="864"/>
      <c r="H4" s="864"/>
      <c r="I4" s="864"/>
      <c r="J4" s="864"/>
    </row>
    <row r="5" ht="22.15" customHeight="1" spans="1:10" x14ac:dyDescent="0.25">
      <c r="A5" s="82" t="s">
        <v>982</v>
      </c>
      <c r="B5" s="82" t="s">
        <v>983</v>
      </c>
      <c r="C5" s="82" t="s">
        <v>935</v>
      </c>
      <c r="D5" s="82" t="s">
        <v>952</v>
      </c>
      <c r="E5" s="82" t="s">
        <v>296</v>
      </c>
      <c r="F5" s="82" t="s">
        <v>984</v>
      </c>
      <c r="G5" s="82" t="s">
        <v>985</v>
      </c>
      <c r="H5" s="82" t="s">
        <v>986</v>
      </c>
      <c r="I5" s="82" t="s">
        <v>987</v>
      </c>
      <c r="J5" s="82" t="s">
        <v>939</v>
      </c>
    </row>
    <row r="6" ht="19.9" customHeight="1" spans="1:10" x14ac:dyDescent="0.25">
      <c r="A6" s="871"/>
      <c r="B6" s="871"/>
      <c r="C6" s="871"/>
      <c r="D6" s="871"/>
      <c r="E6" s="871"/>
      <c r="F6" s="871"/>
      <c r="G6" s="871"/>
      <c r="H6" s="871"/>
      <c r="I6" s="871"/>
      <c r="J6" s="871"/>
    </row>
    <row r="7" ht="19.9" customHeight="1" spans="1:10" x14ac:dyDescent="0.25">
      <c r="A7" s="871"/>
      <c r="B7" s="871"/>
      <c r="C7" s="871"/>
      <c r="D7" s="871"/>
      <c r="E7" s="871"/>
      <c r="F7" s="871"/>
      <c r="G7" s="871"/>
      <c r="H7" s="871"/>
      <c r="I7" s="871"/>
      <c r="J7" s="871"/>
    </row>
    <row r="8" ht="19.9" customHeight="1" spans="1:10" x14ac:dyDescent="0.25">
      <c r="A8" s="871"/>
      <c r="B8" s="871"/>
      <c r="C8" s="871"/>
      <c r="D8" s="871"/>
      <c r="E8" s="871"/>
      <c r="F8" s="871"/>
      <c r="G8" s="871"/>
      <c r="H8" s="871"/>
      <c r="I8" s="871"/>
      <c r="J8" s="871"/>
    </row>
    <row r="9" ht="19.9" customHeight="1" spans="1:10" x14ac:dyDescent="0.25">
      <c r="A9" s="871"/>
      <c r="B9" s="871"/>
      <c r="C9" s="871"/>
      <c r="D9" s="871"/>
      <c r="E9" s="871"/>
      <c r="F9" s="871"/>
      <c r="G9" s="871"/>
      <c r="H9" s="871"/>
      <c r="I9" s="871"/>
      <c r="J9" s="871"/>
    </row>
    <row r="10" ht="19.9" customHeight="1" spans="1:10" x14ac:dyDescent="0.25">
      <c r="A10" s="871"/>
      <c r="B10" s="871"/>
      <c r="C10" s="871"/>
      <c r="D10" s="871"/>
      <c r="E10" s="871"/>
      <c r="F10" s="871"/>
      <c r="G10" s="871"/>
      <c r="H10" s="871"/>
      <c r="I10" s="871"/>
      <c r="J10" s="871"/>
    </row>
    <row r="11" ht="19.9" customHeight="1" spans="1:10" x14ac:dyDescent="0.25">
      <c r="A11" s="871"/>
      <c r="B11" s="871"/>
      <c r="C11" s="871"/>
      <c r="D11" s="871"/>
      <c r="E11" s="871"/>
      <c r="F11" s="871"/>
      <c r="G11" s="871"/>
      <c r="H11" s="871"/>
      <c r="I11" s="871"/>
      <c r="J11" s="871"/>
    </row>
    <row r="12" ht="19.9" customHeight="1" spans="1:10" x14ac:dyDescent="0.25">
      <c r="A12" s="871"/>
      <c r="B12" s="871"/>
      <c r="C12" s="871"/>
      <c r="D12" s="871"/>
      <c r="E12" s="871"/>
      <c r="F12" s="871"/>
      <c r="G12" s="871"/>
      <c r="H12" s="871"/>
      <c r="I12" s="871"/>
      <c r="J12" s="871"/>
    </row>
    <row r="13" ht="19.9" customHeight="1" spans="1:10" x14ac:dyDescent="0.25">
      <c r="A13" s="871"/>
      <c r="B13" s="871"/>
      <c r="C13" s="871"/>
      <c r="D13" s="871"/>
      <c r="E13" s="871"/>
      <c r="F13" s="871"/>
      <c r="G13" s="871"/>
      <c r="H13" s="871"/>
      <c r="I13" s="871"/>
      <c r="J13" s="871"/>
    </row>
    <row r="14" ht="19.9" customHeight="1" spans="1:10" x14ac:dyDescent="0.25">
      <c r="A14" s="871"/>
      <c r="B14" s="871"/>
      <c r="C14" s="871"/>
      <c r="D14" s="871"/>
      <c r="E14" s="871"/>
      <c r="F14" s="871"/>
      <c r="G14" s="871"/>
      <c r="H14" s="871"/>
      <c r="I14" s="871"/>
      <c r="J14" s="871"/>
    </row>
    <row r="15" ht="19.9" customHeight="1" spans="1:10" x14ac:dyDescent="0.25">
      <c r="A15" s="871"/>
      <c r="B15" s="871"/>
      <c r="C15" s="871"/>
      <c r="D15" s="871"/>
      <c r="E15" s="871"/>
      <c r="F15" s="871"/>
      <c r="G15" s="871"/>
      <c r="H15" s="871"/>
      <c r="I15" s="871"/>
      <c r="J15" s="871"/>
    </row>
    <row r="16" ht="19.9" customHeight="1" spans="1:10" x14ac:dyDescent="0.25">
      <c r="A16" s="871"/>
      <c r="B16" s="871"/>
      <c r="C16" s="871"/>
      <c r="D16" s="871"/>
      <c r="E16" s="871"/>
      <c r="F16" s="871"/>
      <c r="G16" s="871"/>
      <c r="H16" s="871"/>
      <c r="I16" s="871"/>
      <c r="J16" s="871"/>
    </row>
    <row r="17" ht="19.9" customHeight="1" spans="1:10" x14ac:dyDescent="0.25">
      <c r="A17" s="871"/>
      <c r="B17" s="871"/>
      <c r="C17" s="871"/>
      <c r="D17" s="871"/>
      <c r="E17" s="871"/>
      <c r="F17" s="871"/>
      <c r="G17" s="871"/>
      <c r="H17" s="871"/>
      <c r="I17" s="871"/>
      <c r="J17" s="871"/>
    </row>
    <row r="19" ht="25.9" customHeight="1" spans="1:10" x14ac:dyDescent="0.25">
      <c r="A19" s="88" t="s">
        <v>988</v>
      </c>
      <c r="B19" s="89"/>
      <c r="C19" s="89"/>
      <c r="D19" s="89"/>
      <c r="E19" s="89"/>
      <c r="F19" s="89"/>
      <c r="G19" s="89"/>
      <c r="H19" s="89"/>
      <c r="I19" s="89"/>
      <c r="J19" s="89"/>
    </row>
  </sheetData>
  <mergeCells count="5">
    <mergeCell ref="A1:J1"/>
    <mergeCell ref="A2:J2"/>
    <mergeCell ref="A3:J3"/>
    <mergeCell ref="A4:J4"/>
    <mergeCell ref="A19:J19"/>
  </mergeCells>
  <printOptions horizontalCentered="1"/>
  <pageMargins left="0.35" right="0.35" top="0.55" bottom="0.55" header="0.2" footer="0.2"/>
  <pageSetup paperSize="9" orientation="landscape" horizontalDpi="4294967295" verticalDpi="4294967295" scale="100" fitToWidth="1" fitToHeight="0" firstPageNumber="1" useFirstPageNumber="1" copies="1"/>
  <headerFooter>
    <oddFooter>&amp;LCAFlow template&amp;RPage &amp;P of &amp;N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AD47"/>
    <pageSetUpPr fitToPage="1"/>
  </sheetPr>
  <dimension ref="A1:H17"/>
  <sheetViews>
    <sheetView workbookViewId="0" showGridLines="0" zoomScale="100" zoomScaleNormal="100"/>
  </sheetViews>
  <sheetFormatPr defaultRowHeight="15" outlineLevelRow="0" outlineLevelCol="0" x14ac:dyDescent="0"/>
  <cols>
    <col min="1" max="1" width="12" customWidth="1"/>
    <col min="2" max="2" width="22" customWidth="1"/>
    <col min="3" max="3" width="16" customWidth="1"/>
    <col min="4" max="4" width="26" customWidth="1"/>
    <col min="5" max="6" width="16" customWidth="1"/>
    <col min="7" max="7" width="18" customWidth="1"/>
    <col min="8" max="8" width="24" customWidth="1"/>
  </cols>
  <sheetData>
    <row r="1" ht="28.15" customHeight="1" spans="1:8" x14ac:dyDescent="0.25">
      <c r="A1" s="78" t="s">
        <v>989</v>
      </c>
      <c r="B1" s="79"/>
      <c r="C1" s="79"/>
      <c r="D1" s="79"/>
      <c r="E1" s="79"/>
      <c r="F1" s="79"/>
      <c r="G1" s="79"/>
      <c r="H1" s="79"/>
    </row>
    <row r="2" ht="19.9" customHeight="1" spans="1:8" x14ac:dyDescent="0.25">
      <c r="A2" s="80" t="s">
        <v>990</v>
      </c>
      <c r="B2" s="79"/>
      <c r="C2" s="79"/>
      <c r="D2" s="79"/>
      <c r="E2" s="79"/>
      <c r="F2" s="79"/>
      <c r="G2" s="79"/>
      <c r="H2" s="79"/>
    </row>
    <row r="3" ht="4.9" customHeight="1" spans="1:8" x14ac:dyDescent="0.25">
      <c r="A3" s="861"/>
      <c r="B3" s="862"/>
      <c r="C3" s="862"/>
      <c r="D3" s="862"/>
      <c r="E3" s="862"/>
      <c r="F3" s="862"/>
      <c r="G3" s="862"/>
      <c r="H3" s="862"/>
    </row>
    <row r="4" ht="22.15" customHeight="1" spans="1:8" x14ac:dyDescent="0.25">
      <c r="A4" s="82" t="s">
        <v>991</v>
      </c>
      <c r="B4" s="82" t="s">
        <v>982</v>
      </c>
      <c r="C4" s="82" t="s">
        <v>992</v>
      </c>
      <c r="D4" s="82" t="s">
        <v>993</v>
      </c>
      <c r="E4" s="82" t="s">
        <v>994</v>
      </c>
      <c r="F4" s="82" t="s">
        <v>995</v>
      </c>
      <c r="G4" s="82" t="s">
        <v>996</v>
      </c>
      <c r="H4" s="82" t="s">
        <v>939</v>
      </c>
    </row>
    <row r="5" ht="19.9" customHeight="1" spans="1:8" x14ac:dyDescent="0.25">
      <c r="A5" s="871"/>
      <c r="B5" s="871"/>
      <c r="C5" s="871"/>
      <c r="D5" s="871"/>
      <c r="E5" s="871"/>
      <c r="F5" s="871"/>
      <c r="G5" s="871"/>
      <c r="H5" s="871"/>
    </row>
    <row r="6" ht="19.9" customHeight="1" spans="1:8" x14ac:dyDescent="0.25">
      <c r="A6" s="871"/>
      <c r="B6" s="871"/>
      <c r="C6" s="871"/>
      <c r="D6" s="871"/>
      <c r="E6" s="871"/>
      <c r="F6" s="871"/>
      <c r="G6" s="871"/>
      <c r="H6" s="871"/>
    </row>
    <row r="7" ht="19.9" customHeight="1" spans="1:8" x14ac:dyDescent="0.25">
      <c r="A7" s="871"/>
      <c r="B7" s="871"/>
      <c r="C7" s="871"/>
      <c r="D7" s="871"/>
      <c r="E7" s="871"/>
      <c r="F7" s="871"/>
      <c r="G7" s="871"/>
      <c r="H7" s="871"/>
    </row>
    <row r="8" ht="19.9" customHeight="1" spans="1:8" x14ac:dyDescent="0.25">
      <c r="A8" s="871"/>
      <c r="B8" s="871"/>
      <c r="C8" s="871"/>
      <c r="D8" s="871"/>
      <c r="E8" s="871"/>
      <c r="F8" s="871"/>
      <c r="G8" s="871"/>
      <c r="H8" s="871"/>
    </row>
    <row r="9" ht="19.9" customHeight="1" spans="1:8" x14ac:dyDescent="0.25">
      <c r="A9" s="871"/>
      <c r="B9" s="871"/>
      <c r="C9" s="871"/>
      <c r="D9" s="871"/>
      <c r="E9" s="871"/>
      <c r="F9" s="871"/>
      <c r="G9" s="871"/>
      <c r="H9" s="871"/>
    </row>
    <row r="10" ht="19.9" customHeight="1" spans="1:8" x14ac:dyDescent="0.25">
      <c r="A10" s="871"/>
      <c r="B10" s="871"/>
      <c r="C10" s="871"/>
      <c r="D10" s="871"/>
      <c r="E10" s="871"/>
      <c r="F10" s="871"/>
      <c r="G10" s="871"/>
      <c r="H10" s="871"/>
    </row>
    <row r="11" ht="19.9" customHeight="1" spans="1:8" x14ac:dyDescent="0.25">
      <c r="A11" s="871"/>
      <c r="B11" s="871"/>
      <c r="C11" s="871"/>
      <c r="D11" s="871"/>
      <c r="E11" s="871"/>
      <c r="F11" s="871"/>
      <c r="G11" s="871"/>
      <c r="H11" s="871"/>
    </row>
    <row r="12" ht="19.9" customHeight="1" spans="1:8" x14ac:dyDescent="0.25">
      <c r="A12" s="871"/>
      <c r="B12" s="871"/>
      <c r="C12" s="871"/>
      <c r="D12" s="871"/>
      <c r="E12" s="871"/>
      <c r="F12" s="871"/>
      <c r="G12" s="871"/>
      <c r="H12" s="871"/>
    </row>
    <row r="13" ht="19.9" customHeight="1" spans="1:8" x14ac:dyDescent="0.25">
      <c r="A13" s="871"/>
      <c r="B13" s="871"/>
      <c r="C13" s="871"/>
      <c r="D13" s="871"/>
      <c r="E13" s="871"/>
      <c r="F13" s="871"/>
      <c r="G13" s="871"/>
      <c r="H13" s="871"/>
    </row>
    <row r="14" ht="19.9" customHeight="1" spans="1:8" x14ac:dyDescent="0.25">
      <c r="A14" s="871"/>
      <c r="B14" s="871"/>
      <c r="C14" s="871"/>
      <c r="D14" s="871"/>
      <c r="E14" s="871"/>
      <c r="F14" s="871"/>
      <c r="G14" s="871"/>
      <c r="H14" s="871"/>
    </row>
    <row r="15" ht="19.9" customHeight="1" spans="1:8" x14ac:dyDescent="0.25">
      <c r="A15" s="875"/>
      <c r="B15" s="874" t="s">
        <v>313</v>
      </c>
      <c r="C15" s="876">
        <f>SUM(C5:C14)</f>
        <v>0</v>
      </c>
      <c r="D15" s="876">
        <f>SUM(D5:D14)</f>
        <v>0</v>
      </c>
      <c r="E15" s="876">
        <f>SUM(E5:E14)</f>
        <v>0</v>
      </c>
      <c r="F15" s="876">
        <f>SUM(F5:F14)</f>
        <v>0</v>
      </c>
      <c r="G15" s="875"/>
      <c r="H15" s="875"/>
    </row>
    <row r="17" ht="15" customHeight="1" spans="1:8" x14ac:dyDescent="0.25">
      <c r="A17" s="88" t="s">
        <v>997</v>
      </c>
      <c r="B17" s="89"/>
      <c r="C17" s="89"/>
      <c r="D17" s="89"/>
      <c r="E17" s="89"/>
      <c r="F17" s="89"/>
      <c r="G17" s="89"/>
      <c r="H17" s="89"/>
    </row>
  </sheetData>
  <mergeCells count="4">
    <mergeCell ref="A1:H1"/>
    <mergeCell ref="A2:H2"/>
    <mergeCell ref="A3:H3"/>
    <mergeCell ref="A17:H17"/>
  </mergeCells>
  <printOptions horizontalCentered="1"/>
  <pageMargins left="0.35" right="0.35" top="0.55" bottom="0.55" header="0.2" footer="0.2"/>
  <pageSetup paperSize="9" orientation="landscape" horizontalDpi="4294967295" verticalDpi="4294967295" scale="100" fitToWidth="1" fitToHeight="0" firstPageNumber="1" useFirstPageNumber="1" copies="1"/>
  <headerFooter>
    <oddFooter>&amp;LCAFlow template&amp;RPage &amp;P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AD47"/>
    <pageSetUpPr fitToPage="1"/>
  </sheetPr>
  <dimension ref="A1:F19"/>
  <sheetViews>
    <sheetView workbookViewId="0" showGridLines="0" zoomScale="100" zoomScaleNormal="100"/>
  </sheetViews>
  <sheetFormatPr defaultRowHeight="15" outlineLevelRow="0" outlineLevelCol="0" x14ac:dyDescent="0"/>
  <cols>
    <col min="1" max="1" width="16" customWidth="1"/>
    <col min="2" max="3" width="18" customWidth="1"/>
    <col min="4" max="4" width="16" customWidth="1"/>
    <col min="5" max="5" width="20" customWidth="1"/>
    <col min="6" max="6" width="28" customWidth="1"/>
  </cols>
  <sheetData>
    <row r="1" ht="28.15" customHeight="1" spans="1:6" x14ac:dyDescent="0.25">
      <c r="A1" s="78" t="s">
        <v>998</v>
      </c>
      <c r="B1" s="79"/>
      <c r="C1" s="79"/>
      <c r="D1" s="79"/>
      <c r="E1" s="79"/>
      <c r="F1" s="79"/>
    </row>
    <row r="2" ht="19.9" customHeight="1" spans="1:6" x14ac:dyDescent="0.25">
      <c r="A2" s="80" t="s">
        <v>999</v>
      </c>
      <c r="B2" s="79"/>
      <c r="C2" s="79"/>
      <c r="D2" s="79"/>
      <c r="E2" s="79"/>
      <c r="F2" s="79"/>
    </row>
    <row r="3" ht="4.9" customHeight="1" spans="1:6" x14ac:dyDescent="0.25">
      <c r="A3" s="861"/>
      <c r="B3" s="862"/>
      <c r="C3" s="862"/>
      <c r="D3" s="862"/>
      <c r="E3" s="862"/>
      <c r="F3" s="862"/>
    </row>
    <row r="4" ht="22.15" customHeight="1" spans="1:6" x14ac:dyDescent="0.25">
      <c r="A4" s="82" t="s">
        <v>1000</v>
      </c>
      <c r="B4" s="82" t="s">
        <v>1001</v>
      </c>
      <c r="C4" s="82" t="s">
        <v>1002</v>
      </c>
      <c r="D4" s="82" t="s">
        <v>1003</v>
      </c>
      <c r="E4" s="82" t="s">
        <v>1004</v>
      </c>
      <c r="F4" s="82" t="s">
        <v>939</v>
      </c>
    </row>
    <row r="5" ht="19.9" customHeight="1" spans="1:6" x14ac:dyDescent="0.25">
      <c r="A5" s="871"/>
      <c r="B5" s="871"/>
      <c r="C5" s="871"/>
      <c r="D5" s="871"/>
      <c r="E5" s="871"/>
      <c r="F5" s="871"/>
    </row>
    <row r="6" ht="19.9" customHeight="1" spans="1:6" x14ac:dyDescent="0.25">
      <c r="A6" s="871"/>
      <c r="B6" s="871"/>
      <c r="C6" s="871"/>
      <c r="D6" s="871"/>
      <c r="E6" s="871"/>
      <c r="F6" s="871"/>
    </row>
    <row r="7" ht="19.9" customHeight="1" spans="1:6" x14ac:dyDescent="0.25">
      <c r="A7" s="871"/>
      <c r="B7" s="871"/>
      <c r="C7" s="871"/>
      <c r="D7" s="871"/>
      <c r="E7" s="871"/>
      <c r="F7" s="871"/>
    </row>
    <row r="8" ht="19.9" customHeight="1" spans="1:6" x14ac:dyDescent="0.25">
      <c r="A8" s="871"/>
      <c r="B8" s="871"/>
      <c r="C8" s="871"/>
      <c r="D8" s="871"/>
      <c r="E8" s="871"/>
      <c r="F8" s="871"/>
    </row>
    <row r="9" ht="19.9" customHeight="1" spans="1:6" x14ac:dyDescent="0.25">
      <c r="A9" s="871"/>
      <c r="B9" s="871"/>
      <c r="C9" s="871"/>
      <c r="D9" s="871"/>
      <c r="E9" s="871"/>
      <c r="F9" s="871"/>
    </row>
    <row r="10" ht="19.9" customHeight="1" spans="1:6" x14ac:dyDescent="0.25">
      <c r="A10" s="871"/>
      <c r="B10" s="871"/>
      <c r="C10" s="871"/>
      <c r="D10" s="871"/>
      <c r="E10" s="871"/>
      <c r="F10" s="871"/>
    </row>
    <row r="11" ht="19.9" customHeight="1" spans="1:6" x14ac:dyDescent="0.25">
      <c r="A11" s="871"/>
      <c r="B11" s="871"/>
      <c r="C11" s="871"/>
      <c r="D11" s="871"/>
      <c r="E11" s="871"/>
      <c r="F11" s="871"/>
    </row>
    <row r="12" ht="19.9" customHeight="1" spans="1:6" x14ac:dyDescent="0.25">
      <c r="A12" s="871"/>
      <c r="B12" s="871"/>
      <c r="C12" s="871"/>
      <c r="D12" s="871"/>
      <c r="E12" s="871"/>
      <c r="F12" s="871"/>
    </row>
    <row r="13" ht="19.9" customHeight="1" spans="1:6" x14ac:dyDescent="0.25">
      <c r="A13" s="871"/>
      <c r="B13" s="871"/>
      <c r="C13" s="871"/>
      <c r="D13" s="871"/>
      <c r="E13" s="871"/>
      <c r="F13" s="871"/>
    </row>
    <row r="14" ht="19.9" customHeight="1" spans="1:6" x14ac:dyDescent="0.25">
      <c r="A14" s="871"/>
      <c r="B14" s="871"/>
      <c r="C14" s="871"/>
      <c r="D14" s="871"/>
      <c r="E14" s="871"/>
      <c r="F14" s="871"/>
    </row>
    <row r="15" ht="19.9" customHeight="1" spans="1:6" x14ac:dyDescent="0.25">
      <c r="A15" s="871"/>
      <c r="B15" s="871"/>
      <c r="C15" s="871"/>
      <c r="D15" s="871"/>
      <c r="E15" s="871"/>
      <c r="F15" s="871"/>
    </row>
    <row r="16" ht="19.9" customHeight="1" spans="1:6" x14ac:dyDescent="0.25">
      <c r="A16" s="871"/>
      <c r="B16" s="871"/>
      <c r="C16" s="871"/>
      <c r="D16" s="871"/>
      <c r="E16" s="871"/>
      <c r="F16" s="871"/>
    </row>
    <row r="17" ht="19.9" customHeight="1" spans="1:6" x14ac:dyDescent="0.25">
      <c r="A17" s="874" t="s">
        <v>313</v>
      </c>
      <c r="B17" s="876">
        <f>SUM(B5:B16)</f>
        <v>0</v>
      </c>
      <c r="C17" s="876">
        <f>SUM(C5:C16)</f>
        <v>0</v>
      </c>
      <c r="D17" s="875"/>
      <c r="E17" s="875"/>
      <c r="F17" s="875"/>
    </row>
    <row r="19" ht="15" customHeight="1" spans="1:6" x14ac:dyDescent="0.25">
      <c r="A19" s="88" t="s">
        <v>1005</v>
      </c>
      <c r="B19" s="89"/>
      <c r="C19" s="89"/>
      <c r="D19" s="89"/>
      <c r="E19" s="89"/>
      <c r="F19" s="89"/>
    </row>
  </sheetData>
  <mergeCells count="4">
    <mergeCell ref="A1:F1"/>
    <mergeCell ref="A2:F2"/>
    <mergeCell ref="A3:F3"/>
    <mergeCell ref="A19:F19"/>
  </mergeCells>
  <printOptions horizontalCentered="1"/>
  <pageMargins left="0.35" right="0.35" top="0.55" bottom="0.55" header="0.2" footer="0.2"/>
  <pageSetup paperSize="9" orientation="landscape" horizontalDpi="4294967295" verticalDpi="4294967295" scale="100" fitToWidth="1" fitToHeight="0" firstPageNumber="1" useFirstPageNumber="1" copies="1"/>
  <headerFooter>
    <oddFooter>&amp;LCAFlow template&amp;RPage &amp;P of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AD47"/>
    <pageSetUpPr fitToPage="1"/>
  </sheetPr>
  <dimension ref="A1:J19"/>
  <sheetViews>
    <sheetView workbookViewId="0" showGridLines="0" zoomScale="100" zoomScaleNormal="100"/>
  </sheetViews>
  <sheetFormatPr defaultRowHeight="15" outlineLevelRow="0" outlineLevelCol="0" x14ac:dyDescent="0"/>
  <cols>
    <col min="1" max="1" width="14" customWidth="1"/>
    <col min="2" max="2" width="12" customWidth="1"/>
    <col min="3" max="3" width="26" customWidth="1"/>
    <col min="4" max="4" width="16" customWidth="1"/>
    <col min="5" max="5" width="18" customWidth="1"/>
    <col min="6" max="7" width="16" customWidth="1"/>
    <col min="8" max="8" width="14" customWidth="1"/>
    <col min="9" max="9" width="18" customWidth="1"/>
    <col min="10" max="10" width="22" customWidth="1"/>
  </cols>
  <sheetData>
    <row r="1" ht="28.15" customHeight="1" spans="1:10" x14ac:dyDescent="0.25">
      <c r="A1" s="78" t="s">
        <v>1006</v>
      </c>
      <c r="B1" s="79"/>
      <c r="C1" s="79"/>
      <c r="D1" s="79"/>
      <c r="E1" s="79"/>
      <c r="F1" s="79"/>
      <c r="G1" s="79"/>
      <c r="H1" s="79"/>
      <c r="I1" s="79"/>
      <c r="J1" s="79"/>
    </row>
    <row r="2" ht="19.9" customHeight="1" spans="1:10" x14ac:dyDescent="0.25">
      <c r="A2" s="80" t="s">
        <v>1007</v>
      </c>
      <c r="B2" s="79"/>
      <c r="C2" s="79"/>
      <c r="D2" s="79"/>
      <c r="E2" s="79"/>
      <c r="F2" s="79"/>
      <c r="G2" s="79"/>
      <c r="H2" s="79"/>
      <c r="I2" s="79"/>
      <c r="J2" s="79"/>
    </row>
    <row r="3" ht="4.9" customHeight="1" spans="1:10" x14ac:dyDescent="0.25">
      <c r="A3" s="861"/>
      <c r="B3" s="862"/>
      <c r="C3" s="862"/>
      <c r="D3" s="862"/>
      <c r="E3" s="862"/>
      <c r="F3" s="862"/>
      <c r="G3" s="862"/>
      <c r="H3" s="862"/>
      <c r="I3" s="862"/>
      <c r="J3" s="862"/>
    </row>
    <row r="4" ht="22.15" customHeight="1" spans="1:10" x14ac:dyDescent="0.25">
      <c r="A4" s="82" t="s">
        <v>29</v>
      </c>
      <c r="B4" s="82" t="s">
        <v>1000</v>
      </c>
      <c r="C4" s="82" t="s">
        <v>1008</v>
      </c>
      <c r="D4" s="82" t="s">
        <v>1009</v>
      </c>
      <c r="E4" s="82" t="s">
        <v>1010</v>
      </c>
      <c r="F4" s="82" t="s">
        <v>1011</v>
      </c>
      <c r="G4" s="82" t="s">
        <v>1012</v>
      </c>
      <c r="H4" s="82" t="s">
        <v>1013</v>
      </c>
      <c r="I4" s="82" t="s">
        <v>1014</v>
      </c>
      <c r="J4" s="82" t="s">
        <v>939</v>
      </c>
    </row>
    <row r="5" ht="19.9" customHeight="1" spans="1:10" x14ac:dyDescent="0.25">
      <c r="A5" s="871"/>
      <c r="B5" s="871"/>
      <c r="C5" s="871"/>
      <c r="D5" s="871"/>
      <c r="E5" s="871"/>
      <c r="F5" s="871"/>
      <c r="G5" s="871"/>
      <c r="H5" s="871"/>
      <c r="I5" s="871"/>
      <c r="J5" s="871"/>
    </row>
    <row r="6" ht="19.9" customHeight="1" spans="1:10" x14ac:dyDescent="0.25">
      <c r="A6" s="871"/>
      <c r="B6" s="871"/>
      <c r="C6" s="871"/>
      <c r="D6" s="871"/>
      <c r="E6" s="871"/>
      <c r="F6" s="871"/>
      <c r="G6" s="871"/>
      <c r="H6" s="871"/>
      <c r="I6" s="871"/>
      <c r="J6" s="871"/>
    </row>
    <row r="7" ht="19.9" customHeight="1" spans="1:10" x14ac:dyDescent="0.25">
      <c r="A7" s="871"/>
      <c r="B7" s="871"/>
      <c r="C7" s="871"/>
      <c r="D7" s="871"/>
      <c r="E7" s="871"/>
      <c r="F7" s="871"/>
      <c r="G7" s="871"/>
      <c r="H7" s="871"/>
      <c r="I7" s="871"/>
      <c r="J7" s="871"/>
    </row>
    <row r="8" ht="19.9" customHeight="1" spans="1:10" x14ac:dyDescent="0.25">
      <c r="A8" s="871"/>
      <c r="B8" s="871"/>
      <c r="C8" s="871"/>
      <c r="D8" s="871"/>
      <c r="E8" s="871"/>
      <c r="F8" s="871"/>
      <c r="G8" s="871"/>
      <c r="H8" s="871"/>
      <c r="I8" s="871"/>
      <c r="J8" s="871"/>
    </row>
    <row r="9" ht="19.9" customHeight="1" spans="1:10" x14ac:dyDescent="0.25">
      <c r="A9" s="871"/>
      <c r="B9" s="871"/>
      <c r="C9" s="871"/>
      <c r="D9" s="871"/>
      <c r="E9" s="871"/>
      <c r="F9" s="871"/>
      <c r="G9" s="871"/>
      <c r="H9" s="871"/>
      <c r="I9" s="871"/>
      <c r="J9" s="871"/>
    </row>
    <row r="10" ht="19.9" customHeight="1" spans="1:10" x14ac:dyDescent="0.25">
      <c r="A10" s="871"/>
      <c r="B10" s="871"/>
      <c r="C10" s="871"/>
      <c r="D10" s="871"/>
      <c r="E10" s="871"/>
      <c r="F10" s="871"/>
      <c r="G10" s="871"/>
      <c r="H10" s="871"/>
      <c r="I10" s="871"/>
      <c r="J10" s="871"/>
    </row>
    <row r="11" ht="19.9" customHeight="1" spans="1:10" x14ac:dyDescent="0.25">
      <c r="A11" s="871"/>
      <c r="B11" s="871"/>
      <c r="C11" s="871"/>
      <c r="D11" s="871"/>
      <c r="E11" s="871"/>
      <c r="F11" s="871"/>
      <c r="G11" s="871"/>
      <c r="H11" s="871"/>
      <c r="I11" s="871"/>
      <c r="J11" s="871"/>
    </row>
    <row r="12" ht="19.9" customHeight="1" spans="1:10" x14ac:dyDescent="0.25">
      <c r="A12" s="871"/>
      <c r="B12" s="871"/>
      <c r="C12" s="871"/>
      <c r="D12" s="871"/>
      <c r="E12" s="871"/>
      <c r="F12" s="871"/>
      <c r="G12" s="871"/>
      <c r="H12" s="871"/>
      <c r="I12" s="871"/>
      <c r="J12" s="871"/>
    </row>
    <row r="13" ht="19.9" customHeight="1" spans="1:10" x14ac:dyDescent="0.25">
      <c r="A13" s="871"/>
      <c r="B13" s="871"/>
      <c r="C13" s="871"/>
      <c r="D13" s="871"/>
      <c r="E13" s="871"/>
      <c r="F13" s="871"/>
      <c r="G13" s="871"/>
      <c r="H13" s="871"/>
      <c r="I13" s="871"/>
      <c r="J13" s="871"/>
    </row>
    <row r="14" ht="19.9" customHeight="1" spans="1:10" x14ac:dyDescent="0.25">
      <c r="A14" s="871"/>
      <c r="B14" s="871"/>
      <c r="C14" s="871"/>
      <c r="D14" s="871"/>
      <c r="E14" s="871"/>
      <c r="F14" s="871"/>
      <c r="G14" s="871"/>
      <c r="H14" s="871"/>
      <c r="I14" s="871"/>
      <c r="J14" s="871"/>
    </row>
    <row r="15" ht="19.9" customHeight="1" spans="1:10" x14ac:dyDescent="0.25">
      <c r="A15" s="871"/>
      <c r="B15" s="871"/>
      <c r="C15" s="871"/>
      <c r="D15" s="871"/>
      <c r="E15" s="871"/>
      <c r="F15" s="871"/>
      <c r="G15" s="871"/>
      <c r="H15" s="871"/>
      <c r="I15" s="871"/>
      <c r="J15" s="871"/>
    </row>
    <row r="16" ht="19.9" customHeight="1" spans="1:10" x14ac:dyDescent="0.25">
      <c r="A16" s="871"/>
      <c r="B16" s="871"/>
      <c r="C16" s="871"/>
      <c r="D16" s="871"/>
      <c r="E16" s="871"/>
      <c r="F16" s="871"/>
      <c r="G16" s="871"/>
      <c r="H16" s="871"/>
      <c r="I16" s="871"/>
      <c r="J16" s="871"/>
    </row>
    <row r="17" ht="19.9" customHeight="1" spans="1:10" x14ac:dyDescent="0.25">
      <c r="A17" s="875"/>
      <c r="B17" s="875"/>
      <c r="C17" s="874" t="s">
        <v>313</v>
      </c>
      <c r="D17" s="876">
        <f t="shared" ref="D17:I17" si="0">SUM(D5:D16)</f>
        <v>0</v>
      </c>
      <c r="E17" s="876">
        <f t="shared" si="0"/>
        <v>0</v>
      </c>
      <c r="F17" s="876">
        <f t="shared" si="0"/>
        <v>0</v>
      </c>
      <c r="G17" s="876">
        <f t="shared" si="0"/>
        <v>0</v>
      </c>
      <c r="H17" s="876">
        <f t="shared" si="0"/>
        <v>0</v>
      </c>
      <c r="I17" s="876">
        <f t="shared" si="0"/>
        <v>0</v>
      </c>
      <c r="J17" s="875"/>
    </row>
    <row r="19" ht="15" customHeight="1" spans="1:10" x14ac:dyDescent="0.25">
      <c r="A19" s="88" t="s">
        <v>1015</v>
      </c>
      <c r="B19" s="89"/>
      <c r="C19" s="89"/>
      <c r="D19" s="89"/>
      <c r="E19" s="89"/>
      <c r="F19" s="89"/>
      <c r="G19" s="89"/>
      <c r="H19" s="89"/>
      <c r="I19" s="89"/>
      <c r="J19" s="89"/>
    </row>
  </sheetData>
  <mergeCells count="4">
    <mergeCell ref="A1:J1"/>
    <mergeCell ref="A2:J2"/>
    <mergeCell ref="A3:J3"/>
    <mergeCell ref="A19:J19"/>
  </mergeCells>
  <printOptions horizontalCentered="1"/>
  <pageMargins left="0.35" right="0.35" top="0.55" bottom="0.55" header="0.2" footer="0.2"/>
  <pageSetup paperSize="9" orientation="landscape" horizontalDpi="4294967295" verticalDpi="4294967295" scale="100" fitToWidth="1" fitToHeight="0" firstPageNumber="1" useFirstPageNumber="1" copies="1"/>
  <headerFooter>
    <oddFooter>&amp;LCAFlow template&amp;RPage &amp;P of &amp;N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AD47"/>
    <pageSetUpPr fitToPage="1"/>
  </sheetPr>
  <dimension ref="A1:H18"/>
  <sheetViews>
    <sheetView workbookViewId="0" showGridLines="0" zoomScale="100" zoomScaleNormal="100"/>
  </sheetViews>
  <sheetFormatPr defaultRowHeight="15" outlineLevelRow="0" outlineLevelCol="0" x14ac:dyDescent="0"/>
  <cols>
    <col min="1" max="1" width="28" customWidth="1"/>
    <col min="2" max="2" width="10" customWidth="1"/>
    <col min="3" max="3" width="14" customWidth="1"/>
    <col min="4" max="5" width="18" customWidth="1"/>
    <col min="6" max="6" width="14" customWidth="1"/>
    <col min="7" max="7" width="16" customWidth="1"/>
    <col min="8" max="8" width="24" customWidth="1"/>
  </cols>
  <sheetData>
    <row r="1" ht="28.15" customHeight="1" spans="1:8" x14ac:dyDescent="0.25">
      <c r="A1" s="78" t="s">
        <v>1016</v>
      </c>
      <c r="B1" s="79"/>
      <c r="C1" s="79"/>
      <c r="D1" s="79"/>
      <c r="E1" s="79"/>
      <c r="F1" s="79"/>
      <c r="G1" s="79"/>
      <c r="H1" s="79"/>
    </row>
    <row r="2" ht="19.9" customHeight="1" spans="1:8" x14ac:dyDescent="0.25">
      <c r="A2" s="80" t="s">
        <v>1017</v>
      </c>
      <c r="B2" s="79"/>
      <c r="C2" s="79"/>
      <c r="D2" s="79"/>
      <c r="E2" s="79"/>
      <c r="F2" s="79"/>
      <c r="G2" s="79"/>
      <c r="H2" s="79"/>
    </row>
    <row r="3" ht="4.9" customHeight="1" spans="1:8" x14ac:dyDescent="0.25">
      <c r="A3" s="861"/>
      <c r="B3" s="862"/>
      <c r="C3" s="862"/>
      <c r="D3" s="862"/>
      <c r="E3" s="862"/>
      <c r="F3" s="862"/>
      <c r="G3" s="862"/>
      <c r="H3" s="862"/>
    </row>
    <row r="4" ht="22.15" customHeight="1" spans="1:8" x14ac:dyDescent="0.25">
      <c r="A4" s="82" t="s">
        <v>1018</v>
      </c>
      <c r="B4" s="82" t="s">
        <v>1019</v>
      </c>
      <c r="C4" s="82" t="s">
        <v>1020</v>
      </c>
      <c r="D4" s="82" t="s">
        <v>1021</v>
      </c>
      <c r="E4" s="82" t="s">
        <v>1022</v>
      </c>
      <c r="F4" s="82" t="s">
        <v>1023</v>
      </c>
      <c r="G4" s="82" t="s">
        <v>1024</v>
      </c>
      <c r="H4" s="82" t="s">
        <v>1025</v>
      </c>
    </row>
    <row r="5" ht="19.9" customHeight="1" spans="1:8" x14ac:dyDescent="0.25">
      <c r="A5" s="871"/>
      <c r="B5" s="871"/>
      <c r="C5" s="871"/>
      <c r="D5" s="871"/>
      <c r="E5" s="871"/>
      <c r="F5" s="871"/>
      <c r="G5" s="871"/>
      <c r="H5" s="871"/>
    </row>
    <row r="6" ht="19.9" customHeight="1" spans="1:8" x14ac:dyDescent="0.25">
      <c r="A6" s="871"/>
      <c r="B6" s="871"/>
      <c r="C6" s="871"/>
      <c r="D6" s="871"/>
      <c r="E6" s="871"/>
      <c r="F6" s="871"/>
      <c r="G6" s="871"/>
      <c r="H6" s="871"/>
    </row>
    <row r="7" ht="19.9" customHeight="1" spans="1:8" x14ac:dyDescent="0.25">
      <c r="A7" s="871"/>
      <c r="B7" s="871"/>
      <c r="C7" s="871"/>
      <c r="D7" s="871"/>
      <c r="E7" s="871"/>
      <c r="F7" s="871"/>
      <c r="G7" s="871"/>
      <c r="H7" s="871"/>
    </row>
    <row r="8" ht="19.9" customHeight="1" spans="1:8" x14ac:dyDescent="0.25">
      <c r="A8" s="871"/>
      <c r="B8" s="871"/>
      <c r="C8" s="871"/>
      <c r="D8" s="871"/>
      <c r="E8" s="871"/>
      <c r="F8" s="871"/>
      <c r="G8" s="871"/>
      <c r="H8" s="871"/>
    </row>
    <row r="9" ht="19.9" customHeight="1" spans="1:8" x14ac:dyDescent="0.25">
      <c r="A9" s="871"/>
      <c r="B9" s="871"/>
      <c r="C9" s="871"/>
      <c r="D9" s="871"/>
      <c r="E9" s="871"/>
      <c r="F9" s="871"/>
      <c r="G9" s="871"/>
      <c r="H9" s="871"/>
    </row>
    <row r="10" ht="19.9" customHeight="1" spans="1:8" x14ac:dyDescent="0.25">
      <c r="A10" s="871"/>
      <c r="B10" s="871"/>
      <c r="C10" s="871"/>
      <c r="D10" s="871"/>
      <c r="E10" s="871"/>
      <c r="F10" s="871"/>
      <c r="G10" s="871"/>
      <c r="H10" s="871"/>
    </row>
    <row r="11" ht="19.9" customHeight="1" spans="1:8" x14ac:dyDescent="0.25">
      <c r="A11" s="871"/>
      <c r="B11" s="871"/>
      <c r="C11" s="871"/>
      <c r="D11" s="871"/>
      <c r="E11" s="871"/>
      <c r="F11" s="871"/>
      <c r="G11" s="871"/>
      <c r="H11" s="871"/>
    </row>
    <row r="12" ht="19.9" customHeight="1" spans="1:8" x14ac:dyDescent="0.25">
      <c r="A12" s="871"/>
      <c r="B12" s="871"/>
      <c r="C12" s="871"/>
      <c r="D12" s="871"/>
      <c r="E12" s="871"/>
      <c r="F12" s="871"/>
      <c r="G12" s="871"/>
      <c r="H12" s="871"/>
    </row>
    <row r="13" ht="19.9" customHeight="1" spans="1:8" x14ac:dyDescent="0.25">
      <c r="A13" s="871"/>
      <c r="B13" s="871"/>
      <c r="C13" s="871"/>
      <c r="D13" s="871"/>
      <c r="E13" s="871"/>
      <c r="F13" s="871"/>
      <c r="G13" s="871"/>
      <c r="H13" s="871"/>
    </row>
    <row r="14" ht="19.9" customHeight="1" spans="1:8" x14ac:dyDescent="0.25">
      <c r="A14" s="871"/>
      <c r="B14" s="871"/>
      <c r="C14" s="871"/>
      <c r="D14" s="871"/>
      <c r="E14" s="871"/>
      <c r="F14" s="871"/>
      <c r="G14" s="871"/>
      <c r="H14" s="871"/>
    </row>
    <row r="15" ht="19.9" customHeight="1" spans="1:8" x14ac:dyDescent="0.25">
      <c r="A15" s="871"/>
      <c r="B15" s="871"/>
      <c r="C15" s="871"/>
      <c r="D15" s="871"/>
      <c r="E15" s="871"/>
      <c r="F15" s="871"/>
      <c r="G15" s="871"/>
      <c r="H15" s="871"/>
    </row>
    <row r="16" ht="19.9" customHeight="1" spans="1:8" x14ac:dyDescent="0.25">
      <c r="A16" s="871"/>
      <c r="B16" s="871"/>
      <c r="C16" s="871"/>
      <c r="D16" s="871"/>
      <c r="E16" s="871"/>
      <c r="F16" s="871"/>
      <c r="G16" s="871"/>
      <c r="H16" s="871"/>
    </row>
    <row r="18" ht="25.9" customHeight="1" spans="1:8" x14ac:dyDescent="0.25">
      <c r="A18" s="88" t="s">
        <v>1026</v>
      </c>
      <c r="B18" s="89"/>
      <c r="C18" s="89"/>
      <c r="D18" s="89"/>
      <c r="E18" s="89"/>
      <c r="F18" s="89"/>
      <c r="G18" s="89"/>
      <c r="H18" s="89"/>
    </row>
  </sheetData>
  <mergeCells count="4">
    <mergeCell ref="A1:H1"/>
    <mergeCell ref="A2:H2"/>
    <mergeCell ref="A3:H3"/>
    <mergeCell ref="A18:H18"/>
  </mergeCells>
  <printOptions horizontalCentered="1"/>
  <pageMargins left="0.35" right="0.35" top="0.55" bottom="0.55" header="0.2" footer="0.2"/>
  <pageSetup paperSize="9" orientation="landscape" horizontalDpi="4294967295" verticalDpi="4294967295" scale="100" fitToWidth="1" fitToHeight="0" firstPageNumber="1" useFirstPageNumber="1" copies="1"/>
  <headerFooter>
    <oddFooter>&amp;LCAFlow template&amp;RPage &amp;P of &amp;N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AD47"/>
    <pageSetUpPr fitToPage="1"/>
  </sheetPr>
  <dimension ref="A1:E14"/>
  <sheetViews>
    <sheetView workbookViewId="0" showGridLines="0" zoomScale="100" zoomScaleNormal="100"/>
  </sheetViews>
  <sheetFormatPr defaultRowHeight="15" outlineLevelRow="0" outlineLevelCol="0" x14ac:dyDescent="0"/>
  <cols>
    <col min="1" max="1" width="34" customWidth="1"/>
    <col min="2" max="2" width="16" customWidth="1"/>
    <col min="3" max="3" width="18" customWidth="1"/>
    <col min="4" max="4" width="16" customWidth="1"/>
    <col min="5" max="5" width="28" customWidth="1"/>
  </cols>
  <sheetData>
    <row r="1" ht="28.15" customHeight="1" spans="1:5" x14ac:dyDescent="0.25">
      <c r="A1" s="78" t="s">
        <v>1027</v>
      </c>
      <c r="B1" s="79"/>
      <c r="C1" s="79"/>
      <c r="D1" s="79"/>
      <c r="E1" s="79"/>
    </row>
    <row r="2" ht="19.9" customHeight="1" spans="1:5" x14ac:dyDescent="0.25">
      <c r="A2" s="80" t="s">
        <v>1028</v>
      </c>
      <c r="B2" s="79"/>
      <c r="C2" s="79"/>
      <c r="D2" s="79"/>
      <c r="E2" s="79"/>
    </row>
    <row r="3" ht="4.9" customHeight="1" spans="1:5" x14ac:dyDescent="0.25">
      <c r="A3" s="861"/>
      <c r="B3" s="862"/>
      <c r="C3" s="862"/>
      <c r="D3" s="862"/>
      <c r="E3" s="862"/>
    </row>
    <row r="4" ht="22.15" customHeight="1" spans="1:5" x14ac:dyDescent="0.25">
      <c r="A4" s="82" t="s">
        <v>135</v>
      </c>
      <c r="B4" s="82" t="s">
        <v>57</v>
      </c>
      <c r="C4" s="82" t="s">
        <v>1029</v>
      </c>
      <c r="D4" s="82" t="s">
        <v>572</v>
      </c>
      <c r="E4" s="82" t="s">
        <v>939</v>
      </c>
    </row>
    <row r="5" ht="19.9" customHeight="1" spans="1:5" x14ac:dyDescent="0.25">
      <c r="A5" s="871"/>
      <c r="B5" s="871"/>
      <c r="C5" s="871"/>
      <c r="D5" s="871"/>
      <c r="E5" s="871"/>
    </row>
    <row r="6" ht="19.9" customHeight="1" spans="1:5" x14ac:dyDescent="0.25">
      <c r="A6" s="871"/>
      <c r="B6" s="871"/>
      <c r="C6" s="871"/>
      <c r="D6" s="871"/>
      <c r="E6" s="871"/>
    </row>
    <row r="7" ht="19.9" customHeight="1" spans="1:5" x14ac:dyDescent="0.25">
      <c r="A7" s="871"/>
      <c r="B7" s="871"/>
      <c r="C7" s="871"/>
      <c r="D7" s="871"/>
      <c r="E7" s="871"/>
    </row>
    <row r="8" ht="19.9" customHeight="1" spans="1:5" x14ac:dyDescent="0.25">
      <c r="A8" s="871"/>
      <c r="B8" s="871"/>
      <c r="C8" s="871"/>
      <c r="D8" s="871"/>
      <c r="E8" s="871"/>
    </row>
    <row r="9" ht="19.9" customHeight="1" spans="1:5" x14ac:dyDescent="0.25">
      <c r="A9" s="871"/>
      <c r="B9" s="871"/>
      <c r="C9" s="871"/>
      <c r="D9" s="871"/>
      <c r="E9" s="871"/>
    </row>
    <row r="10" ht="19.9" customHeight="1" spans="1:5" x14ac:dyDescent="0.25">
      <c r="A10" s="871"/>
      <c r="B10" s="871"/>
      <c r="C10" s="871"/>
      <c r="D10" s="871"/>
      <c r="E10" s="871"/>
    </row>
    <row r="11" ht="19.9" customHeight="1" spans="1:5" x14ac:dyDescent="0.25">
      <c r="A11" s="871"/>
      <c r="B11" s="871"/>
      <c r="C11" s="871"/>
      <c r="D11" s="871"/>
      <c r="E11" s="871"/>
    </row>
    <row r="12" ht="19.9" customHeight="1" spans="1:5" x14ac:dyDescent="0.25">
      <c r="A12" s="871"/>
      <c r="B12" s="871"/>
      <c r="C12" s="871"/>
      <c r="D12" s="871"/>
      <c r="E12" s="871"/>
    </row>
    <row r="14" ht="25.9" customHeight="1" spans="1:5" x14ac:dyDescent="0.25">
      <c r="A14" s="88" t="s">
        <v>1030</v>
      </c>
      <c r="B14" s="89"/>
      <c r="C14" s="89"/>
      <c r="D14" s="89"/>
      <c r="E14" s="89"/>
    </row>
  </sheetData>
  <mergeCells count="4">
    <mergeCell ref="A1:E1"/>
    <mergeCell ref="A2:E2"/>
    <mergeCell ref="A3:E3"/>
    <mergeCell ref="A14:E14"/>
  </mergeCells>
  <printOptions horizontalCentered="1"/>
  <pageMargins left="0.35" right="0.35" top="0.55" bottom="0.55" header="0.2" footer="0.2"/>
  <pageSetup paperSize="9" orientation="landscape" horizontalDpi="4294967295" verticalDpi="4294967295" scale="100" fitToWidth="1" fitToHeight="0" firstPageNumber="1" useFirstPageNumber="1" copies="1"/>
  <headerFooter>
    <oddFooter>&amp;LCAFlow template&amp;RPage &amp;P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AD47"/>
    <pageSetUpPr fitToPage="1"/>
  </sheetPr>
  <dimension ref="A1:G15"/>
  <sheetViews>
    <sheetView workbookViewId="0" showGridLines="0" zoomScale="100" zoomScaleNormal="100"/>
  </sheetViews>
  <sheetFormatPr defaultRowHeight="15" outlineLevelRow="0" outlineLevelCol="0" x14ac:dyDescent="0"/>
  <cols>
    <col min="1" max="3" width="18" customWidth="1"/>
    <col min="4" max="5" width="22" customWidth="1"/>
    <col min="6" max="6" width="18" customWidth="1"/>
    <col min="7" max="7" width="24" customWidth="1"/>
  </cols>
  <sheetData>
    <row r="1" ht="28.15" customHeight="1" spans="1:7" x14ac:dyDescent="0.25">
      <c r="A1" s="78" t="s">
        <v>1031</v>
      </c>
      <c r="B1" s="79"/>
      <c r="C1" s="79"/>
      <c r="D1" s="79"/>
      <c r="E1" s="79"/>
      <c r="F1" s="79"/>
      <c r="G1" s="79"/>
    </row>
    <row r="2" ht="19.9" customHeight="1" spans="1:7" x14ac:dyDescent="0.25">
      <c r="A2" s="80" t="s">
        <v>930</v>
      </c>
      <c r="B2" s="79"/>
      <c r="C2" s="79"/>
      <c r="D2" s="79"/>
      <c r="E2" s="79"/>
      <c r="F2" s="79"/>
      <c r="G2" s="79"/>
    </row>
    <row r="3" ht="4.9" customHeight="1" spans="1:7" x14ac:dyDescent="0.25">
      <c r="A3" s="861"/>
      <c r="B3" s="862"/>
      <c r="C3" s="862"/>
      <c r="D3" s="862"/>
      <c r="E3" s="862"/>
      <c r="F3" s="862"/>
      <c r="G3" s="862"/>
    </row>
    <row r="4" ht="22.15" customHeight="1" spans="1:7" x14ac:dyDescent="0.25">
      <c r="A4" s="82" t="s">
        <v>1032</v>
      </c>
      <c r="B4" s="82" t="s">
        <v>1033</v>
      </c>
      <c r="C4" s="82" t="s">
        <v>1034</v>
      </c>
      <c r="D4" s="82" t="s">
        <v>1035</v>
      </c>
      <c r="E4" s="82" t="s">
        <v>1036</v>
      </c>
      <c r="F4" s="82" t="s">
        <v>1037</v>
      </c>
      <c r="G4" s="82" t="s">
        <v>939</v>
      </c>
    </row>
    <row r="5" ht="19.9" customHeight="1" spans="1:7" x14ac:dyDescent="0.25">
      <c r="A5" s="871"/>
      <c r="B5" s="871"/>
      <c r="C5" s="871"/>
      <c r="D5" s="871"/>
      <c r="E5" s="871"/>
      <c r="F5" s="871"/>
      <c r="G5" s="871"/>
    </row>
    <row r="6" ht="19.9" customHeight="1" spans="1:7" x14ac:dyDescent="0.25">
      <c r="A6" s="871"/>
      <c r="B6" s="871"/>
      <c r="C6" s="871"/>
      <c r="D6" s="871"/>
      <c r="E6" s="871"/>
      <c r="F6" s="871"/>
      <c r="G6" s="871"/>
    </row>
    <row r="7" ht="19.9" customHeight="1" spans="1:7" x14ac:dyDescent="0.25">
      <c r="A7" s="871"/>
      <c r="B7" s="871"/>
      <c r="C7" s="871"/>
      <c r="D7" s="871"/>
      <c r="E7" s="871"/>
      <c r="F7" s="871"/>
      <c r="G7" s="871"/>
    </row>
    <row r="8" ht="19.9" customHeight="1" spans="1:7" x14ac:dyDescent="0.25">
      <c r="A8" s="871"/>
      <c r="B8" s="871"/>
      <c r="C8" s="871"/>
      <c r="D8" s="871"/>
      <c r="E8" s="871"/>
      <c r="F8" s="871"/>
      <c r="G8" s="871"/>
    </row>
    <row r="9" ht="19.9" customHeight="1" spans="1:7" x14ac:dyDescent="0.25">
      <c r="A9" s="871"/>
      <c r="B9" s="871"/>
      <c r="C9" s="871"/>
      <c r="D9" s="871"/>
      <c r="E9" s="871"/>
      <c r="F9" s="871"/>
      <c r="G9" s="871"/>
    </row>
    <row r="10" ht="19.9" customHeight="1" spans="1:7" x14ac:dyDescent="0.25">
      <c r="A10" s="871"/>
      <c r="B10" s="871"/>
      <c r="C10" s="871"/>
      <c r="D10" s="871"/>
      <c r="E10" s="871"/>
      <c r="F10" s="871"/>
      <c r="G10" s="871"/>
    </row>
    <row r="11" ht="19.9" customHeight="1" spans="1:7" x14ac:dyDescent="0.25">
      <c r="A11" s="871"/>
      <c r="B11" s="871"/>
      <c r="C11" s="871"/>
      <c r="D11" s="871"/>
      <c r="E11" s="871"/>
      <c r="F11" s="871"/>
      <c r="G11" s="871"/>
    </row>
    <row r="12" ht="19.9" customHeight="1" spans="1:7" x14ac:dyDescent="0.25">
      <c r="A12" s="871"/>
      <c r="B12" s="871"/>
      <c r="C12" s="871"/>
      <c r="D12" s="871"/>
      <c r="E12" s="871"/>
      <c r="F12" s="871"/>
      <c r="G12" s="871"/>
    </row>
    <row r="13" ht="19.9" customHeight="1" spans="1:7" x14ac:dyDescent="0.25">
      <c r="A13" s="876">
        <f t="shared" ref="A13:F13" si="0">SUM(A5:A12)</f>
        <v>0</v>
      </c>
      <c r="B13" s="876">
        <f t="shared" si="0"/>
        <v>0</v>
      </c>
      <c r="C13" s="876">
        <f t="shared" si="0"/>
        <v>0</v>
      </c>
      <c r="D13" s="876">
        <f t="shared" si="0"/>
        <v>0</v>
      </c>
      <c r="E13" s="876">
        <f t="shared" si="0"/>
        <v>0</v>
      </c>
      <c r="F13" s="876">
        <f t="shared" si="0"/>
        <v>0</v>
      </c>
      <c r="G13" s="875"/>
    </row>
    <row r="15" ht="15" customHeight="1" spans="1:7" x14ac:dyDescent="0.25">
      <c r="A15" s="88" t="s">
        <v>1038</v>
      </c>
      <c r="B15" s="89"/>
      <c r="C15" s="89"/>
      <c r="D15" s="89"/>
      <c r="E15" s="89"/>
      <c r="F15" s="89"/>
      <c r="G15" s="89"/>
    </row>
  </sheetData>
  <mergeCells count="4">
    <mergeCell ref="A1:G1"/>
    <mergeCell ref="A2:G2"/>
    <mergeCell ref="A3:G3"/>
    <mergeCell ref="A15:G15"/>
  </mergeCells>
  <printOptions horizontalCentered="1"/>
  <pageMargins left="0.35" right="0.35" top="0.55" bottom="0.55" header="0.2" footer="0.2"/>
  <pageSetup paperSize="9" orientation="landscape" horizontalDpi="4294967295" verticalDpi="4294967295" scale="100" fitToWidth="1" fitToHeight="0" firstPageNumber="1" useFirstPageNumber="1" copies="1"/>
  <headerFooter>
    <oddFooter>&amp;LCAFlow template&amp;RPage &amp;P of &amp;N</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4E79"/>
    <pageSetUpPr fitToPage="1"/>
  </sheetPr>
  <dimension ref="A1:D26"/>
  <sheetViews>
    <sheetView workbookViewId="0" showGridLines="0" zoomScale="100" zoomScaleNormal="100"/>
  </sheetViews>
  <sheetFormatPr defaultRowHeight="15" outlineLevelRow="0" outlineLevelCol="0" x14ac:dyDescent="0"/>
  <cols>
    <col min="1" max="1" width="8" customWidth="1"/>
    <col min="2" max="2" width="30" customWidth="1"/>
    <col min="3" max="3" width="92" customWidth="1"/>
    <col min="4" max="4" width="16" customWidth="1"/>
  </cols>
  <sheetData>
    <row r="1" ht="28.15" customHeight="1" spans="1:4" x14ac:dyDescent="0.25">
      <c r="A1" s="78" t="s">
        <v>1039</v>
      </c>
      <c r="B1" s="79"/>
      <c r="C1" s="79"/>
      <c r="D1" s="79"/>
    </row>
    <row r="2" ht="19.9" customHeight="1" spans="1:4" x14ac:dyDescent="0.25">
      <c r="A2" s="80" t="s">
        <v>1040</v>
      </c>
      <c r="B2" s="79"/>
      <c r="C2" s="79"/>
      <c r="D2" s="79"/>
    </row>
    <row r="3" ht="4.9" customHeight="1" spans="1:4" x14ac:dyDescent="0.25">
      <c r="A3" s="861"/>
      <c r="B3" s="862"/>
      <c r="C3" s="862"/>
      <c r="D3" s="862"/>
    </row>
    <row r="4" ht="22.15" customHeight="1" spans="1:4" x14ac:dyDescent="0.25">
      <c r="A4" s="82" t="s">
        <v>136</v>
      </c>
      <c r="B4" s="82" t="s">
        <v>1041</v>
      </c>
      <c r="C4" s="82" t="s">
        <v>1042</v>
      </c>
      <c r="D4" s="82" t="s">
        <v>1043</v>
      </c>
    </row>
    <row r="5" ht="36" customHeight="1" spans="1:4" x14ac:dyDescent="0.25">
      <c r="A5" s="869" t="s">
        <v>742</v>
      </c>
      <c r="B5" s="870" t="s">
        <v>1044</v>
      </c>
      <c r="C5" s="871" t="s">
        <v>1045</v>
      </c>
      <c r="D5" s="83" t="s">
        <v>1046</v>
      </c>
    </row>
    <row r="6" ht="48" customHeight="1" spans="1:4" x14ac:dyDescent="0.25">
      <c r="A6" s="869" t="s">
        <v>745</v>
      </c>
      <c r="B6" s="870" t="s">
        <v>1047</v>
      </c>
      <c r="C6" s="871" t="s">
        <v>1048</v>
      </c>
      <c r="D6" s="83" t="s">
        <v>1046</v>
      </c>
    </row>
    <row r="7" ht="48" customHeight="1" spans="1:4" x14ac:dyDescent="0.25">
      <c r="A7" s="869" t="s">
        <v>747</v>
      </c>
      <c r="B7" s="870" t="s">
        <v>1049</v>
      </c>
      <c r="C7" s="871" t="s">
        <v>1050</v>
      </c>
      <c r="D7" s="83" t="s">
        <v>1046</v>
      </c>
    </row>
    <row r="8" ht="60" customHeight="1" spans="1:4" x14ac:dyDescent="0.25">
      <c r="A8" s="869" t="s">
        <v>749</v>
      </c>
      <c r="B8" s="870" t="s">
        <v>1051</v>
      </c>
      <c r="C8" s="871" t="s">
        <v>1052</v>
      </c>
      <c r="D8" s="83" t="s">
        <v>1046</v>
      </c>
    </row>
    <row r="9" ht="48" customHeight="1" spans="1:4" x14ac:dyDescent="0.25">
      <c r="A9" s="869" t="s">
        <v>751</v>
      </c>
      <c r="B9" s="870" t="s">
        <v>392</v>
      </c>
      <c r="C9" s="871" t="s">
        <v>1053</v>
      </c>
      <c r="D9" s="83" t="s">
        <v>1046</v>
      </c>
    </row>
    <row r="10" ht="48" customHeight="1" spans="1:4" x14ac:dyDescent="0.25">
      <c r="A10" s="869" t="s">
        <v>753</v>
      </c>
      <c r="B10" s="870" t="s">
        <v>1054</v>
      </c>
      <c r="C10" s="871" t="s">
        <v>1055</v>
      </c>
      <c r="D10" s="83" t="s">
        <v>1046</v>
      </c>
    </row>
    <row r="11" ht="48" customHeight="1" spans="1:4" x14ac:dyDescent="0.25">
      <c r="A11" s="869" t="s">
        <v>755</v>
      </c>
      <c r="B11" s="870" t="s">
        <v>259</v>
      </c>
      <c r="C11" s="871" t="s">
        <v>1056</v>
      </c>
      <c r="D11" s="83" t="s">
        <v>1046</v>
      </c>
    </row>
    <row r="12" ht="60" customHeight="1" spans="1:4" x14ac:dyDescent="0.25">
      <c r="A12" s="869" t="s">
        <v>756</v>
      </c>
      <c r="B12" s="870" t="s">
        <v>1057</v>
      </c>
      <c r="C12" s="871" t="s">
        <v>1058</v>
      </c>
      <c r="D12" s="83" t="s">
        <v>1046</v>
      </c>
    </row>
    <row r="13" ht="60" customHeight="1" spans="1:4" x14ac:dyDescent="0.25">
      <c r="A13" s="869" t="s">
        <v>1059</v>
      </c>
      <c r="B13" s="870" t="s">
        <v>1060</v>
      </c>
      <c r="C13" s="871" t="s">
        <v>1061</v>
      </c>
      <c r="D13" s="83" t="s">
        <v>1046</v>
      </c>
    </row>
    <row r="14" ht="48" customHeight="1" spans="1:4" x14ac:dyDescent="0.25">
      <c r="A14" s="869" t="s">
        <v>1062</v>
      </c>
      <c r="B14" s="870" t="s">
        <v>1063</v>
      </c>
      <c r="C14" s="871" t="s">
        <v>1064</v>
      </c>
      <c r="D14" s="83" t="s">
        <v>1046</v>
      </c>
    </row>
    <row r="15" ht="36" customHeight="1" spans="1:4" x14ac:dyDescent="0.25">
      <c r="A15" s="869" t="s">
        <v>1065</v>
      </c>
      <c r="B15" s="870" t="s">
        <v>1066</v>
      </c>
      <c r="C15" s="871" t="s">
        <v>1067</v>
      </c>
      <c r="D15" s="83" t="s">
        <v>1046</v>
      </c>
    </row>
    <row r="16" ht="60" customHeight="1" spans="1:4" x14ac:dyDescent="0.25">
      <c r="A16" s="869" t="s">
        <v>782</v>
      </c>
      <c r="B16" s="870" t="s">
        <v>539</v>
      </c>
      <c r="C16" s="871" t="s">
        <v>1068</v>
      </c>
      <c r="D16" s="83" t="s">
        <v>1046</v>
      </c>
    </row>
    <row r="17" ht="48" customHeight="1" spans="1:4" x14ac:dyDescent="0.25">
      <c r="A17" s="869" t="s">
        <v>1069</v>
      </c>
      <c r="B17" s="870" t="s">
        <v>1070</v>
      </c>
      <c r="C17" s="871" t="s">
        <v>1071</v>
      </c>
      <c r="D17" s="83" t="s">
        <v>1046</v>
      </c>
    </row>
    <row r="18" ht="60" customHeight="1" spans="1:4" x14ac:dyDescent="0.25">
      <c r="A18" s="869" t="s">
        <v>1072</v>
      </c>
      <c r="B18" s="870" t="s">
        <v>1073</v>
      </c>
      <c r="C18" s="871" t="s">
        <v>1074</v>
      </c>
      <c r="D18" s="83" t="s">
        <v>1046</v>
      </c>
    </row>
    <row r="19" ht="48" customHeight="1" spans="1:4" x14ac:dyDescent="0.25">
      <c r="A19" s="869" t="s">
        <v>800</v>
      </c>
      <c r="B19" s="870" t="s">
        <v>1075</v>
      </c>
      <c r="C19" s="871" t="s">
        <v>1076</v>
      </c>
      <c r="D19" s="83" t="s">
        <v>1046</v>
      </c>
    </row>
    <row r="20" ht="48" customHeight="1" spans="1:4" x14ac:dyDescent="0.25">
      <c r="A20" s="869" t="s">
        <v>802</v>
      </c>
      <c r="B20" s="870" t="s">
        <v>1077</v>
      </c>
      <c r="C20" s="871" t="s">
        <v>1078</v>
      </c>
      <c r="D20" s="83" t="s">
        <v>1079</v>
      </c>
    </row>
    <row r="21" ht="36" customHeight="1" spans="1:4" x14ac:dyDescent="0.25">
      <c r="A21" s="869" t="s">
        <v>804</v>
      </c>
      <c r="B21" s="870" t="s">
        <v>1080</v>
      </c>
      <c r="C21" s="871" t="s">
        <v>1081</v>
      </c>
      <c r="D21" s="83" t="s">
        <v>1079</v>
      </c>
    </row>
    <row r="22" ht="36" customHeight="1" spans="1:4" x14ac:dyDescent="0.25">
      <c r="A22" s="869" t="s">
        <v>806</v>
      </c>
      <c r="B22" s="870" t="s">
        <v>1082</v>
      </c>
      <c r="C22" s="871" t="s">
        <v>1083</v>
      </c>
      <c r="D22" s="83" t="s">
        <v>1084</v>
      </c>
    </row>
    <row r="23" ht="36" customHeight="1" spans="1:4" x14ac:dyDescent="0.25">
      <c r="A23" s="869" t="s">
        <v>809</v>
      </c>
      <c r="B23" s="870" t="s">
        <v>1085</v>
      </c>
      <c r="C23" s="871" t="s">
        <v>1086</v>
      </c>
      <c r="D23" s="83" t="s">
        <v>1046</v>
      </c>
    </row>
    <row r="24" ht="48" customHeight="1" spans="1:4" x14ac:dyDescent="0.25">
      <c r="A24" s="869" t="s">
        <v>1087</v>
      </c>
      <c r="B24" s="870" t="s">
        <v>1088</v>
      </c>
      <c r="C24" s="871" t="s">
        <v>1089</v>
      </c>
      <c r="D24" s="83" t="s">
        <v>1084</v>
      </c>
    </row>
    <row r="26" ht="25.9" customHeight="1" spans="1:4" x14ac:dyDescent="0.25">
      <c r="A26" s="88" t="s">
        <v>1090</v>
      </c>
      <c r="B26" s="89"/>
      <c r="C26" s="89"/>
      <c r="D26" s="89"/>
    </row>
  </sheetData>
  <mergeCells count="4">
    <mergeCell ref="A1:D1"/>
    <mergeCell ref="A2:D2"/>
    <mergeCell ref="A3:D3"/>
    <mergeCell ref="A26:D26"/>
  </mergeCells>
  <printOptions horizontalCentered="1"/>
  <pageMargins left="0.35" right="0.35" top="0.55" bottom="0.55" header="0.2" footer="0.2"/>
  <pageSetup paperSize="9" orientation="landscape" horizontalDpi="4294967295" verticalDpi="4294967295" scale="100" fitToWidth="1" fitToHeight="0" firstPageNumber="1" useFirstPageNumber="1" copies="1"/>
  <headerFooter>
    <oddFooter>&amp;LCAFlow template&amp;RPage &amp;P of &amp;N</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6666"/>
    <pageSetUpPr fitToPage="1"/>
  </sheetPr>
  <dimension ref="A1:C11"/>
  <sheetViews>
    <sheetView workbookViewId="0" showGridLines="0" zoomScale="100" zoomScaleNormal="100"/>
  </sheetViews>
  <sheetFormatPr defaultRowHeight="15" outlineLevelRow="0" outlineLevelCol="0" x14ac:dyDescent="0"/>
  <cols>
    <col min="1" max="1" width="36" customWidth="1"/>
    <col min="2" max="2" width="42" customWidth="1"/>
    <col min="3" max="3" width="88" customWidth="1"/>
  </cols>
  <sheetData>
    <row r="1" ht="28.15" customHeight="1" spans="1:3" x14ac:dyDescent="0.25">
      <c r="A1" s="78" t="s">
        <v>1091</v>
      </c>
      <c r="B1" s="79"/>
      <c r="C1" s="79"/>
    </row>
    <row r="2" ht="19.9" customHeight="1" spans="1:3" x14ac:dyDescent="0.25">
      <c r="A2" s="80" t="s">
        <v>1092</v>
      </c>
      <c r="B2" s="79"/>
      <c r="C2" s="79"/>
    </row>
    <row r="3" ht="4.9" customHeight="1" spans="1:3" x14ac:dyDescent="0.25">
      <c r="A3" s="861"/>
      <c r="B3" s="862"/>
      <c r="C3" s="862"/>
    </row>
    <row r="4" ht="22.15" customHeight="1" spans="1:3" x14ac:dyDescent="0.25">
      <c r="A4" s="82" t="s">
        <v>1093</v>
      </c>
      <c r="B4" s="82" t="s">
        <v>87</v>
      </c>
      <c r="C4" s="82" t="s">
        <v>1094</v>
      </c>
    </row>
    <row r="5" ht="19.9" customHeight="1" spans="1:3" x14ac:dyDescent="0.25">
      <c r="A5" s="870" t="s">
        <v>1095</v>
      </c>
      <c r="B5" s="86" t="s">
        <v>1096</v>
      </c>
      <c r="C5" s="878" t="s">
        <v>1097</v>
      </c>
    </row>
    <row r="6" ht="19.9" customHeight="1" spans="1:3" x14ac:dyDescent="0.25">
      <c r="A6" s="870" t="s">
        <v>1098</v>
      </c>
      <c r="B6" s="86" t="s">
        <v>1099</v>
      </c>
      <c r="C6" s="878" t="s">
        <v>1100</v>
      </c>
    </row>
    <row r="7" ht="19.9" customHeight="1" spans="1:3" x14ac:dyDescent="0.25">
      <c r="A7" s="870" t="s">
        <v>1101</v>
      </c>
      <c r="B7" s="86" t="s">
        <v>1102</v>
      </c>
      <c r="C7" s="878" t="s">
        <v>1103</v>
      </c>
    </row>
    <row r="8" ht="19.9" customHeight="1" spans="1:3" x14ac:dyDescent="0.25">
      <c r="A8" s="870" t="s">
        <v>1104</v>
      </c>
      <c r="B8" s="86" t="s">
        <v>1105</v>
      </c>
      <c r="C8" s="878" t="s">
        <v>1106</v>
      </c>
    </row>
    <row r="9" ht="24" customHeight="1" spans="1:3" x14ac:dyDescent="0.25">
      <c r="A9" s="870" t="s">
        <v>1107</v>
      </c>
      <c r="B9" s="86" t="s">
        <v>1108</v>
      </c>
      <c r="C9" s="878" t="s">
        <v>1109</v>
      </c>
    </row>
    <row r="10" ht="24" customHeight="1" spans="1:3" x14ac:dyDescent="0.25">
      <c r="A10" s="870" t="s">
        <v>1110</v>
      </c>
      <c r="B10" s="86" t="s">
        <v>1111</v>
      </c>
      <c r="C10" s="878" t="s">
        <v>1112</v>
      </c>
    </row>
    <row r="11" ht="24" customHeight="1" spans="1:3" x14ac:dyDescent="0.25">
      <c r="A11" s="870" t="s">
        <v>1113</v>
      </c>
      <c r="B11" s="86" t="s">
        <v>1114</v>
      </c>
      <c r="C11" s="878" t="s">
        <v>1115</v>
      </c>
    </row>
  </sheetData>
  <mergeCells count="3">
    <mergeCell ref="A1:C1"/>
    <mergeCell ref="A2:C2"/>
    <mergeCell ref="A3:C3"/>
  </mergeCells>
  <hyperlinks>
    <hyperlink ref="C5" r:id="rId1"/>
    <hyperlink ref="C6" r:id="rId2"/>
    <hyperlink ref="C7" r:id="rId3"/>
    <hyperlink ref="C8" r:id="rId4"/>
    <hyperlink ref="C9" r:id="rId5"/>
    <hyperlink ref="C10" r:id="rId6"/>
    <hyperlink ref="C11" r:id="rId7"/>
  </hyperlinks>
  <printOptions horizontalCentered="1"/>
  <pageMargins left="0.35" right="0.35" top="0.55" bottom="0.55" header="0.2" footer="0.2"/>
  <pageSetup paperSize="9" orientation="landscape" horizontalDpi="4294967295" verticalDpi="4294967295" scale="100" fitToWidth="1" fitToHeight="0" firstPageNumber="1" useFirstPageNumber="1" copies="1"/>
  <headerFooter>
    <oddFooter>&amp;LCAFlow template&amp;RPage &amp;P of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8"/>
  <sheetViews>
    <sheetView workbookViewId="0" zoomScale="100" zoomScaleNormal="100">
      <selection activeCell="M55" sqref="M55"/>
    </sheetView>
  </sheetViews>
  <sheetFormatPr defaultRowHeight="15" outlineLevelRow="0" outlineLevelCol="0" x14ac:dyDescent="0"/>
  <sheetData>
    <row r="2" spans="1:1" x14ac:dyDescent="0.25">
      <c r="A2" s="810" t="s">
        <v>604</v>
      </c>
    </row>
    <row r="3" spans="1:1" x14ac:dyDescent="0.25">
      <c r="A3" t="s">
        <v>605</v>
      </c>
    </row>
    <row r="7" spans="1:1" x14ac:dyDescent="0.25">
      <c r="A7" s="810" t="s">
        <v>606</v>
      </c>
    </row>
    <row r="8" spans="1:1" x14ac:dyDescent="0.25">
      <c r="A8" t="s">
        <v>607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00_Cover</vt:lpstr>
      <vt:lpstr>01_Control</vt:lpstr>
      <vt:lpstr>02_Index</vt:lpstr>
      <vt:lpstr>BS</vt:lpstr>
      <vt:lpstr>PL</vt:lpstr>
      <vt:lpstr>CFS</vt:lpstr>
      <vt:lpstr>Note BS-Liab</vt:lpstr>
      <vt:lpstr>FA</vt:lpstr>
      <vt:lpstr>Note BS-Asset</vt:lpstr>
      <vt:lpstr>Note PL</vt:lpstr>
      <vt:lpstr>Notes other</vt:lpstr>
      <vt:lpstr>Notes other2</vt:lpstr>
      <vt:lpstr>Sheet2</vt:lpstr>
      <vt:lpstr>FA - IT Act</vt:lpstr>
      <vt:lpstr>DT</vt:lpstr>
      <vt:lpstr>Sheet1</vt:lpstr>
      <vt:lpstr>03_Independent_Auditors_Report</vt:lpstr>
      <vt:lpstr>04_Annexure_A_CARO_2020</vt:lpstr>
      <vt:lpstr>05_Annexure_B_IFC</vt:lpstr>
      <vt:lpstr>06_Form_3CA</vt:lpstr>
      <vt:lpstr>07_Form_3CD_Part_A</vt:lpstr>
      <vt:lpstr>08_Form_3CD_09_to_20</vt:lpstr>
      <vt:lpstr>09_Form_3CD_21_to_30C</vt:lpstr>
      <vt:lpstr>10_Form_3CD_31_to_44</vt:lpstr>
      <vt:lpstr>11_3CD_Annx_Partners_9</vt:lpstr>
      <vt:lpstr>12_3CD_Annx_Depn_18</vt:lpstr>
      <vt:lpstr>13_3CD_Annx_Disallow_21_26</vt:lpstr>
      <vt:lpstr>14_3CD_Annx_MSME_22_23</vt:lpstr>
      <vt:lpstr>15_3CD_Annx_43B_26</vt:lpstr>
      <vt:lpstr>16_3CD_Annx_Loans_31</vt:lpstr>
      <vt:lpstr>17_3CD_Annx_BF_Loss_32</vt:lpstr>
      <vt:lpstr>18_3CD_Annx_Deduction_19_33</vt:lpstr>
      <vt:lpstr>19_3CD_Annx_TDS_34</vt:lpstr>
      <vt:lpstr>20_3CD_Annx_Quant_35</vt:lpstr>
      <vt:lpstr>21_3CD_Annx_GP_40</vt:lpstr>
      <vt:lpstr>22_3CD_Annx_GST_44</vt:lpstr>
      <vt:lpstr>19_Sample_Narrative_Notes</vt:lpstr>
      <vt:lpstr>99_Legal_Sources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kalyan</dc:creator>
  <cp:lastModifiedBy>Kunal Desai</cp:lastModifiedBy>
  <cp:lastPrinted>2026-04-18T09:47:39Z</cp:lastPrinted>
  <dcterms:created xsi:type="dcterms:W3CDTF">2015-08-03T06:17:58Z</dcterms:created>
  <dcterms:modified xsi:type="dcterms:W3CDTF">2026-04-25T13:00:30Z</dcterms:modified>
</cp:coreProperties>
</file>